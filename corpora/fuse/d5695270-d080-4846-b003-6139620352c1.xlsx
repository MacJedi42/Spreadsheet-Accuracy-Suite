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autoCompressPictures="0" defaultThemeVersion="124226"/>
  <bookViews>
    <workbookView xWindow="3420" yWindow="-195" windowWidth="11730" windowHeight="6930" tabRatio="895"/>
  </bookViews>
  <sheets>
    <sheet name="Metadata_PF_LAISummary" sheetId="35" r:id="rId1"/>
    <sheet name="PF_LAISummary" sheetId="18" r:id="rId2"/>
    <sheet name="Sites(Do NOT Edit)" sheetId="36" r:id="rId3"/>
  </sheets>
  <definedNames>
    <definedName name="_xlnm._FilterDatabase" localSheetId="2" hidden="1">'Sites(Do NOT Edit)'!$A$2:$N$638</definedName>
    <definedName name="ABSTRACT" localSheetId="0">Metadata_PF_LAISummary!$A$6</definedName>
    <definedName name="ABSTRACT" localSheetId="2">Metadata_PF_LAISummary!$A$6</definedName>
    <definedName name="Address_line_2" localSheetId="0">Metadata_PF_LAISummary!$A$24</definedName>
    <definedName name="Address_line_2" localSheetId="2">Metadata_PF_LAISummary!$A$24</definedName>
    <definedName name="Address_line_3" localSheetId="0">Metadata_PF_LAISummary!$A$25</definedName>
    <definedName name="Address_line_3" localSheetId="2">Metadata_PF_LAISummary!$A$25</definedName>
    <definedName name="Availability_Status" localSheetId="0">Metadata_PF_LAISummary!$A$39</definedName>
    <definedName name="Availability_Status" localSheetId="2">Metadata_PF_LAISummary!$A$39</definedName>
    <definedName name="Beginning_Date" localSheetId="0">Metadata_PF_LAISummary!$A$35</definedName>
    <definedName name="Beginning_Date" localSheetId="2">Metadata_PF_LAISummary!$A$35</definedName>
    <definedName name="City" localSheetId="0">Metadata_PF_LAISummary!$A$26</definedName>
    <definedName name="City" localSheetId="2">Metadata_PF_LAISummary!$A$26</definedName>
    <definedName name="Code_Information" localSheetId="0">Metadata_PF_LAISummary!$F$182</definedName>
    <definedName name="Code_Information" localSheetId="2">Metadata_PF_LAISummary!$F$182</definedName>
    <definedName name="Country" localSheetId="0">Metadata_PF_LAISummary!$A$29</definedName>
    <definedName name="Country" localSheetId="2">Metadata_PF_LAISummary!$A$29</definedName>
    <definedName name="DATA_FILE_INFORMATION" localSheetId="0">Metadata_PF_LAISummary!$A$32</definedName>
    <definedName name="DATA_FILE_INFORMATION" localSheetId="2">Metadata_PF_LAISummary!$A$32</definedName>
    <definedName name="Data_File_Name" localSheetId="0">Metadata_PF_LAISummary!$A$34</definedName>
    <definedName name="Data_File_Name" localSheetId="2">Metadata_PF_LAISummary!$A$34</definedName>
    <definedName name="Data_File_URL" localSheetId="0">Metadata_PF_LAISummary!$A$33</definedName>
    <definedName name="Data_File_URL" localSheetId="2">Metadata_PF_LAISummary!$A$33</definedName>
    <definedName name="Data_Type" localSheetId="0">Metadata_PF_LAISummary!$C$182</definedName>
    <definedName name="Data_Type" localSheetId="2">Metadata_PF_LAISummary!$C$182</definedName>
    <definedName name="DATASET_ID" localSheetId="0">Metadata_PF_LAISummary!$A$16</definedName>
    <definedName name="DATASET_ID" localSheetId="2">Metadata_PF_LAISummary!$A$16</definedName>
    <definedName name="DATASET_TITLE" localSheetId="0">Metadata_PF_LAISummary!$A$5</definedName>
    <definedName name="DATASET_TITLE" localSheetId="2">Metadata_PF_LAISummary!$A$5</definedName>
    <definedName name="DateTime_Format" localSheetId="0">Metadata_PF_LAISummary!$E$182</definedName>
    <definedName name="DateTime_Format" localSheetId="2">Metadata_PF_LAISummary!$E$182</definedName>
    <definedName name="Distribution_URL_for_file" localSheetId="0">Metadata_PF_LAISummary!$A$4</definedName>
    <definedName name="Distribution_URL_for_file" localSheetId="2">Metadata_PF_LAISummary!$A$4</definedName>
    <definedName name="East_Bounding_Coordinate" localSheetId="0">Metadata_PF_LAISummary!$A$52</definedName>
    <definedName name="East_Bounding_Coordinate" localSheetId="2">Metadata_PF_LAISummary!$A$52</definedName>
    <definedName name="Elevation" localSheetId="0">Metadata_PF_LAISummary!$A$58</definedName>
    <definedName name="Elevation" localSheetId="2">Metadata_PF_LAISummary!$A$58</definedName>
    <definedName name="Email" localSheetId="0">Metadata_PF_LAISummary!$A$20</definedName>
    <definedName name="Email" localSheetId="2">Metadata_PF_LAISummary!$A$20</definedName>
    <definedName name="End_Date" localSheetId="0">Metadata_PF_LAISummary!$A$36</definedName>
    <definedName name="End_Date" localSheetId="2">Metadata_PF_LAISummary!$A$36</definedName>
    <definedName name="First_Name" localSheetId="0">Metadata_PF_LAISummary!$A$21</definedName>
    <definedName name="First_Name" localSheetId="2">Metadata_PF_LAISummary!$A$21</definedName>
    <definedName name="Geographic_Description" localSheetId="0">Metadata_PF_LAISummary!$A$49</definedName>
    <definedName name="Geographic_Description" localSheetId="2">Metadata_PF_LAISummary!$A$49</definedName>
    <definedName name="INVESTIGATOR_INFORMATION" localSheetId="0">Metadata_PF_LAISummary!$A$18</definedName>
    <definedName name="INVESTIGATOR_INFORMATION" localSheetId="2">Metadata_PF_LAISummary!$A$18</definedName>
    <definedName name="KEYWORD_INFORMATION" localSheetId="0">Metadata_PF_LAISummary!$A$64</definedName>
    <definedName name="KEYWORD_INFORMATION" localSheetId="2">Metadata_PF_LAISummary!$A$64</definedName>
    <definedName name="KEYWORDS" localSheetId="0">Metadata_PF_LAISummary!$A$65</definedName>
    <definedName name="KEYWORDS" localSheetId="2">Metadata_PF_LAISummary!$A$65</definedName>
    <definedName name="Last_Name" localSheetId="0">Metadata_PF_LAISummary!$A$22</definedName>
    <definedName name="Last_Name" localSheetId="2">Metadata_PF_LAISummary!$A$22</definedName>
    <definedName name="Latitude" localSheetId="0">Metadata_PF_LAISummary!$A$56</definedName>
    <definedName name="Latitude" localSheetId="2">Metadata_PF_LAISummary!$A$56</definedName>
    <definedName name="Link_to_Google_Map">Metadata_PF_LAISummary!$A$59</definedName>
    <definedName name="Location_Bounding_Box" localSheetId="0">Metadata_PF_LAISummary!$A$50</definedName>
    <definedName name="Location_Bounding_Box" localSheetId="2">Metadata_PF_LAISummary!$A$50</definedName>
    <definedName name="Location_Name" localSheetId="0">Metadata_PF_LAISummary!$A$48</definedName>
    <definedName name="Location_Name" localSheetId="2">Metadata_PF_LAISummary!$A$48</definedName>
    <definedName name="Log_of_Changes" localSheetId="0">Metadata_PF_LAISummary!$A$42</definedName>
    <definedName name="Log_of_Changes" localSheetId="2">Metadata_PF_LAISummary!$A$42</definedName>
    <definedName name="Longitude" localSheetId="0">Metadata_PF_LAISummary!$A$57</definedName>
    <definedName name="Longitude" localSheetId="2">Metadata_PF_LAISummary!$A$57</definedName>
    <definedName name="LTER_Sites_number">'Sites(Do NOT Edit)'!$A$2:$A$638</definedName>
    <definedName name="Maintenance_Description" localSheetId="0">Metadata_PF_LAISummary!$A$41</definedName>
    <definedName name="Maintenance_Description" localSheetId="2">Metadata_PF_LAISummary!$A$41</definedName>
    <definedName name="Metacat_Package_ID" localSheetId="0">Metadata_PF_LAISummary!$A$2</definedName>
    <definedName name="Metacat_Package_ID" localSheetId="2">Metadata_PF_LAISummary!$A$2</definedName>
    <definedName name="METHODS" localSheetId="0">Metadata_PF_LAISummary!$A$68</definedName>
    <definedName name="METHODS" localSheetId="2">Metadata_PF_LAISummary!$A$68</definedName>
    <definedName name="Missing_Value_Code" localSheetId="0">Metadata_PF_LAISummary!$G$182</definedName>
    <definedName name="Missing_Value_Code" localSheetId="2">Metadata_PF_LAISummary!$G$182</definedName>
    <definedName name="North_Bounding_Coordinate" localSheetId="0">Metadata_PF_LAISummary!$A$53</definedName>
    <definedName name="North_Bounding_Coordinate" localSheetId="2">Metadata_PF_LAISummary!$A$53</definedName>
    <definedName name="Number_of_Data_Records" localSheetId="0">Metadata_PF_LAISummary!$A$37</definedName>
    <definedName name="Number_of_Data_Records" localSheetId="2">Metadata_PF_LAISummary!$A$37</definedName>
    <definedName name="OR" localSheetId="0">Metadata_PF_LAISummary!$A$173</definedName>
    <definedName name="OR" localSheetId="2">Metadata_PF_LAISummary!$A$173</definedName>
    <definedName name="OR_if_single_point_location" localSheetId="0">Metadata_PF_LAISummary!$A$55</definedName>
    <definedName name="OR_if_single_point_location" localSheetId="2">Metadata_PF_LAISummary!$A$55</definedName>
    <definedName name="Organisms_studied" localSheetId="0">Metadata_PF_LAISummary!$A$62</definedName>
    <definedName name="Organisms_studied" localSheetId="2">Metadata_PF_LAISummary!$A$62</definedName>
    <definedName name="Organization" localSheetId="0">Metadata_PF_LAISummary!$A$23</definedName>
    <definedName name="Organization" localSheetId="2">Metadata_PF_LAISummary!$A$23</definedName>
    <definedName name="Other_Files_to_Reference" localSheetId="0">Metadata_PF_LAISummary!$A$38</definedName>
    <definedName name="Other_Files_to_Reference" localSheetId="2">Metadata_PF_LAISummary!$A$38</definedName>
    <definedName name="Protocol_Document" localSheetId="0">Metadata_PF_LAISummary!$A$174</definedName>
    <definedName name="Protocol_Document" localSheetId="2">Metadata_PF_LAISummary!$A$174</definedName>
    <definedName name="Protocol_Title" localSheetId="0">Metadata_PF_LAISummary!$A$171</definedName>
    <definedName name="Protocol_Title" localSheetId="2">Metadata_PF_LAISummary!$A$171</definedName>
    <definedName name="Quality_Control_Information" localSheetId="0">Metadata_PF_LAISummary!$A$40</definedName>
    <definedName name="Quality_Control_Information" localSheetId="2">Metadata_PF_LAISummary!$A$40</definedName>
    <definedName name="RESEARCH_LOCATION" localSheetId="0">Metadata_PF_LAISummary!$A$47</definedName>
    <definedName name="RESEARCH_LOCATION" localSheetId="2">Metadata_PF_LAISummary!$A$47</definedName>
    <definedName name="Role" localSheetId="0">Metadata_PF_LAISummary!$A$19</definedName>
    <definedName name="Role" localSheetId="2">Metadata_PF_LAISummary!$A$19</definedName>
    <definedName name="Sampling_and_or_Lab_Protocols" localSheetId="0">Metadata_PF_LAISummary!$A$170</definedName>
    <definedName name="Sampling_and_or_Lab_Protocols" localSheetId="2">Metadata_PF_LAISummary!$A$170</definedName>
    <definedName name="Site_name">'Sites(Do NOT Edit)'!$B$3:$B$638</definedName>
    <definedName name="Site_name_list">'Sites(Do NOT Edit)'!$B$2:$B$638</definedName>
    <definedName name="Sites">'Sites(Do NOT Edit)'!$A$3:$M$638</definedName>
    <definedName name="South_Bounding_Coordinate" localSheetId="0">Metadata_PF_LAISummary!$A$54</definedName>
    <definedName name="South_Bounding_Coordinate" localSheetId="2">Metadata_PF_LAISummary!$A$54</definedName>
    <definedName name="State" localSheetId="0">Metadata_PF_LAISummary!$A$27</definedName>
    <definedName name="State" localSheetId="2">Metadata_PF_LAISummary!$A$27</definedName>
    <definedName name="TAXONOMIC_COVERAGE" localSheetId="0">Metadata_PF_LAISummary!$A$61</definedName>
    <definedName name="TAXONOMIC_COVERAGE" localSheetId="2">Metadata_PF_LAISummary!$A$61</definedName>
    <definedName name="Units" localSheetId="0">Metadata_PF_LAISummary!$D$182</definedName>
    <definedName name="Units" localSheetId="2">Metadata_PF_LAISummary!$D$182</definedName>
    <definedName name="URL_of_online_Protocol" localSheetId="0">Metadata_PF_LAISummary!$A$172</definedName>
    <definedName name="URL_of_online_Protocol" localSheetId="2">Metadata_PF_LAISummary!$A$172</definedName>
    <definedName name="Variable_Description" localSheetId="0">Metadata_PF_LAISummary!$B$182</definedName>
    <definedName name="Variable_Description" localSheetId="2">Metadata_PF_LAISummary!$B$182</definedName>
    <definedName name="VARIABLE_DESCRIPTIONS" localSheetId="0">Metadata_PF_LAISummary!$A$181</definedName>
    <definedName name="VARIABLE_DESCRIPTIONS" localSheetId="2">Metadata_PF_LAISummary!$A$181</definedName>
    <definedName name="Variable_Name" localSheetId="0">Metadata_PF_LAISummary!$A$182</definedName>
    <definedName name="Variable_Name" localSheetId="2">Metadata_PF_LAISummary!$A$182</definedName>
    <definedName name="West_Bounding_Coordinate" localSheetId="0">Metadata_PF_LAISummary!$A$51</definedName>
    <definedName name="West_Bounding_Coordinate" localSheetId="2">Metadata_PF_LAISummary!$A$51</definedName>
    <definedName name="Year_Released_to_Public" localSheetId="0">Metadata_PF_LAISummary!$A$3</definedName>
    <definedName name="Year_Released_to_Public" localSheetId="2">Metadata_PF_LAISummary!$A$3</definedName>
    <definedName name="Zip_Code" localSheetId="0">Metadata_PF_LAISummary!$A$28</definedName>
    <definedName name="Zip_Code" localSheetId="2">Metadata_PF_LAISummary!$A$28</definedName>
  </definedNames>
  <calcPr calcId="145621"/>
</workbook>
</file>

<file path=xl/calcChain.xml><?xml version="1.0" encoding="utf-8"?>
<calcChain xmlns="http://schemas.openxmlformats.org/spreadsheetml/2006/main">
  <c r="M638" i="36" l="1"/>
  <c r="M637" i="36"/>
  <c r="M636" i="36"/>
  <c r="M635" i="36"/>
  <c r="M634" i="36"/>
  <c r="M633" i="36"/>
  <c r="M632" i="36"/>
  <c r="M631" i="36"/>
  <c r="M630" i="36"/>
  <c r="M629" i="36"/>
  <c r="M628" i="36"/>
  <c r="M627" i="36"/>
  <c r="M626" i="36"/>
  <c r="M625" i="36"/>
  <c r="M624" i="36"/>
  <c r="M623" i="36"/>
  <c r="M622" i="36"/>
  <c r="M621" i="36"/>
  <c r="M620" i="36"/>
  <c r="M619" i="36"/>
  <c r="M618" i="36"/>
  <c r="M617" i="36"/>
  <c r="M616" i="36"/>
  <c r="M615" i="36"/>
  <c r="M614" i="36"/>
  <c r="M613" i="36"/>
  <c r="M612" i="36"/>
  <c r="M611" i="36"/>
  <c r="M610" i="36"/>
  <c r="M609" i="36"/>
  <c r="M608" i="36"/>
  <c r="M607" i="36"/>
  <c r="M606" i="36"/>
  <c r="M605" i="36"/>
  <c r="M604" i="36"/>
  <c r="M603" i="36"/>
  <c r="M602" i="36"/>
  <c r="M601" i="36"/>
  <c r="M600" i="36"/>
  <c r="M599" i="36"/>
  <c r="M598" i="36"/>
  <c r="M597" i="36"/>
  <c r="M596" i="36"/>
  <c r="M595" i="36"/>
  <c r="M594" i="36"/>
  <c r="M593" i="36"/>
  <c r="M592" i="36"/>
  <c r="M591" i="36"/>
  <c r="M590" i="36"/>
  <c r="M589" i="36"/>
  <c r="M588" i="36"/>
  <c r="M587" i="36"/>
  <c r="M586" i="36"/>
  <c r="M585" i="36"/>
  <c r="M584" i="36"/>
  <c r="M583" i="36"/>
  <c r="M582" i="36"/>
  <c r="M581" i="36"/>
  <c r="M580" i="36"/>
  <c r="M579" i="36"/>
  <c r="M578" i="36"/>
  <c r="M577" i="36"/>
  <c r="M576" i="36"/>
  <c r="M575" i="36"/>
  <c r="M574" i="36"/>
  <c r="M573" i="36"/>
  <c r="M572" i="36"/>
  <c r="M571" i="36"/>
  <c r="M570" i="36"/>
  <c r="M569" i="36"/>
  <c r="M568" i="36"/>
  <c r="M567" i="36"/>
  <c r="M566" i="36"/>
  <c r="M565" i="36"/>
  <c r="M564" i="36"/>
  <c r="M563" i="36"/>
  <c r="M562" i="36"/>
  <c r="M561" i="36"/>
  <c r="M560" i="36"/>
  <c r="M559" i="36"/>
  <c r="M558" i="36"/>
  <c r="M557" i="36"/>
  <c r="M556" i="36"/>
  <c r="M555" i="36"/>
  <c r="M554" i="36"/>
  <c r="M553" i="36"/>
  <c r="M552" i="36"/>
  <c r="M551" i="36"/>
  <c r="M550" i="36"/>
  <c r="M549" i="36"/>
  <c r="M548" i="36"/>
  <c r="M547" i="36"/>
  <c r="M546" i="36"/>
  <c r="M545" i="36"/>
  <c r="M544" i="36"/>
  <c r="M543" i="36"/>
  <c r="M542" i="36"/>
  <c r="M541" i="36"/>
  <c r="M540" i="36"/>
  <c r="M539" i="36"/>
  <c r="M538" i="36"/>
  <c r="M537" i="36"/>
  <c r="M536" i="36"/>
  <c r="M535" i="36"/>
  <c r="M534" i="36"/>
  <c r="M533" i="36"/>
  <c r="M532" i="36"/>
  <c r="M531" i="36"/>
  <c r="M530" i="36"/>
  <c r="M529" i="36"/>
  <c r="M528" i="36"/>
  <c r="M527" i="36"/>
  <c r="M526" i="36"/>
  <c r="M525" i="36"/>
  <c r="M524" i="36"/>
  <c r="M523" i="36"/>
  <c r="M522" i="36"/>
  <c r="M521" i="36"/>
  <c r="M520" i="36"/>
  <c r="M519" i="36"/>
  <c r="M518" i="36"/>
  <c r="M517" i="36"/>
  <c r="M516" i="36"/>
  <c r="M515" i="36"/>
  <c r="M514" i="36"/>
  <c r="M513" i="36"/>
  <c r="M512" i="36"/>
  <c r="M511" i="36"/>
  <c r="M510" i="36"/>
  <c r="M509" i="36"/>
  <c r="M508" i="36"/>
  <c r="M507" i="36"/>
  <c r="M506" i="36"/>
  <c r="M505" i="36"/>
  <c r="M504" i="36"/>
  <c r="M503" i="36"/>
  <c r="M502" i="36"/>
  <c r="M501" i="36"/>
  <c r="M500" i="36"/>
  <c r="M499" i="36"/>
  <c r="M498" i="36"/>
  <c r="M497" i="36"/>
  <c r="M496" i="36"/>
  <c r="M495" i="36"/>
  <c r="M494" i="36"/>
  <c r="M493" i="36"/>
  <c r="M492" i="36"/>
  <c r="M491" i="36"/>
  <c r="M490" i="36"/>
  <c r="M489" i="36"/>
  <c r="M488" i="36"/>
  <c r="M487" i="36"/>
  <c r="M486" i="36"/>
  <c r="M485" i="36"/>
  <c r="M484" i="36"/>
  <c r="M483" i="36"/>
  <c r="M482" i="36"/>
  <c r="M481" i="36"/>
  <c r="M480" i="36"/>
  <c r="M479" i="36"/>
  <c r="M478" i="36"/>
  <c r="M477" i="36"/>
  <c r="M476" i="36"/>
  <c r="M475" i="36"/>
  <c r="M474" i="36"/>
  <c r="M473" i="36"/>
  <c r="M472" i="36"/>
  <c r="M471" i="36"/>
  <c r="M470" i="36"/>
  <c r="M469" i="36"/>
  <c r="M468" i="36"/>
  <c r="M467" i="36"/>
  <c r="M466" i="36"/>
  <c r="M465" i="36"/>
  <c r="M464" i="36"/>
  <c r="M463" i="36"/>
  <c r="M462" i="36"/>
  <c r="M461" i="36"/>
  <c r="M460" i="36"/>
  <c r="M459" i="36"/>
  <c r="M458" i="36"/>
  <c r="M457" i="36"/>
  <c r="M456" i="36"/>
  <c r="M455" i="36"/>
  <c r="M454" i="36"/>
  <c r="M453" i="36"/>
  <c r="M452" i="36"/>
  <c r="M451" i="36"/>
  <c r="M450" i="36"/>
  <c r="M449" i="36"/>
  <c r="M448" i="36"/>
  <c r="M447" i="36"/>
  <c r="M446" i="36"/>
  <c r="M445" i="36"/>
  <c r="M444" i="36"/>
  <c r="M443" i="36"/>
  <c r="M442" i="36"/>
  <c r="M441" i="36"/>
  <c r="M440" i="36"/>
  <c r="M439" i="36"/>
  <c r="M438" i="36"/>
  <c r="M437" i="36"/>
  <c r="M436" i="36"/>
  <c r="M435" i="36"/>
  <c r="N434" i="36"/>
  <c r="M434" i="36"/>
  <c r="N433" i="36"/>
  <c r="M433" i="36"/>
  <c r="N432" i="36"/>
  <c r="M432" i="36"/>
  <c r="N431" i="36"/>
  <c r="M431" i="36"/>
  <c r="N430" i="36"/>
  <c r="M430" i="36"/>
  <c r="N429" i="36"/>
  <c r="M429" i="36"/>
  <c r="N428" i="36"/>
  <c r="M428" i="36"/>
  <c r="N427" i="36"/>
  <c r="M427" i="36"/>
  <c r="N426" i="36"/>
  <c r="M426" i="36"/>
  <c r="N425" i="36"/>
  <c r="M425" i="36"/>
  <c r="N424" i="36"/>
  <c r="M424" i="36"/>
  <c r="N423" i="36"/>
  <c r="M423" i="36"/>
  <c r="N422" i="36"/>
  <c r="M422" i="36"/>
  <c r="N421" i="36"/>
  <c r="M421" i="36"/>
  <c r="N420" i="36"/>
  <c r="M420" i="36"/>
  <c r="N419" i="36"/>
  <c r="M419" i="36"/>
  <c r="N418" i="36"/>
  <c r="M418" i="36"/>
  <c r="N417" i="36"/>
  <c r="M417" i="36"/>
  <c r="N416" i="36"/>
  <c r="M416" i="36"/>
  <c r="N415" i="36"/>
  <c r="M415" i="36"/>
  <c r="N414" i="36"/>
  <c r="M414" i="36"/>
  <c r="N413" i="36"/>
  <c r="M413" i="36"/>
  <c r="N412" i="36"/>
  <c r="M412" i="36"/>
  <c r="N411" i="36"/>
  <c r="M411" i="36"/>
  <c r="N410" i="36"/>
  <c r="M410" i="36"/>
  <c r="N409" i="36"/>
  <c r="M409" i="36"/>
  <c r="N408" i="36"/>
  <c r="M408" i="36"/>
  <c r="N407" i="36"/>
  <c r="M407" i="36"/>
  <c r="N406" i="36"/>
  <c r="M406" i="36"/>
  <c r="N405" i="36"/>
  <c r="M405" i="36"/>
  <c r="N404" i="36"/>
  <c r="M404" i="36"/>
  <c r="N403" i="36"/>
  <c r="M403" i="36"/>
  <c r="N402" i="36"/>
  <c r="M402" i="36"/>
  <c r="N401" i="36"/>
  <c r="M401" i="36"/>
  <c r="N400" i="36"/>
  <c r="M400" i="36"/>
  <c r="N399" i="36"/>
  <c r="M399" i="36"/>
  <c r="N398" i="36"/>
  <c r="M398" i="36"/>
  <c r="N397" i="36"/>
  <c r="M397" i="36"/>
  <c r="N396" i="36"/>
  <c r="M396" i="36"/>
  <c r="N395" i="36"/>
  <c r="M395" i="36"/>
  <c r="N394" i="36"/>
  <c r="M394" i="36"/>
  <c r="N393" i="36"/>
  <c r="M393" i="36"/>
  <c r="N392" i="36"/>
  <c r="M392" i="36"/>
  <c r="N391" i="36"/>
  <c r="M391" i="36"/>
  <c r="N390" i="36"/>
  <c r="M390" i="36"/>
  <c r="N389" i="36"/>
  <c r="M389" i="36"/>
  <c r="N388" i="36"/>
  <c r="M388" i="36"/>
  <c r="N387" i="36"/>
  <c r="M387" i="36"/>
  <c r="N386" i="36"/>
  <c r="M386" i="36"/>
  <c r="N385" i="36"/>
  <c r="M385" i="36"/>
  <c r="N384" i="36"/>
  <c r="M384" i="36"/>
  <c r="N383" i="36"/>
  <c r="M383" i="36"/>
  <c r="N382" i="36"/>
  <c r="M382" i="36"/>
  <c r="N381" i="36"/>
  <c r="M381" i="36"/>
  <c r="N380" i="36"/>
  <c r="M380" i="36"/>
  <c r="N379" i="36"/>
  <c r="M379" i="36"/>
  <c r="N378" i="36"/>
  <c r="M378" i="36"/>
  <c r="N377" i="36"/>
  <c r="M377" i="36"/>
  <c r="N376" i="36"/>
  <c r="M376" i="36"/>
  <c r="N375" i="36"/>
  <c r="M375" i="36"/>
  <c r="N374" i="36"/>
  <c r="M374" i="36"/>
  <c r="N373" i="36"/>
  <c r="M373" i="36"/>
  <c r="N372" i="36"/>
  <c r="M372" i="36"/>
  <c r="N371" i="36"/>
  <c r="M371" i="36"/>
  <c r="N370" i="36"/>
  <c r="M370" i="36"/>
  <c r="N369" i="36"/>
  <c r="M369" i="36"/>
  <c r="N368" i="36"/>
  <c r="M368" i="36"/>
  <c r="N367" i="36"/>
  <c r="M367" i="36"/>
  <c r="N366" i="36"/>
  <c r="M366" i="36"/>
  <c r="N365" i="36"/>
  <c r="M365" i="36"/>
  <c r="N364" i="36"/>
  <c r="M364" i="36"/>
  <c r="N363" i="36"/>
  <c r="M363" i="36"/>
  <c r="N362" i="36"/>
  <c r="M362" i="36"/>
  <c r="N361" i="36"/>
  <c r="M361" i="36"/>
  <c r="N360" i="36"/>
  <c r="M360" i="36"/>
  <c r="N359" i="36"/>
  <c r="M359" i="36"/>
  <c r="N358" i="36"/>
  <c r="M358" i="36"/>
  <c r="N357" i="36"/>
  <c r="M357" i="36"/>
  <c r="N356" i="36"/>
  <c r="M356" i="36"/>
  <c r="M355" i="36"/>
  <c r="M354" i="36"/>
  <c r="M353" i="36"/>
  <c r="M352" i="36"/>
  <c r="M351" i="36"/>
  <c r="M350" i="36"/>
  <c r="M349" i="36"/>
  <c r="M348" i="36"/>
  <c r="M347" i="36"/>
  <c r="M346" i="36"/>
  <c r="M345" i="36"/>
  <c r="M344" i="36"/>
  <c r="M343" i="36"/>
  <c r="M342" i="36"/>
  <c r="M341" i="36"/>
  <c r="M340" i="36"/>
  <c r="M339" i="36"/>
  <c r="M338" i="36"/>
  <c r="M337" i="36"/>
  <c r="M336" i="36"/>
  <c r="M335" i="36"/>
  <c r="M334" i="36"/>
  <c r="M333" i="36"/>
  <c r="M332" i="36"/>
  <c r="M331" i="36"/>
  <c r="M330" i="36"/>
  <c r="M329" i="36"/>
  <c r="M328" i="36"/>
  <c r="M327" i="36"/>
  <c r="M326" i="36"/>
  <c r="M325" i="36"/>
  <c r="M324" i="36"/>
  <c r="M323" i="36"/>
  <c r="M322" i="36"/>
  <c r="M321" i="36"/>
  <c r="M320" i="36"/>
  <c r="M319" i="36"/>
  <c r="M318" i="36"/>
  <c r="M317" i="36"/>
  <c r="M316" i="36"/>
  <c r="M315" i="36"/>
  <c r="M314" i="36"/>
  <c r="M313" i="36"/>
  <c r="M312" i="36"/>
  <c r="M311" i="36"/>
  <c r="M310" i="36"/>
  <c r="M309" i="36"/>
  <c r="M308" i="36"/>
  <c r="M307" i="36"/>
  <c r="M306" i="36"/>
  <c r="M305" i="36"/>
  <c r="M304" i="36"/>
  <c r="M303" i="36"/>
  <c r="M302" i="36"/>
  <c r="M301" i="36"/>
  <c r="M300" i="36"/>
  <c r="M299" i="36"/>
  <c r="M298" i="36"/>
  <c r="M297" i="36"/>
  <c r="M296" i="36"/>
  <c r="M295" i="36"/>
  <c r="M294" i="36"/>
  <c r="M293" i="36"/>
  <c r="M292" i="36"/>
  <c r="M291" i="36"/>
  <c r="M290" i="36"/>
  <c r="M289" i="36"/>
  <c r="M288" i="36"/>
  <c r="M287" i="36"/>
  <c r="M286" i="36"/>
  <c r="M285" i="36"/>
  <c r="M284" i="36"/>
  <c r="M283" i="36"/>
  <c r="M282" i="36"/>
  <c r="M281" i="36"/>
  <c r="M280" i="36"/>
  <c r="M279" i="36"/>
  <c r="M278" i="36"/>
  <c r="M277" i="36"/>
  <c r="M276" i="36"/>
  <c r="M275" i="36"/>
  <c r="M274" i="36"/>
  <c r="M273" i="36"/>
  <c r="M272" i="36"/>
  <c r="M271" i="36"/>
  <c r="M270" i="36"/>
  <c r="M269" i="36"/>
  <c r="M268" i="36"/>
  <c r="M267" i="36"/>
  <c r="M266" i="36"/>
  <c r="M265" i="36"/>
  <c r="M264" i="36"/>
  <c r="M263" i="36"/>
  <c r="M262" i="36"/>
  <c r="M261" i="36"/>
  <c r="M260" i="36"/>
  <c r="M259" i="36"/>
  <c r="M258" i="36"/>
  <c r="M257" i="36"/>
  <c r="M256" i="36"/>
  <c r="M255" i="36"/>
  <c r="M254" i="36"/>
  <c r="M253" i="36"/>
  <c r="M252" i="36"/>
  <c r="M251" i="36"/>
  <c r="M250" i="36"/>
  <c r="M249" i="36"/>
  <c r="M248" i="36"/>
  <c r="M247" i="36"/>
  <c r="M246" i="36"/>
  <c r="M245" i="36"/>
  <c r="M244" i="36"/>
  <c r="M243" i="36"/>
  <c r="M242" i="36"/>
  <c r="M241" i="36"/>
  <c r="M240" i="36"/>
  <c r="M239" i="36"/>
  <c r="M238" i="36"/>
  <c r="M237" i="36"/>
  <c r="M236" i="36"/>
  <c r="M235" i="36"/>
  <c r="M234" i="36"/>
  <c r="M233" i="36"/>
  <c r="M232" i="36"/>
  <c r="M231" i="36"/>
  <c r="M230" i="36"/>
  <c r="M229" i="36"/>
  <c r="M228" i="36"/>
  <c r="M227" i="36"/>
  <c r="M226" i="36"/>
  <c r="M225" i="36"/>
  <c r="M224" i="36"/>
  <c r="M223" i="36"/>
  <c r="M222" i="36"/>
  <c r="M221" i="36"/>
  <c r="M220" i="36"/>
  <c r="M219" i="36"/>
  <c r="M218" i="36"/>
  <c r="M217" i="36"/>
  <c r="M216" i="36"/>
  <c r="M215" i="36"/>
  <c r="M214" i="36"/>
  <c r="M213" i="36"/>
  <c r="M212" i="36"/>
  <c r="M211" i="36"/>
  <c r="M210" i="36"/>
  <c r="M209" i="36"/>
  <c r="M208" i="36"/>
  <c r="M207" i="36"/>
  <c r="M206" i="36"/>
  <c r="M205" i="36"/>
  <c r="M204" i="36"/>
  <c r="M203" i="36"/>
  <c r="M202" i="36"/>
  <c r="M201" i="36"/>
  <c r="M200" i="36"/>
  <c r="N199" i="36"/>
  <c r="M199" i="36"/>
  <c r="N198" i="36"/>
  <c r="M198" i="36"/>
  <c r="N197" i="36"/>
  <c r="M197" i="36"/>
  <c r="N196" i="36"/>
  <c r="M196" i="36"/>
  <c r="N195" i="36"/>
  <c r="M195" i="36"/>
  <c r="N194" i="36"/>
  <c r="M194" i="36"/>
  <c r="N193" i="36"/>
  <c r="M193" i="36"/>
  <c r="N192" i="36"/>
  <c r="M192" i="36"/>
  <c r="N191" i="36"/>
  <c r="M191" i="36"/>
  <c r="N190" i="36"/>
  <c r="M190" i="36"/>
  <c r="N189" i="36"/>
  <c r="M189" i="36"/>
  <c r="N188" i="36"/>
  <c r="M188" i="36"/>
  <c r="N187" i="36"/>
  <c r="M187" i="36"/>
  <c r="N186" i="36"/>
  <c r="M186" i="36"/>
  <c r="N185" i="36"/>
  <c r="M185" i="36"/>
  <c r="N184" i="36"/>
  <c r="M184" i="36"/>
  <c r="N183" i="36"/>
  <c r="M183" i="36"/>
  <c r="N182" i="36"/>
  <c r="M182" i="36"/>
  <c r="N181" i="36"/>
  <c r="M181" i="36"/>
  <c r="N180" i="36"/>
  <c r="M180" i="36"/>
  <c r="N179" i="36"/>
  <c r="M179" i="36"/>
  <c r="N178" i="36"/>
  <c r="M178" i="36"/>
  <c r="N177" i="36"/>
  <c r="M177" i="36"/>
  <c r="N176" i="36"/>
  <c r="M176" i="36"/>
  <c r="N175" i="36"/>
  <c r="M175" i="36"/>
  <c r="N174" i="36"/>
  <c r="M174" i="36"/>
  <c r="N173" i="36"/>
  <c r="M173" i="36"/>
  <c r="N172" i="36"/>
  <c r="M172" i="36"/>
  <c r="N171" i="36"/>
  <c r="M171" i="36"/>
  <c r="N170" i="36"/>
  <c r="M170" i="36"/>
  <c r="N169" i="36"/>
  <c r="M169" i="36"/>
  <c r="N168" i="36"/>
  <c r="M168" i="36"/>
  <c r="N167" i="36"/>
  <c r="M167" i="36"/>
  <c r="M166" i="36"/>
  <c r="M165" i="36"/>
  <c r="M164" i="36"/>
  <c r="M163" i="36"/>
  <c r="M162" i="36"/>
  <c r="M161" i="36"/>
  <c r="M160" i="36"/>
  <c r="M159" i="36"/>
  <c r="M158" i="36"/>
  <c r="M157" i="36"/>
  <c r="M156" i="36"/>
  <c r="M155" i="36"/>
  <c r="M154" i="36"/>
  <c r="M153" i="36"/>
  <c r="M152" i="36"/>
  <c r="M151" i="36"/>
  <c r="M150" i="36"/>
  <c r="M149" i="36"/>
  <c r="M148" i="36"/>
  <c r="M147" i="36"/>
  <c r="M146" i="36"/>
  <c r="M145" i="36"/>
  <c r="M144" i="36"/>
  <c r="M143" i="36"/>
  <c r="M142" i="36"/>
  <c r="M141" i="36"/>
  <c r="M140" i="36"/>
  <c r="M139" i="36"/>
  <c r="M138" i="36"/>
  <c r="M137" i="36"/>
  <c r="M136" i="36"/>
  <c r="M135" i="36"/>
  <c r="M134" i="36"/>
  <c r="M133" i="36"/>
  <c r="M132" i="36"/>
  <c r="M131" i="36"/>
  <c r="M130" i="36"/>
  <c r="M129" i="36"/>
  <c r="M128" i="36"/>
  <c r="M127" i="36"/>
  <c r="M126" i="36"/>
  <c r="M125" i="36"/>
  <c r="M124" i="36"/>
  <c r="M123" i="36"/>
  <c r="M122" i="36"/>
  <c r="M121" i="36"/>
  <c r="M120" i="36"/>
  <c r="M119" i="36"/>
  <c r="M118" i="36"/>
  <c r="M117" i="36"/>
  <c r="M116" i="36"/>
  <c r="M115" i="36"/>
  <c r="M114" i="36"/>
  <c r="M113" i="36"/>
  <c r="M112" i="36"/>
  <c r="M111" i="36"/>
  <c r="M110" i="36"/>
  <c r="M109" i="36"/>
  <c r="M108" i="36"/>
  <c r="M107" i="36"/>
  <c r="M106" i="36"/>
  <c r="M105" i="36"/>
  <c r="M104" i="36"/>
  <c r="M103" i="36"/>
  <c r="M102" i="36"/>
  <c r="M101" i="36"/>
  <c r="M100" i="36"/>
  <c r="M99" i="36"/>
  <c r="M98" i="36"/>
  <c r="M97" i="36"/>
  <c r="M96" i="36"/>
  <c r="M95" i="36"/>
  <c r="M94" i="36"/>
  <c r="M93" i="36"/>
  <c r="M92" i="36"/>
  <c r="M91" i="36"/>
  <c r="M90" i="36"/>
  <c r="M89" i="36"/>
  <c r="M88" i="36"/>
  <c r="M87" i="36"/>
  <c r="M86" i="36"/>
  <c r="M85" i="36"/>
  <c r="M84" i="36"/>
  <c r="M83" i="36"/>
  <c r="M82" i="36"/>
  <c r="M81" i="36"/>
  <c r="M80" i="36"/>
  <c r="M79" i="36"/>
  <c r="M78" i="36"/>
  <c r="M77" i="36"/>
  <c r="M76" i="36"/>
  <c r="M75" i="36"/>
  <c r="M74" i="36"/>
  <c r="M73" i="36"/>
  <c r="M72" i="36"/>
  <c r="M71" i="36"/>
  <c r="M70" i="36"/>
  <c r="M69" i="36"/>
  <c r="M68" i="36"/>
  <c r="M67" i="36"/>
  <c r="M66" i="36"/>
  <c r="M65" i="36"/>
  <c r="M64" i="36"/>
  <c r="M63" i="36"/>
  <c r="M62" i="36"/>
  <c r="M61" i="36"/>
  <c r="M60" i="36"/>
  <c r="M59" i="36"/>
  <c r="M58" i="36"/>
  <c r="M57" i="36"/>
  <c r="M56" i="36"/>
  <c r="M55" i="36"/>
  <c r="M54" i="36"/>
  <c r="M53" i="36"/>
  <c r="M52" i="36"/>
  <c r="M51" i="36"/>
  <c r="M50" i="36"/>
  <c r="M49" i="36"/>
  <c r="M48" i="36"/>
  <c r="M47" i="36"/>
  <c r="M46" i="36"/>
  <c r="M45" i="36"/>
  <c r="M44" i="36"/>
  <c r="M43" i="36"/>
  <c r="M42" i="36"/>
  <c r="M41" i="36"/>
  <c r="M40" i="36"/>
  <c r="M39" i="36"/>
  <c r="M38" i="36"/>
  <c r="M37" i="36"/>
  <c r="M36" i="36"/>
  <c r="M35" i="36"/>
  <c r="M34" i="36"/>
  <c r="M33" i="36"/>
  <c r="M32" i="36"/>
  <c r="M31" i="36"/>
  <c r="M30" i="36"/>
  <c r="M29" i="36"/>
  <c r="M28" i="36"/>
  <c r="M27" i="36"/>
  <c r="M26" i="36"/>
  <c r="M25" i="36"/>
  <c r="M24" i="36"/>
  <c r="M23" i="36"/>
  <c r="M22" i="36"/>
  <c r="M21" i="36"/>
  <c r="M20" i="36"/>
  <c r="M19" i="36"/>
  <c r="M18" i="36"/>
  <c r="M17" i="36"/>
  <c r="M16" i="36"/>
  <c r="M15" i="36"/>
  <c r="M14" i="36"/>
  <c r="M13" i="36"/>
  <c r="M12" i="36"/>
  <c r="M11" i="36"/>
  <c r="M10" i="36"/>
  <c r="M9" i="36"/>
  <c r="M8" i="36"/>
  <c r="M7" i="36"/>
  <c r="M6" i="36"/>
  <c r="M5" i="36"/>
  <c r="M4" i="36"/>
  <c r="M3" i="36"/>
  <c r="D49" i="35"/>
  <c r="E49" i="35"/>
  <c r="F49" i="35"/>
  <c r="G49" i="35"/>
  <c r="H49" i="35"/>
  <c r="I49" i="35"/>
  <c r="D56" i="35"/>
  <c r="D59" i="35" s="1"/>
  <c r="E56" i="35"/>
  <c r="E59" i="35" s="1"/>
  <c r="F56" i="35"/>
  <c r="F59" i="35" s="1"/>
  <c r="G56" i="35"/>
  <c r="G59" i="35" s="1"/>
  <c r="H56" i="35"/>
  <c r="H59" i="35" s="1"/>
  <c r="I56" i="35"/>
  <c r="I59" i="35" s="1"/>
  <c r="D57" i="35"/>
  <c r="E57" i="35"/>
  <c r="F57" i="35"/>
  <c r="G57" i="35"/>
  <c r="H57" i="35"/>
  <c r="I57" i="35"/>
  <c r="D58" i="35"/>
  <c r="E58" i="35"/>
  <c r="F58" i="35"/>
  <c r="G58" i="35"/>
  <c r="H58" i="35"/>
  <c r="I58" i="35"/>
  <c r="B59" i="35"/>
  <c r="C59" i="35"/>
  <c r="R20" i="18"/>
  <c r="R19" i="18"/>
  <c r="R18" i="18"/>
  <c r="R17" i="18"/>
  <c r="R16" i="18"/>
  <c r="R15" i="18"/>
  <c r="R14" i="18"/>
  <c r="R13" i="18"/>
  <c r="R12" i="18"/>
  <c r="R11" i="18"/>
  <c r="R10" i="18"/>
  <c r="R9" i="18"/>
  <c r="R8" i="18"/>
  <c r="R7" i="18"/>
  <c r="R6" i="18"/>
  <c r="R5" i="18"/>
  <c r="R4" i="18"/>
  <c r="R3" i="18"/>
  <c r="R2" i="18"/>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8"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2"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3" authorId="1">
      <text>
        <r>
          <rPr>
            <b/>
            <sz val="8"/>
            <color indexed="81"/>
            <rFont val="Tahoma"/>
            <family val="2"/>
          </rPr>
          <t>The URL for the data file that this metadata describes.  This will be fill in by the Information Manager.  You Do NOT need to fill in.</t>
        </r>
      </text>
    </comment>
    <comment ref="A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5" authorId="3">
      <text>
        <r>
          <rPr>
            <b/>
            <sz val="8"/>
            <color indexed="81"/>
            <rFont val="Tahoma"/>
            <family val="2"/>
          </rPr>
          <t xml:space="preserve"> The date that data collection began for the dataset.</t>
        </r>
      </text>
    </comment>
    <comment ref="B35" authorId="3">
      <text>
        <r>
          <rPr>
            <b/>
            <sz val="8"/>
            <color indexed="81"/>
            <rFont val="Tahoma"/>
            <family val="2"/>
          </rPr>
          <t xml:space="preserve"> The date that data collection began for the dataset.</t>
        </r>
      </text>
    </comment>
    <comment ref="A36" authorId="0">
      <text>
        <r>
          <rPr>
            <b/>
            <sz val="8"/>
            <color indexed="81"/>
            <rFont val="Tahoma"/>
            <family val="2"/>
          </rPr>
          <t>The ending date of data collection.</t>
        </r>
        <r>
          <rPr>
            <sz val="8"/>
            <color indexed="81"/>
            <rFont val="Tahoma"/>
            <family val="2"/>
          </rPr>
          <t xml:space="preserve">
</t>
        </r>
      </text>
    </comment>
    <comment ref="B36" authorId="0">
      <text>
        <r>
          <rPr>
            <b/>
            <sz val="8"/>
            <color indexed="81"/>
            <rFont val="Tahoma"/>
            <family val="2"/>
          </rPr>
          <t>The ending date of data collection.</t>
        </r>
        <r>
          <rPr>
            <sz val="8"/>
            <color indexed="81"/>
            <rFont val="Tahoma"/>
            <family val="2"/>
          </rPr>
          <t xml:space="preserve">
</t>
        </r>
      </text>
    </comment>
    <comment ref="A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0" authorId="4">
      <text>
        <r>
          <rPr>
            <sz val="8"/>
            <color indexed="81"/>
            <rFont val="Tahoma"/>
            <family val="2"/>
          </rPr>
          <t xml:space="preserve">A description of the Quality Control procedures that relate to the dataset. </t>
        </r>
      </text>
    </comment>
    <comment ref="B40" authorId="4">
      <text>
        <r>
          <rPr>
            <sz val="8"/>
            <color indexed="81"/>
            <rFont val="Tahoma"/>
            <family val="2"/>
          </rPr>
          <t xml:space="preserve">A description of the Quality Control procedures that relate to the dataset. </t>
        </r>
      </text>
    </comment>
    <comment ref="A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7"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8"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8" authorId="1">
      <text>
        <r>
          <rPr>
            <b/>
            <sz val="9"/>
            <color indexed="81"/>
            <rFont val="Tahoma"/>
            <family val="2"/>
          </rPr>
          <t xml:space="preserve">The name of the sampling location or site number (from the official ARC LTER site list) see the "ARC LTER sites" worksheet Or enter a new site here.
</t>
        </r>
      </text>
    </comment>
    <comment ref="A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9" authorId="1">
      <text>
        <r>
          <rPr>
            <b/>
            <sz val="9"/>
            <color indexed="81"/>
            <rFont val="Tahoma"/>
            <family val="2"/>
          </rPr>
          <t>This link is generated by a formula using the lat long.  It's a way oc checking the values entered.</t>
        </r>
      </text>
    </comment>
    <comment ref="A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8"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71"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72" authorId="0">
      <text>
        <r>
          <rPr>
            <b/>
            <sz val="8"/>
            <color indexed="81"/>
            <rFont val="Tahoma"/>
            <family val="2"/>
          </rPr>
          <t>List the URL to an online protocol document.</t>
        </r>
      </text>
    </comment>
    <comment ref="A174" authorId="0">
      <text>
        <r>
          <rPr>
            <b/>
            <sz val="8"/>
            <color indexed="81"/>
            <rFont val="Tahoma"/>
            <family val="2"/>
          </rPr>
          <t>Describe the protocol used. Be as complete as possible.  Include any references and deviations used from references.</t>
        </r>
      </text>
    </comment>
    <comment ref="A181" authorId="3">
      <text>
        <r>
          <rPr>
            <b/>
            <sz val="8"/>
            <color indexed="81"/>
            <rFont val="Tahoma"/>
            <family val="2"/>
          </rPr>
          <t>This section describes the variables in the data set. Please be as complete as necessary.</t>
        </r>
      </text>
    </comment>
    <comment ref="A18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82" authorId="3">
      <text>
        <r>
          <rPr>
            <b/>
            <sz val="8"/>
            <color indexed="81"/>
            <rFont val="Tahoma"/>
            <family val="2"/>
          </rPr>
          <t>Variable Description is an explanation of what the Variable represents. 
Include details about the units, e.g. microgram of NH4-N per gram of oven dried soil.</t>
        </r>
      </text>
    </comment>
    <comment ref="C18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8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82"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8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82"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83"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83" authorId="3">
      <text>
        <r>
          <rPr>
            <b/>
            <sz val="8"/>
            <color indexed="81"/>
            <rFont val="Tahoma"/>
            <family val="2"/>
          </rPr>
          <t>Variable Description is an explanation of what the Variable represents. 
Include details about the units, e.g. microgram of NH4-N per gram of oven dried soil.</t>
        </r>
      </text>
    </comment>
    <comment ref="C183"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83"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83"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83"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83"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Laura</author>
    <author>toolik</author>
  </authors>
  <commentList>
    <comment ref="L18" authorId="0">
      <text>
        <r>
          <rPr>
            <b/>
            <sz val="9"/>
            <color indexed="81"/>
            <rFont val="Tahoma"/>
            <family val="2"/>
          </rPr>
          <t>Laura:</t>
        </r>
        <r>
          <rPr>
            <sz val="9"/>
            <color indexed="81"/>
            <rFont val="Tahoma"/>
            <family val="2"/>
          </rPr>
          <t xml:space="preserve">
Taken on 13Aug - plants had begun to senesce
</t>
        </r>
      </text>
    </comment>
    <comment ref="J19" authorId="1">
      <text>
        <r>
          <rPr>
            <b/>
            <sz val="9"/>
            <color indexed="81"/>
            <rFont val="Tahoma"/>
            <family val="2"/>
          </rPr>
          <t>toolik:</t>
        </r>
        <r>
          <rPr>
            <sz val="9"/>
            <color indexed="81"/>
            <rFont val="Tahoma"/>
            <family val="2"/>
          </rPr>
          <t xml:space="preserve">
Plants had begun to senesce; not representative of peak season.</t>
        </r>
      </text>
    </comment>
    <comment ref="L19" authorId="1">
      <text>
        <r>
          <rPr>
            <b/>
            <sz val="9"/>
            <color indexed="81"/>
            <rFont val="Tahoma"/>
            <family val="2"/>
          </rPr>
          <t>toolik:</t>
        </r>
        <r>
          <rPr>
            <sz val="9"/>
            <color indexed="81"/>
            <rFont val="Tahoma"/>
            <family val="2"/>
          </rPr>
          <t xml:space="preserve">
Plants had begun to senesce</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<sst xmlns="http://schemas.openxmlformats.org/spreadsheetml/2006/main" count="6017" uniqueCount="1733">
  <si>
    <t>PF007</t>
  </si>
  <si>
    <t>PF008</t>
  </si>
  <si>
    <t>PF009</t>
  </si>
  <si>
    <t>PF010</t>
  </si>
  <si>
    <t>PF011</t>
  </si>
  <si>
    <t>PF012</t>
  </si>
  <si>
    <t>PF013</t>
  </si>
  <si>
    <t>PF014</t>
  </si>
  <si>
    <t>PF015</t>
  </si>
  <si>
    <t>PF016</t>
  </si>
  <si>
    <t>PF017</t>
  </si>
  <si>
    <t>PF018</t>
  </si>
  <si>
    <t>PF019</t>
  </si>
  <si>
    <t>PF020</t>
  </si>
  <si>
    <t>DD-MMM-YY</t>
  </si>
  <si>
    <t>Upland</t>
  </si>
  <si>
    <t>BET</t>
  </si>
  <si>
    <t>SAL-P</t>
  </si>
  <si>
    <t>Fert</t>
  </si>
  <si>
    <t>None</t>
  </si>
  <si>
    <t>Toolik</t>
  </si>
  <si>
    <t>PF002</t>
  </si>
  <si>
    <t>PF003</t>
  </si>
  <si>
    <t>PF004</t>
  </si>
  <si>
    <t>PF005</t>
  </si>
  <si>
    <t>PF006</t>
  </si>
  <si>
    <t>Outlet</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</si>
  <si>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</si>
  <si>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</si>
  <si>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</si>
  <si>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</si>
  <si>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</si>
  <si>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</si>
  <si>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</si>
  <si>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</si>
  <si>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</si>
  <si>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</si>
  <si>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</si>
  <si>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</si>
  <si>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</si>
  <si>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</si>
  <si>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</si>
  <si>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</si>
  <si>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</si>
  <si>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</si>
  <si>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</si>
  <si>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</si>
  <si>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</si>
  <si>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</si>
  <si>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</si>
  <si>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</si>
  <si>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</si>
  <si>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</si>
  <si>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</si>
  <si>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</si>
  <si>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</si>
  <si>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</si>
  <si>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</si>
  <si>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</si>
  <si>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</si>
  <si>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</si>
  <si>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</si>
  <si>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</si>
  <si>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</si>
  <si>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</si>
  <si>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</si>
  <si>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</si>
  <si>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</si>
  <si>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</si>
  <si>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</si>
  <si>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</si>
  <si>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</si>
  <si>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</si>
  <si>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</si>
  <si>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</si>
  <si>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</si>
  <si>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</si>
  <si>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</si>
  <si>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</si>
  <si>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</si>
  <si>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</si>
  <si>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</si>
  <si>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</si>
  <si>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</si>
  <si>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</si>
  <si>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</si>
  <si>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</si>
  <si>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</si>
  <si>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</si>
  <si>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</si>
  <si>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</si>
  <si>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</si>
  <si>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MANY OTHERS</t>
  </si>
  <si>
    <t>Availability Status</t>
  </si>
  <si>
    <t>Quality Control Information</t>
  </si>
  <si>
    <t>Maintenance Description</t>
  </si>
  <si>
    <t>Log of Changes:</t>
  </si>
  <si>
    <t>Note you can add more sites.</t>
  </si>
  <si>
    <t xml:space="preserve">RESEARCH LOCATION: </t>
  </si>
  <si>
    <t xml:space="preserve">Geographic Description </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</si>
  <si>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</si>
  <si>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</si>
  <si>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</si>
  <si>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</si>
  <si>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</si>
  <si>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</si>
  <si>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</si>
  <si>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</si>
  <si>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</si>
  <si>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</si>
  <si>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</si>
  <si>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</si>
  <si>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Salix pulchra; Salix glauca</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</si>
  <si>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</si>
  <si>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</si>
  <si>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</si>
  <si>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</si>
  <si>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</si>
  <si>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</si>
  <si>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</si>
  <si>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</si>
  <si>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</si>
  <si>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</si>
  <si>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</si>
  <si>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</si>
  <si>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</si>
  <si>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</si>
  <si>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</si>
  <si>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</si>
  <si>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</si>
  <si>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</si>
  <si>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</si>
  <si>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</si>
  <si>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</si>
  <si>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</si>
  <si>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</si>
  <si>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</si>
  <si>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</si>
  <si>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</si>
  <si>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</si>
  <si>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</si>
  <si>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DATE </t>
  </si>
  <si>
    <t xml:space="preserve"> date of measurement </t>
  </si>
  <si>
    <t>interval</t>
  </si>
  <si>
    <t>number</t>
  </si>
  <si>
    <t>amperePerMeter</t>
  </si>
  <si>
    <t xml:space="preserve">SITE </t>
  </si>
  <si>
    <t>nominal</t>
  </si>
  <si>
    <t>amperePerMeterSquared</t>
  </si>
  <si>
    <t xml:space="preserve">GROUP  </t>
  </si>
  <si>
    <t>Measurement location in relation to Toolik Lake LTER Shrub plots; In vicinity of Block1 = Upland, IVO Block 2 = Outlet</t>
  </si>
  <si>
    <t>ordinal</t>
  </si>
  <si>
    <t>angstrom</t>
  </si>
  <si>
    <t xml:space="preserve">PLOT </t>
  </si>
  <si>
    <t xml:space="preserve"> Individual plot identifier </t>
  </si>
  <si>
    <t xml:space="preserve">Lab Crew </t>
  </si>
  <si>
    <t>ratio</t>
  </si>
  <si>
    <t>atmosphere</t>
  </si>
  <si>
    <t xml:space="preserve"> control or fertilized annually (with N and P) </t>
  </si>
  <si>
    <t>bar</t>
  </si>
  <si>
    <t>becquerel</t>
  </si>
  <si>
    <t xml:space="preserve">PLOT SIZE </t>
  </si>
  <si>
    <t>becquerelPerGram</t>
  </si>
  <si>
    <t>becquerelPerMilligram</t>
  </si>
  <si>
    <t>becquerelPerMilliliter</t>
  </si>
  <si>
    <t>percent</t>
  </si>
  <si>
    <t>calorie</t>
  </si>
  <si>
    <t xml:space="preserve"> Dominant canopy vegetation</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</si>
  <si>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</si>
  <si>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</si>
  <si>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</si>
  <si>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</si>
  <si>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</si>
  <si>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</si>
  <si>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</si>
  <si>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</si>
  <si>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</si>
  <si>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</si>
  <si>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</si>
  <si>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</si>
  <si>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</si>
  <si>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</si>
  <si>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</si>
  <si>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</si>
  <si>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</si>
  <si>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</si>
  <si>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</si>
  <si>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</si>
  <si>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</si>
  <si>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</si>
  <si>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</si>
  <si>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</si>
  <si>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</si>
  <si>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</si>
  <si>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</si>
  <si>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</si>
  <si>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</si>
  <si>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</si>
  <si>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</si>
  <si>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</si>
  <si>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</si>
  <si>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</si>
  <si>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</si>
  <si>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</si>
  <si>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</si>
  <si>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</si>
  <si>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</si>
  <si>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</si>
  <si>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</si>
  <si>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</si>
  <si>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</si>
  <si>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</si>
  <si>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</si>
  <si>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</si>
  <si>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</si>
  <si>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</si>
  <si>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</si>
  <si>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</si>
  <si>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</si>
  <si>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</si>
  <si>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</si>
  <si>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</si>
  <si>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</si>
  <si>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</si>
  <si>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</si>
  <si>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</si>
  <si>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</si>
  <si>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</si>
  <si>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</si>
  <si>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</si>
  <si>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</si>
  <si>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</si>
  <si>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</si>
  <si>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</si>
  <si>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</si>
  <si>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</si>
  <si>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</si>
  <si>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</si>
  <si>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</si>
  <si>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</si>
  <si>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</si>
  <si>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</si>
  <si>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</si>
  <si>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</si>
  <si>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</si>
  <si>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</si>
  <si>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</si>
  <si>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</si>
  <si>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</si>
  <si>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</si>
  <si>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</si>
  <si>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</si>
  <si>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</si>
  <si>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</si>
  <si>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</si>
  <si>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</si>
  <si>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</si>
  <si>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</si>
  <si>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</si>
  <si>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</si>
  <si>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</si>
  <si>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</si>
  <si>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</si>
  <si>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</si>
  <si>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</si>
  <si>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</si>
  <si>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</si>
  <si>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</si>
  <si>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</si>
  <si>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</si>
  <si>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</si>
  <si>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</si>
  <si>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</si>
  <si>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</si>
  <si>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</si>
  <si>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</si>
  <si>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</si>
  <si>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</si>
  <si>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</si>
  <si>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</si>
  <si>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</si>
  <si>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</si>
  <si>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</si>
  <si>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</si>
  <si>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</si>
  <si>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</si>
  <si>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</si>
  <si>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</si>
  <si>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</si>
  <si>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</si>
  <si>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</si>
  <si>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</si>
  <si>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</si>
  <si>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</si>
  <si>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</si>
  <si>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</si>
  <si>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</si>
  <si>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</si>
  <si>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</si>
  <si>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</si>
  <si>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</si>
  <si>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</si>
  <si>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</si>
  <si>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</si>
  <si>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</si>
  <si>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</si>
  <si>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</si>
  <si>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</si>
  <si>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</si>
  <si>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</si>
  <si>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</si>
  <si>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</si>
  <si>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</si>
  <si>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</si>
  <si>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</si>
  <si>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</si>
  <si>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</si>
  <si>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</si>
  <si>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</si>
  <si>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</si>
  <si>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</si>
  <si>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</si>
  <si>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</si>
  <si>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</si>
  <si>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</si>
  <si>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</si>
  <si>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</si>
  <si>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</si>
  <si>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</si>
  <si>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</si>
  <si>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</si>
  <si>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</si>
  <si>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</si>
  <si>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</si>
  <si>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</si>
  <si>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</si>
  <si>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</si>
  <si>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</si>
  <si>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</si>
  <si>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</si>
  <si>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</si>
  <si>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</si>
  <si>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</si>
  <si>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</si>
  <si>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</si>
  <si>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</si>
  <si>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</si>
  <si>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</si>
  <si>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</si>
  <si>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</si>
  <si>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</si>
  <si>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</si>
  <si>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</si>
  <si>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</si>
  <si>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</si>
  <si>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</si>
  <si>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</si>
  <si>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</si>
  <si>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</si>
  <si>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</si>
  <si>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1m x 1m</t>
  </si>
  <si>
    <t xml:space="preserve">TREATMENT </t>
  </si>
  <si>
    <t xml:space="preserve"> 1m x 1m point frame size </t>
  </si>
  <si>
    <t xml:space="preserve">DOMINANT VEGETATION </t>
  </si>
  <si>
    <t>NDVI/Unispec-LAI Data taken after plants had begun to senesce; not thought to be accurate reflections of peak growing season or reasonable approximations of LAI</t>
  </si>
  <si>
    <t xml:space="preserve">MAX CANOPY HT </t>
  </si>
  <si>
    <t xml:space="preserve"> Average height from soil of the five tallest shoots in the plot sampled </t>
  </si>
  <si>
    <t xml:space="preserve">AVG NDVI </t>
  </si>
  <si>
    <t xml:space="preserve"> Average of nine normalized difference of vegetation index (NDVI) values - calculations below </t>
  </si>
  <si>
    <t xml:space="preserve">STDEV NDVI </t>
  </si>
  <si>
    <t xml:space="preserve"> Standard deviation of the NDVI measurements (n = 9) </t>
  </si>
  <si>
    <t xml:space="preserve">AVG LAI FROM NDVI </t>
  </si>
  <si>
    <t xml:space="preserve">STDEV LAI FROM NDVI </t>
  </si>
  <si>
    <t xml:space="preserve">SUNSCAN DIRECT LAI (5CM) </t>
  </si>
  <si>
    <t xml:space="preserve">SUNSCAN DIRECT STDEV LAI (5CM) </t>
  </si>
  <si>
    <t xml:space="preserve">SUNSCAN DIFFUSE LAI (5CM) </t>
  </si>
  <si>
    <t xml:space="preserve">SUNSCAN DIFFUSE STDEV LAI (5 CM) </t>
  </si>
  <si>
    <t xml:space="preserve">TOTAL # PIN-HITS </t>
  </si>
  <si>
    <t xml:space="preserve">NO STEM - PIN-DROP LAI TOTAL </t>
  </si>
  <si>
    <t xml:space="preserve">NO STEM - PinDrop LAI Betula nana </t>
  </si>
  <si>
    <t xml:space="preserve">NO STEM - PinDrop LAI S.glauca </t>
  </si>
  <si>
    <t xml:space="preserve">NO STEM - PinDrop LAI S. pulchra </t>
  </si>
  <si>
    <t xml:space="preserve">NO STEM - PinDrop LAI S. reticula </t>
  </si>
  <si>
    <t xml:space="preserve">NO STEM - PinDrop LAI V. uliginosum </t>
  </si>
  <si>
    <t xml:space="preserve">NO STEM - PinDrop LAI Forb spp. </t>
  </si>
  <si>
    <t xml:space="preserve">NO STEM - PinDrop LAI Gramminoid spp. </t>
  </si>
  <si>
    <t xml:space="preserve">NO STEM - PinDrop LAI Ledum palustre </t>
  </si>
  <si>
    <t xml:space="preserve">NO STEM - PinDrop LAI V. vitis </t>
  </si>
  <si>
    <t xml:space="preserve">NO STEM - PinDrop LAI P. fruiticosa </t>
  </si>
  <si>
    <t xml:space="preserve">WITH STEM - PIN-DROP LAI TOTAL </t>
  </si>
  <si>
    <t xml:space="preserve">WITH STEM - PinDrop LAI Betula nana </t>
  </si>
  <si>
    <t xml:space="preserve">WITH STEM - PinDrop LAI S.glauca </t>
  </si>
  <si>
    <t xml:space="preserve">WITH STEM - PinDrop LAI S. pulchra </t>
  </si>
  <si>
    <t xml:space="preserve">WITH STEM - PinDrop LAI S. reticula </t>
  </si>
  <si>
    <t xml:space="preserve">WITH STEM - PinDrop LAI V. uliginosum </t>
  </si>
  <si>
    <t xml:space="preserve">WITH STEM - PinDrop LAI Forb spp. </t>
  </si>
  <si>
    <t xml:space="preserve">WITH STEM - PinDrop LAI Gramminoid spp. </t>
  </si>
  <si>
    <t xml:space="preserve">WITH STEM - PinDrop LAI Ledum palustre </t>
  </si>
  <si>
    <t xml:space="preserve">WITH STEM - PinDrop LAI V. vitis </t>
  </si>
  <si>
    <t xml:space="preserve">WITH STEM - PinDrop LAI P. fruiticosa </t>
  </si>
  <si>
    <t xml:space="preserve">COMMENTS </t>
  </si>
  <si>
    <t xml:space="preserve"> Notes or data quality information </t>
  </si>
  <si>
    <t>Summary of three different Leaf Area Index (LAI) methodologies of 19 1m x 1m point frame plots sampled near the LTER Shrub plots at Toolik Field Station in AK the summer of 2012.</t>
  </si>
  <si>
    <t>This was a season-long project, though it followed similar methods to ITEX projects performed starting in 2003 that are likely to be replicated in the future for reasearch at the Toolik Field Station, AK.</t>
  </si>
  <si>
    <t>photosynthesis; shrub canopy; point frame; Delta-T SunScan; leaf area index (LAI); reflectance; NDVI</t>
  </si>
  <si>
    <t xml:space="preserve"> LAI calculated from NDVI values (square m leaf per square m ground)</t>
  </si>
  <si>
    <t xml:space="preserve"> Standard deviation of the LAI-from-NDVI values (n=9) (square m leaf per square m ground)</t>
  </si>
  <si>
    <t xml:space="preserve"> Average SunScan LAI measurement taken under direct light conditions (n=3) (square m leaf per square m ground)</t>
  </si>
  <si>
    <t xml:space="preserve"> Standard deviation of SunScan LAI measurement taken under direct light (n=3) (square m leaf per square m ground)</t>
  </si>
  <si>
    <t xml:space="preserve"> Average SunScan LAI measurement taken under diffuse light conditions (n=3) (square m leaf per square m ground)</t>
  </si>
  <si>
    <t xml:space="preserve"> Overall LAI measured by pin-drop method not including hits that were stems (square m leaf per square m ground)</t>
  </si>
  <si>
    <t xml:space="preserve"> LAI from B. nana leaves (square m leaf per square m ground)</t>
  </si>
  <si>
    <t xml:space="preserve"> LAI from S. pulchra leaves (square m leaf per square m ground)</t>
  </si>
  <si>
    <t xml:space="preserve"> LAI from S. reticulata leaves (square m leaf per square m ground)</t>
  </si>
  <si>
    <t xml:space="preserve"> LAI from V. uliginosum leaves (square m leaf per square m ground)</t>
  </si>
  <si>
    <t xml:space="preserve"> LAI from forb species' leaves (square m leaf per square m ground)</t>
  </si>
  <si>
    <t xml:space="preserve"> LAI from graminoid species' leaves (square m leaf per square m ground)</t>
  </si>
  <si>
    <t xml:space="preserve"> LAI from L. palustre leaves (square m leaf per square m ground)</t>
  </si>
  <si>
    <t xml:space="preserve"> LAI from V. vitis leaves (square m leaf per square m ground)</t>
  </si>
  <si>
    <t xml:space="preserve"> LAI from P. fruiticosa leaves (square m leaf per square m ground)</t>
  </si>
  <si>
    <t xml:space="preserve"> Overall LAI measured by pin-drop method including hits that were stems (square m leaf per square m ground)</t>
  </si>
  <si>
    <t xml:space="preserve"> LAI from B. nana leaves and stems (square m leaf per square m ground)</t>
  </si>
  <si>
    <t xml:space="preserve"> LAI from S. pulchra leaves and stems (square m leaf per square m ground)</t>
  </si>
  <si>
    <t xml:space="preserve"> LAI from S. reticulata leaves and stems (square m leaf per square m ground)</t>
  </si>
  <si>
    <t xml:space="preserve"> LAI from V. uliginosum leaves and stems (square m leaf per square m ground)</t>
  </si>
  <si>
    <t xml:space="preserve"> LAI from forb species' leaves and stems (square m leaf per square m ground)</t>
  </si>
  <si>
    <t xml:space="preserve"> LAI from graminoid species' leaves and stems (square m leaf per square m ground)</t>
  </si>
  <si>
    <t xml:space="preserve"> LAI from L. palustre leaves and stems (square m leaf per square m ground)</t>
  </si>
  <si>
    <t xml:space="preserve"> LAI from V. vitis leaves and stems (square m leaf per square m ground)</t>
  </si>
  <si>
    <t xml:space="preserve"> LAI from P. fruiticosa leaves and stems (square m leaf per square m ground)</t>
  </si>
  <si>
    <t>2012_GS_ITEX_PF_LAISummary</t>
  </si>
  <si>
    <t>Location Name</t>
  </si>
  <si>
    <t>LTER Shrub Block 1</t>
  </si>
  <si>
    <t>LTER Shrub Block 2</t>
  </si>
  <si>
    <t xml:space="preserve"> Total number of leaves and stems hit by the point frame pin for a given plot </t>
  </si>
  <si>
    <t>http://ecosystems.mbl.edu/ARC/meta_template.php?FileName=./terrest/tracegas/xlsfiles/2012_GS_ITEX_PF_LAISummary.html</t>
  </si>
  <si>
    <t>http://metacat.lternet.edu/das/dataAccessServlet?docid=knb-lter-arc.10146&amp;amp;urlTail=terrest/tracegas/data/2012_GS_ITEX_PF_LAISummary.csv</t>
  </si>
  <si>
    <t>747 m</t>
  </si>
  <si>
    <t>730 m</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</si>
  <si>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</si>
  <si>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</si>
  <si>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</si>
  <si>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</si>
  <si>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</si>
  <si>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</si>
  <si>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</si>
  <si>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</si>
  <si>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</si>
  <si>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</si>
  <si>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</si>
  <si>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</si>
  <si>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</si>
  <si>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</si>
  <si>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</si>
  <si>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</si>
  <si>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</si>
  <si>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</si>
  <si>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</si>
  <si>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</si>
  <si>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</si>
  <si>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</si>
  <si>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</si>
  <si>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</si>
  <si>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</si>
  <si>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</si>
  <si>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</si>
  <si>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</si>
  <si>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</si>
  <si>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</si>
  <si>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</si>
  <si>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</si>
  <si>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</si>
  <si>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</si>
  <si>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</si>
  <si>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</si>
  <si>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</si>
  <si>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</si>
  <si>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</si>
  <si>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</si>
  <si>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</si>
  <si>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</si>
  <si>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</si>
  <si>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</si>
  <si>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</si>
  <si>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</si>
  <si>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</si>
  <si>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</si>
  <si>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</si>
  <si>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</si>
  <si>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</si>
  <si>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</si>
  <si>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</si>
  <si>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</si>
  <si>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</si>
  <si>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</si>
  <si>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</si>
  <si>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</si>
  <si>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</si>
  <si>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</si>
  <si>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</si>
  <si>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</si>
  <si>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</si>
  <si>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</si>
  <si>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</si>
  <si>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</si>
  <si>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</si>
  <si>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</si>
  <si>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</si>
  <si>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</si>
  <si>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</si>
  <si>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</si>
  <si>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</si>
  <si>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</si>
  <si>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</si>
  <si>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</si>
  <si>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</si>
  <si>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</si>
  <si>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</si>
  <si>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</si>
  <si>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</si>
  <si>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</si>
  <si>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</si>
  <si>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</si>
  <si>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</si>
  <si>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</si>
  <si>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</si>
  <si>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</si>
  <si>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</si>
  <si>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</si>
  <si>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</si>
  <si>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</si>
  <si>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</si>
  <si>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</si>
  <si>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</si>
  <si>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</si>
  <si>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</si>
  <si>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</si>
  <si>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</si>
  <si>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</si>
  <si>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</si>
  <si>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</si>
  <si>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</si>
  <si>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</si>
  <si>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</si>
  <si>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</si>
  <si>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</si>
  <si>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</si>
  <si>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</si>
  <si>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</si>
  <si>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</si>
  <si>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</si>
  <si>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</si>
  <si>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</si>
  <si>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</si>
  <si>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</si>
  <si>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</si>
  <si>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</si>
  <si>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</si>
  <si>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</si>
  <si>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</si>
  <si>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</si>
  <si>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</si>
  <si>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</si>
  <si>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</si>
  <si>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</si>
  <si>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</si>
  <si>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</si>
  <si>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</si>
  <si>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</si>
  <si>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</si>
  <si>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</si>
  <si>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</si>
  <si>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</si>
  <si>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</si>
  <si>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</si>
  <si>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</si>
  <si>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</si>
  <si>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</si>
  <si>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</si>
  <si>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</si>
  <si>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</si>
  <si>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</si>
  <si>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</si>
  <si>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</si>
  <si>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</si>
  <si>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</si>
  <si>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</si>
  <si>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</si>
  <si>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</si>
  <si>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</si>
  <si>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</si>
  <si>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</si>
  <si>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</si>
  <si>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</si>
  <si>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</si>
  <si>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</si>
  <si>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</si>
  <si>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</si>
  <si>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</si>
  <si>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</si>
  <si>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</si>
  <si>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</si>
  <si>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</si>
  <si>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</si>
  <si>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</si>
  <si>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</si>
  <si>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</si>
  <si>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</si>
  <si>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</si>
  <si>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</si>
  <si>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</si>
  <si>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</si>
  <si>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</si>
  <si>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</si>
  <si>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</si>
  <si>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</si>
  <si>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</si>
  <si>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</si>
  <si>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</si>
  <si>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</si>
  <si>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</si>
  <si>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</si>
  <si>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</si>
  <si>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</si>
  <si>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</si>
  <si>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</si>
  <si>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</si>
  <si>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</si>
  <si>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</si>
  <si>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</si>
  <si>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</si>
  <si>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</si>
  <si>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</si>
  <si>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</si>
  <si>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</si>
  <si>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</si>
  <si>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</si>
  <si>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</si>
  <si>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</si>
  <si>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</si>
  <si>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</si>
  <si>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</si>
  <si>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</si>
  <si>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</si>
  <si>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</si>
  <si>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</si>
  <si>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</si>
  <si>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</si>
  <si>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</si>
  <si>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</si>
  <si>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</si>
  <si>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</si>
  <si>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</si>
  <si>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</si>
  <si>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</si>
  <si>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</si>
  <si>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</si>
  <si>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</si>
  <si>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</si>
  <si>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</si>
  <si>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</si>
  <si>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</si>
  <si>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</si>
  <si>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</si>
  <si>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</si>
  <si>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</si>
  <si>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</si>
  <si>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</si>
  <si>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</si>
  <si>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</si>
  <si>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</si>
  <si>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</si>
  <si>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</si>
  <si>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</si>
  <si>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</si>
  <si>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</si>
  <si>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</si>
  <si>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</si>
  <si>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</si>
  <si>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</si>
  <si>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</si>
  <si>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</si>
  <si>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</si>
  <si>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</si>
  <si>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</si>
  <si>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</si>
  <si>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</si>
  <si>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</si>
  <si>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</si>
  <si>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</si>
  <si>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</si>
  <si>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</si>
  <si>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</si>
  <si>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</si>
  <si>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</si>
  <si>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</si>
  <si>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</si>
  <si>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</si>
  <si>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</si>
  <si>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</si>
  <si>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</si>
  <si>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</si>
  <si>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</si>
  <si>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</si>
  <si>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</si>
  <si>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</si>
  <si>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</si>
  <si>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</si>
  <si>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</si>
  <si>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</si>
  <si>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</si>
  <si>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</si>
  <si>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</si>
  <si>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</si>
  <si>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</si>
  <si>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</si>
  <si>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</si>
  <si>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</si>
  <si>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</si>
  <si>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</si>
  <si>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</si>
  <si>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</si>
  <si>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</si>
  <si>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</si>
  <si>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</si>
  <si>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</si>
  <si>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</si>
  <si>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</si>
  <si>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</si>
  <si>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</si>
  <si>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</si>
  <si>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</si>
  <si>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</si>
  <si>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</si>
  <si>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</si>
  <si>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</si>
  <si>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</si>
  <si>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</si>
  <si>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</si>
  <si>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</si>
  <si>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</si>
  <si>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</si>
  <si>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</si>
  <si>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</si>
  <si>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</si>
  <si>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</si>
  <si>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</si>
  <si>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</si>
  <si>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</si>
  <si>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</si>
  <si>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</si>
  <si>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</si>
  <si>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</si>
  <si>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</si>
  <si>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</si>
  <si>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</si>
  <si>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</si>
  <si>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</si>
  <si>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</si>
  <si>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</si>
  <si>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</si>
  <si>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</si>
  <si>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</si>
  <si>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</si>
  <si>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</si>
  <si>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</si>
  <si>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</si>
  <si>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</si>
  <si>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</si>
  <si>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</si>
  <si>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</si>
  <si>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</si>
  <si>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</si>
  <si>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</si>
  <si>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</si>
  <si>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</si>
  <si>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</si>
  <si>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</si>
  <si>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</si>
  <si>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</si>
  <si>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</si>
  <si>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</si>
  <si>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</si>
  <si>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</si>
  <si>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</si>
  <si>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</si>
  <si>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</si>
  <si>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</si>
  <si>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</si>
  <si>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</si>
  <si>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</si>
  <si>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</si>
  <si>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</si>
  <si>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</si>
  <si>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</si>
  <si>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</si>
  <si>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</si>
  <si>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</si>
  <si>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</si>
  <si>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</si>
  <si>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</si>
  <si>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</si>
  <si>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</si>
  <si>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</si>
  <si>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</si>
  <si>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</si>
  <si>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</si>
  <si>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</si>
  <si>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</si>
  <si>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</si>
  <si>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</si>
  <si>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</si>
  <si>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</si>
  <si>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</si>
  <si>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</si>
  <si>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</si>
  <si>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</si>
  <si>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</si>
  <si>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</si>
  <si>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</si>
  <si>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</si>
  <si>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</si>
  <si>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</si>
  <si>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</si>
  <si>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</si>
  <si>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</si>
  <si>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</si>
  <si>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</si>
  <si>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</si>
  <si>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</si>
  <si>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</si>
  <si>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</si>
  <si>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</si>
  <si>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</si>
  <si>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</si>
  <si>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</si>
  <si>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</si>
  <si>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</si>
  <si>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</si>
  <si>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</si>
  <si>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</si>
  <si>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</si>
  <si>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</si>
  <si>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</si>
  <si>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</si>
  <si>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</si>
  <si>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</si>
  <si>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</si>
  <si>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</si>
  <si>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</si>
  <si>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</si>
  <si>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</si>
  <si>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</si>
  <si>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</si>
  <si>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</si>
  <si>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</si>
  <si>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</si>
  <si>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</si>
  <si>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</si>
  <si>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</si>
  <si>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</si>
  <si>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</si>
  <si>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</si>
  <si>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</si>
  <si>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</si>
  <si>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</si>
  <si>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</si>
  <si>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</si>
  <si>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</si>
  <si>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</si>
  <si>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</si>
  <si>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</si>
  <si>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</si>
  <si>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</si>
  <si>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</si>
  <si>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</si>
  <si>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</si>
  <si>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</si>
  <si>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</si>
  <si>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</si>
  <si>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</si>
  <si>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</si>
  <si>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</si>
  <si>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</si>
  <si>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</si>
  <si>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</si>
  <si>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</si>
  <si>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</si>
  <si>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</si>
  <si>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</si>
  <si>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</si>
  <si>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</si>
  <si>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</si>
  <si>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</si>
  <si>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</si>
  <si>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</si>
  <si>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</si>
  <si>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</si>
  <si>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</si>
  <si>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</si>
  <si>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</si>
  <si>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</si>
  <si>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</si>
  <si>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</si>
  <si>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</si>
  <si>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</si>
  <si>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</si>
  <si>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</si>
  <si>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</si>
  <si>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</si>
  <si>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</si>
  <si>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</si>
  <si>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</si>
  <si>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</si>
  <si>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</si>
  <si>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</si>
  <si>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</si>
  <si>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</si>
  <si>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</si>
  <si>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</si>
  <si>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</si>
  <si>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</si>
  <si>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</si>
  <si>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</si>
  <si>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</si>
  <si>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</si>
  <si>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</si>
  <si>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</si>
  <si>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</si>
  <si>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</si>
  <si>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</si>
  <si>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</si>
  <si>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</si>
  <si>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</si>
  <si>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</si>
  <si>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</si>
  <si>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</si>
  <si>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</si>
  <si>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</si>
  <si>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</si>
  <si>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</si>
  <si>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</si>
  <si>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</si>
  <si>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</si>
  <si>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</si>
  <si>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</si>
  <si>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</si>
  <si>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</si>
  <si>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</si>
  <si>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</si>
  <si>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</si>
  <si>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</si>
  <si>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</si>
  <si>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</si>
  <si>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</si>
  <si>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</si>
  <si>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</si>
  <si>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</si>
  <si>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</si>
  <si>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</si>
  <si>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</si>
  <si>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</si>
  <si>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</si>
  <si>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</si>
  <si>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</si>
  <si>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</si>
  <si>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</si>
  <si>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</si>
  <si>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</si>
  <si>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</si>
  <si>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</si>
  <si>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</si>
  <si>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</si>
  <si>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</si>
  <si>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</si>
  <si>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</si>
  <si>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</si>
  <si>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</si>
  <si>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</si>
  <si>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</si>
  <si>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</si>
  <si>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</si>
  <si>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</si>
  <si>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</si>
  <si>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</si>
  <si>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</si>
  <si>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</si>
  <si>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</si>
  <si>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</si>
  <si>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</si>
  <si>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</si>
  <si>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</si>
  <si>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</si>
  <si>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</si>
  <si>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</si>
  <si>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</si>
  <si>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</si>
  <si>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</si>
  <si>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</si>
  <si>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</si>
  <si>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</si>
  <si>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</si>
  <si>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</si>
  <si>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</si>
  <si>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</si>
  <si>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</si>
  <si>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</si>
  <si>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</si>
  <si>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</si>
  <si>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</si>
  <si>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</si>
  <si>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</si>
  <si>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</si>
  <si>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</si>
  <si>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</si>
  <si>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</si>
  <si>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</si>
  <si>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</si>
  <si>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</si>
  <si>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</si>
  <si>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</si>
  <si>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</si>
  <si>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</si>
  <si>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</si>
  <si>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</si>
  <si>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</si>
  <si>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</si>
  <si>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</si>
  <si>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</si>
  <si>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</si>
  <si>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</si>
  <si>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</si>
  <si>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</si>
  <si>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</si>
  <si>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</si>
  <si>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</si>
  <si>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</si>
  <si>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</si>
  <si>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</si>
  <si>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</si>
  <si>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</si>
  <si>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</si>
  <si>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</si>
  <si>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</si>
  <si>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</si>
  <si>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</si>
  <si>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</si>
  <si>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</si>
  <si>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</si>
  <si>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</si>
  <si>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</si>
  <si>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</si>
  <si>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</si>
  <si>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</si>
  <si>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</si>
  <si>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</si>
  <si>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</si>
  <si>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</si>
  <si>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</si>
  <si>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</si>
  <si>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</si>
  <si>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</si>
  <si>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</si>
  <si>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</si>
  <si>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</si>
  <si>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</si>
  <si>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</si>
  <si>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</si>
  <si>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</si>
  <si>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</si>
  <si>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</si>
  <si>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</si>
  <si>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</si>
  <si>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</si>
  <si>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</si>
  <si>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</si>
  <si>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</si>
  <si>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</si>
  <si>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</si>
  <si>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</si>
  <si>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</si>
  <si>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</si>
  <si>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</si>
  <si>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</si>
  <si>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</si>
  <si>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</si>
  <si>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</si>
  <si>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</si>
  <si>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</si>
  <si>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</si>
  <si>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</si>
  <si>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</si>
  <si>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</si>
  <si>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</si>
  <si>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</si>
  <si>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</si>
  <si>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</si>
  <si>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</si>
  <si>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</si>
  <si>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</si>
  <si>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</si>
  <si>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</si>
  <si>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</si>
  <si>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</si>
  <si>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</si>
  <si>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</si>
  <si>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</si>
  <si>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</si>
  <si>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</si>
  <si>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</si>
  <si>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</si>
  <si>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</si>
  <si>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</si>
  <si>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</si>
  <si>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</si>
  <si>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</si>
  <si>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</si>
  <si>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</si>
  <si>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</si>
  <si>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</si>
  <si>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</si>
  <si>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</si>
  <si>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</si>
  <si>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</si>
  <si>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</si>
  <si>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</si>
  <si>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</si>
  <si>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</si>
  <si>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</si>
  <si>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</si>
  <si>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</si>
  <si>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</si>
  <si>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</si>
  <si>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</si>
  <si>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</si>
  <si>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</si>
  <si>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</si>
  <si>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</si>
  <si>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</si>
  <si>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</si>
  <si>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</si>
  <si>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</si>
  <si>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</si>
  <si>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</si>
  <si>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</si>
  <si>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</si>
  <si>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</si>
  <si>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</si>
  <si>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</si>
  <si>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</si>
  <si>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</si>
  <si>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</si>
  <si>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</si>
  <si>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</si>
  <si>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</si>
  <si>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</si>
  <si>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</si>
  <si>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</si>
  <si>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</si>
  <si>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</si>
  <si>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</si>
  <si>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</si>
  <si>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</si>
  <si>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</si>
  <si>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</si>
  <si>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</si>
  <si>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</si>
  <si>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</si>
  <si>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</si>
  <si>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</si>
  <si>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</si>
  <si>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</si>
  <si>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</si>
  <si>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</si>
  <si>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</si>
  <si>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</si>
  <si>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</si>
  <si>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</si>
  <si>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</si>
  <si>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</si>
  <si>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</si>
  <si>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</si>
  <si>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</si>
  <si>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</si>
  <si>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</si>
  <si>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</si>
  <si>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</si>
  <si>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</si>
  <si>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</si>
  <si>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</si>
  <si>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</si>
  <si>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</si>
  <si>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</si>
  <si>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</si>
  <si>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</si>
  <si>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</si>
  <si>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</si>
  <si>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</si>
  <si>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</si>
  <si>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</si>
  <si>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</si>
  <si>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</si>
  <si>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</si>
  <si>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</si>
  <si>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</si>
  <si>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</si>
  <si>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</si>
  <si>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</si>
  <si>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</si>
  <si>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</si>
  <si>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</si>
  <si>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</si>
  <si>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</si>
  <si>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</si>
  <si>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</si>
  <si>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</si>
  <si>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</si>
  <si>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</si>
  <si>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</si>
  <si>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</si>
  <si>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</si>
  <si>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</si>
  <si>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</si>
  <si>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</si>
  <si>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</si>
  <si>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</si>
  <si>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</si>
  <si>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</si>
  <si>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</si>
  <si>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</si>
  <si>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</si>
  <si>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</si>
  <si>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</si>
  <si>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</si>
  <si>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</si>
  <si>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</si>
  <si>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</si>
  <si>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</si>
  <si>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</si>
  <si>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</si>
  <si>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</si>
  <si>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</si>
  <si>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</si>
  <si>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</si>
  <si>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</si>
  <si>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</si>
  <si>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</si>
  <si>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</si>
  <si>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</si>
  <si>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</si>
  <si>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</si>
  <si>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</si>
  <si>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</si>
  <si>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</si>
  <si>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</si>
  <si>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</si>
  <si>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</si>
  <si>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</si>
  <si>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</si>
  <si>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</si>
  <si>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</si>
  <si>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</si>
  <si>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</si>
  <si>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</si>
  <si>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</si>
  <si>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</si>
  <si>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</si>
  <si>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</si>
  <si>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</si>
  <si>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</si>
  <si>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</si>
  <si>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</si>
  <si>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</si>
  <si>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</si>
  <si>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</si>
  <si>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</si>
  <si>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</si>
  <si>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</si>
  <si>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</si>
  <si>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</si>
  <si>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</si>
  <si>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</si>
  <si>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</si>
  <si>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</si>
  <si>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</si>
  <si>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</si>
  <si>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</si>
  <si>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</si>
  <si>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</si>
  <si>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</si>
  <si>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</si>
  <si>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</si>
  <si>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</si>
  <si>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</si>
  <si>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</si>
  <si>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</si>
  <si>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</si>
  <si>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</si>
  <si>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</si>
  <si>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</si>
  <si>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</si>
  <si>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</si>
  <si>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</si>
  <si>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</si>
  <si>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</si>
  <si>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</si>
  <si>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</si>
  <si>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</si>
  <si>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</si>
  <si>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</si>
  <si>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</si>
  <si>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</si>
  <si>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</si>
  <si>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</si>
  <si>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</si>
  <si>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</si>
  <si>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</si>
  <si>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</si>
  <si>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</si>
  <si>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</si>
  <si>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</si>
  <si>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</si>
  <si>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</si>
  <si>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</si>
  <si>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</si>
  <si>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</si>
  <si>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</si>
  <si>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</si>
  <si>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</si>
  <si>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</si>
  <si>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</si>
  <si>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</si>
  <si>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</si>
  <si>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</si>
  <si>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</si>
  <si>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</si>
  <si>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</si>
  <si>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</si>
  <si>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</si>
  <si>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</si>
  <si>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</si>
  <si>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</si>
  <si>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</si>
  <si>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</si>
  <si>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</si>
  <si>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</si>
  <si>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</si>
  <si>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</si>
  <si>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</si>
  <si>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</si>
  <si>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</si>
  <si>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</si>
  <si>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</si>
  <si>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</si>
  <si>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</si>
  <si>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</si>
  <si>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</si>
  <si>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</si>
  <si>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</si>
  <si>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</si>
  <si>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</si>
  <si>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</si>
  <si>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</si>
  <si>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</si>
  <si>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</si>
  <si>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</si>
  <si>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</si>
  <si>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</si>
  <si>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</si>
  <si>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</si>
  <si>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</si>
  <si>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</si>
  <si>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</si>
  <si>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</si>
  <si>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</si>
  <si>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</si>
  <si>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</si>
  <si>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</si>
  <si>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</si>
  <si>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</si>
  <si>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</si>
  <si>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</si>
  <si>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</si>
  <si>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</si>
  <si>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</si>
  <si>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</si>
  <si>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</si>
  <si>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</si>
  <si>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</si>
  <si>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</si>
  <si>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</si>
  <si>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</si>
  <si>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</si>
  <si>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</si>
  <si>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</si>
  <si>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</si>
  <si>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</si>
  <si>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</si>
  <si>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</si>
  <si>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</si>
  <si>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</si>
  <si>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</si>
  <si>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</si>
  <si>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</si>
  <si>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</si>
  <si>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</si>
  <si>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</si>
  <si>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</si>
  <si>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</si>
  <si>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</si>
  <si>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</si>
  <si>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</si>
  <si>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</si>
  <si>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</si>
  <si>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</si>
  <si>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</si>
  <si>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</si>
  <si>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</si>
  <si>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</si>
  <si>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</si>
  <si>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</si>
  <si>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</si>
  <si>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</si>
  <si>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</si>
  <si>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</si>
  <si>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</si>
  <si>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</si>
  <si>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</si>
  <si>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</si>
  <si>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</si>
  <si>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</si>
  <si>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</si>
  <si>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</si>
  <si>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</si>
  <si>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</si>
  <si>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</si>
  <si>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</si>
  <si>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</si>
  <si>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</si>
  <si>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</si>
  <si>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</si>
  <si>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</si>
  <si>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</si>
  <si>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</si>
  <si>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</si>
  <si>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</si>
  <si>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</si>
  <si>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</si>
  <si>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</si>
  <si>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</si>
  <si>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</si>
  <si>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</si>
  <si>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</si>
  <si>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</si>
  <si>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</si>
  <si>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</si>
  <si>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</si>
  <si>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</si>
  <si>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</si>
  <si>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</si>
  <si>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</si>
  <si>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</si>
  <si>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</si>
  <si>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</si>
  <si>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</si>
  <si>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</si>
  <si>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</si>
  <si>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</si>
  <si>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</si>
  <si>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</si>
  <si>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</si>
  <si>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</si>
  <si>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</si>
  <si>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</si>
  <si>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</si>
  <si>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</si>
  <si>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</si>
  <si>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</si>
  <si>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</si>
  <si>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</si>
  <si>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</si>
  <si>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</si>
  <si>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</si>
  <si>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</si>
  <si>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</si>
  <si>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</si>
  <si>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</si>
  <si>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</si>
  <si>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</si>
  <si>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</si>
  <si>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</si>
  <si>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</si>
  <si>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</si>
  <si>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</si>
  <si>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</si>
  <si>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</si>
  <si>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</si>
  <si>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</si>
  <si>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</si>
  <si>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</si>
  <si>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</si>
  <si>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</si>
  <si>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</si>
  <si>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</si>
  <si>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</si>
  <si>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</si>
  <si>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</si>
  <si>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</si>
  <si>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</si>
  <si>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</si>
  <si>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</si>
  <si>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</si>
  <si>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</si>
  <si>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</si>
  <si>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</si>
  <si>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</si>
  <si>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</si>
  <si>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</si>
  <si>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</si>
  <si>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</si>
  <si>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</si>
  <si>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</si>
  <si>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</si>
  <si>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</si>
  <si>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</si>
  <si>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</si>
  <si>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</si>
  <si>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</si>
  <si>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</si>
  <si>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</si>
  <si>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</si>
  <si>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</si>
  <si>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</si>
  <si>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</si>
  <si>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</si>
  <si>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</si>
  <si>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</si>
  <si>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</si>
  <si>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</si>
  <si>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</si>
  <si>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</si>
  <si>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</si>
  <si>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</si>
  <si>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</si>
  <si>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</si>
  <si>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</si>
  <si>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</si>
  <si>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</si>
  <si>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</si>
  <si>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</si>
  <si>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</si>
  <si>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</si>
  <si>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</si>
  <si>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</si>
  <si>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</si>
  <si>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</si>
  <si>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</si>
  <si>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</si>
  <si>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</si>
  <si>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</si>
  <si>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</si>
  <si>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</si>
  <si>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</si>
  <si>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</si>
  <si>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</si>
  <si>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</si>
  <si>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</si>
  <si>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</si>
  <si>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</si>
  <si>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</si>
  <si>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</si>
  <si>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</si>
  <si>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</si>
  <si>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</si>
  <si>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</si>
  <si>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</si>
  <si>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</si>
  <si>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</si>
  <si>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</si>
  <si>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</si>
  <si>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</si>
  <si>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</si>
  <si>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</si>
  <si>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</si>
  <si>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</si>
  <si>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</si>
  <si>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</si>
  <si>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</si>
  <si>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</si>
  <si>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</si>
  <si>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</si>
  <si>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</si>
  <si>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</si>
  <si>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</si>
  <si>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</si>
  <si>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</si>
  <si>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</si>
  <si>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</si>
  <si>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</si>
  <si>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</si>
  <si>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</si>
  <si>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</si>
  <si>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</si>
  <si>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</si>
  <si>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</si>
  <si>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</si>
  <si>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</si>
  <si>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</si>
  <si>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</si>
  <si>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</si>
  <si>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</si>
  <si>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</si>
  <si>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</si>
  <si>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</si>
  <si>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</si>
  <si>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</si>
  <si>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</si>
  <si>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</si>
  <si>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</si>
  <si>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</si>
  <si>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</si>
  <si>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</si>
  <si>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</si>
  <si>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</si>
  <si>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</si>
  <si>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</si>
  <si>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</si>
  <si>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</si>
  <si>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</si>
  <si>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</si>
  <si>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</si>
  <si>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</si>
  <si>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</si>
  <si>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</si>
  <si>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</si>
  <si>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</si>
  <si>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</si>
  <si>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</si>
  <si>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</si>
  <si>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</si>
  <si>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</si>
  <si>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</si>
  <si>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</si>
  <si>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</si>
  <si>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</si>
  <si>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</si>
  <si>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</si>
  <si>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</si>
  <si>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</si>
  <si>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</si>
  <si>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</si>
  <si>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</si>
  <si>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</si>
  <si>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</si>
  <si>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</si>
  <si>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</si>
  <si>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</si>
  <si>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</si>
  <si>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</si>
  <si>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</si>
  <si>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</si>
  <si>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</si>
  <si>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</si>
  <si>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</si>
  <si>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</si>
  <si>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</si>
  <si>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</si>
  <si>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</si>
  <si>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</si>
  <si>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</si>
  <si>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</si>
  <si>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</si>
  <si>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</si>
  <si>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</si>
  <si>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</si>
  <si>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</si>
  <si>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</si>
  <si>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</si>
  <si>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</si>
  <si>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</si>
  <si>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</si>
  <si>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</si>
  <si>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</si>
  <si>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</si>
  <si>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</si>
  <si>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</si>
  <si>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</si>
  <si>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</si>
  <si>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</si>
  <si>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</si>
  <si>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</si>
  <si>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</si>
  <si>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</si>
  <si>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</si>
  <si>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</si>
  <si>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</si>
  <si>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</si>
  <si>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</si>
  <si>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</si>
  <si>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</si>
  <si>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</si>
  <si>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</si>
  <si>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</si>
  <si>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</si>
  <si>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</si>
  <si>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</si>
  <si>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</si>
  <si>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</si>
  <si>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</si>
  <si>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</si>
  <si>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</si>
  <si>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</si>
  <si>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</si>
  <si>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</si>
  <si>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</si>
  <si>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</si>
  <si>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</si>
  <si>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</si>
  <si>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</si>
  <si>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</si>
  <si>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</si>
  <si>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</si>
  <si>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</si>
  <si>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</si>
  <si>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</si>
  <si>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</si>
  <si>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</si>
  <si>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</si>
  <si>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</si>
  <si>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Metadata updated to newer form (with sites sheet). CH April 2013. </t>
  </si>
  <si>
    <t>2012_GS_ITEX_PF_LAISummary.04</t>
  </si>
  <si>
    <t>Version 4: Corrected eml excel file name wrong extension. JimL 16May13</t>
  </si>
  <si>
    <t>knb-lter-arc.10146.4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</si>
</sst>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d\-mmm\-yyyy"/>
    <numFmt numFmtId="166" formatCode="0.00000"/>
  </numFmts>
  <fonts count="5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1"/>
      <color indexed="8"/>
      <name val="Calibri"/>
      <family val="2"/>
    </font>
    <font>
      <sz val="10"/>
      <name val="Arial"/>
      <family val="2"/>
    </font>
    <font>
      <sz val="8"/>
      <name val="Verdana"/>
      <family val="2"/>
    </font>
    <font>
      <u/>
      <sz val="11"/>
      <color theme="10"/>
      <name val="Calibri"/>
      <family val="2"/>
      <scheme val="minor"/>
    </font>
    <font>
      <u/>
      <sz val="11"/>
      <color theme="11"/>
      <name val="Calibri"/>
      <family val="2"/>
      <scheme val="minor"/>
    </font>
    <font>
      <b/>
      <i/>
      <sz val="11"/>
      <color theme="1"/>
      <name val="Calibri"/>
      <family val="2"/>
      <scheme val="minor"/>
    </font>
    <font>
      <sz val="11"/>
      <name val="Calibri"/>
      <family val="2"/>
      <scheme val="minor"/>
    </font>
    <font>
      <sz val="11"/>
      <color indexed="8"/>
      <name val="Calibri"/>
      <family val="2"/>
      <scheme val="minor"/>
    </font>
    <font>
      <sz val="9"/>
      <color indexed="81"/>
      <name val="Tahoma"/>
      <family val="2"/>
    </font>
    <font>
      <b/>
      <sz val="9"/>
      <color indexed="81"/>
      <name val="Tahoma"/>
      <family val="2"/>
    </font>
    <font>
      <sz val="11"/>
      <name val="Calibri"/>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2"/>
      <color theme="1"/>
      <name val="Calibri"/>
      <family val="2"/>
      <scheme val="minor"/>
    </font>
    <font>
      <sz val="10"/>
      <color indexed="10"/>
      <name val="Arial"/>
      <family val="2"/>
    </font>
    <font>
      <b/>
      <sz val="8"/>
      <color indexed="39"/>
      <name val="Tahoma"/>
      <family val="2"/>
    </font>
    <font>
      <b/>
      <sz val="8"/>
      <color indexed="12"/>
      <name val="Arial"/>
      <family val="2"/>
    </font>
    <font>
      <b/>
      <sz val="8"/>
      <color indexed="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22"/>
        <bgColor indexed="64"/>
      </patternFill>
    </fill>
    <fill>
      <patternFill patternType="solid">
        <fgColor rgb="FF00FFFF"/>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auto="1"/>
      </right>
      <top style="medium">
        <color indexed="64"/>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5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 fillId="8" borderId="8" applyNumberFormat="0" applyFont="0" applyAlignment="0" applyProtection="0"/>
    <xf numFmtId="0" fontId="20" fillId="0" borderId="0"/>
    <xf numFmtId="0" fontId="20" fillId="0" borderId="0"/>
    <xf numFmtId="0" fontId="22" fillId="0" borderId="0" applyNumberFormat="0" applyFill="0" applyBorder="0" applyAlignment="0" applyProtection="0"/>
    <xf numFmtId="0" fontId="23" fillId="0" borderId="0" applyNumberFormat="0" applyFill="0" applyBorder="0" applyAlignment="0" applyProtection="0"/>
    <xf numFmtId="0" fontId="1" fillId="0" borderId="0"/>
    <xf numFmtId="0" fontId="1" fillId="0" borderId="0"/>
    <xf numFmtId="0" fontId="34" fillId="0" borderId="0" applyNumberFormat="0" applyFill="0" applyBorder="0" applyAlignment="0" applyProtection="0">
      <alignment vertical="top"/>
      <protection locked="0"/>
    </xf>
    <xf numFmtId="0" fontId="1" fillId="0" borderId="0"/>
    <xf numFmtId="0" fontId="1" fillId="0" borderId="0"/>
    <xf numFmtId="0" fontId="47" fillId="0" borderId="0"/>
  </cellStyleXfs>
  <cellXfs count="134">
    <xf numFmtId="0" fontId="0" fillId="0" borderId="0" xfId="0"/>
    <xf numFmtId="0" fontId="0" fillId="0" borderId="0" xfId="0" applyFill="1" applyBorder="1"/>
    <xf numFmtId="2" fontId="25" fillId="0" borderId="0" xfId="0" applyNumberFormat="1" applyFont="1" applyFill="1" applyBorder="1"/>
    <xf numFmtId="0" fontId="16" fillId="0" borderId="0" xfId="0" applyFont="1" applyFill="1" applyBorder="1" applyAlignment="1">
      <alignment wrapText="1"/>
    </xf>
    <xf numFmtId="0" fontId="29" fillId="0" borderId="0" xfId="41" applyFont="1" applyFill="1" applyBorder="1" applyAlignment="1">
      <alignment horizontal="center"/>
    </xf>
    <xf numFmtId="0" fontId="18" fillId="0" borderId="0" xfId="41" applyFont="1" applyFill="1" applyBorder="1" applyAlignment="1">
      <alignment horizontal="center"/>
    </xf>
    <xf numFmtId="2" fontId="26" fillId="0" borderId="0" xfId="41" applyNumberFormat="1" applyFont="1" applyFill="1" applyBorder="1" applyAlignment="1">
      <alignment horizontal="center"/>
    </xf>
    <xf numFmtId="164" fontId="18" fillId="0" borderId="0" xfId="41" applyNumberFormat="1" applyFont="1" applyFill="1" applyBorder="1" applyAlignment="1">
      <alignment horizontal="center"/>
    </xf>
    <xf numFmtId="164" fontId="26" fillId="0" borderId="0" xfId="41" applyNumberFormat="1" applyFont="1" applyFill="1" applyBorder="1" applyAlignment="1">
      <alignment horizontal="center"/>
    </xf>
    <xf numFmtId="0" fontId="25" fillId="0" borderId="0" xfId="41" applyFont="1" applyFill="1" applyBorder="1" applyAlignment="1">
      <alignment horizontal="center"/>
    </xf>
    <xf numFmtId="0" fontId="26" fillId="0" borderId="0" xfId="41" applyFont="1" applyFill="1" applyBorder="1" applyAlignment="1">
      <alignment horizontal="center"/>
    </xf>
    <xf numFmtId="2" fontId="1" fillId="0" borderId="0" xfId="0" applyNumberFormat="1" applyFont="1" applyFill="1" applyBorder="1" applyAlignment="1">
      <alignment horizontal="center"/>
    </xf>
    <xf numFmtId="0" fontId="1" fillId="0" borderId="0" xfId="0" applyFont="1" applyBorder="1"/>
    <xf numFmtId="0" fontId="1" fillId="0" borderId="0" xfId="0" applyFont="1" applyFill="1" applyBorder="1"/>
    <xf numFmtId="0" fontId="26" fillId="0" borderId="0" xfId="0" applyFont="1" applyFill="1" applyBorder="1"/>
    <xf numFmtId="2" fontId="1" fillId="0" borderId="0" xfId="0" applyNumberFormat="1" applyFont="1" applyFill="1" applyBorder="1"/>
    <xf numFmtId="0" fontId="1" fillId="0" borderId="0" xfId="0" applyFont="1" applyFill="1" applyBorder="1" applyAlignment="1">
      <alignment horizontal="center"/>
    </xf>
    <xf numFmtId="0" fontId="16" fillId="0" borderId="0" xfId="0" applyFont="1" applyFill="1" applyBorder="1" applyAlignment="1">
      <alignment horizontal="center" wrapText="1"/>
    </xf>
    <xf numFmtId="0" fontId="1" fillId="0" borderId="0" xfId="0" applyNumberFormat="1" applyFont="1" applyFill="1" applyBorder="1" applyAlignment="1">
      <alignment horizontal="center" wrapText="1"/>
    </xf>
    <xf numFmtId="0" fontId="1" fillId="0" borderId="0" xfId="0" applyNumberFormat="1" applyFont="1" applyFill="1" applyBorder="1"/>
    <xf numFmtId="0" fontId="0" fillId="0" borderId="0" xfId="0" applyNumberFormat="1" applyFont="1" applyFill="1" applyBorder="1"/>
    <xf numFmtId="164" fontId="19" fillId="0" borderId="0" xfId="41" applyNumberFormat="1" applyFont="1" applyFill="1" applyBorder="1" applyAlignment="1">
      <alignment horizontal="center" wrapText="1"/>
    </xf>
    <xf numFmtId="0" fontId="19" fillId="0" borderId="0" xfId="41" applyFont="1" applyFill="1" applyBorder="1" applyAlignment="1">
      <alignment horizontal="center" wrapText="1"/>
    </xf>
    <xf numFmtId="0" fontId="30" fillId="0" borderId="0" xfId="44" applyFont="1" applyAlignment="1" applyProtection="1">
      <alignment vertical="top"/>
    </xf>
    <xf numFmtId="0" fontId="20" fillId="0" borderId="0" xfId="44" applyFont="1" applyAlignment="1" applyProtection="1">
      <alignment horizontal="left" wrapText="1"/>
      <protection locked="0"/>
    </xf>
    <xf numFmtId="0" fontId="31" fillId="0" borderId="0" xfId="44" applyFont="1" applyProtection="1">
      <protection locked="0"/>
    </xf>
    <xf numFmtId="0" fontId="32" fillId="0" borderId="0" xfId="44" applyFont="1" applyProtection="1">
      <protection locked="0"/>
    </xf>
    <xf numFmtId="0" fontId="20" fillId="0" borderId="0" xfId="44" applyFont="1"/>
    <xf numFmtId="0" fontId="33" fillId="0" borderId="16" xfId="44" applyFont="1" applyFill="1" applyBorder="1" applyAlignment="1" applyProtection="1"/>
    <xf numFmtId="0" fontId="33" fillId="0" borderId="16" xfId="44" applyFont="1" applyFill="1" applyBorder="1" applyAlignment="1" applyProtection="1">
      <alignment horizontal="left"/>
    </xf>
    <xf numFmtId="0" fontId="20" fillId="0" borderId="0" xfId="44" applyFont="1" applyProtection="1">
      <protection locked="0"/>
    </xf>
    <xf numFmtId="0" fontId="33" fillId="0" borderId="18" xfId="44" applyFont="1" applyBorder="1" applyAlignment="1" applyProtection="1"/>
    <xf numFmtId="0" fontId="32" fillId="35" borderId="16" xfId="44" applyFont="1" applyFill="1" applyBorder="1" applyAlignment="1" applyProtection="1">
      <alignment vertical="top"/>
    </xf>
    <xf numFmtId="0" fontId="20" fillId="0" borderId="0" xfId="44" applyFont="1" applyFill="1" applyBorder="1"/>
    <xf numFmtId="0" fontId="20" fillId="0" borderId="0" xfId="44" applyFont="1" applyAlignment="1" applyProtection="1">
      <alignment vertical="top"/>
    </xf>
    <xf numFmtId="0" fontId="20" fillId="0" borderId="0" xfId="44" applyFont="1" applyAlignment="1" applyProtection="1">
      <protection locked="0"/>
    </xf>
    <xf numFmtId="0" fontId="20" fillId="0" borderId="0" xfId="44" applyNumberFormat="1" applyFont="1" applyAlignment="1" applyProtection="1">
      <alignment horizontal="left"/>
      <protection locked="0"/>
    </xf>
    <xf numFmtId="0" fontId="35" fillId="0" borderId="0" xfId="44" applyFont="1" applyAlignment="1" applyProtection="1">
      <protection locked="0"/>
    </xf>
    <xf numFmtId="0" fontId="20" fillId="37" borderId="16" xfId="44" applyFont="1" applyFill="1" applyBorder="1" applyAlignment="1" applyProtection="1">
      <alignment horizontal="left" wrapText="1"/>
      <protection locked="0"/>
    </xf>
    <xf numFmtId="0" fontId="20" fillId="0" borderId="0" xfId="44" applyFont="1" applyAlignment="1" applyProtection="1">
      <alignment vertical="top" wrapText="1"/>
    </xf>
    <xf numFmtId="0" fontId="36" fillId="35" borderId="16" xfId="44" applyFont="1" applyFill="1" applyBorder="1" applyAlignment="1" applyProtection="1">
      <alignment vertical="top" wrapText="1"/>
    </xf>
    <xf numFmtId="0" fontId="32" fillId="35" borderId="16" xfId="44" applyFont="1" applyFill="1" applyBorder="1" applyAlignment="1" applyProtection="1">
      <alignment horizontal="left" wrapText="1"/>
    </xf>
    <xf numFmtId="49" fontId="32" fillId="33" borderId="0" xfId="44" applyNumberFormat="1" applyFont="1" applyFill="1" applyBorder="1" applyAlignment="1" applyProtection="1">
      <alignment horizontal="right" vertical="top"/>
    </xf>
    <xf numFmtId="49" fontId="20" fillId="34" borderId="16" xfId="44" applyNumberFormat="1" applyFont="1" applyFill="1" applyBorder="1" applyAlignment="1" applyProtection="1">
      <alignment horizontal="left" wrapText="1"/>
      <protection locked="0"/>
    </xf>
    <xf numFmtId="49" fontId="20" fillId="0" borderId="0" xfId="44" applyNumberFormat="1" applyFont="1"/>
    <xf numFmtId="0" fontId="20" fillId="0" borderId="0" xfId="44" applyFont="1" applyFill="1" applyBorder="1" applyAlignment="1" applyProtection="1">
      <alignment horizontal="right" vertical="top"/>
    </xf>
    <xf numFmtId="0" fontId="20" fillId="0" borderId="0" xfId="44" applyFont="1" applyFill="1" applyAlignment="1" applyProtection="1">
      <alignment horizontal="left" wrapText="1"/>
      <protection locked="0"/>
    </xf>
    <xf numFmtId="0" fontId="20" fillId="0" borderId="0" xfId="44" applyFont="1" applyFill="1" applyProtection="1">
      <protection locked="0"/>
    </xf>
    <xf numFmtId="0" fontId="20" fillId="0" borderId="0" xfId="44" applyFont="1" applyFill="1" applyAlignment="1" applyProtection="1">
      <alignment horizontal="right" vertical="top" wrapText="1"/>
    </xf>
    <xf numFmtId="0" fontId="32" fillId="35" borderId="16" xfId="44" applyNumberFormat="1" applyFont="1" applyFill="1" applyBorder="1" applyAlignment="1" applyProtection="1">
      <alignment vertical="top" wrapText="1"/>
    </xf>
    <xf numFmtId="0" fontId="20" fillId="0" borderId="0" xfId="44" applyFont="1" applyBorder="1" applyAlignment="1" applyProtection="1">
      <alignment horizontal="left" wrapText="1"/>
      <protection locked="0"/>
    </xf>
    <xf numFmtId="0" fontId="33" fillId="0" borderId="16" xfId="44" applyFont="1" applyFill="1" applyBorder="1" applyAlignment="1" applyProtection="1">
      <alignment horizontal="right"/>
    </xf>
    <xf numFmtId="0" fontId="33" fillId="0" borderId="18" xfId="44" applyFont="1" applyBorder="1" applyAlignment="1"/>
    <xf numFmtId="0" fontId="32" fillId="38" borderId="0" xfId="44" applyNumberFormat="1" applyFont="1" applyFill="1" applyAlignment="1" applyProtection="1">
      <alignment horizontal="right" vertical="top" wrapText="1"/>
    </xf>
    <xf numFmtId="0" fontId="32" fillId="38" borderId="0" xfId="44" applyFont="1" applyFill="1" applyAlignment="1" applyProtection="1">
      <alignment horizontal="right" vertical="top" wrapText="1"/>
    </xf>
    <xf numFmtId="165" fontId="20" fillId="36" borderId="16" xfId="44" applyNumberFormat="1" applyFont="1" applyFill="1" applyBorder="1" applyAlignment="1" applyProtection="1">
      <alignment horizontal="left" wrapText="1"/>
      <protection locked="0"/>
    </xf>
    <xf numFmtId="0" fontId="32" fillId="38" borderId="0" xfId="44" applyFont="1" applyFill="1" applyAlignment="1" applyProtection="1">
      <alignment horizontal="right" vertical="top"/>
    </xf>
    <xf numFmtId="0" fontId="32" fillId="38" borderId="0" xfId="44" applyFont="1" applyFill="1" applyBorder="1" applyAlignment="1" applyProtection="1">
      <alignment horizontal="right" vertical="top"/>
    </xf>
    <xf numFmtId="0" fontId="20" fillId="36" borderId="16" xfId="44" applyFont="1" applyFill="1" applyBorder="1" applyAlignment="1" applyProtection="1">
      <alignment horizontal="left" vertical="top" wrapText="1"/>
      <protection locked="0"/>
    </xf>
    <xf numFmtId="0" fontId="32" fillId="35" borderId="19" xfId="44" applyFont="1" applyFill="1" applyBorder="1" applyAlignment="1" applyProtection="1">
      <alignment horizontal="left" vertical="top"/>
    </xf>
    <xf numFmtId="0" fontId="32" fillId="38" borderId="0" xfId="44" applyFont="1" applyFill="1" applyBorder="1" applyAlignment="1" applyProtection="1">
      <alignment horizontal="left" vertical="top"/>
    </xf>
    <xf numFmtId="0" fontId="20" fillId="36" borderId="12" xfId="44" applyFont="1" applyFill="1" applyBorder="1" applyAlignment="1" applyProtection="1">
      <alignment horizontal="left" wrapText="1"/>
      <protection locked="0"/>
    </xf>
    <xf numFmtId="0" fontId="20" fillId="36" borderId="15" xfId="44" applyFont="1" applyFill="1" applyBorder="1" applyAlignment="1" applyProtection="1">
      <alignment horizontal="left" wrapText="1"/>
      <protection locked="0"/>
    </xf>
    <xf numFmtId="0" fontId="32" fillId="35" borderId="16" xfId="44" applyFont="1" applyFill="1" applyBorder="1" applyAlignment="1" applyProtection="1">
      <alignment horizontal="left" vertical="top"/>
    </xf>
    <xf numFmtId="0" fontId="20" fillId="0" borderId="16" xfId="44" applyFont="1" applyBorder="1" applyAlignment="1" applyProtection="1">
      <alignment horizontal="left" wrapText="1"/>
      <protection locked="0"/>
    </xf>
    <xf numFmtId="0" fontId="32" fillId="0" borderId="0" xfId="44" applyFont="1" applyFill="1" applyBorder="1" applyAlignment="1" applyProtection="1">
      <alignment horizontal="right" vertical="top"/>
    </xf>
    <xf numFmtId="0" fontId="20" fillId="0" borderId="0" xfId="44" applyFont="1" applyFill="1" applyBorder="1" applyAlignment="1" applyProtection="1">
      <alignment horizontal="left" wrapText="1"/>
      <protection locked="0"/>
    </xf>
    <xf numFmtId="0" fontId="32" fillId="35" borderId="16" xfId="44" applyFont="1" applyFill="1" applyBorder="1" applyAlignment="1" applyProtection="1">
      <alignment wrapText="1"/>
    </xf>
    <xf numFmtId="0" fontId="32" fillId="38" borderId="0" xfId="44" applyFont="1" applyFill="1" applyBorder="1" applyAlignment="1" applyProtection="1">
      <alignment horizontal="right" wrapText="1"/>
    </xf>
    <xf numFmtId="0" fontId="32" fillId="38" borderId="17" xfId="44" applyFont="1" applyFill="1" applyBorder="1" applyAlignment="1" applyProtection="1">
      <alignment horizontal="right" wrapText="1"/>
    </xf>
    <xf numFmtId="0" fontId="32" fillId="35" borderId="16" xfId="44" applyFont="1" applyFill="1" applyBorder="1" applyAlignment="1" applyProtection="1">
      <alignment vertical="top" wrapText="1"/>
    </xf>
    <xf numFmtId="0" fontId="35" fillId="0" borderId="0" xfId="44" applyFont="1"/>
    <xf numFmtId="0" fontId="20" fillId="0" borderId="0" xfId="44" applyFont="1" applyAlignment="1" applyProtection="1"/>
    <xf numFmtId="0" fontId="20" fillId="0" borderId="0" xfId="44" applyNumberFormat="1" applyFont="1" applyAlignment="1" applyProtection="1">
      <protection locked="0"/>
    </xf>
    <xf numFmtId="0" fontId="20" fillId="0" borderId="0" xfId="44" applyFont="1" applyFill="1" applyAlignment="1" applyProtection="1">
      <alignment vertical="center"/>
      <protection locked="0"/>
    </xf>
    <xf numFmtId="0" fontId="20" fillId="0" borderId="0" xfId="44" applyFont="1" applyAlignment="1" applyProtection="1">
      <alignment vertical="center"/>
      <protection locked="0"/>
    </xf>
    <xf numFmtId="0" fontId="20" fillId="0" borderId="0" xfId="44" applyFont="1" applyAlignment="1" applyProtection="1">
      <alignment horizontal="left"/>
      <protection locked="0"/>
    </xf>
    <xf numFmtId="0" fontId="32" fillId="35" borderId="14" xfId="44" applyFont="1" applyFill="1" applyBorder="1" applyAlignment="1" applyProtection="1">
      <alignment horizontal="left"/>
    </xf>
    <xf numFmtId="0" fontId="20" fillId="35" borderId="13" xfId="44" applyNumberFormat="1" applyFont="1" applyFill="1" applyBorder="1" applyAlignment="1" applyProtection="1">
      <alignment horizontal="left"/>
    </xf>
    <xf numFmtId="0" fontId="32" fillId="35" borderId="11" xfId="44" applyFont="1" applyFill="1" applyBorder="1" applyAlignment="1" applyProtection="1">
      <alignment horizontal="right" wrapText="1"/>
    </xf>
    <xf numFmtId="0" fontId="20" fillId="36" borderId="17" xfId="44" applyFont="1" applyFill="1" applyBorder="1" applyAlignment="1" applyProtection="1">
      <alignment horizontal="left"/>
      <protection locked="0"/>
    </xf>
    <xf numFmtId="0" fontId="20" fillId="34" borderId="18" xfId="44" applyFont="1" applyFill="1" applyBorder="1" applyAlignment="1" applyProtection="1">
      <protection locked="0"/>
    </xf>
    <xf numFmtId="0" fontId="32" fillId="35" borderId="17" xfId="44" applyFont="1" applyFill="1" applyBorder="1" applyAlignment="1" applyProtection="1">
      <alignment horizontal="right"/>
    </xf>
    <xf numFmtId="0" fontId="20" fillId="36" borderId="11" xfId="44" applyFont="1" applyFill="1" applyBorder="1" applyAlignment="1" applyProtection="1">
      <alignment horizontal="left"/>
      <protection locked="0"/>
    </xf>
    <xf numFmtId="0" fontId="20" fillId="34" borderId="10" xfId="44" applyFont="1" applyFill="1" applyBorder="1" applyAlignment="1" applyProtection="1">
      <protection locked="0"/>
    </xf>
    <xf numFmtId="0" fontId="32" fillId="0" borderId="0" xfId="44" applyFont="1" applyAlignment="1" applyProtection="1">
      <alignment horizontal="center" vertical="top"/>
    </xf>
    <xf numFmtId="0" fontId="32" fillId="35" borderId="16" xfId="44" applyFont="1" applyFill="1" applyBorder="1" applyAlignment="1" applyProtection="1">
      <alignment horizontal="right" vertical="top"/>
    </xf>
    <xf numFmtId="0" fontId="38" fillId="0" borderId="0" xfId="44" applyFont="1"/>
    <xf numFmtId="0" fontId="32" fillId="38" borderId="16" xfId="44" applyFont="1" applyFill="1" applyBorder="1" applyAlignment="1" applyProtection="1">
      <alignment vertical="center" wrapText="1"/>
    </xf>
    <xf numFmtId="0" fontId="32" fillId="38" borderId="16" xfId="44" applyFont="1" applyFill="1" applyBorder="1" applyAlignment="1" applyProtection="1">
      <alignment horizontal="left" vertical="center" wrapText="1"/>
    </xf>
    <xf numFmtId="0" fontId="32" fillId="0" borderId="0" xfId="44" applyFont="1" applyFill="1" applyBorder="1" applyAlignment="1" applyProtection="1">
      <alignment vertical="center" wrapText="1"/>
    </xf>
    <xf numFmtId="0" fontId="39" fillId="0" borderId="0" xfId="44" applyFont="1"/>
    <xf numFmtId="0" fontId="20" fillId="0" borderId="0" xfId="44" applyFont="1" applyAlignment="1" applyProtection="1">
      <alignment vertical="top" wrapText="1"/>
      <protection locked="0"/>
    </xf>
    <xf numFmtId="0" fontId="20" fillId="0" borderId="0" xfId="44" applyFont="1" applyAlignment="1" applyProtection="1">
      <alignment wrapText="1"/>
      <protection locked="0"/>
    </xf>
    <xf numFmtId="0" fontId="20" fillId="0" borderId="0" xfId="44" applyFont="1" applyAlignment="1">
      <alignment vertical="center" wrapText="1"/>
    </xf>
    <xf numFmtId="0" fontId="20" fillId="0" borderId="0" xfId="44" applyFont="1" applyAlignment="1">
      <alignment vertical="top"/>
    </xf>
    <xf numFmtId="0" fontId="25" fillId="0" borderId="0" xfId="0" applyFont="1" applyFill="1" applyBorder="1"/>
    <xf numFmtId="0" fontId="19" fillId="0" borderId="0" xfId="0" applyFont="1" applyFill="1" applyBorder="1" applyAlignment="1">
      <alignment horizontal="center" wrapText="1"/>
    </xf>
    <xf numFmtId="0" fontId="24" fillId="0" borderId="0" xfId="0" applyFont="1" applyFill="1" applyBorder="1" applyAlignment="1">
      <alignment horizontal="center" wrapText="1"/>
    </xf>
    <xf numFmtId="0" fontId="1" fillId="0" borderId="0" xfId="0" applyNumberFormat="1" applyFont="1" applyFill="1" applyBorder="1" applyAlignment="1">
      <alignment horizontal="center"/>
    </xf>
    <xf numFmtId="15"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0" fontId="25" fillId="0" borderId="0" xfId="0" applyNumberFormat="1" applyFont="1" applyFill="1" applyBorder="1"/>
    <xf numFmtId="15" fontId="1" fillId="0" borderId="0" xfId="0" applyNumberFormat="1" applyFont="1" applyFill="1" applyBorder="1" applyAlignment="1">
      <alignment horizontal="center"/>
    </xf>
    <xf numFmtId="2" fontId="18" fillId="0" borderId="0" xfId="0" applyNumberFormat="1" applyFont="1" applyFill="1" applyBorder="1" applyAlignment="1">
      <alignment horizontal="center"/>
    </xf>
    <xf numFmtId="2" fontId="25" fillId="0" borderId="0" xfId="41" applyNumberFormat="1" applyFont="1" applyFill="1" applyBorder="1" applyAlignment="1">
      <alignment horizontal="center"/>
    </xf>
    <xf numFmtId="15" fontId="18" fillId="0" borderId="0" xfId="0" applyNumberFormat="1" applyFont="1" applyFill="1" applyBorder="1" applyAlignment="1">
      <alignment horizontal="center"/>
    </xf>
    <xf numFmtId="0" fontId="18" fillId="0" borderId="0" xfId="0" applyFont="1" applyFill="1" applyBorder="1" applyAlignment="1">
      <alignment horizontal="center"/>
    </xf>
    <xf numFmtId="164" fontId="18" fillId="0" borderId="0" xfId="0" applyNumberFormat="1" applyFont="1" applyFill="1" applyBorder="1" applyAlignment="1">
      <alignment horizontal="center"/>
    </xf>
    <xf numFmtId="0" fontId="29" fillId="0" borderId="0" xfId="0" applyFont="1" applyFill="1" applyBorder="1" applyAlignment="1">
      <alignment horizontal="center"/>
    </xf>
    <xf numFmtId="164" fontId="1" fillId="0" borderId="0" xfId="0" applyNumberFormat="1" applyFont="1" applyFill="1" applyBorder="1" applyAlignment="1">
      <alignment horizontal="center"/>
    </xf>
    <xf numFmtId="0" fontId="34" fillId="0" borderId="17" xfId="50" applyFill="1" applyBorder="1" applyAlignment="1" applyProtection="1">
      <alignment horizontal="left"/>
    </xf>
    <xf numFmtId="0" fontId="32" fillId="0" borderId="0" xfId="44" applyFont="1" applyFill="1" applyBorder="1" applyAlignment="1" applyProtection="1">
      <alignment horizontal="left" wrapText="1"/>
      <protection locked="0"/>
    </xf>
    <xf numFmtId="0" fontId="20" fillId="0" borderId="0" xfId="44" applyFont="1" applyFill="1" applyBorder="1" applyAlignment="1"/>
    <xf numFmtId="0" fontId="32" fillId="0" borderId="0" xfId="44" applyFont="1" applyFill="1" applyBorder="1" applyAlignment="1" applyProtection="1">
      <alignment horizontal="left" wrapText="1"/>
      <protection locked="0"/>
    </xf>
    <xf numFmtId="0" fontId="20" fillId="0" borderId="0" xfId="44" applyFont="1" applyFill="1" applyBorder="1" applyAlignment="1"/>
    <xf numFmtId="0" fontId="48" fillId="0" borderId="0" xfId="44" applyFont="1"/>
    <xf numFmtId="0" fontId="34" fillId="36" borderId="16" xfId="50" applyFill="1" applyBorder="1" applyAlignment="1" applyProtection="1">
      <alignment horizontal="left" vertical="top" wrapText="1"/>
    </xf>
    <xf numFmtId="0" fontId="32" fillId="38" borderId="0" xfId="44" applyFont="1" applyFill="1" applyBorder="1" applyAlignment="1" applyProtection="1">
      <alignment horizontal="right" vertical="top" wrapText="1"/>
    </xf>
    <xf numFmtId="0" fontId="20" fillId="39" borderId="16" xfId="44" applyFont="1" applyFill="1" applyBorder="1" applyAlignment="1" applyProtection="1">
      <alignment horizontal="center" wrapText="1"/>
      <protection locked="0"/>
    </xf>
    <xf numFmtId="0" fontId="20" fillId="0" borderId="0" xfId="44" applyFont="1" applyAlignment="1" applyProtection="1">
      <alignment horizontal="right" vertical="top"/>
    </xf>
    <xf numFmtId="0" fontId="20" fillId="0" borderId="0" xfId="44"/>
    <xf numFmtId="0" fontId="50" fillId="0" borderId="0" xfId="44" applyFont="1" applyAlignment="1">
      <alignment horizontal="center" wrapText="1"/>
    </xf>
    <xf numFmtId="0" fontId="50" fillId="0" borderId="0" xfId="44" applyFont="1" applyAlignment="1">
      <alignment wrapText="1"/>
    </xf>
    <xf numFmtId="166" fontId="50" fillId="0" borderId="0" xfId="44" applyNumberFormat="1" applyFont="1" applyAlignment="1">
      <alignment wrapText="1"/>
    </xf>
    <xf numFmtId="1" fontId="50" fillId="0" borderId="0" xfId="44" applyNumberFormat="1" applyFont="1" applyAlignment="1">
      <alignment wrapText="1"/>
    </xf>
    <xf numFmtId="0" fontId="51" fillId="0" borderId="0" xfId="44" applyFont="1" applyAlignment="1">
      <alignment horizontal="center" wrapText="1"/>
    </xf>
    <xf numFmtId="0" fontId="34" fillId="0" borderId="0" xfId="50" applyAlignment="1" applyProtection="1"/>
    <xf numFmtId="0" fontId="20" fillId="0" borderId="0" xfId="44" applyAlignment="1"/>
    <xf numFmtId="1" fontId="20" fillId="0" borderId="0" xfId="44" applyNumberFormat="1"/>
    <xf numFmtId="0" fontId="20" fillId="36" borderId="17" xfId="44" applyFont="1" applyFill="1" applyBorder="1" applyAlignment="1" applyProtection="1">
      <alignment horizontal="left" wrapText="1"/>
      <protection locked="0"/>
    </xf>
    <xf numFmtId="0" fontId="20" fillId="0" borderId="18" xfId="44" applyFont="1" applyBorder="1" applyAlignment="1"/>
    <xf numFmtId="0" fontId="32" fillId="0" borderId="0" xfId="44" applyFont="1" applyFill="1" applyBorder="1" applyAlignment="1" applyProtection="1">
      <alignment horizontal="left" wrapText="1"/>
      <protection locked="0"/>
    </xf>
    <xf numFmtId="0" fontId="20" fillId="0" borderId="0" xfId="44" applyFont="1" applyFill="1" applyBorder="1" applyAlignment="1"/>
  </cellXfs>
  <cellStyles count="5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hidden="1"/>
    <cellStyle name="Hyperlink" xfId="50" builtinId="8"/>
    <cellStyle name="Input" xfId="9" builtinId="20" customBuiltin="1"/>
    <cellStyle name="Linked Cell" xfId="12" builtinId="24" customBuiltin="1"/>
    <cellStyle name="Neutral" xfId="8" builtinId="28" customBuiltin="1"/>
    <cellStyle name="Normal" xfId="0" builtinId="0"/>
    <cellStyle name="Normal 2" xfId="44"/>
    <cellStyle name="Normal 2 2" xfId="45"/>
    <cellStyle name="Normal 3" xfId="42"/>
    <cellStyle name="Normal 3 2" xfId="53"/>
    <cellStyle name="Normal 4" xfId="41"/>
    <cellStyle name="Normal 5" xfId="48"/>
    <cellStyle name="Normal 5 2" xfId="51"/>
    <cellStyle name="Normal 6" xfId="49"/>
    <cellStyle name="Normal 7" xfId="52"/>
    <cellStyle name="Note 2" xfId="43"/>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colors>
    <mruColors>
      <color rgb="FF53E75A"/>
      <color rgb="FFF90D45"/>
      <color rgb="FF00FF00"/>
      <color rgb="FFFF0066"/>
      <color rgb="FFCC66FF"/>
      <color rgb="FFCC0099"/>
      <color rgb="FF990099"/>
      <color rgb="FF660066"/>
      <color rgb="FF800080"/>
      <color rgb="FFFF7C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14</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Summary of three methods used to estimate the Leaf Area Index (LAI) of 19 1m x 1m plots sampled with a point frame near the LTER Shrub plots at the Toolik Field Station in AK the summer of 2012.  The methods used were: (1) exponential relationship between LAI and NDVI as measured above the canopy with a Unispec spetroradiometer; (2) Delta-T SunScan canopy analyzer held at 5 cm above the ground under both direct and diffuse light conditions; (3) pin-drop point frame tequnique.  Where values have been averaged (such as for the NDVI and SunScan measurements), the standard deviation is given.  Raw data are available upon request for the Unispec data; the raw SunScan data is available under the file "PF_SunScan_LAI".
 </a:t>
          </a:r>
        </a:p>
      </xdr:txBody>
    </xdr:sp>
    <xdr:clientData fLocksWithSheet="0"/>
  </xdr:twoCellAnchor>
  <xdr:twoCellAnchor>
    <xdr:from>
      <xdr:col>1</xdr:col>
      <xdr:colOff>30480</xdr:colOff>
      <xdr:row>67</xdr:row>
      <xdr:rowOff>17145</xdr:rowOff>
    </xdr:from>
    <xdr:to>
      <xdr:col>6</xdr:col>
      <xdr:colOff>817247</xdr:colOff>
      <xdr:row>167</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MAXIMUM CANOPY HEIGHT
We measured the maximum canopy height of each chamber flux and point frame plot by measuring the five highest  branches in the shrub canopy.  Each height is measured  from the soil, defined as the end of the green plant tissue, to the heighest point on each branch.  The maximum height was always measured from different individual plants, thus only one branch from any particular plant was sampled even if there might be multiple "highest" branches from a single plant.  See the file "MaxCanopyHeight" for more detailed information.
POINT FRAME PIN-DROP METHOD: 
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In order to calculate the overall LAI as well as the LAI contrubution from each species, the total number of hits for each species was multiplied by 0.04 m2  (the data was calculated both with and without stem-hits).  
NDVI and LAI FROM UNISPEC MEASUREMENT:
We measured NDVI on each point frame using a single channel Unipec spectral analysis system (PP Systems Inc, Amesbury, MA, USA).  The unispec spectral analyser  measures reflected light intensity in 256 portions of the visible spectrum from ~300nm to ~1100nm.  A foreoptic cable transmits light reflected from the target to the instrument, a measurement scan lasts for ~15-80ms.  Nine scans were measured in a regular grid for each of the point frame plots.  The end of the fibre optic was kept approximately 30cm vertically above the top of the canopy. The NDVI values were calculated using the equation below and then the NDVI values averaged together for each of the nine scans. Each scan was corrected for both incident radiation as well as sensor error. The incident radiation was accounted for with a "reference scan" taken by holding the foreoptic cable vertically above a white, reference standard under the same light conditions as subsequent measurements. The scans were also corrected for with a "dark scan" taken with the sensor exposed to complete darkness (covering the sensor input with a black cloth) to account for the intrinsic error in the sensor itself. The program Multispec5.1.5.exe was used to compile and integrate the Unispec reflectance spectra from the raw target spectra.
NDVI quantifies “greenness” and is strongly related to leaf area (Van Wijk and Williams 2005).  We measured the NDVI using a single-channel Unispec spectral analyzer (PP systems) and used the equation derived by Street et al (2007) to calculate LAI as dexcribed below. 
DELTA-T SUNSCAN LAI METHOD
The data included in this document are only from measurements taken at ground level (~5cm), thus those measurements representing the LAI of the entire canopy.  These methods, however, describe all LAI measurements taken with the DeltaT SunScan wand; the complete dataset is available under the title "2012_GS_ITEX_SunScan_LAI".
We measured the LAI using a DeltaT SunScan wand in conjuction with the BF3 sensor (Delta-T Devices Ltd, Burwell Cambridge, UK). The SunScan wand compares indident light readings measured on the BF3 sensor with the 64-PAR readings on the light wand to calculate LAI along the length of the 1m-long wand. LAI was measured by inserting the SunScan wand as near to the ground as possible--typically ~5cm from the ground as the wand rested on top of moss--and then measured vertically every 15 cm with the last measurement being above the canopy. Measurements were taken from the side of the chamber or point frame opposite the sun at three locations under both direct (ambient) and diffuse light conditions . In many cases the replicates at each height were differentiated by row (1-3, or occasionaly 3-8 which correspond to the point frame pins).  Typically diffuse light conditions were achieved by shading both the BF3 sensor and the shrub canopy with photographic diffuser panels. On occasion, measurements were taken during cloudy light conditions where the diffuse light fraction was greater than 0.7 and no diffuser panel was needed; on these occasions the direct and diffuse light estimates may have been taken in slightly different locations as they were taken at different times and the precise position of the SunScan wand could not be replicated exactly.
The SunScan wand measures PAR along 64 points along a 1-m horizontal profile.  When sampling PAR within the shrub canopy, the data are from the raw output from each PAR sensor.  When sampling LAI, there is an internal calculation performed though the Delta-T software that compares the reading above the canopy to the reading within the canopy, and takes into account the percent of absorbed PAR (assumed to be 0.85), and the ellipsoidal leaf angle distribution parameter (ELADP*) (assumed to be 1.0).  
In addition to the LAI values, the Delta-T SunScan instrument gives an output of other variables including: transmitted light, spread among sensors, beam fraction, and zenith angle.  These values are further described here: 
Transmitted Light:  the fraction of incident light that passes through a given canopy. It can refer to Direct, Diffuse, or Total incident light. 
Spread: the standard deviation of the 64-PAR sensors on the SunScan wand.
Beam Fraction: the fraction of the Total incident PAR in the Direct beam. 
Zenith Angle:  the angle between the centre of the sun and the point directly overhead. 
Zenith angles are calculated from latitude, longitude, and local time using standard astronomical equations as given in Practical Astronomy.  The location used to determine the local zenith angle was: 68° 37' 39" N, Longitude 149° 35' 51" W.
*"ELADP is a way of characterizing the horizontal or vertical tendency of leaves in a canopy." p 37 of SS1 User Manual v2.0 (SunScan Canopy Analysis System, type SS1. Delta-T Devices Ltd. May 19, 2008)
CALCULATIONS:
NDVI = (RII-RI)
              (RI + RII)
where RI = average reflectance from 570nm to 680nm
            RII = average reflectance from 725nm to 1000nm.
LAI = 0.0026 * e^(8.0783 * NDVI)  - From (Street et al. 2007)
Pin-drop LAI: 
LAI = (Total number of pin-hits) * [(average number of hits per location) / (number of locations sampled)]
LAI = (Total # hits) * (1/25)
REFERENCES:
Street L. E. Shaver G. R. Williams M. and van Wijk M. T. 2007. What is the relationship between changes in canopy leaf area and changes in photosynthetic CO2 flux in arctic ecosystems? Journal of Ecology 95: 139-150.
van Wijk M. T. Williams M. and. Shaver G. R. 2005. Tight coupling between leaf area index and foliage N content in arctic plant communities. Oecologia 142: 421–427. </a:t>
          </a:r>
        </a:p>
      </xdr:txBody>
    </xdr:sp>
    <xdr:clientData fLocksWithSheet="0"/>
  </xdr:twoCellAnchor>
  <xdr:twoCellAnchor>
    <xdr:from>
      <xdr:col>1</xdr:col>
      <xdr:colOff>19050</xdr:colOff>
      <xdr:row>172</xdr:row>
      <xdr:rowOff>152400</xdr:rowOff>
    </xdr:from>
    <xdr:to>
      <xdr:col>3</xdr:col>
      <xdr:colOff>2076450</xdr:colOff>
      <xdr:row>179</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13</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68</xdr:row>
      <xdr:rowOff>121920</xdr:rowOff>
    </xdr:from>
    <xdr:to>
      <xdr:col>0</xdr:col>
      <xdr:colOff>1727751</xdr:colOff>
      <xdr:row>82</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6&amp;amp;urlTail=terrest/tracegas/data/2012_GS_ITEX_PF_LAISummary.csv" TargetMode="External"/><Relationship Id="rId1" Type="http://schemas.openxmlformats.org/officeDocument/2006/relationships/hyperlink" Target="http://ecosystems.mbl.edu/ARC/meta_template.php?FileName=./terrest/tracegas/xlsfiles/2012_GS_ITEX_PF_LAISummary.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06"/>
  <sheetViews>
    <sheetView tabSelected="1" zoomScale="96" zoomScaleNormal="96" workbookViewId="0">
      <selection activeCell="B4" sqref="B4"/>
    </sheetView>
  </sheetViews>
  <sheetFormatPr defaultColWidth="8.85546875" defaultRowHeight="12.75" x14ac:dyDescent="0.2"/>
  <cols>
    <col min="1" max="1" width="26.140625" style="95" customWidth="1"/>
    <col min="2" max="2" width="46" style="24" bestFit="1" customWidth="1"/>
    <col min="3" max="4" width="30.7109375" style="30" customWidth="1"/>
    <col min="5" max="9" width="30.7109375" style="27" customWidth="1"/>
    <col min="10" max="16384" width="8.85546875" style="27"/>
  </cols>
  <sheetData>
    <row r="1" spans="1:6" ht="18" x14ac:dyDescent="0.25">
      <c r="A1" s="23" t="s">
        <v>27</v>
      </c>
      <c r="C1" s="25"/>
      <c r="D1" s="26"/>
    </row>
    <row r="2" spans="1:6" hidden="1" x14ac:dyDescent="0.2">
      <c r="A2" s="28" t="s">
        <v>28</v>
      </c>
      <c r="B2" s="29" t="s">
        <v>1732</v>
      </c>
    </row>
    <row r="3" spans="1:6" hidden="1" x14ac:dyDescent="0.2">
      <c r="A3" s="28" t="s">
        <v>29</v>
      </c>
      <c r="B3" s="29">
        <v>2012</v>
      </c>
    </row>
    <row r="4" spans="1:6" hidden="1" x14ac:dyDescent="0.2">
      <c r="A4" s="28" t="s">
        <v>30</v>
      </c>
      <c r="B4" s="111" t="s">
        <v>435</v>
      </c>
      <c r="C4" s="31"/>
    </row>
    <row r="5" spans="1:6" ht="22.5" customHeight="1" x14ac:dyDescent="0.2">
      <c r="A5" s="32" t="s">
        <v>31</v>
      </c>
      <c r="B5" s="130" t="s">
        <v>402</v>
      </c>
      <c r="C5" s="131"/>
      <c r="D5" s="27"/>
    </row>
    <row r="6" spans="1:6" ht="12.75" customHeight="1" x14ac:dyDescent="0.2">
      <c r="A6" s="32" t="s">
        <v>32</v>
      </c>
      <c r="B6" s="27"/>
      <c r="C6" s="27"/>
      <c r="D6" s="27"/>
      <c r="E6" s="33"/>
      <c r="F6" s="33"/>
    </row>
    <row r="7" spans="1:6" s="35" customFormat="1" x14ac:dyDescent="0.2">
      <c r="A7" s="34"/>
      <c r="B7" s="132"/>
      <c r="C7" s="133"/>
      <c r="D7" s="133"/>
    </row>
    <row r="8" spans="1:6" s="35" customFormat="1" x14ac:dyDescent="0.2">
      <c r="A8" s="34"/>
      <c r="B8" s="112"/>
      <c r="C8" s="113"/>
      <c r="D8" s="113"/>
    </row>
    <row r="9" spans="1:6" s="35" customFormat="1" x14ac:dyDescent="0.2">
      <c r="A9" s="34"/>
      <c r="B9" s="114"/>
      <c r="C9" s="115"/>
      <c r="D9" s="115"/>
    </row>
    <row r="10" spans="1:6" s="35" customFormat="1" x14ac:dyDescent="0.2">
      <c r="A10" s="34"/>
      <c r="B10" s="114"/>
      <c r="C10" s="115"/>
      <c r="D10" s="115"/>
    </row>
    <row r="11" spans="1:6" s="35" customFormat="1" x14ac:dyDescent="0.2">
      <c r="A11" s="34"/>
      <c r="B11" s="36"/>
    </row>
    <row r="12" spans="1:6" s="35" customFormat="1" x14ac:dyDescent="0.2">
      <c r="A12" s="34"/>
      <c r="B12" s="36"/>
    </row>
    <row r="13" spans="1:6" s="35" customFormat="1" x14ac:dyDescent="0.2">
      <c r="A13" s="34"/>
      <c r="B13" s="36"/>
    </row>
    <row r="14" spans="1:6" s="35" customFormat="1" ht="15" x14ac:dyDescent="0.2">
      <c r="A14" s="34"/>
      <c r="B14" s="37"/>
    </row>
    <row r="15" spans="1:6" s="35" customFormat="1" ht="15" x14ac:dyDescent="0.2">
      <c r="A15" s="34"/>
      <c r="B15" s="37"/>
    </row>
    <row r="16" spans="1:6" x14ac:dyDescent="0.2">
      <c r="A16" s="32" t="s">
        <v>33</v>
      </c>
      <c r="B16" s="38" t="s">
        <v>1730</v>
      </c>
    </row>
    <row r="17" spans="1:9" x14ac:dyDescent="0.2">
      <c r="A17" s="39"/>
    </row>
    <row r="18" spans="1:9" x14ac:dyDescent="0.2">
      <c r="A18" s="40" t="s">
        <v>34</v>
      </c>
      <c r="B18" s="41" t="s">
        <v>35</v>
      </c>
      <c r="C18" s="41" t="s">
        <v>36</v>
      </c>
      <c r="D18" s="41" t="s">
        <v>37</v>
      </c>
      <c r="E18" s="41" t="s">
        <v>38</v>
      </c>
      <c r="F18" s="41" t="s">
        <v>39</v>
      </c>
      <c r="G18" s="41" t="s">
        <v>40</v>
      </c>
      <c r="H18" s="41" t="s">
        <v>41</v>
      </c>
      <c r="I18" s="41" t="s">
        <v>42</v>
      </c>
    </row>
    <row r="19" spans="1:9" x14ac:dyDescent="0.2">
      <c r="A19" s="42" t="s">
        <v>43</v>
      </c>
      <c r="B19" s="43" t="s">
        <v>44</v>
      </c>
      <c r="C19" s="43" t="s">
        <v>45</v>
      </c>
      <c r="D19" s="43" t="s">
        <v>45</v>
      </c>
      <c r="E19" s="43" t="s">
        <v>46</v>
      </c>
      <c r="F19" s="43" t="s">
        <v>47</v>
      </c>
      <c r="G19" s="43"/>
      <c r="H19" s="43"/>
      <c r="I19" s="43"/>
    </row>
    <row r="20" spans="1:9" s="44" customFormat="1" x14ac:dyDescent="0.2">
      <c r="A20" s="42" t="s">
        <v>48</v>
      </c>
      <c r="B20" s="43" t="s">
        <v>49</v>
      </c>
      <c r="C20" s="43" t="s">
        <v>50</v>
      </c>
      <c r="D20" s="43" t="s">
        <v>51</v>
      </c>
      <c r="E20" s="43" t="s">
        <v>52</v>
      </c>
      <c r="F20" s="43" t="s">
        <v>53</v>
      </c>
      <c r="G20" s="43"/>
      <c r="H20" s="43"/>
      <c r="I20" s="43"/>
    </row>
    <row r="21" spans="1:9" s="44" customFormat="1" x14ac:dyDescent="0.2">
      <c r="A21" s="42" t="s">
        <v>54</v>
      </c>
      <c r="B21" s="43" t="s">
        <v>55</v>
      </c>
      <c r="C21" s="43" t="s">
        <v>56</v>
      </c>
      <c r="D21" s="43" t="s">
        <v>57</v>
      </c>
      <c r="E21" s="43" t="s">
        <v>58</v>
      </c>
      <c r="F21" s="43" t="s">
        <v>59</v>
      </c>
      <c r="G21" s="43"/>
      <c r="H21" s="43"/>
      <c r="I21" s="43"/>
    </row>
    <row r="22" spans="1:9" s="44" customFormat="1" x14ac:dyDescent="0.2">
      <c r="A22" s="42" t="s">
        <v>60</v>
      </c>
      <c r="B22" s="43" t="s">
        <v>61</v>
      </c>
      <c r="C22" s="43" t="s">
        <v>62</v>
      </c>
      <c r="D22" s="43" t="s">
        <v>63</v>
      </c>
      <c r="E22" s="43" t="s">
        <v>64</v>
      </c>
      <c r="F22" s="43" t="s">
        <v>65</v>
      </c>
      <c r="G22" s="43"/>
      <c r="H22" s="43"/>
      <c r="I22" s="43"/>
    </row>
    <row r="23" spans="1:9" s="44" customFormat="1" ht="25.5" x14ac:dyDescent="0.2">
      <c r="A23" s="42" t="s">
        <v>66</v>
      </c>
      <c r="B23" s="43" t="s">
        <v>67</v>
      </c>
      <c r="C23" s="43" t="s">
        <v>67</v>
      </c>
      <c r="D23" s="43" t="s">
        <v>68</v>
      </c>
      <c r="E23" s="43" t="s">
        <v>67</v>
      </c>
      <c r="F23" s="43" t="s">
        <v>67</v>
      </c>
      <c r="G23" s="43"/>
      <c r="H23" s="43"/>
      <c r="I23" s="43"/>
    </row>
    <row r="24" spans="1:9" s="44" customFormat="1" x14ac:dyDescent="0.2">
      <c r="A24" s="42" t="s">
        <v>69</v>
      </c>
      <c r="B24" s="43" t="s">
        <v>70</v>
      </c>
      <c r="C24" s="43" t="s">
        <v>70</v>
      </c>
      <c r="D24" s="43" t="s">
        <v>71</v>
      </c>
      <c r="E24" s="43" t="s">
        <v>70</v>
      </c>
      <c r="F24" s="43" t="s">
        <v>70</v>
      </c>
      <c r="G24" s="43"/>
      <c r="H24" s="43"/>
      <c r="I24" s="43"/>
    </row>
    <row r="25" spans="1:9" s="44" customFormat="1" x14ac:dyDescent="0.2">
      <c r="A25" s="42" t="s">
        <v>72</v>
      </c>
      <c r="B25" s="43"/>
      <c r="C25" s="43"/>
      <c r="D25" s="43" t="s">
        <v>73</v>
      </c>
      <c r="E25" s="43"/>
      <c r="F25" s="43"/>
      <c r="G25" s="43"/>
      <c r="H25" s="43"/>
      <c r="I25" s="43"/>
    </row>
    <row r="26" spans="1:9" s="44" customFormat="1" x14ac:dyDescent="0.2">
      <c r="A26" s="42" t="s">
        <v>74</v>
      </c>
      <c r="B26" s="43" t="s">
        <v>75</v>
      </c>
      <c r="C26" s="43" t="s">
        <v>75</v>
      </c>
      <c r="D26" s="43" t="s">
        <v>76</v>
      </c>
      <c r="E26" s="43" t="s">
        <v>75</v>
      </c>
      <c r="F26" s="43" t="s">
        <v>75</v>
      </c>
      <c r="G26" s="43"/>
      <c r="H26" s="43"/>
      <c r="I26" s="43"/>
    </row>
    <row r="27" spans="1:9" s="44" customFormat="1" x14ac:dyDescent="0.2">
      <c r="A27" s="42" t="s">
        <v>77</v>
      </c>
      <c r="B27" s="43" t="s">
        <v>78</v>
      </c>
      <c r="C27" s="43" t="s">
        <v>78</v>
      </c>
      <c r="D27" s="43"/>
      <c r="E27" s="43" t="s">
        <v>78</v>
      </c>
      <c r="F27" s="43" t="s">
        <v>78</v>
      </c>
      <c r="G27" s="43"/>
      <c r="H27" s="43"/>
      <c r="I27" s="43"/>
    </row>
    <row r="28" spans="1:9" s="44" customFormat="1" x14ac:dyDescent="0.2">
      <c r="A28" s="42" t="s">
        <v>79</v>
      </c>
      <c r="B28" s="43" t="s">
        <v>80</v>
      </c>
      <c r="C28" s="43" t="s">
        <v>80</v>
      </c>
      <c r="D28" s="43" t="s">
        <v>81</v>
      </c>
      <c r="E28" s="43" t="s">
        <v>80</v>
      </c>
      <c r="F28" s="43" t="s">
        <v>80</v>
      </c>
      <c r="G28" s="43"/>
      <c r="H28" s="43"/>
      <c r="I28" s="43"/>
    </row>
    <row r="29" spans="1:9" s="44" customFormat="1" x14ac:dyDescent="0.2">
      <c r="A29" s="42" t="s">
        <v>82</v>
      </c>
      <c r="B29" s="43" t="s">
        <v>83</v>
      </c>
      <c r="C29" s="43" t="s">
        <v>83</v>
      </c>
      <c r="D29" s="43" t="s">
        <v>84</v>
      </c>
      <c r="E29" s="43" t="s">
        <v>83</v>
      </c>
      <c r="F29" s="43" t="s">
        <v>83</v>
      </c>
      <c r="G29" s="43"/>
      <c r="H29" s="43"/>
      <c r="I29" s="43"/>
    </row>
    <row r="30" spans="1:9" x14ac:dyDescent="0.2">
      <c r="A30" s="45"/>
      <c r="B30" s="46"/>
      <c r="C30" s="47"/>
    </row>
    <row r="31" spans="1:9" x14ac:dyDescent="0.2">
      <c r="A31" s="48"/>
    </row>
    <row r="32" spans="1:9" x14ac:dyDescent="0.2">
      <c r="A32" s="49" t="s">
        <v>85</v>
      </c>
      <c r="B32" s="50"/>
    </row>
    <row r="33" spans="1:17" hidden="1" x14ac:dyDescent="0.2">
      <c r="A33" s="51" t="s">
        <v>86</v>
      </c>
      <c r="B33" s="111" t="s">
        <v>436</v>
      </c>
      <c r="C33" s="52"/>
    </row>
    <row r="34" spans="1:17" x14ac:dyDescent="0.2">
      <c r="A34" s="53" t="s">
        <v>87</v>
      </c>
      <c r="B34" s="38" t="s">
        <v>430</v>
      </c>
    </row>
    <row r="35" spans="1:17" x14ac:dyDescent="0.2">
      <c r="A35" s="54" t="s">
        <v>88</v>
      </c>
      <c r="B35" s="55">
        <v>41083</v>
      </c>
    </row>
    <row r="36" spans="1:17" x14ac:dyDescent="0.2">
      <c r="A36" s="54" t="s">
        <v>89</v>
      </c>
      <c r="B36" s="55">
        <v>41128</v>
      </c>
    </row>
    <row r="37" spans="1:17" x14ac:dyDescent="0.2">
      <c r="A37" s="56" t="s">
        <v>90</v>
      </c>
      <c r="B37" s="38">
        <v>19</v>
      </c>
    </row>
    <row r="38" spans="1:17" x14ac:dyDescent="0.2">
      <c r="A38" s="56" t="s">
        <v>91</v>
      </c>
      <c r="B38" s="38" t="s">
        <v>92</v>
      </c>
    </row>
    <row r="39" spans="1:17" x14ac:dyDescent="0.2">
      <c r="A39" s="56" t="s">
        <v>93</v>
      </c>
      <c r="B39" s="38">
        <v>1</v>
      </c>
    </row>
    <row r="40" spans="1:17" x14ac:dyDescent="0.2">
      <c r="A40" s="57" t="s">
        <v>94</v>
      </c>
      <c r="B40" s="38"/>
    </row>
    <row r="41" spans="1:17" ht="51" x14ac:dyDescent="0.2">
      <c r="A41" s="57" t="s">
        <v>95</v>
      </c>
      <c r="B41" s="38" t="s">
        <v>403</v>
      </c>
    </row>
    <row r="42" spans="1:17" ht="25.5" x14ac:dyDescent="0.2">
      <c r="A42" s="56" t="s">
        <v>96</v>
      </c>
      <c r="B42" s="38" t="s">
        <v>439</v>
      </c>
    </row>
    <row r="43" spans="1:17" ht="25.5" x14ac:dyDescent="0.2">
      <c r="A43" s="56"/>
      <c r="B43" s="38" t="s">
        <v>1729</v>
      </c>
    </row>
    <row r="44" spans="1:17" ht="25.5" x14ac:dyDescent="0.2">
      <c r="A44" s="56"/>
      <c r="B44" s="38" t="s">
        <v>1731</v>
      </c>
    </row>
    <row r="45" spans="1:17" x14ac:dyDescent="0.2">
      <c r="A45" s="56"/>
      <c r="B45" s="38"/>
    </row>
    <row r="46" spans="1:17" x14ac:dyDescent="0.2">
      <c r="A46" s="120"/>
      <c r="I46" s="27" t="s">
        <v>97</v>
      </c>
    </row>
    <row r="47" spans="1:17" x14ac:dyDescent="0.2">
      <c r="A47" s="49" t="s">
        <v>98</v>
      </c>
    </row>
    <row r="48" spans="1:17" x14ac:dyDescent="0.2">
      <c r="A48" s="57" t="s">
        <v>431</v>
      </c>
      <c r="B48" s="119" t="s">
        <v>432</v>
      </c>
      <c r="C48" s="119" t="s">
        <v>433</v>
      </c>
      <c r="D48" s="119" t="s">
        <v>459</v>
      </c>
      <c r="E48" s="119" t="s">
        <v>459</v>
      </c>
      <c r="F48" s="119" t="s">
        <v>459</v>
      </c>
      <c r="G48" s="119" t="s">
        <v>459</v>
      </c>
      <c r="H48" s="119" t="s">
        <v>459</v>
      </c>
      <c r="I48" s="119" t="s">
        <v>459</v>
      </c>
      <c r="J48" s="30"/>
      <c r="K48" s="30"/>
      <c r="L48" s="30"/>
      <c r="M48" s="30"/>
      <c r="N48" s="30"/>
      <c r="O48" s="30"/>
      <c r="P48" s="30"/>
      <c r="Q48" s="30"/>
    </row>
    <row r="49" spans="1:19" ht="165.75" x14ac:dyDescent="0.2">
      <c r="A49" s="118" t="s">
        <v>99</v>
      </c>
      <c r="B49" s="58" t="s">
        <v>458</v>
      </c>
      <c r="C49" s="58" t="s">
        <v>100</v>
      </c>
      <c r="D49" s="58" t="str">
        <f t="shared" ref="D49:I49" si="0">IF(ISNA(INDEX(Sites,MATCH(D48,Site_name,0),3)),"Enter Description", INDEX(Sites,MATCH(D48,Site_name,0),3))</f>
        <v>Enter Description</v>
      </c>
      <c r="E49" s="58" t="str">
        <f t="shared" si="0"/>
        <v>Enter Description</v>
      </c>
      <c r="F49" s="58" t="str">
        <f t="shared" si="0"/>
        <v>Enter Description</v>
      </c>
      <c r="G49" s="58" t="str">
        <f t="shared" si="0"/>
        <v>Enter Description</v>
      </c>
      <c r="H49" s="58" t="str">
        <f t="shared" si="0"/>
        <v>Enter Description</v>
      </c>
      <c r="I49" s="58" t="str">
        <f t="shared" si="0"/>
        <v>Enter Description</v>
      </c>
      <c r="J49" s="30"/>
      <c r="K49" s="30"/>
      <c r="L49" s="30"/>
      <c r="M49" s="30"/>
      <c r="N49" s="30"/>
      <c r="O49" s="30"/>
    </row>
    <row r="50" spans="1:19" x14ac:dyDescent="0.2">
      <c r="A50" s="59" t="s">
        <v>101</v>
      </c>
      <c r="C50" s="24"/>
      <c r="D50" s="24"/>
      <c r="E50" s="24"/>
      <c r="F50" s="24"/>
      <c r="G50" s="24"/>
      <c r="H50" s="24"/>
      <c r="I50" s="24"/>
    </row>
    <row r="51" spans="1:19" x14ac:dyDescent="0.2">
      <c r="A51" s="60" t="s">
        <v>102</v>
      </c>
      <c r="B51" s="38"/>
      <c r="C51" s="38"/>
      <c r="D51" s="38"/>
      <c r="E51" s="38"/>
      <c r="F51" s="38"/>
      <c r="G51" s="38"/>
      <c r="H51" s="38"/>
      <c r="I51" s="38"/>
      <c r="J51" s="30"/>
      <c r="K51" s="30"/>
      <c r="L51" s="30"/>
      <c r="M51" s="30"/>
      <c r="N51" s="30"/>
      <c r="O51" s="30"/>
      <c r="P51" s="30"/>
      <c r="Q51" s="30"/>
      <c r="R51" s="30"/>
      <c r="S51" s="30"/>
    </row>
    <row r="52" spans="1:19" x14ac:dyDescent="0.2">
      <c r="A52" s="60" t="s">
        <v>103</v>
      </c>
      <c r="B52" s="61"/>
      <c r="C52" s="61"/>
      <c r="D52" s="61"/>
      <c r="E52" s="61"/>
      <c r="F52" s="61"/>
      <c r="G52" s="61"/>
      <c r="H52" s="61"/>
      <c r="I52" s="61"/>
      <c r="J52" s="30"/>
      <c r="K52" s="30"/>
      <c r="L52" s="30"/>
      <c r="M52" s="30"/>
      <c r="N52" s="30"/>
      <c r="O52" s="30"/>
      <c r="P52" s="30"/>
      <c r="Q52" s="30"/>
      <c r="R52" s="30"/>
      <c r="S52" s="30"/>
    </row>
    <row r="53" spans="1:19" x14ac:dyDescent="0.2">
      <c r="A53" s="60" t="s">
        <v>104</v>
      </c>
      <c r="B53" s="38"/>
      <c r="C53" s="38"/>
      <c r="D53" s="38"/>
      <c r="E53" s="38"/>
      <c r="F53" s="38"/>
      <c r="G53" s="38"/>
      <c r="H53" s="38"/>
      <c r="I53" s="38"/>
      <c r="J53" s="30"/>
      <c r="K53" s="30"/>
      <c r="L53" s="30"/>
      <c r="M53" s="30"/>
      <c r="N53" s="30"/>
      <c r="O53" s="30"/>
      <c r="P53" s="30"/>
      <c r="Q53" s="30"/>
      <c r="R53" s="30"/>
      <c r="S53" s="30"/>
    </row>
    <row r="54" spans="1:19" x14ac:dyDescent="0.2">
      <c r="A54" s="60" t="s">
        <v>105</v>
      </c>
      <c r="B54" s="62"/>
      <c r="C54" s="62"/>
      <c r="D54" s="62"/>
      <c r="E54" s="62"/>
      <c r="F54" s="62"/>
      <c r="G54" s="62"/>
      <c r="H54" s="62"/>
      <c r="I54" s="62"/>
      <c r="J54" s="30"/>
      <c r="K54" s="30"/>
      <c r="L54" s="30"/>
      <c r="M54" s="30"/>
      <c r="N54" s="30"/>
      <c r="O54" s="30"/>
      <c r="P54" s="30"/>
      <c r="Q54" s="30"/>
      <c r="R54" s="30"/>
      <c r="S54" s="30"/>
    </row>
    <row r="55" spans="1:19" x14ac:dyDescent="0.2">
      <c r="A55" s="63" t="s">
        <v>106</v>
      </c>
      <c r="B55" s="64"/>
      <c r="C55" s="64"/>
      <c r="D55" s="64"/>
      <c r="E55" s="64"/>
      <c r="F55" s="64"/>
      <c r="G55" s="64"/>
      <c r="H55" s="64"/>
      <c r="I55" s="64"/>
    </row>
    <row r="56" spans="1:19" x14ac:dyDescent="0.2">
      <c r="A56" s="57" t="s">
        <v>107</v>
      </c>
      <c r="B56" s="58">
        <v>68.638555555555499</v>
      </c>
      <c r="C56" s="58">
        <v>68.635583333333301</v>
      </c>
      <c r="D56" s="58" t="str">
        <f t="shared" ref="D56:I56" si="1">IF(ISNA(INDEX(Sites,MATCH(D48,Site_name,0),4)),"In Decimal Degrees", INDEX(Sites,MATCH(D48,Site_name,0),4))</f>
        <v>In Decimal Degrees</v>
      </c>
      <c r="E56" s="58" t="str">
        <f t="shared" si="1"/>
        <v>In Decimal Degrees</v>
      </c>
      <c r="F56" s="58" t="str">
        <f t="shared" si="1"/>
        <v>In Decimal Degrees</v>
      </c>
      <c r="G56" s="58" t="str">
        <f t="shared" si="1"/>
        <v>In Decimal Degrees</v>
      </c>
      <c r="H56" s="58" t="str">
        <f t="shared" si="1"/>
        <v>In Decimal Degrees</v>
      </c>
      <c r="I56" s="58" t="str">
        <f t="shared" si="1"/>
        <v>In Decimal Degrees</v>
      </c>
      <c r="J56" s="30"/>
      <c r="K56" s="30"/>
      <c r="L56" s="30"/>
      <c r="M56" s="30"/>
      <c r="N56" s="30"/>
      <c r="O56" s="30"/>
      <c r="P56" s="30"/>
      <c r="Q56" s="30"/>
    </row>
    <row r="57" spans="1:19" x14ac:dyDescent="0.2">
      <c r="A57" s="57" t="s">
        <v>108</v>
      </c>
      <c r="B57" s="58">
        <v>-149.56866666666599</v>
      </c>
      <c r="C57" s="58">
        <v>-149.588083333333</v>
      </c>
      <c r="D57" s="58" t="str">
        <f t="shared" ref="D57:I57" si="2">IF(ISNA(INDEX(Sites,MATCH(D48,Site_name,0),5)),"In Decimal Degrees", INDEX(Sites,MATCH(D48,Site_name,0),5))</f>
        <v>In Decimal Degrees</v>
      </c>
      <c r="E57" s="58" t="str">
        <f t="shared" si="2"/>
        <v>In Decimal Degrees</v>
      </c>
      <c r="F57" s="58" t="str">
        <f t="shared" si="2"/>
        <v>In Decimal Degrees</v>
      </c>
      <c r="G57" s="58" t="str">
        <f t="shared" si="2"/>
        <v>In Decimal Degrees</v>
      </c>
      <c r="H57" s="58" t="str">
        <f t="shared" si="2"/>
        <v>In Decimal Degrees</v>
      </c>
      <c r="I57" s="58" t="str">
        <f t="shared" si="2"/>
        <v>In Decimal Degrees</v>
      </c>
      <c r="J57" s="30"/>
      <c r="K57" s="30"/>
      <c r="L57" s="30"/>
      <c r="M57" s="30"/>
      <c r="N57" s="30"/>
      <c r="O57" s="30"/>
      <c r="P57" s="30"/>
      <c r="Q57" s="30"/>
    </row>
    <row r="58" spans="1:19" x14ac:dyDescent="0.2">
      <c r="A58" s="57" t="s">
        <v>109</v>
      </c>
      <c r="B58" s="58" t="s">
        <v>437</v>
      </c>
      <c r="C58" s="58" t="s">
        <v>438</v>
      </c>
      <c r="D58" s="58" t="str">
        <f t="shared" ref="D58:I58" si="3">IF(ISNA(INDEX(Sites,MATCH(D48,Site_name,0),6)),"In Meters", INDEX(Sites,MATCH(D48,Site_name,0),6))</f>
        <v>In Meters</v>
      </c>
      <c r="E58" s="58" t="str">
        <f t="shared" si="3"/>
        <v>In Meters</v>
      </c>
      <c r="F58" s="58" t="str">
        <f t="shared" si="3"/>
        <v>In Meters</v>
      </c>
      <c r="G58" s="58" t="str">
        <f t="shared" si="3"/>
        <v>In Meters</v>
      </c>
      <c r="H58" s="58" t="str">
        <f t="shared" si="3"/>
        <v>In Meters</v>
      </c>
      <c r="I58" s="58" t="str">
        <f t="shared" si="3"/>
        <v>In Meters</v>
      </c>
      <c r="J58" s="30"/>
      <c r="K58" s="30"/>
      <c r="L58" s="30"/>
      <c r="M58" s="30"/>
      <c r="N58" s="30"/>
      <c r="O58" s="30"/>
      <c r="P58" s="30"/>
      <c r="Q58" s="30"/>
    </row>
    <row r="59" spans="1:19" x14ac:dyDescent="0.2">
      <c r="A59" s="57" t="s">
        <v>457</v>
      </c>
      <c r="B59" s="117" t="str">
        <f t="shared" ref="B59:I59" si="4">IF(ISNUMBER(B$56),HYPERLINK("http://maps.google.com/maps?q="&amp;B56&amp;","&amp;B57,"View on Google Map"),"")</f>
        <v>View on Google Map</v>
      </c>
      <c r="C59" s="117" t="str">
        <f t="shared" si="4"/>
        <v>View on Google Map</v>
      </c>
      <c r="D59" s="117" t="str">
        <f t="shared" si="4"/>
        <v/>
      </c>
      <c r="E59" s="117" t="str">
        <f t="shared" si="4"/>
        <v/>
      </c>
      <c r="F59" s="117" t="str">
        <f t="shared" si="4"/>
        <v/>
      </c>
      <c r="G59" s="117" t="str">
        <f t="shared" si="4"/>
        <v/>
      </c>
      <c r="H59" s="117" t="str">
        <f t="shared" si="4"/>
        <v/>
      </c>
      <c r="I59" s="117" t="str">
        <f t="shared" si="4"/>
        <v/>
      </c>
    </row>
    <row r="60" spans="1:19" x14ac:dyDescent="0.2">
      <c r="A60" s="65"/>
      <c r="B60" s="66"/>
      <c r="C60" s="66"/>
      <c r="D60" s="66"/>
    </row>
    <row r="61" spans="1:19" x14ac:dyDescent="0.2">
      <c r="A61" s="67" t="s">
        <v>110</v>
      </c>
      <c r="B61" s="66"/>
      <c r="C61" s="47"/>
    </row>
    <row r="62" spans="1:19" x14ac:dyDescent="0.2">
      <c r="A62" s="68" t="s">
        <v>111</v>
      </c>
      <c r="B62" s="38" t="s">
        <v>112</v>
      </c>
      <c r="C62" s="30" t="s">
        <v>113</v>
      </c>
    </row>
    <row r="63" spans="1:19" x14ac:dyDescent="0.2">
      <c r="A63" s="45"/>
    </row>
    <row r="64" spans="1:19" x14ac:dyDescent="0.2">
      <c r="A64" s="67" t="s">
        <v>114</v>
      </c>
    </row>
    <row r="65" spans="1:2" ht="25.5" x14ac:dyDescent="0.2">
      <c r="A65" s="69" t="s">
        <v>115</v>
      </c>
      <c r="B65" s="38" t="s">
        <v>404</v>
      </c>
    </row>
    <row r="66" spans="1:2" x14ac:dyDescent="0.2">
      <c r="A66" s="65"/>
      <c r="B66" s="66"/>
    </row>
    <row r="67" spans="1:2" s="35" customFormat="1" ht="15" x14ac:dyDescent="0.2">
      <c r="A67" s="34"/>
      <c r="B67" s="37"/>
    </row>
    <row r="68" spans="1:2" ht="15" x14ac:dyDescent="0.2">
      <c r="A68" s="70" t="s">
        <v>116</v>
      </c>
      <c r="B68" s="71"/>
    </row>
    <row r="69" spans="1:2" s="35" customFormat="1" x14ac:dyDescent="0.2">
      <c r="A69" s="72"/>
    </row>
    <row r="70" spans="1:2" s="35" customFormat="1" x14ac:dyDescent="0.2">
      <c r="A70" s="34"/>
      <c r="B70" s="73"/>
    </row>
    <row r="71" spans="1:2" s="35" customFormat="1" x14ac:dyDescent="0.2">
      <c r="A71" s="34"/>
    </row>
    <row r="72" spans="1:2" s="35" customFormat="1" x14ac:dyDescent="0.2">
      <c r="A72" s="34"/>
    </row>
    <row r="73" spans="1:2" s="35" customFormat="1" x14ac:dyDescent="0.2">
      <c r="A73" s="34"/>
    </row>
    <row r="74" spans="1:2" s="35" customFormat="1" x14ac:dyDescent="0.2">
      <c r="A74" s="34"/>
    </row>
    <row r="75" spans="1:2" s="35" customFormat="1" x14ac:dyDescent="0.2">
      <c r="A75" s="34"/>
    </row>
    <row r="76" spans="1:2" s="35" customFormat="1" x14ac:dyDescent="0.2">
      <c r="A76" s="34"/>
    </row>
    <row r="77" spans="1:2" s="35" customFormat="1" x14ac:dyDescent="0.2">
      <c r="A77" s="34"/>
    </row>
    <row r="78" spans="1:2" s="35" customFormat="1" x14ac:dyDescent="0.2">
      <c r="A78" s="34"/>
    </row>
    <row r="79" spans="1:2" s="35" customFormat="1" x14ac:dyDescent="0.2">
      <c r="A79" s="34"/>
    </row>
    <row r="80" spans="1:2" s="35" customFormat="1" x14ac:dyDescent="0.2">
      <c r="A80" s="34"/>
    </row>
    <row r="81" spans="1:10" s="35" customFormat="1" x14ac:dyDescent="0.2">
      <c r="A81" s="34"/>
    </row>
    <row r="82" spans="1:10" s="35" customFormat="1" x14ac:dyDescent="0.2">
      <c r="A82" s="34"/>
    </row>
    <row r="83" spans="1:10" s="35" customFormat="1" x14ac:dyDescent="0.2">
      <c r="A83" s="34"/>
    </row>
    <row r="84" spans="1:10" s="35" customFormat="1" x14ac:dyDescent="0.2">
      <c r="A84" s="34"/>
    </row>
    <row r="85" spans="1:10" s="35" customFormat="1" x14ac:dyDescent="0.2">
      <c r="A85" s="34"/>
    </row>
    <row r="86" spans="1:10" s="35" customFormat="1" x14ac:dyDescent="0.2">
      <c r="A86" s="34"/>
    </row>
    <row r="87" spans="1:10" s="35" customFormat="1" x14ac:dyDescent="0.2">
      <c r="A87" s="34"/>
    </row>
    <row r="88" spans="1:10" s="35" customFormat="1" x14ac:dyDescent="0.2">
      <c r="A88" s="34"/>
    </row>
    <row r="89" spans="1:10" s="35" customFormat="1" x14ac:dyDescent="0.2">
      <c r="A89" s="34"/>
    </row>
    <row r="90" spans="1:10" s="35" customFormat="1" x14ac:dyDescent="0.2">
      <c r="A90" s="34"/>
    </row>
    <row r="91" spans="1:10" s="35" customFormat="1" x14ac:dyDescent="0.2">
      <c r="A91" s="34"/>
    </row>
    <row r="92" spans="1:10" s="35" customFormat="1" x14ac:dyDescent="0.2">
      <c r="A92" s="34"/>
    </row>
    <row r="93" spans="1:10" s="35" customFormat="1" x14ac:dyDescent="0.2">
      <c r="A93" s="34"/>
      <c r="B93" s="36"/>
    </row>
    <row r="94" spans="1:10" s="35" customFormat="1" x14ac:dyDescent="0.2">
      <c r="A94" s="34"/>
      <c r="B94" s="36"/>
    </row>
    <row r="95" spans="1:10" s="35" customFormat="1" x14ac:dyDescent="0.2">
      <c r="A95" s="34"/>
      <c r="B95" s="36"/>
    </row>
    <row r="96" spans="1:10" s="75" customFormat="1" x14ac:dyDescent="0.2">
      <c r="A96" s="34"/>
      <c r="B96" s="36"/>
      <c r="C96" s="35"/>
      <c r="D96" s="35"/>
      <c r="E96" s="35"/>
      <c r="F96" s="35"/>
      <c r="G96" s="35"/>
      <c r="H96" s="35"/>
      <c r="I96" s="35"/>
      <c r="J96" s="74"/>
    </row>
    <row r="97" spans="1:2" s="35" customFormat="1" x14ac:dyDescent="0.2">
      <c r="A97" s="34"/>
      <c r="B97" s="36"/>
    </row>
    <row r="98" spans="1:2" s="35" customFormat="1" x14ac:dyDescent="0.2">
      <c r="A98" s="34"/>
      <c r="B98" s="36"/>
    </row>
    <row r="99" spans="1:2" s="35" customFormat="1" x14ac:dyDescent="0.2">
      <c r="A99" s="34"/>
      <c r="B99" s="36"/>
    </row>
    <row r="100" spans="1:2" s="35" customFormat="1" x14ac:dyDescent="0.2">
      <c r="A100" s="34"/>
      <c r="B100" s="36"/>
    </row>
    <row r="101" spans="1:2" s="35" customFormat="1" x14ac:dyDescent="0.2">
      <c r="A101" s="34"/>
      <c r="B101" s="36"/>
    </row>
    <row r="102" spans="1:2" s="35" customFormat="1" x14ac:dyDescent="0.2">
      <c r="A102" s="34"/>
      <c r="B102" s="36"/>
    </row>
    <row r="103" spans="1:2" s="35" customFormat="1" x14ac:dyDescent="0.2">
      <c r="A103" s="34"/>
      <c r="B103" s="36"/>
    </row>
    <row r="104" spans="1:2" s="35" customFormat="1" x14ac:dyDescent="0.2">
      <c r="A104" s="34"/>
      <c r="B104" s="36"/>
    </row>
    <row r="105" spans="1:2" s="35" customFormat="1" x14ac:dyDescent="0.2">
      <c r="A105" s="34"/>
      <c r="B105" s="36"/>
    </row>
    <row r="106" spans="1:2" s="35" customFormat="1" x14ac:dyDescent="0.2">
      <c r="A106" s="34"/>
      <c r="B106" s="36"/>
    </row>
    <row r="107" spans="1:2" s="35" customFormat="1" x14ac:dyDescent="0.2">
      <c r="A107" s="34"/>
      <c r="B107" s="36"/>
    </row>
    <row r="108" spans="1:2" s="35" customFormat="1" x14ac:dyDescent="0.2">
      <c r="A108" s="34"/>
      <c r="B108" s="36"/>
    </row>
    <row r="109" spans="1:2" s="35" customFormat="1" x14ac:dyDescent="0.2">
      <c r="A109" s="34"/>
      <c r="B109" s="36"/>
    </row>
    <row r="110" spans="1:2" s="35" customFormat="1" x14ac:dyDescent="0.2">
      <c r="A110" s="34"/>
      <c r="B110" s="36"/>
    </row>
    <row r="111" spans="1:2" s="35" customFormat="1" x14ac:dyDescent="0.2">
      <c r="A111" s="34"/>
      <c r="B111" s="36"/>
    </row>
    <row r="112" spans="1:2" s="35" customFormat="1" x14ac:dyDescent="0.2">
      <c r="A112" s="34"/>
      <c r="B112" s="36"/>
    </row>
    <row r="113" spans="1:2" s="35" customFormat="1" x14ac:dyDescent="0.2">
      <c r="A113" s="34"/>
      <c r="B113" s="36"/>
    </row>
    <row r="114" spans="1:2" s="35" customFormat="1" x14ac:dyDescent="0.2">
      <c r="A114" s="34"/>
      <c r="B114" s="36"/>
    </row>
    <row r="115" spans="1:2" s="35" customFormat="1" x14ac:dyDescent="0.2">
      <c r="A115" s="34"/>
      <c r="B115" s="36"/>
    </row>
    <row r="116" spans="1:2" s="35" customFormat="1" x14ac:dyDescent="0.2">
      <c r="A116" s="34"/>
      <c r="B116" s="36"/>
    </row>
    <row r="117" spans="1:2" s="35" customFormat="1" x14ac:dyDescent="0.2">
      <c r="A117" s="34"/>
      <c r="B117" s="36"/>
    </row>
    <row r="118" spans="1:2" s="35" customFormat="1" x14ac:dyDescent="0.2">
      <c r="A118" s="34"/>
      <c r="B118" s="36"/>
    </row>
    <row r="119" spans="1:2" s="35" customFormat="1" x14ac:dyDescent="0.2">
      <c r="A119" s="34"/>
      <c r="B119" s="36"/>
    </row>
    <row r="120" spans="1:2" s="35" customFormat="1" x14ac:dyDescent="0.2">
      <c r="A120" s="34"/>
      <c r="B120" s="36"/>
    </row>
    <row r="121" spans="1:2" s="35" customFormat="1" x14ac:dyDescent="0.2">
      <c r="A121" s="34"/>
      <c r="B121" s="36"/>
    </row>
    <row r="122" spans="1:2" s="35" customFormat="1" x14ac:dyDescent="0.2">
      <c r="A122" s="34"/>
      <c r="B122" s="36"/>
    </row>
    <row r="123" spans="1:2" s="35" customFormat="1" x14ac:dyDescent="0.2">
      <c r="A123" s="34"/>
      <c r="B123" s="36"/>
    </row>
    <row r="124" spans="1:2" s="35" customFormat="1" x14ac:dyDescent="0.2">
      <c r="A124" s="34"/>
      <c r="B124" s="36"/>
    </row>
    <row r="125" spans="1:2" s="35" customFormat="1" x14ac:dyDescent="0.2">
      <c r="A125" s="34"/>
      <c r="B125" s="36"/>
    </row>
    <row r="126" spans="1:2" s="35" customFormat="1" x14ac:dyDescent="0.2">
      <c r="A126" s="34"/>
      <c r="B126" s="36"/>
    </row>
    <row r="127" spans="1:2" s="35" customFormat="1" x14ac:dyDescent="0.2">
      <c r="A127" s="34"/>
      <c r="B127" s="36"/>
    </row>
    <row r="128" spans="1:2" s="35" customFormat="1" x14ac:dyDescent="0.2">
      <c r="A128" s="34"/>
      <c r="B128" s="36"/>
    </row>
    <row r="129" spans="1:2" s="35" customFormat="1" x14ac:dyDescent="0.2">
      <c r="A129" s="34"/>
      <c r="B129" s="36"/>
    </row>
    <row r="130" spans="1:2" s="35" customFormat="1" x14ac:dyDescent="0.2">
      <c r="A130" s="34"/>
      <c r="B130" s="36"/>
    </row>
    <row r="131" spans="1:2" s="35" customFormat="1" x14ac:dyDescent="0.2">
      <c r="A131" s="34"/>
      <c r="B131" s="36"/>
    </row>
    <row r="132" spans="1:2" s="35" customFormat="1" x14ac:dyDescent="0.2">
      <c r="A132" s="34"/>
      <c r="B132" s="36"/>
    </row>
    <row r="133" spans="1:2" s="35" customFormat="1" x14ac:dyDescent="0.2">
      <c r="A133" s="34"/>
      <c r="B133" s="36"/>
    </row>
    <row r="134" spans="1:2" s="35" customFormat="1" x14ac:dyDescent="0.2">
      <c r="A134" s="34"/>
      <c r="B134" s="36"/>
    </row>
    <row r="135" spans="1:2" s="35" customFormat="1" x14ac:dyDescent="0.2">
      <c r="A135" s="34"/>
      <c r="B135" s="36"/>
    </row>
    <row r="136" spans="1:2" s="35" customFormat="1" x14ac:dyDescent="0.2">
      <c r="A136" s="34"/>
      <c r="B136" s="36"/>
    </row>
    <row r="137" spans="1:2" s="35" customFormat="1" x14ac:dyDescent="0.2">
      <c r="A137" s="34"/>
      <c r="B137" s="36"/>
    </row>
    <row r="138" spans="1:2" s="35" customFormat="1" x14ac:dyDescent="0.2">
      <c r="A138" s="34"/>
      <c r="B138" s="36"/>
    </row>
    <row r="139" spans="1:2" s="35" customFormat="1" x14ac:dyDescent="0.2">
      <c r="A139" s="34"/>
      <c r="B139" s="36"/>
    </row>
    <row r="140" spans="1:2" s="35" customFormat="1" x14ac:dyDescent="0.2">
      <c r="A140" s="34"/>
      <c r="B140" s="36"/>
    </row>
    <row r="141" spans="1:2" s="35" customFormat="1" x14ac:dyDescent="0.2">
      <c r="A141" s="34"/>
      <c r="B141" s="36"/>
    </row>
    <row r="142" spans="1:2" s="35" customFormat="1" x14ac:dyDescent="0.2">
      <c r="A142" s="34"/>
      <c r="B142" s="36"/>
    </row>
    <row r="143" spans="1:2" s="35" customFormat="1" x14ac:dyDescent="0.2">
      <c r="A143" s="34"/>
      <c r="B143" s="36"/>
    </row>
    <row r="144" spans="1:2" s="35" customFormat="1" x14ac:dyDescent="0.2">
      <c r="A144" s="34"/>
      <c r="B144" s="36"/>
    </row>
    <row r="145" spans="1:2" s="35" customFormat="1" x14ac:dyDescent="0.2">
      <c r="A145" s="34"/>
      <c r="B145" s="36"/>
    </row>
    <row r="146" spans="1:2" s="35" customFormat="1" x14ac:dyDescent="0.2">
      <c r="A146" s="34"/>
      <c r="B146" s="36"/>
    </row>
    <row r="147" spans="1:2" s="35" customFormat="1" x14ac:dyDescent="0.2">
      <c r="A147" s="34"/>
      <c r="B147" s="36"/>
    </row>
    <row r="148" spans="1:2" s="35" customFormat="1" x14ac:dyDescent="0.2">
      <c r="A148" s="34"/>
      <c r="B148" s="36"/>
    </row>
    <row r="149" spans="1:2" s="35" customFormat="1" x14ac:dyDescent="0.2">
      <c r="A149" s="34"/>
      <c r="B149" s="36"/>
    </row>
    <row r="150" spans="1:2" s="35" customFormat="1" x14ac:dyDescent="0.2">
      <c r="A150" s="34"/>
      <c r="B150" s="36"/>
    </row>
    <row r="151" spans="1:2" s="35" customFormat="1" x14ac:dyDescent="0.2">
      <c r="A151" s="34"/>
      <c r="B151" s="36"/>
    </row>
    <row r="152" spans="1:2" s="35" customFormat="1" x14ac:dyDescent="0.2">
      <c r="A152" s="34"/>
      <c r="B152" s="36"/>
    </row>
    <row r="153" spans="1:2" s="35" customFormat="1" x14ac:dyDescent="0.2">
      <c r="A153" s="34"/>
      <c r="B153" s="36"/>
    </row>
    <row r="154" spans="1:2" s="35" customFormat="1" x14ac:dyDescent="0.2">
      <c r="A154" s="34"/>
      <c r="B154" s="36"/>
    </row>
    <row r="155" spans="1:2" s="35" customFormat="1" x14ac:dyDescent="0.2">
      <c r="A155" s="34"/>
      <c r="B155" s="36"/>
    </row>
    <row r="156" spans="1:2" s="35" customFormat="1" x14ac:dyDescent="0.2">
      <c r="A156" s="34"/>
      <c r="B156" s="36"/>
    </row>
    <row r="157" spans="1:2" s="35" customFormat="1" x14ac:dyDescent="0.2">
      <c r="A157" s="34"/>
      <c r="B157" s="36"/>
    </row>
    <row r="158" spans="1:2" s="35" customFormat="1" x14ac:dyDescent="0.2">
      <c r="A158" s="34"/>
      <c r="B158" s="36"/>
    </row>
    <row r="159" spans="1:2" s="35" customFormat="1" x14ac:dyDescent="0.2">
      <c r="A159" s="34"/>
      <c r="B159" s="36"/>
    </row>
    <row r="160" spans="1:2" s="35" customFormat="1" x14ac:dyDescent="0.2">
      <c r="A160" s="34"/>
      <c r="B160" s="36"/>
    </row>
    <row r="161" spans="1:3" s="35" customFormat="1" x14ac:dyDescent="0.2">
      <c r="A161" s="34"/>
      <c r="B161" s="36"/>
    </row>
    <row r="162" spans="1:3" s="35" customFormat="1" x14ac:dyDescent="0.2">
      <c r="A162" s="34"/>
      <c r="B162" s="36"/>
    </row>
    <row r="163" spans="1:3" s="35" customFormat="1" x14ac:dyDescent="0.2">
      <c r="A163" s="34"/>
      <c r="B163" s="36"/>
    </row>
    <row r="164" spans="1:3" s="35" customFormat="1" x14ac:dyDescent="0.2">
      <c r="A164" s="34"/>
      <c r="B164" s="36"/>
    </row>
    <row r="165" spans="1:3" s="35" customFormat="1" x14ac:dyDescent="0.2">
      <c r="A165" s="34"/>
      <c r="B165" s="36"/>
    </row>
    <row r="166" spans="1:3" s="35" customFormat="1" x14ac:dyDescent="0.2">
      <c r="A166" s="34"/>
      <c r="B166" s="36"/>
    </row>
    <row r="167" spans="1:3" s="35" customFormat="1" x14ac:dyDescent="0.2">
      <c r="A167" s="34"/>
      <c r="B167" s="36"/>
    </row>
    <row r="168" spans="1:3" s="35" customFormat="1" x14ac:dyDescent="0.2">
      <c r="A168" s="34"/>
      <c r="B168" s="76"/>
    </row>
    <row r="169" spans="1:3" s="35" customFormat="1" ht="13.5" thickBot="1" x14ac:dyDescent="0.25">
      <c r="A169" s="34"/>
      <c r="B169" s="36"/>
    </row>
    <row r="170" spans="1:3" s="35" customFormat="1" ht="13.5" thickBot="1" x14ac:dyDescent="0.25">
      <c r="A170" s="77" t="s">
        <v>117</v>
      </c>
      <c r="B170" s="78"/>
    </row>
    <row r="171" spans="1:3" s="35" customFormat="1" x14ac:dyDescent="0.2">
      <c r="A171" s="79" t="s">
        <v>118</v>
      </c>
      <c r="B171" s="80"/>
      <c r="C171" s="81"/>
    </row>
    <row r="172" spans="1:3" s="35" customFormat="1" x14ac:dyDescent="0.2">
      <c r="A172" s="82" t="s">
        <v>119</v>
      </c>
      <c r="B172" s="83"/>
      <c r="C172" s="84"/>
    </row>
    <row r="173" spans="1:3" s="35" customFormat="1" x14ac:dyDescent="0.2">
      <c r="A173" s="85" t="s">
        <v>120</v>
      </c>
      <c r="B173" s="24"/>
    </row>
    <row r="174" spans="1:3" s="35" customFormat="1" x14ac:dyDescent="0.2">
      <c r="A174" s="86" t="s">
        <v>121</v>
      </c>
      <c r="B174" s="24"/>
    </row>
    <row r="175" spans="1:3" s="35" customFormat="1" x14ac:dyDescent="0.2">
      <c r="A175" s="85"/>
      <c r="B175" s="24"/>
    </row>
    <row r="176" spans="1:3" s="35" customFormat="1" x14ac:dyDescent="0.2">
      <c r="A176" s="85"/>
      <c r="B176" s="24"/>
    </row>
    <row r="177" spans="1:14" s="35" customFormat="1" x14ac:dyDescent="0.2">
      <c r="A177" s="85"/>
      <c r="B177" s="24"/>
    </row>
    <row r="178" spans="1:14" x14ac:dyDescent="0.2">
      <c r="A178" s="34"/>
      <c r="C178" s="65"/>
      <c r="D178" s="66"/>
    </row>
    <row r="179" spans="1:14" x14ac:dyDescent="0.2">
      <c r="A179" s="34"/>
      <c r="C179" s="65"/>
      <c r="D179" s="66"/>
    </row>
    <row r="180" spans="1:14" x14ac:dyDescent="0.2">
      <c r="A180" s="34"/>
      <c r="C180" s="65"/>
      <c r="D180" s="66"/>
    </row>
    <row r="181" spans="1:14" x14ac:dyDescent="0.2">
      <c r="A181" s="70" t="s">
        <v>122</v>
      </c>
      <c r="K181" s="87" t="s">
        <v>123</v>
      </c>
    </row>
    <row r="182" spans="1:14" ht="28.15" customHeight="1" x14ac:dyDescent="0.2">
      <c r="A182" s="88" t="s">
        <v>124</v>
      </c>
      <c r="B182" s="88" t="s">
        <v>125</v>
      </c>
      <c r="C182" s="88" t="s">
        <v>126</v>
      </c>
      <c r="D182" s="89" t="s">
        <v>127</v>
      </c>
      <c r="E182" s="88" t="s">
        <v>128</v>
      </c>
      <c r="F182" s="88" t="s">
        <v>129</v>
      </c>
      <c r="G182" s="88" t="s">
        <v>130</v>
      </c>
      <c r="H182" s="90"/>
      <c r="I182" s="90"/>
      <c r="K182" s="91" t="s">
        <v>43</v>
      </c>
      <c r="L182" s="91" t="s">
        <v>131</v>
      </c>
      <c r="M182" s="91" t="s">
        <v>132</v>
      </c>
      <c r="N182" s="91" t="s">
        <v>133</v>
      </c>
    </row>
    <row r="183" spans="1:14" x14ac:dyDescent="0.2">
      <c r="A183" s="92" t="s">
        <v>135</v>
      </c>
      <c r="B183" s="93" t="s">
        <v>136</v>
      </c>
      <c r="C183" s="93" t="s">
        <v>137</v>
      </c>
      <c r="D183" s="93"/>
      <c r="E183" s="93" t="s">
        <v>138</v>
      </c>
      <c r="F183" s="93"/>
      <c r="G183" s="93"/>
      <c r="H183" s="93"/>
      <c r="I183" s="93"/>
      <c r="L183" s="27" t="s">
        <v>134</v>
      </c>
      <c r="M183" s="116"/>
    </row>
    <row r="184" spans="1:14" x14ac:dyDescent="0.2">
      <c r="A184" s="92" t="s">
        <v>141</v>
      </c>
      <c r="B184" s="93" t="s">
        <v>142</v>
      </c>
      <c r="C184" s="93" t="s">
        <v>137</v>
      </c>
      <c r="D184" s="93"/>
      <c r="E184" s="93" t="s">
        <v>14</v>
      </c>
      <c r="F184" s="93"/>
      <c r="G184" s="93"/>
      <c r="H184" s="93"/>
      <c r="I184" s="93"/>
      <c r="K184" s="27" t="s">
        <v>44</v>
      </c>
      <c r="L184" s="27" t="s">
        <v>137</v>
      </c>
      <c r="M184" s="27" t="s">
        <v>139</v>
      </c>
      <c r="N184" s="27" t="s">
        <v>140</v>
      </c>
    </row>
    <row r="185" spans="1:14" x14ac:dyDescent="0.2">
      <c r="A185" s="92" t="s">
        <v>146</v>
      </c>
      <c r="B185" s="93" t="s">
        <v>20</v>
      </c>
      <c r="C185" s="93" t="s">
        <v>139</v>
      </c>
      <c r="D185" s="93"/>
      <c r="E185" s="93"/>
      <c r="F185" s="93"/>
      <c r="G185" s="93"/>
      <c r="H185" s="93"/>
      <c r="I185" s="93"/>
      <c r="K185" s="27" t="s">
        <v>45</v>
      </c>
      <c r="L185" s="27" t="s">
        <v>143</v>
      </c>
      <c r="M185" s="27" t="s">
        <v>144</v>
      </c>
      <c r="N185" s="27" t="s">
        <v>145</v>
      </c>
    </row>
    <row r="186" spans="1:14" ht="38.25" x14ac:dyDescent="0.2">
      <c r="A186" s="92" t="s">
        <v>149</v>
      </c>
      <c r="B186" s="93" t="s">
        <v>150</v>
      </c>
      <c r="C186" s="93" t="s">
        <v>139</v>
      </c>
      <c r="D186" s="93"/>
      <c r="E186" s="93"/>
      <c r="F186" s="93"/>
      <c r="G186" s="93"/>
      <c r="H186" s="93"/>
      <c r="I186" s="93"/>
      <c r="K186" s="27" t="s">
        <v>46</v>
      </c>
      <c r="L186" s="27" t="s">
        <v>147</v>
      </c>
      <c r="M186" s="27" t="s">
        <v>137</v>
      </c>
      <c r="N186" s="27" t="s">
        <v>148</v>
      </c>
    </row>
    <row r="187" spans="1:14" x14ac:dyDescent="0.2">
      <c r="A187" s="92" t="s">
        <v>153</v>
      </c>
      <c r="B187" s="93" t="s">
        <v>154</v>
      </c>
      <c r="C187" s="93" t="s">
        <v>139</v>
      </c>
      <c r="D187" s="93"/>
      <c r="E187" s="93"/>
      <c r="F187" s="93"/>
      <c r="G187" s="93"/>
      <c r="H187" s="93"/>
      <c r="I187" s="93"/>
      <c r="K187" s="27" t="s">
        <v>47</v>
      </c>
      <c r="L187" s="27" t="s">
        <v>151</v>
      </c>
      <c r="N187" s="27" t="s">
        <v>152</v>
      </c>
    </row>
    <row r="188" spans="1:14" x14ac:dyDescent="0.2">
      <c r="A188" s="92" t="s">
        <v>361</v>
      </c>
      <c r="B188" s="93" t="s">
        <v>158</v>
      </c>
      <c r="C188" s="93" t="s">
        <v>139</v>
      </c>
      <c r="D188" s="93"/>
      <c r="E188" s="93"/>
      <c r="F188" s="93"/>
      <c r="G188" s="93"/>
      <c r="H188" s="93"/>
      <c r="I188" s="93"/>
      <c r="K188" s="27" t="s">
        <v>155</v>
      </c>
      <c r="L188" s="27" t="s">
        <v>156</v>
      </c>
      <c r="N188" s="27" t="s">
        <v>157</v>
      </c>
    </row>
    <row r="189" spans="1:14" x14ac:dyDescent="0.2">
      <c r="A189" s="92" t="s">
        <v>161</v>
      </c>
      <c r="B189" s="93" t="s">
        <v>362</v>
      </c>
      <c r="C189" s="93" t="s">
        <v>139</v>
      </c>
      <c r="D189" s="93"/>
      <c r="E189" s="93"/>
      <c r="F189" s="93"/>
      <c r="G189" s="93"/>
      <c r="H189" s="93"/>
      <c r="I189" s="93"/>
      <c r="N189" s="27" t="s">
        <v>159</v>
      </c>
    </row>
    <row r="190" spans="1:14" x14ac:dyDescent="0.2">
      <c r="A190" s="92" t="s">
        <v>363</v>
      </c>
      <c r="B190" s="93" t="s">
        <v>167</v>
      </c>
      <c r="C190" s="93" t="s">
        <v>139</v>
      </c>
      <c r="D190" s="93"/>
      <c r="E190" s="93"/>
      <c r="F190" s="93"/>
      <c r="G190" s="93"/>
      <c r="H190" s="93"/>
      <c r="I190" s="93"/>
      <c r="N190" s="27" t="s">
        <v>160</v>
      </c>
    </row>
    <row r="191" spans="1:14" ht="25.5" x14ac:dyDescent="0.2">
      <c r="A191" s="92" t="s">
        <v>365</v>
      </c>
      <c r="B191" s="93" t="s">
        <v>366</v>
      </c>
      <c r="C191" s="93" t="s">
        <v>144</v>
      </c>
      <c r="D191" s="93" t="s">
        <v>172</v>
      </c>
      <c r="E191" s="93"/>
      <c r="F191" s="93"/>
      <c r="G191" s="93"/>
      <c r="H191" s="93"/>
      <c r="I191" s="93"/>
      <c r="N191" s="27" t="s">
        <v>162</v>
      </c>
    </row>
    <row r="192" spans="1:14" ht="25.5" x14ac:dyDescent="0.2">
      <c r="A192" s="92" t="s">
        <v>367</v>
      </c>
      <c r="B192" s="93" t="s">
        <v>368</v>
      </c>
      <c r="C192" s="93" t="s">
        <v>144</v>
      </c>
      <c r="D192" s="93" t="s">
        <v>187</v>
      </c>
      <c r="E192" s="93"/>
      <c r="F192" s="93"/>
      <c r="G192" s="93"/>
      <c r="H192" s="93"/>
      <c r="I192" s="93"/>
      <c r="N192" s="27" t="s">
        <v>163</v>
      </c>
    </row>
    <row r="193" spans="1:14" ht="25.5" x14ac:dyDescent="0.2">
      <c r="A193" s="92" t="s">
        <v>369</v>
      </c>
      <c r="B193" s="93" t="s">
        <v>370</v>
      </c>
      <c r="C193" s="93" t="s">
        <v>144</v>
      </c>
      <c r="D193" s="93" t="s">
        <v>187</v>
      </c>
      <c r="E193" s="93"/>
      <c r="F193" s="93"/>
      <c r="G193" s="93"/>
      <c r="H193" s="93"/>
      <c r="I193" s="93"/>
      <c r="N193" s="27" t="s">
        <v>164</v>
      </c>
    </row>
    <row r="194" spans="1:14" ht="25.5" x14ac:dyDescent="0.2">
      <c r="A194" s="92" t="s">
        <v>371</v>
      </c>
      <c r="B194" s="93" t="s">
        <v>405</v>
      </c>
      <c r="C194" s="93" t="s">
        <v>144</v>
      </c>
      <c r="D194" s="93" t="s">
        <v>261</v>
      </c>
      <c r="E194" s="93"/>
      <c r="F194" s="93"/>
      <c r="G194" s="93"/>
      <c r="H194" s="93"/>
      <c r="I194" s="93"/>
      <c r="N194" s="27" t="s">
        <v>166</v>
      </c>
    </row>
    <row r="195" spans="1:14" ht="25.5" x14ac:dyDescent="0.2">
      <c r="A195" s="92" t="s">
        <v>372</v>
      </c>
      <c r="B195" s="93" t="s">
        <v>406</v>
      </c>
      <c r="C195" s="93" t="s">
        <v>144</v>
      </c>
      <c r="D195" s="93" t="s">
        <v>261</v>
      </c>
      <c r="E195" s="93"/>
      <c r="F195" s="93"/>
      <c r="G195" s="93"/>
      <c r="H195" s="93"/>
      <c r="I195" s="93"/>
      <c r="N195" s="27" t="s">
        <v>168</v>
      </c>
    </row>
    <row r="196" spans="1:14" ht="38.25" x14ac:dyDescent="0.2">
      <c r="A196" s="92" t="s">
        <v>373</v>
      </c>
      <c r="B196" s="93" t="s">
        <v>407</v>
      </c>
      <c r="C196" s="93" t="s">
        <v>144</v>
      </c>
      <c r="D196" s="93" t="s">
        <v>261</v>
      </c>
      <c r="E196" s="93"/>
      <c r="F196" s="93"/>
      <c r="G196" s="93" t="s">
        <v>1728</v>
      </c>
      <c r="H196" s="93"/>
      <c r="I196" s="93"/>
      <c r="N196" s="27" t="s">
        <v>169</v>
      </c>
    </row>
    <row r="197" spans="1:14" ht="38.25" x14ac:dyDescent="0.2">
      <c r="A197" s="92" t="s">
        <v>374</v>
      </c>
      <c r="B197" s="93" t="s">
        <v>408</v>
      </c>
      <c r="C197" s="93" t="s">
        <v>144</v>
      </c>
      <c r="D197" s="93" t="s">
        <v>261</v>
      </c>
      <c r="E197" s="93"/>
      <c r="F197" s="93"/>
      <c r="G197" s="93" t="s">
        <v>1728</v>
      </c>
      <c r="H197" s="93"/>
      <c r="I197" s="93"/>
      <c r="N197" s="27" t="s">
        <v>170</v>
      </c>
    </row>
    <row r="198" spans="1:14" ht="38.25" x14ac:dyDescent="0.2">
      <c r="A198" s="92" t="s">
        <v>375</v>
      </c>
      <c r="B198" s="93" t="s">
        <v>409</v>
      </c>
      <c r="C198" s="93" t="s">
        <v>144</v>
      </c>
      <c r="D198" s="93" t="s">
        <v>261</v>
      </c>
      <c r="E198" s="93"/>
      <c r="F198" s="93"/>
      <c r="G198" s="93"/>
      <c r="H198" s="93"/>
      <c r="I198" s="93"/>
      <c r="N198" s="27" t="s">
        <v>171</v>
      </c>
    </row>
    <row r="199" spans="1:14" ht="38.25" x14ac:dyDescent="0.2">
      <c r="A199" s="92" t="s">
        <v>376</v>
      </c>
      <c r="B199" s="93" t="s">
        <v>408</v>
      </c>
      <c r="C199" s="93" t="s">
        <v>144</v>
      </c>
      <c r="D199" s="93" t="s">
        <v>261</v>
      </c>
      <c r="E199" s="93"/>
      <c r="F199" s="93"/>
      <c r="G199" s="93"/>
      <c r="H199" s="93"/>
      <c r="I199" s="93"/>
      <c r="N199" s="27" t="s">
        <v>172</v>
      </c>
    </row>
    <row r="200" spans="1:14" ht="25.5" x14ac:dyDescent="0.2">
      <c r="A200" s="92" t="s">
        <v>377</v>
      </c>
      <c r="B200" s="93" t="s">
        <v>434</v>
      </c>
      <c r="C200" s="93" t="s">
        <v>144</v>
      </c>
      <c r="D200" s="93" t="s">
        <v>144</v>
      </c>
      <c r="E200" s="93"/>
      <c r="F200" s="93"/>
      <c r="G200" s="93"/>
      <c r="H200" s="93"/>
      <c r="I200" s="93"/>
      <c r="N200" s="27" t="s">
        <v>173</v>
      </c>
    </row>
    <row r="201" spans="1:14" ht="38.25" x14ac:dyDescent="0.2">
      <c r="A201" s="92" t="s">
        <v>378</v>
      </c>
      <c r="B201" s="93" t="s">
        <v>410</v>
      </c>
      <c r="C201" s="93" t="s">
        <v>144</v>
      </c>
      <c r="D201" s="93" t="s">
        <v>261</v>
      </c>
      <c r="E201" s="93"/>
      <c r="F201" s="93"/>
      <c r="G201" s="93"/>
      <c r="H201" s="93"/>
      <c r="I201" s="93"/>
      <c r="N201" s="27" t="s">
        <v>174</v>
      </c>
    </row>
    <row r="202" spans="1:14" ht="25.5" x14ac:dyDescent="0.2">
      <c r="A202" s="92" t="s">
        <v>379</v>
      </c>
      <c r="B202" s="93" t="s">
        <v>411</v>
      </c>
      <c r="C202" s="93" t="s">
        <v>144</v>
      </c>
      <c r="D202" s="93" t="s">
        <v>261</v>
      </c>
      <c r="E202" s="93"/>
      <c r="F202" s="93"/>
      <c r="G202" s="93"/>
      <c r="H202" s="93"/>
      <c r="I202" s="93"/>
      <c r="N202" s="27" t="s">
        <v>175</v>
      </c>
    </row>
    <row r="203" spans="1:14" ht="25.5" x14ac:dyDescent="0.2">
      <c r="A203" s="92" t="s">
        <v>380</v>
      </c>
      <c r="B203" s="93" t="s">
        <v>411</v>
      </c>
      <c r="C203" s="93" t="s">
        <v>144</v>
      </c>
      <c r="D203" s="93" t="s">
        <v>261</v>
      </c>
      <c r="E203" s="93"/>
      <c r="F203" s="93"/>
      <c r="G203" s="93"/>
      <c r="H203" s="93"/>
      <c r="I203" s="93"/>
      <c r="N203" s="27" t="s">
        <v>176</v>
      </c>
    </row>
    <row r="204" spans="1:14" ht="25.5" x14ac:dyDescent="0.2">
      <c r="A204" s="92" t="s">
        <v>381</v>
      </c>
      <c r="B204" s="93" t="s">
        <v>412</v>
      </c>
      <c r="C204" s="93" t="s">
        <v>144</v>
      </c>
      <c r="D204" s="93" t="s">
        <v>261</v>
      </c>
      <c r="E204" s="93"/>
      <c r="F204" s="93"/>
      <c r="G204" s="93"/>
      <c r="H204" s="93"/>
      <c r="I204" s="93"/>
      <c r="N204" s="27" t="s">
        <v>177</v>
      </c>
    </row>
    <row r="205" spans="1:14" ht="25.5" x14ac:dyDescent="0.2">
      <c r="A205" s="92" t="s">
        <v>382</v>
      </c>
      <c r="B205" s="93" t="s">
        <v>413</v>
      </c>
      <c r="C205" s="93" t="s">
        <v>144</v>
      </c>
      <c r="D205" s="93" t="s">
        <v>261</v>
      </c>
      <c r="E205" s="93"/>
      <c r="F205" s="93"/>
      <c r="G205" s="93"/>
      <c r="H205" s="93"/>
      <c r="I205" s="93"/>
      <c r="N205" s="27" t="s">
        <v>178</v>
      </c>
    </row>
    <row r="206" spans="1:14" ht="25.5" x14ac:dyDescent="0.2">
      <c r="A206" s="92" t="s">
        <v>383</v>
      </c>
      <c r="B206" s="93" t="s">
        <v>414</v>
      </c>
      <c r="C206" s="93" t="s">
        <v>144</v>
      </c>
      <c r="D206" s="93" t="s">
        <v>261</v>
      </c>
      <c r="E206" s="93"/>
      <c r="F206" s="93"/>
      <c r="G206" s="93"/>
      <c r="H206" s="93"/>
      <c r="I206" s="93"/>
      <c r="N206" s="27" t="s">
        <v>179</v>
      </c>
    </row>
    <row r="207" spans="1:14" ht="25.5" x14ac:dyDescent="0.2">
      <c r="A207" s="92" t="s">
        <v>384</v>
      </c>
      <c r="B207" s="93" t="s">
        <v>415</v>
      </c>
      <c r="C207" s="93" t="s">
        <v>144</v>
      </c>
      <c r="D207" s="93" t="s">
        <v>261</v>
      </c>
      <c r="E207" s="93"/>
      <c r="F207" s="93"/>
      <c r="G207" s="93"/>
      <c r="H207" s="93"/>
      <c r="I207" s="93"/>
      <c r="N207" s="27" t="s">
        <v>180</v>
      </c>
    </row>
    <row r="208" spans="1:14" ht="25.5" x14ac:dyDescent="0.2">
      <c r="A208" s="92" t="s">
        <v>385</v>
      </c>
      <c r="B208" s="93" t="s">
        <v>416</v>
      </c>
      <c r="C208" s="93" t="s">
        <v>144</v>
      </c>
      <c r="D208" s="93" t="s">
        <v>261</v>
      </c>
      <c r="E208" s="93"/>
      <c r="F208" s="93"/>
      <c r="G208" s="93"/>
      <c r="H208" s="93"/>
      <c r="I208" s="93"/>
      <c r="N208" s="27" t="s">
        <v>181</v>
      </c>
    </row>
    <row r="209" spans="1:14" ht="25.5" x14ac:dyDescent="0.2">
      <c r="A209" s="92" t="s">
        <v>386</v>
      </c>
      <c r="B209" s="93" t="s">
        <v>417</v>
      </c>
      <c r="C209" s="93" t="s">
        <v>144</v>
      </c>
      <c r="D209" s="93" t="s">
        <v>261</v>
      </c>
      <c r="E209" s="93"/>
      <c r="F209" s="93"/>
      <c r="G209" s="93"/>
      <c r="H209" s="93"/>
      <c r="I209" s="93"/>
      <c r="N209" s="27" t="s">
        <v>182</v>
      </c>
    </row>
    <row r="210" spans="1:14" ht="25.5" x14ac:dyDescent="0.2">
      <c r="A210" s="92" t="s">
        <v>387</v>
      </c>
      <c r="B210" s="93" t="s">
        <v>418</v>
      </c>
      <c r="C210" s="93" t="s">
        <v>144</v>
      </c>
      <c r="D210" s="93" t="s">
        <v>261</v>
      </c>
      <c r="E210" s="93"/>
      <c r="F210" s="93"/>
      <c r="G210" s="93"/>
      <c r="H210" s="93"/>
      <c r="I210" s="93"/>
      <c r="N210" s="27" t="s">
        <v>183</v>
      </c>
    </row>
    <row r="211" spans="1:14" ht="25.5" x14ac:dyDescent="0.2">
      <c r="A211" s="92" t="s">
        <v>388</v>
      </c>
      <c r="B211" s="93" t="s">
        <v>419</v>
      </c>
      <c r="C211" s="93" t="s">
        <v>144</v>
      </c>
      <c r="D211" s="93" t="s">
        <v>261</v>
      </c>
      <c r="E211" s="93"/>
      <c r="F211" s="93"/>
      <c r="G211" s="93"/>
      <c r="H211" s="93"/>
      <c r="I211" s="93"/>
      <c r="N211" s="27" t="s">
        <v>184</v>
      </c>
    </row>
    <row r="212" spans="1:14" ht="38.25" x14ac:dyDescent="0.2">
      <c r="A212" s="92" t="s">
        <v>389</v>
      </c>
      <c r="B212" s="93" t="s">
        <v>420</v>
      </c>
      <c r="C212" s="93" t="s">
        <v>144</v>
      </c>
      <c r="D212" s="93" t="s">
        <v>261</v>
      </c>
      <c r="E212" s="93"/>
      <c r="F212" s="93"/>
      <c r="G212" s="93"/>
      <c r="H212" s="93"/>
      <c r="I212" s="93"/>
      <c r="N212" s="27" t="s">
        <v>185</v>
      </c>
    </row>
    <row r="213" spans="1:14" ht="25.5" x14ac:dyDescent="0.2">
      <c r="A213" s="92" t="s">
        <v>390</v>
      </c>
      <c r="B213" s="93" t="s">
        <v>421</v>
      </c>
      <c r="C213" s="93" t="s">
        <v>144</v>
      </c>
      <c r="D213" s="93" t="s">
        <v>261</v>
      </c>
      <c r="E213" s="93"/>
      <c r="F213" s="93"/>
      <c r="G213" s="93"/>
      <c r="H213" s="93"/>
      <c r="I213" s="93"/>
      <c r="N213" s="27" t="s">
        <v>186</v>
      </c>
    </row>
    <row r="214" spans="1:14" ht="25.5" x14ac:dyDescent="0.2">
      <c r="A214" s="92" t="s">
        <v>391</v>
      </c>
      <c r="B214" s="93" t="s">
        <v>421</v>
      </c>
      <c r="C214" s="93" t="s">
        <v>144</v>
      </c>
      <c r="D214" s="93" t="s">
        <v>261</v>
      </c>
      <c r="E214" s="93"/>
      <c r="F214" s="93"/>
      <c r="G214" s="93"/>
      <c r="H214" s="93"/>
      <c r="I214" s="93"/>
      <c r="N214" s="27" t="s">
        <v>187</v>
      </c>
    </row>
    <row r="215" spans="1:14" ht="25.5" x14ac:dyDescent="0.2">
      <c r="A215" s="92" t="s">
        <v>392</v>
      </c>
      <c r="B215" s="93" t="s">
        <v>422</v>
      </c>
      <c r="C215" s="93" t="s">
        <v>144</v>
      </c>
      <c r="D215" s="93" t="s">
        <v>261</v>
      </c>
      <c r="E215" s="93"/>
      <c r="F215" s="93"/>
      <c r="G215" s="93"/>
      <c r="H215" s="93"/>
      <c r="I215" s="93"/>
      <c r="N215" s="27" t="s">
        <v>188</v>
      </c>
    </row>
    <row r="216" spans="1:14" ht="25.5" x14ac:dyDescent="0.2">
      <c r="A216" s="92" t="s">
        <v>393</v>
      </c>
      <c r="B216" s="93" t="s">
        <v>423</v>
      </c>
      <c r="C216" s="93" t="s">
        <v>144</v>
      </c>
      <c r="D216" s="93" t="s">
        <v>261</v>
      </c>
      <c r="E216" s="93"/>
      <c r="F216" s="93"/>
      <c r="G216" s="93"/>
      <c r="H216" s="93"/>
      <c r="I216" s="93"/>
      <c r="N216" s="27" t="s">
        <v>189</v>
      </c>
    </row>
    <row r="217" spans="1:14" ht="25.5" x14ac:dyDescent="0.2">
      <c r="A217" s="92" t="s">
        <v>394</v>
      </c>
      <c r="B217" s="93" t="s">
        <v>424</v>
      </c>
      <c r="C217" s="93" t="s">
        <v>144</v>
      </c>
      <c r="D217" s="93" t="s">
        <v>261</v>
      </c>
      <c r="E217" s="93"/>
      <c r="F217" s="93"/>
      <c r="G217" s="93"/>
      <c r="H217" s="93"/>
      <c r="I217" s="93"/>
      <c r="N217" s="27" t="s">
        <v>456</v>
      </c>
    </row>
    <row r="218" spans="1:14" ht="25.5" x14ac:dyDescent="0.2">
      <c r="A218" s="92" t="s">
        <v>395</v>
      </c>
      <c r="B218" s="93" t="s">
        <v>425</v>
      </c>
      <c r="C218" s="93" t="s">
        <v>144</v>
      </c>
      <c r="D218" s="93" t="s">
        <v>261</v>
      </c>
      <c r="E218" s="93"/>
      <c r="F218" s="93"/>
      <c r="G218" s="93"/>
      <c r="H218" s="93"/>
      <c r="I218" s="93"/>
      <c r="N218" s="27" t="s">
        <v>190</v>
      </c>
    </row>
    <row r="219" spans="1:14" ht="25.5" x14ac:dyDescent="0.2">
      <c r="A219" s="92" t="s">
        <v>396</v>
      </c>
      <c r="B219" s="93" t="s">
        <v>426</v>
      </c>
      <c r="C219" s="93" t="s">
        <v>144</v>
      </c>
      <c r="D219" s="93" t="s">
        <v>261</v>
      </c>
      <c r="E219" s="93"/>
      <c r="F219" s="93"/>
      <c r="G219" s="93"/>
      <c r="H219" s="93"/>
      <c r="I219" s="93"/>
      <c r="N219" s="27" t="s">
        <v>191</v>
      </c>
    </row>
    <row r="220" spans="1:14" ht="25.5" x14ac:dyDescent="0.2">
      <c r="A220" s="92" t="s">
        <v>397</v>
      </c>
      <c r="B220" s="93" t="s">
        <v>427</v>
      </c>
      <c r="C220" s="93" t="s">
        <v>144</v>
      </c>
      <c r="D220" s="93" t="s">
        <v>261</v>
      </c>
      <c r="E220" s="93"/>
      <c r="F220" s="93"/>
      <c r="G220" s="93"/>
      <c r="H220" s="93"/>
      <c r="I220" s="93"/>
      <c r="N220" s="27" t="s">
        <v>192</v>
      </c>
    </row>
    <row r="221" spans="1:14" ht="25.5" x14ac:dyDescent="0.2">
      <c r="A221" s="92" t="s">
        <v>398</v>
      </c>
      <c r="B221" s="93" t="s">
        <v>428</v>
      </c>
      <c r="C221" s="93" t="s">
        <v>144</v>
      </c>
      <c r="D221" s="93" t="s">
        <v>261</v>
      </c>
      <c r="E221" s="93"/>
      <c r="F221" s="93"/>
      <c r="G221" s="93"/>
      <c r="H221" s="93"/>
      <c r="I221" s="93"/>
      <c r="N221" s="27" t="s">
        <v>193</v>
      </c>
    </row>
    <row r="222" spans="1:14" ht="25.5" x14ac:dyDescent="0.2">
      <c r="A222" s="92" t="s">
        <v>399</v>
      </c>
      <c r="B222" s="93" t="s">
        <v>429</v>
      </c>
      <c r="C222" s="93" t="s">
        <v>144</v>
      </c>
      <c r="D222" s="93" t="s">
        <v>261</v>
      </c>
      <c r="E222" s="93"/>
      <c r="F222" s="93"/>
      <c r="G222" s="93"/>
      <c r="H222" s="93"/>
      <c r="I222" s="93"/>
      <c r="N222" s="27" t="s">
        <v>194</v>
      </c>
    </row>
    <row r="223" spans="1:14" x14ac:dyDescent="0.2">
      <c r="A223" s="92" t="s">
        <v>400</v>
      </c>
      <c r="B223" s="93" t="s">
        <v>401</v>
      </c>
      <c r="C223" s="93" t="s">
        <v>139</v>
      </c>
      <c r="D223" s="93"/>
      <c r="E223" s="93"/>
      <c r="F223" s="93"/>
      <c r="G223" s="93"/>
      <c r="H223" s="93"/>
      <c r="I223" s="93"/>
      <c r="N223" s="27" t="s">
        <v>195</v>
      </c>
    </row>
    <row r="224" spans="1:14" x14ac:dyDescent="0.2">
      <c r="A224" s="92"/>
      <c r="B224" s="93"/>
      <c r="C224" s="93"/>
      <c r="D224" s="93"/>
      <c r="E224" s="93"/>
      <c r="F224" s="93"/>
      <c r="G224" s="93"/>
      <c r="H224" s="93"/>
      <c r="I224" s="93"/>
      <c r="N224" s="27" t="s">
        <v>196</v>
      </c>
    </row>
    <row r="225" spans="1:14" x14ac:dyDescent="0.2">
      <c r="A225" s="92"/>
      <c r="B225" s="93"/>
      <c r="C225" s="93"/>
      <c r="D225" s="93"/>
      <c r="E225" s="93"/>
      <c r="F225" s="93"/>
      <c r="G225" s="93"/>
      <c r="H225" s="93"/>
      <c r="I225" s="93"/>
      <c r="N225" s="27" t="s">
        <v>197</v>
      </c>
    </row>
    <row r="226" spans="1:14" x14ac:dyDescent="0.2">
      <c r="A226" s="92"/>
      <c r="B226" s="93"/>
      <c r="C226" s="93"/>
      <c r="D226" s="93"/>
      <c r="E226" s="93"/>
      <c r="F226" s="93"/>
      <c r="G226" s="93"/>
      <c r="H226" s="93"/>
      <c r="I226" s="93"/>
      <c r="N226" s="27" t="s">
        <v>198</v>
      </c>
    </row>
    <row r="227" spans="1:14" x14ac:dyDescent="0.2">
      <c r="A227" s="92"/>
      <c r="B227" s="93"/>
      <c r="C227" s="93"/>
      <c r="D227" s="93"/>
      <c r="E227" s="93"/>
      <c r="F227" s="93"/>
      <c r="G227" s="93"/>
      <c r="H227" s="93"/>
      <c r="I227" s="93"/>
      <c r="N227" s="27" t="s">
        <v>199</v>
      </c>
    </row>
    <row r="228" spans="1:14" x14ac:dyDescent="0.2">
      <c r="A228" s="92"/>
      <c r="B228" s="93"/>
      <c r="C228" s="93"/>
      <c r="D228" s="93"/>
      <c r="E228" s="93"/>
      <c r="F228" s="93"/>
      <c r="G228" s="93"/>
      <c r="H228" s="93"/>
      <c r="I228" s="93"/>
      <c r="N228" s="27" t="s">
        <v>200</v>
      </c>
    </row>
    <row r="229" spans="1:14" x14ac:dyDescent="0.2">
      <c r="A229" s="92"/>
      <c r="B229" s="93"/>
      <c r="C229" s="93"/>
      <c r="D229" s="93"/>
      <c r="E229" s="93"/>
      <c r="F229" s="93"/>
      <c r="G229" s="93"/>
      <c r="H229" s="93"/>
      <c r="I229" s="93"/>
      <c r="N229" s="27" t="s">
        <v>201</v>
      </c>
    </row>
    <row r="230" spans="1:14" x14ac:dyDescent="0.2">
      <c r="A230" s="92"/>
      <c r="B230" s="93"/>
      <c r="C230" s="93"/>
      <c r="D230" s="93"/>
      <c r="E230" s="93"/>
      <c r="F230" s="93"/>
      <c r="G230" s="93"/>
      <c r="H230" s="93"/>
      <c r="I230" s="93"/>
      <c r="N230" s="27" t="s">
        <v>202</v>
      </c>
    </row>
    <row r="231" spans="1:14" x14ac:dyDescent="0.2">
      <c r="A231" s="92"/>
      <c r="B231" s="93"/>
      <c r="C231" s="93"/>
      <c r="D231" s="93"/>
      <c r="E231" s="93"/>
      <c r="F231" s="93"/>
      <c r="G231" s="93"/>
      <c r="H231" s="93"/>
      <c r="I231" s="93"/>
      <c r="N231" s="27" t="s">
        <v>203</v>
      </c>
    </row>
    <row r="232" spans="1:14" x14ac:dyDescent="0.2">
      <c r="A232" s="92"/>
      <c r="B232" s="93"/>
      <c r="C232" s="93"/>
      <c r="D232" s="93"/>
      <c r="E232" s="93"/>
      <c r="F232" s="93"/>
      <c r="G232" s="93"/>
      <c r="H232" s="93"/>
      <c r="I232" s="93"/>
      <c r="N232" s="27" t="s">
        <v>204</v>
      </c>
    </row>
    <row r="233" spans="1:14" x14ac:dyDescent="0.2">
      <c r="A233" s="92"/>
      <c r="B233" s="93"/>
      <c r="C233" s="93"/>
      <c r="D233" s="93"/>
      <c r="E233" s="93"/>
      <c r="F233" s="93"/>
      <c r="G233" s="93"/>
      <c r="H233" s="93"/>
      <c r="I233" s="93"/>
      <c r="N233" s="27" t="s">
        <v>205</v>
      </c>
    </row>
    <row r="234" spans="1:14" x14ac:dyDescent="0.2">
      <c r="A234" s="92"/>
      <c r="B234" s="93"/>
      <c r="C234" s="93"/>
      <c r="D234" s="93"/>
      <c r="E234" s="93"/>
      <c r="F234" s="93"/>
      <c r="G234" s="93"/>
      <c r="H234" s="93"/>
      <c r="I234" s="93"/>
      <c r="N234" s="27" t="s">
        <v>206</v>
      </c>
    </row>
    <row r="235" spans="1:14" x14ac:dyDescent="0.2">
      <c r="A235" s="92"/>
      <c r="B235" s="93"/>
      <c r="C235" s="93"/>
      <c r="D235" s="93"/>
      <c r="E235" s="93"/>
      <c r="F235" s="93"/>
      <c r="G235" s="93"/>
      <c r="H235" s="93"/>
      <c r="I235" s="93"/>
      <c r="N235" s="27" t="s">
        <v>207</v>
      </c>
    </row>
    <row r="236" spans="1:14" x14ac:dyDescent="0.2">
      <c r="A236" s="92"/>
      <c r="B236" s="93"/>
      <c r="C236" s="93"/>
      <c r="D236" s="93"/>
      <c r="E236" s="93"/>
      <c r="F236" s="93"/>
      <c r="G236" s="93"/>
      <c r="H236" s="93"/>
      <c r="I236" s="93"/>
      <c r="N236" s="27" t="s">
        <v>208</v>
      </c>
    </row>
    <row r="237" spans="1:14" x14ac:dyDescent="0.2">
      <c r="A237" s="92"/>
      <c r="B237" s="93"/>
      <c r="C237" s="93"/>
      <c r="D237" s="93"/>
      <c r="E237" s="93"/>
      <c r="F237" s="93"/>
      <c r="G237" s="93"/>
      <c r="H237" s="93"/>
      <c r="I237" s="93"/>
      <c r="N237" s="27" t="s">
        <v>209</v>
      </c>
    </row>
    <row r="238" spans="1:14" x14ac:dyDescent="0.2">
      <c r="A238" s="92"/>
      <c r="B238" s="93"/>
      <c r="C238" s="93"/>
      <c r="D238" s="93"/>
      <c r="E238" s="93"/>
      <c r="F238" s="93"/>
      <c r="G238" s="93"/>
      <c r="H238" s="93"/>
      <c r="I238" s="93"/>
      <c r="N238" s="27" t="s">
        <v>210</v>
      </c>
    </row>
    <row r="239" spans="1:14" x14ac:dyDescent="0.2">
      <c r="A239" s="92"/>
      <c r="B239" s="93"/>
      <c r="C239" s="93"/>
      <c r="D239" s="93"/>
      <c r="E239" s="93"/>
      <c r="F239" s="93"/>
      <c r="G239" s="93"/>
      <c r="H239" s="93"/>
      <c r="I239" s="93"/>
      <c r="N239" s="27" t="s">
        <v>211</v>
      </c>
    </row>
    <row r="240" spans="1:14" x14ac:dyDescent="0.2">
      <c r="A240" s="92"/>
      <c r="B240" s="93"/>
      <c r="C240" s="93"/>
      <c r="D240" s="93"/>
      <c r="E240" s="93"/>
      <c r="F240" s="93"/>
      <c r="G240" s="93"/>
      <c r="H240" s="93"/>
      <c r="I240" s="93"/>
      <c r="N240" s="27" t="s">
        <v>212</v>
      </c>
    </row>
    <row r="241" spans="1:14" x14ac:dyDescent="0.2">
      <c r="A241" s="92"/>
      <c r="B241" s="93"/>
      <c r="C241" s="93"/>
      <c r="D241" s="93"/>
      <c r="E241" s="93"/>
      <c r="F241" s="93"/>
      <c r="G241" s="93"/>
      <c r="H241" s="93"/>
      <c r="I241" s="93"/>
      <c r="N241" s="27" t="s">
        <v>213</v>
      </c>
    </row>
    <row r="242" spans="1:14" x14ac:dyDescent="0.2">
      <c r="A242" s="92"/>
      <c r="B242" s="93"/>
      <c r="C242" s="93"/>
      <c r="D242" s="93"/>
      <c r="E242" s="93"/>
      <c r="F242" s="93"/>
      <c r="G242" s="93"/>
      <c r="H242" s="93"/>
      <c r="I242" s="93"/>
      <c r="N242" s="27" t="s">
        <v>214</v>
      </c>
    </row>
    <row r="243" spans="1:14" x14ac:dyDescent="0.2">
      <c r="A243" s="92"/>
      <c r="B243" s="93"/>
      <c r="C243" s="93"/>
      <c r="D243" s="93"/>
      <c r="E243" s="93"/>
      <c r="F243" s="93"/>
      <c r="G243" s="93"/>
      <c r="H243" s="93"/>
      <c r="I243" s="93"/>
      <c r="N243" s="27" t="s">
        <v>215</v>
      </c>
    </row>
    <row r="244" spans="1:14" x14ac:dyDescent="0.2">
      <c r="A244" s="92"/>
      <c r="B244" s="93"/>
      <c r="C244" s="93"/>
      <c r="D244" s="93"/>
      <c r="E244" s="93"/>
      <c r="F244" s="93"/>
      <c r="G244" s="93"/>
      <c r="H244" s="93"/>
      <c r="I244" s="93"/>
      <c r="N244" s="27" t="s">
        <v>216</v>
      </c>
    </row>
    <row r="245" spans="1:14" x14ac:dyDescent="0.2">
      <c r="A245" s="92"/>
      <c r="B245" s="93"/>
      <c r="C245" s="93"/>
      <c r="D245" s="93"/>
      <c r="E245" s="93"/>
      <c r="F245" s="93"/>
      <c r="G245" s="93"/>
      <c r="H245" s="93"/>
      <c r="I245" s="93"/>
      <c r="N245" s="27" t="s">
        <v>217</v>
      </c>
    </row>
    <row r="246" spans="1:14" x14ac:dyDescent="0.2">
      <c r="A246" s="92"/>
      <c r="B246" s="93"/>
      <c r="C246" s="93"/>
      <c r="D246" s="93"/>
      <c r="E246" s="93"/>
      <c r="F246" s="93"/>
      <c r="G246" s="93"/>
      <c r="H246" s="93"/>
      <c r="I246" s="93"/>
      <c r="N246" s="27" t="s">
        <v>218</v>
      </c>
    </row>
    <row r="247" spans="1:14" x14ac:dyDescent="0.2">
      <c r="A247" s="92"/>
      <c r="B247" s="93"/>
      <c r="C247" s="93"/>
      <c r="D247" s="93"/>
      <c r="E247" s="93"/>
      <c r="F247" s="93"/>
      <c r="G247" s="93"/>
      <c r="H247" s="93"/>
      <c r="I247" s="93"/>
      <c r="N247" s="27" t="s">
        <v>219</v>
      </c>
    </row>
    <row r="248" spans="1:14" x14ac:dyDescent="0.2">
      <c r="A248" s="92"/>
      <c r="B248" s="93"/>
      <c r="C248" s="93"/>
      <c r="D248" s="93"/>
      <c r="E248" s="93"/>
      <c r="F248" s="93"/>
      <c r="G248" s="93"/>
      <c r="H248" s="93"/>
      <c r="I248" s="93"/>
      <c r="N248" s="27" t="s">
        <v>220</v>
      </c>
    </row>
    <row r="249" spans="1:14" x14ac:dyDescent="0.2">
      <c r="A249" s="92"/>
      <c r="B249" s="93"/>
      <c r="C249" s="93"/>
      <c r="D249" s="93"/>
      <c r="E249" s="93"/>
      <c r="F249" s="93"/>
      <c r="G249" s="93"/>
      <c r="H249" s="93"/>
      <c r="I249" s="93"/>
      <c r="N249" s="27" t="s">
        <v>221</v>
      </c>
    </row>
    <row r="250" spans="1:14" x14ac:dyDescent="0.2">
      <c r="A250" s="92"/>
      <c r="B250" s="93"/>
      <c r="C250" s="93"/>
      <c r="D250" s="93"/>
      <c r="E250" s="93"/>
      <c r="F250" s="93"/>
      <c r="G250" s="93"/>
      <c r="H250" s="93"/>
      <c r="I250" s="93"/>
      <c r="N250" s="27" t="s">
        <v>222</v>
      </c>
    </row>
    <row r="251" spans="1:14" x14ac:dyDescent="0.2">
      <c r="A251" s="92"/>
      <c r="B251" s="93"/>
      <c r="C251" s="93"/>
      <c r="D251" s="93"/>
      <c r="E251" s="93"/>
      <c r="F251" s="93"/>
      <c r="G251" s="93"/>
      <c r="H251" s="93"/>
      <c r="I251" s="93"/>
      <c r="N251" s="27" t="s">
        <v>223</v>
      </c>
    </row>
    <row r="252" spans="1:14" x14ac:dyDescent="0.2">
      <c r="A252" s="92"/>
      <c r="B252" s="93"/>
      <c r="C252" s="93"/>
      <c r="D252" s="93"/>
      <c r="E252" s="93"/>
      <c r="F252" s="93"/>
      <c r="G252" s="93"/>
      <c r="H252" s="93"/>
      <c r="I252" s="93"/>
      <c r="N252" s="27" t="s">
        <v>224</v>
      </c>
    </row>
    <row r="253" spans="1:14" x14ac:dyDescent="0.2">
      <c r="A253" s="92"/>
      <c r="B253" s="93"/>
      <c r="C253" s="93"/>
      <c r="D253" s="93"/>
      <c r="E253" s="93"/>
      <c r="F253" s="93"/>
      <c r="G253" s="93"/>
      <c r="H253" s="93"/>
      <c r="I253" s="93"/>
      <c r="N253" s="27" t="s">
        <v>225</v>
      </c>
    </row>
    <row r="254" spans="1:14" x14ac:dyDescent="0.2">
      <c r="A254" s="92"/>
      <c r="B254" s="93"/>
      <c r="C254" s="93"/>
      <c r="D254" s="93"/>
      <c r="E254" s="93"/>
      <c r="F254" s="93"/>
      <c r="G254" s="93"/>
      <c r="H254" s="93"/>
      <c r="I254" s="93"/>
      <c r="N254" s="27" t="s">
        <v>455</v>
      </c>
    </row>
    <row r="255" spans="1:14" x14ac:dyDescent="0.2">
      <c r="A255" s="92"/>
      <c r="B255" s="93"/>
      <c r="C255" s="93"/>
      <c r="D255" s="93"/>
      <c r="E255" s="93"/>
      <c r="F255" s="93"/>
      <c r="G255" s="93"/>
      <c r="H255" s="93"/>
      <c r="I255" s="93"/>
      <c r="N255" s="27" t="s">
        <v>226</v>
      </c>
    </row>
    <row r="256" spans="1:14" x14ac:dyDescent="0.2">
      <c r="A256" s="92"/>
      <c r="B256" s="93"/>
      <c r="C256" s="93"/>
      <c r="D256" s="93"/>
      <c r="E256" s="93"/>
      <c r="F256" s="93"/>
      <c r="G256" s="93"/>
      <c r="H256" s="93"/>
      <c r="I256" s="93"/>
      <c r="N256" s="27" t="s">
        <v>227</v>
      </c>
    </row>
    <row r="257" spans="1:14" x14ac:dyDescent="0.2">
      <c r="A257" s="92"/>
      <c r="B257" s="93"/>
      <c r="C257" s="93"/>
      <c r="D257" s="93"/>
      <c r="E257" s="93"/>
      <c r="F257" s="93"/>
      <c r="G257" s="93"/>
      <c r="H257" s="93"/>
      <c r="I257" s="93"/>
      <c r="N257" s="27" t="s">
        <v>228</v>
      </c>
    </row>
    <row r="258" spans="1:14" x14ac:dyDescent="0.2">
      <c r="A258" s="92"/>
      <c r="B258" s="93"/>
      <c r="C258" s="93"/>
      <c r="D258" s="93"/>
      <c r="E258" s="93"/>
      <c r="F258" s="93"/>
      <c r="G258" s="93"/>
      <c r="H258" s="93"/>
      <c r="I258" s="93"/>
      <c r="N258" s="27" t="s">
        <v>229</v>
      </c>
    </row>
    <row r="259" spans="1:14" x14ac:dyDescent="0.2">
      <c r="A259" s="92"/>
      <c r="B259" s="93"/>
      <c r="C259" s="93"/>
      <c r="D259" s="93"/>
      <c r="E259" s="93"/>
      <c r="F259" s="93"/>
      <c r="G259" s="93"/>
      <c r="H259" s="93"/>
      <c r="I259" s="93"/>
      <c r="N259" s="27" t="s">
        <v>230</v>
      </c>
    </row>
    <row r="260" spans="1:14" x14ac:dyDescent="0.2">
      <c r="A260" s="92"/>
      <c r="B260" s="93"/>
      <c r="C260" s="93"/>
      <c r="D260" s="93"/>
      <c r="E260" s="93"/>
      <c r="F260" s="93"/>
      <c r="G260" s="93"/>
      <c r="H260" s="93"/>
      <c r="I260" s="93"/>
      <c r="N260" s="27" t="s">
        <v>231</v>
      </c>
    </row>
    <row r="261" spans="1:14" x14ac:dyDescent="0.2">
      <c r="A261" s="92"/>
      <c r="B261" s="93"/>
      <c r="C261" s="93"/>
      <c r="D261" s="93"/>
      <c r="E261" s="93"/>
      <c r="F261" s="93"/>
      <c r="G261" s="93"/>
      <c r="H261" s="93"/>
      <c r="I261" s="93"/>
      <c r="N261" s="27" t="s">
        <v>232</v>
      </c>
    </row>
    <row r="262" spans="1:14" x14ac:dyDescent="0.2">
      <c r="A262" s="92"/>
      <c r="B262" s="93"/>
      <c r="C262" s="93"/>
      <c r="D262" s="93"/>
      <c r="E262" s="93"/>
      <c r="F262" s="93"/>
      <c r="G262" s="93"/>
      <c r="H262" s="93"/>
      <c r="I262" s="93"/>
      <c r="N262" s="27" t="s">
        <v>233</v>
      </c>
    </row>
    <row r="263" spans="1:14" x14ac:dyDescent="0.2">
      <c r="A263" s="92"/>
      <c r="B263" s="93"/>
      <c r="C263" s="93"/>
      <c r="D263" s="93"/>
      <c r="E263" s="93"/>
      <c r="F263" s="93"/>
      <c r="G263" s="93"/>
      <c r="H263" s="93"/>
      <c r="I263" s="93"/>
      <c r="N263" s="27" t="s">
        <v>234</v>
      </c>
    </row>
    <row r="264" spans="1:14" x14ac:dyDescent="0.2">
      <c r="A264" s="92"/>
      <c r="B264" s="93"/>
      <c r="C264" s="93"/>
      <c r="D264" s="93"/>
      <c r="E264" s="93"/>
      <c r="F264" s="93"/>
      <c r="G264" s="93"/>
      <c r="H264" s="93"/>
      <c r="I264" s="93"/>
      <c r="L264" s="94"/>
      <c r="M264" s="94"/>
      <c r="N264" s="27" t="s">
        <v>235</v>
      </c>
    </row>
    <row r="265" spans="1:14" x14ac:dyDescent="0.2">
      <c r="A265" s="92"/>
      <c r="B265" s="93"/>
      <c r="C265" s="93"/>
      <c r="D265" s="93"/>
      <c r="E265" s="93"/>
      <c r="F265" s="93"/>
      <c r="G265" s="93"/>
      <c r="H265" s="93"/>
      <c r="I265" s="93"/>
      <c r="N265" s="27" t="s">
        <v>236</v>
      </c>
    </row>
    <row r="266" spans="1:14" x14ac:dyDescent="0.2">
      <c r="A266" s="92"/>
      <c r="B266" s="93"/>
      <c r="C266" s="93"/>
      <c r="D266" s="93"/>
      <c r="E266" s="93"/>
      <c r="F266" s="93"/>
      <c r="G266" s="93"/>
      <c r="H266" s="93"/>
      <c r="I266" s="93"/>
      <c r="N266" s="27" t="s">
        <v>237</v>
      </c>
    </row>
    <row r="267" spans="1:14" x14ac:dyDescent="0.2">
      <c r="A267" s="92"/>
      <c r="B267" s="93"/>
      <c r="C267" s="93"/>
      <c r="D267" s="93"/>
      <c r="E267" s="93"/>
      <c r="F267" s="93"/>
      <c r="G267" s="93"/>
      <c r="H267" s="93"/>
      <c r="I267" s="93"/>
      <c r="N267" s="27" t="s">
        <v>238</v>
      </c>
    </row>
    <row r="268" spans="1:14" x14ac:dyDescent="0.2">
      <c r="A268" s="92"/>
      <c r="B268" s="93"/>
      <c r="C268" s="93"/>
      <c r="D268" s="93"/>
      <c r="E268" s="93"/>
      <c r="F268" s="93"/>
      <c r="G268" s="93"/>
      <c r="H268" s="93"/>
      <c r="I268" s="93"/>
      <c r="N268" s="27" t="s">
        <v>239</v>
      </c>
    </row>
    <row r="269" spans="1:14" x14ac:dyDescent="0.2">
      <c r="A269" s="92"/>
      <c r="B269" s="93"/>
      <c r="C269" s="93"/>
      <c r="D269" s="93"/>
      <c r="E269" s="93"/>
      <c r="F269" s="93"/>
      <c r="G269" s="93"/>
      <c r="H269" s="93"/>
      <c r="I269" s="93"/>
      <c r="N269" s="27" t="s">
        <v>240</v>
      </c>
    </row>
    <row r="270" spans="1:14" x14ac:dyDescent="0.2">
      <c r="A270" s="92"/>
      <c r="B270" s="93"/>
      <c r="C270" s="93"/>
      <c r="D270" s="93"/>
      <c r="E270" s="93"/>
      <c r="F270" s="93"/>
      <c r="G270" s="93"/>
      <c r="H270" s="93"/>
      <c r="I270" s="93"/>
      <c r="N270" s="27" t="s">
        <v>241</v>
      </c>
    </row>
    <row r="271" spans="1:14" x14ac:dyDescent="0.2">
      <c r="A271" s="92"/>
      <c r="B271" s="93"/>
      <c r="C271" s="93"/>
      <c r="D271" s="93"/>
      <c r="E271" s="93"/>
      <c r="F271" s="93"/>
      <c r="G271" s="93"/>
      <c r="H271" s="93"/>
      <c r="I271" s="93"/>
      <c r="N271" s="27" t="s">
        <v>242</v>
      </c>
    </row>
    <row r="272" spans="1:14" x14ac:dyDescent="0.2">
      <c r="A272" s="92"/>
      <c r="B272" s="93"/>
      <c r="C272" s="93"/>
      <c r="D272" s="93"/>
      <c r="E272" s="93"/>
      <c r="F272" s="93"/>
      <c r="G272" s="93"/>
      <c r="H272" s="93"/>
      <c r="I272" s="93"/>
      <c r="N272" s="27" t="s">
        <v>243</v>
      </c>
    </row>
    <row r="273" spans="1:14" x14ac:dyDescent="0.2">
      <c r="A273" s="92"/>
      <c r="B273" s="93"/>
      <c r="C273" s="93"/>
      <c r="D273" s="93"/>
      <c r="E273" s="93"/>
      <c r="F273" s="93"/>
      <c r="G273" s="93"/>
      <c r="H273" s="93"/>
      <c r="I273" s="93"/>
      <c r="N273" s="27" t="s">
        <v>454</v>
      </c>
    </row>
    <row r="274" spans="1:14" x14ac:dyDescent="0.2">
      <c r="A274" s="92"/>
      <c r="B274" s="93"/>
      <c r="C274" s="93"/>
      <c r="D274" s="93"/>
      <c r="E274" s="93"/>
      <c r="F274" s="93"/>
      <c r="G274" s="93"/>
      <c r="H274" s="93"/>
      <c r="I274" s="93"/>
      <c r="N274" s="27" t="s">
        <v>244</v>
      </c>
    </row>
    <row r="275" spans="1:14" x14ac:dyDescent="0.2">
      <c r="A275" s="92"/>
      <c r="B275" s="93"/>
      <c r="C275" s="93"/>
      <c r="D275" s="93"/>
      <c r="E275" s="93"/>
      <c r="F275" s="93"/>
      <c r="G275" s="93"/>
      <c r="H275" s="93"/>
      <c r="I275" s="93"/>
      <c r="N275" s="27" t="s">
        <v>245</v>
      </c>
    </row>
    <row r="276" spans="1:14" x14ac:dyDescent="0.2">
      <c r="A276" s="92"/>
      <c r="B276" s="93"/>
      <c r="C276" s="93"/>
      <c r="D276" s="93"/>
      <c r="E276" s="93"/>
      <c r="F276" s="93"/>
      <c r="G276" s="93"/>
      <c r="H276" s="93"/>
      <c r="I276" s="93"/>
      <c r="N276" s="27" t="s">
        <v>246</v>
      </c>
    </row>
    <row r="277" spans="1:14" x14ac:dyDescent="0.2">
      <c r="A277" s="92"/>
      <c r="B277" s="93"/>
      <c r="C277" s="93"/>
      <c r="D277" s="93"/>
      <c r="E277" s="93"/>
      <c r="F277" s="93"/>
      <c r="G277" s="93"/>
      <c r="H277" s="93"/>
      <c r="I277" s="93"/>
      <c r="N277" s="27" t="s">
        <v>247</v>
      </c>
    </row>
    <row r="278" spans="1:14" x14ac:dyDescent="0.2">
      <c r="A278" s="92"/>
      <c r="B278" s="93"/>
      <c r="C278" s="93"/>
      <c r="D278" s="93"/>
      <c r="E278" s="93"/>
      <c r="F278" s="93"/>
      <c r="G278" s="93"/>
      <c r="H278" s="93"/>
      <c r="I278" s="93"/>
      <c r="N278" s="27" t="s">
        <v>248</v>
      </c>
    </row>
    <row r="279" spans="1:14" x14ac:dyDescent="0.2">
      <c r="A279" s="92"/>
      <c r="B279" s="93"/>
      <c r="C279" s="93"/>
      <c r="D279" s="93"/>
      <c r="E279" s="93"/>
      <c r="F279" s="93"/>
      <c r="G279" s="93"/>
      <c r="H279" s="93"/>
      <c r="I279" s="93"/>
      <c r="N279" s="27" t="s">
        <v>249</v>
      </c>
    </row>
    <row r="280" spans="1:14" x14ac:dyDescent="0.2">
      <c r="A280" s="92"/>
      <c r="B280" s="93"/>
      <c r="C280" s="93"/>
      <c r="D280" s="93"/>
      <c r="E280" s="93"/>
      <c r="F280" s="93"/>
      <c r="G280" s="93"/>
      <c r="H280" s="93"/>
      <c r="I280" s="93"/>
      <c r="N280" s="27" t="s">
        <v>250</v>
      </c>
    </row>
    <row r="281" spans="1:14" x14ac:dyDescent="0.2">
      <c r="A281" s="92"/>
      <c r="B281" s="93"/>
      <c r="C281" s="93"/>
      <c r="D281" s="93"/>
      <c r="E281" s="93"/>
      <c r="F281" s="93"/>
      <c r="G281" s="93"/>
      <c r="H281" s="93"/>
      <c r="I281" s="93"/>
      <c r="N281" s="27" t="s">
        <v>453</v>
      </c>
    </row>
    <row r="282" spans="1:14" x14ac:dyDescent="0.2">
      <c r="A282" s="92"/>
      <c r="B282" s="93"/>
      <c r="C282" s="93"/>
      <c r="D282" s="93"/>
      <c r="E282" s="93"/>
      <c r="F282" s="93"/>
      <c r="G282" s="93"/>
      <c r="H282" s="93"/>
      <c r="I282" s="93"/>
      <c r="N282" s="27" t="s">
        <v>251</v>
      </c>
    </row>
    <row r="283" spans="1:14" x14ac:dyDescent="0.2">
      <c r="A283" s="92"/>
      <c r="B283" s="93"/>
      <c r="C283" s="93"/>
      <c r="D283" s="93"/>
      <c r="E283" s="93"/>
      <c r="F283" s="93"/>
      <c r="G283" s="93"/>
      <c r="H283" s="93"/>
      <c r="I283" s="93"/>
      <c r="N283" s="27" t="s">
        <v>252</v>
      </c>
    </row>
    <row r="284" spans="1:14" x14ac:dyDescent="0.2">
      <c r="A284" s="92"/>
      <c r="B284" s="93"/>
      <c r="C284" s="93"/>
      <c r="D284" s="93"/>
      <c r="E284" s="93"/>
      <c r="F284" s="93"/>
      <c r="G284" s="93"/>
      <c r="H284" s="93"/>
      <c r="I284" s="93"/>
      <c r="N284" s="27" t="s">
        <v>253</v>
      </c>
    </row>
    <row r="285" spans="1:14" x14ac:dyDescent="0.2">
      <c r="A285" s="92"/>
      <c r="B285" s="93"/>
      <c r="C285" s="93"/>
      <c r="D285" s="93"/>
      <c r="E285" s="93"/>
      <c r="F285" s="93"/>
      <c r="G285" s="93"/>
      <c r="H285" s="93"/>
      <c r="I285" s="93"/>
      <c r="N285" s="27" t="s">
        <v>452</v>
      </c>
    </row>
    <row r="286" spans="1:14" x14ac:dyDescent="0.2">
      <c r="A286" s="92"/>
      <c r="B286" s="93"/>
      <c r="C286" s="93"/>
      <c r="D286" s="93"/>
      <c r="E286" s="93"/>
      <c r="F286" s="93"/>
      <c r="G286" s="93"/>
      <c r="H286" s="93"/>
      <c r="I286" s="93"/>
      <c r="N286" s="27" t="s">
        <v>254</v>
      </c>
    </row>
    <row r="287" spans="1:14" x14ac:dyDescent="0.2">
      <c r="A287" s="92"/>
      <c r="B287" s="93"/>
      <c r="C287" s="93"/>
      <c r="D287" s="93"/>
      <c r="E287" s="93"/>
      <c r="F287" s="93"/>
      <c r="G287" s="93"/>
      <c r="H287" s="93"/>
      <c r="I287" s="93"/>
      <c r="N287" s="27" t="s">
        <v>255</v>
      </c>
    </row>
    <row r="288" spans="1:14" x14ac:dyDescent="0.2">
      <c r="A288" s="92"/>
      <c r="B288" s="93"/>
      <c r="C288" s="93"/>
      <c r="D288" s="93"/>
      <c r="E288" s="93"/>
      <c r="F288" s="93"/>
      <c r="G288" s="93"/>
      <c r="H288" s="93"/>
      <c r="I288" s="93"/>
      <c r="N288" s="27" t="s">
        <v>256</v>
      </c>
    </row>
    <row r="289" spans="1:14" x14ac:dyDescent="0.2">
      <c r="A289" s="92"/>
      <c r="B289" s="93"/>
      <c r="C289" s="93"/>
      <c r="D289" s="93"/>
      <c r="E289" s="93"/>
      <c r="F289" s="93"/>
      <c r="G289" s="93"/>
      <c r="H289" s="93"/>
      <c r="I289" s="93"/>
      <c r="N289" s="27" t="s">
        <v>257</v>
      </c>
    </row>
    <row r="290" spans="1:14" x14ac:dyDescent="0.2">
      <c r="A290" s="92"/>
      <c r="B290" s="93"/>
      <c r="C290" s="93"/>
      <c r="D290" s="93"/>
      <c r="E290" s="93"/>
      <c r="F290" s="93"/>
      <c r="G290" s="93"/>
      <c r="H290" s="93"/>
      <c r="I290" s="93"/>
      <c r="N290" s="27" t="s">
        <v>258</v>
      </c>
    </row>
    <row r="291" spans="1:14" x14ac:dyDescent="0.2">
      <c r="A291" s="92"/>
      <c r="B291" s="93"/>
      <c r="C291" s="93"/>
      <c r="D291" s="93"/>
      <c r="E291" s="93"/>
      <c r="F291" s="93"/>
      <c r="G291" s="93"/>
      <c r="H291" s="93"/>
      <c r="I291" s="93"/>
      <c r="N291" s="27" t="s">
        <v>259</v>
      </c>
    </row>
    <row r="292" spans="1:14" x14ac:dyDescent="0.2">
      <c r="A292" s="92"/>
      <c r="B292" s="93"/>
      <c r="C292" s="93"/>
      <c r="D292" s="93"/>
      <c r="E292" s="93"/>
      <c r="F292" s="93"/>
      <c r="G292" s="93"/>
      <c r="H292" s="93"/>
      <c r="I292" s="93"/>
      <c r="N292" s="27" t="s">
        <v>260</v>
      </c>
    </row>
    <row r="293" spans="1:14" x14ac:dyDescent="0.2">
      <c r="A293" s="92"/>
      <c r="B293" s="93"/>
      <c r="C293" s="93"/>
      <c r="D293" s="93"/>
      <c r="E293" s="93"/>
      <c r="F293" s="93"/>
      <c r="G293" s="93"/>
      <c r="H293" s="93"/>
      <c r="I293" s="93"/>
      <c r="N293" s="27" t="s">
        <v>261</v>
      </c>
    </row>
    <row r="294" spans="1:14" x14ac:dyDescent="0.2">
      <c r="A294" s="92"/>
      <c r="B294" s="93"/>
      <c r="C294" s="93"/>
      <c r="D294" s="93"/>
      <c r="E294" s="93"/>
      <c r="F294" s="93"/>
      <c r="G294" s="93"/>
      <c r="H294" s="93"/>
      <c r="I294" s="93"/>
      <c r="N294" s="27" t="s">
        <v>262</v>
      </c>
    </row>
    <row r="295" spans="1:14" x14ac:dyDescent="0.2">
      <c r="A295" s="92"/>
      <c r="B295" s="93"/>
      <c r="C295" s="93"/>
      <c r="D295" s="93"/>
      <c r="E295" s="93"/>
      <c r="F295" s="93"/>
      <c r="G295" s="93"/>
      <c r="H295" s="93"/>
      <c r="I295" s="93"/>
      <c r="N295" s="27" t="s">
        <v>263</v>
      </c>
    </row>
    <row r="296" spans="1:14" x14ac:dyDescent="0.2">
      <c r="A296" s="92"/>
      <c r="B296" s="93"/>
      <c r="C296" s="93"/>
      <c r="D296" s="93"/>
      <c r="E296" s="93"/>
      <c r="F296" s="93"/>
      <c r="G296" s="93"/>
      <c r="H296" s="93"/>
      <c r="I296" s="93"/>
      <c r="N296" s="27" t="s">
        <v>264</v>
      </c>
    </row>
    <row r="297" spans="1:14" x14ac:dyDescent="0.2">
      <c r="A297" s="92"/>
      <c r="B297" s="93"/>
      <c r="C297" s="93"/>
      <c r="D297" s="93"/>
      <c r="E297" s="93"/>
      <c r="F297" s="93"/>
      <c r="G297" s="93"/>
      <c r="H297" s="93"/>
      <c r="I297" s="93"/>
      <c r="N297" s="27" t="s">
        <v>265</v>
      </c>
    </row>
    <row r="298" spans="1:14" x14ac:dyDescent="0.2">
      <c r="A298" s="92"/>
      <c r="B298" s="93"/>
      <c r="C298" s="93"/>
      <c r="D298" s="93"/>
      <c r="E298" s="93"/>
      <c r="F298" s="93"/>
      <c r="G298" s="93"/>
      <c r="H298" s="93"/>
      <c r="I298" s="93"/>
      <c r="N298" s="27" t="s">
        <v>266</v>
      </c>
    </row>
    <row r="299" spans="1:14" x14ac:dyDescent="0.2">
      <c r="A299" s="92"/>
      <c r="B299" s="93"/>
      <c r="C299" s="93"/>
      <c r="D299" s="93"/>
      <c r="E299" s="93"/>
      <c r="F299" s="93"/>
      <c r="G299" s="93"/>
      <c r="H299" s="93"/>
      <c r="I299" s="93"/>
      <c r="N299" s="27" t="s">
        <v>267</v>
      </c>
    </row>
    <row r="300" spans="1:14" x14ac:dyDescent="0.2">
      <c r="A300" s="92"/>
      <c r="B300" s="93"/>
      <c r="C300" s="93"/>
      <c r="D300" s="93"/>
      <c r="E300" s="93"/>
      <c r="F300" s="93"/>
      <c r="G300" s="93"/>
      <c r="H300" s="93"/>
      <c r="I300" s="93"/>
      <c r="N300" s="27" t="s">
        <v>268</v>
      </c>
    </row>
    <row r="301" spans="1:14" x14ac:dyDescent="0.2">
      <c r="A301" s="92"/>
      <c r="B301" s="93"/>
      <c r="C301" s="93"/>
      <c r="D301" s="93"/>
      <c r="E301" s="93"/>
      <c r="F301" s="93"/>
      <c r="G301" s="93"/>
      <c r="H301" s="93"/>
      <c r="I301" s="93"/>
      <c r="N301" s="27" t="s">
        <v>269</v>
      </c>
    </row>
    <row r="302" spans="1:14" x14ac:dyDescent="0.2">
      <c r="A302" s="92"/>
      <c r="B302" s="93"/>
      <c r="C302" s="93"/>
      <c r="D302" s="93"/>
      <c r="E302" s="93"/>
      <c r="F302" s="93"/>
      <c r="G302" s="93"/>
      <c r="H302" s="93"/>
      <c r="I302" s="93"/>
      <c r="N302" s="27" t="s">
        <v>270</v>
      </c>
    </row>
    <row r="303" spans="1:14" x14ac:dyDescent="0.2">
      <c r="A303" s="92"/>
      <c r="B303" s="93"/>
      <c r="C303" s="93"/>
      <c r="D303" s="93"/>
      <c r="E303" s="93"/>
      <c r="F303" s="93"/>
      <c r="G303" s="93"/>
      <c r="H303" s="93"/>
      <c r="I303" s="93"/>
      <c r="N303" s="27" t="s">
        <v>271</v>
      </c>
    </row>
    <row r="304" spans="1:14" x14ac:dyDescent="0.2">
      <c r="A304" s="92"/>
      <c r="B304" s="93"/>
      <c r="C304" s="93"/>
      <c r="D304" s="93"/>
      <c r="E304" s="93"/>
      <c r="F304" s="93"/>
      <c r="G304" s="93"/>
      <c r="H304" s="93"/>
      <c r="I304" s="93"/>
      <c r="N304" s="27" t="s">
        <v>272</v>
      </c>
    </row>
    <row r="305" spans="1:14" x14ac:dyDescent="0.2">
      <c r="A305" s="92"/>
      <c r="B305" s="93"/>
      <c r="C305" s="93"/>
      <c r="D305" s="93"/>
      <c r="E305" s="93"/>
      <c r="F305" s="93"/>
      <c r="G305" s="93"/>
      <c r="H305" s="93"/>
      <c r="I305" s="93"/>
      <c r="N305" s="27" t="s">
        <v>273</v>
      </c>
    </row>
    <row r="306" spans="1:14" x14ac:dyDescent="0.2">
      <c r="A306" s="92"/>
      <c r="B306" s="93"/>
      <c r="C306" s="93"/>
      <c r="D306" s="93"/>
      <c r="E306" s="93"/>
      <c r="F306" s="93"/>
      <c r="G306" s="93"/>
      <c r="H306" s="93"/>
      <c r="I306" s="93"/>
      <c r="N306" s="27" t="s">
        <v>273</v>
      </c>
    </row>
    <row r="307" spans="1:14" x14ac:dyDescent="0.2">
      <c r="A307" s="92"/>
      <c r="B307" s="93"/>
      <c r="C307" s="93"/>
      <c r="D307" s="93"/>
      <c r="E307" s="93"/>
      <c r="F307" s="93"/>
      <c r="G307" s="93"/>
      <c r="H307" s="93"/>
      <c r="I307" s="93"/>
      <c r="N307" s="27" t="s">
        <v>274</v>
      </c>
    </row>
    <row r="308" spans="1:14" x14ac:dyDescent="0.2">
      <c r="A308" s="92"/>
      <c r="B308" s="93"/>
      <c r="C308" s="93"/>
      <c r="D308" s="93"/>
      <c r="E308" s="93"/>
      <c r="F308" s="93"/>
      <c r="G308" s="93"/>
      <c r="H308" s="93"/>
      <c r="I308" s="93"/>
      <c r="N308" s="27" t="s">
        <v>275</v>
      </c>
    </row>
    <row r="309" spans="1:14" x14ac:dyDescent="0.2">
      <c r="A309" s="92"/>
      <c r="B309" s="93"/>
      <c r="C309" s="93"/>
      <c r="D309" s="93"/>
      <c r="E309" s="93"/>
      <c r="F309" s="93"/>
      <c r="G309" s="93"/>
      <c r="H309" s="93"/>
      <c r="I309" s="93"/>
      <c r="N309" s="27" t="s">
        <v>276</v>
      </c>
    </row>
    <row r="310" spans="1:14" x14ac:dyDescent="0.2">
      <c r="A310" s="92"/>
      <c r="B310" s="93"/>
      <c r="C310" s="93"/>
      <c r="D310" s="93"/>
      <c r="E310" s="93"/>
      <c r="F310" s="93"/>
      <c r="G310" s="93"/>
      <c r="H310" s="93"/>
      <c r="I310" s="93"/>
      <c r="N310" s="27" t="s">
        <v>277</v>
      </c>
    </row>
    <row r="311" spans="1:14" x14ac:dyDescent="0.2">
      <c r="A311" s="92"/>
      <c r="B311" s="93"/>
      <c r="C311" s="93"/>
      <c r="D311" s="93"/>
      <c r="E311" s="93"/>
      <c r="F311" s="93"/>
      <c r="G311" s="93"/>
      <c r="H311" s="93"/>
      <c r="I311" s="93"/>
      <c r="N311" s="27" t="s">
        <v>278</v>
      </c>
    </row>
    <row r="312" spans="1:14" x14ac:dyDescent="0.2">
      <c r="A312" s="92"/>
      <c r="B312" s="93"/>
      <c r="C312" s="93"/>
      <c r="D312" s="93"/>
      <c r="E312" s="93"/>
      <c r="F312" s="93"/>
      <c r="G312" s="93"/>
      <c r="H312" s="93"/>
      <c r="I312" s="93"/>
      <c r="N312" s="27" t="s">
        <v>279</v>
      </c>
    </row>
    <row r="313" spans="1:14" x14ac:dyDescent="0.2">
      <c r="A313" s="92"/>
      <c r="B313" s="93"/>
      <c r="C313" s="93"/>
      <c r="D313" s="93"/>
      <c r="E313" s="93"/>
      <c r="F313" s="93"/>
      <c r="G313" s="93"/>
      <c r="H313" s="93"/>
      <c r="I313" s="93"/>
      <c r="N313" s="27" t="s">
        <v>280</v>
      </c>
    </row>
    <row r="314" spans="1:14" x14ac:dyDescent="0.2">
      <c r="A314" s="92"/>
      <c r="B314" s="93"/>
      <c r="C314" s="93"/>
      <c r="D314" s="93"/>
      <c r="E314" s="93"/>
      <c r="F314" s="93"/>
      <c r="G314" s="93"/>
      <c r="H314" s="93"/>
      <c r="I314" s="93"/>
      <c r="N314" s="27" t="s">
        <v>451</v>
      </c>
    </row>
    <row r="315" spans="1:14" x14ac:dyDescent="0.2">
      <c r="A315" s="92"/>
      <c r="B315" s="93"/>
      <c r="C315" s="93"/>
      <c r="D315" s="93"/>
      <c r="E315" s="93"/>
      <c r="F315" s="93"/>
      <c r="G315" s="93"/>
      <c r="H315" s="93"/>
      <c r="I315" s="93"/>
      <c r="N315" s="27" t="s">
        <v>281</v>
      </c>
    </row>
    <row r="316" spans="1:14" x14ac:dyDescent="0.2">
      <c r="A316" s="92"/>
      <c r="B316" s="93"/>
      <c r="C316" s="93"/>
      <c r="D316" s="93"/>
      <c r="E316" s="93"/>
      <c r="F316" s="93"/>
      <c r="G316" s="93"/>
      <c r="H316" s="93"/>
      <c r="I316" s="93"/>
      <c r="N316" s="27" t="s">
        <v>282</v>
      </c>
    </row>
    <row r="317" spans="1:14" x14ac:dyDescent="0.2">
      <c r="A317" s="92"/>
      <c r="B317" s="93"/>
      <c r="C317" s="93"/>
      <c r="D317" s="93"/>
      <c r="E317" s="93"/>
      <c r="F317" s="93"/>
      <c r="G317" s="93"/>
      <c r="H317" s="93"/>
      <c r="I317" s="93"/>
      <c r="N317" s="27" t="s">
        <v>283</v>
      </c>
    </row>
    <row r="318" spans="1:14" x14ac:dyDescent="0.2">
      <c r="A318" s="92"/>
      <c r="B318" s="93"/>
      <c r="C318" s="93"/>
      <c r="D318" s="93"/>
      <c r="E318" s="93"/>
      <c r="F318" s="93"/>
      <c r="G318" s="93"/>
      <c r="H318" s="93"/>
      <c r="I318" s="93"/>
      <c r="N318" s="27" t="s">
        <v>285</v>
      </c>
    </row>
    <row r="319" spans="1:14" x14ac:dyDescent="0.2">
      <c r="A319" s="92"/>
      <c r="B319" s="93"/>
      <c r="C319" s="93"/>
      <c r="D319" s="93"/>
      <c r="E319" s="93"/>
      <c r="F319" s="93"/>
      <c r="G319" s="93"/>
      <c r="H319" s="93"/>
      <c r="I319" s="93"/>
      <c r="N319" s="27" t="s">
        <v>284</v>
      </c>
    </row>
    <row r="320" spans="1:14" x14ac:dyDescent="0.2">
      <c r="A320" s="92"/>
      <c r="B320" s="93"/>
      <c r="C320" s="93"/>
      <c r="D320" s="93"/>
      <c r="E320" s="93"/>
      <c r="F320" s="93"/>
      <c r="G320" s="93"/>
      <c r="H320" s="93"/>
      <c r="I320" s="93"/>
      <c r="N320" s="27" t="s">
        <v>286</v>
      </c>
    </row>
    <row r="321" spans="1:14" x14ac:dyDescent="0.2">
      <c r="A321" s="92"/>
      <c r="B321" s="93"/>
      <c r="C321" s="93"/>
      <c r="D321" s="93"/>
      <c r="E321" s="93"/>
      <c r="F321" s="93"/>
      <c r="G321" s="93"/>
      <c r="H321" s="93"/>
      <c r="I321" s="93"/>
      <c r="N321" s="27" t="s">
        <v>287</v>
      </c>
    </row>
    <row r="322" spans="1:14" x14ac:dyDescent="0.2">
      <c r="A322" s="92"/>
      <c r="B322" s="93"/>
      <c r="C322" s="93"/>
      <c r="D322" s="93"/>
      <c r="E322" s="93"/>
      <c r="F322" s="93"/>
      <c r="G322" s="93"/>
      <c r="H322" s="93"/>
      <c r="I322" s="93"/>
      <c r="N322" s="27" t="s">
        <v>288</v>
      </c>
    </row>
    <row r="323" spans="1:14" x14ac:dyDescent="0.2">
      <c r="A323" s="92"/>
      <c r="B323" s="93"/>
      <c r="C323" s="93"/>
      <c r="D323" s="93"/>
      <c r="E323" s="93"/>
      <c r="F323" s="93"/>
      <c r="G323" s="93"/>
      <c r="H323" s="93"/>
      <c r="I323" s="93"/>
      <c r="N323" s="27" t="s">
        <v>289</v>
      </c>
    </row>
    <row r="324" spans="1:14" x14ac:dyDescent="0.2">
      <c r="A324" s="92"/>
      <c r="B324" s="93"/>
      <c r="C324" s="93"/>
      <c r="D324" s="93"/>
      <c r="E324" s="93"/>
      <c r="F324" s="93"/>
      <c r="G324" s="93"/>
      <c r="H324" s="93"/>
      <c r="I324" s="93"/>
      <c r="N324" s="27" t="s">
        <v>290</v>
      </c>
    </row>
    <row r="325" spans="1:14" x14ac:dyDescent="0.2">
      <c r="A325" s="92"/>
      <c r="B325" s="93"/>
      <c r="C325" s="93"/>
      <c r="D325" s="93"/>
      <c r="E325" s="93"/>
      <c r="F325" s="93"/>
      <c r="G325" s="93"/>
      <c r="H325" s="93"/>
      <c r="I325" s="93"/>
      <c r="N325" s="27" t="s">
        <v>291</v>
      </c>
    </row>
    <row r="326" spans="1:14" x14ac:dyDescent="0.2">
      <c r="A326" s="92"/>
      <c r="B326" s="93"/>
      <c r="C326" s="93"/>
      <c r="D326" s="93"/>
      <c r="E326" s="93"/>
      <c r="F326" s="93"/>
      <c r="G326" s="93"/>
      <c r="H326" s="93"/>
      <c r="I326" s="93"/>
      <c r="N326" s="27" t="s">
        <v>292</v>
      </c>
    </row>
    <row r="327" spans="1:14" x14ac:dyDescent="0.2">
      <c r="A327" s="92"/>
      <c r="B327" s="93"/>
      <c r="C327" s="93"/>
      <c r="D327" s="93"/>
      <c r="E327" s="93"/>
      <c r="F327" s="93"/>
      <c r="G327" s="93"/>
      <c r="H327" s="93"/>
      <c r="I327" s="93"/>
      <c r="N327" s="27" t="s">
        <v>293</v>
      </c>
    </row>
    <row r="328" spans="1:14" x14ac:dyDescent="0.2">
      <c r="A328" s="92"/>
      <c r="B328" s="93"/>
      <c r="C328" s="93"/>
      <c r="D328" s="93"/>
      <c r="E328" s="93"/>
      <c r="F328" s="93"/>
      <c r="G328" s="93"/>
      <c r="H328" s="93"/>
      <c r="I328" s="93"/>
      <c r="N328" s="27" t="s">
        <v>294</v>
      </c>
    </row>
    <row r="329" spans="1:14" x14ac:dyDescent="0.2">
      <c r="A329" s="92"/>
      <c r="B329" s="93"/>
      <c r="C329" s="93"/>
      <c r="D329" s="93"/>
      <c r="E329" s="93"/>
      <c r="F329" s="93"/>
      <c r="G329" s="93"/>
      <c r="H329" s="93"/>
      <c r="I329" s="93"/>
      <c r="N329" s="27" t="s">
        <v>295</v>
      </c>
    </row>
    <row r="330" spans="1:14" x14ac:dyDescent="0.2">
      <c r="A330" s="92"/>
      <c r="B330" s="93"/>
      <c r="C330" s="93"/>
      <c r="D330" s="93"/>
      <c r="E330" s="93"/>
      <c r="F330" s="93"/>
      <c r="G330" s="93"/>
      <c r="H330" s="93"/>
      <c r="I330" s="93"/>
      <c r="N330" s="27" t="s">
        <v>296</v>
      </c>
    </row>
    <row r="331" spans="1:14" x14ac:dyDescent="0.2">
      <c r="A331" s="92"/>
      <c r="B331" s="93"/>
      <c r="C331" s="93"/>
      <c r="D331" s="93"/>
      <c r="E331" s="93"/>
      <c r="F331" s="93"/>
      <c r="G331" s="93"/>
      <c r="H331" s="93"/>
      <c r="I331" s="93"/>
      <c r="N331" s="27" t="s">
        <v>297</v>
      </c>
    </row>
    <row r="332" spans="1:14" x14ac:dyDescent="0.2">
      <c r="A332" s="92"/>
      <c r="B332" s="93"/>
      <c r="C332" s="93"/>
      <c r="D332" s="93"/>
      <c r="E332" s="93"/>
      <c r="F332" s="93"/>
      <c r="G332" s="93"/>
      <c r="H332" s="93"/>
      <c r="I332" s="93"/>
      <c r="N332" s="27" t="s">
        <v>298</v>
      </c>
    </row>
    <row r="333" spans="1:14" x14ac:dyDescent="0.2">
      <c r="A333" s="92"/>
      <c r="B333" s="93"/>
      <c r="C333" s="93"/>
      <c r="D333" s="93"/>
      <c r="E333" s="93"/>
      <c r="F333" s="93"/>
      <c r="G333" s="93"/>
      <c r="H333" s="93"/>
      <c r="I333" s="93"/>
      <c r="N333" s="27" t="s">
        <v>299</v>
      </c>
    </row>
    <row r="334" spans="1:14" x14ac:dyDescent="0.2">
      <c r="A334" s="92"/>
      <c r="B334" s="93"/>
      <c r="C334" s="93"/>
      <c r="D334" s="93"/>
      <c r="E334" s="93"/>
      <c r="F334" s="93"/>
      <c r="G334" s="93"/>
      <c r="H334" s="93"/>
      <c r="I334" s="93"/>
      <c r="N334" s="27" t="s">
        <v>300</v>
      </c>
    </row>
    <row r="335" spans="1:14" x14ac:dyDescent="0.2">
      <c r="A335" s="92"/>
      <c r="B335" s="93"/>
      <c r="C335" s="93"/>
      <c r="D335" s="93"/>
      <c r="E335" s="93"/>
      <c r="F335" s="93"/>
      <c r="G335" s="93"/>
      <c r="H335" s="93"/>
      <c r="I335" s="93"/>
      <c r="N335" s="27" t="s">
        <v>301</v>
      </c>
    </row>
    <row r="336" spans="1:14" x14ac:dyDescent="0.2">
      <c r="A336" s="92"/>
      <c r="B336" s="93"/>
      <c r="C336" s="93"/>
      <c r="D336" s="93"/>
      <c r="E336" s="93"/>
      <c r="F336" s="93"/>
      <c r="G336" s="93"/>
      <c r="H336" s="93"/>
      <c r="I336" s="93"/>
      <c r="N336" s="27" t="s">
        <v>302</v>
      </c>
    </row>
    <row r="337" spans="1:14" x14ac:dyDescent="0.2">
      <c r="A337" s="92"/>
      <c r="B337" s="93"/>
      <c r="C337" s="93"/>
      <c r="D337" s="93"/>
      <c r="E337" s="93"/>
      <c r="F337" s="93"/>
      <c r="G337" s="93"/>
      <c r="H337" s="93"/>
      <c r="I337" s="93"/>
      <c r="N337" s="27" t="s">
        <v>303</v>
      </c>
    </row>
    <row r="338" spans="1:14" x14ac:dyDescent="0.2">
      <c r="A338" s="92"/>
      <c r="B338" s="93"/>
      <c r="C338" s="93"/>
      <c r="D338" s="93"/>
      <c r="E338" s="93"/>
      <c r="F338" s="93"/>
      <c r="G338" s="93"/>
      <c r="H338" s="93"/>
      <c r="I338" s="93"/>
      <c r="N338" s="27" t="s">
        <v>304</v>
      </c>
    </row>
    <row r="339" spans="1:14" x14ac:dyDescent="0.2">
      <c r="A339" s="92"/>
      <c r="B339" s="93"/>
      <c r="C339" s="93"/>
      <c r="D339" s="93"/>
      <c r="E339" s="93"/>
      <c r="F339" s="93"/>
      <c r="G339" s="93"/>
      <c r="H339" s="93"/>
      <c r="I339" s="93"/>
      <c r="N339" s="27" t="s">
        <v>305</v>
      </c>
    </row>
    <row r="340" spans="1:14" x14ac:dyDescent="0.2">
      <c r="A340" s="92"/>
      <c r="B340" s="93"/>
      <c r="C340" s="93"/>
      <c r="D340" s="93"/>
      <c r="E340" s="93"/>
      <c r="F340" s="93"/>
      <c r="G340" s="93"/>
      <c r="H340" s="93"/>
      <c r="I340" s="93"/>
      <c r="N340" s="27" t="s">
        <v>306</v>
      </c>
    </row>
    <row r="341" spans="1:14" x14ac:dyDescent="0.2">
      <c r="A341" s="92"/>
      <c r="B341" s="93"/>
      <c r="C341" s="93"/>
      <c r="D341" s="93"/>
      <c r="E341" s="93"/>
      <c r="F341" s="93"/>
      <c r="G341" s="93"/>
      <c r="H341" s="93"/>
      <c r="I341" s="93"/>
      <c r="N341" s="27" t="s">
        <v>307</v>
      </c>
    </row>
    <row r="342" spans="1:14" x14ac:dyDescent="0.2">
      <c r="A342" s="92"/>
      <c r="B342" s="93"/>
      <c r="C342" s="93"/>
      <c r="D342" s="93"/>
      <c r="E342" s="93"/>
      <c r="F342" s="93"/>
      <c r="G342" s="93"/>
      <c r="H342" s="93"/>
      <c r="I342" s="93"/>
      <c r="N342" s="27" t="s">
        <v>308</v>
      </c>
    </row>
    <row r="343" spans="1:14" x14ac:dyDescent="0.2">
      <c r="A343" s="92"/>
      <c r="B343" s="93"/>
      <c r="C343" s="93"/>
      <c r="D343" s="93"/>
      <c r="E343" s="93"/>
      <c r="F343" s="93"/>
      <c r="G343" s="93"/>
      <c r="H343" s="93"/>
      <c r="I343" s="93"/>
      <c r="N343" s="27" t="s">
        <v>309</v>
      </c>
    </row>
    <row r="344" spans="1:14" x14ac:dyDescent="0.2">
      <c r="A344" s="92"/>
      <c r="B344" s="93"/>
      <c r="C344" s="93"/>
      <c r="D344" s="93"/>
      <c r="E344" s="93"/>
      <c r="F344" s="93"/>
      <c r="G344" s="93"/>
      <c r="H344" s="93"/>
      <c r="I344" s="93"/>
      <c r="N344" s="27" t="s">
        <v>310</v>
      </c>
    </row>
    <row r="345" spans="1:14" x14ac:dyDescent="0.2">
      <c r="A345" s="92"/>
      <c r="B345" s="93"/>
      <c r="C345" s="93"/>
      <c r="D345" s="93"/>
      <c r="E345" s="93"/>
      <c r="F345" s="93"/>
      <c r="G345" s="93"/>
      <c r="H345" s="93"/>
      <c r="I345" s="93"/>
      <c r="N345" s="27" t="s">
        <v>450</v>
      </c>
    </row>
    <row r="346" spans="1:14" x14ac:dyDescent="0.2">
      <c r="A346" s="92"/>
      <c r="B346" s="93"/>
      <c r="C346" s="93"/>
      <c r="D346" s="93"/>
      <c r="E346" s="93"/>
      <c r="F346" s="93"/>
      <c r="G346" s="93"/>
      <c r="H346" s="93"/>
      <c r="I346" s="93"/>
      <c r="N346" s="27" t="s">
        <v>311</v>
      </c>
    </row>
    <row r="347" spans="1:14" x14ac:dyDescent="0.2">
      <c r="A347" s="92"/>
      <c r="B347" s="93"/>
      <c r="C347" s="93"/>
      <c r="D347" s="93"/>
      <c r="E347" s="93"/>
      <c r="F347" s="93"/>
      <c r="G347" s="93"/>
      <c r="H347" s="93"/>
      <c r="I347" s="93"/>
      <c r="N347" s="27" t="s">
        <v>449</v>
      </c>
    </row>
    <row r="348" spans="1:14" x14ac:dyDescent="0.2">
      <c r="A348" s="92"/>
      <c r="B348" s="93"/>
      <c r="C348" s="93"/>
      <c r="D348" s="93"/>
      <c r="E348" s="93"/>
      <c r="F348" s="93"/>
      <c r="G348" s="93"/>
      <c r="H348" s="93"/>
      <c r="I348" s="93"/>
      <c r="N348" s="27" t="s">
        <v>312</v>
      </c>
    </row>
    <row r="349" spans="1:14" x14ac:dyDescent="0.2">
      <c r="A349" s="92"/>
      <c r="B349" s="93"/>
      <c r="C349" s="93"/>
      <c r="D349" s="93"/>
      <c r="E349" s="93"/>
      <c r="F349" s="93"/>
      <c r="G349" s="93"/>
      <c r="H349" s="93"/>
      <c r="I349" s="93"/>
      <c r="N349" s="27" t="s">
        <v>313</v>
      </c>
    </row>
    <row r="350" spans="1:14" x14ac:dyDescent="0.2">
      <c r="A350" s="92"/>
      <c r="B350" s="93"/>
      <c r="C350" s="93"/>
      <c r="D350" s="93"/>
      <c r="E350" s="93"/>
      <c r="F350" s="93"/>
      <c r="G350" s="93"/>
      <c r="H350" s="93"/>
      <c r="I350" s="93"/>
      <c r="N350" s="27" t="s">
        <v>314</v>
      </c>
    </row>
    <row r="351" spans="1:14" x14ac:dyDescent="0.2">
      <c r="A351" s="92"/>
      <c r="B351" s="93"/>
      <c r="C351" s="93"/>
      <c r="D351" s="93"/>
      <c r="E351" s="93"/>
      <c r="F351" s="93"/>
      <c r="G351" s="93"/>
      <c r="H351" s="93"/>
      <c r="I351" s="93"/>
      <c r="N351" s="27" t="s">
        <v>315</v>
      </c>
    </row>
    <row r="352" spans="1:14" x14ac:dyDescent="0.2">
      <c r="A352" s="92"/>
      <c r="B352" s="93"/>
      <c r="C352" s="93"/>
      <c r="D352" s="93"/>
      <c r="E352" s="93"/>
      <c r="F352" s="93"/>
      <c r="G352" s="93"/>
      <c r="H352" s="93"/>
      <c r="I352" s="93"/>
      <c r="N352" s="27" t="s">
        <v>316</v>
      </c>
    </row>
    <row r="353" spans="1:14" x14ac:dyDescent="0.2">
      <c r="A353" s="92"/>
      <c r="B353" s="93"/>
      <c r="C353" s="93"/>
      <c r="D353" s="93"/>
      <c r="E353" s="93"/>
      <c r="F353" s="93"/>
      <c r="G353" s="93"/>
      <c r="H353" s="93"/>
      <c r="I353" s="93"/>
      <c r="N353" s="27" t="s">
        <v>317</v>
      </c>
    </row>
    <row r="354" spans="1:14" x14ac:dyDescent="0.2">
      <c r="A354" s="92"/>
      <c r="B354" s="93"/>
      <c r="C354" s="93"/>
      <c r="D354" s="93"/>
      <c r="E354" s="93"/>
      <c r="F354" s="93"/>
      <c r="G354" s="93"/>
      <c r="H354" s="93"/>
      <c r="I354" s="93"/>
      <c r="N354" s="27" t="s">
        <v>318</v>
      </c>
    </row>
    <row r="355" spans="1:14" x14ac:dyDescent="0.2">
      <c r="A355" s="92"/>
      <c r="B355" s="93"/>
      <c r="C355" s="93"/>
      <c r="D355" s="93"/>
      <c r="E355" s="93"/>
      <c r="F355" s="93"/>
      <c r="G355" s="93"/>
      <c r="H355" s="93"/>
      <c r="I355" s="93"/>
      <c r="N355" s="27" t="s">
        <v>319</v>
      </c>
    </row>
    <row r="356" spans="1:14" x14ac:dyDescent="0.2">
      <c r="A356" s="92"/>
      <c r="B356" s="93"/>
      <c r="C356" s="93"/>
      <c r="D356" s="93"/>
      <c r="E356" s="93"/>
      <c r="F356" s="93"/>
      <c r="G356" s="93"/>
      <c r="H356" s="93"/>
      <c r="I356" s="93"/>
      <c r="N356" s="27" t="s">
        <v>320</v>
      </c>
    </row>
    <row r="357" spans="1:14" x14ac:dyDescent="0.2">
      <c r="A357" s="92"/>
      <c r="B357" s="93"/>
      <c r="C357" s="93"/>
      <c r="D357" s="93"/>
      <c r="E357" s="93"/>
      <c r="F357" s="93"/>
      <c r="G357" s="93"/>
      <c r="H357" s="93"/>
      <c r="I357" s="93"/>
      <c r="N357" s="27" t="s">
        <v>321</v>
      </c>
    </row>
    <row r="358" spans="1:14" x14ac:dyDescent="0.2">
      <c r="A358" s="92"/>
      <c r="B358" s="93"/>
      <c r="C358" s="93"/>
      <c r="D358" s="93"/>
      <c r="E358" s="93"/>
      <c r="F358" s="93"/>
      <c r="G358" s="93"/>
      <c r="H358" s="93"/>
      <c r="I358" s="93"/>
      <c r="N358" s="27" t="s">
        <v>322</v>
      </c>
    </row>
    <row r="359" spans="1:14" x14ac:dyDescent="0.2">
      <c r="A359" s="92"/>
      <c r="B359" s="93"/>
      <c r="C359" s="93"/>
      <c r="D359" s="93"/>
      <c r="E359" s="93"/>
      <c r="F359" s="93"/>
      <c r="G359" s="93"/>
      <c r="H359" s="93"/>
      <c r="I359" s="93"/>
      <c r="N359" s="27" t="s">
        <v>323</v>
      </c>
    </row>
    <row r="360" spans="1:14" x14ac:dyDescent="0.2">
      <c r="A360" s="92"/>
      <c r="B360" s="93"/>
      <c r="C360" s="93"/>
      <c r="D360" s="93"/>
      <c r="E360" s="93"/>
      <c r="F360" s="93"/>
      <c r="G360" s="93"/>
      <c r="H360" s="93"/>
      <c r="I360" s="93"/>
      <c r="N360" s="27" t="s">
        <v>324</v>
      </c>
    </row>
    <row r="361" spans="1:14" x14ac:dyDescent="0.2">
      <c r="A361" s="92"/>
      <c r="B361" s="93"/>
      <c r="C361" s="93"/>
      <c r="D361" s="93"/>
      <c r="E361" s="93"/>
      <c r="F361" s="93"/>
      <c r="G361" s="93"/>
      <c r="H361" s="93"/>
      <c r="I361" s="93"/>
      <c r="N361" s="27" t="s">
        <v>325</v>
      </c>
    </row>
    <row r="362" spans="1:14" x14ac:dyDescent="0.2">
      <c r="A362" s="92"/>
      <c r="B362" s="93"/>
      <c r="C362" s="93"/>
      <c r="D362" s="93"/>
      <c r="E362" s="93"/>
      <c r="F362" s="93"/>
      <c r="G362" s="93"/>
      <c r="H362" s="93"/>
      <c r="I362" s="93"/>
      <c r="N362" s="27" t="s">
        <v>326</v>
      </c>
    </row>
    <row r="363" spans="1:14" x14ac:dyDescent="0.2">
      <c r="A363" s="92"/>
      <c r="B363" s="93"/>
      <c r="C363" s="93"/>
      <c r="D363" s="93"/>
      <c r="E363" s="93"/>
      <c r="F363" s="93"/>
      <c r="G363" s="93"/>
      <c r="H363" s="93"/>
      <c r="I363" s="93"/>
      <c r="N363" s="27" t="s">
        <v>327</v>
      </c>
    </row>
    <row r="364" spans="1:14" x14ac:dyDescent="0.2">
      <c r="A364" s="92"/>
      <c r="B364" s="93"/>
      <c r="C364" s="93"/>
      <c r="D364" s="93"/>
      <c r="E364" s="93"/>
      <c r="F364" s="93"/>
      <c r="G364" s="93"/>
      <c r="H364" s="93"/>
      <c r="I364" s="93"/>
      <c r="N364" s="27" t="s">
        <v>328</v>
      </c>
    </row>
    <row r="365" spans="1:14" x14ac:dyDescent="0.2">
      <c r="A365" s="92"/>
      <c r="B365" s="93"/>
      <c r="C365" s="93"/>
      <c r="D365" s="93"/>
      <c r="E365" s="93"/>
      <c r="F365" s="93"/>
      <c r="G365" s="93"/>
      <c r="H365" s="93"/>
      <c r="I365" s="93"/>
      <c r="N365" s="27" t="s">
        <v>329</v>
      </c>
    </row>
    <row r="366" spans="1:14" x14ac:dyDescent="0.2">
      <c r="A366" s="92"/>
      <c r="B366" s="93"/>
      <c r="C366" s="93"/>
      <c r="D366" s="93"/>
      <c r="E366" s="93"/>
      <c r="F366" s="93"/>
      <c r="G366" s="93"/>
      <c r="N366" s="27" t="s">
        <v>330</v>
      </c>
    </row>
    <row r="367" spans="1:14" x14ac:dyDescent="0.2">
      <c r="A367" s="92"/>
      <c r="B367" s="93"/>
      <c r="C367" s="93"/>
      <c r="D367" s="93"/>
      <c r="E367" s="93"/>
      <c r="F367" s="93"/>
      <c r="G367" s="93"/>
      <c r="N367" s="27" t="s">
        <v>331</v>
      </c>
    </row>
    <row r="368" spans="1:14" x14ac:dyDescent="0.2">
      <c r="A368" s="92"/>
      <c r="B368" s="93"/>
      <c r="C368" s="93"/>
      <c r="D368" s="93"/>
      <c r="E368" s="93"/>
      <c r="F368" s="93"/>
      <c r="G368" s="93"/>
      <c r="N368" s="27" t="s">
        <v>332</v>
      </c>
    </row>
    <row r="369" spans="1:14" x14ac:dyDescent="0.2">
      <c r="A369" s="92"/>
      <c r="B369" s="93"/>
      <c r="C369" s="93"/>
      <c r="D369" s="93"/>
      <c r="E369" s="93"/>
      <c r="F369" s="93"/>
      <c r="G369" s="93"/>
      <c r="N369" s="27" t="s">
        <v>448</v>
      </c>
    </row>
    <row r="370" spans="1:14" x14ac:dyDescent="0.2">
      <c r="A370" s="92"/>
      <c r="B370" s="93"/>
      <c r="C370" s="93"/>
      <c r="D370" s="93"/>
      <c r="E370" s="93"/>
      <c r="F370" s="93"/>
      <c r="G370" s="93"/>
      <c r="N370" s="27" t="s">
        <v>447</v>
      </c>
    </row>
    <row r="371" spans="1:14" x14ac:dyDescent="0.2">
      <c r="A371" s="92"/>
      <c r="B371" s="93"/>
      <c r="C371" s="93"/>
      <c r="D371" s="93"/>
      <c r="E371" s="93"/>
      <c r="F371" s="93"/>
      <c r="G371" s="93"/>
      <c r="N371" s="27" t="s">
        <v>446</v>
      </c>
    </row>
    <row r="372" spans="1:14" x14ac:dyDescent="0.2">
      <c r="A372" s="92"/>
      <c r="B372" s="93"/>
      <c r="C372" s="93"/>
      <c r="D372" s="93"/>
      <c r="E372" s="93"/>
      <c r="F372" s="93"/>
      <c r="G372" s="93"/>
      <c r="N372" s="27" t="s">
        <v>445</v>
      </c>
    </row>
    <row r="373" spans="1:14" x14ac:dyDescent="0.2">
      <c r="A373" s="92"/>
      <c r="B373" s="93"/>
      <c r="C373" s="93"/>
      <c r="D373" s="93"/>
      <c r="E373" s="93"/>
      <c r="F373" s="93"/>
      <c r="G373" s="93"/>
      <c r="N373" s="27" t="s">
        <v>444</v>
      </c>
    </row>
    <row r="374" spans="1:14" x14ac:dyDescent="0.2">
      <c r="A374" s="92"/>
      <c r="B374" s="93"/>
      <c r="C374" s="93"/>
      <c r="D374" s="93"/>
      <c r="E374" s="93"/>
      <c r="F374" s="93"/>
      <c r="G374" s="93"/>
      <c r="N374" s="27" t="s">
        <v>443</v>
      </c>
    </row>
    <row r="375" spans="1:14" x14ac:dyDescent="0.2">
      <c r="A375" s="92"/>
      <c r="B375" s="93"/>
      <c r="C375" s="93"/>
      <c r="D375" s="93"/>
      <c r="E375" s="93"/>
      <c r="F375" s="93"/>
      <c r="G375" s="93"/>
      <c r="N375" s="27" t="s">
        <v>144</v>
      </c>
    </row>
    <row r="376" spans="1:14" x14ac:dyDescent="0.2">
      <c r="A376" s="92"/>
      <c r="B376" s="93"/>
      <c r="C376" s="93"/>
      <c r="D376" s="93"/>
      <c r="E376" s="93"/>
      <c r="F376" s="93"/>
      <c r="G376" s="93"/>
      <c r="N376" s="27" t="s">
        <v>333</v>
      </c>
    </row>
    <row r="377" spans="1:14" x14ac:dyDescent="0.2">
      <c r="A377" s="92"/>
      <c r="B377" s="93"/>
      <c r="C377" s="93"/>
      <c r="D377" s="93"/>
      <c r="E377" s="93"/>
      <c r="F377" s="93"/>
      <c r="G377" s="93"/>
      <c r="N377" s="27" t="s">
        <v>334</v>
      </c>
    </row>
    <row r="378" spans="1:14" x14ac:dyDescent="0.2">
      <c r="A378" s="92"/>
      <c r="B378" s="93"/>
      <c r="C378" s="93"/>
      <c r="D378" s="93"/>
      <c r="E378" s="93"/>
      <c r="F378" s="93"/>
      <c r="G378" s="93"/>
      <c r="N378" s="27" t="s">
        <v>335</v>
      </c>
    </row>
    <row r="379" spans="1:14" x14ac:dyDescent="0.2">
      <c r="A379" s="92"/>
      <c r="B379" s="93"/>
      <c r="C379" s="93"/>
      <c r="D379" s="93"/>
      <c r="E379" s="93"/>
      <c r="F379" s="93"/>
      <c r="G379" s="93"/>
      <c r="N379" s="27" t="s">
        <v>336</v>
      </c>
    </row>
    <row r="380" spans="1:14" x14ac:dyDescent="0.2">
      <c r="A380" s="92"/>
      <c r="B380" s="93"/>
      <c r="C380" s="93"/>
      <c r="D380" s="93"/>
      <c r="E380" s="93"/>
      <c r="F380" s="93"/>
      <c r="G380" s="93"/>
      <c r="N380" s="27" t="s">
        <v>337</v>
      </c>
    </row>
    <row r="381" spans="1:14" x14ac:dyDescent="0.2">
      <c r="A381" s="92"/>
      <c r="B381" s="93"/>
      <c r="C381" s="93"/>
      <c r="D381" s="93"/>
      <c r="E381" s="93"/>
      <c r="F381" s="93"/>
      <c r="G381" s="93"/>
      <c r="N381" s="27" t="s">
        <v>338</v>
      </c>
    </row>
    <row r="382" spans="1:14" x14ac:dyDescent="0.2">
      <c r="A382" s="92"/>
      <c r="B382" s="93"/>
      <c r="C382" s="93"/>
      <c r="D382" s="93"/>
      <c r="E382" s="93"/>
      <c r="F382" s="93"/>
      <c r="G382" s="93"/>
      <c r="N382" s="27" t="s">
        <v>339</v>
      </c>
    </row>
    <row r="383" spans="1:14" x14ac:dyDescent="0.2">
      <c r="A383" s="92"/>
      <c r="B383" s="93"/>
      <c r="C383" s="93"/>
      <c r="D383" s="93"/>
      <c r="E383" s="93"/>
      <c r="F383" s="93"/>
      <c r="G383" s="93"/>
      <c r="N383" s="27" t="s">
        <v>340</v>
      </c>
    </row>
    <row r="384" spans="1:14" x14ac:dyDescent="0.2">
      <c r="A384" s="92"/>
      <c r="B384" s="93"/>
      <c r="C384" s="93"/>
      <c r="D384" s="93"/>
      <c r="E384" s="93"/>
      <c r="F384" s="93"/>
      <c r="G384" s="93"/>
      <c r="N384" s="27" t="s">
        <v>341</v>
      </c>
    </row>
    <row r="385" spans="1:14" x14ac:dyDescent="0.2">
      <c r="A385" s="92"/>
      <c r="B385" s="93"/>
      <c r="C385" s="93"/>
      <c r="D385" s="93"/>
      <c r="E385" s="93"/>
      <c r="F385" s="93"/>
      <c r="G385" s="93"/>
      <c r="N385" s="27" t="s">
        <v>342</v>
      </c>
    </row>
    <row r="386" spans="1:14" x14ac:dyDescent="0.2">
      <c r="A386" s="92"/>
      <c r="B386" s="93"/>
      <c r="C386" s="93"/>
      <c r="D386" s="93"/>
      <c r="E386" s="93"/>
      <c r="F386" s="93"/>
      <c r="G386" s="93"/>
      <c r="N386" s="27" t="s">
        <v>343</v>
      </c>
    </row>
    <row r="387" spans="1:14" x14ac:dyDescent="0.2">
      <c r="A387" s="92"/>
      <c r="B387" s="93"/>
      <c r="C387" s="93"/>
      <c r="D387" s="93"/>
      <c r="E387" s="93"/>
      <c r="F387" s="93"/>
      <c r="G387" s="93"/>
      <c r="N387" s="27" t="s">
        <v>344</v>
      </c>
    </row>
    <row r="388" spans="1:14" x14ac:dyDescent="0.2">
      <c r="A388" s="92"/>
      <c r="B388" s="93"/>
      <c r="C388" s="93"/>
      <c r="D388" s="93"/>
      <c r="E388" s="93"/>
      <c r="F388" s="93"/>
      <c r="G388" s="93"/>
      <c r="N388" s="27" t="s">
        <v>165</v>
      </c>
    </row>
    <row r="389" spans="1:14" x14ac:dyDescent="0.2">
      <c r="A389" s="92"/>
      <c r="B389" s="93"/>
      <c r="C389" s="93"/>
      <c r="D389" s="93"/>
      <c r="E389" s="93"/>
      <c r="F389" s="93"/>
      <c r="G389" s="93"/>
      <c r="N389" s="27" t="s">
        <v>345</v>
      </c>
    </row>
    <row r="390" spans="1:14" x14ac:dyDescent="0.2">
      <c r="A390" s="92"/>
      <c r="B390" s="93"/>
      <c r="C390" s="93"/>
      <c r="D390" s="93"/>
      <c r="E390" s="93"/>
      <c r="F390" s="93"/>
      <c r="G390" s="93"/>
      <c r="N390" s="27" t="s">
        <v>346</v>
      </c>
    </row>
    <row r="391" spans="1:14" x14ac:dyDescent="0.2">
      <c r="A391" s="92"/>
      <c r="B391" s="93"/>
      <c r="C391" s="93"/>
      <c r="D391" s="93"/>
      <c r="E391" s="93"/>
      <c r="F391" s="93"/>
      <c r="G391" s="93"/>
      <c r="N391" s="27" t="s">
        <v>442</v>
      </c>
    </row>
    <row r="392" spans="1:14" x14ac:dyDescent="0.2">
      <c r="A392" s="92"/>
      <c r="B392" s="93"/>
      <c r="C392" s="93"/>
      <c r="D392" s="93"/>
      <c r="E392" s="93"/>
      <c r="F392" s="93"/>
      <c r="G392" s="93"/>
      <c r="N392" s="27" t="s">
        <v>347</v>
      </c>
    </row>
    <row r="393" spans="1:14" x14ac:dyDescent="0.2">
      <c r="A393" s="92"/>
      <c r="B393" s="93"/>
      <c r="C393" s="93"/>
      <c r="D393" s="93"/>
      <c r="E393" s="93"/>
      <c r="F393" s="93"/>
      <c r="G393" s="93"/>
      <c r="N393" s="27" t="s">
        <v>348</v>
      </c>
    </row>
    <row r="394" spans="1:14" x14ac:dyDescent="0.2">
      <c r="A394" s="92"/>
      <c r="B394" s="93"/>
      <c r="C394" s="93"/>
      <c r="D394" s="93"/>
      <c r="E394" s="93"/>
      <c r="F394" s="93"/>
      <c r="G394" s="93"/>
      <c r="N394" s="27" t="s">
        <v>441</v>
      </c>
    </row>
    <row r="395" spans="1:14" x14ac:dyDescent="0.2">
      <c r="C395" s="93"/>
      <c r="N395" s="27" t="s">
        <v>349</v>
      </c>
    </row>
    <row r="396" spans="1:14" x14ac:dyDescent="0.2">
      <c r="N396" s="27" t="s">
        <v>350</v>
      </c>
    </row>
    <row r="397" spans="1:14" x14ac:dyDescent="0.2">
      <c r="N397" s="27" t="s">
        <v>440</v>
      </c>
    </row>
    <row r="398" spans="1:14" x14ac:dyDescent="0.2">
      <c r="N398" s="27" t="s">
        <v>351</v>
      </c>
    </row>
    <row r="399" spans="1:14" x14ac:dyDescent="0.2">
      <c r="N399" s="27" t="s">
        <v>352</v>
      </c>
    </row>
    <row r="400" spans="1:14" x14ac:dyDescent="0.2">
      <c r="N400" s="27" t="s">
        <v>353</v>
      </c>
    </row>
    <row r="401" spans="14:14" x14ac:dyDescent="0.2">
      <c r="N401" s="27" t="s">
        <v>354</v>
      </c>
    </row>
    <row r="402" spans="14:14" x14ac:dyDescent="0.2">
      <c r="N402" s="27" t="s">
        <v>355</v>
      </c>
    </row>
    <row r="403" spans="14:14" x14ac:dyDescent="0.2">
      <c r="N403" s="27" t="s">
        <v>356</v>
      </c>
    </row>
    <row r="404" spans="14:14" x14ac:dyDescent="0.2">
      <c r="N404" s="27" t="s">
        <v>357</v>
      </c>
    </row>
    <row r="405" spans="14:14" x14ac:dyDescent="0.2">
      <c r="N405" s="27" t="s">
        <v>358</v>
      </c>
    </row>
    <row r="406" spans="14:14" x14ac:dyDescent="0.2">
      <c r="N406" s="27" t="s">
        <v>359</v>
      </c>
    </row>
  </sheetData>
  <sheetProtection sheet="1" objects="1" scenarios="1"/>
  <mergeCells count="2">
    <mergeCell ref="B5:C5"/>
    <mergeCell ref="B7:D7"/>
  </mergeCells>
  <conditionalFormatting sqref="B183:B394">
    <cfRule type="expression" dxfId="10" priority="10" stopIfTrue="1">
      <formula>A183&lt;&gt;""</formula>
    </cfRule>
  </conditionalFormatting>
  <conditionalFormatting sqref="C183:C395">
    <cfRule type="expression" dxfId="9" priority="9" stopIfTrue="1">
      <formula>A183&lt;&gt;""</formula>
    </cfRule>
  </conditionalFormatting>
  <conditionalFormatting sqref="D183:D394">
    <cfRule type="expression" dxfId="8" priority="7" stopIfTrue="1">
      <formula>OR(C183="date",C183="text")</formula>
    </cfRule>
    <cfRule type="expression" dxfId="7" priority="8" stopIfTrue="1">
      <formula>OR(C183="number")</formula>
    </cfRule>
  </conditionalFormatting>
  <conditionalFormatting sqref="E183:E394">
    <cfRule type="expression" dxfId="6" priority="5" stopIfTrue="1">
      <formula>OR(C183="number",C183="text")</formula>
    </cfRule>
    <cfRule type="expression" dxfId="5" priority="6" stopIfTrue="1">
      <formula>OR(C183="datetime")</formula>
    </cfRule>
  </conditionalFormatting>
  <conditionalFormatting sqref="F183:G394">
    <cfRule type="expression" dxfId="4" priority="3" stopIfTrue="1">
      <formula>OR($C183="number", $C183="text")</formula>
    </cfRule>
    <cfRule type="expression" dxfId="3" priority="4" stopIfTrue="1">
      <formula>OR($C183="date")</formula>
    </cfRule>
  </conditionalFormatting>
  <conditionalFormatting sqref="B49:I49">
    <cfRule type="expression" dxfId="2" priority="2" stopIfTrue="1">
      <formula>NOT(ISBLANK($B$51:$B$58))</formula>
    </cfRule>
  </conditionalFormatting>
  <conditionalFormatting sqref="B56:AO59">
    <cfRule type="expression" dxfId="1" priority="1" stopIfTrue="1">
      <formula>NOT(ISBLANK($B$51:$B$58))</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83:D394 IZ183:IZ394 SV183:SV394 ACR183:ACR394 AMN183:AMN394 AWJ183:AWJ394 BGF183:BGF394 BQB183:BQB394 BZX183:BZX394 CJT183:CJT394 CTP183:CTP394 DDL183:DDL394 DNH183:DNH394 DXD183:DXD394 EGZ183:EGZ394 EQV183:EQV394 FAR183:FAR394 FKN183:FKN394 FUJ183:FUJ394 GEF183:GEF394 GOB183:GOB394 GXX183:GXX394 HHT183:HHT394 HRP183:HRP394 IBL183:IBL394 ILH183:ILH394 IVD183:IVD394 JEZ183:JEZ394 JOV183:JOV394 JYR183:JYR394 KIN183:KIN394 KSJ183:KSJ394 LCF183:LCF394 LMB183:LMB394 LVX183:LVX394 MFT183:MFT394 MPP183:MPP394 MZL183:MZL394 NJH183:NJH394 NTD183:NTD394 OCZ183:OCZ394 OMV183:OMV394 OWR183:OWR394 PGN183:PGN394 PQJ183:PQJ394 QAF183:QAF394 QKB183:QKB394 QTX183:QTX394 RDT183:RDT394 RNP183:RNP394 RXL183:RXL394 SHH183:SHH394 SRD183:SRD394 TAZ183:TAZ394 TKV183:TKV394 TUR183:TUR394 UEN183:UEN394 UOJ183:UOJ394 UYF183:UYF394 VIB183:VIB394 VRX183:VRX394 WBT183:WBT394 WLP183:WLP394 WVL183:WVL394 D65719:D65930 IZ65719:IZ65930 SV65719:SV65930 ACR65719:ACR65930 AMN65719:AMN65930 AWJ65719:AWJ65930 BGF65719:BGF65930 BQB65719:BQB65930 BZX65719:BZX65930 CJT65719:CJT65930 CTP65719:CTP65930 DDL65719:DDL65930 DNH65719:DNH65930 DXD65719:DXD65930 EGZ65719:EGZ65930 EQV65719:EQV65930 FAR65719:FAR65930 FKN65719:FKN65930 FUJ65719:FUJ65930 GEF65719:GEF65930 GOB65719:GOB65930 GXX65719:GXX65930 HHT65719:HHT65930 HRP65719:HRP65930 IBL65719:IBL65930 ILH65719:ILH65930 IVD65719:IVD65930 JEZ65719:JEZ65930 JOV65719:JOV65930 JYR65719:JYR65930 KIN65719:KIN65930 KSJ65719:KSJ65930 LCF65719:LCF65930 LMB65719:LMB65930 LVX65719:LVX65930 MFT65719:MFT65930 MPP65719:MPP65930 MZL65719:MZL65930 NJH65719:NJH65930 NTD65719:NTD65930 OCZ65719:OCZ65930 OMV65719:OMV65930 OWR65719:OWR65930 PGN65719:PGN65930 PQJ65719:PQJ65930 QAF65719:QAF65930 QKB65719:QKB65930 QTX65719:QTX65930 RDT65719:RDT65930 RNP65719:RNP65930 RXL65719:RXL65930 SHH65719:SHH65930 SRD65719:SRD65930 TAZ65719:TAZ65930 TKV65719:TKV65930 TUR65719:TUR65930 UEN65719:UEN65930 UOJ65719:UOJ65930 UYF65719:UYF65930 VIB65719:VIB65930 VRX65719:VRX65930 WBT65719:WBT65930 WLP65719:WLP65930 WVL65719:WVL65930 D131255:D131466 IZ131255:IZ131466 SV131255:SV131466 ACR131255:ACR131466 AMN131255:AMN131466 AWJ131255:AWJ131466 BGF131255:BGF131466 BQB131255:BQB131466 BZX131255:BZX131466 CJT131255:CJT131466 CTP131255:CTP131466 DDL131255:DDL131466 DNH131255:DNH131466 DXD131255:DXD131466 EGZ131255:EGZ131466 EQV131255:EQV131466 FAR131255:FAR131466 FKN131255:FKN131466 FUJ131255:FUJ131466 GEF131255:GEF131466 GOB131255:GOB131466 GXX131255:GXX131466 HHT131255:HHT131466 HRP131255:HRP131466 IBL131255:IBL131466 ILH131255:ILH131466 IVD131255:IVD131466 JEZ131255:JEZ131466 JOV131255:JOV131466 JYR131255:JYR131466 KIN131255:KIN131466 KSJ131255:KSJ131466 LCF131255:LCF131466 LMB131255:LMB131466 LVX131255:LVX131466 MFT131255:MFT131466 MPP131255:MPP131466 MZL131255:MZL131466 NJH131255:NJH131466 NTD131255:NTD131466 OCZ131255:OCZ131466 OMV131255:OMV131466 OWR131255:OWR131466 PGN131255:PGN131466 PQJ131255:PQJ131466 QAF131255:QAF131466 QKB131255:QKB131466 QTX131255:QTX131466 RDT131255:RDT131466 RNP131255:RNP131466 RXL131255:RXL131466 SHH131255:SHH131466 SRD131255:SRD131466 TAZ131255:TAZ131466 TKV131255:TKV131466 TUR131255:TUR131466 UEN131255:UEN131466 UOJ131255:UOJ131466 UYF131255:UYF131466 VIB131255:VIB131466 VRX131255:VRX131466 WBT131255:WBT131466 WLP131255:WLP131466 WVL131255:WVL131466 D196791:D197002 IZ196791:IZ197002 SV196791:SV197002 ACR196791:ACR197002 AMN196791:AMN197002 AWJ196791:AWJ197002 BGF196791:BGF197002 BQB196791:BQB197002 BZX196791:BZX197002 CJT196791:CJT197002 CTP196791:CTP197002 DDL196791:DDL197002 DNH196791:DNH197002 DXD196791:DXD197002 EGZ196791:EGZ197002 EQV196791:EQV197002 FAR196791:FAR197002 FKN196791:FKN197002 FUJ196791:FUJ197002 GEF196791:GEF197002 GOB196791:GOB197002 GXX196791:GXX197002 HHT196791:HHT197002 HRP196791:HRP197002 IBL196791:IBL197002 ILH196791:ILH197002 IVD196791:IVD197002 JEZ196791:JEZ197002 JOV196791:JOV197002 JYR196791:JYR197002 KIN196791:KIN197002 KSJ196791:KSJ197002 LCF196791:LCF197002 LMB196791:LMB197002 LVX196791:LVX197002 MFT196791:MFT197002 MPP196791:MPP197002 MZL196791:MZL197002 NJH196791:NJH197002 NTD196791:NTD197002 OCZ196791:OCZ197002 OMV196791:OMV197002 OWR196791:OWR197002 PGN196791:PGN197002 PQJ196791:PQJ197002 QAF196791:QAF197002 QKB196791:QKB197002 QTX196791:QTX197002 RDT196791:RDT197002 RNP196791:RNP197002 RXL196791:RXL197002 SHH196791:SHH197002 SRD196791:SRD197002 TAZ196791:TAZ197002 TKV196791:TKV197002 TUR196791:TUR197002 UEN196791:UEN197002 UOJ196791:UOJ197002 UYF196791:UYF197002 VIB196791:VIB197002 VRX196791:VRX197002 WBT196791:WBT197002 WLP196791:WLP197002 WVL196791:WVL197002 D262327:D262538 IZ262327:IZ262538 SV262327:SV262538 ACR262327:ACR262538 AMN262327:AMN262538 AWJ262327:AWJ262538 BGF262327:BGF262538 BQB262327:BQB262538 BZX262327:BZX262538 CJT262327:CJT262538 CTP262327:CTP262538 DDL262327:DDL262538 DNH262327:DNH262538 DXD262327:DXD262538 EGZ262327:EGZ262538 EQV262327:EQV262538 FAR262327:FAR262538 FKN262327:FKN262538 FUJ262327:FUJ262538 GEF262327:GEF262538 GOB262327:GOB262538 GXX262327:GXX262538 HHT262327:HHT262538 HRP262327:HRP262538 IBL262327:IBL262538 ILH262327:ILH262538 IVD262327:IVD262538 JEZ262327:JEZ262538 JOV262327:JOV262538 JYR262327:JYR262538 KIN262327:KIN262538 KSJ262327:KSJ262538 LCF262327:LCF262538 LMB262327:LMB262538 LVX262327:LVX262538 MFT262327:MFT262538 MPP262327:MPP262538 MZL262327:MZL262538 NJH262327:NJH262538 NTD262327:NTD262538 OCZ262327:OCZ262538 OMV262327:OMV262538 OWR262327:OWR262538 PGN262327:PGN262538 PQJ262327:PQJ262538 QAF262327:QAF262538 QKB262327:QKB262538 QTX262327:QTX262538 RDT262327:RDT262538 RNP262327:RNP262538 RXL262327:RXL262538 SHH262327:SHH262538 SRD262327:SRD262538 TAZ262327:TAZ262538 TKV262327:TKV262538 TUR262327:TUR262538 UEN262327:UEN262538 UOJ262327:UOJ262538 UYF262327:UYF262538 VIB262327:VIB262538 VRX262327:VRX262538 WBT262327:WBT262538 WLP262327:WLP262538 WVL262327:WVL262538 D327863:D328074 IZ327863:IZ328074 SV327863:SV328074 ACR327863:ACR328074 AMN327863:AMN328074 AWJ327863:AWJ328074 BGF327863:BGF328074 BQB327863:BQB328074 BZX327863:BZX328074 CJT327863:CJT328074 CTP327863:CTP328074 DDL327863:DDL328074 DNH327863:DNH328074 DXD327863:DXD328074 EGZ327863:EGZ328074 EQV327863:EQV328074 FAR327863:FAR328074 FKN327863:FKN328074 FUJ327863:FUJ328074 GEF327863:GEF328074 GOB327863:GOB328074 GXX327863:GXX328074 HHT327863:HHT328074 HRP327863:HRP328074 IBL327863:IBL328074 ILH327863:ILH328074 IVD327863:IVD328074 JEZ327863:JEZ328074 JOV327863:JOV328074 JYR327863:JYR328074 KIN327863:KIN328074 KSJ327863:KSJ328074 LCF327863:LCF328074 LMB327863:LMB328074 LVX327863:LVX328074 MFT327863:MFT328074 MPP327863:MPP328074 MZL327863:MZL328074 NJH327863:NJH328074 NTD327863:NTD328074 OCZ327863:OCZ328074 OMV327863:OMV328074 OWR327863:OWR328074 PGN327863:PGN328074 PQJ327863:PQJ328074 QAF327863:QAF328074 QKB327863:QKB328074 QTX327863:QTX328074 RDT327863:RDT328074 RNP327863:RNP328074 RXL327863:RXL328074 SHH327863:SHH328074 SRD327863:SRD328074 TAZ327863:TAZ328074 TKV327863:TKV328074 TUR327863:TUR328074 UEN327863:UEN328074 UOJ327863:UOJ328074 UYF327863:UYF328074 VIB327863:VIB328074 VRX327863:VRX328074 WBT327863:WBT328074 WLP327863:WLP328074 WVL327863:WVL328074 D393399:D393610 IZ393399:IZ393610 SV393399:SV393610 ACR393399:ACR393610 AMN393399:AMN393610 AWJ393399:AWJ393610 BGF393399:BGF393610 BQB393399:BQB393610 BZX393399:BZX393610 CJT393399:CJT393610 CTP393399:CTP393610 DDL393399:DDL393610 DNH393399:DNH393610 DXD393399:DXD393610 EGZ393399:EGZ393610 EQV393399:EQV393610 FAR393399:FAR393610 FKN393399:FKN393610 FUJ393399:FUJ393610 GEF393399:GEF393610 GOB393399:GOB393610 GXX393399:GXX393610 HHT393399:HHT393610 HRP393399:HRP393610 IBL393399:IBL393610 ILH393399:ILH393610 IVD393399:IVD393610 JEZ393399:JEZ393610 JOV393399:JOV393610 JYR393399:JYR393610 KIN393399:KIN393610 KSJ393399:KSJ393610 LCF393399:LCF393610 LMB393399:LMB393610 LVX393399:LVX393610 MFT393399:MFT393610 MPP393399:MPP393610 MZL393399:MZL393610 NJH393399:NJH393610 NTD393399:NTD393610 OCZ393399:OCZ393610 OMV393399:OMV393610 OWR393399:OWR393610 PGN393399:PGN393610 PQJ393399:PQJ393610 QAF393399:QAF393610 QKB393399:QKB393610 QTX393399:QTX393610 RDT393399:RDT393610 RNP393399:RNP393610 RXL393399:RXL393610 SHH393399:SHH393610 SRD393399:SRD393610 TAZ393399:TAZ393610 TKV393399:TKV393610 TUR393399:TUR393610 UEN393399:UEN393610 UOJ393399:UOJ393610 UYF393399:UYF393610 VIB393399:VIB393610 VRX393399:VRX393610 WBT393399:WBT393610 WLP393399:WLP393610 WVL393399:WVL393610 D458935:D459146 IZ458935:IZ459146 SV458935:SV459146 ACR458935:ACR459146 AMN458935:AMN459146 AWJ458935:AWJ459146 BGF458935:BGF459146 BQB458935:BQB459146 BZX458935:BZX459146 CJT458935:CJT459146 CTP458935:CTP459146 DDL458935:DDL459146 DNH458935:DNH459146 DXD458935:DXD459146 EGZ458935:EGZ459146 EQV458935:EQV459146 FAR458935:FAR459146 FKN458935:FKN459146 FUJ458935:FUJ459146 GEF458935:GEF459146 GOB458935:GOB459146 GXX458935:GXX459146 HHT458935:HHT459146 HRP458935:HRP459146 IBL458935:IBL459146 ILH458935:ILH459146 IVD458935:IVD459146 JEZ458935:JEZ459146 JOV458935:JOV459146 JYR458935:JYR459146 KIN458935:KIN459146 KSJ458935:KSJ459146 LCF458935:LCF459146 LMB458935:LMB459146 LVX458935:LVX459146 MFT458935:MFT459146 MPP458935:MPP459146 MZL458935:MZL459146 NJH458935:NJH459146 NTD458935:NTD459146 OCZ458935:OCZ459146 OMV458935:OMV459146 OWR458935:OWR459146 PGN458935:PGN459146 PQJ458935:PQJ459146 QAF458935:QAF459146 QKB458935:QKB459146 QTX458935:QTX459146 RDT458935:RDT459146 RNP458935:RNP459146 RXL458935:RXL459146 SHH458935:SHH459146 SRD458935:SRD459146 TAZ458935:TAZ459146 TKV458935:TKV459146 TUR458935:TUR459146 UEN458935:UEN459146 UOJ458935:UOJ459146 UYF458935:UYF459146 VIB458935:VIB459146 VRX458935:VRX459146 WBT458935:WBT459146 WLP458935:WLP459146 WVL458935:WVL459146 D524471:D524682 IZ524471:IZ524682 SV524471:SV524682 ACR524471:ACR524682 AMN524471:AMN524682 AWJ524471:AWJ524682 BGF524471:BGF524682 BQB524471:BQB524682 BZX524471:BZX524682 CJT524471:CJT524682 CTP524471:CTP524682 DDL524471:DDL524682 DNH524471:DNH524682 DXD524471:DXD524682 EGZ524471:EGZ524682 EQV524471:EQV524682 FAR524471:FAR524682 FKN524471:FKN524682 FUJ524471:FUJ524682 GEF524471:GEF524682 GOB524471:GOB524682 GXX524471:GXX524682 HHT524471:HHT524682 HRP524471:HRP524682 IBL524471:IBL524682 ILH524471:ILH524682 IVD524471:IVD524682 JEZ524471:JEZ524682 JOV524471:JOV524682 JYR524471:JYR524682 KIN524471:KIN524682 KSJ524471:KSJ524682 LCF524471:LCF524682 LMB524471:LMB524682 LVX524471:LVX524682 MFT524471:MFT524682 MPP524471:MPP524682 MZL524471:MZL524682 NJH524471:NJH524682 NTD524471:NTD524682 OCZ524471:OCZ524682 OMV524471:OMV524682 OWR524471:OWR524682 PGN524471:PGN524682 PQJ524471:PQJ524682 QAF524471:QAF524682 QKB524471:QKB524682 QTX524471:QTX524682 RDT524471:RDT524682 RNP524471:RNP524682 RXL524471:RXL524682 SHH524471:SHH524682 SRD524471:SRD524682 TAZ524471:TAZ524682 TKV524471:TKV524682 TUR524471:TUR524682 UEN524471:UEN524682 UOJ524471:UOJ524682 UYF524471:UYF524682 VIB524471:VIB524682 VRX524471:VRX524682 WBT524471:WBT524682 WLP524471:WLP524682 WVL524471:WVL524682 D590007:D590218 IZ590007:IZ590218 SV590007:SV590218 ACR590007:ACR590218 AMN590007:AMN590218 AWJ590007:AWJ590218 BGF590007:BGF590218 BQB590007:BQB590218 BZX590007:BZX590218 CJT590007:CJT590218 CTP590007:CTP590218 DDL590007:DDL590218 DNH590007:DNH590218 DXD590007:DXD590218 EGZ590007:EGZ590218 EQV590007:EQV590218 FAR590007:FAR590218 FKN590007:FKN590218 FUJ590007:FUJ590218 GEF590007:GEF590218 GOB590007:GOB590218 GXX590007:GXX590218 HHT590007:HHT590218 HRP590007:HRP590218 IBL590007:IBL590218 ILH590007:ILH590218 IVD590007:IVD590218 JEZ590007:JEZ590218 JOV590007:JOV590218 JYR590007:JYR590218 KIN590007:KIN590218 KSJ590007:KSJ590218 LCF590007:LCF590218 LMB590007:LMB590218 LVX590007:LVX590218 MFT590007:MFT590218 MPP590007:MPP590218 MZL590007:MZL590218 NJH590007:NJH590218 NTD590007:NTD590218 OCZ590007:OCZ590218 OMV590007:OMV590218 OWR590007:OWR590218 PGN590007:PGN590218 PQJ590007:PQJ590218 QAF590007:QAF590218 QKB590007:QKB590218 QTX590007:QTX590218 RDT590007:RDT590218 RNP590007:RNP590218 RXL590007:RXL590218 SHH590007:SHH590218 SRD590007:SRD590218 TAZ590007:TAZ590218 TKV590007:TKV590218 TUR590007:TUR590218 UEN590007:UEN590218 UOJ590007:UOJ590218 UYF590007:UYF590218 VIB590007:VIB590218 VRX590007:VRX590218 WBT590007:WBT590218 WLP590007:WLP590218 WVL590007:WVL590218 D655543:D655754 IZ655543:IZ655754 SV655543:SV655754 ACR655543:ACR655754 AMN655543:AMN655754 AWJ655543:AWJ655754 BGF655543:BGF655754 BQB655543:BQB655754 BZX655543:BZX655754 CJT655543:CJT655754 CTP655543:CTP655754 DDL655543:DDL655754 DNH655543:DNH655754 DXD655543:DXD655754 EGZ655543:EGZ655754 EQV655543:EQV655754 FAR655543:FAR655754 FKN655543:FKN655754 FUJ655543:FUJ655754 GEF655543:GEF655754 GOB655543:GOB655754 GXX655543:GXX655754 HHT655543:HHT655754 HRP655543:HRP655754 IBL655543:IBL655754 ILH655543:ILH655754 IVD655543:IVD655754 JEZ655543:JEZ655754 JOV655543:JOV655754 JYR655543:JYR655754 KIN655543:KIN655754 KSJ655543:KSJ655754 LCF655543:LCF655754 LMB655543:LMB655754 LVX655543:LVX655754 MFT655543:MFT655754 MPP655543:MPP655754 MZL655543:MZL655754 NJH655543:NJH655754 NTD655543:NTD655754 OCZ655543:OCZ655754 OMV655543:OMV655754 OWR655543:OWR655754 PGN655543:PGN655754 PQJ655543:PQJ655754 QAF655543:QAF655754 QKB655543:QKB655754 QTX655543:QTX655754 RDT655543:RDT655754 RNP655543:RNP655754 RXL655543:RXL655754 SHH655543:SHH655754 SRD655543:SRD655754 TAZ655543:TAZ655754 TKV655543:TKV655754 TUR655543:TUR655754 UEN655543:UEN655754 UOJ655543:UOJ655754 UYF655543:UYF655754 VIB655543:VIB655754 VRX655543:VRX655754 WBT655543:WBT655754 WLP655543:WLP655754 WVL655543:WVL655754 D721079:D721290 IZ721079:IZ721290 SV721079:SV721290 ACR721079:ACR721290 AMN721079:AMN721290 AWJ721079:AWJ721290 BGF721079:BGF721290 BQB721079:BQB721290 BZX721079:BZX721290 CJT721079:CJT721290 CTP721079:CTP721290 DDL721079:DDL721290 DNH721079:DNH721290 DXD721079:DXD721290 EGZ721079:EGZ721290 EQV721079:EQV721290 FAR721079:FAR721290 FKN721079:FKN721290 FUJ721079:FUJ721290 GEF721079:GEF721290 GOB721079:GOB721290 GXX721079:GXX721290 HHT721079:HHT721290 HRP721079:HRP721290 IBL721079:IBL721290 ILH721079:ILH721290 IVD721079:IVD721290 JEZ721079:JEZ721290 JOV721079:JOV721290 JYR721079:JYR721290 KIN721079:KIN721290 KSJ721079:KSJ721290 LCF721079:LCF721290 LMB721079:LMB721290 LVX721079:LVX721290 MFT721079:MFT721290 MPP721079:MPP721290 MZL721079:MZL721290 NJH721079:NJH721290 NTD721079:NTD721290 OCZ721079:OCZ721290 OMV721079:OMV721290 OWR721079:OWR721290 PGN721079:PGN721290 PQJ721079:PQJ721290 QAF721079:QAF721290 QKB721079:QKB721290 QTX721079:QTX721290 RDT721079:RDT721290 RNP721079:RNP721290 RXL721079:RXL721290 SHH721079:SHH721290 SRD721079:SRD721290 TAZ721079:TAZ721290 TKV721079:TKV721290 TUR721079:TUR721290 UEN721079:UEN721290 UOJ721079:UOJ721290 UYF721079:UYF721290 VIB721079:VIB721290 VRX721079:VRX721290 WBT721079:WBT721290 WLP721079:WLP721290 WVL721079:WVL721290 D786615:D786826 IZ786615:IZ786826 SV786615:SV786826 ACR786615:ACR786826 AMN786615:AMN786826 AWJ786615:AWJ786826 BGF786615:BGF786826 BQB786615:BQB786826 BZX786615:BZX786826 CJT786615:CJT786826 CTP786615:CTP786826 DDL786615:DDL786826 DNH786615:DNH786826 DXD786615:DXD786826 EGZ786615:EGZ786826 EQV786615:EQV786826 FAR786615:FAR786826 FKN786615:FKN786826 FUJ786615:FUJ786826 GEF786615:GEF786826 GOB786615:GOB786826 GXX786615:GXX786826 HHT786615:HHT786826 HRP786615:HRP786826 IBL786615:IBL786826 ILH786615:ILH786826 IVD786615:IVD786826 JEZ786615:JEZ786826 JOV786615:JOV786826 JYR786615:JYR786826 KIN786615:KIN786826 KSJ786615:KSJ786826 LCF786615:LCF786826 LMB786615:LMB786826 LVX786615:LVX786826 MFT786615:MFT786826 MPP786615:MPP786826 MZL786615:MZL786826 NJH786615:NJH786826 NTD786615:NTD786826 OCZ786615:OCZ786826 OMV786615:OMV786826 OWR786615:OWR786826 PGN786615:PGN786826 PQJ786615:PQJ786826 QAF786615:QAF786826 QKB786615:QKB786826 QTX786615:QTX786826 RDT786615:RDT786826 RNP786615:RNP786826 RXL786615:RXL786826 SHH786615:SHH786826 SRD786615:SRD786826 TAZ786615:TAZ786826 TKV786615:TKV786826 TUR786615:TUR786826 UEN786615:UEN786826 UOJ786615:UOJ786826 UYF786615:UYF786826 VIB786615:VIB786826 VRX786615:VRX786826 WBT786615:WBT786826 WLP786615:WLP786826 WVL786615:WVL786826 D852151:D852362 IZ852151:IZ852362 SV852151:SV852362 ACR852151:ACR852362 AMN852151:AMN852362 AWJ852151:AWJ852362 BGF852151:BGF852362 BQB852151:BQB852362 BZX852151:BZX852362 CJT852151:CJT852362 CTP852151:CTP852362 DDL852151:DDL852362 DNH852151:DNH852362 DXD852151:DXD852362 EGZ852151:EGZ852362 EQV852151:EQV852362 FAR852151:FAR852362 FKN852151:FKN852362 FUJ852151:FUJ852362 GEF852151:GEF852362 GOB852151:GOB852362 GXX852151:GXX852362 HHT852151:HHT852362 HRP852151:HRP852362 IBL852151:IBL852362 ILH852151:ILH852362 IVD852151:IVD852362 JEZ852151:JEZ852362 JOV852151:JOV852362 JYR852151:JYR852362 KIN852151:KIN852362 KSJ852151:KSJ852362 LCF852151:LCF852362 LMB852151:LMB852362 LVX852151:LVX852362 MFT852151:MFT852362 MPP852151:MPP852362 MZL852151:MZL852362 NJH852151:NJH852362 NTD852151:NTD852362 OCZ852151:OCZ852362 OMV852151:OMV852362 OWR852151:OWR852362 PGN852151:PGN852362 PQJ852151:PQJ852362 QAF852151:QAF852362 QKB852151:QKB852362 QTX852151:QTX852362 RDT852151:RDT852362 RNP852151:RNP852362 RXL852151:RXL852362 SHH852151:SHH852362 SRD852151:SRD852362 TAZ852151:TAZ852362 TKV852151:TKV852362 TUR852151:TUR852362 UEN852151:UEN852362 UOJ852151:UOJ852362 UYF852151:UYF852362 VIB852151:VIB852362 VRX852151:VRX852362 WBT852151:WBT852362 WLP852151:WLP852362 WVL852151:WVL852362 D917687:D917898 IZ917687:IZ917898 SV917687:SV917898 ACR917687:ACR917898 AMN917687:AMN917898 AWJ917687:AWJ917898 BGF917687:BGF917898 BQB917687:BQB917898 BZX917687:BZX917898 CJT917687:CJT917898 CTP917687:CTP917898 DDL917687:DDL917898 DNH917687:DNH917898 DXD917687:DXD917898 EGZ917687:EGZ917898 EQV917687:EQV917898 FAR917687:FAR917898 FKN917687:FKN917898 FUJ917687:FUJ917898 GEF917687:GEF917898 GOB917687:GOB917898 GXX917687:GXX917898 HHT917687:HHT917898 HRP917687:HRP917898 IBL917687:IBL917898 ILH917687:ILH917898 IVD917687:IVD917898 JEZ917687:JEZ917898 JOV917687:JOV917898 JYR917687:JYR917898 KIN917687:KIN917898 KSJ917687:KSJ917898 LCF917687:LCF917898 LMB917687:LMB917898 LVX917687:LVX917898 MFT917687:MFT917898 MPP917687:MPP917898 MZL917687:MZL917898 NJH917687:NJH917898 NTD917687:NTD917898 OCZ917687:OCZ917898 OMV917687:OMV917898 OWR917687:OWR917898 PGN917687:PGN917898 PQJ917687:PQJ917898 QAF917687:QAF917898 QKB917687:QKB917898 QTX917687:QTX917898 RDT917687:RDT917898 RNP917687:RNP917898 RXL917687:RXL917898 SHH917687:SHH917898 SRD917687:SRD917898 TAZ917687:TAZ917898 TKV917687:TKV917898 TUR917687:TUR917898 UEN917687:UEN917898 UOJ917687:UOJ917898 UYF917687:UYF917898 VIB917687:VIB917898 VRX917687:VRX917898 WBT917687:WBT917898 WLP917687:WLP917898 WVL917687:WVL917898 D983223:D983434 IZ983223:IZ983434 SV983223:SV983434 ACR983223:ACR983434 AMN983223:AMN983434 AWJ983223:AWJ983434 BGF983223:BGF983434 BQB983223:BQB983434 BZX983223:BZX983434 CJT983223:CJT983434 CTP983223:CTP983434 DDL983223:DDL983434 DNH983223:DNH983434 DXD983223:DXD983434 EGZ983223:EGZ983434 EQV983223:EQV983434 FAR983223:FAR983434 FKN983223:FKN983434 FUJ983223:FUJ983434 GEF983223:GEF983434 GOB983223:GOB983434 GXX983223:GXX983434 HHT983223:HHT983434 HRP983223:HRP983434 IBL983223:IBL983434 ILH983223:ILH983434 IVD983223:IVD983434 JEZ983223:JEZ983434 JOV983223:JOV983434 JYR983223:JYR983434 KIN983223:KIN983434 KSJ983223:KSJ983434 LCF983223:LCF983434 LMB983223:LMB983434 LVX983223:LVX983434 MFT983223:MFT983434 MPP983223:MPP983434 MZL983223:MZL983434 NJH983223:NJH983434 NTD983223:NTD983434 OCZ983223:OCZ983434 OMV983223:OMV983434 OWR983223:OWR983434 PGN983223:PGN983434 PQJ983223:PQJ983434 QAF983223:QAF983434 QKB983223:QKB983434 QTX983223:QTX983434 RDT983223:RDT983434 RNP983223:RNP983434 RXL983223:RXL983434 SHH983223:SHH983434 SRD983223:SRD983434 TAZ983223:TAZ983434 TKV983223:TKV983434 TUR983223:TUR983434 UEN983223:UEN983434 UOJ983223:UOJ983434 UYF983223:UYF983434 VIB983223:VIB983434 VRX983223:VRX983434 WBT983223:WBT983434 WLP983223:WLP983434 WVL983223:WVL983434">
      <formula1>$N$183:$N$406</formula1>
    </dataValidation>
    <dataValidation type="list" errorStyle="information" allowBlank="1" showInputMessage="1" showErrorMessage="1" errorTitle="New Site" error="If a site is not in the list enter a new Name" prompt="Select a site name or enter a new one" sqref="WVJ983147:WVQ983147 IX48:JE48 ST48:TA48 ACP48:ACW48 AML48:AMS48 AWH48:AWO48 BGD48:BGK48 BPZ48:BQG48 BZV48:CAC48 CJR48:CJY48 CTN48:CTU48 DDJ48:DDQ48 DNF48:DNM48 DXB48:DXI48 EGX48:EHE48 EQT48:ERA48 FAP48:FAW48 FKL48:FKS48 FUH48:FUO48 GED48:GEK48 GNZ48:GOG48 GXV48:GYC48 HHR48:HHY48 HRN48:HRU48 IBJ48:IBQ48 ILF48:ILM48 IVB48:IVI48 JEX48:JFE48 JOT48:JPA48 JYP48:JYW48 KIL48:KIS48 KSH48:KSO48 LCD48:LCK48 LLZ48:LMG48 LVV48:LWC48 MFR48:MFY48 MPN48:MPU48 MZJ48:MZQ48 NJF48:NJM48 NTB48:NTI48 OCX48:ODE48 OMT48:ONA48 OWP48:OWW48 PGL48:PGS48 PQH48:PQO48 QAD48:QAK48 QJZ48:QKG48 QTV48:QUC48 RDR48:RDY48 RNN48:RNU48 RXJ48:RXQ48 SHF48:SHM48 SRB48:SRI48 TAX48:TBE48 TKT48:TLA48 TUP48:TUW48 UEL48:UES48 UOH48:UOO48 UYD48:UYK48 VHZ48:VIG48 VRV48:VSC48 WBR48:WBY48 WLN48:WLU48 WVJ48:WVQ48 B65643:I65643 IX65643:JE65643 ST65643:TA65643 ACP65643:ACW65643 AML65643:AMS65643 AWH65643:AWO65643 BGD65643:BGK65643 BPZ65643:BQG65643 BZV65643:CAC65643 CJR65643:CJY65643 CTN65643:CTU65643 DDJ65643:DDQ65643 DNF65643:DNM65643 DXB65643:DXI65643 EGX65643:EHE65643 EQT65643:ERA65643 FAP65643:FAW65643 FKL65643:FKS65643 FUH65643:FUO65643 GED65643:GEK65643 GNZ65643:GOG65643 GXV65643:GYC65643 HHR65643:HHY65643 HRN65643:HRU65643 IBJ65643:IBQ65643 ILF65643:ILM65643 IVB65643:IVI65643 JEX65643:JFE65643 JOT65643:JPA65643 JYP65643:JYW65643 KIL65643:KIS65643 KSH65643:KSO65643 LCD65643:LCK65643 LLZ65643:LMG65643 LVV65643:LWC65643 MFR65643:MFY65643 MPN65643:MPU65643 MZJ65643:MZQ65643 NJF65643:NJM65643 NTB65643:NTI65643 OCX65643:ODE65643 OMT65643:ONA65643 OWP65643:OWW65643 PGL65643:PGS65643 PQH65643:PQO65643 QAD65643:QAK65643 QJZ65643:QKG65643 QTV65643:QUC65643 RDR65643:RDY65643 RNN65643:RNU65643 RXJ65643:RXQ65643 SHF65643:SHM65643 SRB65643:SRI65643 TAX65643:TBE65643 TKT65643:TLA65643 TUP65643:TUW65643 UEL65643:UES65643 UOH65643:UOO65643 UYD65643:UYK65643 VHZ65643:VIG65643 VRV65643:VSC65643 WBR65643:WBY65643 WLN65643:WLU65643 WVJ65643:WVQ65643 B131179:I131179 IX131179:JE131179 ST131179:TA131179 ACP131179:ACW131179 AML131179:AMS131179 AWH131179:AWO131179 BGD131179:BGK131179 BPZ131179:BQG131179 BZV131179:CAC131179 CJR131179:CJY131179 CTN131179:CTU131179 DDJ131179:DDQ131179 DNF131179:DNM131179 DXB131179:DXI131179 EGX131179:EHE131179 EQT131179:ERA131179 FAP131179:FAW131179 FKL131179:FKS131179 FUH131179:FUO131179 GED131179:GEK131179 GNZ131179:GOG131179 GXV131179:GYC131179 HHR131179:HHY131179 HRN131179:HRU131179 IBJ131179:IBQ131179 ILF131179:ILM131179 IVB131179:IVI131179 JEX131179:JFE131179 JOT131179:JPA131179 JYP131179:JYW131179 KIL131179:KIS131179 KSH131179:KSO131179 LCD131179:LCK131179 LLZ131179:LMG131179 LVV131179:LWC131179 MFR131179:MFY131179 MPN131179:MPU131179 MZJ131179:MZQ131179 NJF131179:NJM131179 NTB131179:NTI131179 OCX131179:ODE131179 OMT131179:ONA131179 OWP131179:OWW131179 PGL131179:PGS131179 PQH131179:PQO131179 QAD131179:QAK131179 QJZ131179:QKG131179 QTV131179:QUC131179 RDR131179:RDY131179 RNN131179:RNU131179 RXJ131179:RXQ131179 SHF131179:SHM131179 SRB131179:SRI131179 TAX131179:TBE131179 TKT131179:TLA131179 TUP131179:TUW131179 UEL131179:UES131179 UOH131179:UOO131179 UYD131179:UYK131179 VHZ131179:VIG131179 VRV131179:VSC131179 WBR131179:WBY131179 WLN131179:WLU131179 WVJ131179:WVQ131179 B196715:I196715 IX196715:JE196715 ST196715:TA196715 ACP196715:ACW196715 AML196715:AMS196715 AWH196715:AWO196715 BGD196715:BGK196715 BPZ196715:BQG196715 BZV196715:CAC196715 CJR196715:CJY196715 CTN196715:CTU196715 DDJ196715:DDQ196715 DNF196715:DNM196715 DXB196715:DXI196715 EGX196715:EHE196715 EQT196715:ERA196715 FAP196715:FAW196715 FKL196715:FKS196715 FUH196715:FUO196715 GED196715:GEK196715 GNZ196715:GOG196715 GXV196715:GYC196715 HHR196715:HHY196715 HRN196715:HRU196715 IBJ196715:IBQ196715 ILF196715:ILM196715 IVB196715:IVI196715 JEX196715:JFE196715 JOT196715:JPA196715 JYP196715:JYW196715 KIL196715:KIS196715 KSH196715:KSO196715 LCD196715:LCK196715 LLZ196715:LMG196715 LVV196715:LWC196715 MFR196715:MFY196715 MPN196715:MPU196715 MZJ196715:MZQ196715 NJF196715:NJM196715 NTB196715:NTI196715 OCX196715:ODE196715 OMT196715:ONA196715 OWP196715:OWW196715 PGL196715:PGS196715 PQH196715:PQO196715 QAD196715:QAK196715 QJZ196715:QKG196715 QTV196715:QUC196715 RDR196715:RDY196715 RNN196715:RNU196715 RXJ196715:RXQ196715 SHF196715:SHM196715 SRB196715:SRI196715 TAX196715:TBE196715 TKT196715:TLA196715 TUP196715:TUW196715 UEL196715:UES196715 UOH196715:UOO196715 UYD196715:UYK196715 VHZ196715:VIG196715 VRV196715:VSC196715 WBR196715:WBY196715 WLN196715:WLU196715 WVJ196715:WVQ196715 B262251:I262251 IX262251:JE262251 ST262251:TA262251 ACP262251:ACW262251 AML262251:AMS262251 AWH262251:AWO262251 BGD262251:BGK262251 BPZ262251:BQG262251 BZV262251:CAC262251 CJR262251:CJY262251 CTN262251:CTU262251 DDJ262251:DDQ262251 DNF262251:DNM262251 DXB262251:DXI262251 EGX262251:EHE262251 EQT262251:ERA262251 FAP262251:FAW262251 FKL262251:FKS262251 FUH262251:FUO262251 GED262251:GEK262251 GNZ262251:GOG262251 GXV262251:GYC262251 HHR262251:HHY262251 HRN262251:HRU262251 IBJ262251:IBQ262251 ILF262251:ILM262251 IVB262251:IVI262251 JEX262251:JFE262251 JOT262251:JPA262251 JYP262251:JYW262251 KIL262251:KIS262251 KSH262251:KSO262251 LCD262251:LCK262251 LLZ262251:LMG262251 LVV262251:LWC262251 MFR262251:MFY262251 MPN262251:MPU262251 MZJ262251:MZQ262251 NJF262251:NJM262251 NTB262251:NTI262251 OCX262251:ODE262251 OMT262251:ONA262251 OWP262251:OWW262251 PGL262251:PGS262251 PQH262251:PQO262251 QAD262251:QAK262251 QJZ262251:QKG262251 QTV262251:QUC262251 RDR262251:RDY262251 RNN262251:RNU262251 RXJ262251:RXQ262251 SHF262251:SHM262251 SRB262251:SRI262251 TAX262251:TBE262251 TKT262251:TLA262251 TUP262251:TUW262251 UEL262251:UES262251 UOH262251:UOO262251 UYD262251:UYK262251 VHZ262251:VIG262251 VRV262251:VSC262251 WBR262251:WBY262251 WLN262251:WLU262251 WVJ262251:WVQ262251 B327787:I327787 IX327787:JE327787 ST327787:TA327787 ACP327787:ACW327787 AML327787:AMS327787 AWH327787:AWO327787 BGD327787:BGK327787 BPZ327787:BQG327787 BZV327787:CAC327787 CJR327787:CJY327787 CTN327787:CTU327787 DDJ327787:DDQ327787 DNF327787:DNM327787 DXB327787:DXI327787 EGX327787:EHE327787 EQT327787:ERA327787 FAP327787:FAW327787 FKL327787:FKS327787 FUH327787:FUO327787 GED327787:GEK327787 GNZ327787:GOG327787 GXV327787:GYC327787 HHR327787:HHY327787 HRN327787:HRU327787 IBJ327787:IBQ327787 ILF327787:ILM327787 IVB327787:IVI327787 JEX327787:JFE327787 JOT327787:JPA327787 JYP327787:JYW327787 KIL327787:KIS327787 KSH327787:KSO327787 LCD327787:LCK327787 LLZ327787:LMG327787 LVV327787:LWC327787 MFR327787:MFY327787 MPN327787:MPU327787 MZJ327787:MZQ327787 NJF327787:NJM327787 NTB327787:NTI327787 OCX327787:ODE327787 OMT327787:ONA327787 OWP327787:OWW327787 PGL327787:PGS327787 PQH327787:PQO327787 QAD327787:QAK327787 QJZ327787:QKG327787 QTV327787:QUC327787 RDR327787:RDY327787 RNN327787:RNU327787 RXJ327787:RXQ327787 SHF327787:SHM327787 SRB327787:SRI327787 TAX327787:TBE327787 TKT327787:TLA327787 TUP327787:TUW327787 UEL327787:UES327787 UOH327787:UOO327787 UYD327787:UYK327787 VHZ327787:VIG327787 VRV327787:VSC327787 WBR327787:WBY327787 WLN327787:WLU327787 WVJ327787:WVQ327787 B393323:I393323 IX393323:JE393323 ST393323:TA393323 ACP393323:ACW393323 AML393323:AMS393323 AWH393323:AWO393323 BGD393323:BGK393323 BPZ393323:BQG393323 BZV393323:CAC393323 CJR393323:CJY393323 CTN393323:CTU393323 DDJ393323:DDQ393323 DNF393323:DNM393323 DXB393323:DXI393323 EGX393323:EHE393323 EQT393323:ERA393323 FAP393323:FAW393323 FKL393323:FKS393323 FUH393323:FUO393323 GED393323:GEK393323 GNZ393323:GOG393323 GXV393323:GYC393323 HHR393323:HHY393323 HRN393323:HRU393323 IBJ393323:IBQ393323 ILF393323:ILM393323 IVB393323:IVI393323 JEX393323:JFE393323 JOT393323:JPA393323 JYP393323:JYW393323 KIL393323:KIS393323 KSH393323:KSO393323 LCD393323:LCK393323 LLZ393323:LMG393323 LVV393323:LWC393323 MFR393323:MFY393323 MPN393323:MPU393323 MZJ393323:MZQ393323 NJF393323:NJM393323 NTB393323:NTI393323 OCX393323:ODE393323 OMT393323:ONA393323 OWP393323:OWW393323 PGL393323:PGS393323 PQH393323:PQO393323 QAD393323:QAK393323 QJZ393323:QKG393323 QTV393323:QUC393323 RDR393323:RDY393323 RNN393323:RNU393323 RXJ393323:RXQ393323 SHF393323:SHM393323 SRB393323:SRI393323 TAX393323:TBE393323 TKT393323:TLA393323 TUP393323:TUW393323 UEL393323:UES393323 UOH393323:UOO393323 UYD393323:UYK393323 VHZ393323:VIG393323 VRV393323:VSC393323 WBR393323:WBY393323 WLN393323:WLU393323 WVJ393323:WVQ393323 B458859:I458859 IX458859:JE458859 ST458859:TA458859 ACP458859:ACW458859 AML458859:AMS458859 AWH458859:AWO458859 BGD458859:BGK458859 BPZ458859:BQG458859 BZV458859:CAC458859 CJR458859:CJY458859 CTN458859:CTU458859 DDJ458859:DDQ458859 DNF458859:DNM458859 DXB458859:DXI458859 EGX458859:EHE458859 EQT458859:ERA458859 FAP458859:FAW458859 FKL458859:FKS458859 FUH458859:FUO458859 GED458859:GEK458859 GNZ458859:GOG458859 GXV458859:GYC458859 HHR458859:HHY458859 HRN458859:HRU458859 IBJ458859:IBQ458859 ILF458859:ILM458859 IVB458859:IVI458859 JEX458859:JFE458859 JOT458859:JPA458859 JYP458859:JYW458859 KIL458859:KIS458859 KSH458859:KSO458859 LCD458859:LCK458859 LLZ458859:LMG458859 LVV458859:LWC458859 MFR458859:MFY458859 MPN458859:MPU458859 MZJ458859:MZQ458859 NJF458859:NJM458859 NTB458859:NTI458859 OCX458859:ODE458859 OMT458859:ONA458859 OWP458859:OWW458859 PGL458859:PGS458859 PQH458859:PQO458859 QAD458859:QAK458859 QJZ458859:QKG458859 QTV458859:QUC458859 RDR458859:RDY458859 RNN458859:RNU458859 RXJ458859:RXQ458859 SHF458859:SHM458859 SRB458859:SRI458859 TAX458859:TBE458859 TKT458859:TLA458859 TUP458859:TUW458859 UEL458859:UES458859 UOH458859:UOO458859 UYD458859:UYK458859 VHZ458859:VIG458859 VRV458859:VSC458859 WBR458859:WBY458859 WLN458859:WLU458859 WVJ458859:WVQ458859 B524395:I524395 IX524395:JE524395 ST524395:TA524395 ACP524395:ACW524395 AML524395:AMS524395 AWH524395:AWO524395 BGD524395:BGK524395 BPZ524395:BQG524395 BZV524395:CAC524395 CJR524395:CJY524395 CTN524395:CTU524395 DDJ524395:DDQ524395 DNF524395:DNM524395 DXB524395:DXI524395 EGX524395:EHE524395 EQT524395:ERA524395 FAP524395:FAW524395 FKL524395:FKS524395 FUH524395:FUO524395 GED524395:GEK524395 GNZ524395:GOG524395 GXV524395:GYC524395 HHR524395:HHY524395 HRN524395:HRU524395 IBJ524395:IBQ524395 ILF524395:ILM524395 IVB524395:IVI524395 JEX524395:JFE524395 JOT524395:JPA524395 JYP524395:JYW524395 KIL524395:KIS524395 KSH524395:KSO524395 LCD524395:LCK524395 LLZ524395:LMG524395 LVV524395:LWC524395 MFR524395:MFY524395 MPN524395:MPU524395 MZJ524395:MZQ524395 NJF524395:NJM524395 NTB524395:NTI524395 OCX524395:ODE524395 OMT524395:ONA524395 OWP524395:OWW524395 PGL524395:PGS524395 PQH524395:PQO524395 QAD524395:QAK524395 QJZ524395:QKG524395 QTV524395:QUC524395 RDR524395:RDY524395 RNN524395:RNU524395 RXJ524395:RXQ524395 SHF524395:SHM524395 SRB524395:SRI524395 TAX524395:TBE524395 TKT524395:TLA524395 TUP524395:TUW524395 UEL524395:UES524395 UOH524395:UOO524395 UYD524395:UYK524395 VHZ524395:VIG524395 VRV524395:VSC524395 WBR524395:WBY524395 WLN524395:WLU524395 WVJ524395:WVQ524395 B589931:I589931 IX589931:JE589931 ST589931:TA589931 ACP589931:ACW589931 AML589931:AMS589931 AWH589931:AWO589931 BGD589931:BGK589931 BPZ589931:BQG589931 BZV589931:CAC589931 CJR589931:CJY589931 CTN589931:CTU589931 DDJ589931:DDQ589931 DNF589931:DNM589931 DXB589931:DXI589931 EGX589931:EHE589931 EQT589931:ERA589931 FAP589931:FAW589931 FKL589931:FKS589931 FUH589931:FUO589931 GED589931:GEK589931 GNZ589931:GOG589931 GXV589931:GYC589931 HHR589931:HHY589931 HRN589931:HRU589931 IBJ589931:IBQ589931 ILF589931:ILM589931 IVB589931:IVI589931 JEX589931:JFE589931 JOT589931:JPA589931 JYP589931:JYW589931 KIL589931:KIS589931 KSH589931:KSO589931 LCD589931:LCK589931 LLZ589931:LMG589931 LVV589931:LWC589931 MFR589931:MFY589931 MPN589931:MPU589931 MZJ589931:MZQ589931 NJF589931:NJM589931 NTB589931:NTI589931 OCX589931:ODE589931 OMT589931:ONA589931 OWP589931:OWW589931 PGL589931:PGS589931 PQH589931:PQO589931 QAD589931:QAK589931 QJZ589931:QKG589931 QTV589931:QUC589931 RDR589931:RDY589931 RNN589931:RNU589931 RXJ589931:RXQ589931 SHF589931:SHM589931 SRB589931:SRI589931 TAX589931:TBE589931 TKT589931:TLA589931 TUP589931:TUW589931 UEL589931:UES589931 UOH589931:UOO589931 UYD589931:UYK589931 VHZ589931:VIG589931 VRV589931:VSC589931 WBR589931:WBY589931 WLN589931:WLU589931 WVJ589931:WVQ589931 B655467:I655467 IX655467:JE655467 ST655467:TA655467 ACP655467:ACW655467 AML655467:AMS655467 AWH655467:AWO655467 BGD655467:BGK655467 BPZ655467:BQG655467 BZV655467:CAC655467 CJR655467:CJY655467 CTN655467:CTU655467 DDJ655467:DDQ655467 DNF655467:DNM655467 DXB655467:DXI655467 EGX655467:EHE655467 EQT655467:ERA655467 FAP655467:FAW655467 FKL655467:FKS655467 FUH655467:FUO655467 GED655467:GEK655467 GNZ655467:GOG655467 GXV655467:GYC655467 HHR655467:HHY655467 HRN655467:HRU655467 IBJ655467:IBQ655467 ILF655467:ILM655467 IVB655467:IVI655467 JEX655467:JFE655467 JOT655467:JPA655467 JYP655467:JYW655467 KIL655467:KIS655467 KSH655467:KSO655467 LCD655467:LCK655467 LLZ655467:LMG655467 LVV655467:LWC655467 MFR655467:MFY655467 MPN655467:MPU655467 MZJ655467:MZQ655467 NJF655467:NJM655467 NTB655467:NTI655467 OCX655467:ODE655467 OMT655467:ONA655467 OWP655467:OWW655467 PGL655467:PGS655467 PQH655467:PQO655467 QAD655467:QAK655467 QJZ655467:QKG655467 QTV655467:QUC655467 RDR655467:RDY655467 RNN655467:RNU655467 RXJ655467:RXQ655467 SHF655467:SHM655467 SRB655467:SRI655467 TAX655467:TBE655467 TKT655467:TLA655467 TUP655467:TUW655467 UEL655467:UES655467 UOH655467:UOO655467 UYD655467:UYK655467 VHZ655467:VIG655467 VRV655467:VSC655467 WBR655467:WBY655467 WLN655467:WLU655467 WVJ655467:WVQ655467 B721003:I721003 IX721003:JE721003 ST721003:TA721003 ACP721003:ACW721003 AML721003:AMS721003 AWH721003:AWO721003 BGD721003:BGK721003 BPZ721003:BQG721003 BZV721003:CAC721003 CJR721003:CJY721003 CTN721003:CTU721003 DDJ721003:DDQ721003 DNF721003:DNM721003 DXB721003:DXI721003 EGX721003:EHE721003 EQT721003:ERA721003 FAP721003:FAW721003 FKL721003:FKS721003 FUH721003:FUO721003 GED721003:GEK721003 GNZ721003:GOG721003 GXV721003:GYC721003 HHR721003:HHY721003 HRN721003:HRU721003 IBJ721003:IBQ721003 ILF721003:ILM721003 IVB721003:IVI721003 JEX721003:JFE721003 JOT721003:JPA721003 JYP721003:JYW721003 KIL721003:KIS721003 KSH721003:KSO721003 LCD721003:LCK721003 LLZ721003:LMG721003 LVV721003:LWC721003 MFR721003:MFY721003 MPN721003:MPU721003 MZJ721003:MZQ721003 NJF721003:NJM721003 NTB721003:NTI721003 OCX721003:ODE721003 OMT721003:ONA721003 OWP721003:OWW721003 PGL721003:PGS721003 PQH721003:PQO721003 QAD721003:QAK721003 QJZ721003:QKG721003 QTV721003:QUC721003 RDR721003:RDY721003 RNN721003:RNU721003 RXJ721003:RXQ721003 SHF721003:SHM721003 SRB721003:SRI721003 TAX721003:TBE721003 TKT721003:TLA721003 TUP721003:TUW721003 UEL721003:UES721003 UOH721003:UOO721003 UYD721003:UYK721003 VHZ721003:VIG721003 VRV721003:VSC721003 WBR721003:WBY721003 WLN721003:WLU721003 WVJ721003:WVQ721003 B786539:I786539 IX786539:JE786539 ST786539:TA786539 ACP786539:ACW786539 AML786539:AMS786539 AWH786539:AWO786539 BGD786539:BGK786539 BPZ786539:BQG786539 BZV786539:CAC786539 CJR786539:CJY786539 CTN786539:CTU786539 DDJ786539:DDQ786539 DNF786539:DNM786539 DXB786539:DXI786539 EGX786539:EHE786539 EQT786539:ERA786539 FAP786539:FAW786539 FKL786539:FKS786539 FUH786539:FUO786539 GED786539:GEK786539 GNZ786539:GOG786539 GXV786539:GYC786539 HHR786539:HHY786539 HRN786539:HRU786539 IBJ786539:IBQ786539 ILF786539:ILM786539 IVB786539:IVI786539 JEX786539:JFE786539 JOT786539:JPA786539 JYP786539:JYW786539 KIL786539:KIS786539 KSH786539:KSO786539 LCD786539:LCK786539 LLZ786539:LMG786539 LVV786539:LWC786539 MFR786539:MFY786539 MPN786539:MPU786539 MZJ786539:MZQ786539 NJF786539:NJM786539 NTB786539:NTI786539 OCX786539:ODE786539 OMT786539:ONA786539 OWP786539:OWW786539 PGL786539:PGS786539 PQH786539:PQO786539 QAD786539:QAK786539 QJZ786539:QKG786539 QTV786539:QUC786539 RDR786539:RDY786539 RNN786539:RNU786539 RXJ786539:RXQ786539 SHF786539:SHM786539 SRB786539:SRI786539 TAX786539:TBE786539 TKT786539:TLA786539 TUP786539:TUW786539 UEL786539:UES786539 UOH786539:UOO786539 UYD786539:UYK786539 VHZ786539:VIG786539 VRV786539:VSC786539 WBR786539:WBY786539 WLN786539:WLU786539 WVJ786539:WVQ786539 B852075:I852075 IX852075:JE852075 ST852075:TA852075 ACP852075:ACW852075 AML852075:AMS852075 AWH852075:AWO852075 BGD852075:BGK852075 BPZ852075:BQG852075 BZV852075:CAC852075 CJR852075:CJY852075 CTN852075:CTU852075 DDJ852075:DDQ852075 DNF852075:DNM852075 DXB852075:DXI852075 EGX852075:EHE852075 EQT852075:ERA852075 FAP852075:FAW852075 FKL852075:FKS852075 FUH852075:FUO852075 GED852075:GEK852075 GNZ852075:GOG852075 GXV852075:GYC852075 HHR852075:HHY852075 HRN852075:HRU852075 IBJ852075:IBQ852075 ILF852075:ILM852075 IVB852075:IVI852075 JEX852075:JFE852075 JOT852075:JPA852075 JYP852075:JYW852075 KIL852075:KIS852075 KSH852075:KSO852075 LCD852075:LCK852075 LLZ852075:LMG852075 LVV852075:LWC852075 MFR852075:MFY852075 MPN852075:MPU852075 MZJ852075:MZQ852075 NJF852075:NJM852075 NTB852075:NTI852075 OCX852075:ODE852075 OMT852075:ONA852075 OWP852075:OWW852075 PGL852075:PGS852075 PQH852075:PQO852075 QAD852075:QAK852075 QJZ852075:QKG852075 QTV852075:QUC852075 RDR852075:RDY852075 RNN852075:RNU852075 RXJ852075:RXQ852075 SHF852075:SHM852075 SRB852075:SRI852075 TAX852075:TBE852075 TKT852075:TLA852075 TUP852075:TUW852075 UEL852075:UES852075 UOH852075:UOO852075 UYD852075:UYK852075 VHZ852075:VIG852075 VRV852075:VSC852075 WBR852075:WBY852075 WLN852075:WLU852075 WVJ852075:WVQ852075 B917611:I917611 IX917611:JE917611 ST917611:TA917611 ACP917611:ACW917611 AML917611:AMS917611 AWH917611:AWO917611 BGD917611:BGK917611 BPZ917611:BQG917611 BZV917611:CAC917611 CJR917611:CJY917611 CTN917611:CTU917611 DDJ917611:DDQ917611 DNF917611:DNM917611 DXB917611:DXI917611 EGX917611:EHE917611 EQT917611:ERA917611 FAP917611:FAW917611 FKL917611:FKS917611 FUH917611:FUO917611 GED917611:GEK917611 GNZ917611:GOG917611 GXV917611:GYC917611 HHR917611:HHY917611 HRN917611:HRU917611 IBJ917611:IBQ917611 ILF917611:ILM917611 IVB917611:IVI917611 JEX917611:JFE917611 JOT917611:JPA917611 JYP917611:JYW917611 KIL917611:KIS917611 KSH917611:KSO917611 LCD917611:LCK917611 LLZ917611:LMG917611 LVV917611:LWC917611 MFR917611:MFY917611 MPN917611:MPU917611 MZJ917611:MZQ917611 NJF917611:NJM917611 NTB917611:NTI917611 OCX917611:ODE917611 OMT917611:ONA917611 OWP917611:OWW917611 PGL917611:PGS917611 PQH917611:PQO917611 QAD917611:QAK917611 QJZ917611:QKG917611 QTV917611:QUC917611 RDR917611:RDY917611 RNN917611:RNU917611 RXJ917611:RXQ917611 SHF917611:SHM917611 SRB917611:SRI917611 TAX917611:TBE917611 TKT917611:TLA917611 TUP917611:TUW917611 UEL917611:UES917611 UOH917611:UOO917611 UYD917611:UYK917611 VHZ917611:VIG917611 VRV917611:VSC917611 WBR917611:WBY917611 WLN917611:WLU917611 WVJ917611:WVQ917611 B983147:I983147 IX983147:JE983147 ST983147:TA983147 ACP983147:ACW983147 AML983147:AMS983147 AWH983147:AWO983147 BGD983147:BGK983147 BPZ983147:BQG983147 BZV983147:CAC983147 CJR983147:CJY983147 CTN983147:CTU983147 DDJ983147:DDQ983147 DNF983147:DNM983147 DXB983147:DXI983147 EGX983147:EHE983147 EQT983147:ERA983147 FAP983147:FAW983147 FKL983147:FKS983147 FUH983147:FUO983147 GED983147:GEK983147 GNZ983147:GOG983147 GXV983147:GYC983147 HHR983147:HHY983147 HRN983147:HRU983147 IBJ983147:IBQ983147 ILF983147:ILM983147 IVB983147:IVI983147 JEX983147:JFE983147 JOT983147:JPA983147 JYP983147:JYW983147 KIL983147:KIS983147 KSH983147:KSO983147 LCD983147:LCK983147 LLZ983147:LMG983147 LVV983147:LWC983147 MFR983147:MFY983147 MPN983147:MPU983147 MZJ983147:MZQ983147 NJF983147:NJM983147 NTB983147:NTI983147 OCX983147:ODE983147 OMT983147:ONA983147 OWP983147:OWW983147 PGL983147:PGS983147 PQH983147:PQO983147 QAD983147:QAK983147 QJZ983147:QKG983147 QTV983147:QUC983147 RDR983147:RDY983147 RNN983147:RNU983147 RXJ983147:RXQ983147 SHF983147:SHM983147 SRB983147:SRI983147 TAX983147:TBE983147 TKT983147:TLA983147 TUP983147:TUW983147 UEL983147:UES983147 UOH983147:UOO983147 UYD983147:UYK983147 VHZ983147:VIG983147 VRV983147:VSC983147 WBR983147:WBY983147 WLN983147:WLU983147 B48:I48">
      <formula1>Site_name_list</formula1>
    </dataValidation>
    <dataValidation type="custom" allowBlank="1" showInputMessage="1" showErrorMessage="1"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615:I65615 IX65615:JE65615 ST65615:TA65615 ACP65615:ACW65615 AML65615:AMS65615 AWH65615:AWO65615 BGD65615:BGK65615 BPZ65615:BQG65615 BZV65615:CAC65615 CJR65615:CJY65615 CTN65615:CTU65615 DDJ65615:DDQ65615 DNF65615:DNM65615 DXB65615:DXI65615 EGX65615:EHE65615 EQT65615:ERA65615 FAP65615:FAW65615 FKL65615:FKS65615 FUH65615:FUO65615 GED65615:GEK65615 GNZ65615:GOG65615 GXV65615:GYC65615 HHR65615:HHY65615 HRN65615:HRU65615 IBJ65615:IBQ65615 ILF65615:ILM65615 IVB65615:IVI65615 JEX65615:JFE65615 JOT65615:JPA65615 JYP65615:JYW65615 KIL65615:KIS65615 KSH65615:KSO65615 LCD65615:LCK65615 LLZ65615:LMG65615 LVV65615:LWC65615 MFR65615:MFY65615 MPN65615:MPU65615 MZJ65615:MZQ65615 NJF65615:NJM65615 NTB65615:NTI65615 OCX65615:ODE65615 OMT65615:ONA65615 OWP65615:OWW65615 PGL65615:PGS65615 PQH65615:PQO65615 QAD65615:QAK65615 QJZ65615:QKG65615 QTV65615:QUC65615 RDR65615:RDY65615 RNN65615:RNU65615 RXJ65615:RXQ65615 SHF65615:SHM65615 SRB65615:SRI65615 TAX65615:TBE65615 TKT65615:TLA65615 TUP65615:TUW65615 UEL65615:UES65615 UOH65615:UOO65615 UYD65615:UYK65615 VHZ65615:VIG65615 VRV65615:VSC65615 WBR65615:WBY65615 WLN65615:WLU65615 WVJ65615:WVQ65615 B131151:I131151 IX131151:JE131151 ST131151:TA131151 ACP131151:ACW131151 AML131151:AMS131151 AWH131151:AWO131151 BGD131151:BGK131151 BPZ131151:BQG131151 BZV131151:CAC131151 CJR131151:CJY131151 CTN131151:CTU131151 DDJ131151:DDQ131151 DNF131151:DNM131151 DXB131151:DXI131151 EGX131151:EHE131151 EQT131151:ERA131151 FAP131151:FAW131151 FKL131151:FKS131151 FUH131151:FUO131151 GED131151:GEK131151 GNZ131151:GOG131151 GXV131151:GYC131151 HHR131151:HHY131151 HRN131151:HRU131151 IBJ131151:IBQ131151 ILF131151:ILM131151 IVB131151:IVI131151 JEX131151:JFE131151 JOT131151:JPA131151 JYP131151:JYW131151 KIL131151:KIS131151 KSH131151:KSO131151 LCD131151:LCK131151 LLZ131151:LMG131151 LVV131151:LWC131151 MFR131151:MFY131151 MPN131151:MPU131151 MZJ131151:MZQ131151 NJF131151:NJM131151 NTB131151:NTI131151 OCX131151:ODE131151 OMT131151:ONA131151 OWP131151:OWW131151 PGL131151:PGS131151 PQH131151:PQO131151 QAD131151:QAK131151 QJZ131151:QKG131151 QTV131151:QUC131151 RDR131151:RDY131151 RNN131151:RNU131151 RXJ131151:RXQ131151 SHF131151:SHM131151 SRB131151:SRI131151 TAX131151:TBE131151 TKT131151:TLA131151 TUP131151:TUW131151 UEL131151:UES131151 UOH131151:UOO131151 UYD131151:UYK131151 VHZ131151:VIG131151 VRV131151:VSC131151 WBR131151:WBY131151 WLN131151:WLU131151 WVJ131151:WVQ131151 B196687:I196687 IX196687:JE196687 ST196687:TA196687 ACP196687:ACW196687 AML196687:AMS196687 AWH196687:AWO196687 BGD196687:BGK196687 BPZ196687:BQG196687 BZV196687:CAC196687 CJR196687:CJY196687 CTN196687:CTU196687 DDJ196687:DDQ196687 DNF196687:DNM196687 DXB196687:DXI196687 EGX196687:EHE196687 EQT196687:ERA196687 FAP196687:FAW196687 FKL196687:FKS196687 FUH196687:FUO196687 GED196687:GEK196687 GNZ196687:GOG196687 GXV196687:GYC196687 HHR196687:HHY196687 HRN196687:HRU196687 IBJ196687:IBQ196687 ILF196687:ILM196687 IVB196687:IVI196687 JEX196687:JFE196687 JOT196687:JPA196687 JYP196687:JYW196687 KIL196687:KIS196687 KSH196687:KSO196687 LCD196687:LCK196687 LLZ196687:LMG196687 LVV196687:LWC196687 MFR196687:MFY196687 MPN196687:MPU196687 MZJ196687:MZQ196687 NJF196687:NJM196687 NTB196687:NTI196687 OCX196687:ODE196687 OMT196687:ONA196687 OWP196687:OWW196687 PGL196687:PGS196687 PQH196687:PQO196687 QAD196687:QAK196687 QJZ196687:QKG196687 QTV196687:QUC196687 RDR196687:RDY196687 RNN196687:RNU196687 RXJ196687:RXQ196687 SHF196687:SHM196687 SRB196687:SRI196687 TAX196687:TBE196687 TKT196687:TLA196687 TUP196687:TUW196687 UEL196687:UES196687 UOH196687:UOO196687 UYD196687:UYK196687 VHZ196687:VIG196687 VRV196687:VSC196687 WBR196687:WBY196687 WLN196687:WLU196687 WVJ196687:WVQ196687 B262223:I262223 IX262223:JE262223 ST262223:TA262223 ACP262223:ACW262223 AML262223:AMS262223 AWH262223:AWO262223 BGD262223:BGK262223 BPZ262223:BQG262223 BZV262223:CAC262223 CJR262223:CJY262223 CTN262223:CTU262223 DDJ262223:DDQ262223 DNF262223:DNM262223 DXB262223:DXI262223 EGX262223:EHE262223 EQT262223:ERA262223 FAP262223:FAW262223 FKL262223:FKS262223 FUH262223:FUO262223 GED262223:GEK262223 GNZ262223:GOG262223 GXV262223:GYC262223 HHR262223:HHY262223 HRN262223:HRU262223 IBJ262223:IBQ262223 ILF262223:ILM262223 IVB262223:IVI262223 JEX262223:JFE262223 JOT262223:JPA262223 JYP262223:JYW262223 KIL262223:KIS262223 KSH262223:KSO262223 LCD262223:LCK262223 LLZ262223:LMG262223 LVV262223:LWC262223 MFR262223:MFY262223 MPN262223:MPU262223 MZJ262223:MZQ262223 NJF262223:NJM262223 NTB262223:NTI262223 OCX262223:ODE262223 OMT262223:ONA262223 OWP262223:OWW262223 PGL262223:PGS262223 PQH262223:PQO262223 QAD262223:QAK262223 QJZ262223:QKG262223 QTV262223:QUC262223 RDR262223:RDY262223 RNN262223:RNU262223 RXJ262223:RXQ262223 SHF262223:SHM262223 SRB262223:SRI262223 TAX262223:TBE262223 TKT262223:TLA262223 TUP262223:TUW262223 UEL262223:UES262223 UOH262223:UOO262223 UYD262223:UYK262223 VHZ262223:VIG262223 VRV262223:VSC262223 WBR262223:WBY262223 WLN262223:WLU262223 WVJ262223:WVQ262223 B327759:I327759 IX327759:JE327759 ST327759:TA327759 ACP327759:ACW327759 AML327759:AMS327759 AWH327759:AWO327759 BGD327759:BGK327759 BPZ327759:BQG327759 BZV327759:CAC327759 CJR327759:CJY327759 CTN327759:CTU327759 DDJ327759:DDQ327759 DNF327759:DNM327759 DXB327759:DXI327759 EGX327759:EHE327759 EQT327759:ERA327759 FAP327759:FAW327759 FKL327759:FKS327759 FUH327759:FUO327759 GED327759:GEK327759 GNZ327759:GOG327759 GXV327759:GYC327759 HHR327759:HHY327759 HRN327759:HRU327759 IBJ327759:IBQ327759 ILF327759:ILM327759 IVB327759:IVI327759 JEX327759:JFE327759 JOT327759:JPA327759 JYP327759:JYW327759 KIL327759:KIS327759 KSH327759:KSO327759 LCD327759:LCK327759 LLZ327759:LMG327759 LVV327759:LWC327759 MFR327759:MFY327759 MPN327759:MPU327759 MZJ327759:MZQ327759 NJF327759:NJM327759 NTB327759:NTI327759 OCX327759:ODE327759 OMT327759:ONA327759 OWP327759:OWW327759 PGL327759:PGS327759 PQH327759:PQO327759 QAD327759:QAK327759 QJZ327759:QKG327759 QTV327759:QUC327759 RDR327759:RDY327759 RNN327759:RNU327759 RXJ327759:RXQ327759 SHF327759:SHM327759 SRB327759:SRI327759 TAX327759:TBE327759 TKT327759:TLA327759 TUP327759:TUW327759 UEL327759:UES327759 UOH327759:UOO327759 UYD327759:UYK327759 VHZ327759:VIG327759 VRV327759:VSC327759 WBR327759:WBY327759 WLN327759:WLU327759 WVJ327759:WVQ327759 B393295:I393295 IX393295:JE393295 ST393295:TA393295 ACP393295:ACW393295 AML393295:AMS393295 AWH393295:AWO393295 BGD393295:BGK393295 BPZ393295:BQG393295 BZV393295:CAC393295 CJR393295:CJY393295 CTN393295:CTU393295 DDJ393295:DDQ393295 DNF393295:DNM393295 DXB393295:DXI393295 EGX393295:EHE393295 EQT393295:ERA393295 FAP393295:FAW393295 FKL393295:FKS393295 FUH393295:FUO393295 GED393295:GEK393295 GNZ393295:GOG393295 GXV393295:GYC393295 HHR393295:HHY393295 HRN393295:HRU393295 IBJ393295:IBQ393295 ILF393295:ILM393295 IVB393295:IVI393295 JEX393295:JFE393295 JOT393295:JPA393295 JYP393295:JYW393295 KIL393295:KIS393295 KSH393295:KSO393295 LCD393295:LCK393295 LLZ393295:LMG393295 LVV393295:LWC393295 MFR393295:MFY393295 MPN393295:MPU393295 MZJ393295:MZQ393295 NJF393295:NJM393295 NTB393295:NTI393295 OCX393295:ODE393295 OMT393295:ONA393295 OWP393295:OWW393295 PGL393295:PGS393295 PQH393295:PQO393295 QAD393295:QAK393295 QJZ393295:QKG393295 QTV393295:QUC393295 RDR393295:RDY393295 RNN393295:RNU393295 RXJ393295:RXQ393295 SHF393295:SHM393295 SRB393295:SRI393295 TAX393295:TBE393295 TKT393295:TLA393295 TUP393295:TUW393295 UEL393295:UES393295 UOH393295:UOO393295 UYD393295:UYK393295 VHZ393295:VIG393295 VRV393295:VSC393295 WBR393295:WBY393295 WLN393295:WLU393295 WVJ393295:WVQ393295 B458831:I458831 IX458831:JE458831 ST458831:TA458831 ACP458831:ACW458831 AML458831:AMS458831 AWH458831:AWO458831 BGD458831:BGK458831 BPZ458831:BQG458831 BZV458831:CAC458831 CJR458831:CJY458831 CTN458831:CTU458831 DDJ458831:DDQ458831 DNF458831:DNM458831 DXB458831:DXI458831 EGX458831:EHE458831 EQT458831:ERA458831 FAP458831:FAW458831 FKL458831:FKS458831 FUH458831:FUO458831 GED458831:GEK458831 GNZ458831:GOG458831 GXV458831:GYC458831 HHR458831:HHY458831 HRN458831:HRU458831 IBJ458831:IBQ458831 ILF458831:ILM458831 IVB458831:IVI458831 JEX458831:JFE458831 JOT458831:JPA458831 JYP458831:JYW458831 KIL458831:KIS458831 KSH458831:KSO458831 LCD458831:LCK458831 LLZ458831:LMG458831 LVV458831:LWC458831 MFR458831:MFY458831 MPN458831:MPU458831 MZJ458831:MZQ458831 NJF458831:NJM458831 NTB458831:NTI458831 OCX458831:ODE458831 OMT458831:ONA458831 OWP458831:OWW458831 PGL458831:PGS458831 PQH458831:PQO458831 QAD458831:QAK458831 QJZ458831:QKG458831 QTV458831:QUC458831 RDR458831:RDY458831 RNN458831:RNU458831 RXJ458831:RXQ458831 SHF458831:SHM458831 SRB458831:SRI458831 TAX458831:TBE458831 TKT458831:TLA458831 TUP458831:TUW458831 UEL458831:UES458831 UOH458831:UOO458831 UYD458831:UYK458831 VHZ458831:VIG458831 VRV458831:VSC458831 WBR458831:WBY458831 WLN458831:WLU458831 WVJ458831:WVQ458831 B524367:I524367 IX524367:JE524367 ST524367:TA524367 ACP524367:ACW524367 AML524367:AMS524367 AWH524367:AWO524367 BGD524367:BGK524367 BPZ524367:BQG524367 BZV524367:CAC524367 CJR524367:CJY524367 CTN524367:CTU524367 DDJ524367:DDQ524367 DNF524367:DNM524367 DXB524367:DXI524367 EGX524367:EHE524367 EQT524367:ERA524367 FAP524367:FAW524367 FKL524367:FKS524367 FUH524367:FUO524367 GED524367:GEK524367 GNZ524367:GOG524367 GXV524367:GYC524367 HHR524367:HHY524367 HRN524367:HRU524367 IBJ524367:IBQ524367 ILF524367:ILM524367 IVB524367:IVI524367 JEX524367:JFE524367 JOT524367:JPA524367 JYP524367:JYW524367 KIL524367:KIS524367 KSH524367:KSO524367 LCD524367:LCK524367 LLZ524367:LMG524367 LVV524367:LWC524367 MFR524367:MFY524367 MPN524367:MPU524367 MZJ524367:MZQ524367 NJF524367:NJM524367 NTB524367:NTI524367 OCX524367:ODE524367 OMT524367:ONA524367 OWP524367:OWW524367 PGL524367:PGS524367 PQH524367:PQO524367 QAD524367:QAK524367 QJZ524367:QKG524367 QTV524367:QUC524367 RDR524367:RDY524367 RNN524367:RNU524367 RXJ524367:RXQ524367 SHF524367:SHM524367 SRB524367:SRI524367 TAX524367:TBE524367 TKT524367:TLA524367 TUP524367:TUW524367 UEL524367:UES524367 UOH524367:UOO524367 UYD524367:UYK524367 VHZ524367:VIG524367 VRV524367:VSC524367 WBR524367:WBY524367 WLN524367:WLU524367 WVJ524367:WVQ524367 B589903:I589903 IX589903:JE589903 ST589903:TA589903 ACP589903:ACW589903 AML589903:AMS589903 AWH589903:AWO589903 BGD589903:BGK589903 BPZ589903:BQG589903 BZV589903:CAC589903 CJR589903:CJY589903 CTN589903:CTU589903 DDJ589903:DDQ589903 DNF589903:DNM589903 DXB589903:DXI589903 EGX589903:EHE589903 EQT589903:ERA589903 FAP589903:FAW589903 FKL589903:FKS589903 FUH589903:FUO589903 GED589903:GEK589903 GNZ589903:GOG589903 GXV589903:GYC589903 HHR589903:HHY589903 HRN589903:HRU589903 IBJ589903:IBQ589903 ILF589903:ILM589903 IVB589903:IVI589903 JEX589903:JFE589903 JOT589903:JPA589903 JYP589903:JYW589903 KIL589903:KIS589903 KSH589903:KSO589903 LCD589903:LCK589903 LLZ589903:LMG589903 LVV589903:LWC589903 MFR589903:MFY589903 MPN589903:MPU589903 MZJ589903:MZQ589903 NJF589903:NJM589903 NTB589903:NTI589903 OCX589903:ODE589903 OMT589903:ONA589903 OWP589903:OWW589903 PGL589903:PGS589903 PQH589903:PQO589903 QAD589903:QAK589903 QJZ589903:QKG589903 QTV589903:QUC589903 RDR589903:RDY589903 RNN589903:RNU589903 RXJ589903:RXQ589903 SHF589903:SHM589903 SRB589903:SRI589903 TAX589903:TBE589903 TKT589903:TLA589903 TUP589903:TUW589903 UEL589903:UES589903 UOH589903:UOO589903 UYD589903:UYK589903 VHZ589903:VIG589903 VRV589903:VSC589903 WBR589903:WBY589903 WLN589903:WLU589903 WVJ589903:WVQ589903 B655439:I655439 IX655439:JE655439 ST655439:TA655439 ACP655439:ACW655439 AML655439:AMS655439 AWH655439:AWO655439 BGD655439:BGK655439 BPZ655439:BQG655439 BZV655439:CAC655439 CJR655439:CJY655439 CTN655439:CTU655439 DDJ655439:DDQ655439 DNF655439:DNM655439 DXB655439:DXI655439 EGX655439:EHE655439 EQT655439:ERA655439 FAP655439:FAW655439 FKL655439:FKS655439 FUH655439:FUO655439 GED655439:GEK655439 GNZ655439:GOG655439 GXV655439:GYC655439 HHR655439:HHY655439 HRN655439:HRU655439 IBJ655439:IBQ655439 ILF655439:ILM655439 IVB655439:IVI655439 JEX655439:JFE655439 JOT655439:JPA655439 JYP655439:JYW655439 KIL655439:KIS655439 KSH655439:KSO655439 LCD655439:LCK655439 LLZ655439:LMG655439 LVV655439:LWC655439 MFR655439:MFY655439 MPN655439:MPU655439 MZJ655439:MZQ655439 NJF655439:NJM655439 NTB655439:NTI655439 OCX655439:ODE655439 OMT655439:ONA655439 OWP655439:OWW655439 PGL655439:PGS655439 PQH655439:PQO655439 QAD655439:QAK655439 QJZ655439:QKG655439 QTV655439:QUC655439 RDR655439:RDY655439 RNN655439:RNU655439 RXJ655439:RXQ655439 SHF655439:SHM655439 SRB655439:SRI655439 TAX655439:TBE655439 TKT655439:TLA655439 TUP655439:TUW655439 UEL655439:UES655439 UOH655439:UOO655439 UYD655439:UYK655439 VHZ655439:VIG655439 VRV655439:VSC655439 WBR655439:WBY655439 WLN655439:WLU655439 WVJ655439:WVQ655439 B720975:I720975 IX720975:JE720975 ST720975:TA720975 ACP720975:ACW720975 AML720975:AMS720975 AWH720975:AWO720975 BGD720975:BGK720975 BPZ720975:BQG720975 BZV720975:CAC720975 CJR720975:CJY720975 CTN720975:CTU720975 DDJ720975:DDQ720975 DNF720975:DNM720975 DXB720975:DXI720975 EGX720975:EHE720975 EQT720975:ERA720975 FAP720975:FAW720975 FKL720975:FKS720975 FUH720975:FUO720975 GED720975:GEK720975 GNZ720975:GOG720975 GXV720975:GYC720975 HHR720975:HHY720975 HRN720975:HRU720975 IBJ720975:IBQ720975 ILF720975:ILM720975 IVB720975:IVI720975 JEX720975:JFE720975 JOT720975:JPA720975 JYP720975:JYW720975 KIL720975:KIS720975 KSH720975:KSO720975 LCD720975:LCK720975 LLZ720975:LMG720975 LVV720975:LWC720975 MFR720975:MFY720975 MPN720975:MPU720975 MZJ720975:MZQ720975 NJF720975:NJM720975 NTB720975:NTI720975 OCX720975:ODE720975 OMT720975:ONA720975 OWP720975:OWW720975 PGL720975:PGS720975 PQH720975:PQO720975 QAD720975:QAK720975 QJZ720975:QKG720975 QTV720975:QUC720975 RDR720975:RDY720975 RNN720975:RNU720975 RXJ720975:RXQ720975 SHF720975:SHM720975 SRB720975:SRI720975 TAX720975:TBE720975 TKT720975:TLA720975 TUP720975:TUW720975 UEL720975:UES720975 UOH720975:UOO720975 UYD720975:UYK720975 VHZ720975:VIG720975 VRV720975:VSC720975 WBR720975:WBY720975 WLN720975:WLU720975 WVJ720975:WVQ720975 B786511:I786511 IX786511:JE786511 ST786511:TA786511 ACP786511:ACW786511 AML786511:AMS786511 AWH786511:AWO786511 BGD786511:BGK786511 BPZ786511:BQG786511 BZV786511:CAC786511 CJR786511:CJY786511 CTN786511:CTU786511 DDJ786511:DDQ786511 DNF786511:DNM786511 DXB786511:DXI786511 EGX786511:EHE786511 EQT786511:ERA786511 FAP786511:FAW786511 FKL786511:FKS786511 FUH786511:FUO786511 GED786511:GEK786511 GNZ786511:GOG786511 GXV786511:GYC786511 HHR786511:HHY786511 HRN786511:HRU786511 IBJ786511:IBQ786511 ILF786511:ILM786511 IVB786511:IVI786511 JEX786511:JFE786511 JOT786511:JPA786511 JYP786511:JYW786511 KIL786511:KIS786511 KSH786511:KSO786511 LCD786511:LCK786511 LLZ786511:LMG786511 LVV786511:LWC786511 MFR786511:MFY786511 MPN786511:MPU786511 MZJ786511:MZQ786511 NJF786511:NJM786511 NTB786511:NTI786511 OCX786511:ODE786511 OMT786511:ONA786511 OWP786511:OWW786511 PGL786511:PGS786511 PQH786511:PQO786511 QAD786511:QAK786511 QJZ786511:QKG786511 QTV786511:QUC786511 RDR786511:RDY786511 RNN786511:RNU786511 RXJ786511:RXQ786511 SHF786511:SHM786511 SRB786511:SRI786511 TAX786511:TBE786511 TKT786511:TLA786511 TUP786511:TUW786511 UEL786511:UES786511 UOH786511:UOO786511 UYD786511:UYK786511 VHZ786511:VIG786511 VRV786511:VSC786511 WBR786511:WBY786511 WLN786511:WLU786511 WVJ786511:WVQ786511 B852047:I852047 IX852047:JE852047 ST852047:TA852047 ACP852047:ACW852047 AML852047:AMS852047 AWH852047:AWO852047 BGD852047:BGK852047 BPZ852047:BQG852047 BZV852047:CAC852047 CJR852047:CJY852047 CTN852047:CTU852047 DDJ852047:DDQ852047 DNF852047:DNM852047 DXB852047:DXI852047 EGX852047:EHE852047 EQT852047:ERA852047 FAP852047:FAW852047 FKL852047:FKS852047 FUH852047:FUO852047 GED852047:GEK852047 GNZ852047:GOG852047 GXV852047:GYC852047 HHR852047:HHY852047 HRN852047:HRU852047 IBJ852047:IBQ852047 ILF852047:ILM852047 IVB852047:IVI852047 JEX852047:JFE852047 JOT852047:JPA852047 JYP852047:JYW852047 KIL852047:KIS852047 KSH852047:KSO852047 LCD852047:LCK852047 LLZ852047:LMG852047 LVV852047:LWC852047 MFR852047:MFY852047 MPN852047:MPU852047 MZJ852047:MZQ852047 NJF852047:NJM852047 NTB852047:NTI852047 OCX852047:ODE852047 OMT852047:ONA852047 OWP852047:OWW852047 PGL852047:PGS852047 PQH852047:PQO852047 QAD852047:QAK852047 QJZ852047:QKG852047 QTV852047:QUC852047 RDR852047:RDY852047 RNN852047:RNU852047 RXJ852047:RXQ852047 SHF852047:SHM852047 SRB852047:SRI852047 TAX852047:TBE852047 TKT852047:TLA852047 TUP852047:TUW852047 UEL852047:UES852047 UOH852047:UOO852047 UYD852047:UYK852047 VHZ852047:VIG852047 VRV852047:VSC852047 WBR852047:WBY852047 WLN852047:WLU852047 WVJ852047:WVQ852047 B917583:I917583 IX917583:JE917583 ST917583:TA917583 ACP917583:ACW917583 AML917583:AMS917583 AWH917583:AWO917583 BGD917583:BGK917583 BPZ917583:BQG917583 BZV917583:CAC917583 CJR917583:CJY917583 CTN917583:CTU917583 DDJ917583:DDQ917583 DNF917583:DNM917583 DXB917583:DXI917583 EGX917583:EHE917583 EQT917583:ERA917583 FAP917583:FAW917583 FKL917583:FKS917583 FUH917583:FUO917583 GED917583:GEK917583 GNZ917583:GOG917583 GXV917583:GYC917583 HHR917583:HHY917583 HRN917583:HRU917583 IBJ917583:IBQ917583 ILF917583:ILM917583 IVB917583:IVI917583 JEX917583:JFE917583 JOT917583:JPA917583 JYP917583:JYW917583 KIL917583:KIS917583 KSH917583:KSO917583 LCD917583:LCK917583 LLZ917583:LMG917583 LVV917583:LWC917583 MFR917583:MFY917583 MPN917583:MPU917583 MZJ917583:MZQ917583 NJF917583:NJM917583 NTB917583:NTI917583 OCX917583:ODE917583 OMT917583:ONA917583 OWP917583:OWW917583 PGL917583:PGS917583 PQH917583:PQO917583 QAD917583:QAK917583 QJZ917583:QKG917583 QTV917583:QUC917583 RDR917583:RDY917583 RNN917583:RNU917583 RXJ917583:RXQ917583 SHF917583:SHM917583 SRB917583:SRI917583 TAX917583:TBE917583 TKT917583:TLA917583 TUP917583:TUW917583 UEL917583:UES917583 UOH917583:UOO917583 UYD917583:UYK917583 VHZ917583:VIG917583 VRV917583:VSC917583 WBR917583:WBY917583 WLN917583:WLU917583 WVJ917583:WVQ917583 B983119:I983119 IX983119:JE983119 ST983119:TA983119 ACP983119:ACW983119 AML983119:AMS983119 AWH983119:AWO983119 BGD983119:BGK983119 BPZ983119:BQG983119 BZV983119:CAC983119 CJR983119:CJY983119 CTN983119:CTU983119 DDJ983119:DDQ983119 DNF983119:DNM983119 DXB983119:DXI983119 EGX983119:EHE983119 EQT983119:ERA983119 FAP983119:FAW983119 FKL983119:FKS983119 FUH983119:FUO983119 GED983119:GEK983119 GNZ983119:GOG983119 GXV983119:GYC983119 HHR983119:HHY983119 HRN983119:HRU983119 IBJ983119:IBQ983119 ILF983119:ILM983119 IVB983119:IVI983119 JEX983119:JFE983119 JOT983119:JPA983119 JYP983119:JYW983119 KIL983119:KIS983119 KSH983119:KSO983119 LCD983119:LCK983119 LLZ983119:LMG983119 LVV983119:LWC983119 MFR983119:MFY983119 MPN983119:MPU983119 MZJ983119:MZQ983119 NJF983119:NJM983119 NTB983119:NTI983119 OCX983119:ODE983119 OMT983119:ONA983119 OWP983119:OWW983119 PGL983119:PGS983119 PQH983119:PQO983119 QAD983119:QAK983119 QJZ983119:QKG983119 QTV983119:QUC983119 RDR983119:RDY983119 RNN983119:RNU983119 RXJ983119:RXQ983119 SHF983119:SHM983119 SRB983119:SRI983119 TAX983119:TBE983119 TKT983119:TLA983119 TUP983119:TUW983119 UEL983119:UES983119 UOH983119:UOO983119 UYD983119:UYK983119 VHZ983119:VIG983119 VRV983119:VSC983119 WBR983119:WBY983119 WLN983119:WLU983119 WVJ983119:WVQ983119">
      <formula1>NOT(ISERR(AND(FIND(".",B20),FIND("@",B20))))</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9:I19 IX19:JE19 ST19:TA19 ACP19:ACW19 AML19:AMS19 AWH19:AWO19 BGD19:BGK19 BPZ19:BQG19 BZV19:CAC19 CJR19:CJY19 CTN19:CTU19 DDJ19:DDQ19 DNF19:DNM19 DXB19:DXI19 EGX19:EHE19 EQT19:ERA19 FAP19:FAW19 FKL19:FKS19 FUH19:FUO19 GED19:GEK19 GNZ19:GOG19 GXV19:GYC19 HHR19:HHY19 HRN19:HRU19 IBJ19:IBQ19 ILF19:ILM19 IVB19:IVI19 JEX19:JFE19 JOT19:JPA19 JYP19:JYW19 KIL19:KIS19 KSH19:KSO19 LCD19:LCK19 LLZ19:LMG19 LVV19:LWC19 MFR19:MFY19 MPN19:MPU19 MZJ19:MZQ19 NJF19:NJM19 NTB19:NTI19 OCX19:ODE19 OMT19:ONA19 OWP19:OWW19 PGL19:PGS19 PQH19:PQO19 QAD19:QAK19 QJZ19:QKG19 QTV19:QUC19 RDR19:RDY19 RNN19:RNU19 RXJ19:RXQ19 SHF19:SHM19 SRB19:SRI19 TAX19:TBE19 TKT19:TLA19 TUP19:TUW19 UEL19:UES19 UOH19:UOO19 UYD19:UYK19 VHZ19:VIG19 VRV19:VSC19 WBR19:WBY19 WLN19:WLU19 WVJ19:WVQ19 B65614:I65614 IX65614:JE65614 ST65614:TA65614 ACP65614:ACW65614 AML65614:AMS65614 AWH65614:AWO65614 BGD65614:BGK65614 BPZ65614:BQG65614 BZV65614:CAC65614 CJR65614:CJY65614 CTN65614:CTU65614 DDJ65614:DDQ65614 DNF65614:DNM65614 DXB65614:DXI65614 EGX65614:EHE65614 EQT65614:ERA65614 FAP65614:FAW65614 FKL65614:FKS65614 FUH65614:FUO65614 GED65614:GEK65614 GNZ65614:GOG65614 GXV65614:GYC65614 HHR65614:HHY65614 HRN65614:HRU65614 IBJ65614:IBQ65614 ILF65614:ILM65614 IVB65614:IVI65614 JEX65614:JFE65614 JOT65614:JPA65614 JYP65614:JYW65614 KIL65614:KIS65614 KSH65614:KSO65614 LCD65614:LCK65614 LLZ65614:LMG65614 LVV65614:LWC65614 MFR65614:MFY65614 MPN65614:MPU65614 MZJ65614:MZQ65614 NJF65614:NJM65614 NTB65614:NTI65614 OCX65614:ODE65614 OMT65614:ONA65614 OWP65614:OWW65614 PGL65614:PGS65614 PQH65614:PQO65614 QAD65614:QAK65614 QJZ65614:QKG65614 QTV65614:QUC65614 RDR65614:RDY65614 RNN65614:RNU65614 RXJ65614:RXQ65614 SHF65614:SHM65614 SRB65614:SRI65614 TAX65614:TBE65614 TKT65614:TLA65614 TUP65614:TUW65614 UEL65614:UES65614 UOH65614:UOO65614 UYD65614:UYK65614 VHZ65614:VIG65614 VRV65614:VSC65614 WBR65614:WBY65614 WLN65614:WLU65614 WVJ65614:WVQ65614 B131150:I131150 IX131150:JE131150 ST131150:TA131150 ACP131150:ACW131150 AML131150:AMS131150 AWH131150:AWO131150 BGD131150:BGK131150 BPZ131150:BQG131150 BZV131150:CAC131150 CJR131150:CJY131150 CTN131150:CTU131150 DDJ131150:DDQ131150 DNF131150:DNM131150 DXB131150:DXI131150 EGX131150:EHE131150 EQT131150:ERA131150 FAP131150:FAW131150 FKL131150:FKS131150 FUH131150:FUO131150 GED131150:GEK131150 GNZ131150:GOG131150 GXV131150:GYC131150 HHR131150:HHY131150 HRN131150:HRU131150 IBJ131150:IBQ131150 ILF131150:ILM131150 IVB131150:IVI131150 JEX131150:JFE131150 JOT131150:JPA131150 JYP131150:JYW131150 KIL131150:KIS131150 KSH131150:KSO131150 LCD131150:LCK131150 LLZ131150:LMG131150 LVV131150:LWC131150 MFR131150:MFY131150 MPN131150:MPU131150 MZJ131150:MZQ131150 NJF131150:NJM131150 NTB131150:NTI131150 OCX131150:ODE131150 OMT131150:ONA131150 OWP131150:OWW131150 PGL131150:PGS131150 PQH131150:PQO131150 QAD131150:QAK131150 QJZ131150:QKG131150 QTV131150:QUC131150 RDR131150:RDY131150 RNN131150:RNU131150 RXJ131150:RXQ131150 SHF131150:SHM131150 SRB131150:SRI131150 TAX131150:TBE131150 TKT131150:TLA131150 TUP131150:TUW131150 UEL131150:UES131150 UOH131150:UOO131150 UYD131150:UYK131150 VHZ131150:VIG131150 VRV131150:VSC131150 WBR131150:WBY131150 WLN131150:WLU131150 WVJ131150:WVQ131150 B196686:I196686 IX196686:JE196686 ST196686:TA196686 ACP196686:ACW196686 AML196686:AMS196686 AWH196686:AWO196686 BGD196686:BGK196686 BPZ196686:BQG196686 BZV196686:CAC196686 CJR196686:CJY196686 CTN196686:CTU196686 DDJ196686:DDQ196686 DNF196686:DNM196686 DXB196686:DXI196686 EGX196686:EHE196686 EQT196686:ERA196686 FAP196686:FAW196686 FKL196686:FKS196686 FUH196686:FUO196686 GED196686:GEK196686 GNZ196686:GOG196686 GXV196686:GYC196686 HHR196686:HHY196686 HRN196686:HRU196686 IBJ196686:IBQ196686 ILF196686:ILM196686 IVB196686:IVI196686 JEX196686:JFE196686 JOT196686:JPA196686 JYP196686:JYW196686 KIL196686:KIS196686 KSH196686:KSO196686 LCD196686:LCK196686 LLZ196686:LMG196686 LVV196686:LWC196686 MFR196686:MFY196686 MPN196686:MPU196686 MZJ196686:MZQ196686 NJF196686:NJM196686 NTB196686:NTI196686 OCX196686:ODE196686 OMT196686:ONA196686 OWP196686:OWW196686 PGL196686:PGS196686 PQH196686:PQO196686 QAD196686:QAK196686 QJZ196686:QKG196686 QTV196686:QUC196686 RDR196686:RDY196686 RNN196686:RNU196686 RXJ196686:RXQ196686 SHF196686:SHM196686 SRB196686:SRI196686 TAX196686:TBE196686 TKT196686:TLA196686 TUP196686:TUW196686 UEL196686:UES196686 UOH196686:UOO196686 UYD196686:UYK196686 VHZ196686:VIG196686 VRV196686:VSC196686 WBR196686:WBY196686 WLN196686:WLU196686 WVJ196686:WVQ196686 B262222:I262222 IX262222:JE262222 ST262222:TA262222 ACP262222:ACW262222 AML262222:AMS262222 AWH262222:AWO262222 BGD262222:BGK262222 BPZ262222:BQG262222 BZV262222:CAC262222 CJR262222:CJY262222 CTN262222:CTU262222 DDJ262222:DDQ262222 DNF262222:DNM262222 DXB262222:DXI262222 EGX262222:EHE262222 EQT262222:ERA262222 FAP262222:FAW262222 FKL262222:FKS262222 FUH262222:FUO262222 GED262222:GEK262222 GNZ262222:GOG262222 GXV262222:GYC262222 HHR262222:HHY262222 HRN262222:HRU262222 IBJ262222:IBQ262222 ILF262222:ILM262222 IVB262222:IVI262222 JEX262222:JFE262222 JOT262222:JPA262222 JYP262222:JYW262222 KIL262222:KIS262222 KSH262222:KSO262222 LCD262222:LCK262222 LLZ262222:LMG262222 LVV262222:LWC262222 MFR262222:MFY262222 MPN262222:MPU262222 MZJ262222:MZQ262222 NJF262222:NJM262222 NTB262222:NTI262222 OCX262222:ODE262222 OMT262222:ONA262222 OWP262222:OWW262222 PGL262222:PGS262222 PQH262222:PQO262222 QAD262222:QAK262222 QJZ262222:QKG262222 QTV262222:QUC262222 RDR262222:RDY262222 RNN262222:RNU262222 RXJ262222:RXQ262222 SHF262222:SHM262222 SRB262222:SRI262222 TAX262222:TBE262222 TKT262222:TLA262222 TUP262222:TUW262222 UEL262222:UES262222 UOH262222:UOO262222 UYD262222:UYK262222 VHZ262222:VIG262222 VRV262222:VSC262222 WBR262222:WBY262222 WLN262222:WLU262222 WVJ262222:WVQ262222 B327758:I327758 IX327758:JE327758 ST327758:TA327758 ACP327758:ACW327758 AML327758:AMS327758 AWH327758:AWO327758 BGD327758:BGK327758 BPZ327758:BQG327758 BZV327758:CAC327758 CJR327758:CJY327758 CTN327758:CTU327758 DDJ327758:DDQ327758 DNF327758:DNM327758 DXB327758:DXI327758 EGX327758:EHE327758 EQT327758:ERA327758 FAP327758:FAW327758 FKL327758:FKS327758 FUH327758:FUO327758 GED327758:GEK327758 GNZ327758:GOG327758 GXV327758:GYC327758 HHR327758:HHY327758 HRN327758:HRU327758 IBJ327758:IBQ327758 ILF327758:ILM327758 IVB327758:IVI327758 JEX327758:JFE327758 JOT327758:JPA327758 JYP327758:JYW327758 KIL327758:KIS327758 KSH327758:KSO327758 LCD327758:LCK327758 LLZ327758:LMG327758 LVV327758:LWC327758 MFR327758:MFY327758 MPN327758:MPU327758 MZJ327758:MZQ327758 NJF327758:NJM327758 NTB327758:NTI327758 OCX327758:ODE327758 OMT327758:ONA327758 OWP327758:OWW327758 PGL327758:PGS327758 PQH327758:PQO327758 QAD327758:QAK327758 QJZ327758:QKG327758 QTV327758:QUC327758 RDR327758:RDY327758 RNN327758:RNU327758 RXJ327758:RXQ327758 SHF327758:SHM327758 SRB327758:SRI327758 TAX327758:TBE327758 TKT327758:TLA327758 TUP327758:TUW327758 UEL327758:UES327758 UOH327758:UOO327758 UYD327758:UYK327758 VHZ327758:VIG327758 VRV327758:VSC327758 WBR327758:WBY327758 WLN327758:WLU327758 WVJ327758:WVQ327758 B393294:I393294 IX393294:JE393294 ST393294:TA393294 ACP393294:ACW393294 AML393294:AMS393294 AWH393294:AWO393294 BGD393294:BGK393294 BPZ393294:BQG393294 BZV393294:CAC393294 CJR393294:CJY393294 CTN393294:CTU393294 DDJ393294:DDQ393294 DNF393294:DNM393294 DXB393294:DXI393294 EGX393294:EHE393294 EQT393294:ERA393294 FAP393294:FAW393294 FKL393294:FKS393294 FUH393294:FUO393294 GED393294:GEK393294 GNZ393294:GOG393294 GXV393294:GYC393294 HHR393294:HHY393294 HRN393294:HRU393294 IBJ393294:IBQ393294 ILF393294:ILM393294 IVB393294:IVI393294 JEX393294:JFE393294 JOT393294:JPA393294 JYP393294:JYW393294 KIL393294:KIS393294 KSH393294:KSO393294 LCD393294:LCK393294 LLZ393294:LMG393294 LVV393294:LWC393294 MFR393294:MFY393294 MPN393294:MPU393294 MZJ393294:MZQ393294 NJF393294:NJM393294 NTB393294:NTI393294 OCX393294:ODE393294 OMT393294:ONA393294 OWP393294:OWW393294 PGL393294:PGS393294 PQH393294:PQO393294 QAD393294:QAK393294 QJZ393294:QKG393294 QTV393294:QUC393294 RDR393294:RDY393294 RNN393294:RNU393294 RXJ393294:RXQ393294 SHF393294:SHM393294 SRB393294:SRI393294 TAX393294:TBE393294 TKT393294:TLA393294 TUP393294:TUW393294 UEL393294:UES393294 UOH393294:UOO393294 UYD393294:UYK393294 VHZ393294:VIG393294 VRV393294:VSC393294 WBR393294:WBY393294 WLN393294:WLU393294 WVJ393294:WVQ393294 B458830:I458830 IX458830:JE458830 ST458830:TA458830 ACP458830:ACW458830 AML458830:AMS458830 AWH458830:AWO458830 BGD458830:BGK458830 BPZ458830:BQG458830 BZV458830:CAC458830 CJR458830:CJY458830 CTN458830:CTU458830 DDJ458830:DDQ458830 DNF458830:DNM458830 DXB458830:DXI458830 EGX458830:EHE458830 EQT458830:ERA458830 FAP458830:FAW458830 FKL458830:FKS458830 FUH458830:FUO458830 GED458830:GEK458830 GNZ458830:GOG458830 GXV458830:GYC458830 HHR458830:HHY458830 HRN458830:HRU458830 IBJ458830:IBQ458830 ILF458830:ILM458830 IVB458830:IVI458830 JEX458830:JFE458830 JOT458830:JPA458830 JYP458830:JYW458830 KIL458830:KIS458830 KSH458830:KSO458830 LCD458830:LCK458830 LLZ458830:LMG458830 LVV458830:LWC458830 MFR458830:MFY458830 MPN458830:MPU458830 MZJ458830:MZQ458830 NJF458830:NJM458830 NTB458830:NTI458830 OCX458830:ODE458830 OMT458830:ONA458830 OWP458830:OWW458830 PGL458830:PGS458830 PQH458830:PQO458830 QAD458830:QAK458830 QJZ458830:QKG458830 QTV458830:QUC458830 RDR458830:RDY458830 RNN458830:RNU458830 RXJ458830:RXQ458830 SHF458830:SHM458830 SRB458830:SRI458830 TAX458830:TBE458830 TKT458830:TLA458830 TUP458830:TUW458830 UEL458830:UES458830 UOH458830:UOO458830 UYD458830:UYK458830 VHZ458830:VIG458830 VRV458830:VSC458830 WBR458830:WBY458830 WLN458830:WLU458830 WVJ458830:WVQ458830 B524366:I524366 IX524366:JE524366 ST524366:TA524366 ACP524366:ACW524366 AML524366:AMS524366 AWH524366:AWO524366 BGD524366:BGK524366 BPZ524366:BQG524366 BZV524366:CAC524366 CJR524366:CJY524366 CTN524366:CTU524366 DDJ524366:DDQ524366 DNF524366:DNM524366 DXB524366:DXI524366 EGX524366:EHE524366 EQT524366:ERA524366 FAP524366:FAW524366 FKL524366:FKS524366 FUH524366:FUO524366 GED524366:GEK524366 GNZ524366:GOG524366 GXV524366:GYC524366 HHR524366:HHY524366 HRN524366:HRU524366 IBJ524366:IBQ524366 ILF524366:ILM524366 IVB524366:IVI524366 JEX524366:JFE524366 JOT524366:JPA524366 JYP524366:JYW524366 KIL524366:KIS524366 KSH524366:KSO524366 LCD524366:LCK524366 LLZ524366:LMG524366 LVV524366:LWC524366 MFR524366:MFY524366 MPN524366:MPU524366 MZJ524366:MZQ524366 NJF524366:NJM524366 NTB524366:NTI524366 OCX524366:ODE524366 OMT524366:ONA524366 OWP524366:OWW524366 PGL524366:PGS524366 PQH524366:PQO524366 QAD524366:QAK524366 QJZ524366:QKG524366 QTV524366:QUC524366 RDR524366:RDY524366 RNN524366:RNU524366 RXJ524366:RXQ524366 SHF524366:SHM524366 SRB524366:SRI524366 TAX524366:TBE524366 TKT524366:TLA524366 TUP524366:TUW524366 UEL524366:UES524366 UOH524366:UOO524366 UYD524366:UYK524366 VHZ524366:VIG524366 VRV524366:VSC524366 WBR524366:WBY524366 WLN524366:WLU524366 WVJ524366:WVQ524366 B589902:I589902 IX589902:JE589902 ST589902:TA589902 ACP589902:ACW589902 AML589902:AMS589902 AWH589902:AWO589902 BGD589902:BGK589902 BPZ589902:BQG589902 BZV589902:CAC589902 CJR589902:CJY589902 CTN589902:CTU589902 DDJ589902:DDQ589902 DNF589902:DNM589902 DXB589902:DXI589902 EGX589902:EHE589902 EQT589902:ERA589902 FAP589902:FAW589902 FKL589902:FKS589902 FUH589902:FUO589902 GED589902:GEK589902 GNZ589902:GOG589902 GXV589902:GYC589902 HHR589902:HHY589902 HRN589902:HRU589902 IBJ589902:IBQ589902 ILF589902:ILM589902 IVB589902:IVI589902 JEX589902:JFE589902 JOT589902:JPA589902 JYP589902:JYW589902 KIL589902:KIS589902 KSH589902:KSO589902 LCD589902:LCK589902 LLZ589902:LMG589902 LVV589902:LWC589902 MFR589902:MFY589902 MPN589902:MPU589902 MZJ589902:MZQ589902 NJF589902:NJM589902 NTB589902:NTI589902 OCX589902:ODE589902 OMT589902:ONA589902 OWP589902:OWW589902 PGL589902:PGS589902 PQH589902:PQO589902 QAD589902:QAK589902 QJZ589902:QKG589902 QTV589902:QUC589902 RDR589902:RDY589902 RNN589902:RNU589902 RXJ589902:RXQ589902 SHF589902:SHM589902 SRB589902:SRI589902 TAX589902:TBE589902 TKT589902:TLA589902 TUP589902:TUW589902 UEL589902:UES589902 UOH589902:UOO589902 UYD589902:UYK589902 VHZ589902:VIG589902 VRV589902:VSC589902 WBR589902:WBY589902 WLN589902:WLU589902 WVJ589902:WVQ589902 B655438:I655438 IX655438:JE655438 ST655438:TA655438 ACP655438:ACW655438 AML655438:AMS655438 AWH655438:AWO655438 BGD655438:BGK655438 BPZ655438:BQG655438 BZV655438:CAC655438 CJR655438:CJY655438 CTN655438:CTU655438 DDJ655438:DDQ655438 DNF655438:DNM655438 DXB655438:DXI655438 EGX655438:EHE655438 EQT655438:ERA655438 FAP655438:FAW655438 FKL655438:FKS655438 FUH655438:FUO655438 GED655438:GEK655438 GNZ655438:GOG655438 GXV655438:GYC655438 HHR655438:HHY655438 HRN655438:HRU655438 IBJ655438:IBQ655438 ILF655438:ILM655438 IVB655438:IVI655438 JEX655438:JFE655438 JOT655438:JPA655438 JYP655438:JYW655438 KIL655438:KIS655438 KSH655438:KSO655438 LCD655438:LCK655438 LLZ655438:LMG655438 LVV655438:LWC655438 MFR655438:MFY655438 MPN655438:MPU655438 MZJ655438:MZQ655438 NJF655438:NJM655438 NTB655438:NTI655438 OCX655438:ODE655438 OMT655438:ONA655438 OWP655438:OWW655438 PGL655438:PGS655438 PQH655438:PQO655438 QAD655438:QAK655438 QJZ655438:QKG655438 QTV655438:QUC655438 RDR655438:RDY655438 RNN655438:RNU655438 RXJ655438:RXQ655438 SHF655438:SHM655438 SRB655438:SRI655438 TAX655438:TBE655438 TKT655438:TLA655438 TUP655438:TUW655438 UEL655438:UES655438 UOH655438:UOO655438 UYD655438:UYK655438 VHZ655438:VIG655438 VRV655438:VSC655438 WBR655438:WBY655438 WLN655438:WLU655438 WVJ655438:WVQ655438 B720974:I720974 IX720974:JE720974 ST720974:TA720974 ACP720974:ACW720974 AML720974:AMS720974 AWH720974:AWO720974 BGD720974:BGK720974 BPZ720974:BQG720974 BZV720974:CAC720974 CJR720974:CJY720974 CTN720974:CTU720974 DDJ720974:DDQ720974 DNF720974:DNM720974 DXB720974:DXI720974 EGX720974:EHE720974 EQT720974:ERA720974 FAP720974:FAW720974 FKL720974:FKS720974 FUH720974:FUO720974 GED720974:GEK720974 GNZ720974:GOG720974 GXV720974:GYC720974 HHR720974:HHY720974 HRN720974:HRU720974 IBJ720974:IBQ720974 ILF720974:ILM720974 IVB720974:IVI720974 JEX720974:JFE720974 JOT720974:JPA720974 JYP720974:JYW720974 KIL720974:KIS720974 KSH720974:KSO720974 LCD720974:LCK720974 LLZ720974:LMG720974 LVV720974:LWC720974 MFR720974:MFY720974 MPN720974:MPU720974 MZJ720974:MZQ720974 NJF720974:NJM720974 NTB720974:NTI720974 OCX720974:ODE720974 OMT720974:ONA720974 OWP720974:OWW720974 PGL720974:PGS720974 PQH720974:PQO720974 QAD720974:QAK720974 QJZ720974:QKG720974 QTV720974:QUC720974 RDR720974:RDY720974 RNN720974:RNU720974 RXJ720974:RXQ720974 SHF720974:SHM720974 SRB720974:SRI720974 TAX720974:TBE720974 TKT720974:TLA720974 TUP720974:TUW720974 UEL720974:UES720974 UOH720974:UOO720974 UYD720974:UYK720974 VHZ720974:VIG720974 VRV720974:VSC720974 WBR720974:WBY720974 WLN720974:WLU720974 WVJ720974:WVQ720974 B786510:I786510 IX786510:JE786510 ST786510:TA786510 ACP786510:ACW786510 AML786510:AMS786510 AWH786510:AWO786510 BGD786510:BGK786510 BPZ786510:BQG786510 BZV786510:CAC786510 CJR786510:CJY786510 CTN786510:CTU786510 DDJ786510:DDQ786510 DNF786510:DNM786510 DXB786510:DXI786510 EGX786510:EHE786510 EQT786510:ERA786510 FAP786510:FAW786510 FKL786510:FKS786510 FUH786510:FUO786510 GED786510:GEK786510 GNZ786510:GOG786510 GXV786510:GYC786510 HHR786510:HHY786510 HRN786510:HRU786510 IBJ786510:IBQ786510 ILF786510:ILM786510 IVB786510:IVI786510 JEX786510:JFE786510 JOT786510:JPA786510 JYP786510:JYW786510 KIL786510:KIS786510 KSH786510:KSO786510 LCD786510:LCK786510 LLZ786510:LMG786510 LVV786510:LWC786510 MFR786510:MFY786510 MPN786510:MPU786510 MZJ786510:MZQ786510 NJF786510:NJM786510 NTB786510:NTI786510 OCX786510:ODE786510 OMT786510:ONA786510 OWP786510:OWW786510 PGL786510:PGS786510 PQH786510:PQO786510 QAD786510:QAK786510 QJZ786510:QKG786510 QTV786510:QUC786510 RDR786510:RDY786510 RNN786510:RNU786510 RXJ786510:RXQ786510 SHF786510:SHM786510 SRB786510:SRI786510 TAX786510:TBE786510 TKT786510:TLA786510 TUP786510:TUW786510 UEL786510:UES786510 UOH786510:UOO786510 UYD786510:UYK786510 VHZ786510:VIG786510 VRV786510:VSC786510 WBR786510:WBY786510 WLN786510:WLU786510 WVJ786510:WVQ786510 B852046:I852046 IX852046:JE852046 ST852046:TA852046 ACP852046:ACW852046 AML852046:AMS852046 AWH852046:AWO852046 BGD852046:BGK852046 BPZ852046:BQG852046 BZV852046:CAC852046 CJR852046:CJY852046 CTN852046:CTU852046 DDJ852046:DDQ852046 DNF852046:DNM852046 DXB852046:DXI852046 EGX852046:EHE852046 EQT852046:ERA852046 FAP852046:FAW852046 FKL852046:FKS852046 FUH852046:FUO852046 GED852046:GEK852046 GNZ852046:GOG852046 GXV852046:GYC852046 HHR852046:HHY852046 HRN852046:HRU852046 IBJ852046:IBQ852046 ILF852046:ILM852046 IVB852046:IVI852046 JEX852046:JFE852046 JOT852046:JPA852046 JYP852046:JYW852046 KIL852046:KIS852046 KSH852046:KSO852046 LCD852046:LCK852046 LLZ852046:LMG852046 LVV852046:LWC852046 MFR852046:MFY852046 MPN852046:MPU852046 MZJ852046:MZQ852046 NJF852046:NJM852046 NTB852046:NTI852046 OCX852046:ODE852046 OMT852046:ONA852046 OWP852046:OWW852046 PGL852046:PGS852046 PQH852046:PQO852046 QAD852046:QAK852046 QJZ852046:QKG852046 QTV852046:QUC852046 RDR852046:RDY852046 RNN852046:RNU852046 RXJ852046:RXQ852046 SHF852046:SHM852046 SRB852046:SRI852046 TAX852046:TBE852046 TKT852046:TLA852046 TUP852046:TUW852046 UEL852046:UES852046 UOH852046:UOO852046 UYD852046:UYK852046 VHZ852046:VIG852046 VRV852046:VSC852046 WBR852046:WBY852046 WLN852046:WLU852046 WVJ852046:WVQ852046 B917582:I917582 IX917582:JE917582 ST917582:TA917582 ACP917582:ACW917582 AML917582:AMS917582 AWH917582:AWO917582 BGD917582:BGK917582 BPZ917582:BQG917582 BZV917582:CAC917582 CJR917582:CJY917582 CTN917582:CTU917582 DDJ917582:DDQ917582 DNF917582:DNM917582 DXB917582:DXI917582 EGX917582:EHE917582 EQT917582:ERA917582 FAP917582:FAW917582 FKL917582:FKS917582 FUH917582:FUO917582 GED917582:GEK917582 GNZ917582:GOG917582 GXV917582:GYC917582 HHR917582:HHY917582 HRN917582:HRU917582 IBJ917582:IBQ917582 ILF917582:ILM917582 IVB917582:IVI917582 JEX917582:JFE917582 JOT917582:JPA917582 JYP917582:JYW917582 KIL917582:KIS917582 KSH917582:KSO917582 LCD917582:LCK917582 LLZ917582:LMG917582 LVV917582:LWC917582 MFR917582:MFY917582 MPN917582:MPU917582 MZJ917582:MZQ917582 NJF917582:NJM917582 NTB917582:NTI917582 OCX917582:ODE917582 OMT917582:ONA917582 OWP917582:OWW917582 PGL917582:PGS917582 PQH917582:PQO917582 QAD917582:QAK917582 QJZ917582:QKG917582 QTV917582:QUC917582 RDR917582:RDY917582 RNN917582:RNU917582 RXJ917582:RXQ917582 SHF917582:SHM917582 SRB917582:SRI917582 TAX917582:TBE917582 TKT917582:TLA917582 TUP917582:TUW917582 UEL917582:UES917582 UOH917582:UOO917582 UYD917582:UYK917582 VHZ917582:VIG917582 VRV917582:VSC917582 WBR917582:WBY917582 WLN917582:WLU917582 WVJ917582:WVQ917582 B983118:I983118 IX983118:JE983118 ST983118:TA983118 ACP983118:ACW983118 AML983118:AMS983118 AWH983118:AWO983118 BGD983118:BGK983118 BPZ983118:BQG983118 BZV983118:CAC983118 CJR983118:CJY983118 CTN983118:CTU983118 DDJ983118:DDQ983118 DNF983118:DNM983118 DXB983118:DXI983118 EGX983118:EHE983118 EQT983118:ERA983118 FAP983118:FAW983118 FKL983118:FKS983118 FUH983118:FUO983118 GED983118:GEK983118 GNZ983118:GOG983118 GXV983118:GYC983118 HHR983118:HHY983118 HRN983118:HRU983118 IBJ983118:IBQ983118 ILF983118:ILM983118 IVB983118:IVI983118 JEX983118:JFE983118 JOT983118:JPA983118 JYP983118:JYW983118 KIL983118:KIS983118 KSH983118:KSO983118 LCD983118:LCK983118 LLZ983118:LMG983118 LVV983118:LWC983118 MFR983118:MFY983118 MPN983118:MPU983118 MZJ983118:MZQ983118 NJF983118:NJM983118 NTB983118:NTI983118 OCX983118:ODE983118 OMT983118:ONA983118 OWP983118:OWW983118 PGL983118:PGS983118 PQH983118:PQO983118 QAD983118:QAK983118 QJZ983118:QKG983118 QTV983118:QUC983118 RDR983118:RDY983118 RNN983118:RNU983118 RXJ983118:RXQ983118 SHF983118:SHM983118 SRB983118:SRI983118 TAX983118:TBE983118 TKT983118:TLA983118 TUP983118:TUW983118 UEL983118:UES983118 UOH983118:UOO983118 UYD983118:UYK983118 VHZ983118:VIG983118 VRV983118:VSC983118 WBR983118:WBY983118 WLN983118:WLU983118 WVJ983118:WVQ983118">
      <formula1>$K$183:$K$188</formula1>
    </dataValidation>
    <dataValidation type="list" allowBlank="1" showInputMessage="1" showErrorMessage="1" error="Please Select fromt he drop-down list." promptTitle="Data Type" prompt="Please select DateTime, Number or Text from the drop-down list." sqref="C183:C395 IY183:IY395 SU183:SU395 ACQ183:ACQ395 AMM183:AMM395 AWI183:AWI395 BGE183:BGE395 BQA183:BQA395 BZW183:BZW395 CJS183:CJS395 CTO183:CTO395 DDK183:DDK395 DNG183:DNG395 DXC183:DXC395 EGY183:EGY395 EQU183:EQU395 FAQ183:FAQ395 FKM183:FKM395 FUI183:FUI395 GEE183:GEE395 GOA183:GOA395 GXW183:GXW395 HHS183:HHS395 HRO183:HRO395 IBK183:IBK395 ILG183:ILG395 IVC183:IVC395 JEY183:JEY395 JOU183:JOU395 JYQ183:JYQ395 KIM183:KIM395 KSI183:KSI395 LCE183:LCE395 LMA183:LMA395 LVW183:LVW395 MFS183:MFS395 MPO183:MPO395 MZK183:MZK395 NJG183:NJG395 NTC183:NTC395 OCY183:OCY395 OMU183:OMU395 OWQ183:OWQ395 PGM183:PGM395 PQI183:PQI395 QAE183:QAE395 QKA183:QKA395 QTW183:QTW395 RDS183:RDS395 RNO183:RNO395 RXK183:RXK395 SHG183:SHG395 SRC183:SRC395 TAY183:TAY395 TKU183:TKU395 TUQ183:TUQ395 UEM183:UEM395 UOI183:UOI395 UYE183:UYE395 VIA183:VIA395 VRW183:VRW395 WBS183:WBS395 WLO183:WLO395 WVK183:WVK395 C65719:C65931 IY65719:IY65931 SU65719:SU65931 ACQ65719:ACQ65931 AMM65719:AMM65931 AWI65719:AWI65931 BGE65719:BGE65931 BQA65719:BQA65931 BZW65719:BZW65931 CJS65719:CJS65931 CTO65719:CTO65931 DDK65719:DDK65931 DNG65719:DNG65931 DXC65719:DXC65931 EGY65719:EGY65931 EQU65719:EQU65931 FAQ65719:FAQ65931 FKM65719:FKM65931 FUI65719:FUI65931 GEE65719:GEE65931 GOA65719:GOA65931 GXW65719:GXW65931 HHS65719:HHS65931 HRO65719:HRO65931 IBK65719:IBK65931 ILG65719:ILG65931 IVC65719:IVC65931 JEY65719:JEY65931 JOU65719:JOU65931 JYQ65719:JYQ65931 KIM65719:KIM65931 KSI65719:KSI65931 LCE65719:LCE65931 LMA65719:LMA65931 LVW65719:LVW65931 MFS65719:MFS65931 MPO65719:MPO65931 MZK65719:MZK65931 NJG65719:NJG65931 NTC65719:NTC65931 OCY65719:OCY65931 OMU65719:OMU65931 OWQ65719:OWQ65931 PGM65719:PGM65931 PQI65719:PQI65931 QAE65719:QAE65931 QKA65719:QKA65931 QTW65719:QTW65931 RDS65719:RDS65931 RNO65719:RNO65931 RXK65719:RXK65931 SHG65719:SHG65931 SRC65719:SRC65931 TAY65719:TAY65931 TKU65719:TKU65931 TUQ65719:TUQ65931 UEM65719:UEM65931 UOI65719:UOI65931 UYE65719:UYE65931 VIA65719:VIA65931 VRW65719:VRW65931 WBS65719:WBS65931 WLO65719:WLO65931 WVK65719:WVK65931 C131255:C131467 IY131255:IY131467 SU131255:SU131467 ACQ131255:ACQ131467 AMM131255:AMM131467 AWI131255:AWI131467 BGE131255:BGE131467 BQA131255:BQA131467 BZW131255:BZW131467 CJS131255:CJS131467 CTO131255:CTO131467 DDK131255:DDK131467 DNG131255:DNG131467 DXC131255:DXC131467 EGY131255:EGY131467 EQU131255:EQU131467 FAQ131255:FAQ131467 FKM131255:FKM131467 FUI131255:FUI131467 GEE131255:GEE131467 GOA131255:GOA131467 GXW131255:GXW131467 HHS131255:HHS131467 HRO131255:HRO131467 IBK131255:IBK131467 ILG131255:ILG131467 IVC131255:IVC131467 JEY131255:JEY131467 JOU131255:JOU131467 JYQ131255:JYQ131467 KIM131255:KIM131467 KSI131255:KSI131467 LCE131255:LCE131467 LMA131255:LMA131467 LVW131255:LVW131467 MFS131255:MFS131467 MPO131255:MPO131467 MZK131255:MZK131467 NJG131255:NJG131467 NTC131255:NTC131467 OCY131255:OCY131467 OMU131255:OMU131467 OWQ131255:OWQ131467 PGM131255:PGM131467 PQI131255:PQI131467 QAE131255:QAE131467 QKA131255:QKA131467 QTW131255:QTW131467 RDS131255:RDS131467 RNO131255:RNO131467 RXK131255:RXK131467 SHG131255:SHG131467 SRC131255:SRC131467 TAY131255:TAY131467 TKU131255:TKU131467 TUQ131255:TUQ131467 UEM131255:UEM131467 UOI131255:UOI131467 UYE131255:UYE131467 VIA131255:VIA131467 VRW131255:VRW131467 WBS131255:WBS131467 WLO131255:WLO131467 WVK131255:WVK131467 C196791:C197003 IY196791:IY197003 SU196791:SU197003 ACQ196791:ACQ197003 AMM196791:AMM197003 AWI196791:AWI197003 BGE196791:BGE197003 BQA196791:BQA197003 BZW196791:BZW197003 CJS196791:CJS197003 CTO196791:CTO197003 DDK196791:DDK197003 DNG196791:DNG197003 DXC196791:DXC197003 EGY196791:EGY197003 EQU196791:EQU197003 FAQ196791:FAQ197003 FKM196791:FKM197003 FUI196791:FUI197003 GEE196791:GEE197003 GOA196791:GOA197003 GXW196791:GXW197003 HHS196791:HHS197003 HRO196791:HRO197003 IBK196791:IBK197003 ILG196791:ILG197003 IVC196791:IVC197003 JEY196791:JEY197003 JOU196791:JOU197003 JYQ196791:JYQ197003 KIM196791:KIM197003 KSI196791:KSI197003 LCE196791:LCE197003 LMA196791:LMA197003 LVW196791:LVW197003 MFS196791:MFS197003 MPO196791:MPO197003 MZK196791:MZK197003 NJG196791:NJG197003 NTC196791:NTC197003 OCY196791:OCY197003 OMU196791:OMU197003 OWQ196791:OWQ197003 PGM196791:PGM197003 PQI196791:PQI197003 QAE196791:QAE197003 QKA196791:QKA197003 QTW196791:QTW197003 RDS196791:RDS197003 RNO196791:RNO197003 RXK196791:RXK197003 SHG196791:SHG197003 SRC196791:SRC197003 TAY196791:TAY197003 TKU196791:TKU197003 TUQ196791:TUQ197003 UEM196791:UEM197003 UOI196791:UOI197003 UYE196791:UYE197003 VIA196791:VIA197003 VRW196791:VRW197003 WBS196791:WBS197003 WLO196791:WLO197003 WVK196791:WVK197003 C262327:C262539 IY262327:IY262539 SU262327:SU262539 ACQ262327:ACQ262539 AMM262327:AMM262539 AWI262327:AWI262539 BGE262327:BGE262539 BQA262327:BQA262539 BZW262327:BZW262539 CJS262327:CJS262539 CTO262327:CTO262539 DDK262327:DDK262539 DNG262327:DNG262539 DXC262327:DXC262539 EGY262327:EGY262539 EQU262327:EQU262539 FAQ262327:FAQ262539 FKM262327:FKM262539 FUI262327:FUI262539 GEE262327:GEE262539 GOA262327:GOA262539 GXW262327:GXW262539 HHS262327:HHS262539 HRO262327:HRO262539 IBK262327:IBK262539 ILG262327:ILG262539 IVC262327:IVC262539 JEY262327:JEY262539 JOU262327:JOU262539 JYQ262327:JYQ262539 KIM262327:KIM262539 KSI262327:KSI262539 LCE262327:LCE262539 LMA262327:LMA262539 LVW262327:LVW262539 MFS262327:MFS262539 MPO262327:MPO262539 MZK262327:MZK262539 NJG262327:NJG262539 NTC262327:NTC262539 OCY262327:OCY262539 OMU262327:OMU262539 OWQ262327:OWQ262539 PGM262327:PGM262539 PQI262327:PQI262539 QAE262327:QAE262539 QKA262327:QKA262539 QTW262327:QTW262539 RDS262327:RDS262539 RNO262327:RNO262539 RXK262327:RXK262539 SHG262327:SHG262539 SRC262327:SRC262539 TAY262327:TAY262539 TKU262327:TKU262539 TUQ262327:TUQ262539 UEM262327:UEM262539 UOI262327:UOI262539 UYE262327:UYE262539 VIA262327:VIA262539 VRW262327:VRW262539 WBS262327:WBS262539 WLO262327:WLO262539 WVK262327:WVK262539 C327863:C328075 IY327863:IY328075 SU327863:SU328075 ACQ327863:ACQ328075 AMM327863:AMM328075 AWI327863:AWI328075 BGE327863:BGE328075 BQA327863:BQA328075 BZW327863:BZW328075 CJS327863:CJS328075 CTO327863:CTO328075 DDK327863:DDK328075 DNG327863:DNG328075 DXC327863:DXC328075 EGY327863:EGY328075 EQU327863:EQU328075 FAQ327863:FAQ328075 FKM327863:FKM328075 FUI327863:FUI328075 GEE327863:GEE328075 GOA327863:GOA328075 GXW327863:GXW328075 HHS327863:HHS328075 HRO327863:HRO328075 IBK327863:IBK328075 ILG327863:ILG328075 IVC327863:IVC328075 JEY327863:JEY328075 JOU327863:JOU328075 JYQ327863:JYQ328075 KIM327863:KIM328075 KSI327863:KSI328075 LCE327863:LCE328075 LMA327863:LMA328075 LVW327863:LVW328075 MFS327863:MFS328075 MPO327863:MPO328075 MZK327863:MZK328075 NJG327863:NJG328075 NTC327863:NTC328075 OCY327863:OCY328075 OMU327863:OMU328075 OWQ327863:OWQ328075 PGM327863:PGM328075 PQI327863:PQI328075 QAE327863:QAE328075 QKA327863:QKA328075 QTW327863:QTW328075 RDS327863:RDS328075 RNO327863:RNO328075 RXK327863:RXK328075 SHG327863:SHG328075 SRC327863:SRC328075 TAY327863:TAY328075 TKU327863:TKU328075 TUQ327863:TUQ328075 UEM327863:UEM328075 UOI327863:UOI328075 UYE327863:UYE328075 VIA327863:VIA328075 VRW327863:VRW328075 WBS327863:WBS328075 WLO327863:WLO328075 WVK327863:WVK328075 C393399:C393611 IY393399:IY393611 SU393399:SU393611 ACQ393399:ACQ393611 AMM393399:AMM393611 AWI393399:AWI393611 BGE393399:BGE393611 BQA393399:BQA393611 BZW393399:BZW393611 CJS393399:CJS393611 CTO393399:CTO393611 DDK393399:DDK393611 DNG393399:DNG393611 DXC393399:DXC393611 EGY393399:EGY393611 EQU393399:EQU393611 FAQ393399:FAQ393611 FKM393399:FKM393611 FUI393399:FUI393611 GEE393399:GEE393611 GOA393399:GOA393611 GXW393399:GXW393611 HHS393399:HHS393611 HRO393399:HRO393611 IBK393399:IBK393611 ILG393399:ILG393611 IVC393399:IVC393611 JEY393399:JEY393611 JOU393399:JOU393611 JYQ393399:JYQ393611 KIM393399:KIM393611 KSI393399:KSI393611 LCE393399:LCE393611 LMA393399:LMA393611 LVW393399:LVW393611 MFS393399:MFS393611 MPO393399:MPO393611 MZK393399:MZK393611 NJG393399:NJG393611 NTC393399:NTC393611 OCY393399:OCY393611 OMU393399:OMU393611 OWQ393399:OWQ393611 PGM393399:PGM393611 PQI393399:PQI393611 QAE393399:QAE393611 QKA393399:QKA393611 QTW393399:QTW393611 RDS393399:RDS393611 RNO393399:RNO393611 RXK393399:RXK393611 SHG393399:SHG393611 SRC393399:SRC393611 TAY393399:TAY393611 TKU393399:TKU393611 TUQ393399:TUQ393611 UEM393399:UEM393611 UOI393399:UOI393611 UYE393399:UYE393611 VIA393399:VIA393611 VRW393399:VRW393611 WBS393399:WBS393611 WLO393399:WLO393611 WVK393399:WVK393611 C458935:C459147 IY458935:IY459147 SU458935:SU459147 ACQ458935:ACQ459147 AMM458935:AMM459147 AWI458935:AWI459147 BGE458935:BGE459147 BQA458935:BQA459147 BZW458935:BZW459147 CJS458935:CJS459147 CTO458935:CTO459147 DDK458935:DDK459147 DNG458935:DNG459147 DXC458935:DXC459147 EGY458935:EGY459147 EQU458935:EQU459147 FAQ458935:FAQ459147 FKM458935:FKM459147 FUI458935:FUI459147 GEE458935:GEE459147 GOA458935:GOA459147 GXW458935:GXW459147 HHS458935:HHS459147 HRO458935:HRO459147 IBK458935:IBK459147 ILG458935:ILG459147 IVC458935:IVC459147 JEY458935:JEY459147 JOU458935:JOU459147 JYQ458935:JYQ459147 KIM458935:KIM459147 KSI458935:KSI459147 LCE458935:LCE459147 LMA458935:LMA459147 LVW458935:LVW459147 MFS458935:MFS459147 MPO458935:MPO459147 MZK458935:MZK459147 NJG458935:NJG459147 NTC458935:NTC459147 OCY458935:OCY459147 OMU458935:OMU459147 OWQ458935:OWQ459147 PGM458935:PGM459147 PQI458935:PQI459147 QAE458935:QAE459147 QKA458935:QKA459147 QTW458935:QTW459147 RDS458935:RDS459147 RNO458935:RNO459147 RXK458935:RXK459147 SHG458935:SHG459147 SRC458935:SRC459147 TAY458935:TAY459147 TKU458935:TKU459147 TUQ458935:TUQ459147 UEM458935:UEM459147 UOI458935:UOI459147 UYE458935:UYE459147 VIA458935:VIA459147 VRW458935:VRW459147 WBS458935:WBS459147 WLO458935:WLO459147 WVK458935:WVK459147 C524471:C524683 IY524471:IY524683 SU524471:SU524683 ACQ524471:ACQ524683 AMM524471:AMM524683 AWI524471:AWI524683 BGE524471:BGE524683 BQA524471:BQA524683 BZW524471:BZW524683 CJS524471:CJS524683 CTO524471:CTO524683 DDK524471:DDK524683 DNG524471:DNG524683 DXC524471:DXC524683 EGY524471:EGY524683 EQU524471:EQU524683 FAQ524471:FAQ524683 FKM524471:FKM524683 FUI524471:FUI524683 GEE524471:GEE524683 GOA524471:GOA524683 GXW524471:GXW524683 HHS524471:HHS524683 HRO524471:HRO524683 IBK524471:IBK524683 ILG524471:ILG524683 IVC524471:IVC524683 JEY524471:JEY524683 JOU524471:JOU524683 JYQ524471:JYQ524683 KIM524471:KIM524683 KSI524471:KSI524683 LCE524471:LCE524683 LMA524471:LMA524683 LVW524471:LVW524683 MFS524471:MFS524683 MPO524471:MPO524683 MZK524471:MZK524683 NJG524471:NJG524683 NTC524471:NTC524683 OCY524471:OCY524683 OMU524471:OMU524683 OWQ524471:OWQ524683 PGM524471:PGM524683 PQI524471:PQI524683 QAE524471:QAE524683 QKA524471:QKA524683 QTW524471:QTW524683 RDS524471:RDS524683 RNO524471:RNO524683 RXK524471:RXK524683 SHG524471:SHG524683 SRC524471:SRC524683 TAY524471:TAY524683 TKU524471:TKU524683 TUQ524471:TUQ524683 UEM524471:UEM524683 UOI524471:UOI524683 UYE524471:UYE524683 VIA524471:VIA524683 VRW524471:VRW524683 WBS524471:WBS524683 WLO524471:WLO524683 WVK524471:WVK524683 C590007:C590219 IY590007:IY590219 SU590007:SU590219 ACQ590007:ACQ590219 AMM590007:AMM590219 AWI590007:AWI590219 BGE590007:BGE590219 BQA590007:BQA590219 BZW590007:BZW590219 CJS590007:CJS590219 CTO590007:CTO590219 DDK590007:DDK590219 DNG590007:DNG590219 DXC590007:DXC590219 EGY590007:EGY590219 EQU590007:EQU590219 FAQ590007:FAQ590219 FKM590007:FKM590219 FUI590007:FUI590219 GEE590007:GEE590219 GOA590007:GOA590219 GXW590007:GXW590219 HHS590007:HHS590219 HRO590007:HRO590219 IBK590007:IBK590219 ILG590007:ILG590219 IVC590007:IVC590219 JEY590007:JEY590219 JOU590007:JOU590219 JYQ590007:JYQ590219 KIM590007:KIM590219 KSI590007:KSI590219 LCE590007:LCE590219 LMA590007:LMA590219 LVW590007:LVW590219 MFS590007:MFS590219 MPO590007:MPO590219 MZK590007:MZK590219 NJG590007:NJG590219 NTC590007:NTC590219 OCY590007:OCY590219 OMU590007:OMU590219 OWQ590007:OWQ590219 PGM590007:PGM590219 PQI590007:PQI590219 QAE590007:QAE590219 QKA590007:QKA590219 QTW590007:QTW590219 RDS590007:RDS590219 RNO590007:RNO590219 RXK590007:RXK590219 SHG590007:SHG590219 SRC590007:SRC590219 TAY590007:TAY590219 TKU590007:TKU590219 TUQ590007:TUQ590219 UEM590007:UEM590219 UOI590007:UOI590219 UYE590007:UYE590219 VIA590007:VIA590219 VRW590007:VRW590219 WBS590007:WBS590219 WLO590007:WLO590219 WVK590007:WVK590219 C655543:C655755 IY655543:IY655755 SU655543:SU655755 ACQ655543:ACQ655755 AMM655543:AMM655755 AWI655543:AWI655755 BGE655543:BGE655755 BQA655543:BQA655755 BZW655543:BZW655755 CJS655543:CJS655755 CTO655543:CTO655755 DDK655543:DDK655755 DNG655543:DNG655755 DXC655543:DXC655755 EGY655543:EGY655755 EQU655543:EQU655755 FAQ655543:FAQ655755 FKM655543:FKM655755 FUI655543:FUI655755 GEE655543:GEE655755 GOA655543:GOA655755 GXW655543:GXW655755 HHS655543:HHS655755 HRO655543:HRO655755 IBK655543:IBK655755 ILG655543:ILG655755 IVC655543:IVC655755 JEY655543:JEY655755 JOU655543:JOU655755 JYQ655543:JYQ655755 KIM655543:KIM655755 KSI655543:KSI655755 LCE655543:LCE655755 LMA655543:LMA655755 LVW655543:LVW655755 MFS655543:MFS655755 MPO655543:MPO655755 MZK655543:MZK655755 NJG655543:NJG655755 NTC655543:NTC655755 OCY655543:OCY655755 OMU655543:OMU655755 OWQ655543:OWQ655755 PGM655543:PGM655755 PQI655543:PQI655755 QAE655543:QAE655755 QKA655543:QKA655755 QTW655543:QTW655755 RDS655543:RDS655755 RNO655543:RNO655755 RXK655543:RXK655755 SHG655543:SHG655755 SRC655543:SRC655755 TAY655543:TAY655755 TKU655543:TKU655755 TUQ655543:TUQ655755 UEM655543:UEM655755 UOI655543:UOI655755 UYE655543:UYE655755 VIA655543:VIA655755 VRW655543:VRW655755 WBS655543:WBS655755 WLO655543:WLO655755 WVK655543:WVK655755 C721079:C721291 IY721079:IY721291 SU721079:SU721291 ACQ721079:ACQ721291 AMM721079:AMM721291 AWI721079:AWI721291 BGE721079:BGE721291 BQA721079:BQA721291 BZW721079:BZW721291 CJS721079:CJS721291 CTO721079:CTO721291 DDK721079:DDK721291 DNG721079:DNG721291 DXC721079:DXC721291 EGY721079:EGY721291 EQU721079:EQU721291 FAQ721079:FAQ721291 FKM721079:FKM721291 FUI721079:FUI721291 GEE721079:GEE721291 GOA721079:GOA721291 GXW721079:GXW721291 HHS721079:HHS721291 HRO721079:HRO721291 IBK721079:IBK721291 ILG721079:ILG721291 IVC721079:IVC721291 JEY721079:JEY721291 JOU721079:JOU721291 JYQ721079:JYQ721291 KIM721079:KIM721291 KSI721079:KSI721291 LCE721079:LCE721291 LMA721079:LMA721291 LVW721079:LVW721291 MFS721079:MFS721291 MPO721079:MPO721291 MZK721079:MZK721291 NJG721079:NJG721291 NTC721079:NTC721291 OCY721079:OCY721291 OMU721079:OMU721291 OWQ721079:OWQ721291 PGM721079:PGM721291 PQI721079:PQI721291 QAE721079:QAE721291 QKA721079:QKA721291 QTW721079:QTW721291 RDS721079:RDS721291 RNO721079:RNO721291 RXK721079:RXK721291 SHG721079:SHG721291 SRC721079:SRC721291 TAY721079:TAY721291 TKU721079:TKU721291 TUQ721079:TUQ721291 UEM721079:UEM721291 UOI721079:UOI721291 UYE721079:UYE721291 VIA721079:VIA721291 VRW721079:VRW721291 WBS721079:WBS721291 WLO721079:WLO721291 WVK721079:WVK721291 C786615:C786827 IY786615:IY786827 SU786615:SU786827 ACQ786615:ACQ786827 AMM786615:AMM786827 AWI786615:AWI786827 BGE786615:BGE786827 BQA786615:BQA786827 BZW786615:BZW786827 CJS786615:CJS786827 CTO786615:CTO786827 DDK786615:DDK786827 DNG786615:DNG786827 DXC786615:DXC786827 EGY786615:EGY786827 EQU786615:EQU786827 FAQ786615:FAQ786827 FKM786615:FKM786827 FUI786615:FUI786827 GEE786615:GEE786827 GOA786615:GOA786827 GXW786615:GXW786827 HHS786615:HHS786827 HRO786615:HRO786827 IBK786615:IBK786827 ILG786615:ILG786827 IVC786615:IVC786827 JEY786615:JEY786827 JOU786615:JOU786827 JYQ786615:JYQ786827 KIM786615:KIM786827 KSI786615:KSI786827 LCE786615:LCE786827 LMA786615:LMA786827 LVW786615:LVW786827 MFS786615:MFS786827 MPO786615:MPO786827 MZK786615:MZK786827 NJG786615:NJG786827 NTC786615:NTC786827 OCY786615:OCY786827 OMU786615:OMU786827 OWQ786615:OWQ786827 PGM786615:PGM786827 PQI786615:PQI786827 QAE786615:QAE786827 QKA786615:QKA786827 QTW786615:QTW786827 RDS786615:RDS786827 RNO786615:RNO786827 RXK786615:RXK786827 SHG786615:SHG786827 SRC786615:SRC786827 TAY786615:TAY786827 TKU786615:TKU786827 TUQ786615:TUQ786827 UEM786615:UEM786827 UOI786615:UOI786827 UYE786615:UYE786827 VIA786615:VIA786827 VRW786615:VRW786827 WBS786615:WBS786827 WLO786615:WLO786827 WVK786615:WVK786827 C852151:C852363 IY852151:IY852363 SU852151:SU852363 ACQ852151:ACQ852363 AMM852151:AMM852363 AWI852151:AWI852363 BGE852151:BGE852363 BQA852151:BQA852363 BZW852151:BZW852363 CJS852151:CJS852363 CTO852151:CTO852363 DDK852151:DDK852363 DNG852151:DNG852363 DXC852151:DXC852363 EGY852151:EGY852363 EQU852151:EQU852363 FAQ852151:FAQ852363 FKM852151:FKM852363 FUI852151:FUI852363 GEE852151:GEE852363 GOA852151:GOA852363 GXW852151:GXW852363 HHS852151:HHS852363 HRO852151:HRO852363 IBK852151:IBK852363 ILG852151:ILG852363 IVC852151:IVC852363 JEY852151:JEY852363 JOU852151:JOU852363 JYQ852151:JYQ852363 KIM852151:KIM852363 KSI852151:KSI852363 LCE852151:LCE852363 LMA852151:LMA852363 LVW852151:LVW852363 MFS852151:MFS852363 MPO852151:MPO852363 MZK852151:MZK852363 NJG852151:NJG852363 NTC852151:NTC852363 OCY852151:OCY852363 OMU852151:OMU852363 OWQ852151:OWQ852363 PGM852151:PGM852363 PQI852151:PQI852363 QAE852151:QAE852363 QKA852151:QKA852363 QTW852151:QTW852363 RDS852151:RDS852363 RNO852151:RNO852363 RXK852151:RXK852363 SHG852151:SHG852363 SRC852151:SRC852363 TAY852151:TAY852363 TKU852151:TKU852363 TUQ852151:TUQ852363 UEM852151:UEM852363 UOI852151:UOI852363 UYE852151:UYE852363 VIA852151:VIA852363 VRW852151:VRW852363 WBS852151:WBS852363 WLO852151:WLO852363 WVK852151:WVK852363 C917687:C917899 IY917687:IY917899 SU917687:SU917899 ACQ917687:ACQ917899 AMM917687:AMM917899 AWI917687:AWI917899 BGE917687:BGE917899 BQA917687:BQA917899 BZW917687:BZW917899 CJS917687:CJS917899 CTO917687:CTO917899 DDK917687:DDK917899 DNG917687:DNG917899 DXC917687:DXC917899 EGY917687:EGY917899 EQU917687:EQU917899 FAQ917687:FAQ917899 FKM917687:FKM917899 FUI917687:FUI917899 GEE917687:GEE917899 GOA917687:GOA917899 GXW917687:GXW917899 HHS917687:HHS917899 HRO917687:HRO917899 IBK917687:IBK917899 ILG917687:ILG917899 IVC917687:IVC917899 JEY917687:JEY917899 JOU917687:JOU917899 JYQ917687:JYQ917899 KIM917687:KIM917899 KSI917687:KSI917899 LCE917687:LCE917899 LMA917687:LMA917899 LVW917687:LVW917899 MFS917687:MFS917899 MPO917687:MPO917899 MZK917687:MZK917899 NJG917687:NJG917899 NTC917687:NTC917899 OCY917687:OCY917899 OMU917687:OMU917899 OWQ917687:OWQ917899 PGM917687:PGM917899 PQI917687:PQI917899 QAE917687:QAE917899 QKA917687:QKA917899 QTW917687:QTW917899 RDS917687:RDS917899 RNO917687:RNO917899 RXK917687:RXK917899 SHG917687:SHG917899 SRC917687:SRC917899 TAY917687:TAY917899 TKU917687:TKU917899 TUQ917687:TUQ917899 UEM917687:UEM917899 UOI917687:UOI917899 UYE917687:UYE917899 VIA917687:VIA917899 VRW917687:VRW917899 WBS917687:WBS917899 WLO917687:WLO917899 WVK917687:WVK917899 C983223:C983435 IY983223:IY983435 SU983223:SU983435 ACQ983223:ACQ983435 AMM983223:AMM983435 AWI983223:AWI983435 BGE983223:BGE983435 BQA983223:BQA983435 BZW983223:BZW983435 CJS983223:CJS983435 CTO983223:CTO983435 DDK983223:DDK983435 DNG983223:DNG983435 DXC983223:DXC983435 EGY983223:EGY983435 EQU983223:EQU983435 FAQ983223:FAQ983435 FKM983223:FKM983435 FUI983223:FUI983435 GEE983223:GEE983435 GOA983223:GOA983435 GXW983223:GXW983435 HHS983223:HHS983435 HRO983223:HRO983435 IBK983223:IBK983435 ILG983223:ILG983435 IVC983223:IVC983435 JEY983223:JEY983435 JOU983223:JOU983435 JYQ983223:JYQ983435 KIM983223:KIM983435 KSI983223:KSI983435 LCE983223:LCE983435 LMA983223:LMA983435 LVW983223:LVW983435 MFS983223:MFS983435 MPO983223:MPO983435 MZK983223:MZK983435 NJG983223:NJG983435 NTC983223:NTC983435 OCY983223:OCY983435 OMU983223:OMU983435 OWQ983223:OWQ983435 PGM983223:PGM983435 PQI983223:PQI983435 QAE983223:QAE983435 QKA983223:QKA983435 QTW983223:QTW983435 RDS983223:RDS983435 RNO983223:RNO983435 RXK983223:RXK983435 SHG983223:SHG983435 SRC983223:SRC983435 TAY983223:TAY983435 TKU983223:TKU983435 TUQ983223:TUQ983435 UEM983223:UEM983435 UOI983223:UOI983435 UYE983223:UYE983435 VIA983223:VIA983435 VRW983223:VRW983435 WBS983223:WBS983435 WLO983223:WLO983435 WVK983223:WVK983435">
      <formula1>$M$184:$M$186</formula1>
    </dataValidation>
  </dataValidations>
  <hyperlinks>
    <hyperlink ref="B4" r:id="rId1"/>
    <hyperlink ref="B33" r:id="rId2"/>
  </hyperlinks>
  <printOptions gridLines="1"/>
  <pageMargins left="0.53" right="0.38" top="0.5" bottom="0.5" header="0.5" footer="0.5"/>
  <pageSetup scale="99" fitToHeight="10" orientation="landscape" cellComments="atEnd" r:id="rId3"/>
  <headerFooter alignWithMargins="0"/>
  <rowBreaks count="1" manualBreakCount="1">
    <brk id="62"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50"/>
  </sheetPr>
  <dimension ref="A1:AO20"/>
  <sheetViews>
    <sheetView zoomScale="70" zoomScaleNormal="70" workbookViewId="0"/>
  </sheetViews>
  <sheetFormatPr defaultColWidth="8.85546875" defaultRowHeight="15" x14ac:dyDescent="0.25"/>
  <cols>
    <col min="1" max="1" width="8.85546875" style="12"/>
    <col min="2" max="2" width="11.42578125" style="12" bestFit="1" customWidth="1"/>
    <col min="3" max="4" width="8.85546875" style="12"/>
    <col min="5" max="6" width="10.42578125" style="12" customWidth="1"/>
    <col min="7" max="7" width="8.85546875" style="12"/>
    <col min="8" max="8" width="11.42578125" style="12" bestFit="1" customWidth="1"/>
    <col min="9" max="13" width="11.28515625" style="12" customWidth="1"/>
    <col min="14" max="16" width="11.7109375" style="12" customWidth="1"/>
    <col min="17" max="17" width="8.85546875" style="12"/>
    <col min="18" max="21" width="10.140625" style="12" customWidth="1"/>
    <col min="22" max="22" width="11.28515625" style="12" customWidth="1"/>
    <col min="23" max="23" width="10.140625" style="12" customWidth="1"/>
    <col min="24" max="24" width="12.28515625" style="12" customWidth="1"/>
    <col min="25" max="26" width="10.140625" style="12" customWidth="1"/>
    <col min="27" max="27" width="13.28515625" style="12" customWidth="1"/>
    <col min="28" max="28" width="13.28515625" style="13" customWidth="1"/>
    <col min="29" max="29" width="8.85546875" style="12"/>
    <col min="30" max="39" width="12.140625" style="12" customWidth="1"/>
    <col min="40" max="40" width="14.5703125" style="12" customWidth="1"/>
    <col min="41" max="41" width="24.140625" style="12" customWidth="1"/>
    <col min="42" max="16384" width="8.85546875" style="12"/>
  </cols>
  <sheetData>
    <row r="1" spans="1:41" s="3" customFormat="1" ht="148.5" customHeight="1" x14ac:dyDescent="0.25">
      <c r="A1" s="3" t="s">
        <v>135</v>
      </c>
      <c r="B1" s="21" t="s">
        <v>141</v>
      </c>
      <c r="C1" s="22" t="s">
        <v>146</v>
      </c>
      <c r="D1" s="22" t="s">
        <v>149</v>
      </c>
      <c r="E1" s="22" t="s">
        <v>153</v>
      </c>
      <c r="F1" s="22" t="s">
        <v>361</v>
      </c>
      <c r="G1" s="3" t="s">
        <v>161</v>
      </c>
      <c r="H1" s="22" t="s">
        <v>363</v>
      </c>
      <c r="I1" s="97" t="s">
        <v>365</v>
      </c>
      <c r="J1" s="22" t="s">
        <v>367</v>
      </c>
      <c r="K1" s="22" t="s">
        <v>369</v>
      </c>
      <c r="L1" s="22" t="s">
        <v>371</v>
      </c>
      <c r="M1" s="22" t="s">
        <v>372</v>
      </c>
      <c r="N1" s="22" t="s">
        <v>373</v>
      </c>
      <c r="O1" s="22" t="s">
        <v>374</v>
      </c>
      <c r="P1" s="22" t="s">
        <v>375</v>
      </c>
      <c r="Q1" s="22" t="s">
        <v>376</v>
      </c>
      <c r="R1" s="17" t="s">
        <v>377</v>
      </c>
      <c r="S1" s="17" t="s">
        <v>378</v>
      </c>
      <c r="T1" s="17" t="s">
        <v>379</v>
      </c>
      <c r="U1" s="98" t="s">
        <v>380</v>
      </c>
      <c r="V1" s="98" t="s">
        <v>381</v>
      </c>
      <c r="W1" s="98" t="s">
        <v>382</v>
      </c>
      <c r="X1" s="98" t="s">
        <v>383</v>
      </c>
      <c r="Y1" s="17" t="s">
        <v>384</v>
      </c>
      <c r="Z1" s="17" t="s">
        <v>385</v>
      </c>
      <c r="AA1" s="17" t="s">
        <v>386</v>
      </c>
      <c r="AB1" s="17" t="s">
        <v>387</v>
      </c>
      <c r="AC1" s="17" t="s">
        <v>388</v>
      </c>
      <c r="AD1" s="17" t="s">
        <v>389</v>
      </c>
      <c r="AE1" s="17" t="s">
        <v>390</v>
      </c>
      <c r="AF1" s="17" t="s">
        <v>391</v>
      </c>
      <c r="AG1" s="17" t="s">
        <v>392</v>
      </c>
      <c r="AH1" s="17" t="s">
        <v>393</v>
      </c>
      <c r="AI1" s="17" t="s">
        <v>394</v>
      </c>
      <c r="AJ1" s="17" t="s">
        <v>395</v>
      </c>
      <c r="AK1" s="17" t="s">
        <v>396</v>
      </c>
      <c r="AL1" s="17" t="s">
        <v>397</v>
      </c>
      <c r="AM1" s="17" t="s">
        <v>398</v>
      </c>
      <c r="AN1" s="17" t="s">
        <v>399</v>
      </c>
      <c r="AO1" s="3" t="s">
        <v>400</v>
      </c>
    </row>
    <row r="2" spans="1:41" s="13" customFormat="1" x14ac:dyDescent="0.25">
      <c r="A2" s="13">
        <v>2012</v>
      </c>
      <c r="B2" s="8">
        <v>41086</v>
      </c>
      <c r="C2" s="9" t="s">
        <v>20</v>
      </c>
      <c r="D2" s="9" t="s">
        <v>26</v>
      </c>
      <c r="E2" s="9" t="s">
        <v>21</v>
      </c>
      <c r="F2" s="4" t="s">
        <v>19</v>
      </c>
      <c r="G2" s="4" t="s">
        <v>360</v>
      </c>
      <c r="H2" s="9" t="s">
        <v>16</v>
      </c>
      <c r="I2" s="13">
        <v>94</v>
      </c>
      <c r="J2" s="11">
        <v>0.815603375216024</v>
      </c>
      <c r="K2" s="11">
        <v>2.5059560591690525E-2</v>
      </c>
      <c r="L2" s="6">
        <v>1.9241875593578541</v>
      </c>
      <c r="M2" s="6">
        <v>0.3856763106508343</v>
      </c>
      <c r="N2" s="11">
        <v>3.2250000000000001</v>
      </c>
      <c r="O2" s="11">
        <v>1.1025</v>
      </c>
      <c r="P2" s="11">
        <v>3.7750000000000004</v>
      </c>
      <c r="Q2" s="11">
        <v>0.46500000000000002</v>
      </c>
      <c r="R2" s="16">
        <f t="shared" ref="R2:R20" si="0">AD2/0.04</f>
        <v>91</v>
      </c>
      <c r="S2" s="11">
        <v>2.88</v>
      </c>
      <c r="T2" s="99">
        <v>1.1200000000000003</v>
      </c>
      <c r="U2" s="99">
        <v>0.36</v>
      </c>
      <c r="V2" s="99">
        <v>0.04</v>
      </c>
      <c r="W2" s="99">
        <v>0.32</v>
      </c>
      <c r="X2" s="99">
        <v>0.80000000000000016</v>
      </c>
      <c r="Y2" s="99">
        <v>0.2</v>
      </c>
      <c r="Z2" s="99">
        <v>0.04</v>
      </c>
      <c r="AA2" s="99">
        <v>0</v>
      </c>
      <c r="AB2" s="99">
        <v>0</v>
      </c>
      <c r="AC2" s="99">
        <v>0</v>
      </c>
      <c r="AD2" s="15">
        <v>3.64</v>
      </c>
      <c r="AE2" s="19">
        <v>1.840000000000001</v>
      </c>
      <c r="AF2" s="19">
        <v>0.36</v>
      </c>
      <c r="AG2" s="19">
        <v>0.04</v>
      </c>
      <c r="AH2" s="19">
        <v>0.32</v>
      </c>
      <c r="AI2" s="19">
        <v>0.84000000000000019</v>
      </c>
      <c r="AJ2" s="19">
        <v>0.2</v>
      </c>
      <c r="AK2" s="19">
        <v>0.04</v>
      </c>
      <c r="AL2" s="20">
        <v>0</v>
      </c>
      <c r="AM2" s="20">
        <v>0</v>
      </c>
      <c r="AN2" s="20">
        <v>0</v>
      </c>
    </row>
    <row r="3" spans="1:41" s="96" customFormat="1" x14ac:dyDescent="0.25">
      <c r="A3" s="13">
        <v>2012</v>
      </c>
      <c r="B3" s="100">
        <v>41087</v>
      </c>
      <c r="C3" s="10" t="s">
        <v>20</v>
      </c>
      <c r="D3" s="9" t="s">
        <v>26</v>
      </c>
      <c r="E3" s="10" t="s">
        <v>22</v>
      </c>
      <c r="F3" s="4" t="s">
        <v>19</v>
      </c>
      <c r="G3" s="4" t="s">
        <v>360</v>
      </c>
      <c r="H3" s="16" t="s">
        <v>17</v>
      </c>
      <c r="I3" s="13">
        <v>95</v>
      </c>
      <c r="J3" s="11">
        <v>0.84564659363948214</v>
      </c>
      <c r="K3" s="11">
        <v>6.4749040282145107E-2</v>
      </c>
      <c r="L3" s="11">
        <v>2.6184531652424083</v>
      </c>
      <c r="M3" s="11">
        <v>6.4749040282145107E-2</v>
      </c>
      <c r="N3" s="11" t="e">
        <v>#N/A</v>
      </c>
      <c r="O3" s="11" t="e">
        <v>#N/A</v>
      </c>
      <c r="P3" s="11">
        <v>3.8000000000000003</v>
      </c>
      <c r="Q3" s="11">
        <v>0.26457513110645881</v>
      </c>
      <c r="R3" s="16">
        <f t="shared" si="0"/>
        <v>134</v>
      </c>
      <c r="S3" s="101">
        <v>3.84</v>
      </c>
      <c r="T3" s="99">
        <v>1.6800000000000008</v>
      </c>
      <c r="U3" s="99">
        <v>0</v>
      </c>
      <c r="V3" s="99">
        <v>1.5600000000000007</v>
      </c>
      <c r="W3" s="99">
        <v>0</v>
      </c>
      <c r="X3" s="99">
        <v>0</v>
      </c>
      <c r="Y3" s="99">
        <v>0.51999999999999991</v>
      </c>
      <c r="Z3" s="99">
        <v>0.04</v>
      </c>
      <c r="AA3" s="99">
        <v>0</v>
      </c>
      <c r="AB3" s="99">
        <v>0.04</v>
      </c>
      <c r="AC3" s="99">
        <v>0</v>
      </c>
      <c r="AD3" s="2">
        <v>5.36</v>
      </c>
      <c r="AE3" s="102">
        <v>2.4400000000000013</v>
      </c>
      <c r="AF3" s="102">
        <v>0</v>
      </c>
      <c r="AG3" s="102">
        <v>2.3200000000000012</v>
      </c>
      <c r="AH3" s="102">
        <v>0</v>
      </c>
      <c r="AI3" s="102">
        <v>0</v>
      </c>
      <c r="AJ3" s="102">
        <v>0.51999999999999991</v>
      </c>
      <c r="AK3" s="102">
        <v>0.04</v>
      </c>
      <c r="AL3" s="102">
        <v>0</v>
      </c>
      <c r="AM3" s="102">
        <v>0.04</v>
      </c>
      <c r="AN3" s="20">
        <v>0</v>
      </c>
    </row>
    <row r="4" spans="1:41" s="13" customFormat="1" x14ac:dyDescent="0.25">
      <c r="A4" s="13">
        <v>2012</v>
      </c>
      <c r="B4" s="8">
        <v>41086</v>
      </c>
      <c r="C4" s="10" t="s">
        <v>20</v>
      </c>
      <c r="D4" s="9" t="s">
        <v>26</v>
      </c>
      <c r="E4" s="10" t="s">
        <v>23</v>
      </c>
      <c r="F4" s="4" t="s">
        <v>19</v>
      </c>
      <c r="G4" s="4" t="s">
        <v>360</v>
      </c>
      <c r="H4" s="9" t="s">
        <v>16</v>
      </c>
      <c r="I4" s="13">
        <v>82.7</v>
      </c>
      <c r="J4" s="11">
        <v>0.8251196557027598</v>
      </c>
      <c r="K4" s="11">
        <v>1.0174415321621662E-2</v>
      </c>
      <c r="L4" s="11">
        <v>2.0468263946304259</v>
      </c>
      <c r="M4" s="11">
        <v>1.0174415321621662E-2</v>
      </c>
      <c r="N4" s="11" t="e">
        <v>#N/A</v>
      </c>
      <c r="O4" s="11" t="e">
        <v>#N/A</v>
      </c>
      <c r="P4" s="11">
        <v>3.2999999999999994</v>
      </c>
      <c r="Q4" s="11">
        <v>0.41666666666666669</v>
      </c>
      <c r="R4" s="16">
        <f t="shared" si="0"/>
        <v>122</v>
      </c>
      <c r="S4" s="11">
        <v>2.76</v>
      </c>
      <c r="T4" s="99">
        <v>2</v>
      </c>
      <c r="U4" s="99">
        <v>0</v>
      </c>
      <c r="V4" s="99">
        <v>0</v>
      </c>
      <c r="W4" s="99">
        <v>0</v>
      </c>
      <c r="X4" s="99">
        <v>0.72</v>
      </c>
      <c r="Y4" s="99">
        <v>0</v>
      </c>
      <c r="Z4" s="99">
        <v>0.04</v>
      </c>
      <c r="AA4" s="99">
        <v>0</v>
      </c>
      <c r="AB4" s="99">
        <v>0</v>
      </c>
      <c r="AC4" s="99">
        <v>0</v>
      </c>
      <c r="AD4" s="15">
        <v>4.88</v>
      </c>
      <c r="AE4" s="19">
        <v>4.12</v>
      </c>
      <c r="AF4" s="20">
        <v>0</v>
      </c>
      <c r="AG4" s="20">
        <v>0</v>
      </c>
      <c r="AH4" s="20">
        <v>0</v>
      </c>
      <c r="AI4" s="19">
        <v>0.72000000000000008</v>
      </c>
      <c r="AJ4" s="20">
        <v>0</v>
      </c>
      <c r="AK4" s="19">
        <v>0.04</v>
      </c>
      <c r="AL4" s="20">
        <v>0</v>
      </c>
      <c r="AM4" s="20">
        <v>0</v>
      </c>
      <c r="AN4" s="20">
        <v>0</v>
      </c>
    </row>
    <row r="5" spans="1:41" s="13" customFormat="1" x14ac:dyDescent="0.25">
      <c r="A5" s="13">
        <v>2012</v>
      </c>
      <c r="B5" s="103">
        <v>41088</v>
      </c>
      <c r="C5" s="10" t="s">
        <v>20</v>
      </c>
      <c r="D5" s="9" t="s">
        <v>15</v>
      </c>
      <c r="E5" s="9" t="s">
        <v>24</v>
      </c>
      <c r="F5" s="4" t="s">
        <v>19</v>
      </c>
      <c r="G5" s="4" t="s">
        <v>360</v>
      </c>
      <c r="H5" s="9" t="s">
        <v>16</v>
      </c>
      <c r="J5" s="11">
        <v>0.81375143602501021</v>
      </c>
      <c r="K5" s="11">
        <v>1.8583541242976759E-2</v>
      </c>
      <c r="L5" s="11">
        <v>1.88003139481259</v>
      </c>
      <c r="M5" s="11">
        <v>1.8583541242976759E-2</v>
      </c>
      <c r="N5" s="104">
        <v>3.2</v>
      </c>
      <c r="O5" s="104">
        <v>0.8</v>
      </c>
      <c r="P5" s="104">
        <v>2.2333333333333334</v>
      </c>
      <c r="Q5" s="104">
        <v>0.293333333333333</v>
      </c>
      <c r="R5" s="16">
        <f t="shared" si="0"/>
        <v>126</v>
      </c>
      <c r="S5" s="11">
        <v>3.68</v>
      </c>
      <c r="T5" s="99">
        <v>2.2799999999999998</v>
      </c>
      <c r="U5" s="99">
        <v>0</v>
      </c>
      <c r="V5" s="99">
        <v>0</v>
      </c>
      <c r="W5" s="99">
        <v>0.16</v>
      </c>
      <c r="X5" s="99">
        <v>0</v>
      </c>
      <c r="Y5" s="99">
        <v>0</v>
      </c>
      <c r="Z5" s="99">
        <v>0.04</v>
      </c>
      <c r="AA5" s="99">
        <v>0.72</v>
      </c>
      <c r="AB5" s="99">
        <v>0.48</v>
      </c>
      <c r="AC5" s="99">
        <v>0</v>
      </c>
      <c r="AD5" s="15">
        <v>5.04</v>
      </c>
      <c r="AE5" s="19">
        <v>3.6</v>
      </c>
      <c r="AF5" s="20">
        <v>0</v>
      </c>
      <c r="AG5" s="20">
        <v>0</v>
      </c>
      <c r="AH5" s="19">
        <v>0.16</v>
      </c>
      <c r="AI5" s="20">
        <v>0</v>
      </c>
      <c r="AJ5" s="20">
        <v>0</v>
      </c>
      <c r="AK5" s="19">
        <v>0.08</v>
      </c>
      <c r="AL5" s="19">
        <v>0.72000000000000008</v>
      </c>
      <c r="AM5" s="19">
        <v>0.47999999999999993</v>
      </c>
      <c r="AN5" s="20">
        <v>0</v>
      </c>
    </row>
    <row r="6" spans="1:41" s="13" customFormat="1" x14ac:dyDescent="0.25">
      <c r="A6" s="13">
        <v>2012</v>
      </c>
      <c r="B6" s="103">
        <v>41088</v>
      </c>
      <c r="C6" s="10" t="s">
        <v>20</v>
      </c>
      <c r="D6" s="9" t="s">
        <v>15</v>
      </c>
      <c r="E6" s="9" t="s">
        <v>25</v>
      </c>
      <c r="F6" s="4" t="s">
        <v>19</v>
      </c>
      <c r="G6" s="4" t="s">
        <v>360</v>
      </c>
      <c r="H6" s="9" t="s">
        <v>17</v>
      </c>
      <c r="I6" s="13">
        <v>86.4</v>
      </c>
      <c r="J6" s="11">
        <v>0.82416886044293658</v>
      </c>
      <c r="K6" s="11">
        <v>2.2731047596476935E-2</v>
      </c>
      <c r="L6" s="11">
        <v>2.0552786226367843</v>
      </c>
      <c r="M6" s="11">
        <v>2.2731047596476935E-2</v>
      </c>
      <c r="N6" s="11" t="e">
        <v>#N/A</v>
      </c>
      <c r="O6" s="11" t="e">
        <v>#N/A</v>
      </c>
      <c r="P6" s="11">
        <v>2.7666666666666662</v>
      </c>
      <c r="Q6" s="11">
        <v>0.33666666666666667</v>
      </c>
      <c r="R6" s="16">
        <f t="shared" si="0"/>
        <v>131</v>
      </c>
      <c r="S6" s="11">
        <v>3.84</v>
      </c>
      <c r="T6" s="99">
        <v>0.92</v>
      </c>
      <c r="U6" s="99">
        <v>0</v>
      </c>
      <c r="V6" s="99">
        <v>1.52</v>
      </c>
      <c r="W6" s="99">
        <v>0</v>
      </c>
      <c r="X6" s="99">
        <v>0.12</v>
      </c>
      <c r="Y6" s="99">
        <v>0</v>
      </c>
      <c r="Z6" s="99">
        <v>0.16</v>
      </c>
      <c r="AA6" s="99">
        <v>0.88</v>
      </c>
      <c r="AB6" s="99">
        <v>0.24</v>
      </c>
      <c r="AC6" s="99">
        <v>0</v>
      </c>
      <c r="AD6" s="15">
        <v>5.24</v>
      </c>
      <c r="AE6" s="19">
        <v>1.6800000000000008</v>
      </c>
      <c r="AF6" s="20">
        <v>0</v>
      </c>
      <c r="AG6" s="19">
        <v>2.120000000000001</v>
      </c>
      <c r="AH6" s="20">
        <v>0</v>
      </c>
      <c r="AI6" s="19">
        <v>0.12</v>
      </c>
      <c r="AJ6" s="20">
        <v>0</v>
      </c>
      <c r="AK6" s="19">
        <v>0.16</v>
      </c>
      <c r="AL6" s="19">
        <v>0.92000000000000026</v>
      </c>
      <c r="AM6" s="19">
        <v>0.24000000000000002</v>
      </c>
      <c r="AN6" s="20">
        <v>0</v>
      </c>
    </row>
    <row r="7" spans="1:41" s="13" customFormat="1" x14ac:dyDescent="0.25">
      <c r="A7" s="13">
        <v>2012</v>
      </c>
      <c r="B7" s="103">
        <v>41089</v>
      </c>
      <c r="C7" s="10" t="s">
        <v>20</v>
      </c>
      <c r="D7" s="9" t="s">
        <v>15</v>
      </c>
      <c r="E7" s="9" t="s">
        <v>0</v>
      </c>
      <c r="F7" s="4" t="s">
        <v>19</v>
      </c>
      <c r="G7" s="4" t="s">
        <v>360</v>
      </c>
      <c r="H7" s="9" t="s">
        <v>17</v>
      </c>
      <c r="I7" s="13">
        <v>98.6</v>
      </c>
      <c r="J7" s="11">
        <v>0.85938710438725208</v>
      </c>
      <c r="K7" s="11">
        <v>1.7938994581901613E-2</v>
      </c>
      <c r="L7" s="105">
        <v>2.7164852467440253</v>
      </c>
      <c r="M7" s="105">
        <v>0.38510847782281871</v>
      </c>
      <c r="N7" s="11">
        <v>3.3666666666666667</v>
      </c>
      <c r="O7" s="11">
        <v>1.1033333333333333</v>
      </c>
      <c r="P7" s="11">
        <v>4</v>
      </c>
      <c r="Q7" s="11">
        <v>0.54333333333333333</v>
      </c>
      <c r="R7" s="16">
        <f t="shared" si="0"/>
        <v>182</v>
      </c>
      <c r="S7" s="11">
        <v>6.16</v>
      </c>
      <c r="T7" s="99">
        <v>1.76</v>
      </c>
      <c r="U7" s="99">
        <v>0</v>
      </c>
      <c r="V7" s="99">
        <v>2.56</v>
      </c>
      <c r="W7" s="99">
        <v>0</v>
      </c>
      <c r="X7" s="99">
        <v>0.32</v>
      </c>
      <c r="Y7" s="99">
        <v>0.48</v>
      </c>
      <c r="Z7" s="99">
        <v>0.76</v>
      </c>
      <c r="AA7" s="99">
        <v>0</v>
      </c>
      <c r="AB7" s="99">
        <v>0.28000000000000003</v>
      </c>
      <c r="AC7" s="99">
        <v>0</v>
      </c>
      <c r="AD7" s="15">
        <v>7.28</v>
      </c>
      <c r="AE7" s="19">
        <v>2.2400000000000011</v>
      </c>
      <c r="AF7" s="20">
        <v>0</v>
      </c>
      <c r="AG7" s="19">
        <v>3.2</v>
      </c>
      <c r="AH7" s="20">
        <v>0</v>
      </c>
      <c r="AI7" s="19">
        <v>0.32</v>
      </c>
      <c r="AJ7" s="19">
        <v>0.47999999999999993</v>
      </c>
      <c r="AK7" s="19">
        <v>0.76000000000000012</v>
      </c>
      <c r="AL7" s="20">
        <v>0</v>
      </c>
      <c r="AM7" s="19">
        <v>0.28000000000000003</v>
      </c>
      <c r="AN7" s="20">
        <v>0</v>
      </c>
    </row>
    <row r="8" spans="1:41" s="13" customFormat="1" x14ac:dyDescent="0.25">
      <c r="A8" s="13">
        <v>2012</v>
      </c>
      <c r="B8" s="103">
        <v>41089</v>
      </c>
      <c r="C8" s="10" t="s">
        <v>20</v>
      </c>
      <c r="D8" s="9" t="s">
        <v>15</v>
      </c>
      <c r="E8" s="9" t="s">
        <v>1</v>
      </c>
      <c r="F8" s="4" t="s">
        <v>19</v>
      </c>
      <c r="G8" s="4" t="s">
        <v>360</v>
      </c>
      <c r="H8" s="9" t="s">
        <v>16</v>
      </c>
      <c r="I8" s="13">
        <v>82.3</v>
      </c>
      <c r="J8" s="11">
        <v>0.86976746393099269</v>
      </c>
      <c r="K8" s="11">
        <v>1.5056618214312117E-2</v>
      </c>
      <c r="L8" s="11">
        <v>2.9457718040224137</v>
      </c>
      <c r="M8" s="11">
        <v>0.34227242512590161</v>
      </c>
      <c r="N8" s="11" t="e">
        <v>#N/A</v>
      </c>
      <c r="O8" s="11" t="e">
        <v>#N/A</v>
      </c>
      <c r="P8" s="104">
        <v>4.3</v>
      </c>
      <c r="Q8" s="104">
        <v>0.69333333333333336</v>
      </c>
      <c r="R8" s="16">
        <f t="shared" si="0"/>
        <v>199</v>
      </c>
      <c r="S8" s="11">
        <v>5.48</v>
      </c>
      <c r="T8" s="99">
        <v>2.6</v>
      </c>
      <c r="U8" s="99">
        <v>0</v>
      </c>
      <c r="V8" s="99">
        <v>0.64</v>
      </c>
      <c r="W8" s="99">
        <v>0</v>
      </c>
      <c r="X8" s="99">
        <v>1.2</v>
      </c>
      <c r="Y8" s="99">
        <v>0.24</v>
      </c>
      <c r="Z8" s="99">
        <v>0.44</v>
      </c>
      <c r="AA8" s="99">
        <v>0</v>
      </c>
      <c r="AB8" s="99">
        <v>0.36</v>
      </c>
      <c r="AC8" s="99">
        <v>0</v>
      </c>
      <c r="AD8" s="15">
        <v>7.96</v>
      </c>
      <c r="AE8" s="19">
        <v>3.88</v>
      </c>
      <c r="AF8" s="20">
        <v>0</v>
      </c>
      <c r="AG8" s="19">
        <v>0.76000000000000012</v>
      </c>
      <c r="AH8" s="20">
        <v>0</v>
      </c>
      <c r="AI8" s="19">
        <v>1.6400000000000008</v>
      </c>
      <c r="AJ8" s="19">
        <v>0.24000000000000002</v>
      </c>
      <c r="AK8" s="19">
        <v>1.0800000000000003</v>
      </c>
      <c r="AL8" s="20">
        <v>0</v>
      </c>
      <c r="AM8" s="19">
        <v>0.36</v>
      </c>
      <c r="AN8" s="20">
        <v>0</v>
      </c>
    </row>
    <row r="9" spans="1:41" s="13" customFormat="1" x14ac:dyDescent="0.25">
      <c r="A9" s="13">
        <v>2012</v>
      </c>
      <c r="B9" s="8">
        <v>41097</v>
      </c>
      <c r="C9" s="10" t="s">
        <v>20</v>
      </c>
      <c r="D9" s="9" t="s">
        <v>26</v>
      </c>
      <c r="E9" s="10" t="s">
        <v>2</v>
      </c>
      <c r="F9" s="4" t="s">
        <v>19</v>
      </c>
      <c r="G9" s="4" t="s">
        <v>360</v>
      </c>
      <c r="H9" s="9" t="s">
        <v>17</v>
      </c>
      <c r="I9" s="14">
        <v>84</v>
      </c>
      <c r="J9" s="11">
        <v>0.8461696257346849</v>
      </c>
      <c r="K9" s="11">
        <v>2.0951055713040671E-2</v>
      </c>
      <c r="L9" s="11">
        <v>2.4489220985567566</v>
      </c>
      <c r="M9" s="11">
        <v>0.39314703850615645</v>
      </c>
      <c r="N9" s="11" t="e">
        <v>#N/A</v>
      </c>
      <c r="O9" s="11" t="e">
        <v>#N/A</v>
      </c>
      <c r="P9" s="104">
        <v>2.4666666666666663</v>
      </c>
      <c r="Q9" s="104">
        <v>0.17333333333333334</v>
      </c>
      <c r="R9" s="16">
        <f t="shared" si="0"/>
        <v>92</v>
      </c>
      <c r="S9" s="11">
        <v>2.68</v>
      </c>
      <c r="T9" s="99">
        <v>0</v>
      </c>
      <c r="U9" s="99">
        <v>0</v>
      </c>
      <c r="V9" s="99">
        <v>2.36</v>
      </c>
      <c r="W9" s="99">
        <v>0</v>
      </c>
      <c r="X9" s="99">
        <v>0</v>
      </c>
      <c r="Y9" s="99">
        <v>0</v>
      </c>
      <c r="Z9" s="99">
        <v>0.2</v>
      </c>
      <c r="AA9" s="99">
        <v>0</v>
      </c>
      <c r="AB9" s="99">
        <v>0.12</v>
      </c>
      <c r="AC9" s="99">
        <v>0</v>
      </c>
      <c r="AD9" s="15">
        <v>3.68</v>
      </c>
      <c r="AE9" s="19">
        <v>0.04</v>
      </c>
      <c r="AF9" s="20">
        <v>0</v>
      </c>
      <c r="AG9" s="19">
        <v>3.32</v>
      </c>
      <c r="AH9" s="20">
        <v>0</v>
      </c>
      <c r="AI9" s="20">
        <v>0</v>
      </c>
      <c r="AJ9" s="20">
        <v>0</v>
      </c>
      <c r="AK9" s="19">
        <v>0.2</v>
      </c>
      <c r="AL9" s="20">
        <v>0</v>
      </c>
      <c r="AM9" s="19">
        <v>0.12</v>
      </c>
      <c r="AN9" s="20">
        <v>0</v>
      </c>
    </row>
    <row r="10" spans="1:41" s="13" customFormat="1" x14ac:dyDescent="0.25">
      <c r="A10" s="13">
        <v>2012</v>
      </c>
      <c r="B10" s="8">
        <v>41097</v>
      </c>
      <c r="C10" s="10" t="s">
        <v>20</v>
      </c>
      <c r="D10" s="9" t="s">
        <v>26</v>
      </c>
      <c r="E10" s="10" t="s">
        <v>3</v>
      </c>
      <c r="F10" s="4" t="s">
        <v>19</v>
      </c>
      <c r="G10" s="4" t="s">
        <v>360</v>
      </c>
      <c r="H10" s="9" t="s">
        <v>16</v>
      </c>
      <c r="I10" s="13">
        <v>83.5</v>
      </c>
      <c r="J10" s="11">
        <v>0.84364040473248758</v>
      </c>
      <c r="K10" s="11">
        <v>1.6135585495497436E-2</v>
      </c>
      <c r="L10" s="6">
        <v>2.3877980388488531</v>
      </c>
      <c r="M10" s="105">
        <v>0.30402813018918967</v>
      </c>
      <c r="N10" s="104">
        <v>2.1</v>
      </c>
      <c r="O10" s="104">
        <v>0.6</v>
      </c>
      <c r="P10" s="104">
        <v>3.4333333333333336</v>
      </c>
      <c r="Q10" s="104">
        <v>0.66583281184793797</v>
      </c>
      <c r="R10" s="16">
        <f t="shared" si="0"/>
        <v>169</v>
      </c>
      <c r="S10" s="11">
        <v>5.36</v>
      </c>
      <c r="T10" s="99">
        <v>3.24</v>
      </c>
      <c r="U10" s="99">
        <v>0</v>
      </c>
      <c r="V10" s="99">
        <v>0.44</v>
      </c>
      <c r="W10" s="99">
        <v>0</v>
      </c>
      <c r="X10" s="99">
        <v>0</v>
      </c>
      <c r="Y10" s="99">
        <v>0.12</v>
      </c>
      <c r="Z10" s="99">
        <v>0.76</v>
      </c>
      <c r="AA10" s="99">
        <v>0.4</v>
      </c>
      <c r="AB10" s="99">
        <v>0.4</v>
      </c>
      <c r="AC10" s="99">
        <v>0</v>
      </c>
      <c r="AD10" s="15">
        <v>6.76</v>
      </c>
      <c r="AE10" s="19">
        <v>4.28</v>
      </c>
      <c r="AF10" s="20">
        <v>0</v>
      </c>
      <c r="AG10" s="19">
        <v>0.64</v>
      </c>
      <c r="AH10" s="20">
        <v>0</v>
      </c>
      <c r="AI10" s="20">
        <v>0</v>
      </c>
      <c r="AJ10" s="19">
        <v>0.12</v>
      </c>
      <c r="AK10" s="19">
        <v>0.92000000000000026</v>
      </c>
      <c r="AL10" s="19">
        <v>0.39999999999999997</v>
      </c>
      <c r="AM10" s="19">
        <v>0.39999999999999997</v>
      </c>
      <c r="AN10" s="20">
        <v>0</v>
      </c>
    </row>
    <row r="11" spans="1:41" s="13" customFormat="1" x14ac:dyDescent="0.25">
      <c r="A11" s="13">
        <v>2012</v>
      </c>
      <c r="B11" s="103">
        <v>41103</v>
      </c>
      <c r="C11" s="10" t="s">
        <v>20</v>
      </c>
      <c r="D11" s="16" t="s">
        <v>26</v>
      </c>
      <c r="E11" s="10" t="s">
        <v>4</v>
      </c>
      <c r="F11" s="4" t="s">
        <v>19</v>
      </c>
      <c r="G11" s="4" t="s">
        <v>360</v>
      </c>
      <c r="H11" s="9" t="s">
        <v>16</v>
      </c>
      <c r="I11" s="13">
        <v>70.2</v>
      </c>
      <c r="J11" s="11">
        <v>0.85609279800518401</v>
      </c>
      <c r="K11" s="11">
        <v>1.4259988558310954E-2</v>
      </c>
      <c r="L11" s="11">
        <v>2.6361194433062534</v>
      </c>
      <c r="M11" s="11">
        <v>0.29458318993381871</v>
      </c>
      <c r="N11" s="11" t="e">
        <v>#N/A</v>
      </c>
      <c r="O11" s="11" t="e">
        <v>#N/A</v>
      </c>
      <c r="P11" s="11">
        <v>5.5666666666666673</v>
      </c>
      <c r="Q11" s="11">
        <v>0.42666666666666669</v>
      </c>
      <c r="R11" s="16">
        <f t="shared" si="0"/>
        <v>186</v>
      </c>
      <c r="S11" s="11">
        <v>5.76</v>
      </c>
      <c r="T11" s="99">
        <v>3.44</v>
      </c>
      <c r="U11" s="99">
        <v>0</v>
      </c>
      <c r="V11" s="99">
        <v>0</v>
      </c>
      <c r="W11" s="99">
        <v>0</v>
      </c>
      <c r="X11" s="99">
        <v>1.5200000000000007</v>
      </c>
      <c r="Y11" s="99">
        <v>0.12</v>
      </c>
      <c r="Z11" s="99">
        <v>0.08</v>
      </c>
      <c r="AA11" s="99">
        <v>0</v>
      </c>
      <c r="AB11" s="99">
        <v>0.04</v>
      </c>
      <c r="AC11" s="18">
        <v>0.55999999999999994</v>
      </c>
      <c r="AD11" s="15">
        <v>7.44</v>
      </c>
      <c r="AE11" s="19">
        <v>4.8</v>
      </c>
      <c r="AF11" s="20">
        <v>0</v>
      </c>
      <c r="AG11" s="20">
        <v>0</v>
      </c>
      <c r="AH11" s="20">
        <v>0</v>
      </c>
      <c r="AI11" s="19">
        <v>1.7600000000000009</v>
      </c>
      <c r="AJ11" s="19">
        <v>0.12</v>
      </c>
      <c r="AK11" s="19">
        <v>0.08</v>
      </c>
      <c r="AL11" s="20">
        <v>0</v>
      </c>
      <c r="AM11" s="19">
        <v>0.04</v>
      </c>
      <c r="AN11" s="19">
        <v>0.64</v>
      </c>
    </row>
    <row r="12" spans="1:41" s="13" customFormat="1" x14ac:dyDescent="0.25">
      <c r="A12" s="13">
        <v>2012</v>
      </c>
      <c r="B12" s="106">
        <v>41103</v>
      </c>
      <c r="C12" s="10" t="s">
        <v>20</v>
      </c>
      <c r="D12" s="107" t="s">
        <v>26</v>
      </c>
      <c r="E12" s="107" t="s">
        <v>5</v>
      </c>
      <c r="F12" s="107" t="s">
        <v>19</v>
      </c>
      <c r="G12" s="4" t="s">
        <v>360</v>
      </c>
      <c r="H12" s="9" t="s">
        <v>16</v>
      </c>
      <c r="I12" s="13">
        <v>91.7</v>
      </c>
      <c r="J12" s="11">
        <v>0.86286843042154615</v>
      </c>
      <c r="K12" s="11">
        <v>9.9694187339200695E-3</v>
      </c>
      <c r="L12" s="11">
        <v>2.7764523698809151</v>
      </c>
      <c r="M12" s="11">
        <v>0.23222888840146028</v>
      </c>
      <c r="N12" s="11" t="e">
        <v>#N/A</v>
      </c>
      <c r="O12" s="11" t="e">
        <v>#N/A</v>
      </c>
      <c r="P12" s="11">
        <v>3.6666666666666665</v>
      </c>
      <c r="Q12" s="11">
        <v>0.55075705472860814</v>
      </c>
      <c r="R12" s="16">
        <f t="shared" si="0"/>
        <v>117.99999999999999</v>
      </c>
      <c r="S12" s="11">
        <v>4.72</v>
      </c>
      <c r="T12" s="99">
        <v>3.4</v>
      </c>
      <c r="U12" s="99">
        <v>0</v>
      </c>
      <c r="V12" s="99">
        <v>0.28000000000000003</v>
      </c>
      <c r="W12" s="99">
        <v>0</v>
      </c>
      <c r="X12" s="99">
        <v>0</v>
      </c>
      <c r="Y12" s="99">
        <v>0.43999999999999995</v>
      </c>
      <c r="Z12" s="99">
        <v>0.39999999999999997</v>
      </c>
      <c r="AA12" s="99">
        <v>0</v>
      </c>
      <c r="AB12" s="99">
        <v>0</v>
      </c>
      <c r="AC12" s="99">
        <v>0.2</v>
      </c>
      <c r="AD12" s="15">
        <v>4.72</v>
      </c>
      <c r="AE12" s="19">
        <v>3.4</v>
      </c>
      <c r="AF12" s="20">
        <v>0</v>
      </c>
      <c r="AG12" s="19">
        <v>0.28000000000000003</v>
      </c>
      <c r="AH12" s="20">
        <v>0</v>
      </c>
      <c r="AI12" s="20">
        <v>0</v>
      </c>
      <c r="AJ12" s="19">
        <v>0.43999999999999995</v>
      </c>
      <c r="AK12" s="19">
        <v>0.39999999999999997</v>
      </c>
      <c r="AL12" s="20">
        <v>0</v>
      </c>
      <c r="AM12" s="20">
        <v>0</v>
      </c>
      <c r="AN12" s="19">
        <v>0.2</v>
      </c>
    </row>
    <row r="13" spans="1:41" s="13" customFormat="1" x14ac:dyDescent="0.25">
      <c r="A13" s="13">
        <v>2012</v>
      </c>
      <c r="B13" s="7">
        <v>41107</v>
      </c>
      <c r="C13" s="10" t="s">
        <v>20</v>
      </c>
      <c r="D13" s="4" t="s">
        <v>26</v>
      </c>
      <c r="E13" s="5" t="s">
        <v>6</v>
      </c>
      <c r="F13" s="4" t="s">
        <v>19</v>
      </c>
      <c r="G13" s="4" t="s">
        <v>360</v>
      </c>
      <c r="H13" s="9" t="s">
        <v>17</v>
      </c>
      <c r="I13" s="13">
        <v>91.9</v>
      </c>
      <c r="J13" s="11">
        <v>0.86451781407000872</v>
      </c>
      <c r="K13" s="11">
        <v>1.2277643878298375E-2</v>
      </c>
      <c r="L13" s="11">
        <v>2.8178598160935189</v>
      </c>
      <c r="M13" s="11">
        <v>0.28109046483493777</v>
      </c>
      <c r="N13" s="11">
        <v>2.8333333333333335</v>
      </c>
      <c r="O13" s="11">
        <v>0.20816659994661674</v>
      </c>
      <c r="P13" s="11">
        <v>3.1666666666666665</v>
      </c>
      <c r="Q13" s="11">
        <v>0.23094010767584913</v>
      </c>
      <c r="R13" s="16">
        <f t="shared" si="0"/>
        <v>183</v>
      </c>
      <c r="S13" s="11">
        <v>4.76</v>
      </c>
      <c r="T13" s="99">
        <v>0</v>
      </c>
      <c r="U13" s="99">
        <v>0</v>
      </c>
      <c r="V13" s="99">
        <v>2.36</v>
      </c>
      <c r="W13" s="99">
        <v>0</v>
      </c>
      <c r="X13" s="99">
        <v>1.4400000000000006</v>
      </c>
      <c r="Y13" s="99">
        <v>0.12</v>
      </c>
      <c r="Z13" s="99">
        <v>0.55999999999999994</v>
      </c>
      <c r="AA13" s="99">
        <v>0</v>
      </c>
      <c r="AB13" s="99">
        <v>0.28000000000000003</v>
      </c>
      <c r="AC13" s="99">
        <v>0</v>
      </c>
      <c r="AD13" s="15">
        <v>7.32</v>
      </c>
      <c r="AE13" s="20">
        <v>0</v>
      </c>
      <c r="AF13" s="20">
        <v>0</v>
      </c>
      <c r="AG13" s="19">
        <v>3.96</v>
      </c>
      <c r="AH13" s="20">
        <v>0</v>
      </c>
      <c r="AI13" s="19">
        <v>1.840000000000001</v>
      </c>
      <c r="AJ13" s="19">
        <v>0.12</v>
      </c>
      <c r="AK13" s="19">
        <v>1.1200000000000003</v>
      </c>
      <c r="AL13" s="20">
        <v>0</v>
      </c>
      <c r="AM13" s="19">
        <v>0.28000000000000003</v>
      </c>
      <c r="AN13" s="20">
        <v>0</v>
      </c>
    </row>
    <row r="14" spans="1:41" s="13" customFormat="1" x14ac:dyDescent="0.25">
      <c r="A14" s="13">
        <v>2012</v>
      </c>
      <c r="B14" s="108">
        <v>41107</v>
      </c>
      <c r="C14" s="10" t="s">
        <v>20</v>
      </c>
      <c r="D14" s="109" t="s">
        <v>26</v>
      </c>
      <c r="E14" s="107" t="s">
        <v>7</v>
      </c>
      <c r="F14" s="109" t="s">
        <v>19</v>
      </c>
      <c r="G14" s="4" t="s">
        <v>360</v>
      </c>
      <c r="H14" s="9" t="s">
        <v>17</v>
      </c>
      <c r="I14" s="13">
        <v>82.8</v>
      </c>
      <c r="J14" s="11">
        <v>0.85301970853996101</v>
      </c>
      <c r="K14" s="11">
        <v>1.1827282721785966E-2</v>
      </c>
      <c r="L14" s="11">
        <v>2.5667892532071077</v>
      </c>
      <c r="M14" s="11">
        <v>0.23619358699696621</v>
      </c>
      <c r="N14" s="11">
        <v>2.6666666666666665</v>
      </c>
      <c r="O14" s="11">
        <v>0.40414518843274105</v>
      </c>
      <c r="P14" s="11">
        <v>3.0333333333333332</v>
      </c>
      <c r="Q14" s="11">
        <v>0.81445278152470924</v>
      </c>
      <c r="R14" s="16">
        <f t="shared" si="0"/>
        <v>113.99999999999999</v>
      </c>
      <c r="S14" s="11">
        <v>4.04</v>
      </c>
      <c r="T14" s="99">
        <v>0</v>
      </c>
      <c r="U14" s="99">
        <v>0</v>
      </c>
      <c r="V14" s="99">
        <v>2.2400000000000011</v>
      </c>
      <c r="W14" s="99">
        <v>0</v>
      </c>
      <c r="X14" s="99">
        <v>1.5200000000000007</v>
      </c>
      <c r="Y14" s="99">
        <v>0.04</v>
      </c>
      <c r="Z14" s="99">
        <v>0.04</v>
      </c>
      <c r="AA14" s="99">
        <v>0.08</v>
      </c>
      <c r="AB14" s="99">
        <v>0.12</v>
      </c>
      <c r="AC14" s="99">
        <v>0</v>
      </c>
      <c r="AD14" s="15">
        <v>4.5599999999999996</v>
      </c>
      <c r="AE14" s="20">
        <v>0</v>
      </c>
      <c r="AF14" s="20">
        <v>0</v>
      </c>
      <c r="AG14" s="19">
        <v>2.6000000000000014</v>
      </c>
      <c r="AH14" s="20">
        <v>0</v>
      </c>
      <c r="AI14" s="19">
        <v>1.6800000000000008</v>
      </c>
      <c r="AJ14" s="19">
        <v>0.04</v>
      </c>
      <c r="AK14" s="19">
        <v>0.04</v>
      </c>
      <c r="AL14" s="19">
        <v>0.08</v>
      </c>
      <c r="AM14" s="19">
        <v>0.12</v>
      </c>
      <c r="AN14" s="20">
        <v>0</v>
      </c>
    </row>
    <row r="15" spans="1:41" s="13" customFormat="1" x14ac:dyDescent="0.25">
      <c r="A15" s="13">
        <v>2012</v>
      </c>
      <c r="B15" s="110">
        <v>41109</v>
      </c>
      <c r="C15" s="10" t="s">
        <v>20</v>
      </c>
      <c r="D15" s="9" t="s">
        <v>15</v>
      </c>
      <c r="E15" s="4" t="s">
        <v>8</v>
      </c>
      <c r="F15" s="4" t="s">
        <v>19</v>
      </c>
      <c r="G15" s="4" t="s">
        <v>360</v>
      </c>
      <c r="H15" s="9" t="s">
        <v>17</v>
      </c>
      <c r="I15" s="13">
        <v>91.9</v>
      </c>
      <c r="J15" s="11">
        <v>0.7811253262731036</v>
      </c>
      <c r="K15" s="11">
        <v>2.6595252435568897E-2</v>
      </c>
      <c r="L15" s="11">
        <v>1.4592787256030144</v>
      </c>
      <c r="M15" s="11">
        <v>0.30287110360386066</v>
      </c>
      <c r="N15" s="11" t="e">
        <v>#N/A</v>
      </c>
      <c r="O15" s="11" t="e">
        <v>#N/A</v>
      </c>
      <c r="P15" s="11">
        <v>2.0666666666666664</v>
      </c>
      <c r="Q15" s="11">
        <v>0.47258156262526302</v>
      </c>
      <c r="R15" s="16">
        <f t="shared" si="0"/>
        <v>100</v>
      </c>
      <c r="S15" s="11">
        <v>3.28</v>
      </c>
      <c r="T15" s="99">
        <v>0.72000000000000008</v>
      </c>
      <c r="U15" s="99">
        <v>0</v>
      </c>
      <c r="V15" s="99">
        <v>1.9600000000000011</v>
      </c>
      <c r="W15" s="99">
        <v>0</v>
      </c>
      <c r="X15" s="99">
        <v>0</v>
      </c>
      <c r="Y15" s="99">
        <v>0.39999999999999997</v>
      </c>
      <c r="Z15" s="99">
        <v>0.2</v>
      </c>
      <c r="AA15" s="99">
        <v>0</v>
      </c>
      <c r="AB15" s="99">
        <v>0</v>
      </c>
      <c r="AC15" s="99">
        <v>0</v>
      </c>
      <c r="AD15" s="15">
        <v>4</v>
      </c>
      <c r="AE15" s="19">
        <v>0.84000000000000019</v>
      </c>
      <c r="AF15" s="20">
        <v>0</v>
      </c>
      <c r="AG15" s="19">
        <v>2.5600000000000014</v>
      </c>
      <c r="AH15" s="20">
        <v>0</v>
      </c>
      <c r="AI15" s="20">
        <v>0</v>
      </c>
      <c r="AJ15" s="19">
        <v>0.39999999999999997</v>
      </c>
      <c r="AK15" s="19">
        <v>0.2</v>
      </c>
      <c r="AL15" s="20">
        <v>0</v>
      </c>
      <c r="AM15" s="20">
        <v>0</v>
      </c>
      <c r="AN15" s="20">
        <v>0</v>
      </c>
    </row>
    <row r="16" spans="1:41" s="13" customFormat="1" x14ac:dyDescent="0.25">
      <c r="A16" s="13">
        <v>2012</v>
      </c>
      <c r="B16" s="7">
        <v>41109</v>
      </c>
      <c r="C16" s="10" t="s">
        <v>20</v>
      </c>
      <c r="D16" s="9" t="s">
        <v>15</v>
      </c>
      <c r="E16" s="5" t="s">
        <v>9</v>
      </c>
      <c r="F16" s="4" t="s">
        <v>19</v>
      </c>
      <c r="G16" s="4" t="s">
        <v>360</v>
      </c>
      <c r="H16" s="9" t="s">
        <v>16</v>
      </c>
      <c r="I16" s="13">
        <v>90.8</v>
      </c>
      <c r="J16" s="11">
        <v>0.82054692884644509</v>
      </c>
      <c r="K16" s="11">
        <v>1.109509986355748E-2</v>
      </c>
      <c r="L16" s="11">
        <v>1.9735185648792368</v>
      </c>
      <c r="M16" s="11">
        <v>0.17115935201871246</v>
      </c>
      <c r="N16" s="11" t="e">
        <v>#N/A</v>
      </c>
      <c r="O16" s="11" t="e">
        <v>#N/A</v>
      </c>
      <c r="P16" s="11">
        <v>3.2000000000000006</v>
      </c>
      <c r="Q16" s="11">
        <v>9.9999999999981173E-2</v>
      </c>
      <c r="R16" s="16">
        <f t="shared" si="0"/>
        <v>121</v>
      </c>
      <c r="S16" s="11">
        <v>3.12</v>
      </c>
      <c r="T16" s="99">
        <v>2.0000000000000009</v>
      </c>
      <c r="U16" s="99">
        <v>0</v>
      </c>
      <c r="V16" s="99">
        <v>0.84000000000000019</v>
      </c>
      <c r="W16" s="99">
        <v>0</v>
      </c>
      <c r="X16" s="99">
        <v>0</v>
      </c>
      <c r="Y16" s="99">
        <v>0.16</v>
      </c>
      <c r="Z16" s="99">
        <v>0.12</v>
      </c>
      <c r="AA16" s="99">
        <v>0</v>
      </c>
      <c r="AB16" s="99">
        <v>0</v>
      </c>
      <c r="AC16" s="99">
        <v>0</v>
      </c>
      <c r="AD16" s="15">
        <v>4.84</v>
      </c>
      <c r="AE16" s="19">
        <v>3.28</v>
      </c>
      <c r="AF16" s="20">
        <v>0</v>
      </c>
      <c r="AG16" s="19">
        <v>1.2800000000000005</v>
      </c>
      <c r="AH16" s="20">
        <v>0</v>
      </c>
      <c r="AI16" s="20">
        <v>0</v>
      </c>
      <c r="AJ16" s="19">
        <v>0.16</v>
      </c>
      <c r="AK16" s="19">
        <v>0.12</v>
      </c>
      <c r="AL16" s="20">
        <v>0</v>
      </c>
      <c r="AM16" s="20">
        <v>0</v>
      </c>
      <c r="AN16" s="20">
        <v>0</v>
      </c>
    </row>
    <row r="17" spans="1:41" s="13" customFormat="1" x14ac:dyDescent="0.25">
      <c r="A17" s="13">
        <v>2012</v>
      </c>
      <c r="B17" s="110">
        <v>41117</v>
      </c>
      <c r="C17" s="10" t="s">
        <v>20</v>
      </c>
      <c r="D17" s="9" t="s">
        <v>15</v>
      </c>
      <c r="E17" s="16" t="s">
        <v>10</v>
      </c>
      <c r="F17" s="16" t="s">
        <v>19</v>
      </c>
      <c r="G17" s="4" t="s">
        <v>360</v>
      </c>
      <c r="H17" s="16" t="s">
        <v>16</v>
      </c>
      <c r="I17" s="13">
        <v>124.4</v>
      </c>
      <c r="J17" s="11">
        <v>0.82718975981087373</v>
      </c>
      <c r="K17" s="11">
        <v>1.5622400979715212E-2</v>
      </c>
      <c r="L17" s="11">
        <v>2.0901648747023129</v>
      </c>
      <c r="M17" s="11">
        <v>0.27102095092202566</v>
      </c>
      <c r="N17" s="11" t="e">
        <v>#N/A</v>
      </c>
      <c r="O17" s="11" t="e">
        <v>#N/A</v>
      </c>
      <c r="P17" s="11">
        <v>3.1333333333333333</v>
      </c>
      <c r="Q17" s="11">
        <v>0.25166114784235682</v>
      </c>
      <c r="R17" s="16">
        <f t="shared" si="0"/>
        <v>157</v>
      </c>
      <c r="S17" s="11">
        <v>6.28</v>
      </c>
      <c r="T17" s="99">
        <v>4.8</v>
      </c>
      <c r="U17" s="99">
        <v>0</v>
      </c>
      <c r="V17" s="99">
        <v>0.51999999999999991</v>
      </c>
      <c r="W17" s="99">
        <v>0</v>
      </c>
      <c r="X17" s="99">
        <v>0</v>
      </c>
      <c r="Y17" s="99">
        <v>0.55999999999999994</v>
      </c>
      <c r="Z17" s="99">
        <v>0.32</v>
      </c>
      <c r="AA17" s="99">
        <v>0</v>
      </c>
      <c r="AB17" s="99">
        <v>0.08</v>
      </c>
      <c r="AC17" s="99">
        <v>0</v>
      </c>
      <c r="AD17" s="15">
        <v>6.28</v>
      </c>
      <c r="AE17" s="19">
        <v>4.8</v>
      </c>
      <c r="AF17" s="20">
        <v>0</v>
      </c>
      <c r="AG17" s="19">
        <v>0.51999999999999991</v>
      </c>
      <c r="AH17" s="20">
        <v>0</v>
      </c>
      <c r="AI17" s="20">
        <v>0</v>
      </c>
      <c r="AJ17" s="19">
        <v>0.55999999999999994</v>
      </c>
      <c r="AK17" s="19">
        <v>0.32</v>
      </c>
      <c r="AL17" s="20">
        <v>0</v>
      </c>
      <c r="AM17" s="19">
        <v>0.08</v>
      </c>
      <c r="AN17" s="20">
        <v>0</v>
      </c>
    </row>
    <row r="18" spans="1:41" s="13" customFormat="1" x14ac:dyDescent="0.25">
      <c r="A18" s="13">
        <v>2012</v>
      </c>
      <c r="B18" s="110">
        <v>41124</v>
      </c>
      <c r="C18" s="10" t="s">
        <v>20</v>
      </c>
      <c r="D18" s="16" t="s">
        <v>15</v>
      </c>
      <c r="E18" s="16" t="s">
        <v>11</v>
      </c>
      <c r="F18" s="16" t="s">
        <v>18</v>
      </c>
      <c r="G18" s="4" t="s">
        <v>360</v>
      </c>
      <c r="H18" s="9" t="s">
        <v>17</v>
      </c>
      <c r="I18" s="13">
        <v>137.69999999999999</v>
      </c>
      <c r="J18" s="11">
        <v>0.71350441202089065</v>
      </c>
      <c r="K18" s="11">
        <v>1.8771545164349233E-2</v>
      </c>
      <c r="L18" s="11">
        <v>0.83692649395168417</v>
      </c>
      <c r="M18" s="11">
        <v>0.12879111276753732</v>
      </c>
      <c r="N18" s="11">
        <v>3.9666666666666668</v>
      </c>
      <c r="O18" s="11">
        <v>0.64291005073286145</v>
      </c>
      <c r="P18" s="11">
        <v>5.2333333333333334</v>
      </c>
      <c r="Q18" s="11">
        <v>0.32145502536644038</v>
      </c>
      <c r="R18" s="16">
        <f t="shared" si="0"/>
        <v>142</v>
      </c>
      <c r="S18" s="11">
        <v>4.92</v>
      </c>
      <c r="T18" s="99">
        <v>0.16</v>
      </c>
      <c r="U18" s="99">
        <v>0.6</v>
      </c>
      <c r="V18" s="99">
        <v>2.88</v>
      </c>
      <c r="W18" s="99">
        <v>0</v>
      </c>
      <c r="X18" s="99">
        <v>0</v>
      </c>
      <c r="Y18" s="99">
        <v>1.2400000000000004</v>
      </c>
      <c r="Z18" s="99">
        <v>0.04</v>
      </c>
      <c r="AA18" s="99">
        <v>0</v>
      </c>
      <c r="AB18" s="99">
        <v>0</v>
      </c>
      <c r="AC18" s="99">
        <v>0</v>
      </c>
      <c r="AD18" s="15">
        <v>5.68</v>
      </c>
      <c r="AE18" s="19">
        <v>0.16</v>
      </c>
      <c r="AF18" s="19">
        <v>0.64</v>
      </c>
      <c r="AG18" s="19">
        <v>3.56</v>
      </c>
      <c r="AH18" s="20">
        <v>0</v>
      </c>
      <c r="AI18" s="20">
        <v>0</v>
      </c>
      <c r="AJ18" s="19">
        <v>1.2400000000000004</v>
      </c>
      <c r="AK18" s="19">
        <v>0.08</v>
      </c>
      <c r="AL18" s="20">
        <v>0</v>
      </c>
      <c r="AM18" s="20">
        <v>0</v>
      </c>
      <c r="AN18" s="20">
        <v>0</v>
      </c>
      <c r="AO18" s="1" t="s">
        <v>364</v>
      </c>
    </row>
    <row r="19" spans="1:41" s="13" customFormat="1" x14ac:dyDescent="0.25">
      <c r="A19" s="13">
        <v>2012</v>
      </c>
      <c r="B19" s="103">
        <v>41134</v>
      </c>
      <c r="C19" s="10" t="s">
        <v>20</v>
      </c>
      <c r="D19" s="16" t="s">
        <v>15</v>
      </c>
      <c r="E19" s="16" t="s">
        <v>12</v>
      </c>
      <c r="F19" s="16" t="s">
        <v>19</v>
      </c>
      <c r="G19" s="4" t="s">
        <v>360</v>
      </c>
      <c r="H19" s="16" t="s">
        <v>16</v>
      </c>
      <c r="I19" s="13">
        <v>100.3</v>
      </c>
      <c r="J19" s="11">
        <v>0.72746452405814288</v>
      </c>
      <c r="K19" s="11">
        <v>1.9673963954886922E-2</v>
      </c>
      <c r="L19" s="11">
        <v>0.93736886184561874</v>
      </c>
      <c r="M19" s="11">
        <v>0.14586005677413572</v>
      </c>
      <c r="N19" s="11">
        <v>2</v>
      </c>
      <c r="O19" s="11">
        <v>0.36055512754639879</v>
      </c>
      <c r="P19" s="11">
        <v>2.2333333333333329</v>
      </c>
      <c r="Q19" s="11">
        <v>0.23094010767585296</v>
      </c>
      <c r="R19" s="16">
        <f t="shared" si="0"/>
        <v>107</v>
      </c>
      <c r="S19" s="16">
        <v>3.36</v>
      </c>
      <c r="T19" s="99">
        <v>2.6400000000000015</v>
      </c>
      <c r="U19" s="99">
        <v>0</v>
      </c>
      <c r="V19" s="99">
        <v>0</v>
      </c>
      <c r="W19" s="99">
        <v>0</v>
      </c>
      <c r="X19" s="99">
        <v>0.04</v>
      </c>
      <c r="Y19" s="99">
        <v>0.36</v>
      </c>
      <c r="Z19" s="99">
        <v>0.32</v>
      </c>
      <c r="AA19" s="99">
        <v>0</v>
      </c>
      <c r="AB19" s="99">
        <v>0</v>
      </c>
      <c r="AC19" s="99">
        <v>0</v>
      </c>
      <c r="AD19" s="15">
        <v>4.28</v>
      </c>
      <c r="AE19" s="19">
        <v>3.52</v>
      </c>
      <c r="AF19" s="20">
        <v>0</v>
      </c>
      <c r="AG19" s="20">
        <v>0</v>
      </c>
      <c r="AH19" s="20">
        <v>0</v>
      </c>
      <c r="AI19" s="19">
        <v>0.04</v>
      </c>
      <c r="AJ19" s="19">
        <v>0.36</v>
      </c>
      <c r="AK19" s="19">
        <v>0.36</v>
      </c>
      <c r="AL19" s="20">
        <v>0</v>
      </c>
      <c r="AM19" s="20">
        <v>0</v>
      </c>
      <c r="AN19" s="20">
        <v>0</v>
      </c>
      <c r="AO19" s="1" t="s">
        <v>364</v>
      </c>
    </row>
    <row r="20" spans="1:41" s="13" customFormat="1" x14ac:dyDescent="0.25">
      <c r="A20" s="13">
        <v>2012</v>
      </c>
      <c r="B20" s="110">
        <v>41128</v>
      </c>
      <c r="C20" s="10" t="s">
        <v>20</v>
      </c>
      <c r="D20" s="109" t="s">
        <v>26</v>
      </c>
      <c r="E20" s="16" t="s">
        <v>13</v>
      </c>
      <c r="F20" s="16" t="s">
        <v>18</v>
      </c>
      <c r="G20" s="4" t="s">
        <v>360</v>
      </c>
      <c r="H20" s="16" t="s">
        <v>16</v>
      </c>
      <c r="I20" s="13">
        <v>91.8</v>
      </c>
      <c r="J20" s="11">
        <v>0.80930561388241939</v>
      </c>
      <c r="K20" s="11">
        <v>2.1063870305333569E-2</v>
      </c>
      <c r="L20" s="11">
        <v>1.8187961773657193</v>
      </c>
      <c r="M20" s="11">
        <v>0.30003575983312458</v>
      </c>
      <c r="N20" s="11" t="e">
        <v>#N/A</v>
      </c>
      <c r="O20" s="11" t="e">
        <v>#N/A</v>
      </c>
      <c r="P20" s="11">
        <v>4</v>
      </c>
      <c r="Q20" s="11">
        <v>0.69282032302755381</v>
      </c>
      <c r="R20" s="16">
        <f t="shared" si="0"/>
        <v>181</v>
      </c>
      <c r="S20" s="11">
        <v>5.6</v>
      </c>
      <c r="T20" s="99">
        <v>2.84</v>
      </c>
      <c r="U20" s="99">
        <v>0.16</v>
      </c>
      <c r="V20" s="99">
        <v>0.47999999999999993</v>
      </c>
      <c r="W20" s="99">
        <v>0</v>
      </c>
      <c r="X20" s="99">
        <v>0</v>
      </c>
      <c r="Y20" s="99">
        <v>0.16</v>
      </c>
      <c r="Z20" s="99">
        <v>1.0400000000000003</v>
      </c>
      <c r="AA20" s="99">
        <v>0</v>
      </c>
      <c r="AB20" s="99">
        <v>0</v>
      </c>
      <c r="AC20" s="18">
        <v>0.92000000000000026</v>
      </c>
      <c r="AD20" s="15">
        <v>7.24</v>
      </c>
      <c r="AE20" s="19">
        <v>3.96</v>
      </c>
      <c r="AF20" s="19">
        <v>0.24000000000000002</v>
      </c>
      <c r="AG20" s="19">
        <v>0.80000000000000016</v>
      </c>
      <c r="AH20" s="20">
        <v>0</v>
      </c>
      <c r="AI20" s="20">
        <v>0</v>
      </c>
      <c r="AJ20" s="19">
        <v>0.16</v>
      </c>
      <c r="AK20" s="19">
        <v>1.0800000000000003</v>
      </c>
      <c r="AL20" s="20">
        <v>0</v>
      </c>
      <c r="AM20" s="20">
        <v>0</v>
      </c>
      <c r="AN20" s="19">
        <v>1.0000000000000002</v>
      </c>
    </row>
  </sheetData>
  <phoneticPr fontId="21" type="noConversion"/>
  <dataValidations count="5">
    <dataValidation type="list" allowBlank="1" showInputMessage="1" showErrorMessage="1" sqref="L2:M2 E15:E16 E8:E11 E3:E6 E13 L9:M9 L6">
      <formula1>SampleID</formula1>
    </dataValidation>
    <dataValidation type="list" allowBlank="1" showInputMessage="1" showErrorMessage="1" sqref="F13 F15:F16 F2:F11">
      <formula1>Treatment</formula1>
    </dataValidation>
    <dataValidation type="list" allowBlank="1" showInputMessage="1" showErrorMessage="1" sqref="H16 H8:H12 H2:H6">
      <formula1>DomVeg</formula1>
    </dataValidation>
    <dataValidation type="list" allowBlank="1" showInputMessage="1" showErrorMessage="1" sqref="D3:D6 D8:D10 D13">
      <formula1>Group</formula1>
    </dataValidation>
    <dataValidation type="list" allowBlank="1" showInputMessage="1" showErrorMessage="1" sqref="C8:C20 C3:C6">
      <formula1>Site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21"/>
    <col min="2" max="2" width="26.5703125" style="121" customWidth="1"/>
    <col min="3" max="3" width="51.85546875" style="121" customWidth="1"/>
    <col min="4" max="4" width="11.7109375" style="121" customWidth="1"/>
    <col min="5" max="5" width="13.85546875" style="121" customWidth="1"/>
    <col min="6" max="257" width="9.140625" style="121"/>
    <col min="258" max="258" width="26.5703125" style="121" customWidth="1"/>
    <col min="259" max="259" width="51.85546875" style="121" customWidth="1"/>
    <col min="260" max="260" width="11.7109375" style="121" customWidth="1"/>
    <col min="261" max="261" width="13.85546875" style="121" customWidth="1"/>
    <col min="262" max="513" width="9.140625" style="121"/>
    <col min="514" max="514" width="26.5703125" style="121" customWidth="1"/>
    <col min="515" max="515" width="51.85546875" style="121" customWidth="1"/>
    <col min="516" max="516" width="11.7109375" style="121" customWidth="1"/>
    <col min="517" max="517" width="13.85546875" style="121" customWidth="1"/>
    <col min="518" max="769" width="9.140625" style="121"/>
    <col min="770" max="770" width="26.5703125" style="121" customWidth="1"/>
    <col min="771" max="771" width="51.85546875" style="121" customWidth="1"/>
    <col min="772" max="772" width="11.7109375" style="121" customWidth="1"/>
    <col min="773" max="773" width="13.85546875" style="121" customWidth="1"/>
    <col min="774" max="1025" width="9.140625" style="121"/>
    <col min="1026" max="1026" width="26.5703125" style="121" customWidth="1"/>
    <col min="1027" max="1027" width="51.85546875" style="121" customWidth="1"/>
    <col min="1028" max="1028" width="11.7109375" style="121" customWidth="1"/>
    <col min="1029" max="1029" width="13.85546875" style="121" customWidth="1"/>
    <col min="1030" max="1281" width="9.140625" style="121"/>
    <col min="1282" max="1282" width="26.5703125" style="121" customWidth="1"/>
    <col min="1283" max="1283" width="51.85546875" style="121" customWidth="1"/>
    <col min="1284" max="1284" width="11.7109375" style="121" customWidth="1"/>
    <col min="1285" max="1285" width="13.85546875" style="121" customWidth="1"/>
    <col min="1286" max="1537" width="9.140625" style="121"/>
    <col min="1538" max="1538" width="26.5703125" style="121" customWidth="1"/>
    <col min="1539" max="1539" width="51.85546875" style="121" customWidth="1"/>
    <col min="1540" max="1540" width="11.7109375" style="121" customWidth="1"/>
    <col min="1541" max="1541" width="13.85546875" style="121" customWidth="1"/>
    <col min="1542" max="1793" width="9.140625" style="121"/>
    <col min="1794" max="1794" width="26.5703125" style="121" customWidth="1"/>
    <col min="1795" max="1795" width="51.85546875" style="121" customWidth="1"/>
    <col min="1796" max="1796" width="11.7109375" style="121" customWidth="1"/>
    <col min="1797" max="1797" width="13.85546875" style="121" customWidth="1"/>
    <col min="1798" max="2049" width="9.140625" style="121"/>
    <col min="2050" max="2050" width="26.5703125" style="121" customWidth="1"/>
    <col min="2051" max="2051" width="51.85546875" style="121" customWidth="1"/>
    <col min="2052" max="2052" width="11.7109375" style="121" customWidth="1"/>
    <col min="2053" max="2053" width="13.85546875" style="121" customWidth="1"/>
    <col min="2054" max="2305" width="9.140625" style="121"/>
    <col min="2306" max="2306" width="26.5703125" style="121" customWidth="1"/>
    <col min="2307" max="2307" width="51.85546875" style="121" customWidth="1"/>
    <col min="2308" max="2308" width="11.7109375" style="121" customWidth="1"/>
    <col min="2309" max="2309" width="13.85546875" style="121" customWidth="1"/>
    <col min="2310" max="2561" width="9.140625" style="121"/>
    <col min="2562" max="2562" width="26.5703125" style="121" customWidth="1"/>
    <col min="2563" max="2563" width="51.85546875" style="121" customWidth="1"/>
    <col min="2564" max="2564" width="11.7109375" style="121" customWidth="1"/>
    <col min="2565" max="2565" width="13.85546875" style="121" customWidth="1"/>
    <col min="2566" max="2817" width="9.140625" style="121"/>
    <col min="2818" max="2818" width="26.5703125" style="121" customWidth="1"/>
    <col min="2819" max="2819" width="51.85546875" style="121" customWidth="1"/>
    <col min="2820" max="2820" width="11.7109375" style="121" customWidth="1"/>
    <col min="2821" max="2821" width="13.85546875" style="121" customWidth="1"/>
    <col min="2822" max="3073" width="9.140625" style="121"/>
    <col min="3074" max="3074" width="26.5703125" style="121" customWidth="1"/>
    <col min="3075" max="3075" width="51.85546875" style="121" customWidth="1"/>
    <col min="3076" max="3076" width="11.7109375" style="121" customWidth="1"/>
    <col min="3077" max="3077" width="13.85546875" style="121" customWidth="1"/>
    <col min="3078" max="3329" width="9.140625" style="121"/>
    <col min="3330" max="3330" width="26.5703125" style="121" customWidth="1"/>
    <col min="3331" max="3331" width="51.85546875" style="121" customWidth="1"/>
    <col min="3332" max="3332" width="11.7109375" style="121" customWidth="1"/>
    <col min="3333" max="3333" width="13.85546875" style="121" customWidth="1"/>
    <col min="3334" max="3585" width="9.140625" style="121"/>
    <col min="3586" max="3586" width="26.5703125" style="121" customWidth="1"/>
    <col min="3587" max="3587" width="51.85546875" style="121" customWidth="1"/>
    <col min="3588" max="3588" width="11.7109375" style="121" customWidth="1"/>
    <col min="3589" max="3589" width="13.85546875" style="121" customWidth="1"/>
    <col min="3590" max="3841" width="9.140625" style="121"/>
    <col min="3842" max="3842" width="26.5703125" style="121" customWidth="1"/>
    <col min="3843" max="3843" width="51.85546875" style="121" customWidth="1"/>
    <col min="3844" max="3844" width="11.7109375" style="121" customWidth="1"/>
    <col min="3845" max="3845" width="13.85546875" style="121" customWidth="1"/>
    <col min="3846" max="4097" width="9.140625" style="121"/>
    <col min="4098" max="4098" width="26.5703125" style="121" customWidth="1"/>
    <col min="4099" max="4099" width="51.85546875" style="121" customWidth="1"/>
    <col min="4100" max="4100" width="11.7109375" style="121" customWidth="1"/>
    <col min="4101" max="4101" width="13.85546875" style="121" customWidth="1"/>
    <col min="4102" max="4353" width="9.140625" style="121"/>
    <col min="4354" max="4354" width="26.5703125" style="121" customWidth="1"/>
    <col min="4355" max="4355" width="51.85546875" style="121" customWidth="1"/>
    <col min="4356" max="4356" width="11.7109375" style="121" customWidth="1"/>
    <col min="4357" max="4357" width="13.85546875" style="121" customWidth="1"/>
    <col min="4358" max="4609" width="9.140625" style="121"/>
    <col min="4610" max="4610" width="26.5703125" style="121" customWidth="1"/>
    <col min="4611" max="4611" width="51.85546875" style="121" customWidth="1"/>
    <col min="4612" max="4612" width="11.7109375" style="121" customWidth="1"/>
    <col min="4613" max="4613" width="13.85546875" style="121" customWidth="1"/>
    <col min="4614" max="4865" width="9.140625" style="121"/>
    <col min="4866" max="4866" width="26.5703125" style="121" customWidth="1"/>
    <col min="4867" max="4867" width="51.85546875" style="121" customWidth="1"/>
    <col min="4868" max="4868" width="11.7109375" style="121" customWidth="1"/>
    <col min="4869" max="4869" width="13.85546875" style="121" customWidth="1"/>
    <col min="4870" max="5121" width="9.140625" style="121"/>
    <col min="5122" max="5122" width="26.5703125" style="121" customWidth="1"/>
    <col min="5123" max="5123" width="51.85546875" style="121" customWidth="1"/>
    <col min="5124" max="5124" width="11.7109375" style="121" customWidth="1"/>
    <col min="5125" max="5125" width="13.85546875" style="121" customWidth="1"/>
    <col min="5126" max="5377" width="9.140625" style="121"/>
    <col min="5378" max="5378" width="26.5703125" style="121" customWidth="1"/>
    <col min="5379" max="5379" width="51.85546875" style="121" customWidth="1"/>
    <col min="5380" max="5380" width="11.7109375" style="121" customWidth="1"/>
    <col min="5381" max="5381" width="13.85546875" style="121" customWidth="1"/>
    <col min="5382" max="5633" width="9.140625" style="121"/>
    <col min="5634" max="5634" width="26.5703125" style="121" customWidth="1"/>
    <col min="5635" max="5635" width="51.85546875" style="121" customWidth="1"/>
    <col min="5636" max="5636" width="11.7109375" style="121" customWidth="1"/>
    <col min="5637" max="5637" width="13.85546875" style="121" customWidth="1"/>
    <col min="5638" max="5889" width="9.140625" style="121"/>
    <col min="5890" max="5890" width="26.5703125" style="121" customWidth="1"/>
    <col min="5891" max="5891" width="51.85546875" style="121" customWidth="1"/>
    <col min="5892" max="5892" width="11.7109375" style="121" customWidth="1"/>
    <col min="5893" max="5893" width="13.85546875" style="121" customWidth="1"/>
    <col min="5894" max="6145" width="9.140625" style="121"/>
    <col min="6146" max="6146" width="26.5703125" style="121" customWidth="1"/>
    <col min="6147" max="6147" width="51.85546875" style="121" customWidth="1"/>
    <col min="6148" max="6148" width="11.7109375" style="121" customWidth="1"/>
    <col min="6149" max="6149" width="13.85546875" style="121" customWidth="1"/>
    <col min="6150" max="6401" width="9.140625" style="121"/>
    <col min="6402" max="6402" width="26.5703125" style="121" customWidth="1"/>
    <col min="6403" max="6403" width="51.85546875" style="121" customWidth="1"/>
    <col min="6404" max="6404" width="11.7109375" style="121" customWidth="1"/>
    <col min="6405" max="6405" width="13.85546875" style="121" customWidth="1"/>
    <col min="6406" max="6657" width="9.140625" style="121"/>
    <col min="6658" max="6658" width="26.5703125" style="121" customWidth="1"/>
    <col min="6659" max="6659" width="51.85546875" style="121" customWidth="1"/>
    <col min="6660" max="6660" width="11.7109375" style="121" customWidth="1"/>
    <col min="6661" max="6661" width="13.85546875" style="121" customWidth="1"/>
    <col min="6662" max="6913" width="9.140625" style="121"/>
    <col min="6914" max="6914" width="26.5703125" style="121" customWidth="1"/>
    <col min="6915" max="6915" width="51.85546875" style="121" customWidth="1"/>
    <col min="6916" max="6916" width="11.7109375" style="121" customWidth="1"/>
    <col min="6917" max="6917" width="13.85546875" style="121" customWidth="1"/>
    <col min="6918" max="7169" width="9.140625" style="121"/>
    <col min="7170" max="7170" width="26.5703125" style="121" customWidth="1"/>
    <col min="7171" max="7171" width="51.85546875" style="121" customWidth="1"/>
    <col min="7172" max="7172" width="11.7109375" style="121" customWidth="1"/>
    <col min="7173" max="7173" width="13.85546875" style="121" customWidth="1"/>
    <col min="7174" max="7425" width="9.140625" style="121"/>
    <col min="7426" max="7426" width="26.5703125" style="121" customWidth="1"/>
    <col min="7427" max="7427" width="51.85546875" style="121" customWidth="1"/>
    <col min="7428" max="7428" width="11.7109375" style="121" customWidth="1"/>
    <col min="7429" max="7429" width="13.85546875" style="121" customWidth="1"/>
    <col min="7430" max="7681" width="9.140625" style="121"/>
    <col min="7682" max="7682" width="26.5703125" style="121" customWidth="1"/>
    <col min="7683" max="7683" width="51.85546875" style="121" customWidth="1"/>
    <col min="7684" max="7684" width="11.7109375" style="121" customWidth="1"/>
    <col min="7685" max="7685" width="13.85546875" style="121" customWidth="1"/>
    <col min="7686" max="7937" width="9.140625" style="121"/>
    <col min="7938" max="7938" width="26.5703125" style="121" customWidth="1"/>
    <col min="7939" max="7939" width="51.85546875" style="121" customWidth="1"/>
    <col min="7940" max="7940" width="11.7109375" style="121" customWidth="1"/>
    <col min="7941" max="7941" width="13.85546875" style="121" customWidth="1"/>
    <col min="7942" max="8193" width="9.140625" style="121"/>
    <col min="8194" max="8194" width="26.5703125" style="121" customWidth="1"/>
    <col min="8195" max="8195" width="51.85546875" style="121" customWidth="1"/>
    <col min="8196" max="8196" width="11.7109375" style="121" customWidth="1"/>
    <col min="8197" max="8197" width="13.85546875" style="121" customWidth="1"/>
    <col min="8198" max="8449" width="9.140625" style="121"/>
    <col min="8450" max="8450" width="26.5703125" style="121" customWidth="1"/>
    <col min="8451" max="8451" width="51.85546875" style="121" customWidth="1"/>
    <col min="8452" max="8452" width="11.7109375" style="121" customWidth="1"/>
    <col min="8453" max="8453" width="13.85546875" style="121" customWidth="1"/>
    <col min="8454" max="8705" width="9.140625" style="121"/>
    <col min="8706" max="8706" width="26.5703125" style="121" customWidth="1"/>
    <col min="8707" max="8707" width="51.85546875" style="121" customWidth="1"/>
    <col min="8708" max="8708" width="11.7109375" style="121" customWidth="1"/>
    <col min="8709" max="8709" width="13.85546875" style="121" customWidth="1"/>
    <col min="8710" max="8961" width="9.140625" style="121"/>
    <col min="8962" max="8962" width="26.5703125" style="121" customWidth="1"/>
    <col min="8963" max="8963" width="51.85546875" style="121" customWidth="1"/>
    <col min="8964" max="8964" width="11.7109375" style="121" customWidth="1"/>
    <col min="8965" max="8965" width="13.85546875" style="121" customWidth="1"/>
    <col min="8966" max="9217" width="9.140625" style="121"/>
    <col min="9218" max="9218" width="26.5703125" style="121" customWidth="1"/>
    <col min="9219" max="9219" width="51.85546875" style="121" customWidth="1"/>
    <col min="9220" max="9220" width="11.7109375" style="121" customWidth="1"/>
    <col min="9221" max="9221" width="13.85546875" style="121" customWidth="1"/>
    <col min="9222" max="9473" width="9.140625" style="121"/>
    <col min="9474" max="9474" width="26.5703125" style="121" customWidth="1"/>
    <col min="9475" max="9475" width="51.85546875" style="121" customWidth="1"/>
    <col min="9476" max="9476" width="11.7109375" style="121" customWidth="1"/>
    <col min="9477" max="9477" width="13.85546875" style="121" customWidth="1"/>
    <col min="9478" max="9729" width="9.140625" style="121"/>
    <col min="9730" max="9730" width="26.5703125" style="121" customWidth="1"/>
    <col min="9731" max="9731" width="51.85546875" style="121" customWidth="1"/>
    <col min="9732" max="9732" width="11.7109375" style="121" customWidth="1"/>
    <col min="9733" max="9733" width="13.85546875" style="121" customWidth="1"/>
    <col min="9734" max="9985" width="9.140625" style="121"/>
    <col min="9986" max="9986" width="26.5703125" style="121" customWidth="1"/>
    <col min="9987" max="9987" width="51.85546875" style="121" customWidth="1"/>
    <col min="9988" max="9988" width="11.7109375" style="121" customWidth="1"/>
    <col min="9989" max="9989" width="13.85546875" style="121" customWidth="1"/>
    <col min="9990" max="10241" width="9.140625" style="121"/>
    <col min="10242" max="10242" width="26.5703125" style="121" customWidth="1"/>
    <col min="10243" max="10243" width="51.85546875" style="121" customWidth="1"/>
    <col min="10244" max="10244" width="11.7109375" style="121" customWidth="1"/>
    <col min="10245" max="10245" width="13.85546875" style="121" customWidth="1"/>
    <col min="10246" max="10497" width="9.140625" style="121"/>
    <col min="10498" max="10498" width="26.5703125" style="121" customWidth="1"/>
    <col min="10499" max="10499" width="51.85546875" style="121" customWidth="1"/>
    <col min="10500" max="10500" width="11.7109375" style="121" customWidth="1"/>
    <col min="10501" max="10501" width="13.85546875" style="121" customWidth="1"/>
    <col min="10502" max="10753" width="9.140625" style="121"/>
    <col min="10754" max="10754" width="26.5703125" style="121" customWidth="1"/>
    <col min="10755" max="10755" width="51.85546875" style="121" customWidth="1"/>
    <col min="10756" max="10756" width="11.7109375" style="121" customWidth="1"/>
    <col min="10757" max="10757" width="13.85546875" style="121" customWidth="1"/>
    <col min="10758" max="11009" width="9.140625" style="121"/>
    <col min="11010" max="11010" width="26.5703125" style="121" customWidth="1"/>
    <col min="11011" max="11011" width="51.85546875" style="121" customWidth="1"/>
    <col min="11012" max="11012" width="11.7109375" style="121" customWidth="1"/>
    <col min="11013" max="11013" width="13.85546875" style="121" customWidth="1"/>
    <col min="11014" max="11265" width="9.140625" style="121"/>
    <col min="11266" max="11266" width="26.5703125" style="121" customWidth="1"/>
    <col min="11267" max="11267" width="51.85546875" style="121" customWidth="1"/>
    <col min="11268" max="11268" width="11.7109375" style="121" customWidth="1"/>
    <col min="11269" max="11269" width="13.85546875" style="121" customWidth="1"/>
    <col min="11270" max="11521" width="9.140625" style="121"/>
    <col min="11522" max="11522" width="26.5703125" style="121" customWidth="1"/>
    <col min="11523" max="11523" width="51.85546875" style="121" customWidth="1"/>
    <col min="11524" max="11524" width="11.7109375" style="121" customWidth="1"/>
    <col min="11525" max="11525" width="13.85546875" style="121" customWidth="1"/>
    <col min="11526" max="11777" width="9.140625" style="121"/>
    <col min="11778" max="11778" width="26.5703125" style="121" customWidth="1"/>
    <col min="11779" max="11779" width="51.85546875" style="121" customWidth="1"/>
    <col min="11780" max="11780" width="11.7109375" style="121" customWidth="1"/>
    <col min="11781" max="11781" width="13.85546875" style="121" customWidth="1"/>
    <col min="11782" max="12033" width="9.140625" style="121"/>
    <col min="12034" max="12034" width="26.5703125" style="121" customWidth="1"/>
    <col min="12035" max="12035" width="51.85546875" style="121" customWidth="1"/>
    <col min="12036" max="12036" width="11.7109375" style="121" customWidth="1"/>
    <col min="12037" max="12037" width="13.85546875" style="121" customWidth="1"/>
    <col min="12038" max="12289" width="9.140625" style="121"/>
    <col min="12290" max="12290" width="26.5703125" style="121" customWidth="1"/>
    <col min="12291" max="12291" width="51.85546875" style="121" customWidth="1"/>
    <col min="12292" max="12292" width="11.7109375" style="121" customWidth="1"/>
    <col min="12293" max="12293" width="13.85546875" style="121" customWidth="1"/>
    <col min="12294" max="12545" width="9.140625" style="121"/>
    <col min="12546" max="12546" width="26.5703125" style="121" customWidth="1"/>
    <col min="12547" max="12547" width="51.85546875" style="121" customWidth="1"/>
    <col min="12548" max="12548" width="11.7109375" style="121" customWidth="1"/>
    <col min="12549" max="12549" width="13.85546875" style="121" customWidth="1"/>
    <col min="12550" max="12801" width="9.140625" style="121"/>
    <col min="12802" max="12802" width="26.5703125" style="121" customWidth="1"/>
    <col min="12803" max="12803" width="51.85546875" style="121" customWidth="1"/>
    <col min="12804" max="12804" width="11.7109375" style="121" customWidth="1"/>
    <col min="12805" max="12805" width="13.85546875" style="121" customWidth="1"/>
    <col min="12806" max="13057" width="9.140625" style="121"/>
    <col min="13058" max="13058" width="26.5703125" style="121" customWidth="1"/>
    <col min="13059" max="13059" width="51.85546875" style="121" customWidth="1"/>
    <col min="13060" max="13060" width="11.7109375" style="121" customWidth="1"/>
    <col min="13061" max="13061" width="13.85546875" style="121" customWidth="1"/>
    <col min="13062" max="13313" width="9.140625" style="121"/>
    <col min="13314" max="13314" width="26.5703125" style="121" customWidth="1"/>
    <col min="13315" max="13315" width="51.85546875" style="121" customWidth="1"/>
    <col min="13316" max="13316" width="11.7109375" style="121" customWidth="1"/>
    <col min="13317" max="13317" width="13.85546875" style="121" customWidth="1"/>
    <col min="13318" max="13569" width="9.140625" style="121"/>
    <col min="13570" max="13570" width="26.5703125" style="121" customWidth="1"/>
    <col min="13571" max="13571" width="51.85546875" style="121" customWidth="1"/>
    <col min="13572" max="13572" width="11.7109375" style="121" customWidth="1"/>
    <col min="13573" max="13573" width="13.85546875" style="121" customWidth="1"/>
    <col min="13574" max="13825" width="9.140625" style="121"/>
    <col min="13826" max="13826" width="26.5703125" style="121" customWidth="1"/>
    <col min="13827" max="13827" width="51.85546875" style="121" customWidth="1"/>
    <col min="13828" max="13828" width="11.7109375" style="121" customWidth="1"/>
    <col min="13829" max="13829" width="13.85546875" style="121" customWidth="1"/>
    <col min="13830" max="14081" width="9.140625" style="121"/>
    <col min="14082" max="14082" width="26.5703125" style="121" customWidth="1"/>
    <col min="14083" max="14083" width="51.85546875" style="121" customWidth="1"/>
    <col min="14084" max="14084" width="11.7109375" style="121" customWidth="1"/>
    <col min="14085" max="14085" width="13.85546875" style="121" customWidth="1"/>
    <col min="14086" max="14337" width="9.140625" style="121"/>
    <col min="14338" max="14338" width="26.5703125" style="121" customWidth="1"/>
    <col min="14339" max="14339" width="51.85546875" style="121" customWidth="1"/>
    <col min="14340" max="14340" width="11.7109375" style="121" customWidth="1"/>
    <col min="14341" max="14341" width="13.85546875" style="121" customWidth="1"/>
    <col min="14342" max="14593" width="9.140625" style="121"/>
    <col min="14594" max="14594" width="26.5703125" style="121" customWidth="1"/>
    <col min="14595" max="14595" width="51.85546875" style="121" customWidth="1"/>
    <col min="14596" max="14596" width="11.7109375" style="121" customWidth="1"/>
    <col min="14597" max="14597" width="13.85546875" style="121" customWidth="1"/>
    <col min="14598" max="14849" width="9.140625" style="121"/>
    <col min="14850" max="14850" width="26.5703125" style="121" customWidth="1"/>
    <col min="14851" max="14851" width="51.85546875" style="121" customWidth="1"/>
    <col min="14852" max="14852" width="11.7109375" style="121" customWidth="1"/>
    <col min="14853" max="14853" width="13.85546875" style="121" customWidth="1"/>
    <col min="14854" max="15105" width="9.140625" style="121"/>
    <col min="15106" max="15106" width="26.5703125" style="121" customWidth="1"/>
    <col min="15107" max="15107" width="51.85546875" style="121" customWidth="1"/>
    <col min="15108" max="15108" width="11.7109375" style="121" customWidth="1"/>
    <col min="15109" max="15109" width="13.85546875" style="121" customWidth="1"/>
    <col min="15110" max="15361" width="9.140625" style="121"/>
    <col min="15362" max="15362" width="26.5703125" style="121" customWidth="1"/>
    <col min="15363" max="15363" width="51.85546875" style="121" customWidth="1"/>
    <col min="15364" max="15364" width="11.7109375" style="121" customWidth="1"/>
    <col min="15365" max="15365" width="13.85546875" style="121" customWidth="1"/>
    <col min="15366" max="15617" width="9.140625" style="121"/>
    <col min="15618" max="15618" width="26.5703125" style="121" customWidth="1"/>
    <col min="15619" max="15619" width="51.85546875" style="121" customWidth="1"/>
    <col min="15620" max="15620" width="11.7109375" style="121" customWidth="1"/>
    <col min="15621" max="15621" width="13.85546875" style="121" customWidth="1"/>
    <col min="15622" max="15873" width="9.140625" style="121"/>
    <col min="15874" max="15874" width="26.5703125" style="121" customWidth="1"/>
    <col min="15875" max="15875" width="51.85546875" style="121" customWidth="1"/>
    <col min="15876" max="15876" width="11.7109375" style="121" customWidth="1"/>
    <col min="15877" max="15877" width="13.85546875" style="121" customWidth="1"/>
    <col min="15878" max="16129" width="9.140625" style="121"/>
    <col min="16130" max="16130" width="26.5703125" style="121" customWidth="1"/>
    <col min="16131" max="16131" width="51.85546875" style="121" customWidth="1"/>
    <col min="16132" max="16132" width="11.7109375" style="121" customWidth="1"/>
    <col min="16133" max="16133" width="13.85546875" style="121" customWidth="1"/>
    <col min="16134" max="16384" width="9.140625" style="121"/>
  </cols>
  <sheetData>
    <row r="1" spans="1:14" x14ac:dyDescent="0.2">
      <c r="B1" s="27"/>
    </row>
    <row r="2" spans="1:14" ht="45" x14ac:dyDescent="0.2">
      <c r="A2" s="122" t="s">
        <v>460</v>
      </c>
      <c r="B2" s="123" t="s">
        <v>459</v>
      </c>
      <c r="C2" s="123" t="s">
        <v>461</v>
      </c>
      <c r="D2" s="124" t="s">
        <v>462</v>
      </c>
      <c r="E2" s="124" t="s">
        <v>463</v>
      </c>
      <c r="F2" s="125" t="s">
        <v>464</v>
      </c>
      <c r="G2" s="123" t="s">
        <v>465</v>
      </c>
      <c r="H2" s="123" t="s">
        <v>466</v>
      </c>
      <c r="I2" s="123" t="s">
        <v>467</v>
      </c>
      <c r="J2" s="123" t="s">
        <v>468</v>
      </c>
      <c r="K2" s="126" t="s">
        <v>469</v>
      </c>
      <c r="L2" s="123" t="s">
        <v>470</v>
      </c>
      <c r="M2" s="123" t="s">
        <v>471</v>
      </c>
      <c r="N2" s="123" t="s">
        <v>472</v>
      </c>
    </row>
    <row r="3" spans="1:14" x14ac:dyDescent="0.2">
      <c r="A3" s="121">
        <v>1169</v>
      </c>
      <c r="B3" s="27" t="s">
        <v>473</v>
      </c>
      <c r="C3" s="27" t="s">
        <v>474</v>
      </c>
      <c r="D3" s="121">
        <v>68.99666666666667</v>
      </c>
      <c r="E3" s="121">
        <v>-150.28100000000001</v>
      </c>
      <c r="F3" s="121" t="s">
        <v>475</v>
      </c>
      <c r="G3" s="121" t="s">
        <v>476</v>
      </c>
      <c r="H3" s="121" t="s">
        <v>475</v>
      </c>
      <c r="I3" s="121" t="s">
        <v>475</v>
      </c>
      <c r="J3" s="121" t="s">
        <v>477</v>
      </c>
      <c r="K3" s="121" t="s">
        <v>475</v>
      </c>
      <c r="L3" s="121" t="s">
        <v>475</v>
      </c>
      <c r="M3" s="127" t="str">
        <f t="shared" ref="M3:M66" si="0">HYPERLINK("http://maps.google.com/maps?q="&amp;D3&amp;","&amp;E3,"View on Google Map")</f>
        <v>View on Google Map</v>
      </c>
    </row>
    <row r="4" spans="1:14" x14ac:dyDescent="0.2">
      <c r="A4" s="121">
        <v>1170</v>
      </c>
      <c r="B4" s="27" t="s">
        <v>478</v>
      </c>
      <c r="C4" s="27" t="s">
        <v>479</v>
      </c>
      <c r="D4" s="121">
        <v>68.952222222222218</v>
      </c>
      <c r="E4" s="121">
        <v>-150.21249999999998</v>
      </c>
      <c r="F4" s="121" t="s">
        <v>475</v>
      </c>
      <c r="G4" s="121" t="s">
        <v>476</v>
      </c>
      <c r="H4" s="121" t="s">
        <v>475</v>
      </c>
      <c r="I4" s="121" t="s">
        <v>475</v>
      </c>
      <c r="J4" s="121" t="s">
        <v>477</v>
      </c>
      <c r="K4" s="121" t="s">
        <v>475</v>
      </c>
      <c r="L4" s="121" t="s">
        <v>475</v>
      </c>
      <c r="M4" s="127" t="str">
        <f t="shared" si="0"/>
        <v>View on Google Map</v>
      </c>
    </row>
    <row r="5" spans="1:14" x14ac:dyDescent="0.2">
      <c r="A5" s="121">
        <v>1171</v>
      </c>
      <c r="B5" s="27" t="s">
        <v>480</v>
      </c>
      <c r="C5" s="27" t="s">
        <v>481</v>
      </c>
      <c r="D5" s="121">
        <v>68.934444444444452</v>
      </c>
      <c r="E5" s="121">
        <v>-150.2727777777778</v>
      </c>
      <c r="F5" s="121" t="s">
        <v>475</v>
      </c>
      <c r="G5" s="121" t="s">
        <v>476</v>
      </c>
      <c r="H5" s="121" t="s">
        <v>475</v>
      </c>
      <c r="I5" s="121" t="s">
        <v>475</v>
      </c>
      <c r="J5" s="121" t="s">
        <v>482</v>
      </c>
      <c r="K5" s="121" t="s">
        <v>475</v>
      </c>
      <c r="L5" s="121" t="s">
        <v>483</v>
      </c>
      <c r="M5" s="127" t="str">
        <f t="shared" si="0"/>
        <v>View on Google Map</v>
      </c>
    </row>
    <row r="6" spans="1:14" x14ac:dyDescent="0.2">
      <c r="A6" s="121">
        <v>518</v>
      </c>
      <c r="B6" s="121" t="s">
        <v>484</v>
      </c>
      <c r="C6" s="121" t="s">
        <v>485</v>
      </c>
      <c r="D6" s="121">
        <v>68.900986000000003</v>
      </c>
      <c r="E6" s="121">
        <v>-151.308469</v>
      </c>
      <c r="F6" s="121">
        <v>350</v>
      </c>
      <c r="G6" s="121" t="s">
        <v>486</v>
      </c>
      <c r="H6" s="121" t="s">
        <v>475</v>
      </c>
      <c r="I6" s="121" t="s">
        <v>475</v>
      </c>
      <c r="J6" s="121" t="s">
        <v>487</v>
      </c>
      <c r="K6" s="121" t="s">
        <v>475</v>
      </c>
      <c r="L6" s="121" t="s">
        <v>488</v>
      </c>
      <c r="M6" s="127" t="str">
        <f t="shared" si="0"/>
        <v>View on Google Map</v>
      </c>
    </row>
    <row r="7" spans="1:14" x14ac:dyDescent="0.2">
      <c r="A7" s="121">
        <v>478</v>
      </c>
      <c r="B7" s="121" t="s">
        <v>489</v>
      </c>
      <c r="C7" s="121" t="s">
        <v>475</v>
      </c>
      <c r="D7" s="121">
        <v>68.510069999999999</v>
      </c>
      <c r="E7" s="121">
        <v>-149.62691000000001</v>
      </c>
      <c r="F7" s="121">
        <v>996</v>
      </c>
      <c r="G7" s="121" t="s">
        <v>486</v>
      </c>
      <c r="H7" s="121" t="s">
        <v>475</v>
      </c>
      <c r="I7" s="121" t="s">
        <v>475</v>
      </c>
      <c r="J7" s="121" t="s">
        <v>487</v>
      </c>
      <c r="K7" s="121" t="s">
        <v>475</v>
      </c>
      <c r="L7" s="121" t="s">
        <v>475</v>
      </c>
      <c r="M7" s="127" t="str">
        <f t="shared" si="0"/>
        <v>View on Google Map</v>
      </c>
    </row>
    <row r="8" spans="1:14" x14ac:dyDescent="0.2">
      <c r="A8" s="121">
        <v>479</v>
      </c>
      <c r="B8" s="121" t="s">
        <v>490</v>
      </c>
      <c r="C8" s="121" t="s">
        <v>475</v>
      </c>
      <c r="D8" s="121">
        <v>68.505080000000007</v>
      </c>
      <c r="E8" s="121">
        <v>-149.62766999999999</v>
      </c>
      <c r="F8" s="121">
        <v>986</v>
      </c>
      <c r="G8" s="121" t="s">
        <v>486</v>
      </c>
      <c r="H8" s="121" t="s">
        <v>475</v>
      </c>
      <c r="I8" s="121" t="s">
        <v>475</v>
      </c>
      <c r="J8" s="121" t="s">
        <v>487</v>
      </c>
      <c r="K8" s="121" t="s">
        <v>475</v>
      </c>
      <c r="L8" s="121" t="s">
        <v>475</v>
      </c>
      <c r="M8" s="127" t="str">
        <f t="shared" si="0"/>
        <v>View on Google Map</v>
      </c>
    </row>
    <row r="9" spans="1:14" x14ac:dyDescent="0.2">
      <c r="A9" s="121">
        <v>480</v>
      </c>
      <c r="B9" s="121" t="s">
        <v>491</v>
      </c>
      <c r="C9" s="121" t="s">
        <v>475</v>
      </c>
      <c r="D9" s="121">
        <v>68.502449999999996</v>
      </c>
      <c r="E9" s="121">
        <v>-149.63137</v>
      </c>
      <c r="F9" s="121">
        <v>982</v>
      </c>
      <c r="G9" s="121" t="s">
        <v>486</v>
      </c>
      <c r="H9" s="121" t="s">
        <v>475</v>
      </c>
      <c r="I9" s="121" t="s">
        <v>475</v>
      </c>
      <c r="J9" s="121" t="s">
        <v>487</v>
      </c>
      <c r="K9" s="121" t="s">
        <v>475</v>
      </c>
      <c r="L9" s="121" t="s">
        <v>475</v>
      </c>
      <c r="M9" s="127" t="str">
        <f t="shared" si="0"/>
        <v>View on Google Map</v>
      </c>
    </row>
    <row r="10" spans="1:14" x14ac:dyDescent="0.2">
      <c r="B10" s="121" t="s">
        <v>492</v>
      </c>
      <c r="C10" s="121" t="s">
        <v>493</v>
      </c>
      <c r="D10" s="121">
        <v>69.375833333333333</v>
      </c>
      <c r="E10" s="121">
        <v>-150.68138888888899</v>
      </c>
      <c r="G10" s="121" t="s">
        <v>494</v>
      </c>
      <c r="J10" s="121" t="s">
        <v>482</v>
      </c>
      <c r="L10" s="121" t="s">
        <v>483</v>
      </c>
      <c r="M10" s="127" t="str">
        <f t="shared" si="0"/>
        <v>View on Google Map</v>
      </c>
    </row>
    <row r="11" spans="1:14" x14ac:dyDescent="0.2">
      <c r="B11" s="121" t="s">
        <v>495</v>
      </c>
      <c r="C11" s="121" t="s">
        <v>493</v>
      </c>
      <c r="D11" s="121">
        <v>69.322777777777773</v>
      </c>
      <c r="E11" s="121">
        <v>-150.95055555555601</v>
      </c>
      <c r="G11" s="121" t="s">
        <v>494</v>
      </c>
      <c r="J11" s="121" t="s">
        <v>482</v>
      </c>
      <c r="L11" s="121" t="s">
        <v>483</v>
      </c>
      <c r="M11" s="127" t="str">
        <f t="shared" si="0"/>
        <v>View on Google Map</v>
      </c>
    </row>
    <row r="12" spans="1:14" x14ac:dyDescent="0.2">
      <c r="B12" s="121" t="s">
        <v>496</v>
      </c>
      <c r="C12" s="121" t="s">
        <v>493</v>
      </c>
      <c r="D12" s="121">
        <v>69.328055555555565</v>
      </c>
      <c r="E12" s="121">
        <v>-150.238055555556</v>
      </c>
      <c r="G12" s="121" t="s">
        <v>494</v>
      </c>
      <c r="J12" s="121" t="s">
        <v>482</v>
      </c>
      <c r="L12" s="121" t="s">
        <v>483</v>
      </c>
      <c r="M12" s="127" t="str">
        <f t="shared" si="0"/>
        <v>View on Google Map</v>
      </c>
    </row>
    <row r="13" spans="1:14" x14ac:dyDescent="0.2">
      <c r="B13" s="121" t="s">
        <v>497</v>
      </c>
      <c r="C13" s="121" t="s">
        <v>493</v>
      </c>
      <c r="D13" s="121">
        <v>69.30361111111111</v>
      </c>
      <c r="E13" s="121">
        <v>-149.56083333333299</v>
      </c>
      <c r="G13" s="121" t="s">
        <v>494</v>
      </c>
      <c r="J13" s="121" t="s">
        <v>482</v>
      </c>
      <c r="L13" s="121" t="s">
        <v>483</v>
      </c>
      <c r="M13" s="127" t="str">
        <f t="shared" si="0"/>
        <v>View on Google Map</v>
      </c>
    </row>
    <row r="14" spans="1:14" x14ac:dyDescent="0.2">
      <c r="A14" s="121">
        <v>7</v>
      </c>
      <c r="B14" s="121" t="s">
        <v>498</v>
      </c>
      <c r="C14" s="121" t="s">
        <v>499</v>
      </c>
      <c r="D14" s="121">
        <v>68.95</v>
      </c>
      <c r="E14" s="121">
        <v>-148.86666666666667</v>
      </c>
      <c r="F14" s="121">
        <v>360</v>
      </c>
      <c r="G14" s="121" t="s">
        <v>500</v>
      </c>
      <c r="H14" s="121" t="s">
        <v>475</v>
      </c>
      <c r="I14" s="121" t="s">
        <v>475</v>
      </c>
      <c r="J14" s="121" t="s">
        <v>501</v>
      </c>
      <c r="K14" s="121" t="s">
        <v>475</v>
      </c>
      <c r="L14" s="121" t="s">
        <v>502</v>
      </c>
      <c r="M14" s="127" t="str">
        <f t="shared" si="0"/>
        <v>View on Google Map</v>
      </c>
    </row>
    <row r="15" spans="1:14" x14ac:dyDescent="0.2">
      <c r="A15" s="121">
        <v>517</v>
      </c>
      <c r="B15" s="121" t="s">
        <v>503</v>
      </c>
      <c r="C15" s="121" t="s">
        <v>485</v>
      </c>
      <c r="D15" s="121">
        <v>68.467832999999999</v>
      </c>
      <c r="E15" s="121">
        <v>-151.47916699999999</v>
      </c>
      <c r="F15" s="121">
        <v>732</v>
      </c>
      <c r="G15" s="121" t="s">
        <v>486</v>
      </c>
      <c r="H15" s="121" t="s">
        <v>475</v>
      </c>
      <c r="I15" s="121" t="s">
        <v>475</v>
      </c>
      <c r="J15" s="121" t="s">
        <v>487</v>
      </c>
      <c r="K15" s="121" t="s">
        <v>475</v>
      </c>
      <c r="L15" s="121" t="s">
        <v>488</v>
      </c>
      <c r="M15" s="127" t="str">
        <f t="shared" si="0"/>
        <v>View on Google Map</v>
      </c>
    </row>
    <row r="16" spans="1:14" x14ac:dyDescent="0.2">
      <c r="A16" s="121">
        <v>516</v>
      </c>
      <c r="B16" s="121" t="s">
        <v>504</v>
      </c>
      <c r="C16" s="121" t="s">
        <v>485</v>
      </c>
      <c r="D16" s="121">
        <v>68.467500000000001</v>
      </c>
      <c r="E16" s="121">
        <v>-151.49433300000001</v>
      </c>
      <c r="F16" s="121">
        <v>769</v>
      </c>
      <c r="G16" s="121" t="s">
        <v>486</v>
      </c>
      <c r="H16" s="121" t="s">
        <v>475</v>
      </c>
      <c r="I16" s="121" t="s">
        <v>475</v>
      </c>
      <c r="J16" s="121" t="s">
        <v>487</v>
      </c>
      <c r="K16" s="121" t="s">
        <v>475</v>
      </c>
      <c r="L16" s="121" t="s">
        <v>488</v>
      </c>
      <c r="M16" s="127" t="str">
        <f t="shared" si="0"/>
        <v>View on Google Map</v>
      </c>
    </row>
    <row r="17" spans="1:13" x14ac:dyDescent="0.2">
      <c r="A17" s="121">
        <v>515</v>
      </c>
      <c r="B17" s="121" t="s">
        <v>505</v>
      </c>
      <c r="C17" s="121" t="s">
        <v>485</v>
      </c>
      <c r="D17" s="121">
        <v>68.463999999999999</v>
      </c>
      <c r="E17" s="121">
        <v>-151.51516699999999</v>
      </c>
      <c r="F17" s="121">
        <v>809</v>
      </c>
      <c r="G17" s="121" t="s">
        <v>486</v>
      </c>
      <c r="H17" s="121" t="s">
        <v>475</v>
      </c>
      <c r="I17" s="121" t="s">
        <v>475</v>
      </c>
      <c r="J17" s="121" t="s">
        <v>487</v>
      </c>
      <c r="K17" s="121" t="s">
        <v>475</v>
      </c>
      <c r="L17" s="121" t="s">
        <v>488</v>
      </c>
      <c r="M17" s="127" t="str">
        <f t="shared" si="0"/>
        <v>View on Google Map</v>
      </c>
    </row>
    <row r="18" spans="1:13" x14ac:dyDescent="0.2">
      <c r="A18" s="121">
        <v>1177</v>
      </c>
      <c r="B18" s="121" t="s">
        <v>506</v>
      </c>
      <c r="C18" s="121" t="s">
        <v>507</v>
      </c>
      <c r="D18" s="121">
        <v>68.99539</v>
      </c>
      <c r="E18" s="121">
        <v>-150.28278</v>
      </c>
      <c r="F18" s="121" t="s">
        <v>475</v>
      </c>
      <c r="G18" s="121" t="s">
        <v>476</v>
      </c>
      <c r="H18" s="121" t="s">
        <v>475</v>
      </c>
      <c r="I18" s="121" t="s">
        <v>475</v>
      </c>
      <c r="J18" s="121" t="s">
        <v>482</v>
      </c>
      <c r="K18" s="121" t="s">
        <v>475</v>
      </c>
      <c r="L18" s="121" t="s">
        <v>483</v>
      </c>
      <c r="M18" s="127" t="str">
        <f t="shared" si="0"/>
        <v>View on Google Map</v>
      </c>
    </row>
    <row r="19" spans="1:13" x14ac:dyDescent="0.2">
      <c r="A19" s="121">
        <v>1178</v>
      </c>
      <c r="B19" s="121" t="s">
        <v>508</v>
      </c>
      <c r="C19" s="121" t="s">
        <v>507</v>
      </c>
      <c r="D19" s="121">
        <v>68.996089999999995</v>
      </c>
      <c r="E19" s="121">
        <v>-150.29223999999999</v>
      </c>
      <c r="F19" s="121" t="s">
        <v>475</v>
      </c>
      <c r="G19" s="121" t="s">
        <v>476</v>
      </c>
      <c r="H19" s="121" t="s">
        <v>475</v>
      </c>
      <c r="I19" s="121" t="s">
        <v>475</v>
      </c>
      <c r="J19" s="121" t="s">
        <v>482</v>
      </c>
      <c r="K19" s="121" t="s">
        <v>475</v>
      </c>
      <c r="L19" s="121" t="s">
        <v>483</v>
      </c>
      <c r="M19" s="127" t="str">
        <f t="shared" si="0"/>
        <v>View on Google Map</v>
      </c>
    </row>
    <row r="20" spans="1:13" x14ac:dyDescent="0.2">
      <c r="A20" s="121">
        <v>1179</v>
      </c>
      <c r="B20" s="121" t="s">
        <v>509</v>
      </c>
      <c r="C20" s="121" t="s">
        <v>510</v>
      </c>
      <c r="D20" s="121">
        <v>68.953829999999996</v>
      </c>
      <c r="E20" s="121">
        <v>-150.20697000000001</v>
      </c>
      <c r="F20" s="121" t="s">
        <v>475</v>
      </c>
      <c r="G20" s="121" t="s">
        <v>476</v>
      </c>
      <c r="H20" s="121" t="s">
        <v>475</v>
      </c>
      <c r="I20" s="121" t="s">
        <v>475</v>
      </c>
      <c r="J20" s="121" t="s">
        <v>482</v>
      </c>
      <c r="K20" s="121" t="s">
        <v>475</v>
      </c>
      <c r="L20" s="121" t="s">
        <v>483</v>
      </c>
      <c r="M20" s="127" t="str">
        <f t="shared" si="0"/>
        <v>View on Google Map</v>
      </c>
    </row>
    <row r="21" spans="1:13" x14ac:dyDescent="0.2">
      <c r="A21" s="121">
        <v>1180</v>
      </c>
      <c r="B21" s="27" t="s">
        <v>511</v>
      </c>
      <c r="C21" s="121" t="s">
        <v>510</v>
      </c>
      <c r="D21" s="121">
        <v>68.951099999999997</v>
      </c>
      <c r="E21" s="121">
        <v>-150.20966000000001</v>
      </c>
      <c r="F21" s="121" t="s">
        <v>475</v>
      </c>
      <c r="G21" s="121" t="s">
        <v>476</v>
      </c>
      <c r="H21" s="121" t="s">
        <v>475</v>
      </c>
      <c r="I21" s="121" t="s">
        <v>475</v>
      </c>
      <c r="J21" s="121" t="s">
        <v>482</v>
      </c>
      <c r="K21" s="121" t="s">
        <v>475</v>
      </c>
      <c r="L21" s="121" t="s">
        <v>483</v>
      </c>
      <c r="M21" s="127" t="str">
        <f t="shared" si="0"/>
        <v>View on Google Map</v>
      </c>
    </row>
    <row r="22" spans="1:13" x14ac:dyDescent="0.2">
      <c r="A22" s="121">
        <v>1181</v>
      </c>
      <c r="B22" s="27" t="s">
        <v>512</v>
      </c>
      <c r="C22" s="121" t="s">
        <v>510</v>
      </c>
      <c r="D22" s="121">
        <v>68.950720000000004</v>
      </c>
      <c r="E22" s="121">
        <v>-150.19745</v>
      </c>
      <c r="F22" s="121" t="s">
        <v>475</v>
      </c>
      <c r="G22" s="121" t="s">
        <v>476</v>
      </c>
      <c r="H22" s="121" t="s">
        <v>475</v>
      </c>
      <c r="I22" s="121" t="s">
        <v>475</v>
      </c>
      <c r="J22" s="121" t="s">
        <v>482</v>
      </c>
      <c r="K22" s="121" t="s">
        <v>475</v>
      </c>
      <c r="L22" s="121" t="s">
        <v>483</v>
      </c>
      <c r="M22" s="127" t="str">
        <f t="shared" si="0"/>
        <v>View on Google Map</v>
      </c>
    </row>
    <row r="23" spans="1:13" x14ac:dyDescent="0.2">
      <c r="A23" s="121">
        <v>1182</v>
      </c>
      <c r="B23" s="27" t="s">
        <v>513</v>
      </c>
      <c r="C23" s="121" t="s">
        <v>510</v>
      </c>
      <c r="D23" s="121">
        <v>68.950149999999994</v>
      </c>
      <c r="E23" s="121">
        <v>-150.19701000000001</v>
      </c>
      <c r="F23" s="121" t="s">
        <v>475</v>
      </c>
      <c r="G23" s="121" t="s">
        <v>476</v>
      </c>
      <c r="H23" s="121" t="s">
        <v>475</v>
      </c>
      <c r="I23" s="121" t="s">
        <v>475</v>
      </c>
      <c r="J23" s="121" t="s">
        <v>482</v>
      </c>
      <c r="K23" s="121" t="s">
        <v>475</v>
      </c>
      <c r="L23" s="121" t="s">
        <v>483</v>
      </c>
      <c r="M23" s="127" t="str">
        <f t="shared" si="0"/>
        <v>View on Google Map</v>
      </c>
    </row>
    <row r="24" spans="1:13" x14ac:dyDescent="0.2">
      <c r="A24" s="121">
        <v>1183</v>
      </c>
      <c r="B24" s="27" t="s">
        <v>514</v>
      </c>
      <c r="C24" s="121" t="s">
        <v>510</v>
      </c>
      <c r="D24" s="121">
        <v>68.949629999999999</v>
      </c>
      <c r="E24" s="121">
        <v>-150.19672</v>
      </c>
      <c r="F24" s="121" t="s">
        <v>475</v>
      </c>
      <c r="G24" s="121" t="s">
        <v>476</v>
      </c>
      <c r="H24" s="121" t="s">
        <v>475</v>
      </c>
      <c r="I24" s="121" t="s">
        <v>475</v>
      </c>
      <c r="J24" s="121" t="s">
        <v>482</v>
      </c>
      <c r="K24" s="121" t="s">
        <v>475</v>
      </c>
      <c r="L24" s="121" t="s">
        <v>483</v>
      </c>
      <c r="M24" s="127" t="str">
        <f t="shared" si="0"/>
        <v>View on Google Map</v>
      </c>
    </row>
    <row r="25" spans="1:13" x14ac:dyDescent="0.2">
      <c r="A25" s="121">
        <v>1184</v>
      </c>
      <c r="B25" s="27" t="s">
        <v>515</v>
      </c>
      <c r="C25" s="121" t="s">
        <v>510</v>
      </c>
      <c r="D25" s="121">
        <v>68.952349999999996</v>
      </c>
      <c r="E25" s="121">
        <v>-150.20769999999999</v>
      </c>
      <c r="F25" s="121" t="s">
        <v>475</v>
      </c>
      <c r="G25" s="121" t="s">
        <v>476</v>
      </c>
      <c r="H25" s="121" t="s">
        <v>475</v>
      </c>
      <c r="I25" s="121" t="s">
        <v>475</v>
      </c>
      <c r="J25" s="121" t="s">
        <v>482</v>
      </c>
      <c r="K25" s="121" t="s">
        <v>475</v>
      </c>
      <c r="L25" s="121" t="s">
        <v>483</v>
      </c>
      <c r="M25" s="127" t="str">
        <f t="shared" si="0"/>
        <v>View on Google Map</v>
      </c>
    </row>
    <row r="26" spans="1:13" x14ac:dyDescent="0.2">
      <c r="A26" s="121">
        <v>1185</v>
      </c>
      <c r="B26" s="27" t="s">
        <v>516</v>
      </c>
      <c r="C26" s="121" t="s">
        <v>510</v>
      </c>
      <c r="D26" s="121">
        <v>68.933340000000001</v>
      </c>
      <c r="E26" s="121">
        <v>-150.27288999999999</v>
      </c>
      <c r="F26" s="121" t="s">
        <v>475</v>
      </c>
      <c r="G26" s="121" t="s">
        <v>476</v>
      </c>
      <c r="H26" s="121" t="s">
        <v>475</v>
      </c>
      <c r="I26" s="121" t="s">
        <v>475</v>
      </c>
      <c r="J26" s="121" t="s">
        <v>482</v>
      </c>
      <c r="K26" s="121" t="s">
        <v>475</v>
      </c>
      <c r="L26" s="121" t="s">
        <v>483</v>
      </c>
      <c r="M26" s="127" t="str">
        <f t="shared" si="0"/>
        <v>View on Google Map</v>
      </c>
    </row>
    <row r="27" spans="1:13" x14ac:dyDescent="0.2">
      <c r="A27" s="121">
        <v>1186</v>
      </c>
      <c r="B27" s="121" t="s">
        <v>517</v>
      </c>
      <c r="C27" s="121" t="s">
        <v>510</v>
      </c>
      <c r="D27" s="121">
        <v>68.935190000000006</v>
      </c>
      <c r="E27" s="121">
        <v>-150.26884000000001</v>
      </c>
      <c r="F27" s="121" t="s">
        <v>475</v>
      </c>
      <c r="G27" s="121" t="s">
        <v>476</v>
      </c>
      <c r="H27" s="121" t="s">
        <v>475</v>
      </c>
      <c r="I27" s="121" t="s">
        <v>475</v>
      </c>
      <c r="J27" s="121" t="s">
        <v>482</v>
      </c>
      <c r="K27" s="121" t="s">
        <v>475</v>
      </c>
      <c r="L27" s="121" t="s">
        <v>483</v>
      </c>
      <c r="M27" s="127" t="str">
        <f t="shared" si="0"/>
        <v>View on Google Map</v>
      </c>
    </row>
    <row r="28" spans="1:13" x14ac:dyDescent="0.2">
      <c r="A28" s="121">
        <v>1187</v>
      </c>
      <c r="B28" s="27" t="s">
        <v>518</v>
      </c>
      <c r="C28" s="121" t="s">
        <v>510</v>
      </c>
      <c r="D28" s="121">
        <v>68.997339999999994</v>
      </c>
      <c r="E28" s="121">
        <v>-150.30745999999999</v>
      </c>
      <c r="F28" s="121" t="s">
        <v>475</v>
      </c>
      <c r="G28" s="121" t="s">
        <v>476</v>
      </c>
      <c r="H28" s="121" t="s">
        <v>475</v>
      </c>
      <c r="I28" s="121" t="s">
        <v>475</v>
      </c>
      <c r="J28" s="121" t="s">
        <v>482</v>
      </c>
      <c r="K28" s="121" t="s">
        <v>475</v>
      </c>
      <c r="L28" s="121" t="s">
        <v>483</v>
      </c>
      <c r="M28" s="127" t="str">
        <f t="shared" si="0"/>
        <v>View on Google Map</v>
      </c>
    </row>
    <row r="29" spans="1:13" x14ac:dyDescent="0.2">
      <c r="A29" s="121">
        <v>1188</v>
      </c>
      <c r="B29" s="27" t="s">
        <v>519</v>
      </c>
      <c r="C29" s="121" t="s">
        <v>510</v>
      </c>
      <c r="D29" s="121">
        <v>68.950779999999995</v>
      </c>
      <c r="E29" s="121">
        <v>-150.19788</v>
      </c>
      <c r="F29" s="121" t="s">
        <v>475</v>
      </c>
      <c r="G29" s="121" t="s">
        <v>476</v>
      </c>
      <c r="H29" s="121" t="s">
        <v>475</v>
      </c>
      <c r="I29" s="121" t="s">
        <v>475</v>
      </c>
      <c r="J29" s="121" t="s">
        <v>482</v>
      </c>
      <c r="K29" s="121" t="s">
        <v>475</v>
      </c>
      <c r="L29" s="121" t="s">
        <v>483</v>
      </c>
      <c r="M29" s="127" t="str">
        <f t="shared" si="0"/>
        <v>View on Google Map</v>
      </c>
    </row>
    <row r="30" spans="1:13" x14ac:dyDescent="0.2">
      <c r="A30" s="121">
        <v>1189</v>
      </c>
      <c r="B30" s="27" t="s">
        <v>520</v>
      </c>
      <c r="C30" s="121" t="s">
        <v>510</v>
      </c>
      <c r="D30" s="121">
        <v>68.954440000000005</v>
      </c>
      <c r="E30" s="121">
        <v>-150.20644999999999</v>
      </c>
      <c r="F30" s="121" t="s">
        <v>475</v>
      </c>
      <c r="G30" s="121" t="s">
        <v>476</v>
      </c>
      <c r="H30" s="121" t="s">
        <v>475</v>
      </c>
      <c r="I30" s="121" t="s">
        <v>475</v>
      </c>
      <c r="J30" s="121" t="s">
        <v>482</v>
      </c>
      <c r="K30" s="121" t="s">
        <v>475</v>
      </c>
      <c r="L30" s="121" t="s">
        <v>483</v>
      </c>
      <c r="M30" s="127" t="str">
        <f t="shared" si="0"/>
        <v>View on Google Map</v>
      </c>
    </row>
    <row r="31" spans="1:13" x14ac:dyDescent="0.2">
      <c r="A31" s="121">
        <v>1190</v>
      </c>
      <c r="B31" s="27" t="s">
        <v>521</v>
      </c>
      <c r="C31" s="121" t="s">
        <v>510</v>
      </c>
      <c r="D31" s="121">
        <v>69.116330000000005</v>
      </c>
      <c r="E31" s="121">
        <v>-150.79077000000001</v>
      </c>
      <c r="F31" s="121" t="s">
        <v>475</v>
      </c>
      <c r="G31" s="121" t="s">
        <v>476</v>
      </c>
      <c r="H31" s="121" t="s">
        <v>475</v>
      </c>
      <c r="I31" s="121" t="s">
        <v>475</v>
      </c>
      <c r="J31" s="121" t="s">
        <v>482</v>
      </c>
      <c r="K31" s="121" t="s">
        <v>475</v>
      </c>
      <c r="L31" s="121" t="s">
        <v>483</v>
      </c>
      <c r="M31" s="127" t="str">
        <f t="shared" si="0"/>
        <v>View on Google Map</v>
      </c>
    </row>
    <row r="32" spans="1:13" x14ac:dyDescent="0.2">
      <c r="A32" s="121">
        <v>1191</v>
      </c>
      <c r="B32" s="27" t="s">
        <v>522</v>
      </c>
      <c r="C32" s="121" t="s">
        <v>510</v>
      </c>
      <c r="D32" s="121">
        <v>69.116150000000005</v>
      </c>
      <c r="E32" s="121">
        <v>-150.79553999999999</v>
      </c>
      <c r="F32" s="121" t="s">
        <v>475</v>
      </c>
      <c r="G32" s="121" t="s">
        <v>476</v>
      </c>
      <c r="H32" s="121" t="s">
        <v>475</v>
      </c>
      <c r="I32" s="121" t="s">
        <v>475</v>
      </c>
      <c r="J32" s="121" t="s">
        <v>482</v>
      </c>
      <c r="K32" s="121" t="s">
        <v>475</v>
      </c>
      <c r="L32" s="121" t="s">
        <v>483</v>
      </c>
      <c r="M32" s="127" t="str">
        <f t="shared" si="0"/>
        <v>View on Google Map</v>
      </c>
    </row>
    <row r="33" spans="1:14" x14ac:dyDescent="0.2">
      <c r="A33" s="121">
        <v>3</v>
      </c>
      <c r="B33" s="121" t="s">
        <v>523</v>
      </c>
      <c r="C33" s="121" t="s">
        <v>524</v>
      </c>
      <c r="D33" s="121">
        <v>68.266666666666666</v>
      </c>
      <c r="E33" s="121">
        <v>-149.44999999999999</v>
      </c>
      <c r="F33" s="121">
        <v>914</v>
      </c>
      <c r="G33" s="121" t="s">
        <v>500</v>
      </c>
      <c r="H33" s="121" t="s">
        <v>475</v>
      </c>
      <c r="I33" s="121" t="s">
        <v>475</v>
      </c>
      <c r="J33" s="121" t="s">
        <v>501</v>
      </c>
      <c r="K33" s="121" t="s">
        <v>475</v>
      </c>
      <c r="L33" s="121" t="s">
        <v>502</v>
      </c>
      <c r="M33" s="127" t="str">
        <f t="shared" si="0"/>
        <v>View on Google Map</v>
      </c>
    </row>
    <row r="34" spans="1:14" x14ac:dyDescent="0.2">
      <c r="A34" s="121">
        <v>2</v>
      </c>
      <c r="B34" s="121" t="s">
        <v>525</v>
      </c>
      <c r="C34" s="121" t="s">
        <v>526</v>
      </c>
      <c r="D34" s="121">
        <v>68.266666666666666</v>
      </c>
      <c r="E34" s="121">
        <v>-149.46666666666667</v>
      </c>
      <c r="F34" s="121">
        <v>914</v>
      </c>
      <c r="G34" s="121" t="s">
        <v>500</v>
      </c>
      <c r="H34" s="121" t="s">
        <v>475</v>
      </c>
      <c r="I34" s="121" t="s">
        <v>475</v>
      </c>
      <c r="J34" s="121" t="s">
        <v>501</v>
      </c>
      <c r="K34" s="121" t="s">
        <v>475</v>
      </c>
      <c r="L34" s="121" t="s">
        <v>502</v>
      </c>
      <c r="M34" s="127" t="str">
        <f t="shared" si="0"/>
        <v>View on Google Map</v>
      </c>
    </row>
    <row r="35" spans="1:14" x14ac:dyDescent="0.2">
      <c r="A35" s="121">
        <v>25</v>
      </c>
      <c r="B35" s="121" t="s">
        <v>527</v>
      </c>
      <c r="C35" s="121" t="s">
        <v>475</v>
      </c>
      <c r="D35" s="121" t="s">
        <v>475</v>
      </c>
      <c r="E35" s="121" t="s">
        <v>475</v>
      </c>
      <c r="F35" s="121">
        <v>1097</v>
      </c>
      <c r="G35" s="121" t="s">
        <v>500</v>
      </c>
      <c r="H35" s="121" t="s">
        <v>528</v>
      </c>
      <c r="I35" s="121" t="s">
        <v>475</v>
      </c>
      <c r="J35" s="121" t="s">
        <v>501</v>
      </c>
      <c r="K35" s="121" t="s">
        <v>475</v>
      </c>
      <c r="L35" s="121" t="s">
        <v>475</v>
      </c>
      <c r="M35" s="127" t="str">
        <f t="shared" si="0"/>
        <v>View on Google Map</v>
      </c>
    </row>
    <row r="36" spans="1:14" x14ac:dyDescent="0.2">
      <c r="A36" s="121">
        <v>26</v>
      </c>
      <c r="B36" s="121" t="s">
        <v>529</v>
      </c>
      <c r="C36" s="121" t="s">
        <v>475</v>
      </c>
      <c r="D36" s="121" t="s">
        <v>475</v>
      </c>
      <c r="E36" s="121" t="s">
        <v>475</v>
      </c>
      <c r="F36" s="121">
        <v>1280</v>
      </c>
      <c r="G36" s="121" t="s">
        <v>500</v>
      </c>
      <c r="H36" s="121" t="s">
        <v>530</v>
      </c>
      <c r="I36" s="121" t="s">
        <v>475</v>
      </c>
      <c r="J36" s="121" t="s">
        <v>501</v>
      </c>
      <c r="K36" s="121" t="s">
        <v>475</v>
      </c>
      <c r="L36" s="121" t="s">
        <v>475</v>
      </c>
      <c r="M36" s="127" t="str">
        <f t="shared" si="0"/>
        <v>View on Google Map</v>
      </c>
    </row>
    <row r="37" spans="1:14" x14ac:dyDescent="0.2">
      <c r="A37" s="121">
        <v>27</v>
      </c>
      <c r="B37" s="121" t="s">
        <v>531</v>
      </c>
      <c r="C37" s="121" t="s">
        <v>475</v>
      </c>
      <c r="D37" s="121" t="s">
        <v>475</v>
      </c>
      <c r="E37" s="121" t="s">
        <v>475</v>
      </c>
      <c r="F37" s="121">
        <v>1555</v>
      </c>
      <c r="G37" s="121" t="s">
        <v>500</v>
      </c>
      <c r="H37" s="121" t="s">
        <v>532</v>
      </c>
      <c r="I37" s="121" t="s">
        <v>475</v>
      </c>
      <c r="J37" s="121" t="s">
        <v>501</v>
      </c>
      <c r="K37" s="121" t="s">
        <v>475</v>
      </c>
      <c r="L37" s="121" t="s">
        <v>475</v>
      </c>
      <c r="M37" s="127" t="str">
        <f t="shared" si="0"/>
        <v>View on Google Map</v>
      </c>
    </row>
    <row r="38" spans="1:14" ht="12.75" customHeight="1" x14ac:dyDescent="0.2">
      <c r="A38" s="121">
        <v>138</v>
      </c>
      <c r="B38" s="121" t="s">
        <v>533</v>
      </c>
      <c r="C38" s="121" t="s">
        <v>475</v>
      </c>
      <c r="D38" s="121">
        <v>70.283333333333331</v>
      </c>
      <c r="E38" s="121">
        <v>-148.30000000000001</v>
      </c>
      <c r="F38" s="121">
        <v>6</v>
      </c>
      <c r="G38" s="121" t="s">
        <v>486</v>
      </c>
      <c r="H38" s="121" t="s">
        <v>534</v>
      </c>
      <c r="I38" s="121" t="s">
        <v>475</v>
      </c>
      <c r="J38" s="121" t="s">
        <v>501</v>
      </c>
      <c r="K38" s="121" t="s">
        <v>475</v>
      </c>
      <c r="L38" s="121" t="s">
        <v>502</v>
      </c>
      <c r="M38" s="127" t="str">
        <f t="shared" si="0"/>
        <v>View on Google Map</v>
      </c>
    </row>
    <row r="39" spans="1:14" ht="12.75" customHeight="1" x14ac:dyDescent="0.2">
      <c r="A39" s="121">
        <v>31</v>
      </c>
      <c r="B39" s="121" t="s">
        <v>535</v>
      </c>
      <c r="C39" s="121" t="s">
        <v>475</v>
      </c>
      <c r="D39" s="121">
        <v>68.957566666999995</v>
      </c>
      <c r="E39" s="121">
        <v>-150.236266667</v>
      </c>
      <c r="F39" s="121">
        <v>386.18</v>
      </c>
      <c r="G39" s="121" t="s">
        <v>500</v>
      </c>
      <c r="H39" s="121" t="s">
        <v>475</v>
      </c>
      <c r="I39" s="121" t="s">
        <v>475</v>
      </c>
      <c r="J39" s="121" t="s">
        <v>536</v>
      </c>
      <c r="K39" s="121" t="s">
        <v>475</v>
      </c>
      <c r="L39" s="121" t="s">
        <v>483</v>
      </c>
      <c r="M39" s="127" t="str">
        <f t="shared" si="0"/>
        <v>View on Google Map</v>
      </c>
    </row>
    <row r="40" spans="1:14" ht="12.75" customHeight="1" x14ac:dyDescent="0.2">
      <c r="A40" s="121">
        <v>131</v>
      </c>
      <c r="B40" s="121" t="s">
        <v>537</v>
      </c>
      <c r="C40" s="121" t="s">
        <v>475</v>
      </c>
      <c r="D40" s="121">
        <v>70.333333333333329</v>
      </c>
      <c r="E40" s="121">
        <v>-148.93333333333334</v>
      </c>
      <c r="F40" s="121">
        <v>3</v>
      </c>
      <c r="G40" s="121" t="s">
        <v>486</v>
      </c>
      <c r="H40" s="121" t="s">
        <v>538</v>
      </c>
      <c r="I40" s="121" t="s">
        <v>475</v>
      </c>
      <c r="J40" s="121" t="s">
        <v>501</v>
      </c>
      <c r="K40" s="121" t="s">
        <v>475</v>
      </c>
      <c r="L40" s="121" t="s">
        <v>502</v>
      </c>
      <c r="M40" s="127" t="str">
        <f t="shared" si="0"/>
        <v>View on Google Map</v>
      </c>
    </row>
    <row r="41" spans="1:14" s="128" customFormat="1" ht="12.75" customHeight="1" x14ac:dyDescent="0.2">
      <c r="A41" s="121">
        <v>132</v>
      </c>
      <c r="B41" s="121" t="s">
        <v>539</v>
      </c>
      <c r="C41" s="121" t="s">
        <v>475</v>
      </c>
      <c r="D41" s="121">
        <v>70.333333333333329</v>
      </c>
      <c r="E41" s="121">
        <v>-148.93333333333334</v>
      </c>
      <c r="F41" s="121">
        <v>3</v>
      </c>
      <c r="G41" s="121" t="s">
        <v>486</v>
      </c>
      <c r="H41" s="121" t="s">
        <v>540</v>
      </c>
      <c r="I41" s="121" t="s">
        <v>475</v>
      </c>
      <c r="J41" s="121" t="s">
        <v>501</v>
      </c>
      <c r="K41" s="121" t="s">
        <v>475</v>
      </c>
      <c r="L41" s="121" t="s">
        <v>502</v>
      </c>
      <c r="M41" s="127" t="str">
        <f t="shared" si="0"/>
        <v>View on Google Map</v>
      </c>
      <c r="N41" s="121"/>
    </row>
    <row r="42" spans="1:14" ht="12.75" customHeight="1" x14ac:dyDescent="0.2">
      <c r="A42" s="121">
        <v>141</v>
      </c>
      <c r="B42" s="121" t="s">
        <v>541</v>
      </c>
      <c r="C42" s="121" t="s">
        <v>542</v>
      </c>
      <c r="D42" s="121">
        <v>68.63333333333334</v>
      </c>
      <c r="E42" s="121">
        <v>-149.6</v>
      </c>
      <c r="F42" s="121">
        <v>720</v>
      </c>
      <c r="G42" s="121" t="s">
        <v>486</v>
      </c>
      <c r="H42" s="121" t="s">
        <v>543</v>
      </c>
      <c r="I42" s="121" t="s">
        <v>544</v>
      </c>
      <c r="J42" s="121" t="s">
        <v>501</v>
      </c>
      <c r="K42" s="121" t="s">
        <v>475</v>
      </c>
      <c r="L42" s="121" t="s">
        <v>502</v>
      </c>
      <c r="M42" s="127" t="str">
        <f t="shared" si="0"/>
        <v>View on Google Map</v>
      </c>
    </row>
    <row r="43" spans="1:14" ht="12.75" customHeight="1" x14ac:dyDescent="0.2">
      <c r="A43" s="121">
        <v>160</v>
      </c>
      <c r="B43" s="121" t="s">
        <v>545</v>
      </c>
      <c r="C43" s="121" t="s">
        <v>475</v>
      </c>
      <c r="D43" s="121">
        <v>68.599999999999994</v>
      </c>
      <c r="E43" s="121">
        <v>-149.18333333333334</v>
      </c>
      <c r="F43" s="121">
        <v>864</v>
      </c>
      <c r="G43" s="121" t="s">
        <v>486</v>
      </c>
      <c r="H43" s="121" t="s">
        <v>546</v>
      </c>
      <c r="I43" s="121" t="s">
        <v>547</v>
      </c>
      <c r="J43" s="121" t="s">
        <v>501</v>
      </c>
      <c r="K43" s="121">
        <v>246</v>
      </c>
      <c r="L43" s="121" t="s">
        <v>502</v>
      </c>
      <c r="M43" s="127" t="str">
        <f t="shared" si="0"/>
        <v>View on Google Map</v>
      </c>
    </row>
    <row r="44" spans="1:14" ht="12.75" customHeight="1" x14ac:dyDescent="0.2">
      <c r="A44" s="121">
        <v>481</v>
      </c>
      <c r="B44" s="121" t="s">
        <v>548</v>
      </c>
      <c r="C44" s="121" t="s">
        <v>475</v>
      </c>
      <c r="D44" s="121">
        <v>68.976716667000005</v>
      </c>
      <c r="E44" s="121">
        <v>-150.20383333300001</v>
      </c>
      <c r="F44" s="121">
        <v>362</v>
      </c>
      <c r="G44" s="121" t="s">
        <v>486</v>
      </c>
      <c r="H44" s="121" t="s">
        <v>475</v>
      </c>
      <c r="I44" s="121" t="s">
        <v>475</v>
      </c>
      <c r="J44" s="121" t="s">
        <v>536</v>
      </c>
      <c r="K44" s="121" t="s">
        <v>475</v>
      </c>
      <c r="L44" s="121" t="s">
        <v>483</v>
      </c>
      <c r="M44" s="127" t="str">
        <f t="shared" si="0"/>
        <v>View on Google Map</v>
      </c>
    </row>
    <row r="45" spans="1:14" x14ac:dyDescent="0.2">
      <c r="A45" s="121">
        <v>21</v>
      </c>
      <c r="B45" s="121" t="s">
        <v>549</v>
      </c>
      <c r="C45" s="121" t="s">
        <v>475</v>
      </c>
      <c r="D45" s="121" t="s">
        <v>475</v>
      </c>
      <c r="E45" s="121" t="s">
        <v>475</v>
      </c>
      <c r="F45" s="121" t="s">
        <v>475</v>
      </c>
      <c r="G45" s="121" t="s">
        <v>500</v>
      </c>
      <c r="H45" s="121" t="s">
        <v>475</v>
      </c>
      <c r="I45" s="121" t="s">
        <v>475</v>
      </c>
      <c r="J45" s="121" t="s">
        <v>501</v>
      </c>
      <c r="K45" s="121" t="s">
        <v>475</v>
      </c>
      <c r="L45" s="121" t="s">
        <v>475</v>
      </c>
      <c r="M45" s="127" t="str">
        <f t="shared" si="0"/>
        <v>View on Google Map</v>
      </c>
      <c r="N45" s="128"/>
    </row>
    <row r="46" spans="1:14" x14ac:dyDescent="0.2">
      <c r="A46" s="121">
        <v>470</v>
      </c>
      <c r="B46" s="121" t="s">
        <v>550</v>
      </c>
      <c r="C46" s="121" t="s">
        <v>475</v>
      </c>
      <c r="D46" s="121">
        <v>68.829459999999997</v>
      </c>
      <c r="E46" s="121">
        <v>-149.77891</v>
      </c>
      <c r="F46" s="121">
        <v>634</v>
      </c>
      <c r="G46" s="121" t="s">
        <v>486</v>
      </c>
      <c r="H46" s="121" t="s">
        <v>475</v>
      </c>
      <c r="I46" s="121" t="s">
        <v>475</v>
      </c>
      <c r="J46" s="121" t="s">
        <v>487</v>
      </c>
      <c r="K46" s="121" t="s">
        <v>475</v>
      </c>
      <c r="L46" s="121" t="s">
        <v>475</v>
      </c>
      <c r="M46" s="127" t="str">
        <f t="shared" si="0"/>
        <v>View on Google Map</v>
      </c>
    </row>
    <row r="47" spans="1:14" x14ac:dyDescent="0.2">
      <c r="A47" s="121">
        <v>471</v>
      </c>
      <c r="B47" s="121" t="s">
        <v>551</v>
      </c>
      <c r="C47" s="121" t="s">
        <v>475</v>
      </c>
      <c r="D47" s="121">
        <v>68.832939999999994</v>
      </c>
      <c r="E47" s="121">
        <v>-149.76775000000001</v>
      </c>
      <c r="F47" s="121">
        <v>624</v>
      </c>
      <c r="G47" s="121" t="s">
        <v>486</v>
      </c>
      <c r="H47" s="121" t="s">
        <v>475</v>
      </c>
      <c r="I47" s="121" t="s">
        <v>475</v>
      </c>
      <c r="J47" s="121" t="s">
        <v>487</v>
      </c>
      <c r="K47" s="121" t="s">
        <v>475</v>
      </c>
      <c r="L47" s="121" t="s">
        <v>475</v>
      </c>
      <c r="M47" s="127" t="str">
        <f t="shared" si="0"/>
        <v>View on Google Map</v>
      </c>
    </row>
    <row r="48" spans="1:14" x14ac:dyDescent="0.2">
      <c r="A48" s="121">
        <v>472</v>
      </c>
      <c r="B48" s="121" t="s">
        <v>552</v>
      </c>
      <c r="C48" s="121" t="s">
        <v>475</v>
      </c>
      <c r="D48" s="121">
        <v>68.828059999999994</v>
      </c>
      <c r="E48" s="121">
        <v>-149.76449</v>
      </c>
      <c r="F48" s="121">
        <v>624</v>
      </c>
      <c r="G48" s="121" t="s">
        <v>486</v>
      </c>
      <c r="H48" s="121" t="s">
        <v>475</v>
      </c>
      <c r="I48" s="121" t="s">
        <v>475</v>
      </c>
      <c r="J48" s="121" t="s">
        <v>487</v>
      </c>
      <c r="K48" s="121" t="s">
        <v>475</v>
      </c>
      <c r="L48" s="121" t="s">
        <v>475</v>
      </c>
      <c r="M48" s="127" t="str">
        <f t="shared" si="0"/>
        <v>View on Google Map</v>
      </c>
    </row>
    <row r="49" spans="1:13" x14ac:dyDescent="0.2">
      <c r="A49" s="121">
        <v>473</v>
      </c>
      <c r="B49" s="121" t="s">
        <v>553</v>
      </c>
      <c r="C49" s="121" t="s">
        <v>475</v>
      </c>
      <c r="D49" s="121">
        <v>68.826400000000007</v>
      </c>
      <c r="E49" s="121">
        <v>-149.7585</v>
      </c>
      <c r="F49" s="121">
        <v>592</v>
      </c>
      <c r="G49" s="121" t="s">
        <v>486</v>
      </c>
      <c r="H49" s="121" t="s">
        <v>475</v>
      </c>
      <c r="I49" s="121" t="s">
        <v>475</v>
      </c>
      <c r="J49" s="121" t="s">
        <v>487</v>
      </c>
      <c r="K49" s="121" t="s">
        <v>475</v>
      </c>
      <c r="L49" s="121" t="s">
        <v>475</v>
      </c>
      <c r="M49" s="127" t="str">
        <f t="shared" si="0"/>
        <v>View on Google Map</v>
      </c>
    </row>
    <row r="50" spans="1:13" x14ac:dyDescent="0.2">
      <c r="A50" s="121">
        <v>474</v>
      </c>
      <c r="B50" s="121" t="s">
        <v>554</v>
      </c>
      <c r="C50" s="121" t="s">
        <v>475</v>
      </c>
      <c r="D50" s="121">
        <v>68.827349999999996</v>
      </c>
      <c r="E50" s="121">
        <v>-149.74993000000001</v>
      </c>
      <c r="F50" s="121">
        <v>592</v>
      </c>
      <c r="G50" s="121" t="s">
        <v>486</v>
      </c>
      <c r="H50" s="121" t="s">
        <v>475</v>
      </c>
      <c r="I50" s="121" t="s">
        <v>475</v>
      </c>
      <c r="J50" s="121" t="s">
        <v>487</v>
      </c>
      <c r="K50" s="121" t="s">
        <v>475</v>
      </c>
      <c r="L50" s="121" t="s">
        <v>475</v>
      </c>
      <c r="M50" s="127" t="str">
        <f t="shared" si="0"/>
        <v>View on Google Map</v>
      </c>
    </row>
    <row r="51" spans="1:13" x14ac:dyDescent="0.2">
      <c r="A51" s="121">
        <v>475</v>
      </c>
      <c r="B51" s="121" t="s">
        <v>555</v>
      </c>
      <c r="C51" s="121" t="s">
        <v>475</v>
      </c>
      <c r="D51" s="121">
        <v>68.831180000000003</v>
      </c>
      <c r="E51" s="121">
        <v>-149.74606</v>
      </c>
      <c r="F51" s="121">
        <v>593</v>
      </c>
      <c r="G51" s="121" t="s">
        <v>486</v>
      </c>
      <c r="H51" s="121" t="s">
        <v>556</v>
      </c>
      <c r="I51" s="121" t="s">
        <v>475</v>
      </c>
      <c r="J51" s="121" t="s">
        <v>487</v>
      </c>
      <c r="K51" s="121" t="s">
        <v>475</v>
      </c>
      <c r="L51" s="121" t="s">
        <v>475</v>
      </c>
      <c r="M51" s="127" t="str">
        <f t="shared" si="0"/>
        <v>View on Google Map</v>
      </c>
    </row>
    <row r="52" spans="1:13" x14ac:dyDescent="0.2">
      <c r="A52" s="121">
        <v>476</v>
      </c>
      <c r="B52" s="121" t="s">
        <v>557</v>
      </c>
      <c r="C52" s="121" t="s">
        <v>475</v>
      </c>
      <c r="D52" s="121">
        <v>68.825339999999997</v>
      </c>
      <c r="E52" s="121">
        <v>-149.76837</v>
      </c>
      <c r="F52" s="121">
        <v>621</v>
      </c>
      <c r="G52" s="121" t="s">
        <v>486</v>
      </c>
      <c r="H52" s="121" t="s">
        <v>475</v>
      </c>
      <c r="I52" s="121" t="s">
        <v>475</v>
      </c>
      <c r="J52" s="121" t="s">
        <v>487</v>
      </c>
      <c r="K52" s="121" t="s">
        <v>475</v>
      </c>
      <c r="L52" s="121" t="s">
        <v>475</v>
      </c>
      <c r="M52" s="127" t="str">
        <f t="shared" si="0"/>
        <v>View on Google Map</v>
      </c>
    </row>
    <row r="53" spans="1:13" x14ac:dyDescent="0.2">
      <c r="A53" s="121">
        <v>477</v>
      </c>
      <c r="B53" s="121" t="s">
        <v>558</v>
      </c>
      <c r="C53" s="121" t="s">
        <v>475</v>
      </c>
      <c r="D53" s="121">
        <v>68.821740000000005</v>
      </c>
      <c r="E53" s="121">
        <v>-149.76378</v>
      </c>
      <c r="F53" s="121">
        <v>605</v>
      </c>
      <c r="G53" s="121" t="s">
        <v>486</v>
      </c>
      <c r="H53" s="121" t="s">
        <v>475</v>
      </c>
      <c r="I53" s="121" t="s">
        <v>475</v>
      </c>
      <c r="J53" s="121" t="s">
        <v>487</v>
      </c>
      <c r="K53" s="121" t="s">
        <v>475</v>
      </c>
      <c r="L53" s="121" t="s">
        <v>475</v>
      </c>
      <c r="M53" s="127" t="str">
        <f t="shared" si="0"/>
        <v>View on Google Map</v>
      </c>
    </row>
    <row r="54" spans="1:13" x14ac:dyDescent="0.2">
      <c r="A54" s="121">
        <v>1174</v>
      </c>
      <c r="B54" s="121" t="s">
        <v>559</v>
      </c>
      <c r="C54" s="121" t="s">
        <v>475</v>
      </c>
      <c r="D54" s="121">
        <v>68.933938330000004</v>
      </c>
      <c r="E54" s="121">
        <v>-150.27111830000001</v>
      </c>
      <c r="F54" s="121" t="s">
        <v>475</v>
      </c>
      <c r="G54" s="121" t="s">
        <v>476</v>
      </c>
      <c r="H54" s="121" t="s">
        <v>475</v>
      </c>
      <c r="I54" s="121" t="s">
        <v>475</v>
      </c>
      <c r="J54" s="121" t="s">
        <v>482</v>
      </c>
      <c r="K54" s="121" t="s">
        <v>475</v>
      </c>
      <c r="L54" s="121" t="s">
        <v>483</v>
      </c>
      <c r="M54" s="127" t="str">
        <f t="shared" si="0"/>
        <v>View on Google Map</v>
      </c>
    </row>
    <row r="55" spans="1:13" x14ac:dyDescent="0.2">
      <c r="A55" s="121">
        <v>242</v>
      </c>
      <c r="B55" s="121" t="s">
        <v>560</v>
      </c>
      <c r="C55" s="121" t="s">
        <v>475</v>
      </c>
      <c r="D55" s="121" t="s">
        <v>475</v>
      </c>
      <c r="E55" s="121" t="s">
        <v>475</v>
      </c>
      <c r="F55" s="121">
        <v>390.2439024390244</v>
      </c>
      <c r="G55" s="121" t="s">
        <v>486</v>
      </c>
      <c r="H55" s="121" t="s">
        <v>475</v>
      </c>
      <c r="I55" s="121" t="s">
        <v>475</v>
      </c>
      <c r="J55" s="121" t="s">
        <v>501</v>
      </c>
      <c r="K55" s="121" t="s">
        <v>475</v>
      </c>
      <c r="L55" s="121" t="s">
        <v>561</v>
      </c>
      <c r="M55" s="127" t="str">
        <f t="shared" si="0"/>
        <v>View on Google Map</v>
      </c>
    </row>
    <row r="56" spans="1:13" x14ac:dyDescent="0.2">
      <c r="A56" s="121">
        <v>192</v>
      </c>
      <c r="B56" s="121" t="s">
        <v>562</v>
      </c>
      <c r="C56" s="121" t="s">
        <v>475</v>
      </c>
      <c r="D56" s="121">
        <v>69.233333333333334</v>
      </c>
      <c r="E56" s="121">
        <v>-148.94999999999999</v>
      </c>
      <c r="F56" s="121">
        <v>325</v>
      </c>
      <c r="G56" s="121" t="s">
        <v>486</v>
      </c>
      <c r="H56" s="121" t="s">
        <v>563</v>
      </c>
      <c r="I56" s="121" t="s">
        <v>475</v>
      </c>
      <c r="J56" s="121" t="s">
        <v>501</v>
      </c>
      <c r="K56" s="121" t="s">
        <v>475</v>
      </c>
      <c r="L56" s="121" t="s">
        <v>564</v>
      </c>
      <c r="M56" s="127" t="str">
        <f t="shared" si="0"/>
        <v>View on Google Map</v>
      </c>
    </row>
    <row r="57" spans="1:13" x14ac:dyDescent="0.2">
      <c r="A57" s="121">
        <v>277</v>
      </c>
      <c r="B57" s="121" t="s">
        <v>562</v>
      </c>
      <c r="C57" s="121" t="s">
        <v>475</v>
      </c>
      <c r="D57" s="121">
        <v>70.374600000000001</v>
      </c>
      <c r="E57" s="121">
        <v>-149.06383333333332</v>
      </c>
      <c r="F57" s="121">
        <v>6</v>
      </c>
      <c r="G57" s="121" t="s">
        <v>486</v>
      </c>
      <c r="H57" s="121" t="s">
        <v>565</v>
      </c>
      <c r="I57" s="121" t="s">
        <v>475</v>
      </c>
      <c r="J57" s="121" t="s">
        <v>501</v>
      </c>
      <c r="K57" s="121" t="s">
        <v>475</v>
      </c>
      <c r="L57" s="121" t="s">
        <v>566</v>
      </c>
      <c r="M57" s="127" t="str">
        <f t="shared" si="0"/>
        <v>View on Google Map</v>
      </c>
    </row>
    <row r="58" spans="1:13" x14ac:dyDescent="0.2">
      <c r="A58" s="121">
        <v>193</v>
      </c>
      <c r="B58" s="121" t="s">
        <v>567</v>
      </c>
      <c r="C58" s="121" t="s">
        <v>475</v>
      </c>
      <c r="D58" s="121">
        <v>69.283333333333331</v>
      </c>
      <c r="E58" s="121">
        <v>-148.9</v>
      </c>
      <c r="F58" s="121">
        <v>346</v>
      </c>
      <c r="G58" s="121" t="s">
        <v>486</v>
      </c>
      <c r="H58" s="121" t="s">
        <v>568</v>
      </c>
      <c r="I58" s="121" t="s">
        <v>475</v>
      </c>
      <c r="J58" s="121" t="s">
        <v>501</v>
      </c>
      <c r="K58" s="121" t="s">
        <v>475</v>
      </c>
      <c r="L58" s="121" t="s">
        <v>564</v>
      </c>
      <c r="M58" s="127" t="str">
        <f t="shared" si="0"/>
        <v>View on Google Map</v>
      </c>
    </row>
    <row r="59" spans="1:13" x14ac:dyDescent="0.2">
      <c r="A59" s="121">
        <v>278</v>
      </c>
      <c r="B59" s="121" t="s">
        <v>567</v>
      </c>
      <c r="C59" s="121" t="s">
        <v>475</v>
      </c>
      <c r="D59" s="121">
        <v>70.374600000000001</v>
      </c>
      <c r="E59" s="121">
        <v>-149.06383333333332</v>
      </c>
      <c r="F59" s="121">
        <v>6</v>
      </c>
      <c r="G59" s="121" t="s">
        <v>486</v>
      </c>
      <c r="H59" s="121" t="s">
        <v>569</v>
      </c>
      <c r="I59" s="121" t="s">
        <v>475</v>
      </c>
      <c r="J59" s="121" t="s">
        <v>501</v>
      </c>
      <c r="K59" s="121" t="s">
        <v>475</v>
      </c>
      <c r="L59" s="121" t="s">
        <v>566</v>
      </c>
      <c r="M59" s="127" t="str">
        <f t="shared" si="0"/>
        <v>View on Google Map</v>
      </c>
    </row>
    <row r="60" spans="1:13" x14ac:dyDescent="0.2">
      <c r="A60" s="121">
        <v>194</v>
      </c>
      <c r="B60" s="121" t="s">
        <v>570</v>
      </c>
      <c r="C60" s="121" t="s">
        <v>475</v>
      </c>
      <c r="D60" s="121">
        <v>69.716666666666669</v>
      </c>
      <c r="E60" s="121">
        <v>-149.44999999999999</v>
      </c>
      <c r="F60" s="121">
        <v>91</v>
      </c>
      <c r="G60" s="121" t="s">
        <v>486</v>
      </c>
      <c r="H60" s="121" t="s">
        <v>571</v>
      </c>
      <c r="I60" s="121" t="s">
        <v>475</v>
      </c>
      <c r="J60" s="121" t="s">
        <v>501</v>
      </c>
      <c r="K60" s="121" t="s">
        <v>475</v>
      </c>
      <c r="L60" s="121" t="s">
        <v>564</v>
      </c>
      <c r="M60" s="127" t="str">
        <f t="shared" si="0"/>
        <v>View on Google Map</v>
      </c>
    </row>
    <row r="61" spans="1:13" x14ac:dyDescent="0.2">
      <c r="A61" s="121">
        <v>279</v>
      </c>
      <c r="B61" s="121" t="s">
        <v>570</v>
      </c>
      <c r="C61" s="121" t="s">
        <v>475</v>
      </c>
      <c r="D61" s="121">
        <v>70.367750000000001</v>
      </c>
      <c r="E61" s="121">
        <v>-148.8357</v>
      </c>
      <c r="F61" s="121">
        <v>6</v>
      </c>
      <c r="G61" s="121" t="s">
        <v>486</v>
      </c>
      <c r="H61" s="121" t="s">
        <v>572</v>
      </c>
      <c r="I61" s="121" t="s">
        <v>475</v>
      </c>
      <c r="J61" s="121" t="s">
        <v>501</v>
      </c>
      <c r="K61" s="121" t="s">
        <v>475</v>
      </c>
      <c r="L61" s="121" t="s">
        <v>566</v>
      </c>
      <c r="M61" s="127" t="str">
        <f t="shared" si="0"/>
        <v>View on Google Map</v>
      </c>
    </row>
    <row r="62" spans="1:13" x14ac:dyDescent="0.2">
      <c r="A62" s="121">
        <v>195</v>
      </c>
      <c r="B62" s="121" t="s">
        <v>573</v>
      </c>
      <c r="C62" s="121" t="s">
        <v>475</v>
      </c>
      <c r="D62" s="121">
        <v>69.716666666666669</v>
      </c>
      <c r="E62" s="121">
        <v>-149.44999999999999</v>
      </c>
      <c r="F62" s="121">
        <v>91</v>
      </c>
      <c r="G62" s="121" t="s">
        <v>486</v>
      </c>
      <c r="H62" s="121" t="s">
        <v>574</v>
      </c>
      <c r="I62" s="121" t="s">
        <v>475</v>
      </c>
      <c r="J62" s="121" t="s">
        <v>501</v>
      </c>
      <c r="K62" s="121" t="s">
        <v>475</v>
      </c>
      <c r="L62" s="121" t="s">
        <v>564</v>
      </c>
      <c r="M62" s="127" t="str">
        <f t="shared" si="0"/>
        <v>View on Google Map</v>
      </c>
    </row>
    <row r="63" spans="1:13" x14ac:dyDescent="0.2">
      <c r="A63" s="121">
        <v>280</v>
      </c>
      <c r="B63" s="121" t="s">
        <v>573</v>
      </c>
      <c r="C63" s="121" t="s">
        <v>475</v>
      </c>
      <c r="D63" s="121">
        <v>70.367750000000001</v>
      </c>
      <c r="E63" s="121">
        <v>-148.8357</v>
      </c>
      <c r="F63" s="121">
        <v>6</v>
      </c>
      <c r="G63" s="121" t="s">
        <v>486</v>
      </c>
      <c r="H63" s="121" t="s">
        <v>575</v>
      </c>
      <c r="I63" s="121" t="s">
        <v>475</v>
      </c>
      <c r="J63" s="121" t="s">
        <v>501</v>
      </c>
      <c r="K63" s="121" t="s">
        <v>475</v>
      </c>
      <c r="L63" s="121" t="s">
        <v>566</v>
      </c>
      <c r="M63" s="127" t="str">
        <f t="shared" si="0"/>
        <v>View on Google Map</v>
      </c>
    </row>
    <row r="64" spans="1:13" x14ac:dyDescent="0.2">
      <c r="A64" s="121">
        <v>196</v>
      </c>
      <c r="B64" s="121" t="s">
        <v>576</v>
      </c>
      <c r="C64" s="121" t="s">
        <v>475</v>
      </c>
      <c r="D64" s="121">
        <v>69.833333333333329</v>
      </c>
      <c r="E64" s="121">
        <v>-149.75</v>
      </c>
      <c r="F64" s="121">
        <v>80</v>
      </c>
      <c r="G64" s="121" t="s">
        <v>486</v>
      </c>
      <c r="H64" s="121" t="s">
        <v>577</v>
      </c>
      <c r="I64" s="121" t="s">
        <v>475</v>
      </c>
      <c r="J64" s="121" t="s">
        <v>501</v>
      </c>
      <c r="K64" s="121" t="s">
        <v>475</v>
      </c>
      <c r="L64" s="121" t="s">
        <v>564</v>
      </c>
      <c r="M64" s="127" t="str">
        <f t="shared" si="0"/>
        <v>View on Google Map</v>
      </c>
    </row>
    <row r="65" spans="1:13" x14ac:dyDescent="0.2">
      <c r="A65" s="121">
        <v>281</v>
      </c>
      <c r="B65" s="121" t="s">
        <v>576</v>
      </c>
      <c r="C65" s="121" t="s">
        <v>475</v>
      </c>
      <c r="D65" s="121">
        <v>70.26821666666666</v>
      </c>
      <c r="E65" s="121">
        <v>-149.20859999999999</v>
      </c>
      <c r="F65" s="121">
        <v>15</v>
      </c>
      <c r="G65" s="121" t="s">
        <v>486</v>
      </c>
      <c r="H65" s="121" t="s">
        <v>578</v>
      </c>
      <c r="I65" s="121" t="s">
        <v>475</v>
      </c>
      <c r="J65" s="121" t="s">
        <v>501</v>
      </c>
      <c r="K65" s="121" t="s">
        <v>475</v>
      </c>
      <c r="L65" s="121" t="s">
        <v>566</v>
      </c>
      <c r="M65" s="127" t="str">
        <f t="shared" si="0"/>
        <v>View on Google Map</v>
      </c>
    </row>
    <row r="66" spans="1:13" x14ac:dyDescent="0.2">
      <c r="A66" s="121">
        <v>197</v>
      </c>
      <c r="B66" s="121" t="s">
        <v>579</v>
      </c>
      <c r="C66" s="121" t="s">
        <v>475</v>
      </c>
      <c r="D66" s="121">
        <v>70.283333333333331</v>
      </c>
      <c r="E66" s="121">
        <v>-150.19999999999999</v>
      </c>
      <c r="F66" s="121">
        <v>12</v>
      </c>
      <c r="G66" s="121" t="s">
        <v>486</v>
      </c>
      <c r="H66" s="121" t="s">
        <v>580</v>
      </c>
      <c r="I66" s="121" t="s">
        <v>475</v>
      </c>
      <c r="J66" s="121" t="s">
        <v>501</v>
      </c>
      <c r="K66" s="121" t="s">
        <v>475</v>
      </c>
      <c r="L66" s="121" t="s">
        <v>564</v>
      </c>
      <c r="M66" s="127" t="str">
        <f t="shared" si="0"/>
        <v>View on Google Map</v>
      </c>
    </row>
    <row r="67" spans="1:13" x14ac:dyDescent="0.2">
      <c r="A67" s="121">
        <v>282</v>
      </c>
      <c r="B67" s="121" t="s">
        <v>579</v>
      </c>
      <c r="C67" s="121" t="s">
        <v>475</v>
      </c>
      <c r="D67" s="121">
        <v>70.26821666666666</v>
      </c>
      <c r="E67" s="121">
        <v>-149.20859999999999</v>
      </c>
      <c r="F67" s="121">
        <v>15</v>
      </c>
      <c r="G67" s="121" t="s">
        <v>486</v>
      </c>
      <c r="H67" s="121" t="s">
        <v>581</v>
      </c>
      <c r="I67" s="121" t="s">
        <v>475</v>
      </c>
      <c r="J67" s="121" t="s">
        <v>501</v>
      </c>
      <c r="K67" s="121" t="s">
        <v>475</v>
      </c>
      <c r="L67" s="121" t="s">
        <v>566</v>
      </c>
      <c r="M67" s="127" t="str">
        <f t="shared" ref="M67:M130" si="1">HYPERLINK("http://maps.google.com/maps?q="&amp;D67&amp;","&amp;E67,"View on Google Map")</f>
        <v>View on Google Map</v>
      </c>
    </row>
    <row r="68" spans="1:13" x14ac:dyDescent="0.2">
      <c r="A68" s="121">
        <v>198</v>
      </c>
      <c r="B68" s="121" t="s">
        <v>582</v>
      </c>
      <c r="C68" s="121" t="s">
        <v>475</v>
      </c>
      <c r="D68" s="121">
        <v>70.283333333333331</v>
      </c>
      <c r="E68" s="121">
        <v>-150.19999999999999</v>
      </c>
      <c r="F68" s="121">
        <v>12</v>
      </c>
      <c r="G68" s="121" t="s">
        <v>486</v>
      </c>
      <c r="H68" s="121" t="s">
        <v>583</v>
      </c>
      <c r="I68" s="121" t="s">
        <v>475</v>
      </c>
      <c r="J68" s="121" t="s">
        <v>501</v>
      </c>
      <c r="K68" s="121" t="s">
        <v>475</v>
      </c>
      <c r="L68" s="121" t="s">
        <v>564</v>
      </c>
      <c r="M68" s="127" t="str">
        <f t="shared" si="1"/>
        <v>View on Google Map</v>
      </c>
    </row>
    <row r="69" spans="1:13" x14ac:dyDescent="0.2">
      <c r="A69" s="121">
        <v>283</v>
      </c>
      <c r="B69" s="121" t="s">
        <v>582</v>
      </c>
      <c r="C69" s="121" t="s">
        <v>475</v>
      </c>
      <c r="D69" s="121">
        <v>70.184266666666673</v>
      </c>
      <c r="E69" s="121">
        <v>-149.15443333333334</v>
      </c>
      <c r="F69" s="121">
        <v>15</v>
      </c>
      <c r="G69" s="121" t="s">
        <v>486</v>
      </c>
      <c r="H69" s="121" t="s">
        <v>584</v>
      </c>
      <c r="I69" s="121" t="s">
        <v>475</v>
      </c>
      <c r="J69" s="121" t="s">
        <v>501</v>
      </c>
      <c r="K69" s="121" t="s">
        <v>475</v>
      </c>
      <c r="L69" s="121" t="s">
        <v>566</v>
      </c>
      <c r="M69" s="127" t="str">
        <f t="shared" si="1"/>
        <v>View on Google Map</v>
      </c>
    </row>
    <row r="70" spans="1:13" x14ac:dyDescent="0.2">
      <c r="A70" s="121">
        <v>199</v>
      </c>
      <c r="B70" s="121" t="s">
        <v>585</v>
      </c>
      <c r="C70" s="121" t="s">
        <v>475</v>
      </c>
      <c r="D70" s="121">
        <v>70.416666666666671</v>
      </c>
      <c r="E70" s="121">
        <v>-150.19999999999999</v>
      </c>
      <c r="F70" s="121">
        <v>4</v>
      </c>
      <c r="G70" s="121" t="s">
        <v>486</v>
      </c>
      <c r="H70" s="121" t="s">
        <v>586</v>
      </c>
      <c r="I70" s="121" t="s">
        <v>475</v>
      </c>
      <c r="J70" s="121" t="s">
        <v>501</v>
      </c>
      <c r="K70" s="121" t="s">
        <v>475</v>
      </c>
      <c r="L70" s="121" t="s">
        <v>564</v>
      </c>
      <c r="M70" s="127" t="str">
        <f t="shared" si="1"/>
        <v>View on Google Map</v>
      </c>
    </row>
    <row r="71" spans="1:13" x14ac:dyDescent="0.2">
      <c r="A71" s="121">
        <v>284</v>
      </c>
      <c r="B71" s="121" t="s">
        <v>585</v>
      </c>
      <c r="C71" s="121" t="s">
        <v>475</v>
      </c>
      <c r="D71" s="121">
        <v>70.184266666666673</v>
      </c>
      <c r="E71" s="121">
        <v>-149.15443333333334</v>
      </c>
      <c r="F71" s="121">
        <v>15</v>
      </c>
      <c r="G71" s="121" t="s">
        <v>486</v>
      </c>
      <c r="H71" s="121" t="s">
        <v>587</v>
      </c>
      <c r="I71" s="121" t="s">
        <v>475</v>
      </c>
      <c r="J71" s="121" t="s">
        <v>501</v>
      </c>
      <c r="K71" s="121" t="s">
        <v>475</v>
      </c>
      <c r="L71" s="121" t="s">
        <v>566</v>
      </c>
      <c r="M71" s="127" t="str">
        <f t="shared" si="1"/>
        <v>View on Google Map</v>
      </c>
    </row>
    <row r="72" spans="1:13" x14ac:dyDescent="0.2">
      <c r="A72" s="121">
        <v>200</v>
      </c>
      <c r="B72" s="121" t="s">
        <v>588</v>
      </c>
      <c r="C72" s="121" t="s">
        <v>475</v>
      </c>
      <c r="D72" s="121">
        <v>70.283333333333331</v>
      </c>
      <c r="E72" s="121">
        <v>-149.81666666666666</v>
      </c>
      <c r="F72" s="121">
        <v>28.963414634146343</v>
      </c>
      <c r="G72" s="121" t="s">
        <v>486</v>
      </c>
      <c r="H72" s="121" t="s">
        <v>589</v>
      </c>
      <c r="I72" s="121" t="s">
        <v>475</v>
      </c>
      <c r="J72" s="121" t="s">
        <v>501</v>
      </c>
      <c r="K72" s="121" t="s">
        <v>475</v>
      </c>
      <c r="L72" s="121" t="s">
        <v>564</v>
      </c>
      <c r="M72" s="127" t="str">
        <f t="shared" si="1"/>
        <v>View on Google Map</v>
      </c>
    </row>
    <row r="73" spans="1:13" x14ac:dyDescent="0.2">
      <c r="A73" s="121">
        <v>285</v>
      </c>
      <c r="B73" s="121" t="s">
        <v>588</v>
      </c>
      <c r="C73" s="121" t="s">
        <v>475</v>
      </c>
      <c r="D73" s="121">
        <v>70.126099999999994</v>
      </c>
      <c r="E73" s="121">
        <v>-149.33773333333335</v>
      </c>
      <c r="F73" s="121">
        <v>30</v>
      </c>
      <c r="G73" s="121" t="s">
        <v>486</v>
      </c>
      <c r="H73" s="121" t="s">
        <v>590</v>
      </c>
      <c r="I73" s="121" t="s">
        <v>475</v>
      </c>
      <c r="J73" s="121" t="s">
        <v>501</v>
      </c>
      <c r="K73" s="121" t="s">
        <v>475</v>
      </c>
      <c r="L73" s="121" t="s">
        <v>566</v>
      </c>
      <c r="M73" s="127" t="str">
        <f t="shared" si="1"/>
        <v>View on Google Map</v>
      </c>
    </row>
    <row r="74" spans="1:13" x14ac:dyDescent="0.2">
      <c r="A74" s="121">
        <v>201</v>
      </c>
      <c r="B74" s="121" t="s">
        <v>591</v>
      </c>
      <c r="C74" s="121" t="s">
        <v>475</v>
      </c>
      <c r="D74" s="121">
        <v>70.283333333333331</v>
      </c>
      <c r="E74" s="121">
        <v>-149.81666666666666</v>
      </c>
      <c r="F74" s="121">
        <v>28.963414634146343</v>
      </c>
      <c r="G74" s="121" t="s">
        <v>486</v>
      </c>
      <c r="H74" s="121" t="s">
        <v>592</v>
      </c>
      <c r="I74" s="121" t="s">
        <v>475</v>
      </c>
      <c r="J74" s="121" t="s">
        <v>501</v>
      </c>
      <c r="K74" s="121" t="s">
        <v>475</v>
      </c>
      <c r="L74" s="121" t="s">
        <v>564</v>
      </c>
      <c r="M74" s="127" t="str">
        <f t="shared" si="1"/>
        <v>View on Google Map</v>
      </c>
    </row>
    <row r="75" spans="1:13" x14ac:dyDescent="0.2">
      <c r="A75" s="121">
        <v>286</v>
      </c>
      <c r="B75" s="121" t="s">
        <v>591</v>
      </c>
      <c r="C75" s="121" t="s">
        <v>475</v>
      </c>
      <c r="D75" s="121">
        <v>70.126099999999994</v>
      </c>
      <c r="E75" s="121">
        <v>-149.33773333333335</v>
      </c>
      <c r="F75" s="121">
        <v>30</v>
      </c>
      <c r="G75" s="121" t="s">
        <v>486</v>
      </c>
      <c r="H75" s="121" t="s">
        <v>593</v>
      </c>
      <c r="I75" s="121" t="s">
        <v>475</v>
      </c>
      <c r="J75" s="121" t="s">
        <v>501</v>
      </c>
      <c r="K75" s="121" t="s">
        <v>475</v>
      </c>
      <c r="L75" s="121" t="s">
        <v>566</v>
      </c>
      <c r="M75" s="127" t="str">
        <f t="shared" si="1"/>
        <v>View on Google Map</v>
      </c>
    </row>
    <row r="76" spans="1:13" x14ac:dyDescent="0.2">
      <c r="A76" s="121">
        <v>202</v>
      </c>
      <c r="B76" s="121" t="s">
        <v>594</v>
      </c>
      <c r="C76" s="121" t="s">
        <v>475</v>
      </c>
      <c r="D76" s="121">
        <v>70.45</v>
      </c>
      <c r="E76" s="121">
        <v>-149.16666666666666</v>
      </c>
      <c r="F76" s="121">
        <v>4.8780487804878048</v>
      </c>
      <c r="G76" s="121" t="s">
        <v>486</v>
      </c>
      <c r="H76" s="121" t="s">
        <v>595</v>
      </c>
      <c r="I76" s="121" t="s">
        <v>475</v>
      </c>
      <c r="J76" s="121" t="s">
        <v>501</v>
      </c>
      <c r="K76" s="121" t="s">
        <v>475</v>
      </c>
      <c r="L76" s="121" t="s">
        <v>564</v>
      </c>
      <c r="M76" s="127" t="str">
        <f t="shared" si="1"/>
        <v>View on Google Map</v>
      </c>
    </row>
    <row r="77" spans="1:13" x14ac:dyDescent="0.2">
      <c r="A77" s="121">
        <v>287</v>
      </c>
      <c r="B77" s="121" t="s">
        <v>594</v>
      </c>
      <c r="C77" s="121" t="s">
        <v>475</v>
      </c>
      <c r="D77" s="121">
        <v>69.9221</v>
      </c>
      <c r="E77" s="121">
        <v>-149.34523333333334</v>
      </c>
      <c r="F77" s="121">
        <v>61</v>
      </c>
      <c r="G77" s="121" t="s">
        <v>486</v>
      </c>
      <c r="H77" s="121" t="s">
        <v>596</v>
      </c>
      <c r="I77" s="121" t="s">
        <v>475</v>
      </c>
      <c r="J77" s="121" t="s">
        <v>501</v>
      </c>
      <c r="K77" s="121" t="s">
        <v>475</v>
      </c>
      <c r="L77" s="121" t="s">
        <v>566</v>
      </c>
      <c r="M77" s="127" t="str">
        <f t="shared" si="1"/>
        <v>View on Google Map</v>
      </c>
    </row>
    <row r="78" spans="1:13" x14ac:dyDescent="0.2">
      <c r="A78" s="121">
        <v>203</v>
      </c>
      <c r="B78" s="121" t="s">
        <v>597</v>
      </c>
      <c r="C78" s="121" t="s">
        <v>475</v>
      </c>
      <c r="D78" s="121">
        <v>70.233333333333334</v>
      </c>
      <c r="E78" s="121">
        <v>-148.88333333333333</v>
      </c>
      <c r="F78" s="121">
        <v>17.682926829268293</v>
      </c>
      <c r="G78" s="121" t="s">
        <v>486</v>
      </c>
      <c r="H78" s="121" t="s">
        <v>598</v>
      </c>
      <c r="I78" s="121" t="s">
        <v>475</v>
      </c>
      <c r="J78" s="121" t="s">
        <v>501</v>
      </c>
      <c r="K78" s="121" t="s">
        <v>475</v>
      </c>
      <c r="L78" s="121" t="s">
        <v>564</v>
      </c>
      <c r="M78" s="127" t="str">
        <f t="shared" si="1"/>
        <v>View on Google Map</v>
      </c>
    </row>
    <row r="79" spans="1:13" x14ac:dyDescent="0.2">
      <c r="A79" s="121">
        <v>288</v>
      </c>
      <c r="B79" s="121" t="s">
        <v>597</v>
      </c>
      <c r="C79" s="121" t="s">
        <v>475</v>
      </c>
      <c r="D79" s="121">
        <v>69.9221</v>
      </c>
      <c r="E79" s="121">
        <v>-149.34523333333334</v>
      </c>
      <c r="F79" s="121">
        <v>61</v>
      </c>
      <c r="G79" s="121" t="s">
        <v>486</v>
      </c>
      <c r="H79" s="121" t="s">
        <v>599</v>
      </c>
      <c r="I79" s="121" t="s">
        <v>475</v>
      </c>
      <c r="J79" s="121" t="s">
        <v>501</v>
      </c>
      <c r="K79" s="121" t="s">
        <v>475</v>
      </c>
      <c r="L79" s="121" t="s">
        <v>566</v>
      </c>
      <c r="M79" s="127" t="str">
        <f t="shared" si="1"/>
        <v>View on Google Map</v>
      </c>
    </row>
    <row r="80" spans="1:13" x14ac:dyDescent="0.2">
      <c r="A80" s="121">
        <v>204</v>
      </c>
      <c r="B80" s="121" t="s">
        <v>600</v>
      </c>
      <c r="C80" s="121" t="s">
        <v>475</v>
      </c>
      <c r="D80" s="121">
        <v>70.233333333333334</v>
      </c>
      <c r="E80" s="121">
        <v>-148.88333333333333</v>
      </c>
      <c r="F80" s="121">
        <v>17.682926829268293</v>
      </c>
      <c r="G80" s="121" t="s">
        <v>486</v>
      </c>
      <c r="H80" s="121" t="s">
        <v>601</v>
      </c>
      <c r="I80" s="121" t="s">
        <v>475</v>
      </c>
      <c r="J80" s="121" t="s">
        <v>501</v>
      </c>
      <c r="K80" s="121" t="s">
        <v>475</v>
      </c>
      <c r="L80" s="121" t="s">
        <v>564</v>
      </c>
      <c r="M80" s="127" t="str">
        <f t="shared" si="1"/>
        <v>View on Google Map</v>
      </c>
    </row>
    <row r="81" spans="1:13" x14ac:dyDescent="0.2">
      <c r="A81" s="121">
        <v>289</v>
      </c>
      <c r="B81" s="121" t="s">
        <v>600</v>
      </c>
      <c r="C81" s="121" t="s">
        <v>475</v>
      </c>
      <c r="D81" s="121">
        <v>69.986533333333327</v>
      </c>
      <c r="E81" s="121">
        <v>-150.08543333333333</v>
      </c>
      <c r="F81" s="121">
        <v>125</v>
      </c>
      <c r="G81" s="121" t="s">
        <v>486</v>
      </c>
      <c r="H81" s="121" t="s">
        <v>602</v>
      </c>
      <c r="I81" s="121" t="s">
        <v>475</v>
      </c>
      <c r="J81" s="121" t="s">
        <v>501</v>
      </c>
      <c r="K81" s="121" t="s">
        <v>475</v>
      </c>
      <c r="L81" s="121" t="s">
        <v>566</v>
      </c>
      <c r="M81" s="127" t="str">
        <f t="shared" si="1"/>
        <v>View on Google Map</v>
      </c>
    </row>
    <row r="82" spans="1:13" x14ac:dyDescent="0.2">
      <c r="A82" s="121">
        <v>205</v>
      </c>
      <c r="B82" s="121" t="s">
        <v>603</v>
      </c>
      <c r="C82" s="121" t="s">
        <v>475</v>
      </c>
      <c r="D82" s="121">
        <v>70.13333333333334</v>
      </c>
      <c r="E82" s="121">
        <v>-148.6</v>
      </c>
      <c r="F82" s="121">
        <v>24.390243902439025</v>
      </c>
      <c r="G82" s="121" t="s">
        <v>486</v>
      </c>
      <c r="H82" s="121" t="s">
        <v>604</v>
      </c>
      <c r="I82" s="121" t="s">
        <v>475</v>
      </c>
      <c r="J82" s="121" t="s">
        <v>501</v>
      </c>
      <c r="K82" s="121" t="s">
        <v>475</v>
      </c>
      <c r="L82" s="121" t="s">
        <v>564</v>
      </c>
      <c r="M82" s="127" t="str">
        <f t="shared" si="1"/>
        <v>View on Google Map</v>
      </c>
    </row>
    <row r="83" spans="1:13" x14ac:dyDescent="0.2">
      <c r="A83" s="121">
        <v>290</v>
      </c>
      <c r="B83" s="121" t="s">
        <v>603</v>
      </c>
      <c r="C83" s="121" t="s">
        <v>475</v>
      </c>
      <c r="D83" s="121">
        <v>69.986533333333327</v>
      </c>
      <c r="E83" s="121">
        <v>-150.08543333333333</v>
      </c>
      <c r="F83" s="121">
        <v>125</v>
      </c>
      <c r="G83" s="121" t="s">
        <v>486</v>
      </c>
      <c r="H83" s="121" t="s">
        <v>605</v>
      </c>
      <c r="I83" s="121" t="s">
        <v>475</v>
      </c>
      <c r="J83" s="121" t="s">
        <v>501</v>
      </c>
      <c r="K83" s="121" t="s">
        <v>475</v>
      </c>
      <c r="L83" s="121" t="s">
        <v>566</v>
      </c>
      <c r="M83" s="127" t="str">
        <f t="shared" si="1"/>
        <v>View on Google Map</v>
      </c>
    </row>
    <row r="84" spans="1:13" x14ac:dyDescent="0.2">
      <c r="A84" s="121">
        <v>291</v>
      </c>
      <c r="B84" s="121" t="s">
        <v>606</v>
      </c>
      <c r="C84" s="121" t="s">
        <v>475</v>
      </c>
      <c r="D84" s="121">
        <v>69.639166666666668</v>
      </c>
      <c r="E84" s="121">
        <v>-149.73946666666666</v>
      </c>
      <c r="F84" s="121">
        <v>91</v>
      </c>
      <c r="G84" s="121" t="s">
        <v>486</v>
      </c>
      <c r="H84" s="121" t="s">
        <v>607</v>
      </c>
      <c r="I84" s="121" t="s">
        <v>475</v>
      </c>
      <c r="J84" s="121" t="s">
        <v>501</v>
      </c>
      <c r="K84" s="121" t="s">
        <v>475</v>
      </c>
      <c r="L84" s="121" t="s">
        <v>566</v>
      </c>
      <c r="M84" s="127" t="str">
        <f t="shared" si="1"/>
        <v>View on Google Map</v>
      </c>
    </row>
    <row r="85" spans="1:13" x14ac:dyDescent="0.2">
      <c r="A85" s="121">
        <v>206</v>
      </c>
      <c r="B85" s="121" t="s">
        <v>608</v>
      </c>
      <c r="C85" s="121" t="s">
        <v>475</v>
      </c>
      <c r="D85" s="121">
        <v>70.11666666666666</v>
      </c>
      <c r="E85" s="121">
        <v>-146.16666666666666</v>
      </c>
      <c r="F85" s="121">
        <v>3.0487804878048781</v>
      </c>
      <c r="G85" s="121" t="s">
        <v>486</v>
      </c>
      <c r="H85" s="121" t="s">
        <v>609</v>
      </c>
      <c r="I85" s="121" t="s">
        <v>475</v>
      </c>
      <c r="J85" s="121" t="s">
        <v>501</v>
      </c>
      <c r="K85" s="121" t="s">
        <v>475</v>
      </c>
      <c r="L85" s="121" t="s">
        <v>564</v>
      </c>
      <c r="M85" s="127" t="str">
        <f t="shared" si="1"/>
        <v>View on Google Map</v>
      </c>
    </row>
    <row r="86" spans="1:13" x14ac:dyDescent="0.2">
      <c r="A86" s="121">
        <v>292</v>
      </c>
      <c r="B86" s="121" t="s">
        <v>608</v>
      </c>
      <c r="C86" s="121" t="s">
        <v>475</v>
      </c>
      <c r="D86" s="121">
        <v>69.639166666666668</v>
      </c>
      <c r="E86" s="121">
        <v>-149.73946666666666</v>
      </c>
      <c r="F86" s="121">
        <v>91</v>
      </c>
      <c r="G86" s="121" t="s">
        <v>486</v>
      </c>
      <c r="H86" s="121" t="s">
        <v>610</v>
      </c>
      <c r="I86" s="121" t="s">
        <v>475</v>
      </c>
      <c r="J86" s="121" t="s">
        <v>501</v>
      </c>
      <c r="K86" s="121" t="s">
        <v>475</v>
      </c>
      <c r="L86" s="121" t="s">
        <v>566</v>
      </c>
      <c r="M86" s="127" t="str">
        <f t="shared" si="1"/>
        <v>View on Google Map</v>
      </c>
    </row>
    <row r="87" spans="1:13" x14ac:dyDescent="0.2">
      <c r="A87" s="121">
        <v>207</v>
      </c>
      <c r="B87" s="121" t="s">
        <v>611</v>
      </c>
      <c r="C87" s="121" t="s">
        <v>475</v>
      </c>
      <c r="D87" s="121">
        <v>70.099999999999994</v>
      </c>
      <c r="E87" s="121">
        <v>-146.26666666666668</v>
      </c>
      <c r="F87" s="121">
        <v>9.1463414634146343</v>
      </c>
      <c r="G87" s="121" t="s">
        <v>486</v>
      </c>
      <c r="H87" s="121" t="s">
        <v>612</v>
      </c>
      <c r="I87" s="121" t="s">
        <v>475</v>
      </c>
      <c r="J87" s="121" t="s">
        <v>501</v>
      </c>
      <c r="K87" s="121" t="s">
        <v>475</v>
      </c>
      <c r="L87" s="121" t="s">
        <v>564</v>
      </c>
      <c r="M87" s="127" t="str">
        <f t="shared" si="1"/>
        <v>View on Google Map</v>
      </c>
    </row>
    <row r="88" spans="1:13" x14ac:dyDescent="0.2">
      <c r="A88" s="121">
        <v>293</v>
      </c>
      <c r="B88" s="121" t="s">
        <v>611</v>
      </c>
      <c r="C88" s="121" t="s">
        <v>475</v>
      </c>
      <c r="D88" s="121">
        <v>68.820783333333338</v>
      </c>
      <c r="E88" s="121">
        <v>-149.7646</v>
      </c>
      <c r="F88" s="121">
        <v>579</v>
      </c>
      <c r="G88" s="121" t="s">
        <v>486</v>
      </c>
      <c r="H88" s="121" t="s">
        <v>613</v>
      </c>
      <c r="I88" s="121" t="s">
        <v>475</v>
      </c>
      <c r="J88" s="121" t="s">
        <v>501</v>
      </c>
      <c r="K88" s="121" t="s">
        <v>475</v>
      </c>
      <c r="L88" s="121" t="s">
        <v>566</v>
      </c>
      <c r="M88" s="127" t="str">
        <f t="shared" si="1"/>
        <v>View on Google Map</v>
      </c>
    </row>
    <row r="89" spans="1:13" x14ac:dyDescent="0.2">
      <c r="A89" s="121">
        <v>208</v>
      </c>
      <c r="B89" s="121" t="s">
        <v>614</v>
      </c>
      <c r="C89" s="121" t="s">
        <v>475</v>
      </c>
      <c r="D89" s="121">
        <v>70.05</v>
      </c>
      <c r="E89" s="121">
        <v>-146.98333333333332</v>
      </c>
      <c r="F89" s="121">
        <v>24.390243902439025</v>
      </c>
      <c r="G89" s="121" t="s">
        <v>486</v>
      </c>
      <c r="H89" s="121" t="s">
        <v>615</v>
      </c>
      <c r="I89" s="121" t="s">
        <v>475</v>
      </c>
      <c r="J89" s="121" t="s">
        <v>501</v>
      </c>
      <c r="K89" s="121" t="s">
        <v>475</v>
      </c>
      <c r="L89" s="121" t="s">
        <v>564</v>
      </c>
      <c r="M89" s="127" t="str">
        <f t="shared" si="1"/>
        <v>View on Google Map</v>
      </c>
    </row>
    <row r="90" spans="1:13" x14ac:dyDescent="0.2">
      <c r="A90" s="121">
        <v>294</v>
      </c>
      <c r="B90" s="121" t="s">
        <v>614</v>
      </c>
      <c r="C90" s="121" t="s">
        <v>475</v>
      </c>
      <c r="D90" s="121">
        <v>68.820616666666666</v>
      </c>
      <c r="E90" s="121">
        <v>-149.74383333333333</v>
      </c>
      <c r="F90" s="121">
        <v>579</v>
      </c>
      <c r="G90" s="121" t="s">
        <v>486</v>
      </c>
      <c r="H90" s="121" t="s">
        <v>616</v>
      </c>
      <c r="I90" s="121" t="s">
        <v>475</v>
      </c>
      <c r="J90" s="121" t="s">
        <v>501</v>
      </c>
      <c r="K90" s="121" t="s">
        <v>475</v>
      </c>
      <c r="L90" s="121" t="s">
        <v>566</v>
      </c>
      <c r="M90" s="127" t="str">
        <f t="shared" si="1"/>
        <v>View on Google Map</v>
      </c>
    </row>
    <row r="91" spans="1:13" x14ac:dyDescent="0.2">
      <c r="A91" s="121">
        <v>209</v>
      </c>
      <c r="B91" s="121" t="s">
        <v>617</v>
      </c>
      <c r="C91" s="121" t="s">
        <v>475</v>
      </c>
      <c r="D91" s="121">
        <v>70.05</v>
      </c>
      <c r="E91" s="121">
        <v>-146.98333333333332</v>
      </c>
      <c r="F91" s="121">
        <v>24.390243902439025</v>
      </c>
      <c r="G91" s="121" t="s">
        <v>486</v>
      </c>
      <c r="H91" s="121" t="s">
        <v>618</v>
      </c>
      <c r="I91" s="121" t="s">
        <v>475</v>
      </c>
      <c r="J91" s="121" t="s">
        <v>501</v>
      </c>
      <c r="K91" s="121" t="s">
        <v>475</v>
      </c>
      <c r="L91" s="121" t="s">
        <v>564</v>
      </c>
      <c r="M91" s="127" t="str">
        <f t="shared" si="1"/>
        <v>View on Google Map</v>
      </c>
    </row>
    <row r="92" spans="1:13" x14ac:dyDescent="0.2">
      <c r="A92" s="121">
        <v>295</v>
      </c>
      <c r="B92" s="121" t="s">
        <v>617</v>
      </c>
      <c r="C92" s="121" t="s">
        <v>475</v>
      </c>
      <c r="D92" s="121">
        <v>68.821529999999996</v>
      </c>
      <c r="E92" s="121">
        <v>-149.05867000000001</v>
      </c>
      <c r="F92" s="121">
        <v>518</v>
      </c>
      <c r="G92" s="121" t="s">
        <v>486</v>
      </c>
      <c r="H92" s="121" t="s">
        <v>619</v>
      </c>
      <c r="I92" s="121" t="s">
        <v>475</v>
      </c>
      <c r="J92" s="121" t="s">
        <v>501</v>
      </c>
      <c r="K92" s="121" t="s">
        <v>475</v>
      </c>
      <c r="L92" s="121" t="s">
        <v>566</v>
      </c>
      <c r="M92" s="127" t="str">
        <f t="shared" si="1"/>
        <v>View on Google Map</v>
      </c>
    </row>
    <row r="93" spans="1:13" x14ac:dyDescent="0.2">
      <c r="A93" s="121">
        <v>210</v>
      </c>
      <c r="B93" s="121" t="s">
        <v>620</v>
      </c>
      <c r="C93" s="121" t="s">
        <v>475</v>
      </c>
      <c r="D93" s="121">
        <v>70.150000000000006</v>
      </c>
      <c r="E93" s="121">
        <v>-147.36666666666667</v>
      </c>
      <c r="F93" s="121">
        <v>6.7073170731707323</v>
      </c>
      <c r="G93" s="121" t="s">
        <v>486</v>
      </c>
      <c r="H93" s="121" t="s">
        <v>621</v>
      </c>
      <c r="I93" s="121" t="s">
        <v>475</v>
      </c>
      <c r="J93" s="121" t="s">
        <v>501</v>
      </c>
      <c r="K93" s="121" t="s">
        <v>475</v>
      </c>
      <c r="L93" s="121" t="s">
        <v>564</v>
      </c>
      <c r="M93" s="127" t="str">
        <f t="shared" si="1"/>
        <v>View on Google Map</v>
      </c>
    </row>
    <row r="94" spans="1:13" x14ac:dyDescent="0.2">
      <c r="A94" s="121">
        <v>296</v>
      </c>
      <c r="B94" s="121" t="s">
        <v>620</v>
      </c>
      <c r="C94" s="121" t="s">
        <v>475</v>
      </c>
      <c r="D94" s="121">
        <v>68.817116666666664</v>
      </c>
      <c r="E94" s="121">
        <v>-149.05956666666665</v>
      </c>
      <c r="F94" s="121">
        <v>518</v>
      </c>
      <c r="G94" s="121" t="s">
        <v>486</v>
      </c>
      <c r="H94" s="121" t="s">
        <v>622</v>
      </c>
      <c r="I94" s="121" t="s">
        <v>475</v>
      </c>
      <c r="J94" s="121" t="s">
        <v>501</v>
      </c>
      <c r="K94" s="121" t="s">
        <v>475</v>
      </c>
      <c r="L94" s="121" t="s">
        <v>566</v>
      </c>
      <c r="M94" s="127" t="str">
        <f t="shared" si="1"/>
        <v>View on Google Map</v>
      </c>
    </row>
    <row r="95" spans="1:13" x14ac:dyDescent="0.2">
      <c r="A95" s="121">
        <v>211</v>
      </c>
      <c r="B95" s="121" t="s">
        <v>623</v>
      </c>
      <c r="C95" s="121" t="s">
        <v>475</v>
      </c>
      <c r="D95" s="121">
        <v>70.150000000000006</v>
      </c>
      <c r="E95" s="121">
        <v>-147.36666666666667</v>
      </c>
      <c r="F95" s="121">
        <v>6.7073170731707323</v>
      </c>
      <c r="G95" s="121" t="s">
        <v>486</v>
      </c>
      <c r="H95" s="121" t="s">
        <v>624</v>
      </c>
      <c r="I95" s="121" t="s">
        <v>475</v>
      </c>
      <c r="J95" s="121" t="s">
        <v>501</v>
      </c>
      <c r="K95" s="121" t="s">
        <v>475</v>
      </c>
      <c r="L95" s="121" t="s">
        <v>564</v>
      </c>
      <c r="M95" s="127" t="str">
        <f t="shared" si="1"/>
        <v>View on Google Map</v>
      </c>
    </row>
    <row r="96" spans="1:13" x14ac:dyDescent="0.2">
      <c r="A96" s="121">
        <v>297</v>
      </c>
      <c r="B96" s="121" t="s">
        <v>623</v>
      </c>
      <c r="C96" s="121" t="s">
        <v>475</v>
      </c>
      <c r="D96" s="121">
        <v>69.356183333333334</v>
      </c>
      <c r="E96" s="121">
        <v>-150.21899999999999</v>
      </c>
      <c r="F96" s="121">
        <v>168</v>
      </c>
      <c r="G96" s="121" t="s">
        <v>486</v>
      </c>
      <c r="H96" s="121" t="s">
        <v>625</v>
      </c>
      <c r="I96" s="121" t="s">
        <v>475</v>
      </c>
      <c r="J96" s="121" t="s">
        <v>501</v>
      </c>
      <c r="K96" s="121" t="s">
        <v>475</v>
      </c>
      <c r="L96" s="121" t="s">
        <v>566</v>
      </c>
      <c r="M96" s="127" t="str">
        <f t="shared" si="1"/>
        <v>View on Google Map</v>
      </c>
    </row>
    <row r="97" spans="1:13" x14ac:dyDescent="0.2">
      <c r="A97" s="121">
        <v>212</v>
      </c>
      <c r="B97" s="121" t="s">
        <v>626</v>
      </c>
      <c r="C97" s="121" t="s">
        <v>475</v>
      </c>
      <c r="D97" s="121">
        <v>70.033333333333331</v>
      </c>
      <c r="E97" s="121">
        <v>-147.65</v>
      </c>
      <c r="F97" s="121">
        <v>28.04878048780488</v>
      </c>
      <c r="G97" s="121" t="s">
        <v>486</v>
      </c>
      <c r="H97" s="121" t="s">
        <v>627</v>
      </c>
      <c r="I97" s="121" t="s">
        <v>475</v>
      </c>
      <c r="J97" s="121" t="s">
        <v>501</v>
      </c>
      <c r="K97" s="121" t="s">
        <v>475</v>
      </c>
      <c r="L97" s="121" t="s">
        <v>564</v>
      </c>
      <c r="M97" s="127" t="str">
        <f t="shared" si="1"/>
        <v>View on Google Map</v>
      </c>
    </row>
    <row r="98" spans="1:13" x14ac:dyDescent="0.2">
      <c r="A98" s="121">
        <v>298</v>
      </c>
      <c r="B98" s="121" t="s">
        <v>626</v>
      </c>
      <c r="C98" s="121" t="s">
        <v>475</v>
      </c>
      <c r="D98" s="121">
        <v>69.356183333333334</v>
      </c>
      <c r="E98" s="121">
        <v>-150.21899999999999</v>
      </c>
      <c r="F98" s="121">
        <v>168</v>
      </c>
      <c r="G98" s="121" t="s">
        <v>486</v>
      </c>
      <c r="H98" s="121" t="s">
        <v>628</v>
      </c>
      <c r="I98" s="121" t="s">
        <v>475</v>
      </c>
      <c r="J98" s="121" t="s">
        <v>501</v>
      </c>
      <c r="K98" s="121" t="s">
        <v>475</v>
      </c>
      <c r="L98" s="121" t="s">
        <v>566</v>
      </c>
      <c r="M98" s="127" t="str">
        <f t="shared" si="1"/>
        <v>View on Google Map</v>
      </c>
    </row>
    <row r="99" spans="1:13" x14ac:dyDescent="0.2">
      <c r="A99" s="121">
        <v>213</v>
      </c>
      <c r="B99" s="121" t="s">
        <v>629</v>
      </c>
      <c r="C99" s="121" t="s">
        <v>475</v>
      </c>
      <c r="D99" s="121">
        <v>70.033333333333331</v>
      </c>
      <c r="E99" s="121">
        <v>-147.65</v>
      </c>
      <c r="F99" s="121">
        <v>28.04878048780488</v>
      </c>
      <c r="G99" s="121" t="s">
        <v>486</v>
      </c>
      <c r="H99" s="121" t="s">
        <v>630</v>
      </c>
      <c r="I99" s="121" t="s">
        <v>475</v>
      </c>
      <c r="J99" s="121" t="s">
        <v>501</v>
      </c>
      <c r="K99" s="121" t="s">
        <v>475</v>
      </c>
      <c r="L99" s="121" t="s">
        <v>564</v>
      </c>
      <c r="M99" s="127" t="str">
        <f t="shared" si="1"/>
        <v>View on Google Map</v>
      </c>
    </row>
    <row r="100" spans="1:13" x14ac:dyDescent="0.2">
      <c r="A100" s="121">
        <v>299</v>
      </c>
      <c r="B100" s="121" t="s">
        <v>629</v>
      </c>
      <c r="C100" s="121" t="s">
        <v>475</v>
      </c>
      <c r="D100" s="121">
        <v>69.5458</v>
      </c>
      <c r="E100" s="121">
        <v>-150.37883333333335</v>
      </c>
      <c r="F100" s="121">
        <v>107</v>
      </c>
      <c r="G100" s="121" t="s">
        <v>486</v>
      </c>
      <c r="H100" s="121" t="s">
        <v>631</v>
      </c>
      <c r="I100" s="121" t="s">
        <v>475</v>
      </c>
      <c r="J100" s="121" t="s">
        <v>501</v>
      </c>
      <c r="K100" s="121" t="s">
        <v>475</v>
      </c>
      <c r="L100" s="121" t="s">
        <v>566</v>
      </c>
      <c r="M100" s="127" t="str">
        <f t="shared" si="1"/>
        <v>View on Google Map</v>
      </c>
    </row>
    <row r="101" spans="1:13" x14ac:dyDescent="0.2">
      <c r="A101" s="121">
        <v>214</v>
      </c>
      <c r="B101" s="121" t="s">
        <v>632</v>
      </c>
      <c r="C101" s="121" t="s">
        <v>475</v>
      </c>
      <c r="D101" s="121">
        <v>69.833333333333329</v>
      </c>
      <c r="E101" s="121">
        <v>-147.93333333333334</v>
      </c>
      <c r="F101" s="121">
        <v>92.987804878048792</v>
      </c>
      <c r="G101" s="121" t="s">
        <v>486</v>
      </c>
      <c r="H101" s="121" t="s">
        <v>633</v>
      </c>
      <c r="I101" s="121" t="s">
        <v>475</v>
      </c>
      <c r="J101" s="121" t="s">
        <v>501</v>
      </c>
      <c r="K101" s="121" t="s">
        <v>475</v>
      </c>
      <c r="L101" s="121" t="s">
        <v>564</v>
      </c>
      <c r="M101" s="127" t="str">
        <f t="shared" si="1"/>
        <v>View on Google Map</v>
      </c>
    </row>
    <row r="102" spans="1:13" x14ac:dyDescent="0.2">
      <c r="A102" s="121">
        <v>300</v>
      </c>
      <c r="B102" s="121" t="s">
        <v>632</v>
      </c>
      <c r="C102" s="121" t="s">
        <v>475</v>
      </c>
      <c r="D102" s="121">
        <v>69.5458</v>
      </c>
      <c r="E102" s="121">
        <v>-150.37883333333335</v>
      </c>
      <c r="F102" s="121">
        <v>107</v>
      </c>
      <c r="G102" s="121" t="s">
        <v>486</v>
      </c>
      <c r="H102" s="121" t="s">
        <v>634</v>
      </c>
      <c r="I102" s="121" t="s">
        <v>475</v>
      </c>
      <c r="J102" s="121" t="s">
        <v>501</v>
      </c>
      <c r="K102" s="121" t="s">
        <v>475</v>
      </c>
      <c r="L102" s="121" t="s">
        <v>566</v>
      </c>
      <c r="M102" s="127" t="str">
        <f t="shared" si="1"/>
        <v>View on Google Map</v>
      </c>
    </row>
    <row r="103" spans="1:13" x14ac:dyDescent="0.2">
      <c r="A103" s="121">
        <v>215</v>
      </c>
      <c r="B103" s="121" t="s">
        <v>635</v>
      </c>
      <c r="C103" s="121" t="s">
        <v>475</v>
      </c>
      <c r="D103" s="121">
        <v>69.833333333333329</v>
      </c>
      <c r="E103" s="121">
        <v>-147.93333333333334</v>
      </c>
      <c r="F103" s="121">
        <v>92.987804878048792</v>
      </c>
      <c r="G103" s="121" t="s">
        <v>486</v>
      </c>
      <c r="H103" s="121" t="s">
        <v>636</v>
      </c>
      <c r="I103" s="121" t="s">
        <v>475</v>
      </c>
      <c r="J103" s="121" t="s">
        <v>501</v>
      </c>
      <c r="K103" s="121" t="s">
        <v>475</v>
      </c>
      <c r="L103" s="121" t="s">
        <v>564</v>
      </c>
      <c r="M103" s="127" t="str">
        <f t="shared" si="1"/>
        <v>View on Google Map</v>
      </c>
    </row>
    <row r="104" spans="1:13" x14ac:dyDescent="0.2">
      <c r="A104" s="121">
        <v>301</v>
      </c>
      <c r="B104" s="121" t="s">
        <v>635</v>
      </c>
      <c r="C104" s="121" t="s">
        <v>475</v>
      </c>
      <c r="D104" s="121">
        <v>69.523700000000005</v>
      </c>
      <c r="E104" s="121">
        <v>-150.55269999999999</v>
      </c>
      <c r="F104" s="121">
        <v>107</v>
      </c>
      <c r="G104" s="121" t="s">
        <v>486</v>
      </c>
      <c r="H104" s="121" t="s">
        <v>637</v>
      </c>
      <c r="I104" s="121" t="s">
        <v>475</v>
      </c>
      <c r="J104" s="121" t="s">
        <v>501</v>
      </c>
      <c r="K104" s="121" t="s">
        <v>475</v>
      </c>
      <c r="L104" s="121" t="s">
        <v>566</v>
      </c>
      <c r="M104" s="127" t="str">
        <f t="shared" si="1"/>
        <v>View on Google Map</v>
      </c>
    </row>
    <row r="105" spans="1:13" x14ac:dyDescent="0.2">
      <c r="A105" s="121">
        <v>216</v>
      </c>
      <c r="B105" s="121" t="s">
        <v>638</v>
      </c>
      <c r="C105" s="121" t="s">
        <v>475</v>
      </c>
      <c r="D105" s="121">
        <v>69.88333333333334</v>
      </c>
      <c r="E105" s="121">
        <v>-148.63333333333333</v>
      </c>
      <c r="F105" s="121">
        <v>118.90243902439025</v>
      </c>
      <c r="G105" s="121" t="s">
        <v>486</v>
      </c>
      <c r="H105" s="121" t="s">
        <v>639</v>
      </c>
      <c r="I105" s="121" t="s">
        <v>475</v>
      </c>
      <c r="J105" s="121" t="s">
        <v>501</v>
      </c>
      <c r="K105" s="121" t="s">
        <v>475</v>
      </c>
      <c r="L105" s="121" t="s">
        <v>564</v>
      </c>
      <c r="M105" s="127" t="str">
        <f t="shared" si="1"/>
        <v>View on Google Map</v>
      </c>
    </row>
    <row r="106" spans="1:13" x14ac:dyDescent="0.2">
      <c r="A106" s="121">
        <v>302</v>
      </c>
      <c r="B106" s="121" t="s">
        <v>638</v>
      </c>
      <c r="C106" s="121" t="s">
        <v>475</v>
      </c>
      <c r="D106" s="121">
        <v>69.523700000000005</v>
      </c>
      <c r="E106" s="121">
        <v>-150.55269999999999</v>
      </c>
      <c r="F106" s="121">
        <v>107</v>
      </c>
      <c r="G106" s="121" t="s">
        <v>486</v>
      </c>
      <c r="H106" s="121" t="s">
        <v>640</v>
      </c>
      <c r="I106" s="121" t="s">
        <v>475</v>
      </c>
      <c r="J106" s="121" t="s">
        <v>501</v>
      </c>
      <c r="K106" s="121" t="s">
        <v>475</v>
      </c>
      <c r="L106" s="121" t="s">
        <v>566</v>
      </c>
      <c r="M106" s="127" t="str">
        <f t="shared" si="1"/>
        <v>View on Google Map</v>
      </c>
    </row>
    <row r="107" spans="1:13" x14ac:dyDescent="0.2">
      <c r="A107" s="121">
        <v>217</v>
      </c>
      <c r="B107" s="121" t="s">
        <v>641</v>
      </c>
      <c r="C107" s="121" t="s">
        <v>475</v>
      </c>
      <c r="D107" s="121">
        <v>69.7</v>
      </c>
      <c r="E107" s="121">
        <v>-148.48333333333332</v>
      </c>
      <c r="F107" s="121">
        <v>125</v>
      </c>
      <c r="G107" s="121" t="s">
        <v>486</v>
      </c>
      <c r="H107" s="121" t="s">
        <v>642</v>
      </c>
      <c r="I107" s="121" t="s">
        <v>475</v>
      </c>
      <c r="J107" s="121" t="s">
        <v>501</v>
      </c>
      <c r="K107" s="121" t="s">
        <v>475</v>
      </c>
      <c r="L107" s="121" t="s">
        <v>564</v>
      </c>
      <c r="M107" s="127" t="str">
        <f t="shared" si="1"/>
        <v>View on Google Map</v>
      </c>
    </row>
    <row r="108" spans="1:13" x14ac:dyDescent="0.2">
      <c r="A108" s="121">
        <v>303</v>
      </c>
      <c r="B108" s="121" t="s">
        <v>641</v>
      </c>
      <c r="C108" s="121" t="s">
        <v>475</v>
      </c>
      <c r="D108" s="121">
        <v>69.610399999999998</v>
      </c>
      <c r="E108" s="121">
        <v>-148.82113333333334</v>
      </c>
      <c r="F108" s="121">
        <v>107</v>
      </c>
      <c r="G108" s="121" t="s">
        <v>486</v>
      </c>
      <c r="H108" s="121" t="s">
        <v>643</v>
      </c>
      <c r="I108" s="121" t="s">
        <v>475</v>
      </c>
      <c r="J108" s="121" t="s">
        <v>501</v>
      </c>
      <c r="K108" s="121" t="s">
        <v>475</v>
      </c>
      <c r="L108" s="121" t="s">
        <v>566</v>
      </c>
      <c r="M108" s="127" t="str">
        <f t="shared" si="1"/>
        <v>View on Google Map</v>
      </c>
    </row>
    <row r="109" spans="1:13" x14ac:dyDescent="0.2">
      <c r="A109" s="121">
        <v>218</v>
      </c>
      <c r="B109" s="121" t="s">
        <v>644</v>
      </c>
      <c r="C109" s="121" t="s">
        <v>475</v>
      </c>
      <c r="D109" s="121">
        <v>69.7</v>
      </c>
      <c r="E109" s="121">
        <v>-148.48333333333332</v>
      </c>
      <c r="F109" s="121">
        <v>125</v>
      </c>
      <c r="G109" s="121" t="s">
        <v>486</v>
      </c>
      <c r="H109" s="121" t="s">
        <v>645</v>
      </c>
      <c r="I109" s="121" t="s">
        <v>475</v>
      </c>
      <c r="J109" s="121" t="s">
        <v>501</v>
      </c>
      <c r="K109" s="121" t="s">
        <v>475</v>
      </c>
      <c r="L109" s="121" t="s">
        <v>564</v>
      </c>
      <c r="M109" s="127" t="str">
        <f t="shared" si="1"/>
        <v>View on Google Map</v>
      </c>
    </row>
    <row r="110" spans="1:13" x14ac:dyDescent="0.2">
      <c r="A110" s="121">
        <v>304</v>
      </c>
      <c r="B110" s="121" t="s">
        <v>644</v>
      </c>
      <c r="C110" s="121" t="s">
        <v>475</v>
      </c>
      <c r="D110" s="121">
        <v>69.610399999999998</v>
      </c>
      <c r="E110" s="121">
        <v>-148.82113333333334</v>
      </c>
      <c r="F110" s="121">
        <v>107</v>
      </c>
      <c r="G110" s="121" t="s">
        <v>486</v>
      </c>
      <c r="H110" s="121" t="s">
        <v>646</v>
      </c>
      <c r="I110" s="121" t="s">
        <v>475</v>
      </c>
      <c r="J110" s="121" t="s">
        <v>501</v>
      </c>
      <c r="K110" s="121" t="s">
        <v>475</v>
      </c>
      <c r="L110" s="121" t="s">
        <v>566</v>
      </c>
      <c r="M110" s="127" t="str">
        <f t="shared" si="1"/>
        <v>View on Google Map</v>
      </c>
    </row>
    <row r="111" spans="1:13" x14ac:dyDescent="0.2">
      <c r="A111" s="121">
        <v>232</v>
      </c>
      <c r="B111" s="121" t="s">
        <v>647</v>
      </c>
      <c r="C111" s="121" t="s">
        <v>475</v>
      </c>
      <c r="D111" s="121">
        <v>69.266666666666666</v>
      </c>
      <c r="E111" s="121">
        <v>-148.46666666666667</v>
      </c>
      <c r="F111" s="121">
        <v>338.71951219512198</v>
      </c>
      <c r="G111" s="121" t="s">
        <v>486</v>
      </c>
      <c r="H111" s="121" t="s">
        <v>648</v>
      </c>
      <c r="I111" s="121" t="s">
        <v>475</v>
      </c>
      <c r="J111" s="121" t="s">
        <v>501</v>
      </c>
      <c r="K111" s="121" t="s">
        <v>475</v>
      </c>
      <c r="L111" s="121" t="s">
        <v>564</v>
      </c>
      <c r="M111" s="127" t="str">
        <f t="shared" si="1"/>
        <v>View on Google Map</v>
      </c>
    </row>
    <row r="112" spans="1:13" x14ac:dyDescent="0.2">
      <c r="A112" s="121">
        <v>239</v>
      </c>
      <c r="B112" s="121" t="s">
        <v>649</v>
      </c>
      <c r="C112" s="121" t="s">
        <v>650</v>
      </c>
      <c r="D112" s="121" t="s">
        <v>475</v>
      </c>
      <c r="E112" s="121" t="s">
        <v>475</v>
      </c>
      <c r="F112" s="121" t="s">
        <v>475</v>
      </c>
      <c r="G112" s="121" t="s">
        <v>486</v>
      </c>
      <c r="H112" s="121" t="s">
        <v>475</v>
      </c>
      <c r="I112" s="121" t="s">
        <v>475</v>
      </c>
      <c r="J112" s="121" t="s">
        <v>501</v>
      </c>
      <c r="K112" s="121" t="s">
        <v>475</v>
      </c>
      <c r="L112" s="121" t="s">
        <v>651</v>
      </c>
      <c r="M112" s="127" t="str">
        <f t="shared" si="1"/>
        <v>View on Google Map</v>
      </c>
    </row>
    <row r="113" spans="1:13" x14ac:dyDescent="0.2">
      <c r="A113" s="121">
        <v>144</v>
      </c>
      <c r="B113" s="121" t="s">
        <v>652</v>
      </c>
      <c r="C113" s="121" t="s">
        <v>653</v>
      </c>
      <c r="D113" s="121">
        <v>68.63333333333334</v>
      </c>
      <c r="E113" s="121">
        <v>-149.6</v>
      </c>
      <c r="F113" s="121">
        <v>719</v>
      </c>
      <c r="G113" s="121" t="s">
        <v>486</v>
      </c>
      <c r="H113" s="121" t="s">
        <v>475</v>
      </c>
      <c r="I113" s="121" t="s">
        <v>475</v>
      </c>
      <c r="J113" s="121" t="s">
        <v>501</v>
      </c>
      <c r="K113" s="121" t="s">
        <v>475</v>
      </c>
      <c r="L113" s="121" t="s">
        <v>502</v>
      </c>
      <c r="M113" s="127" t="str">
        <f t="shared" si="1"/>
        <v>View on Google Map</v>
      </c>
    </row>
    <row r="114" spans="1:13" x14ac:dyDescent="0.2">
      <c r="A114" s="121">
        <v>401</v>
      </c>
      <c r="B114" s="121" t="s">
        <v>654</v>
      </c>
      <c r="C114" s="121" t="s">
        <v>475</v>
      </c>
      <c r="D114" s="121" t="s">
        <v>475</v>
      </c>
      <c r="E114" s="121" t="s">
        <v>475</v>
      </c>
      <c r="F114" s="121" t="s">
        <v>475</v>
      </c>
      <c r="G114" s="121" t="s">
        <v>486</v>
      </c>
      <c r="H114" s="121" t="s">
        <v>475</v>
      </c>
      <c r="I114" s="121" t="s">
        <v>475</v>
      </c>
      <c r="J114" s="121" t="s">
        <v>501</v>
      </c>
      <c r="K114" s="121" t="s">
        <v>475</v>
      </c>
      <c r="L114" s="121" t="s">
        <v>655</v>
      </c>
      <c r="M114" s="127" t="str">
        <f t="shared" si="1"/>
        <v>View on Google Map</v>
      </c>
    </row>
    <row r="115" spans="1:13" x14ac:dyDescent="0.2">
      <c r="A115" s="121">
        <v>403</v>
      </c>
      <c r="B115" s="121" t="s">
        <v>656</v>
      </c>
      <c r="C115" s="121" t="s">
        <v>475</v>
      </c>
      <c r="D115" s="121" t="s">
        <v>475</v>
      </c>
      <c r="E115" s="121" t="s">
        <v>475</v>
      </c>
      <c r="F115" s="121" t="s">
        <v>475</v>
      </c>
      <c r="G115" s="121" t="s">
        <v>486</v>
      </c>
      <c r="H115" s="121" t="s">
        <v>475</v>
      </c>
      <c r="I115" s="121" t="s">
        <v>475</v>
      </c>
      <c r="J115" s="121" t="s">
        <v>501</v>
      </c>
      <c r="K115" s="121" t="s">
        <v>475</v>
      </c>
      <c r="L115" s="121" t="s">
        <v>657</v>
      </c>
      <c r="M115" s="127" t="str">
        <f t="shared" si="1"/>
        <v>View on Google Map</v>
      </c>
    </row>
    <row r="116" spans="1:13" x14ac:dyDescent="0.2">
      <c r="A116" s="121">
        <v>403</v>
      </c>
      <c r="B116" s="121" t="s">
        <v>656</v>
      </c>
      <c r="C116" s="121" t="s">
        <v>475</v>
      </c>
      <c r="D116" s="121" t="s">
        <v>475</v>
      </c>
      <c r="E116" s="121" t="s">
        <v>475</v>
      </c>
      <c r="F116" s="121" t="s">
        <v>475</v>
      </c>
      <c r="G116" s="121" t="s">
        <v>486</v>
      </c>
      <c r="H116" s="121" t="s">
        <v>475</v>
      </c>
      <c r="I116" s="121" t="s">
        <v>475</v>
      </c>
      <c r="J116" s="121" t="s">
        <v>501</v>
      </c>
      <c r="K116" s="121" t="s">
        <v>475</v>
      </c>
      <c r="L116" s="121" t="s">
        <v>657</v>
      </c>
      <c r="M116" s="127" t="str">
        <f t="shared" si="1"/>
        <v>View on Google Map</v>
      </c>
    </row>
    <row r="117" spans="1:13" x14ac:dyDescent="0.2">
      <c r="A117" s="121">
        <v>1209</v>
      </c>
      <c r="B117" s="121" t="s">
        <v>658</v>
      </c>
      <c r="C117" s="121" t="s">
        <v>659</v>
      </c>
      <c r="D117" s="121">
        <v>68.934420000000003</v>
      </c>
      <c r="E117" s="121">
        <v>-150.21242000000001</v>
      </c>
      <c r="F117" s="121" t="s">
        <v>475</v>
      </c>
      <c r="G117" s="121" t="s">
        <v>476</v>
      </c>
      <c r="H117" s="121" t="s">
        <v>475</v>
      </c>
      <c r="I117" s="121" t="s">
        <v>475</v>
      </c>
      <c r="J117" s="121" t="s">
        <v>482</v>
      </c>
      <c r="K117" s="121" t="s">
        <v>475</v>
      </c>
      <c r="L117" s="121" t="s">
        <v>483</v>
      </c>
      <c r="M117" s="127" t="str">
        <f t="shared" si="1"/>
        <v>View on Google Map</v>
      </c>
    </row>
    <row r="118" spans="1:13" x14ac:dyDescent="0.2">
      <c r="A118" s="121">
        <v>482</v>
      </c>
      <c r="B118" s="121" t="s">
        <v>660</v>
      </c>
      <c r="C118" s="121" t="s">
        <v>475</v>
      </c>
      <c r="D118" s="121">
        <v>68.951483332999999</v>
      </c>
      <c r="E118" s="121">
        <v>-150.194333333</v>
      </c>
      <c r="F118" s="121">
        <v>399</v>
      </c>
      <c r="G118" s="121" t="s">
        <v>486</v>
      </c>
      <c r="H118" s="121" t="s">
        <v>475</v>
      </c>
      <c r="I118" s="121" t="s">
        <v>475</v>
      </c>
      <c r="J118" s="121" t="s">
        <v>536</v>
      </c>
      <c r="K118" s="121" t="s">
        <v>475</v>
      </c>
      <c r="L118" s="121" t="s">
        <v>483</v>
      </c>
      <c r="M118" s="127" t="str">
        <f t="shared" si="1"/>
        <v>View on Google Map</v>
      </c>
    </row>
    <row r="119" spans="1:13" x14ac:dyDescent="0.2">
      <c r="A119" s="121">
        <v>483</v>
      </c>
      <c r="B119" s="121" t="s">
        <v>661</v>
      </c>
      <c r="C119" s="121" t="s">
        <v>475</v>
      </c>
      <c r="D119" s="121">
        <v>68.950783333000004</v>
      </c>
      <c r="E119" s="121">
        <v>-150.19835</v>
      </c>
      <c r="F119" s="121">
        <v>399</v>
      </c>
      <c r="G119" s="121" t="s">
        <v>500</v>
      </c>
      <c r="H119" s="121" t="s">
        <v>662</v>
      </c>
      <c r="I119" s="121" t="s">
        <v>475</v>
      </c>
      <c r="J119" s="121" t="s">
        <v>536</v>
      </c>
      <c r="K119" s="121" t="s">
        <v>475</v>
      </c>
      <c r="L119" s="121" t="s">
        <v>483</v>
      </c>
      <c r="M119" s="127" t="str">
        <f t="shared" si="1"/>
        <v>View on Google Map</v>
      </c>
    </row>
    <row r="120" spans="1:13" x14ac:dyDescent="0.2">
      <c r="A120" s="121">
        <v>484</v>
      </c>
      <c r="B120" s="121" t="s">
        <v>663</v>
      </c>
      <c r="C120" s="121" t="s">
        <v>475</v>
      </c>
      <c r="D120" s="121">
        <v>68.957549999999998</v>
      </c>
      <c r="E120" s="121">
        <v>-150.200916667</v>
      </c>
      <c r="F120" s="121">
        <v>399</v>
      </c>
      <c r="G120" s="121" t="s">
        <v>486</v>
      </c>
      <c r="H120" s="121" t="s">
        <v>664</v>
      </c>
      <c r="I120" s="121" t="s">
        <v>665</v>
      </c>
      <c r="J120" s="121" t="s">
        <v>536</v>
      </c>
      <c r="K120" s="121" t="s">
        <v>475</v>
      </c>
      <c r="L120" s="121" t="s">
        <v>483</v>
      </c>
      <c r="M120" s="127" t="str">
        <f t="shared" si="1"/>
        <v>View on Google Map</v>
      </c>
    </row>
    <row r="121" spans="1:13" x14ac:dyDescent="0.2">
      <c r="A121" s="121">
        <v>485</v>
      </c>
      <c r="B121" s="121" t="s">
        <v>666</v>
      </c>
      <c r="C121" s="121" t="s">
        <v>475</v>
      </c>
      <c r="D121" s="121">
        <v>68.95675</v>
      </c>
      <c r="E121" s="121">
        <v>-150.19700833300001</v>
      </c>
      <c r="F121" s="121">
        <v>399</v>
      </c>
      <c r="G121" s="121" t="s">
        <v>486</v>
      </c>
      <c r="H121" s="121" t="s">
        <v>667</v>
      </c>
      <c r="I121" s="121" t="s">
        <v>475</v>
      </c>
      <c r="J121" s="121" t="s">
        <v>536</v>
      </c>
      <c r="K121" s="121" t="s">
        <v>475</v>
      </c>
      <c r="L121" s="121" t="s">
        <v>483</v>
      </c>
      <c r="M121" s="127" t="str">
        <f t="shared" si="1"/>
        <v>View on Google Map</v>
      </c>
    </row>
    <row r="122" spans="1:13" x14ac:dyDescent="0.2">
      <c r="A122" s="121">
        <v>514</v>
      </c>
      <c r="B122" s="121" t="s">
        <v>668</v>
      </c>
      <c r="C122" s="121" t="s">
        <v>485</v>
      </c>
      <c r="D122" s="121">
        <v>68.418130000000005</v>
      </c>
      <c r="E122" s="121">
        <v>-151.58454</v>
      </c>
      <c r="F122" s="121">
        <v>876</v>
      </c>
      <c r="G122" s="121" t="s">
        <v>486</v>
      </c>
      <c r="H122" s="121" t="s">
        <v>475</v>
      </c>
      <c r="I122" s="121" t="s">
        <v>475</v>
      </c>
      <c r="J122" s="121" t="s">
        <v>487</v>
      </c>
      <c r="K122" s="121" t="s">
        <v>475</v>
      </c>
      <c r="L122" s="121" t="s">
        <v>488</v>
      </c>
      <c r="M122" s="127" t="str">
        <f t="shared" si="1"/>
        <v>View on Google Map</v>
      </c>
    </row>
    <row r="123" spans="1:13" x14ac:dyDescent="0.2">
      <c r="A123" s="121">
        <v>400</v>
      </c>
      <c r="B123" s="121" t="s">
        <v>669</v>
      </c>
      <c r="C123" s="121" t="s">
        <v>475</v>
      </c>
      <c r="D123" s="121" t="s">
        <v>475</v>
      </c>
      <c r="E123" s="121" t="s">
        <v>475</v>
      </c>
      <c r="F123" s="121" t="s">
        <v>475</v>
      </c>
      <c r="G123" s="121" t="s">
        <v>486</v>
      </c>
      <c r="H123" s="121" t="s">
        <v>475</v>
      </c>
      <c r="I123" s="121" t="s">
        <v>475</v>
      </c>
      <c r="J123" s="121" t="s">
        <v>501</v>
      </c>
      <c r="K123" s="121" t="s">
        <v>475</v>
      </c>
      <c r="L123" s="121" t="s">
        <v>655</v>
      </c>
      <c r="M123" s="127" t="str">
        <f t="shared" si="1"/>
        <v>View on Google Map</v>
      </c>
    </row>
    <row r="124" spans="1:13" x14ac:dyDescent="0.2">
      <c r="A124" s="121">
        <v>137</v>
      </c>
      <c r="B124" s="121" t="s">
        <v>670</v>
      </c>
      <c r="C124" s="121" t="s">
        <v>475</v>
      </c>
      <c r="D124" s="121">
        <v>70.3</v>
      </c>
      <c r="E124" s="121">
        <v>-148.28333333333333</v>
      </c>
      <c r="F124" s="121">
        <v>6</v>
      </c>
      <c r="G124" s="121" t="s">
        <v>486</v>
      </c>
      <c r="H124" s="121" t="s">
        <v>671</v>
      </c>
      <c r="I124" s="121" t="s">
        <v>475</v>
      </c>
      <c r="J124" s="121" t="s">
        <v>501</v>
      </c>
      <c r="K124" s="121" t="s">
        <v>475</v>
      </c>
      <c r="L124" s="121" t="s">
        <v>502</v>
      </c>
      <c r="M124" s="127" t="str">
        <f t="shared" si="1"/>
        <v>View on Google Map</v>
      </c>
    </row>
    <row r="125" spans="1:13" x14ac:dyDescent="0.2">
      <c r="A125" s="121">
        <v>146</v>
      </c>
      <c r="B125" s="121" t="s">
        <v>672</v>
      </c>
      <c r="C125" s="121" t="s">
        <v>475</v>
      </c>
      <c r="D125" s="121">
        <v>68.626195602799996</v>
      </c>
      <c r="E125" s="121">
        <v>-149.55534770599999</v>
      </c>
      <c r="F125" s="121">
        <v>762</v>
      </c>
      <c r="G125" s="121" t="s">
        <v>486</v>
      </c>
      <c r="H125" s="121" t="s">
        <v>673</v>
      </c>
      <c r="I125" s="121" t="s">
        <v>674</v>
      </c>
      <c r="J125" s="121" t="s">
        <v>501</v>
      </c>
      <c r="K125" s="121" t="s">
        <v>475</v>
      </c>
      <c r="L125" s="121" t="s">
        <v>475</v>
      </c>
      <c r="M125" s="127" t="str">
        <f t="shared" si="1"/>
        <v>View on Google Map</v>
      </c>
    </row>
    <row r="126" spans="1:13" x14ac:dyDescent="0.2">
      <c r="A126" s="121">
        <v>18</v>
      </c>
      <c r="B126" s="121" t="s">
        <v>675</v>
      </c>
      <c r="C126" s="121" t="s">
        <v>475</v>
      </c>
      <c r="D126" s="121" t="s">
        <v>475</v>
      </c>
      <c r="E126" s="121" t="s">
        <v>475</v>
      </c>
      <c r="F126" s="121">
        <v>762</v>
      </c>
      <c r="G126" s="121" t="s">
        <v>500</v>
      </c>
      <c r="H126" s="121" t="s">
        <v>676</v>
      </c>
      <c r="I126" s="121" t="s">
        <v>677</v>
      </c>
      <c r="J126" s="121" t="s">
        <v>501</v>
      </c>
      <c r="K126" s="121" t="s">
        <v>475</v>
      </c>
      <c r="L126" s="121" t="s">
        <v>475</v>
      </c>
      <c r="M126" s="127" t="str">
        <f t="shared" si="1"/>
        <v>View on Google Map</v>
      </c>
    </row>
    <row r="127" spans="1:13" x14ac:dyDescent="0.2">
      <c r="A127" s="121">
        <v>310</v>
      </c>
      <c r="B127" s="121" t="s">
        <v>678</v>
      </c>
      <c r="C127" s="121" t="s">
        <v>475</v>
      </c>
      <c r="D127" s="121">
        <v>68.622894947099994</v>
      </c>
      <c r="E127" s="121">
        <v>-149.54328383999999</v>
      </c>
      <c r="F127" s="121" t="s">
        <v>475</v>
      </c>
      <c r="G127" s="121" t="s">
        <v>486</v>
      </c>
      <c r="H127" s="121" t="s">
        <v>679</v>
      </c>
      <c r="I127" s="121" t="s">
        <v>680</v>
      </c>
      <c r="J127" s="121" t="s">
        <v>501</v>
      </c>
      <c r="K127" s="121" t="s">
        <v>475</v>
      </c>
      <c r="L127" s="121" t="s">
        <v>475</v>
      </c>
      <c r="M127" s="127" t="str">
        <f t="shared" si="1"/>
        <v>View on Google Map</v>
      </c>
    </row>
    <row r="128" spans="1:13" x14ac:dyDescent="0.2">
      <c r="A128" s="121">
        <v>311</v>
      </c>
      <c r="B128" s="121" t="s">
        <v>681</v>
      </c>
      <c r="C128" s="121" t="s">
        <v>475</v>
      </c>
      <c r="D128" s="121">
        <v>68.623910828999996</v>
      </c>
      <c r="E128" s="121">
        <v>-149.53118563999999</v>
      </c>
      <c r="F128" s="121" t="s">
        <v>475</v>
      </c>
      <c r="G128" s="121" t="s">
        <v>486</v>
      </c>
      <c r="H128" s="121" t="s">
        <v>682</v>
      </c>
      <c r="I128" s="121" t="s">
        <v>683</v>
      </c>
      <c r="J128" s="121" t="s">
        <v>501</v>
      </c>
      <c r="K128" s="121" t="s">
        <v>475</v>
      </c>
      <c r="L128" s="121" t="s">
        <v>475</v>
      </c>
      <c r="M128" s="127" t="str">
        <f t="shared" si="1"/>
        <v>View on Google Map</v>
      </c>
    </row>
    <row r="129" spans="1:13" x14ac:dyDescent="0.2">
      <c r="A129" s="121">
        <v>312</v>
      </c>
      <c r="B129" s="121" t="s">
        <v>684</v>
      </c>
      <c r="C129" s="121" t="s">
        <v>475</v>
      </c>
      <c r="D129" s="121">
        <v>68.6277698106</v>
      </c>
      <c r="E129" s="121">
        <v>-149.497737003</v>
      </c>
      <c r="F129" s="121" t="s">
        <v>475</v>
      </c>
      <c r="G129" s="121" t="s">
        <v>486</v>
      </c>
      <c r="H129" s="121" t="s">
        <v>685</v>
      </c>
      <c r="I129" s="121" t="s">
        <v>686</v>
      </c>
      <c r="J129" s="121" t="s">
        <v>501</v>
      </c>
      <c r="K129" s="121" t="s">
        <v>475</v>
      </c>
      <c r="L129" s="121" t="s">
        <v>475</v>
      </c>
      <c r="M129" s="127" t="str">
        <f t="shared" si="1"/>
        <v>View on Google Map</v>
      </c>
    </row>
    <row r="130" spans="1:13" x14ac:dyDescent="0.2">
      <c r="A130" s="121">
        <v>145</v>
      </c>
      <c r="B130" s="121" t="s">
        <v>687</v>
      </c>
      <c r="C130" s="121" t="s">
        <v>475</v>
      </c>
      <c r="D130" s="121">
        <v>68.642611000000002</v>
      </c>
      <c r="E130" s="121">
        <v>-149.458079</v>
      </c>
      <c r="F130" s="121">
        <v>800</v>
      </c>
      <c r="G130" s="121" t="s">
        <v>486</v>
      </c>
      <c r="H130" s="121" t="s">
        <v>688</v>
      </c>
      <c r="I130" s="121" t="s">
        <v>689</v>
      </c>
      <c r="J130" s="121" t="s">
        <v>501</v>
      </c>
      <c r="K130" s="121" t="s">
        <v>475</v>
      </c>
      <c r="L130" s="121" t="s">
        <v>475</v>
      </c>
      <c r="M130" s="127" t="str">
        <f t="shared" si="1"/>
        <v>View on Google Map</v>
      </c>
    </row>
    <row r="131" spans="1:13" x14ac:dyDescent="0.2">
      <c r="A131" s="121">
        <v>399</v>
      </c>
      <c r="B131" s="121" t="s">
        <v>690</v>
      </c>
      <c r="C131" s="121" t="s">
        <v>475</v>
      </c>
      <c r="D131" s="121">
        <v>68.643427058300006</v>
      </c>
      <c r="E131" s="121">
        <v>-149.44056459199999</v>
      </c>
      <c r="F131" s="121">
        <v>792</v>
      </c>
      <c r="G131" s="121" t="s">
        <v>486</v>
      </c>
      <c r="H131" s="121" t="s">
        <v>691</v>
      </c>
      <c r="I131" s="121" t="s">
        <v>692</v>
      </c>
      <c r="J131" s="121" t="s">
        <v>501</v>
      </c>
      <c r="K131" s="121" t="s">
        <v>475</v>
      </c>
      <c r="L131" s="121" t="s">
        <v>475</v>
      </c>
      <c r="M131" s="127" t="str">
        <f t="shared" ref="M131:M194" si="2">HYPERLINK("http://maps.google.com/maps?q="&amp;D131&amp;","&amp;E131,"View on Google Map")</f>
        <v>View on Google Map</v>
      </c>
    </row>
    <row r="132" spans="1:13" x14ac:dyDescent="0.2">
      <c r="A132" s="121">
        <v>1605</v>
      </c>
      <c r="B132" s="121" t="s">
        <v>693</v>
      </c>
      <c r="C132" s="121" t="s">
        <v>475</v>
      </c>
      <c r="D132" s="121" t="s">
        <v>475</v>
      </c>
      <c r="E132" s="121" t="s">
        <v>475</v>
      </c>
      <c r="F132" s="121" t="s">
        <v>475</v>
      </c>
      <c r="G132" s="121" t="s">
        <v>500</v>
      </c>
      <c r="H132" s="121" t="s">
        <v>694</v>
      </c>
      <c r="I132" s="121" t="s">
        <v>695</v>
      </c>
      <c r="J132" s="121" t="s">
        <v>501</v>
      </c>
      <c r="K132" s="121" t="s">
        <v>475</v>
      </c>
      <c r="L132" s="121" t="s">
        <v>475</v>
      </c>
      <c r="M132" s="127" t="str">
        <f t="shared" si="2"/>
        <v>View on Google Map</v>
      </c>
    </row>
    <row r="133" spans="1:13" x14ac:dyDescent="0.2">
      <c r="A133" s="121">
        <v>1606</v>
      </c>
      <c r="B133" s="121" t="s">
        <v>696</v>
      </c>
      <c r="C133" s="121" t="s">
        <v>475</v>
      </c>
      <c r="D133" s="121" t="s">
        <v>475</v>
      </c>
      <c r="E133" s="121" t="s">
        <v>475</v>
      </c>
      <c r="F133" s="121" t="s">
        <v>475</v>
      </c>
      <c r="G133" s="121" t="s">
        <v>500</v>
      </c>
      <c r="H133" s="121" t="s">
        <v>697</v>
      </c>
      <c r="I133" s="121" t="s">
        <v>698</v>
      </c>
      <c r="J133" s="121" t="s">
        <v>501</v>
      </c>
      <c r="K133" s="121" t="s">
        <v>475</v>
      </c>
      <c r="L133" s="121" t="s">
        <v>475</v>
      </c>
      <c r="M133" s="127" t="str">
        <f t="shared" si="2"/>
        <v>View on Google Map</v>
      </c>
    </row>
    <row r="134" spans="1:13" x14ac:dyDescent="0.2">
      <c r="A134" s="121">
        <v>1604</v>
      </c>
      <c r="B134" s="121" t="s">
        <v>699</v>
      </c>
      <c r="C134" s="121" t="s">
        <v>475</v>
      </c>
      <c r="D134" s="121" t="s">
        <v>475</v>
      </c>
      <c r="E134" s="121" t="s">
        <v>475</v>
      </c>
      <c r="F134" s="121" t="s">
        <v>475</v>
      </c>
      <c r="G134" s="121" t="s">
        <v>500</v>
      </c>
      <c r="H134" s="121" t="s">
        <v>700</v>
      </c>
      <c r="I134" s="121" t="s">
        <v>701</v>
      </c>
      <c r="J134" s="121" t="s">
        <v>501</v>
      </c>
      <c r="K134" s="121" t="s">
        <v>475</v>
      </c>
      <c r="L134" s="121" t="s">
        <v>475</v>
      </c>
      <c r="M134" s="127" t="str">
        <f t="shared" si="2"/>
        <v>View on Google Map</v>
      </c>
    </row>
    <row r="135" spans="1:13" x14ac:dyDescent="0.2">
      <c r="A135" s="121">
        <v>24</v>
      </c>
      <c r="B135" s="121" t="s">
        <v>702</v>
      </c>
      <c r="C135" s="121" t="s">
        <v>475</v>
      </c>
      <c r="D135" s="121" t="s">
        <v>475</v>
      </c>
      <c r="E135" s="121" t="s">
        <v>475</v>
      </c>
      <c r="F135" s="121" t="s">
        <v>475</v>
      </c>
      <c r="G135" s="121" t="s">
        <v>500</v>
      </c>
      <c r="H135" s="121" t="s">
        <v>475</v>
      </c>
      <c r="I135" s="121" t="s">
        <v>475</v>
      </c>
      <c r="J135" s="121" t="s">
        <v>501</v>
      </c>
      <c r="K135" s="121" t="s">
        <v>475</v>
      </c>
      <c r="L135" s="121" t="s">
        <v>475</v>
      </c>
      <c r="M135" s="127" t="str">
        <f t="shared" si="2"/>
        <v>View on Google Map</v>
      </c>
    </row>
    <row r="136" spans="1:13" x14ac:dyDescent="0.2">
      <c r="A136" s="121">
        <v>143</v>
      </c>
      <c r="B136" s="121" t="s">
        <v>703</v>
      </c>
      <c r="C136" s="121" t="s">
        <v>704</v>
      </c>
      <c r="D136" s="121">
        <v>68.650000000000006</v>
      </c>
      <c r="E136" s="121">
        <v>-148.5</v>
      </c>
      <c r="F136" s="121">
        <v>525</v>
      </c>
      <c r="G136" s="121" t="s">
        <v>486</v>
      </c>
      <c r="H136" s="121" t="s">
        <v>475</v>
      </c>
      <c r="I136" s="121" t="s">
        <v>475</v>
      </c>
      <c r="J136" s="121" t="s">
        <v>501</v>
      </c>
      <c r="K136" s="121" t="s">
        <v>475</v>
      </c>
      <c r="L136" s="121" t="s">
        <v>502</v>
      </c>
      <c r="M136" s="127" t="str">
        <f t="shared" si="2"/>
        <v>View on Google Map</v>
      </c>
    </row>
    <row r="137" spans="1:13" x14ac:dyDescent="0.2">
      <c r="A137" s="121">
        <v>464</v>
      </c>
      <c r="B137" s="121" t="s">
        <v>705</v>
      </c>
      <c r="C137" s="121" t="s">
        <v>475</v>
      </c>
      <c r="D137" s="121">
        <v>68.793719999999993</v>
      </c>
      <c r="E137" s="121">
        <v>-149.47560999999999</v>
      </c>
      <c r="F137" s="121">
        <v>702</v>
      </c>
      <c r="G137" s="121" t="s">
        <v>486</v>
      </c>
      <c r="H137" s="121" t="s">
        <v>475</v>
      </c>
      <c r="I137" s="121" t="s">
        <v>475</v>
      </c>
      <c r="J137" s="121" t="s">
        <v>487</v>
      </c>
      <c r="K137" s="121" t="s">
        <v>475</v>
      </c>
      <c r="L137" s="121" t="s">
        <v>475</v>
      </c>
      <c r="M137" s="127" t="str">
        <f t="shared" si="2"/>
        <v>View on Google Map</v>
      </c>
    </row>
    <row r="138" spans="1:13" x14ac:dyDescent="0.2">
      <c r="A138" s="121">
        <v>465</v>
      </c>
      <c r="B138" s="121" t="s">
        <v>706</v>
      </c>
      <c r="C138" s="121" t="s">
        <v>475</v>
      </c>
      <c r="D138" s="121">
        <v>68.796220000000005</v>
      </c>
      <c r="E138" s="121">
        <v>-149.48222000000001</v>
      </c>
      <c r="F138" s="121">
        <v>698</v>
      </c>
      <c r="G138" s="121" t="s">
        <v>486</v>
      </c>
      <c r="H138" s="121" t="s">
        <v>475</v>
      </c>
      <c r="I138" s="121" t="s">
        <v>475</v>
      </c>
      <c r="J138" s="121" t="s">
        <v>487</v>
      </c>
      <c r="K138" s="121" t="s">
        <v>475</v>
      </c>
      <c r="L138" s="121" t="s">
        <v>475</v>
      </c>
      <c r="M138" s="127" t="str">
        <f t="shared" si="2"/>
        <v>View on Google Map</v>
      </c>
    </row>
    <row r="139" spans="1:13" x14ac:dyDescent="0.2">
      <c r="A139" s="121">
        <v>466</v>
      </c>
      <c r="B139" s="121" t="s">
        <v>707</v>
      </c>
      <c r="C139" s="121" t="s">
        <v>475</v>
      </c>
      <c r="D139" s="121">
        <v>68.798249999999996</v>
      </c>
      <c r="E139" s="121">
        <v>-149.47832</v>
      </c>
      <c r="F139" s="121">
        <v>697</v>
      </c>
      <c r="G139" s="121" t="s">
        <v>486</v>
      </c>
      <c r="H139" s="121" t="s">
        <v>475</v>
      </c>
      <c r="I139" s="121" t="s">
        <v>475</v>
      </c>
      <c r="J139" s="121" t="s">
        <v>487</v>
      </c>
      <c r="K139" s="121" t="s">
        <v>475</v>
      </c>
      <c r="L139" s="121" t="s">
        <v>475</v>
      </c>
      <c r="M139" s="127" t="str">
        <f t="shared" si="2"/>
        <v>View on Google Map</v>
      </c>
    </row>
    <row r="140" spans="1:13" x14ac:dyDescent="0.2">
      <c r="A140" s="121">
        <v>467</v>
      </c>
      <c r="B140" s="121" t="s">
        <v>708</v>
      </c>
      <c r="C140" s="121" t="s">
        <v>475</v>
      </c>
      <c r="D140" s="121">
        <v>68.794659999999993</v>
      </c>
      <c r="E140" s="121">
        <v>-149.46985000000001</v>
      </c>
      <c r="F140" s="121">
        <v>702</v>
      </c>
      <c r="G140" s="121" t="s">
        <v>486</v>
      </c>
      <c r="H140" s="121" t="s">
        <v>475</v>
      </c>
      <c r="I140" s="121" t="s">
        <v>475</v>
      </c>
      <c r="J140" s="121" t="s">
        <v>487</v>
      </c>
      <c r="K140" s="121" t="s">
        <v>475</v>
      </c>
      <c r="L140" s="121" t="s">
        <v>475</v>
      </c>
      <c r="M140" s="127" t="str">
        <f t="shared" si="2"/>
        <v>View on Google Map</v>
      </c>
    </row>
    <row r="141" spans="1:13" x14ac:dyDescent="0.2">
      <c r="A141" s="121">
        <v>468</v>
      </c>
      <c r="B141" s="121" t="s">
        <v>709</v>
      </c>
      <c r="C141" s="121" t="s">
        <v>475</v>
      </c>
      <c r="D141" s="121">
        <v>68.797669999999997</v>
      </c>
      <c r="E141" s="121">
        <v>-149.46574000000001</v>
      </c>
      <c r="F141" s="121">
        <v>692</v>
      </c>
      <c r="G141" s="121" t="s">
        <v>486</v>
      </c>
      <c r="H141" s="121" t="s">
        <v>475</v>
      </c>
      <c r="I141" s="121" t="s">
        <v>475</v>
      </c>
      <c r="J141" s="121" t="s">
        <v>487</v>
      </c>
      <c r="K141" s="121" t="s">
        <v>475</v>
      </c>
      <c r="L141" s="121" t="s">
        <v>475</v>
      </c>
      <c r="M141" s="127" t="str">
        <f t="shared" si="2"/>
        <v>View on Google Map</v>
      </c>
    </row>
    <row r="142" spans="1:13" x14ac:dyDescent="0.2">
      <c r="A142" s="121">
        <v>469</v>
      </c>
      <c r="B142" s="121" t="s">
        <v>710</v>
      </c>
      <c r="C142" s="121" t="s">
        <v>475</v>
      </c>
      <c r="D142" s="121">
        <v>68.802390000000003</v>
      </c>
      <c r="E142" s="121">
        <v>-149.46473</v>
      </c>
      <c r="F142" s="121">
        <v>683</v>
      </c>
      <c r="G142" s="121" t="s">
        <v>486</v>
      </c>
      <c r="H142" s="121" t="s">
        <v>475</v>
      </c>
      <c r="I142" s="121" t="s">
        <v>475</v>
      </c>
      <c r="J142" s="121" t="s">
        <v>487</v>
      </c>
      <c r="K142" s="121" t="s">
        <v>475</v>
      </c>
      <c r="L142" s="121" t="s">
        <v>475</v>
      </c>
      <c r="M142" s="127" t="str">
        <f t="shared" si="2"/>
        <v>View on Google Map</v>
      </c>
    </row>
    <row r="143" spans="1:13" x14ac:dyDescent="0.2">
      <c r="A143" s="121">
        <v>406</v>
      </c>
      <c r="B143" s="121" t="s">
        <v>711</v>
      </c>
      <c r="C143" s="121" t="s">
        <v>475</v>
      </c>
      <c r="D143" s="121" t="s">
        <v>475</v>
      </c>
      <c r="E143" s="121" t="s">
        <v>475</v>
      </c>
      <c r="F143" s="121" t="s">
        <v>475</v>
      </c>
      <c r="G143" s="121" t="s">
        <v>486</v>
      </c>
      <c r="H143" s="121" t="s">
        <v>475</v>
      </c>
      <c r="I143" s="121" t="s">
        <v>475</v>
      </c>
      <c r="J143" s="121" t="s">
        <v>501</v>
      </c>
      <c r="K143" s="121" t="s">
        <v>475</v>
      </c>
      <c r="L143" s="121" t="s">
        <v>657</v>
      </c>
      <c r="M143" s="127" t="str">
        <f t="shared" si="2"/>
        <v>View on Google Map</v>
      </c>
    </row>
    <row r="144" spans="1:13" x14ac:dyDescent="0.2">
      <c r="A144" s="121">
        <v>407</v>
      </c>
      <c r="B144" s="121" t="s">
        <v>712</v>
      </c>
      <c r="C144" s="121" t="s">
        <v>475</v>
      </c>
      <c r="D144" s="121" t="s">
        <v>475</v>
      </c>
      <c r="E144" s="121" t="s">
        <v>475</v>
      </c>
      <c r="F144" s="121" t="s">
        <v>475</v>
      </c>
      <c r="G144" s="121" t="s">
        <v>486</v>
      </c>
      <c r="H144" s="121" t="s">
        <v>475</v>
      </c>
      <c r="I144" s="121" t="s">
        <v>475</v>
      </c>
      <c r="J144" s="121" t="s">
        <v>501</v>
      </c>
      <c r="K144" s="121" t="s">
        <v>475</v>
      </c>
      <c r="L144" s="121" t="s">
        <v>657</v>
      </c>
      <c r="M144" s="127" t="str">
        <f t="shared" si="2"/>
        <v>View on Google Map</v>
      </c>
    </row>
    <row r="145" spans="1:13" x14ac:dyDescent="0.2">
      <c r="A145" s="121">
        <v>164</v>
      </c>
      <c r="B145" s="121" t="s">
        <v>713</v>
      </c>
      <c r="C145" s="121" t="s">
        <v>475</v>
      </c>
      <c r="D145" s="121">
        <v>68.683333333333337</v>
      </c>
      <c r="E145" s="121">
        <v>-149.07666666666699</v>
      </c>
      <c r="F145" s="121">
        <v>770</v>
      </c>
      <c r="G145" s="121" t="s">
        <v>486</v>
      </c>
      <c r="H145" s="121" t="s">
        <v>714</v>
      </c>
      <c r="I145" s="121" t="s">
        <v>715</v>
      </c>
      <c r="J145" s="121" t="s">
        <v>501</v>
      </c>
      <c r="K145" s="121">
        <v>274</v>
      </c>
      <c r="L145" s="121" t="s">
        <v>475</v>
      </c>
      <c r="M145" s="127" t="str">
        <f t="shared" si="2"/>
        <v>View on Google Map</v>
      </c>
    </row>
    <row r="146" spans="1:13" x14ac:dyDescent="0.2">
      <c r="A146" s="121">
        <v>165</v>
      </c>
      <c r="B146" s="121" t="s">
        <v>716</v>
      </c>
      <c r="C146" s="121" t="s">
        <v>475</v>
      </c>
      <c r="D146" s="121">
        <v>68.683333333333337</v>
      </c>
      <c r="E146" s="121">
        <v>-149.1</v>
      </c>
      <c r="F146" s="121">
        <v>785</v>
      </c>
      <c r="G146" s="121" t="s">
        <v>486</v>
      </c>
      <c r="H146" s="121" t="s">
        <v>717</v>
      </c>
      <c r="I146" s="121" t="s">
        <v>718</v>
      </c>
      <c r="J146" s="121" t="s">
        <v>501</v>
      </c>
      <c r="K146" s="121">
        <v>275</v>
      </c>
      <c r="L146" s="121" t="s">
        <v>475</v>
      </c>
      <c r="M146" s="127" t="str">
        <f t="shared" si="2"/>
        <v>View on Google Map</v>
      </c>
    </row>
    <row r="147" spans="1:13" x14ac:dyDescent="0.2">
      <c r="A147" s="121">
        <v>166</v>
      </c>
      <c r="B147" s="121" t="s">
        <v>719</v>
      </c>
      <c r="C147" s="121" t="s">
        <v>475</v>
      </c>
      <c r="D147" s="121">
        <v>68.666666666666671</v>
      </c>
      <c r="E147" s="121">
        <v>-149.1</v>
      </c>
      <c r="F147" s="121">
        <v>792</v>
      </c>
      <c r="G147" s="121" t="s">
        <v>486</v>
      </c>
      <c r="H147" s="121" t="s">
        <v>720</v>
      </c>
      <c r="I147" s="121" t="s">
        <v>721</v>
      </c>
      <c r="J147" s="121" t="s">
        <v>501</v>
      </c>
      <c r="K147" s="121">
        <v>276</v>
      </c>
      <c r="L147" s="121" t="s">
        <v>475</v>
      </c>
      <c r="M147" s="127" t="str">
        <f t="shared" si="2"/>
        <v>View on Google Map</v>
      </c>
    </row>
    <row r="148" spans="1:13" x14ac:dyDescent="0.2">
      <c r="A148" s="121">
        <v>167</v>
      </c>
      <c r="B148" s="121" t="s">
        <v>722</v>
      </c>
      <c r="C148" s="121" t="s">
        <v>475</v>
      </c>
      <c r="D148" s="121">
        <v>68.680000000000007</v>
      </c>
      <c r="E148" s="121">
        <v>-149.071666666667</v>
      </c>
      <c r="F148" s="121">
        <v>754</v>
      </c>
      <c r="G148" s="121" t="s">
        <v>486</v>
      </c>
      <c r="H148" s="121" t="s">
        <v>723</v>
      </c>
      <c r="I148" s="121" t="s">
        <v>724</v>
      </c>
      <c r="J148" s="121" t="s">
        <v>501</v>
      </c>
      <c r="K148" s="121" t="s">
        <v>475</v>
      </c>
      <c r="L148" s="121" t="s">
        <v>475</v>
      </c>
      <c r="M148" s="127" t="str">
        <f t="shared" si="2"/>
        <v>View on Google Map</v>
      </c>
    </row>
    <row r="149" spans="1:13" x14ac:dyDescent="0.2">
      <c r="A149" s="121">
        <v>168</v>
      </c>
      <c r="B149" s="121" t="s">
        <v>725</v>
      </c>
      <c r="C149" s="121" t="s">
        <v>475</v>
      </c>
      <c r="D149" s="121">
        <v>68.674999999999997</v>
      </c>
      <c r="E149" s="121">
        <v>-149.06</v>
      </c>
      <c r="F149" s="121" t="s">
        <v>475</v>
      </c>
      <c r="G149" s="121" t="s">
        <v>486</v>
      </c>
      <c r="H149" s="121" t="s">
        <v>726</v>
      </c>
      <c r="I149" s="121" t="s">
        <v>727</v>
      </c>
      <c r="J149" s="121" t="s">
        <v>501</v>
      </c>
      <c r="K149" s="121" t="s">
        <v>475</v>
      </c>
      <c r="L149" s="121" t="s">
        <v>475</v>
      </c>
      <c r="M149" s="127" t="str">
        <f t="shared" si="2"/>
        <v>View on Google Map</v>
      </c>
    </row>
    <row r="150" spans="1:13" x14ac:dyDescent="0.2">
      <c r="A150" s="121">
        <v>124</v>
      </c>
      <c r="B150" s="121" t="s">
        <v>728</v>
      </c>
      <c r="C150" s="121" t="s">
        <v>475</v>
      </c>
      <c r="D150" s="121">
        <v>68.466666666666669</v>
      </c>
      <c r="E150" s="121">
        <v>-149.5</v>
      </c>
      <c r="F150" s="121">
        <v>802</v>
      </c>
      <c r="G150" s="121" t="s">
        <v>486</v>
      </c>
      <c r="H150" s="121" t="s">
        <v>729</v>
      </c>
      <c r="I150" s="121" t="s">
        <v>475</v>
      </c>
      <c r="J150" s="121" t="s">
        <v>501</v>
      </c>
      <c r="K150" s="121" t="s">
        <v>475</v>
      </c>
      <c r="L150" s="121" t="s">
        <v>502</v>
      </c>
      <c r="M150" s="127" t="str">
        <f t="shared" si="2"/>
        <v>View on Google Map</v>
      </c>
    </row>
    <row r="151" spans="1:13" x14ac:dyDescent="0.2">
      <c r="A151" s="121">
        <v>432</v>
      </c>
      <c r="B151" s="121" t="s">
        <v>730</v>
      </c>
      <c r="C151" s="121" t="s">
        <v>475</v>
      </c>
      <c r="D151" s="121" t="s">
        <v>475</v>
      </c>
      <c r="E151" s="121" t="s">
        <v>475</v>
      </c>
      <c r="F151" s="121">
        <v>800</v>
      </c>
      <c r="G151" s="121" t="s">
        <v>486</v>
      </c>
      <c r="H151" s="121" t="s">
        <v>731</v>
      </c>
      <c r="I151" s="121" t="s">
        <v>475</v>
      </c>
      <c r="J151" s="121" t="s">
        <v>501</v>
      </c>
      <c r="K151" s="121" t="s">
        <v>475</v>
      </c>
      <c r="L151" s="121" t="s">
        <v>732</v>
      </c>
      <c r="M151" s="127" t="str">
        <f t="shared" si="2"/>
        <v>View on Google Map</v>
      </c>
    </row>
    <row r="152" spans="1:13" x14ac:dyDescent="0.2">
      <c r="A152" s="121">
        <v>433</v>
      </c>
      <c r="B152" s="121" t="s">
        <v>733</v>
      </c>
      <c r="C152" s="121" t="s">
        <v>475</v>
      </c>
      <c r="D152" s="121" t="s">
        <v>475</v>
      </c>
      <c r="E152" s="121" t="s">
        <v>475</v>
      </c>
      <c r="F152" s="121">
        <v>800</v>
      </c>
      <c r="G152" s="121" t="s">
        <v>486</v>
      </c>
      <c r="H152" s="121" t="s">
        <v>734</v>
      </c>
      <c r="I152" s="121" t="s">
        <v>475</v>
      </c>
      <c r="J152" s="121" t="s">
        <v>501</v>
      </c>
      <c r="K152" s="121" t="s">
        <v>475</v>
      </c>
      <c r="L152" s="121" t="s">
        <v>732</v>
      </c>
      <c r="M152" s="127" t="str">
        <f t="shared" si="2"/>
        <v>View on Google Map</v>
      </c>
    </row>
    <row r="153" spans="1:13" x14ac:dyDescent="0.2">
      <c r="A153" s="121">
        <v>434</v>
      </c>
      <c r="B153" s="121" t="s">
        <v>735</v>
      </c>
      <c r="C153" s="121" t="s">
        <v>475</v>
      </c>
      <c r="D153" s="121" t="s">
        <v>475</v>
      </c>
      <c r="E153" s="121" t="s">
        <v>475</v>
      </c>
      <c r="F153" s="121">
        <v>801</v>
      </c>
      <c r="G153" s="121" t="s">
        <v>486</v>
      </c>
      <c r="H153" s="121" t="s">
        <v>736</v>
      </c>
      <c r="I153" s="121" t="s">
        <v>475</v>
      </c>
      <c r="J153" s="121" t="s">
        <v>501</v>
      </c>
      <c r="K153" s="121" t="s">
        <v>475</v>
      </c>
      <c r="L153" s="121" t="s">
        <v>732</v>
      </c>
      <c r="M153" s="127" t="str">
        <f t="shared" si="2"/>
        <v>View on Google Map</v>
      </c>
    </row>
    <row r="154" spans="1:13" x14ac:dyDescent="0.2">
      <c r="A154" s="121">
        <v>435</v>
      </c>
      <c r="B154" s="121" t="s">
        <v>737</v>
      </c>
      <c r="C154" s="121" t="s">
        <v>475</v>
      </c>
      <c r="D154" s="121" t="s">
        <v>475</v>
      </c>
      <c r="E154" s="121" t="s">
        <v>475</v>
      </c>
      <c r="F154" s="121">
        <v>802</v>
      </c>
      <c r="G154" s="121" t="s">
        <v>486</v>
      </c>
      <c r="H154" s="121" t="s">
        <v>738</v>
      </c>
      <c r="I154" s="121" t="s">
        <v>475</v>
      </c>
      <c r="J154" s="121" t="s">
        <v>501</v>
      </c>
      <c r="K154" s="121" t="s">
        <v>475</v>
      </c>
      <c r="L154" s="121" t="s">
        <v>732</v>
      </c>
      <c r="M154" s="127" t="str">
        <f t="shared" si="2"/>
        <v>View on Google Map</v>
      </c>
    </row>
    <row r="155" spans="1:13" x14ac:dyDescent="0.2">
      <c r="A155" s="121">
        <v>436</v>
      </c>
      <c r="B155" s="121" t="s">
        <v>739</v>
      </c>
      <c r="C155" s="121" t="s">
        <v>475</v>
      </c>
      <c r="D155" s="121" t="s">
        <v>475</v>
      </c>
      <c r="E155" s="121" t="s">
        <v>475</v>
      </c>
      <c r="F155" s="121">
        <v>803</v>
      </c>
      <c r="G155" s="121" t="s">
        <v>486</v>
      </c>
      <c r="H155" s="121" t="s">
        <v>740</v>
      </c>
      <c r="I155" s="121" t="s">
        <v>475</v>
      </c>
      <c r="J155" s="121" t="s">
        <v>501</v>
      </c>
      <c r="K155" s="121" t="s">
        <v>475</v>
      </c>
      <c r="L155" s="121" t="s">
        <v>732</v>
      </c>
      <c r="M155" s="127" t="str">
        <f t="shared" si="2"/>
        <v>View on Google Map</v>
      </c>
    </row>
    <row r="156" spans="1:13" x14ac:dyDescent="0.2">
      <c r="A156" s="121">
        <v>437</v>
      </c>
      <c r="B156" s="121" t="s">
        <v>741</v>
      </c>
      <c r="C156" s="121" t="s">
        <v>475</v>
      </c>
      <c r="D156" s="121" t="s">
        <v>475</v>
      </c>
      <c r="E156" s="121" t="s">
        <v>475</v>
      </c>
      <c r="F156" s="121">
        <v>804</v>
      </c>
      <c r="G156" s="121" t="s">
        <v>486</v>
      </c>
      <c r="H156" s="121" t="s">
        <v>742</v>
      </c>
      <c r="I156" s="121" t="s">
        <v>475</v>
      </c>
      <c r="J156" s="121" t="s">
        <v>501</v>
      </c>
      <c r="K156" s="121" t="s">
        <v>475</v>
      </c>
      <c r="L156" s="121" t="s">
        <v>732</v>
      </c>
      <c r="M156" s="127" t="str">
        <f t="shared" si="2"/>
        <v>View on Google Map</v>
      </c>
    </row>
    <row r="157" spans="1:13" x14ac:dyDescent="0.2">
      <c r="A157" s="121">
        <v>438</v>
      </c>
      <c r="B157" s="121" t="s">
        <v>743</v>
      </c>
      <c r="C157" s="121" t="s">
        <v>475</v>
      </c>
      <c r="D157" s="121" t="s">
        <v>475</v>
      </c>
      <c r="E157" s="121" t="s">
        <v>475</v>
      </c>
      <c r="F157" s="121">
        <v>805</v>
      </c>
      <c r="G157" s="121" t="s">
        <v>486</v>
      </c>
      <c r="H157" s="121" t="s">
        <v>744</v>
      </c>
      <c r="I157" s="121" t="s">
        <v>475</v>
      </c>
      <c r="J157" s="121" t="s">
        <v>501</v>
      </c>
      <c r="K157" s="121" t="s">
        <v>475</v>
      </c>
      <c r="L157" s="121" t="s">
        <v>732</v>
      </c>
      <c r="M157" s="127" t="str">
        <f t="shared" si="2"/>
        <v>View on Google Map</v>
      </c>
    </row>
    <row r="158" spans="1:13" x14ac:dyDescent="0.2">
      <c r="A158" s="121">
        <v>439</v>
      </c>
      <c r="B158" s="121" t="s">
        <v>745</v>
      </c>
      <c r="C158" s="121" t="s">
        <v>475</v>
      </c>
      <c r="D158" s="121" t="s">
        <v>475</v>
      </c>
      <c r="E158" s="121" t="s">
        <v>475</v>
      </c>
      <c r="F158" s="121">
        <v>807</v>
      </c>
      <c r="G158" s="121" t="s">
        <v>486</v>
      </c>
      <c r="H158" s="121" t="s">
        <v>746</v>
      </c>
      <c r="I158" s="121" t="s">
        <v>475</v>
      </c>
      <c r="J158" s="121" t="s">
        <v>501</v>
      </c>
      <c r="K158" s="121" t="s">
        <v>475</v>
      </c>
      <c r="L158" s="121" t="s">
        <v>732</v>
      </c>
      <c r="M158" s="127" t="str">
        <f t="shared" si="2"/>
        <v>View on Google Map</v>
      </c>
    </row>
    <row r="159" spans="1:13" x14ac:dyDescent="0.2">
      <c r="A159" s="121">
        <v>440</v>
      </c>
      <c r="B159" s="121" t="s">
        <v>747</v>
      </c>
      <c r="C159" s="121" t="s">
        <v>475</v>
      </c>
      <c r="D159" s="121" t="s">
        <v>475</v>
      </c>
      <c r="E159" s="121" t="s">
        <v>475</v>
      </c>
      <c r="F159" s="121">
        <v>805</v>
      </c>
      <c r="G159" s="121" t="s">
        <v>486</v>
      </c>
      <c r="H159" s="121" t="s">
        <v>748</v>
      </c>
      <c r="I159" s="121" t="s">
        <v>475</v>
      </c>
      <c r="J159" s="121" t="s">
        <v>501</v>
      </c>
      <c r="K159" s="121" t="s">
        <v>475</v>
      </c>
      <c r="L159" s="121" t="s">
        <v>732</v>
      </c>
      <c r="M159" s="127" t="str">
        <f t="shared" si="2"/>
        <v>View on Google Map</v>
      </c>
    </row>
    <row r="160" spans="1:13" x14ac:dyDescent="0.2">
      <c r="A160" s="121">
        <v>441</v>
      </c>
      <c r="B160" s="121" t="s">
        <v>749</v>
      </c>
      <c r="C160" s="121" t="s">
        <v>475</v>
      </c>
      <c r="D160" s="121" t="s">
        <v>475</v>
      </c>
      <c r="E160" s="121" t="s">
        <v>475</v>
      </c>
      <c r="F160" s="121">
        <v>805</v>
      </c>
      <c r="G160" s="121" t="s">
        <v>486</v>
      </c>
      <c r="H160" s="121" t="s">
        <v>750</v>
      </c>
      <c r="I160" s="121" t="s">
        <v>475</v>
      </c>
      <c r="J160" s="121" t="s">
        <v>501</v>
      </c>
      <c r="K160" s="121" t="s">
        <v>475</v>
      </c>
      <c r="L160" s="121" t="s">
        <v>732</v>
      </c>
      <c r="M160" s="127" t="str">
        <f t="shared" si="2"/>
        <v>View on Google Map</v>
      </c>
    </row>
    <row r="161" spans="1:14" x14ac:dyDescent="0.2">
      <c r="A161" s="121">
        <v>442</v>
      </c>
      <c r="B161" s="121" t="s">
        <v>751</v>
      </c>
      <c r="C161" s="121" t="s">
        <v>475</v>
      </c>
      <c r="D161" s="121" t="s">
        <v>475</v>
      </c>
      <c r="E161" s="121" t="s">
        <v>475</v>
      </c>
      <c r="F161" s="121">
        <v>805</v>
      </c>
      <c r="G161" s="121" t="s">
        <v>486</v>
      </c>
      <c r="H161" s="121" t="s">
        <v>752</v>
      </c>
      <c r="I161" s="121" t="s">
        <v>475</v>
      </c>
      <c r="J161" s="121" t="s">
        <v>501</v>
      </c>
      <c r="K161" s="121" t="s">
        <v>475</v>
      </c>
      <c r="L161" s="121" t="s">
        <v>732</v>
      </c>
      <c r="M161" s="127" t="str">
        <f t="shared" si="2"/>
        <v>View on Google Map</v>
      </c>
    </row>
    <row r="162" spans="1:14" x14ac:dyDescent="0.2">
      <c r="A162" s="121">
        <v>443</v>
      </c>
      <c r="B162" s="121" t="s">
        <v>753</v>
      </c>
      <c r="C162" s="121" t="s">
        <v>475</v>
      </c>
      <c r="D162" s="121" t="s">
        <v>475</v>
      </c>
      <c r="E162" s="121" t="s">
        <v>475</v>
      </c>
      <c r="F162" s="121">
        <v>812</v>
      </c>
      <c r="G162" s="121" t="s">
        <v>486</v>
      </c>
      <c r="H162" s="121" t="s">
        <v>754</v>
      </c>
      <c r="I162" s="121" t="s">
        <v>475</v>
      </c>
      <c r="J162" s="121" t="s">
        <v>501</v>
      </c>
      <c r="K162" s="121" t="s">
        <v>475</v>
      </c>
      <c r="L162" s="121" t="s">
        <v>732</v>
      </c>
      <c r="M162" s="127" t="str">
        <f t="shared" si="2"/>
        <v>View on Google Map</v>
      </c>
    </row>
    <row r="163" spans="1:14" x14ac:dyDescent="0.2">
      <c r="A163" s="121">
        <v>28</v>
      </c>
      <c r="B163" s="121" t="s">
        <v>755</v>
      </c>
      <c r="C163" s="121" t="s">
        <v>475</v>
      </c>
      <c r="D163" s="121" t="s">
        <v>475</v>
      </c>
      <c r="E163" s="121" t="s">
        <v>475</v>
      </c>
      <c r="F163" s="121">
        <v>1189</v>
      </c>
      <c r="G163" s="121" t="s">
        <v>500</v>
      </c>
      <c r="H163" s="121" t="s">
        <v>756</v>
      </c>
      <c r="I163" s="121" t="s">
        <v>475</v>
      </c>
      <c r="J163" s="121" t="s">
        <v>501</v>
      </c>
      <c r="K163" s="121" t="s">
        <v>475</v>
      </c>
      <c r="L163" s="121" t="s">
        <v>475</v>
      </c>
      <c r="M163" s="127" t="str">
        <f t="shared" si="2"/>
        <v>View on Google Map</v>
      </c>
    </row>
    <row r="164" spans="1:14" x14ac:dyDescent="0.2">
      <c r="A164" s="121">
        <v>29</v>
      </c>
      <c r="B164" s="121" t="s">
        <v>757</v>
      </c>
      <c r="C164" s="121" t="s">
        <v>475</v>
      </c>
      <c r="D164" s="121" t="s">
        <v>475</v>
      </c>
      <c r="E164" s="121" t="s">
        <v>475</v>
      </c>
      <c r="F164" s="121">
        <v>1372</v>
      </c>
      <c r="G164" s="121" t="s">
        <v>500</v>
      </c>
      <c r="H164" s="121" t="s">
        <v>758</v>
      </c>
      <c r="I164" s="121" t="s">
        <v>475</v>
      </c>
      <c r="J164" s="121" t="s">
        <v>501</v>
      </c>
      <c r="K164" s="121" t="s">
        <v>475</v>
      </c>
      <c r="L164" s="121" t="s">
        <v>475</v>
      </c>
      <c r="M164" s="127" t="str">
        <f t="shared" si="2"/>
        <v>View on Google Map</v>
      </c>
    </row>
    <row r="165" spans="1:14" x14ac:dyDescent="0.2">
      <c r="A165" s="121">
        <v>30</v>
      </c>
      <c r="B165" s="121" t="s">
        <v>759</v>
      </c>
      <c r="C165" s="121" t="s">
        <v>475</v>
      </c>
      <c r="D165" s="121" t="s">
        <v>475</v>
      </c>
      <c r="E165" s="121" t="s">
        <v>475</v>
      </c>
      <c r="F165" s="121">
        <v>1463</v>
      </c>
      <c r="G165" s="121" t="s">
        <v>500</v>
      </c>
      <c r="H165" s="121" t="s">
        <v>760</v>
      </c>
      <c r="I165" s="121" t="s">
        <v>475</v>
      </c>
      <c r="J165" s="121" t="s">
        <v>501</v>
      </c>
      <c r="K165" s="121" t="s">
        <v>475</v>
      </c>
      <c r="L165" s="121" t="s">
        <v>475</v>
      </c>
      <c r="M165" s="127" t="str">
        <f t="shared" si="2"/>
        <v>View on Google Map</v>
      </c>
    </row>
    <row r="166" spans="1:14" x14ac:dyDescent="0.2">
      <c r="A166" s="121">
        <v>142</v>
      </c>
      <c r="B166" s="121" t="s">
        <v>761</v>
      </c>
      <c r="C166" s="121" t="s">
        <v>762</v>
      </c>
      <c r="D166" s="121">
        <v>68.53698</v>
      </c>
      <c r="E166" s="121">
        <v>-149.23740000000001</v>
      </c>
      <c r="F166" s="121">
        <v>883</v>
      </c>
      <c r="G166" s="121" t="s">
        <v>486</v>
      </c>
      <c r="H166" s="121" t="s">
        <v>763</v>
      </c>
      <c r="I166" s="121" t="s">
        <v>764</v>
      </c>
      <c r="J166" s="121" t="s">
        <v>501</v>
      </c>
      <c r="K166" s="121" t="s">
        <v>475</v>
      </c>
      <c r="L166" s="121" t="s">
        <v>502</v>
      </c>
      <c r="M166" s="127" t="str">
        <f t="shared" si="2"/>
        <v>View on Google Map</v>
      </c>
    </row>
    <row r="167" spans="1:14" x14ac:dyDescent="0.2">
      <c r="A167" s="121">
        <v>416</v>
      </c>
      <c r="B167" s="121" t="s">
        <v>765</v>
      </c>
      <c r="C167" s="121" t="s">
        <v>766</v>
      </c>
      <c r="D167" s="121">
        <v>68.496079978500006</v>
      </c>
      <c r="E167" s="121">
        <v>-149.60215567200001</v>
      </c>
      <c r="F167" s="121">
        <v>938</v>
      </c>
      <c r="G167" s="121" t="s">
        <v>486</v>
      </c>
      <c r="H167" s="121" t="s">
        <v>767</v>
      </c>
      <c r="I167" s="121" t="s">
        <v>475</v>
      </c>
      <c r="J167" s="121" t="s">
        <v>768</v>
      </c>
      <c r="K167" s="121" t="s">
        <v>475</v>
      </c>
      <c r="L167" s="121" t="s">
        <v>769</v>
      </c>
      <c r="M167" s="127" t="str">
        <f t="shared" si="2"/>
        <v>View on Google Map</v>
      </c>
      <c r="N167" s="121">
        <f>VALUE(MID(B167,5,3))</f>
        <v>100</v>
      </c>
    </row>
    <row r="168" spans="1:14" x14ac:dyDescent="0.2">
      <c r="A168" s="121">
        <v>417</v>
      </c>
      <c r="B168" s="121" t="s">
        <v>770</v>
      </c>
      <c r="C168" s="121" t="s">
        <v>771</v>
      </c>
      <c r="D168" s="121">
        <v>68.491641939700003</v>
      </c>
      <c r="E168" s="121">
        <v>-149.60743984699999</v>
      </c>
      <c r="F168" s="121">
        <v>937</v>
      </c>
      <c r="G168" s="121" t="s">
        <v>486</v>
      </c>
      <c r="H168" s="121" t="s">
        <v>772</v>
      </c>
      <c r="I168" s="121" t="s">
        <v>475</v>
      </c>
      <c r="J168" s="121" t="s">
        <v>768</v>
      </c>
      <c r="K168" s="121" t="s">
        <v>475</v>
      </c>
      <c r="L168" s="121" t="s">
        <v>769</v>
      </c>
      <c r="M168" s="127" t="str">
        <f t="shared" si="2"/>
        <v>View on Google Map</v>
      </c>
      <c r="N168" s="121">
        <f>VALUE(MID(B168,5,3))</f>
        <v>101</v>
      </c>
    </row>
    <row r="169" spans="1:14" x14ac:dyDescent="0.2">
      <c r="A169" s="121">
        <v>418</v>
      </c>
      <c r="B169" s="121" t="s">
        <v>773</v>
      </c>
      <c r="C169" s="121" t="s">
        <v>774</v>
      </c>
      <c r="D169" s="121">
        <v>68.485971524799993</v>
      </c>
      <c r="E169" s="121">
        <v>-149.611957343</v>
      </c>
      <c r="F169" s="121">
        <v>936</v>
      </c>
      <c r="G169" s="121" t="s">
        <v>486</v>
      </c>
      <c r="H169" s="121" t="s">
        <v>475</v>
      </c>
      <c r="I169" s="121" t="s">
        <v>475</v>
      </c>
      <c r="J169" s="121" t="s">
        <v>768</v>
      </c>
      <c r="K169" s="121" t="s">
        <v>475</v>
      </c>
      <c r="L169" s="121" t="s">
        <v>769</v>
      </c>
      <c r="M169" s="127" t="str">
        <f t="shared" si="2"/>
        <v>View on Google Map</v>
      </c>
      <c r="N169" s="121">
        <f>VALUE(MID(B169,5,3))</f>
        <v>102</v>
      </c>
    </row>
    <row r="170" spans="1:14" x14ac:dyDescent="0.2">
      <c r="A170" s="121">
        <v>419</v>
      </c>
      <c r="B170" s="121" t="s">
        <v>775</v>
      </c>
      <c r="C170" s="121" t="s">
        <v>776</v>
      </c>
      <c r="D170" s="121">
        <v>68.486418246300005</v>
      </c>
      <c r="E170" s="121">
        <v>-149.623539768</v>
      </c>
      <c r="F170" s="121">
        <v>934</v>
      </c>
      <c r="G170" s="121" t="s">
        <v>486</v>
      </c>
      <c r="H170" s="121" t="s">
        <v>777</v>
      </c>
      <c r="I170" s="121" t="s">
        <v>475</v>
      </c>
      <c r="J170" s="121" t="s">
        <v>768</v>
      </c>
      <c r="K170" s="121" t="s">
        <v>475</v>
      </c>
      <c r="L170" s="121" t="s">
        <v>769</v>
      </c>
      <c r="M170" s="127" t="str">
        <f t="shared" si="2"/>
        <v>View on Google Map</v>
      </c>
      <c r="N170" s="121">
        <f>VALUE(MID(B170,5,3))</f>
        <v>103</v>
      </c>
    </row>
    <row r="171" spans="1:14" x14ac:dyDescent="0.2">
      <c r="A171" s="121">
        <v>420</v>
      </c>
      <c r="B171" s="121" t="s">
        <v>778</v>
      </c>
      <c r="C171" s="121" t="s">
        <v>779</v>
      </c>
      <c r="D171" s="121">
        <v>68.480358182399996</v>
      </c>
      <c r="E171" s="121">
        <v>-149.621808276</v>
      </c>
      <c r="F171" s="121" t="s">
        <v>475</v>
      </c>
      <c r="G171" s="121" t="s">
        <v>486</v>
      </c>
      <c r="H171" s="121" t="s">
        <v>778</v>
      </c>
      <c r="I171" s="121" t="s">
        <v>475</v>
      </c>
      <c r="J171" s="121" t="s">
        <v>768</v>
      </c>
      <c r="K171" s="121" t="s">
        <v>475</v>
      </c>
      <c r="L171" s="121" t="s">
        <v>769</v>
      </c>
      <c r="M171" s="127" t="str">
        <f t="shared" si="2"/>
        <v>View on Google Map</v>
      </c>
      <c r="N171" s="121">
        <f t="shared" ref="N171:N198" si="3">VALUE(MID(H171,5,3))</f>
        <v>104</v>
      </c>
    </row>
    <row r="172" spans="1:14" x14ac:dyDescent="0.2">
      <c r="A172" s="121">
        <v>421</v>
      </c>
      <c r="B172" s="121" t="s">
        <v>780</v>
      </c>
      <c r="C172" s="121" t="s">
        <v>781</v>
      </c>
      <c r="D172" s="121">
        <v>68.487163894299997</v>
      </c>
      <c r="E172" s="121">
        <v>-149.57470926400001</v>
      </c>
      <c r="F172" s="121" t="s">
        <v>475</v>
      </c>
      <c r="G172" s="121" t="s">
        <v>486</v>
      </c>
      <c r="H172" s="121" t="s">
        <v>780</v>
      </c>
      <c r="I172" s="121" t="s">
        <v>475</v>
      </c>
      <c r="J172" s="121" t="s">
        <v>768</v>
      </c>
      <c r="K172" s="121" t="s">
        <v>475</v>
      </c>
      <c r="L172" s="121" t="s">
        <v>769</v>
      </c>
      <c r="M172" s="127" t="str">
        <f t="shared" si="2"/>
        <v>View on Google Map</v>
      </c>
      <c r="N172" s="121">
        <f t="shared" si="3"/>
        <v>105</v>
      </c>
    </row>
    <row r="173" spans="1:14" x14ac:dyDescent="0.2">
      <c r="A173" s="121">
        <v>422</v>
      </c>
      <c r="B173" s="121" t="s">
        <v>782</v>
      </c>
      <c r="C173" s="121" t="s">
        <v>783</v>
      </c>
      <c r="D173" s="121">
        <v>68.482007853900001</v>
      </c>
      <c r="E173" s="121">
        <v>-149.57357543099999</v>
      </c>
      <c r="F173" s="121" t="s">
        <v>475</v>
      </c>
      <c r="G173" s="121" t="s">
        <v>486</v>
      </c>
      <c r="H173" s="121" t="s">
        <v>782</v>
      </c>
      <c r="I173" s="121" t="s">
        <v>475</v>
      </c>
      <c r="J173" s="121" t="s">
        <v>768</v>
      </c>
      <c r="K173" s="121" t="s">
        <v>475</v>
      </c>
      <c r="L173" s="121" t="s">
        <v>769</v>
      </c>
      <c r="M173" s="127" t="str">
        <f t="shared" si="2"/>
        <v>View on Google Map</v>
      </c>
      <c r="N173" s="121">
        <f t="shared" si="3"/>
        <v>106</v>
      </c>
    </row>
    <row r="174" spans="1:14" x14ac:dyDescent="0.2">
      <c r="A174" s="121">
        <v>423</v>
      </c>
      <c r="B174" s="121" t="s">
        <v>784</v>
      </c>
      <c r="C174" s="121" t="s">
        <v>785</v>
      </c>
      <c r="D174" s="121">
        <v>68.480117783099999</v>
      </c>
      <c r="E174" s="121">
        <v>-149.553733964</v>
      </c>
      <c r="F174" s="121" t="s">
        <v>475</v>
      </c>
      <c r="G174" s="121" t="s">
        <v>486</v>
      </c>
      <c r="H174" s="121" t="s">
        <v>784</v>
      </c>
      <c r="I174" s="121" t="s">
        <v>475</v>
      </c>
      <c r="J174" s="121" t="s">
        <v>768</v>
      </c>
      <c r="K174" s="121" t="s">
        <v>475</v>
      </c>
      <c r="L174" s="121" t="s">
        <v>769</v>
      </c>
      <c r="M174" s="127" t="str">
        <f t="shared" si="2"/>
        <v>View on Google Map</v>
      </c>
      <c r="N174" s="121">
        <f t="shared" si="3"/>
        <v>107</v>
      </c>
    </row>
    <row r="175" spans="1:14" x14ac:dyDescent="0.2">
      <c r="A175" s="121">
        <v>424</v>
      </c>
      <c r="B175" s="121" t="s">
        <v>786</v>
      </c>
      <c r="C175" s="121" t="s">
        <v>787</v>
      </c>
      <c r="D175" s="121">
        <v>68.553470657600002</v>
      </c>
      <c r="E175" s="121">
        <v>-149.16702515599999</v>
      </c>
      <c r="F175" s="121" t="s">
        <v>475</v>
      </c>
      <c r="G175" s="121" t="s">
        <v>486</v>
      </c>
      <c r="H175" s="121" t="s">
        <v>786</v>
      </c>
      <c r="I175" s="121" t="s">
        <v>475</v>
      </c>
      <c r="J175" s="121" t="s">
        <v>768</v>
      </c>
      <c r="K175" s="121" t="s">
        <v>475</v>
      </c>
      <c r="L175" s="121" t="s">
        <v>769</v>
      </c>
      <c r="M175" s="127" t="str">
        <f t="shared" si="2"/>
        <v>View on Google Map</v>
      </c>
      <c r="N175" s="121">
        <f t="shared" si="3"/>
        <v>108</v>
      </c>
    </row>
    <row r="176" spans="1:14" x14ac:dyDescent="0.2">
      <c r="A176" s="121">
        <v>425</v>
      </c>
      <c r="B176" s="121" t="s">
        <v>788</v>
      </c>
      <c r="C176" s="121" t="s">
        <v>789</v>
      </c>
      <c r="D176" s="121">
        <v>68.557082457700005</v>
      </c>
      <c r="E176" s="121">
        <v>-149.154445686</v>
      </c>
      <c r="F176" s="121" t="s">
        <v>475</v>
      </c>
      <c r="G176" s="121" t="s">
        <v>486</v>
      </c>
      <c r="H176" s="121" t="s">
        <v>788</v>
      </c>
      <c r="I176" s="121" t="s">
        <v>475</v>
      </c>
      <c r="J176" s="121" t="s">
        <v>768</v>
      </c>
      <c r="K176" s="121" t="s">
        <v>475</v>
      </c>
      <c r="L176" s="121" t="s">
        <v>769</v>
      </c>
      <c r="M176" s="127" t="str">
        <f t="shared" si="2"/>
        <v>View on Google Map</v>
      </c>
      <c r="N176" s="121">
        <f t="shared" si="3"/>
        <v>109</v>
      </c>
    </row>
    <row r="177" spans="1:14" x14ac:dyDescent="0.2">
      <c r="A177" s="121">
        <v>426</v>
      </c>
      <c r="B177" s="121" t="s">
        <v>790</v>
      </c>
      <c r="C177" s="121" t="s">
        <v>791</v>
      </c>
      <c r="D177" s="121">
        <v>68.732874005799999</v>
      </c>
      <c r="E177" s="121">
        <v>-149.401461627</v>
      </c>
      <c r="F177" s="121" t="s">
        <v>475</v>
      </c>
      <c r="G177" s="121" t="s">
        <v>486</v>
      </c>
      <c r="H177" s="121" t="s">
        <v>790</v>
      </c>
      <c r="I177" s="121" t="s">
        <v>475</v>
      </c>
      <c r="J177" s="121" t="s">
        <v>768</v>
      </c>
      <c r="K177" s="121" t="s">
        <v>475</v>
      </c>
      <c r="L177" s="121" t="s">
        <v>769</v>
      </c>
      <c r="M177" s="127" t="str">
        <f t="shared" si="2"/>
        <v>View on Google Map</v>
      </c>
      <c r="N177" s="121">
        <f t="shared" si="3"/>
        <v>110</v>
      </c>
    </row>
    <row r="178" spans="1:14" x14ac:dyDescent="0.2">
      <c r="A178" s="121">
        <v>427</v>
      </c>
      <c r="B178" s="121" t="s">
        <v>792</v>
      </c>
      <c r="C178" s="121" t="s">
        <v>793</v>
      </c>
      <c r="D178" s="121">
        <v>68.728437910899999</v>
      </c>
      <c r="E178" s="121">
        <v>-149.39298449200001</v>
      </c>
      <c r="F178" s="121" t="s">
        <v>475</v>
      </c>
      <c r="G178" s="121" t="s">
        <v>486</v>
      </c>
      <c r="H178" s="121" t="s">
        <v>792</v>
      </c>
      <c r="I178" s="121" t="s">
        <v>475</v>
      </c>
      <c r="J178" s="121" t="s">
        <v>768</v>
      </c>
      <c r="K178" s="121" t="s">
        <v>475</v>
      </c>
      <c r="L178" s="121" t="s">
        <v>769</v>
      </c>
      <c r="M178" s="127" t="str">
        <f t="shared" si="2"/>
        <v>View on Google Map</v>
      </c>
      <c r="N178" s="121">
        <f t="shared" si="3"/>
        <v>111</v>
      </c>
    </row>
    <row r="179" spans="1:14" x14ac:dyDescent="0.2">
      <c r="A179" s="121">
        <v>428</v>
      </c>
      <c r="B179" s="121" t="s">
        <v>794</v>
      </c>
      <c r="C179" s="121" t="s">
        <v>795</v>
      </c>
      <c r="D179" s="121">
        <v>68.671908805499996</v>
      </c>
      <c r="E179" s="121">
        <v>-149.24817348299999</v>
      </c>
      <c r="F179" s="121" t="s">
        <v>475</v>
      </c>
      <c r="G179" s="121" t="s">
        <v>486</v>
      </c>
      <c r="H179" s="121" t="s">
        <v>794</v>
      </c>
      <c r="I179" s="121" t="s">
        <v>475</v>
      </c>
      <c r="J179" s="121" t="s">
        <v>768</v>
      </c>
      <c r="K179" s="121" t="s">
        <v>475</v>
      </c>
      <c r="L179" s="121" t="s">
        <v>769</v>
      </c>
      <c r="M179" s="127" t="str">
        <f t="shared" si="2"/>
        <v>View on Google Map</v>
      </c>
      <c r="N179" s="121">
        <f t="shared" si="3"/>
        <v>112</v>
      </c>
    </row>
    <row r="180" spans="1:14" x14ac:dyDescent="0.2">
      <c r="A180" s="121">
        <v>429</v>
      </c>
      <c r="B180" s="121" t="s">
        <v>796</v>
      </c>
      <c r="C180" s="121" t="s">
        <v>797</v>
      </c>
      <c r="D180" s="121">
        <v>68.679427639400004</v>
      </c>
      <c r="E180" s="121">
        <v>-149.23947084900001</v>
      </c>
      <c r="F180" s="121" t="s">
        <v>475</v>
      </c>
      <c r="G180" s="121" t="s">
        <v>486</v>
      </c>
      <c r="H180" s="121" t="s">
        <v>796</v>
      </c>
      <c r="I180" s="121" t="s">
        <v>475</v>
      </c>
      <c r="J180" s="121" t="s">
        <v>768</v>
      </c>
      <c r="K180" s="121" t="s">
        <v>475</v>
      </c>
      <c r="L180" s="121" t="s">
        <v>769</v>
      </c>
      <c r="M180" s="127" t="str">
        <f t="shared" si="2"/>
        <v>View on Google Map</v>
      </c>
      <c r="N180" s="121">
        <f t="shared" si="3"/>
        <v>113</v>
      </c>
    </row>
    <row r="181" spans="1:14" x14ac:dyDescent="0.2">
      <c r="A181" s="121">
        <v>430</v>
      </c>
      <c r="B181" s="121" t="s">
        <v>798</v>
      </c>
      <c r="C181" s="121" t="s">
        <v>799</v>
      </c>
      <c r="D181" s="121">
        <v>68.679424428600001</v>
      </c>
      <c r="E181" s="121">
        <v>-149.22969695099999</v>
      </c>
      <c r="F181" s="121" t="s">
        <v>475</v>
      </c>
      <c r="G181" s="121" t="s">
        <v>486</v>
      </c>
      <c r="H181" s="121" t="s">
        <v>798</v>
      </c>
      <c r="I181" s="121" t="s">
        <v>475</v>
      </c>
      <c r="J181" s="121" t="s">
        <v>768</v>
      </c>
      <c r="K181" s="121" t="s">
        <v>475</v>
      </c>
      <c r="L181" s="121" t="s">
        <v>769</v>
      </c>
      <c r="M181" s="127" t="str">
        <f t="shared" si="2"/>
        <v>View on Google Map</v>
      </c>
      <c r="N181" s="121">
        <f t="shared" si="3"/>
        <v>114</v>
      </c>
    </row>
    <row r="182" spans="1:14" x14ac:dyDescent="0.2">
      <c r="A182" s="121">
        <v>398</v>
      </c>
      <c r="B182" s="121" t="s">
        <v>800</v>
      </c>
      <c r="C182" s="121" t="s">
        <v>801</v>
      </c>
      <c r="D182" s="121">
        <v>68.569791782099998</v>
      </c>
      <c r="E182" s="121">
        <v>-149.43938491</v>
      </c>
      <c r="F182" s="121" t="s">
        <v>475</v>
      </c>
      <c r="G182" s="121" t="s">
        <v>486</v>
      </c>
      <c r="H182" s="121" t="s">
        <v>800</v>
      </c>
      <c r="I182" s="121" t="s">
        <v>475</v>
      </c>
      <c r="J182" s="121" t="s">
        <v>768</v>
      </c>
      <c r="K182" s="121" t="s">
        <v>475</v>
      </c>
      <c r="L182" s="121" t="s">
        <v>769</v>
      </c>
      <c r="M182" s="127" t="str">
        <f t="shared" si="2"/>
        <v>View on Google Map</v>
      </c>
      <c r="N182" s="121">
        <f t="shared" si="3"/>
        <v>82</v>
      </c>
    </row>
    <row r="183" spans="1:14" x14ac:dyDescent="0.2">
      <c r="A183" s="121">
        <v>389</v>
      </c>
      <c r="B183" s="121" t="s">
        <v>802</v>
      </c>
      <c r="C183" s="121" t="s">
        <v>803</v>
      </c>
      <c r="D183" s="121">
        <v>68.568883214500005</v>
      </c>
      <c r="E183" s="121">
        <v>-149.432996798</v>
      </c>
      <c r="F183" s="121" t="s">
        <v>475</v>
      </c>
      <c r="G183" s="121" t="s">
        <v>486</v>
      </c>
      <c r="H183" s="121" t="s">
        <v>802</v>
      </c>
      <c r="I183" s="121" t="s">
        <v>475</v>
      </c>
      <c r="J183" s="121" t="s">
        <v>768</v>
      </c>
      <c r="K183" s="121" t="s">
        <v>475</v>
      </c>
      <c r="L183" s="121" t="s">
        <v>769</v>
      </c>
      <c r="M183" s="127" t="str">
        <f t="shared" si="2"/>
        <v>View on Google Map</v>
      </c>
      <c r="N183" s="121">
        <f t="shared" si="3"/>
        <v>83</v>
      </c>
    </row>
    <row r="184" spans="1:14" x14ac:dyDescent="0.2">
      <c r="A184" s="121">
        <v>390</v>
      </c>
      <c r="B184" s="121" t="s">
        <v>804</v>
      </c>
      <c r="C184" s="121" t="s">
        <v>805</v>
      </c>
      <c r="D184" s="121">
        <v>68.571446755099998</v>
      </c>
      <c r="E184" s="121">
        <v>-149.43614776499999</v>
      </c>
      <c r="F184" s="121" t="s">
        <v>475</v>
      </c>
      <c r="G184" s="121" t="s">
        <v>486</v>
      </c>
      <c r="H184" s="121" t="s">
        <v>804</v>
      </c>
      <c r="I184" s="121" t="s">
        <v>475</v>
      </c>
      <c r="J184" s="121" t="s">
        <v>768</v>
      </c>
      <c r="K184" s="121" t="s">
        <v>475</v>
      </c>
      <c r="L184" s="121" t="s">
        <v>769</v>
      </c>
      <c r="M184" s="127" t="str">
        <f t="shared" si="2"/>
        <v>View on Google Map</v>
      </c>
      <c r="N184" s="121">
        <f t="shared" si="3"/>
        <v>84</v>
      </c>
    </row>
    <row r="185" spans="1:14" x14ac:dyDescent="0.2">
      <c r="A185" s="121">
        <v>391</v>
      </c>
      <c r="B185" s="121" t="s">
        <v>806</v>
      </c>
      <c r="C185" s="121" t="s">
        <v>807</v>
      </c>
      <c r="D185" s="121">
        <v>68.600419015400007</v>
      </c>
      <c r="E185" s="121">
        <v>-149.438677388</v>
      </c>
      <c r="F185" s="121" t="s">
        <v>475</v>
      </c>
      <c r="G185" s="121" t="s">
        <v>486</v>
      </c>
      <c r="H185" s="121" t="s">
        <v>806</v>
      </c>
      <c r="I185" s="121" t="s">
        <v>475</v>
      </c>
      <c r="J185" s="121" t="s">
        <v>768</v>
      </c>
      <c r="K185" s="121" t="s">
        <v>475</v>
      </c>
      <c r="L185" s="121" t="s">
        <v>769</v>
      </c>
      <c r="M185" s="127" t="str">
        <f t="shared" si="2"/>
        <v>View on Google Map</v>
      </c>
      <c r="N185" s="121">
        <f t="shared" si="3"/>
        <v>85</v>
      </c>
    </row>
    <row r="186" spans="1:14" x14ac:dyDescent="0.2">
      <c r="A186" s="121">
        <v>392</v>
      </c>
      <c r="B186" s="121" t="s">
        <v>808</v>
      </c>
      <c r="C186" s="121" t="s">
        <v>809</v>
      </c>
      <c r="D186" s="121">
        <v>68.632424610200005</v>
      </c>
      <c r="E186" s="121">
        <v>-149.41874062799999</v>
      </c>
      <c r="F186" s="121" t="s">
        <v>475</v>
      </c>
      <c r="G186" s="121" t="s">
        <v>486</v>
      </c>
      <c r="H186" s="121" t="s">
        <v>808</v>
      </c>
      <c r="I186" s="121" t="s">
        <v>475</v>
      </c>
      <c r="J186" s="121" t="s">
        <v>768</v>
      </c>
      <c r="K186" s="121" t="s">
        <v>475</v>
      </c>
      <c r="L186" s="121" t="s">
        <v>769</v>
      </c>
      <c r="M186" s="127" t="str">
        <f t="shared" si="2"/>
        <v>View on Google Map</v>
      </c>
      <c r="N186" s="121">
        <f t="shared" si="3"/>
        <v>86</v>
      </c>
    </row>
    <row r="187" spans="1:14" x14ac:dyDescent="0.2">
      <c r="A187" s="121">
        <v>393</v>
      </c>
      <c r="B187" s="121" t="s">
        <v>810</v>
      </c>
      <c r="C187" s="121" t="s">
        <v>811</v>
      </c>
      <c r="D187" s="121">
        <v>68.505704965899994</v>
      </c>
      <c r="E187" s="121">
        <v>-149.516276081</v>
      </c>
      <c r="F187" s="121" t="s">
        <v>475</v>
      </c>
      <c r="G187" s="121" t="s">
        <v>486</v>
      </c>
      <c r="H187" s="121" t="s">
        <v>810</v>
      </c>
      <c r="I187" s="121" t="s">
        <v>475</v>
      </c>
      <c r="J187" s="121" t="s">
        <v>768</v>
      </c>
      <c r="K187" s="121" t="s">
        <v>475</v>
      </c>
      <c r="L187" s="121" t="s">
        <v>769</v>
      </c>
      <c r="M187" s="127" t="str">
        <f t="shared" si="2"/>
        <v>View on Google Map</v>
      </c>
      <c r="N187" s="121">
        <f t="shared" si="3"/>
        <v>87</v>
      </c>
    </row>
    <row r="188" spans="1:14" x14ac:dyDescent="0.2">
      <c r="A188" s="121">
        <v>394</v>
      </c>
      <c r="B188" s="121" t="s">
        <v>812</v>
      </c>
      <c r="C188" s="121" t="s">
        <v>813</v>
      </c>
      <c r="D188" s="121">
        <v>68.509234808599999</v>
      </c>
      <c r="E188" s="121">
        <v>-149.58917678500001</v>
      </c>
      <c r="F188" s="121" t="s">
        <v>475</v>
      </c>
      <c r="G188" s="121" t="s">
        <v>486</v>
      </c>
      <c r="H188" s="121" t="s">
        <v>812</v>
      </c>
      <c r="I188" s="121" t="s">
        <v>475</v>
      </c>
      <c r="J188" s="121" t="s">
        <v>768</v>
      </c>
      <c r="K188" s="121" t="s">
        <v>475</v>
      </c>
      <c r="L188" s="121" t="s">
        <v>769</v>
      </c>
      <c r="M188" s="127" t="str">
        <f t="shared" si="2"/>
        <v>View on Google Map</v>
      </c>
      <c r="N188" s="121">
        <f t="shared" si="3"/>
        <v>88</v>
      </c>
    </row>
    <row r="189" spans="1:14" x14ac:dyDescent="0.2">
      <c r="A189" s="121">
        <v>395</v>
      </c>
      <c r="B189" s="121" t="s">
        <v>814</v>
      </c>
      <c r="C189" s="121" t="s">
        <v>815</v>
      </c>
      <c r="D189" s="121">
        <v>68.525650531300002</v>
      </c>
      <c r="E189" s="121">
        <v>-149.54161982299999</v>
      </c>
      <c r="F189" s="121" t="s">
        <v>475</v>
      </c>
      <c r="G189" s="121" t="s">
        <v>486</v>
      </c>
      <c r="H189" s="121" t="s">
        <v>814</v>
      </c>
      <c r="I189" s="121" t="s">
        <v>475</v>
      </c>
      <c r="J189" s="121" t="s">
        <v>768</v>
      </c>
      <c r="K189" s="121" t="s">
        <v>475</v>
      </c>
      <c r="L189" s="121" t="s">
        <v>769</v>
      </c>
      <c r="M189" s="127" t="str">
        <f t="shared" si="2"/>
        <v>View on Google Map</v>
      </c>
      <c r="N189" s="121">
        <f t="shared" si="3"/>
        <v>89</v>
      </c>
    </row>
    <row r="190" spans="1:14" x14ac:dyDescent="0.2">
      <c r="A190" s="121">
        <v>396</v>
      </c>
      <c r="B190" s="121" t="s">
        <v>816</v>
      </c>
      <c r="C190" s="121" t="s">
        <v>817</v>
      </c>
      <c r="D190" s="121">
        <v>68.531020060399996</v>
      </c>
      <c r="E190" s="121">
        <v>-149.54062336999999</v>
      </c>
      <c r="F190" s="121" t="s">
        <v>475</v>
      </c>
      <c r="G190" s="121" t="s">
        <v>486</v>
      </c>
      <c r="H190" s="121" t="s">
        <v>816</v>
      </c>
      <c r="I190" s="121" t="s">
        <v>475</v>
      </c>
      <c r="J190" s="121" t="s">
        <v>768</v>
      </c>
      <c r="K190" s="121" t="s">
        <v>475</v>
      </c>
      <c r="L190" s="121" t="s">
        <v>769</v>
      </c>
      <c r="M190" s="127" t="str">
        <f t="shared" si="2"/>
        <v>View on Google Map</v>
      </c>
      <c r="N190" s="121">
        <f t="shared" si="3"/>
        <v>90</v>
      </c>
    </row>
    <row r="191" spans="1:14" x14ac:dyDescent="0.2">
      <c r="A191" s="121">
        <v>397</v>
      </c>
      <c r="B191" s="121" t="s">
        <v>818</v>
      </c>
      <c r="C191" s="121" t="s">
        <v>819</v>
      </c>
      <c r="D191" s="121">
        <v>68.623892844400004</v>
      </c>
      <c r="E191" s="121">
        <v>-149.46955988600001</v>
      </c>
      <c r="F191" s="121" t="s">
        <v>475</v>
      </c>
      <c r="G191" s="121" t="s">
        <v>486</v>
      </c>
      <c r="H191" s="121" t="s">
        <v>818</v>
      </c>
      <c r="I191" s="121" t="s">
        <v>475</v>
      </c>
      <c r="J191" s="121" t="s">
        <v>768</v>
      </c>
      <c r="K191" s="121" t="s">
        <v>475</v>
      </c>
      <c r="L191" s="121" t="s">
        <v>769</v>
      </c>
      <c r="M191" s="127" t="str">
        <f t="shared" si="2"/>
        <v>View on Google Map</v>
      </c>
      <c r="N191" s="121">
        <f t="shared" si="3"/>
        <v>91</v>
      </c>
    </row>
    <row r="192" spans="1:14" x14ac:dyDescent="0.2">
      <c r="A192" s="121">
        <v>408</v>
      </c>
      <c r="B192" s="121" t="s">
        <v>820</v>
      </c>
      <c r="C192" s="121" t="s">
        <v>821</v>
      </c>
      <c r="D192" s="121">
        <v>68.606945965400001</v>
      </c>
      <c r="E192" s="121">
        <v>-149.195806014</v>
      </c>
      <c r="F192" s="121" t="s">
        <v>475</v>
      </c>
      <c r="G192" s="121" t="s">
        <v>486</v>
      </c>
      <c r="H192" s="121" t="s">
        <v>820</v>
      </c>
      <c r="I192" s="121" t="s">
        <v>475</v>
      </c>
      <c r="J192" s="121" t="s">
        <v>768</v>
      </c>
      <c r="K192" s="121" t="s">
        <v>475</v>
      </c>
      <c r="L192" s="121" t="s">
        <v>769</v>
      </c>
      <c r="M192" s="127" t="str">
        <f t="shared" si="2"/>
        <v>View on Google Map</v>
      </c>
      <c r="N192" s="121">
        <f t="shared" si="3"/>
        <v>92</v>
      </c>
    </row>
    <row r="193" spans="1:14" x14ac:dyDescent="0.2">
      <c r="A193" s="121">
        <v>409</v>
      </c>
      <c r="B193" s="121" t="s">
        <v>822</v>
      </c>
      <c r="C193" s="121" t="s">
        <v>823</v>
      </c>
      <c r="D193" s="121">
        <v>68.613688053999994</v>
      </c>
      <c r="E193" s="121">
        <v>-149.20287565500001</v>
      </c>
      <c r="F193" s="121" t="s">
        <v>475</v>
      </c>
      <c r="G193" s="121" t="s">
        <v>486</v>
      </c>
      <c r="H193" s="121" t="s">
        <v>822</v>
      </c>
      <c r="I193" s="121" t="s">
        <v>475</v>
      </c>
      <c r="J193" s="121" t="s">
        <v>768</v>
      </c>
      <c r="K193" s="121" t="s">
        <v>475</v>
      </c>
      <c r="L193" s="121" t="s">
        <v>769</v>
      </c>
      <c r="M193" s="127" t="str">
        <f t="shared" si="2"/>
        <v>View on Google Map</v>
      </c>
      <c r="N193" s="121">
        <f t="shared" si="3"/>
        <v>93</v>
      </c>
    </row>
    <row r="194" spans="1:14" x14ac:dyDescent="0.2">
      <c r="A194" s="121">
        <v>410</v>
      </c>
      <c r="B194" s="121" t="s">
        <v>824</v>
      </c>
      <c r="C194" s="121" t="s">
        <v>825</v>
      </c>
      <c r="D194" s="121">
        <v>68.617322837200007</v>
      </c>
      <c r="E194" s="121">
        <v>-149.21640989900001</v>
      </c>
      <c r="F194" s="121" t="s">
        <v>475</v>
      </c>
      <c r="G194" s="121" t="s">
        <v>486</v>
      </c>
      <c r="H194" s="121" t="s">
        <v>824</v>
      </c>
      <c r="I194" s="121" t="s">
        <v>475</v>
      </c>
      <c r="J194" s="121" t="s">
        <v>768</v>
      </c>
      <c r="K194" s="121" t="s">
        <v>475</v>
      </c>
      <c r="L194" s="121" t="s">
        <v>769</v>
      </c>
      <c r="M194" s="127" t="str">
        <f t="shared" si="2"/>
        <v>View on Google Map</v>
      </c>
      <c r="N194" s="121">
        <f t="shared" si="3"/>
        <v>94</v>
      </c>
    </row>
    <row r="195" spans="1:14" x14ac:dyDescent="0.2">
      <c r="A195" s="121">
        <v>411</v>
      </c>
      <c r="B195" s="121" t="s">
        <v>826</v>
      </c>
      <c r="C195" s="121" t="s">
        <v>827</v>
      </c>
      <c r="D195" s="121">
        <v>68.613551663999999</v>
      </c>
      <c r="E195" s="121">
        <v>-149.21844056</v>
      </c>
      <c r="F195" s="121" t="s">
        <v>475</v>
      </c>
      <c r="G195" s="121" t="s">
        <v>486</v>
      </c>
      <c r="H195" s="121" t="s">
        <v>826</v>
      </c>
      <c r="I195" s="121" t="s">
        <v>475</v>
      </c>
      <c r="J195" s="121" t="s">
        <v>768</v>
      </c>
      <c r="K195" s="121" t="s">
        <v>475</v>
      </c>
      <c r="L195" s="121" t="s">
        <v>769</v>
      </c>
      <c r="M195" s="127" t="str">
        <f t="shared" ref="M195:M258" si="4">HYPERLINK("http://maps.google.com/maps?q="&amp;D195&amp;","&amp;E195,"View on Google Map")</f>
        <v>View on Google Map</v>
      </c>
      <c r="N195" s="121">
        <f t="shared" si="3"/>
        <v>95</v>
      </c>
    </row>
    <row r="196" spans="1:14" x14ac:dyDescent="0.2">
      <c r="A196" s="121">
        <v>412</v>
      </c>
      <c r="B196" s="121" t="s">
        <v>828</v>
      </c>
      <c r="C196" s="121" t="s">
        <v>829</v>
      </c>
      <c r="D196" s="121">
        <v>68.609572079800003</v>
      </c>
      <c r="E196" s="121">
        <v>-149.20865205600001</v>
      </c>
      <c r="F196" s="121" t="s">
        <v>475</v>
      </c>
      <c r="G196" s="121" t="s">
        <v>486</v>
      </c>
      <c r="H196" s="121" t="s">
        <v>828</v>
      </c>
      <c r="I196" s="121" t="s">
        <v>475</v>
      </c>
      <c r="J196" s="121" t="s">
        <v>768</v>
      </c>
      <c r="K196" s="121" t="s">
        <v>475</v>
      </c>
      <c r="L196" s="121" t="s">
        <v>769</v>
      </c>
      <c r="M196" s="127" t="str">
        <f t="shared" si="4"/>
        <v>View on Google Map</v>
      </c>
      <c r="N196" s="121">
        <f t="shared" si="3"/>
        <v>96</v>
      </c>
    </row>
    <row r="197" spans="1:14" x14ac:dyDescent="0.2">
      <c r="A197" s="121">
        <v>413</v>
      </c>
      <c r="B197" s="121" t="s">
        <v>830</v>
      </c>
      <c r="C197" s="121" t="s">
        <v>831</v>
      </c>
      <c r="D197" s="121">
        <v>68.607097540200002</v>
      </c>
      <c r="E197" s="121">
        <v>-149.21482030499999</v>
      </c>
      <c r="F197" s="121" t="s">
        <v>475</v>
      </c>
      <c r="G197" s="121" t="s">
        <v>486</v>
      </c>
      <c r="H197" s="121" t="s">
        <v>830</v>
      </c>
      <c r="I197" s="121" t="s">
        <v>475</v>
      </c>
      <c r="J197" s="121" t="s">
        <v>768</v>
      </c>
      <c r="K197" s="121" t="s">
        <v>475</v>
      </c>
      <c r="L197" s="121" t="s">
        <v>769</v>
      </c>
      <c r="M197" s="127" t="str">
        <f t="shared" si="4"/>
        <v>View on Google Map</v>
      </c>
      <c r="N197" s="121">
        <f t="shared" si="3"/>
        <v>97</v>
      </c>
    </row>
    <row r="198" spans="1:14" x14ac:dyDescent="0.2">
      <c r="A198" s="121">
        <v>414</v>
      </c>
      <c r="B198" s="121" t="s">
        <v>832</v>
      </c>
      <c r="C198" s="121" t="s">
        <v>833</v>
      </c>
      <c r="D198" s="121">
        <v>68.605198711400007</v>
      </c>
      <c r="E198" s="121">
        <v>-149.27215046800001</v>
      </c>
      <c r="F198" s="121" t="s">
        <v>475</v>
      </c>
      <c r="G198" s="121" t="s">
        <v>486</v>
      </c>
      <c r="H198" s="121" t="s">
        <v>832</v>
      </c>
      <c r="I198" s="121" t="s">
        <v>475</v>
      </c>
      <c r="J198" s="121" t="s">
        <v>768</v>
      </c>
      <c r="K198" s="121" t="s">
        <v>475</v>
      </c>
      <c r="L198" s="121" t="s">
        <v>769</v>
      </c>
      <c r="M198" s="127" t="str">
        <f t="shared" si="4"/>
        <v>View on Google Map</v>
      </c>
      <c r="N198" s="121">
        <f t="shared" si="3"/>
        <v>98</v>
      </c>
    </row>
    <row r="199" spans="1:14" x14ac:dyDescent="0.2">
      <c r="A199" s="121">
        <v>415</v>
      </c>
      <c r="B199" s="121" t="s">
        <v>834</v>
      </c>
      <c r="C199" s="121" t="s">
        <v>835</v>
      </c>
      <c r="D199" s="121">
        <v>68.498375922400001</v>
      </c>
      <c r="E199" s="121">
        <v>-149.59842284699999</v>
      </c>
      <c r="F199" s="121">
        <v>947</v>
      </c>
      <c r="G199" s="121" t="s">
        <v>486</v>
      </c>
      <c r="H199" s="121" t="s">
        <v>836</v>
      </c>
      <c r="I199" s="121" t="s">
        <v>475</v>
      </c>
      <c r="J199" s="121" t="s">
        <v>768</v>
      </c>
      <c r="K199" s="121" t="s">
        <v>475</v>
      </c>
      <c r="L199" s="121" t="s">
        <v>769</v>
      </c>
      <c r="M199" s="127" t="str">
        <f t="shared" si="4"/>
        <v>View on Google Map</v>
      </c>
      <c r="N199" s="121">
        <f>VALUE(MID(B199,5,3))</f>
        <v>99</v>
      </c>
    </row>
    <row r="200" spans="1:14" x14ac:dyDescent="0.2">
      <c r="A200" s="121">
        <v>402</v>
      </c>
      <c r="B200" s="121" t="s">
        <v>837</v>
      </c>
      <c r="C200" s="121" t="s">
        <v>475</v>
      </c>
      <c r="D200" s="121" t="s">
        <v>475</v>
      </c>
      <c r="E200" s="121" t="s">
        <v>475</v>
      </c>
      <c r="F200" s="121" t="s">
        <v>475</v>
      </c>
      <c r="G200" s="121" t="s">
        <v>486</v>
      </c>
      <c r="H200" s="121" t="s">
        <v>475</v>
      </c>
      <c r="I200" s="121" t="s">
        <v>475</v>
      </c>
      <c r="J200" s="121" t="s">
        <v>501</v>
      </c>
      <c r="K200" s="121" t="s">
        <v>475</v>
      </c>
      <c r="L200" s="121" t="s">
        <v>655</v>
      </c>
      <c r="M200" s="127" t="str">
        <f t="shared" si="4"/>
        <v>View on Google Map</v>
      </c>
    </row>
    <row r="201" spans="1:14" x14ac:dyDescent="0.2">
      <c r="A201" s="121">
        <v>8</v>
      </c>
      <c r="B201" s="121" t="s">
        <v>838</v>
      </c>
      <c r="C201" s="121" t="s">
        <v>499</v>
      </c>
      <c r="D201" s="121">
        <v>69.150000000000006</v>
      </c>
      <c r="E201" s="121">
        <v>-148.83333333333334</v>
      </c>
      <c r="F201" s="121">
        <v>290</v>
      </c>
      <c r="G201" s="121" t="s">
        <v>500</v>
      </c>
      <c r="H201" s="121" t="s">
        <v>475</v>
      </c>
      <c r="I201" s="121" t="s">
        <v>475</v>
      </c>
      <c r="J201" s="121" t="s">
        <v>501</v>
      </c>
      <c r="K201" s="121" t="s">
        <v>475</v>
      </c>
      <c r="L201" s="121" t="s">
        <v>502</v>
      </c>
      <c r="M201" s="127" t="str">
        <f t="shared" si="4"/>
        <v>View on Google Map</v>
      </c>
    </row>
    <row r="202" spans="1:14" x14ac:dyDescent="0.2">
      <c r="A202" s="121">
        <v>219</v>
      </c>
      <c r="B202" s="121" t="s">
        <v>839</v>
      </c>
      <c r="C202" s="121" t="s">
        <v>475</v>
      </c>
      <c r="D202" s="121">
        <v>69.8</v>
      </c>
      <c r="E202" s="121">
        <v>-151.83333333333334</v>
      </c>
      <c r="F202" s="121">
        <v>60.365853658536601</v>
      </c>
      <c r="G202" s="121" t="s">
        <v>486</v>
      </c>
      <c r="H202" s="121" t="s">
        <v>840</v>
      </c>
      <c r="I202" s="121" t="s">
        <v>475</v>
      </c>
      <c r="J202" s="121" t="s">
        <v>501</v>
      </c>
      <c r="K202" s="121" t="s">
        <v>475</v>
      </c>
      <c r="L202" s="121" t="s">
        <v>841</v>
      </c>
      <c r="M202" s="127" t="str">
        <f t="shared" si="4"/>
        <v>View on Google Map</v>
      </c>
    </row>
    <row r="203" spans="1:14" x14ac:dyDescent="0.2">
      <c r="A203" s="121">
        <v>220</v>
      </c>
      <c r="B203" s="121" t="s">
        <v>842</v>
      </c>
      <c r="C203" s="121" t="s">
        <v>475</v>
      </c>
      <c r="D203" s="121">
        <v>69.75</v>
      </c>
      <c r="E203" s="121">
        <v>-151.5</v>
      </c>
      <c r="F203" s="121">
        <v>60.365853658536587</v>
      </c>
      <c r="G203" s="121" t="s">
        <v>486</v>
      </c>
      <c r="H203" s="121" t="s">
        <v>843</v>
      </c>
      <c r="I203" s="121" t="s">
        <v>475</v>
      </c>
      <c r="J203" s="121" t="s">
        <v>501</v>
      </c>
      <c r="K203" s="121" t="s">
        <v>475</v>
      </c>
      <c r="L203" s="121" t="s">
        <v>841</v>
      </c>
      <c r="M203" s="127" t="str">
        <f t="shared" si="4"/>
        <v>View on Google Map</v>
      </c>
    </row>
    <row r="204" spans="1:14" x14ac:dyDescent="0.2">
      <c r="A204" s="121">
        <v>221</v>
      </c>
      <c r="B204" s="121" t="s">
        <v>844</v>
      </c>
      <c r="C204" s="121" t="s">
        <v>475</v>
      </c>
      <c r="D204" s="121">
        <v>69.75</v>
      </c>
      <c r="E204" s="121">
        <v>-151.5</v>
      </c>
      <c r="F204" s="121">
        <v>30.487804878048781</v>
      </c>
      <c r="G204" s="121" t="s">
        <v>486</v>
      </c>
      <c r="H204" s="121" t="s">
        <v>845</v>
      </c>
      <c r="I204" s="121" t="s">
        <v>475</v>
      </c>
      <c r="J204" s="121" t="s">
        <v>501</v>
      </c>
      <c r="K204" s="121" t="s">
        <v>475</v>
      </c>
      <c r="L204" s="121" t="s">
        <v>841</v>
      </c>
      <c r="M204" s="127" t="str">
        <f t="shared" si="4"/>
        <v>View on Google Map</v>
      </c>
    </row>
    <row r="205" spans="1:14" x14ac:dyDescent="0.2">
      <c r="A205" s="121">
        <v>222</v>
      </c>
      <c r="B205" s="121" t="s">
        <v>846</v>
      </c>
      <c r="C205" s="121" t="s">
        <v>475</v>
      </c>
      <c r="D205" s="121">
        <v>69.7</v>
      </c>
      <c r="E205" s="121">
        <v>-151.16666666666666</v>
      </c>
      <c r="F205" s="121">
        <v>42.682926829268297</v>
      </c>
      <c r="G205" s="121" t="s">
        <v>486</v>
      </c>
      <c r="H205" s="121" t="s">
        <v>847</v>
      </c>
      <c r="I205" s="121" t="s">
        <v>475</v>
      </c>
      <c r="J205" s="121" t="s">
        <v>501</v>
      </c>
      <c r="K205" s="121" t="s">
        <v>475</v>
      </c>
      <c r="L205" s="121" t="s">
        <v>841</v>
      </c>
      <c r="M205" s="127" t="str">
        <f t="shared" si="4"/>
        <v>View on Google Map</v>
      </c>
    </row>
    <row r="206" spans="1:14" x14ac:dyDescent="0.2">
      <c r="A206" s="121">
        <v>223</v>
      </c>
      <c r="B206" s="121" t="s">
        <v>848</v>
      </c>
      <c r="C206" s="121" t="s">
        <v>475</v>
      </c>
      <c r="D206" s="121">
        <v>69.7</v>
      </c>
      <c r="E206" s="121">
        <v>-151.16666666666666</v>
      </c>
      <c r="F206" s="121">
        <v>42.682926829268297</v>
      </c>
      <c r="G206" s="121" t="s">
        <v>486</v>
      </c>
      <c r="H206" s="121" t="s">
        <v>849</v>
      </c>
      <c r="I206" s="121" t="s">
        <v>475</v>
      </c>
      <c r="J206" s="121" t="s">
        <v>501</v>
      </c>
      <c r="K206" s="121" t="s">
        <v>475</v>
      </c>
      <c r="L206" s="121" t="s">
        <v>841</v>
      </c>
      <c r="M206" s="127" t="str">
        <f t="shared" si="4"/>
        <v>View on Google Map</v>
      </c>
    </row>
    <row r="207" spans="1:14" x14ac:dyDescent="0.2">
      <c r="A207" s="121">
        <v>224</v>
      </c>
      <c r="B207" s="121" t="s">
        <v>850</v>
      </c>
      <c r="C207" s="121" t="s">
        <v>475</v>
      </c>
      <c r="D207" s="121">
        <v>69.516666666666666</v>
      </c>
      <c r="E207" s="121">
        <v>-150.86666666666667</v>
      </c>
      <c r="F207" s="121">
        <v>60.975609756097562</v>
      </c>
      <c r="G207" s="121" t="s">
        <v>486</v>
      </c>
      <c r="H207" s="121" t="s">
        <v>851</v>
      </c>
      <c r="I207" s="121" t="s">
        <v>475</v>
      </c>
      <c r="J207" s="121" t="s">
        <v>501</v>
      </c>
      <c r="K207" s="121" t="s">
        <v>475</v>
      </c>
      <c r="L207" s="121" t="s">
        <v>841</v>
      </c>
      <c r="M207" s="127" t="str">
        <f t="shared" si="4"/>
        <v>View on Google Map</v>
      </c>
    </row>
    <row r="208" spans="1:14" x14ac:dyDescent="0.2">
      <c r="A208" s="121">
        <v>225</v>
      </c>
      <c r="B208" s="121" t="s">
        <v>852</v>
      </c>
      <c r="C208" s="121" t="s">
        <v>475</v>
      </c>
      <c r="D208" s="121">
        <v>69.516666666666666</v>
      </c>
      <c r="E208" s="121">
        <v>-150.86666666666667</v>
      </c>
      <c r="F208" s="121">
        <v>60.975609756097562</v>
      </c>
      <c r="G208" s="121" t="s">
        <v>486</v>
      </c>
      <c r="H208" s="121" t="s">
        <v>853</v>
      </c>
      <c r="I208" s="121" t="s">
        <v>475</v>
      </c>
      <c r="J208" s="121" t="s">
        <v>501</v>
      </c>
      <c r="K208" s="121" t="s">
        <v>475</v>
      </c>
      <c r="L208" s="121" t="s">
        <v>841</v>
      </c>
      <c r="M208" s="127" t="str">
        <f t="shared" si="4"/>
        <v>View on Google Map</v>
      </c>
    </row>
    <row r="209" spans="1:13" x14ac:dyDescent="0.2">
      <c r="A209" s="121">
        <v>226</v>
      </c>
      <c r="B209" s="121" t="s">
        <v>854</v>
      </c>
      <c r="C209" s="121" t="s">
        <v>475</v>
      </c>
      <c r="D209" s="121">
        <v>69.25</v>
      </c>
      <c r="E209" s="121">
        <v>-150.43333333333334</v>
      </c>
      <c r="F209" s="121">
        <v>182.92682926829269</v>
      </c>
      <c r="G209" s="121" t="s">
        <v>486</v>
      </c>
      <c r="H209" s="121" t="s">
        <v>855</v>
      </c>
      <c r="I209" s="121" t="s">
        <v>475</v>
      </c>
      <c r="J209" s="121" t="s">
        <v>501</v>
      </c>
      <c r="K209" s="121" t="s">
        <v>475</v>
      </c>
      <c r="L209" s="121" t="s">
        <v>841</v>
      </c>
      <c r="M209" s="127" t="str">
        <f t="shared" si="4"/>
        <v>View on Google Map</v>
      </c>
    </row>
    <row r="210" spans="1:13" x14ac:dyDescent="0.2">
      <c r="A210" s="121">
        <v>227</v>
      </c>
      <c r="B210" s="121" t="s">
        <v>856</v>
      </c>
      <c r="C210" s="121" t="s">
        <v>475</v>
      </c>
      <c r="D210" s="121">
        <v>69.25</v>
      </c>
      <c r="E210" s="121">
        <v>-150.43333333333334</v>
      </c>
      <c r="F210" s="121">
        <v>182.92682926829269</v>
      </c>
      <c r="G210" s="121" t="s">
        <v>486</v>
      </c>
      <c r="H210" s="121" t="s">
        <v>857</v>
      </c>
      <c r="I210" s="121" t="s">
        <v>475</v>
      </c>
      <c r="J210" s="121" t="s">
        <v>501</v>
      </c>
      <c r="K210" s="121" t="s">
        <v>475</v>
      </c>
      <c r="L210" s="121" t="s">
        <v>841</v>
      </c>
      <c r="M210" s="127" t="str">
        <f t="shared" si="4"/>
        <v>View on Google Map</v>
      </c>
    </row>
    <row r="211" spans="1:13" x14ac:dyDescent="0.2">
      <c r="A211" s="121">
        <v>228</v>
      </c>
      <c r="B211" s="121" t="s">
        <v>858</v>
      </c>
      <c r="C211" s="121" t="s">
        <v>475</v>
      </c>
      <c r="D211" s="121">
        <v>69.25</v>
      </c>
      <c r="E211" s="121">
        <v>-151.16666666666666</v>
      </c>
      <c r="F211" s="121">
        <v>182.92682926829269</v>
      </c>
      <c r="G211" s="121" t="s">
        <v>486</v>
      </c>
      <c r="H211" s="121" t="s">
        <v>859</v>
      </c>
      <c r="I211" s="121" t="s">
        <v>475</v>
      </c>
      <c r="J211" s="121" t="s">
        <v>501</v>
      </c>
      <c r="K211" s="121" t="s">
        <v>475</v>
      </c>
      <c r="L211" s="121" t="s">
        <v>841</v>
      </c>
      <c r="M211" s="127" t="str">
        <f t="shared" si="4"/>
        <v>View on Google Map</v>
      </c>
    </row>
    <row r="212" spans="1:13" x14ac:dyDescent="0.2">
      <c r="A212" s="121">
        <v>229</v>
      </c>
      <c r="B212" s="121" t="s">
        <v>860</v>
      </c>
      <c r="C212" s="121" t="s">
        <v>475</v>
      </c>
      <c r="D212" s="121">
        <v>69.233333333333334</v>
      </c>
      <c r="E212" s="121">
        <v>-151.63333333333333</v>
      </c>
      <c r="F212" s="121">
        <v>178.35365853658539</v>
      </c>
      <c r="G212" s="121" t="s">
        <v>486</v>
      </c>
      <c r="H212" s="121" t="s">
        <v>861</v>
      </c>
      <c r="I212" s="121" t="s">
        <v>475</v>
      </c>
      <c r="J212" s="121" t="s">
        <v>501</v>
      </c>
      <c r="K212" s="121" t="s">
        <v>475</v>
      </c>
      <c r="L212" s="121" t="s">
        <v>841</v>
      </c>
      <c r="M212" s="127" t="str">
        <f t="shared" si="4"/>
        <v>View on Google Map</v>
      </c>
    </row>
    <row r="213" spans="1:13" x14ac:dyDescent="0.2">
      <c r="A213" s="121">
        <v>230</v>
      </c>
      <c r="B213" s="121" t="s">
        <v>862</v>
      </c>
      <c r="C213" s="121" t="s">
        <v>475</v>
      </c>
      <c r="D213" s="121">
        <v>68.900000000000006</v>
      </c>
      <c r="E213" s="121">
        <v>-151.28333333333333</v>
      </c>
      <c r="F213" s="121">
        <v>335.36585365853659</v>
      </c>
      <c r="G213" s="121" t="s">
        <v>486</v>
      </c>
      <c r="H213" s="121" t="s">
        <v>863</v>
      </c>
      <c r="I213" s="121" t="s">
        <v>475</v>
      </c>
      <c r="J213" s="121" t="s">
        <v>501</v>
      </c>
      <c r="K213" s="121" t="s">
        <v>475</v>
      </c>
      <c r="L213" s="121" t="s">
        <v>841</v>
      </c>
      <c r="M213" s="127" t="str">
        <f t="shared" si="4"/>
        <v>View on Google Map</v>
      </c>
    </row>
    <row r="214" spans="1:13" x14ac:dyDescent="0.2">
      <c r="A214" s="121">
        <v>231</v>
      </c>
      <c r="B214" s="121" t="s">
        <v>864</v>
      </c>
      <c r="C214" s="121" t="s">
        <v>475</v>
      </c>
      <c r="D214" s="121">
        <v>68.8</v>
      </c>
      <c r="E214" s="121">
        <v>-150.80000000000001</v>
      </c>
      <c r="F214" s="121">
        <v>411.58536585365857</v>
      </c>
      <c r="G214" s="121" t="s">
        <v>486</v>
      </c>
      <c r="H214" s="121" t="s">
        <v>865</v>
      </c>
      <c r="I214" s="121" t="s">
        <v>475</v>
      </c>
      <c r="J214" s="121" t="s">
        <v>501</v>
      </c>
      <c r="K214" s="121" t="s">
        <v>475</v>
      </c>
      <c r="L214" s="121" t="s">
        <v>841</v>
      </c>
      <c r="M214" s="127" t="str">
        <f t="shared" si="4"/>
        <v>View on Google Map</v>
      </c>
    </row>
    <row r="215" spans="1:13" x14ac:dyDescent="0.2">
      <c r="A215" s="121">
        <v>237</v>
      </c>
      <c r="B215" s="121" t="s">
        <v>866</v>
      </c>
      <c r="C215" s="121" t="s">
        <v>475</v>
      </c>
      <c r="D215" s="121">
        <v>68.783333333333331</v>
      </c>
      <c r="E215" s="121" t="s">
        <v>475</v>
      </c>
      <c r="F215" s="121">
        <v>681.40243902439033</v>
      </c>
      <c r="G215" s="121" t="s">
        <v>486</v>
      </c>
      <c r="H215" s="121" t="s">
        <v>867</v>
      </c>
      <c r="I215" s="121" t="s">
        <v>868</v>
      </c>
      <c r="J215" s="121" t="s">
        <v>501</v>
      </c>
      <c r="K215" s="121" t="s">
        <v>475</v>
      </c>
      <c r="L215" s="121" t="s">
        <v>841</v>
      </c>
      <c r="M215" s="127" t="str">
        <f t="shared" si="4"/>
        <v>View on Google Map</v>
      </c>
    </row>
    <row r="216" spans="1:13" x14ac:dyDescent="0.2">
      <c r="A216" s="121">
        <v>238</v>
      </c>
      <c r="B216" s="121" t="s">
        <v>869</v>
      </c>
      <c r="C216" s="121" t="s">
        <v>475</v>
      </c>
      <c r="D216" s="121">
        <v>68.783333333333331</v>
      </c>
      <c r="E216" s="121" t="s">
        <v>475</v>
      </c>
      <c r="F216" s="121">
        <v>681.40243902439033</v>
      </c>
      <c r="G216" s="121" t="s">
        <v>486</v>
      </c>
      <c r="H216" s="121" t="s">
        <v>870</v>
      </c>
      <c r="I216" s="121" t="s">
        <v>868</v>
      </c>
      <c r="J216" s="121" t="s">
        <v>501</v>
      </c>
      <c r="K216" s="121" t="s">
        <v>475</v>
      </c>
      <c r="L216" s="121" t="s">
        <v>841</v>
      </c>
      <c r="M216" s="127" t="str">
        <f t="shared" si="4"/>
        <v>View on Google Map</v>
      </c>
    </row>
    <row r="217" spans="1:13" x14ac:dyDescent="0.2">
      <c r="A217" s="121">
        <v>10</v>
      </c>
      <c r="B217" s="121" t="s">
        <v>871</v>
      </c>
      <c r="C217" s="121" t="s">
        <v>872</v>
      </c>
      <c r="D217" s="121">
        <v>68.644702925000004</v>
      </c>
      <c r="E217" s="121">
        <v>-149.41200613611099</v>
      </c>
      <c r="F217" s="121">
        <v>751.33799999999997</v>
      </c>
      <c r="G217" s="121" t="s">
        <v>500</v>
      </c>
      <c r="H217" s="121" t="s">
        <v>475</v>
      </c>
      <c r="I217" s="121" t="s">
        <v>475</v>
      </c>
      <c r="J217" s="121" t="s">
        <v>501</v>
      </c>
      <c r="K217" s="121" t="s">
        <v>475</v>
      </c>
      <c r="L217" s="121" t="s">
        <v>475</v>
      </c>
      <c r="M217" s="127" t="str">
        <f t="shared" si="4"/>
        <v>View on Google Map</v>
      </c>
    </row>
    <row r="218" spans="1:13" x14ac:dyDescent="0.2">
      <c r="A218" s="121">
        <v>486</v>
      </c>
      <c r="B218" s="121" t="s">
        <v>873</v>
      </c>
      <c r="C218" s="121" t="s">
        <v>475</v>
      </c>
      <c r="D218" s="121">
        <v>68.958333332999999</v>
      </c>
      <c r="E218" s="121">
        <v>-150.302016667</v>
      </c>
      <c r="F218" s="121">
        <v>382</v>
      </c>
      <c r="G218" s="121" t="s">
        <v>486</v>
      </c>
      <c r="H218" s="121" t="s">
        <v>475</v>
      </c>
      <c r="I218" s="121" t="s">
        <v>475</v>
      </c>
      <c r="J218" s="121" t="s">
        <v>536</v>
      </c>
      <c r="K218" s="121" t="s">
        <v>475</v>
      </c>
      <c r="L218" s="121" t="s">
        <v>483</v>
      </c>
      <c r="M218" s="127" t="str">
        <f t="shared" si="4"/>
        <v>View on Google Map</v>
      </c>
    </row>
    <row r="219" spans="1:13" x14ac:dyDescent="0.2">
      <c r="A219" s="121">
        <v>388</v>
      </c>
      <c r="B219" s="121" t="s">
        <v>874</v>
      </c>
      <c r="C219" s="121" t="s">
        <v>475</v>
      </c>
      <c r="D219" s="121">
        <v>68.556340000000006</v>
      </c>
      <c r="E219" s="121">
        <v>-149.56628000000001</v>
      </c>
      <c r="F219" s="121">
        <v>801</v>
      </c>
      <c r="G219" s="121" t="s">
        <v>486</v>
      </c>
      <c r="H219" s="121" t="s">
        <v>475</v>
      </c>
      <c r="I219" s="121" t="s">
        <v>475</v>
      </c>
      <c r="J219" s="121" t="s">
        <v>501</v>
      </c>
      <c r="K219" s="121" t="s">
        <v>475</v>
      </c>
      <c r="L219" s="121" t="s">
        <v>875</v>
      </c>
      <c r="M219" s="127" t="str">
        <f t="shared" si="4"/>
        <v>View on Google Map</v>
      </c>
    </row>
    <row r="220" spans="1:13" x14ac:dyDescent="0.2">
      <c r="A220" s="121">
        <v>450</v>
      </c>
      <c r="B220" s="121" t="s">
        <v>876</v>
      </c>
      <c r="C220" s="121" t="s">
        <v>475</v>
      </c>
      <c r="D220" s="121">
        <v>68.553610000000006</v>
      </c>
      <c r="E220" s="121">
        <v>-149.53397000000001</v>
      </c>
      <c r="F220" s="121">
        <v>820</v>
      </c>
      <c r="G220" s="121" t="s">
        <v>486</v>
      </c>
      <c r="H220" s="121" t="s">
        <v>877</v>
      </c>
      <c r="I220" s="121" t="s">
        <v>475</v>
      </c>
      <c r="J220" s="121" t="s">
        <v>487</v>
      </c>
      <c r="K220" s="121" t="s">
        <v>475</v>
      </c>
      <c r="L220" s="121" t="s">
        <v>475</v>
      </c>
      <c r="M220" s="127" t="str">
        <f t="shared" si="4"/>
        <v>View on Google Map</v>
      </c>
    </row>
    <row r="221" spans="1:13" x14ac:dyDescent="0.2">
      <c r="A221" s="121">
        <v>451</v>
      </c>
      <c r="B221" s="121" t="s">
        <v>878</v>
      </c>
      <c r="C221" s="121" t="s">
        <v>475</v>
      </c>
      <c r="D221" s="121">
        <v>68.545929999999998</v>
      </c>
      <c r="E221" s="121">
        <v>-149.54213999999999</v>
      </c>
      <c r="F221" s="121">
        <v>852</v>
      </c>
      <c r="G221" s="121" t="s">
        <v>486</v>
      </c>
      <c r="H221" s="121" t="s">
        <v>879</v>
      </c>
      <c r="I221" s="121" t="s">
        <v>475</v>
      </c>
      <c r="J221" s="121" t="s">
        <v>487</v>
      </c>
      <c r="K221" s="121" t="s">
        <v>475</v>
      </c>
      <c r="L221" s="121" t="s">
        <v>475</v>
      </c>
      <c r="M221" s="127" t="str">
        <f t="shared" si="4"/>
        <v>View on Google Map</v>
      </c>
    </row>
    <row r="222" spans="1:13" x14ac:dyDescent="0.2">
      <c r="A222" s="121">
        <v>531</v>
      </c>
      <c r="B222" s="121" t="s">
        <v>880</v>
      </c>
      <c r="C222" s="121" t="s">
        <v>881</v>
      </c>
      <c r="D222" s="121">
        <v>68.556769000000003</v>
      </c>
      <c r="E222" s="121">
        <v>-149.555385</v>
      </c>
      <c r="F222" s="121">
        <v>805</v>
      </c>
      <c r="G222" s="121" t="s">
        <v>500</v>
      </c>
      <c r="H222" s="121" t="s">
        <v>475</v>
      </c>
      <c r="I222" s="121" t="s">
        <v>475</v>
      </c>
      <c r="J222" s="121" t="s">
        <v>487</v>
      </c>
      <c r="K222" s="121" t="s">
        <v>475</v>
      </c>
      <c r="L222" s="121" t="s">
        <v>882</v>
      </c>
      <c r="M222" s="127" t="str">
        <f t="shared" si="4"/>
        <v>View on Google Map</v>
      </c>
    </row>
    <row r="223" spans="1:13" x14ac:dyDescent="0.2">
      <c r="A223" s="121">
        <v>532</v>
      </c>
      <c r="B223" s="121" t="s">
        <v>883</v>
      </c>
      <c r="C223" s="121" t="s">
        <v>881</v>
      </c>
      <c r="D223" s="121">
        <v>68.556635999999997</v>
      </c>
      <c r="E223" s="121">
        <v>-149.574457</v>
      </c>
      <c r="F223" s="121">
        <v>803</v>
      </c>
      <c r="G223" s="121" t="s">
        <v>500</v>
      </c>
      <c r="H223" s="121" t="s">
        <v>475</v>
      </c>
      <c r="I223" s="121" t="s">
        <v>475</v>
      </c>
      <c r="J223" s="121" t="s">
        <v>487</v>
      </c>
      <c r="K223" s="121" t="s">
        <v>475</v>
      </c>
      <c r="L223" s="121" t="s">
        <v>882</v>
      </c>
      <c r="M223" s="127" t="str">
        <f t="shared" si="4"/>
        <v>View on Google Map</v>
      </c>
    </row>
    <row r="224" spans="1:13" x14ac:dyDescent="0.2">
      <c r="A224" s="121">
        <v>120</v>
      </c>
      <c r="B224" s="121" t="s">
        <v>884</v>
      </c>
      <c r="C224" s="121" t="s">
        <v>475</v>
      </c>
      <c r="D224" s="121">
        <v>68.610781000000003</v>
      </c>
      <c r="E224" s="121">
        <v>-149.600742</v>
      </c>
      <c r="F224" s="121">
        <v>736</v>
      </c>
      <c r="G224" s="121" t="s">
        <v>486</v>
      </c>
      <c r="H224" s="121" t="s">
        <v>885</v>
      </c>
      <c r="I224" s="121" t="s">
        <v>475</v>
      </c>
      <c r="J224" s="121" t="s">
        <v>501</v>
      </c>
      <c r="K224" s="121">
        <v>313</v>
      </c>
      <c r="L224" s="121" t="s">
        <v>875</v>
      </c>
      <c r="M224" s="127" t="str">
        <f t="shared" si="4"/>
        <v>View on Google Map</v>
      </c>
    </row>
    <row r="225" spans="1:13" x14ac:dyDescent="0.2">
      <c r="A225" s="121">
        <v>191</v>
      </c>
      <c r="B225" s="121" t="s">
        <v>886</v>
      </c>
      <c r="C225" s="121" t="s">
        <v>887</v>
      </c>
      <c r="D225" s="121">
        <v>68.610349999999997</v>
      </c>
      <c r="E225" s="121">
        <v>-149.59976599999999</v>
      </c>
      <c r="F225" s="121">
        <v>736</v>
      </c>
      <c r="G225" s="121" t="s">
        <v>500</v>
      </c>
      <c r="H225" s="121" t="s">
        <v>888</v>
      </c>
      <c r="I225" s="121" t="s">
        <v>889</v>
      </c>
      <c r="J225" s="121" t="s">
        <v>501</v>
      </c>
      <c r="K225" s="121" t="s">
        <v>475</v>
      </c>
      <c r="L225" s="121" t="s">
        <v>890</v>
      </c>
      <c r="M225" s="127" t="str">
        <f t="shared" si="4"/>
        <v>View on Google Map</v>
      </c>
    </row>
    <row r="226" spans="1:13" x14ac:dyDescent="0.2">
      <c r="A226" s="121">
        <v>243</v>
      </c>
      <c r="B226" s="121" t="s">
        <v>891</v>
      </c>
      <c r="C226" s="121" t="s">
        <v>475</v>
      </c>
      <c r="D226" s="121">
        <v>68.611682999999999</v>
      </c>
      <c r="E226" s="121">
        <v>-149.599254</v>
      </c>
      <c r="F226" s="121">
        <v>736</v>
      </c>
      <c r="G226" s="121" t="s">
        <v>500</v>
      </c>
      <c r="H226" s="121" t="s">
        <v>892</v>
      </c>
      <c r="I226" s="121" t="s">
        <v>893</v>
      </c>
      <c r="J226" s="121" t="s">
        <v>501</v>
      </c>
      <c r="K226" s="121" t="s">
        <v>475</v>
      </c>
      <c r="L226" s="121" t="s">
        <v>890</v>
      </c>
      <c r="M226" s="127" t="str">
        <f t="shared" si="4"/>
        <v>View on Google Map</v>
      </c>
    </row>
    <row r="227" spans="1:13" x14ac:dyDescent="0.2">
      <c r="A227" s="121">
        <v>111</v>
      </c>
      <c r="B227" s="121" t="s">
        <v>894</v>
      </c>
      <c r="C227" s="121" t="s">
        <v>475</v>
      </c>
      <c r="D227" s="121">
        <v>68.568713078900004</v>
      </c>
      <c r="E227" s="121">
        <v>-149.58807625</v>
      </c>
      <c r="F227" s="121">
        <v>785</v>
      </c>
      <c r="G227" s="121" t="s">
        <v>486</v>
      </c>
      <c r="H227" s="121" t="s">
        <v>895</v>
      </c>
      <c r="I227" s="121" t="s">
        <v>896</v>
      </c>
      <c r="J227" s="121" t="s">
        <v>501</v>
      </c>
      <c r="K227" s="121" t="s">
        <v>475</v>
      </c>
      <c r="L227" s="121" t="s">
        <v>875</v>
      </c>
      <c r="M227" s="127" t="str">
        <f t="shared" si="4"/>
        <v>View on Google Map</v>
      </c>
    </row>
    <row r="228" spans="1:13" x14ac:dyDescent="0.2">
      <c r="A228" s="121">
        <v>175</v>
      </c>
      <c r="B228" s="121" t="s">
        <v>897</v>
      </c>
      <c r="C228" s="121" t="s">
        <v>475</v>
      </c>
      <c r="D228" s="121">
        <v>68.573999999999998</v>
      </c>
      <c r="E228" s="121">
        <v>-149.58356599999999</v>
      </c>
      <c r="F228" s="121">
        <v>774</v>
      </c>
      <c r="G228" s="121" t="s">
        <v>500</v>
      </c>
      <c r="H228" s="121" t="s">
        <v>898</v>
      </c>
      <c r="I228" s="121" t="s">
        <v>899</v>
      </c>
      <c r="J228" s="121" t="s">
        <v>501</v>
      </c>
      <c r="K228" s="121" t="s">
        <v>475</v>
      </c>
      <c r="L228" s="121" t="s">
        <v>890</v>
      </c>
      <c r="M228" s="127" t="str">
        <f t="shared" si="4"/>
        <v>View on Google Map</v>
      </c>
    </row>
    <row r="229" spans="1:13" x14ac:dyDescent="0.2">
      <c r="A229" s="121">
        <v>174</v>
      </c>
      <c r="B229" s="121" t="s">
        <v>900</v>
      </c>
      <c r="C229" s="121" t="s">
        <v>475</v>
      </c>
      <c r="D229" s="121">
        <v>68.572295999999994</v>
      </c>
      <c r="E229" s="121">
        <v>-149.58101400000001</v>
      </c>
      <c r="F229" s="121">
        <v>785</v>
      </c>
      <c r="G229" s="121" t="s">
        <v>500</v>
      </c>
      <c r="H229" s="121" t="s">
        <v>901</v>
      </c>
      <c r="I229" s="121" t="s">
        <v>902</v>
      </c>
      <c r="J229" s="121" t="s">
        <v>501</v>
      </c>
      <c r="K229" s="121" t="s">
        <v>475</v>
      </c>
      <c r="L229" s="121" t="s">
        <v>890</v>
      </c>
      <c r="M229" s="127" t="str">
        <f t="shared" si="4"/>
        <v>View on Google Map</v>
      </c>
    </row>
    <row r="230" spans="1:13" x14ac:dyDescent="0.2">
      <c r="A230" s="121">
        <v>112</v>
      </c>
      <c r="B230" s="121" t="s">
        <v>903</v>
      </c>
      <c r="C230" s="121" t="s">
        <v>475</v>
      </c>
      <c r="D230" s="121">
        <v>68.571319563299994</v>
      </c>
      <c r="E230" s="121">
        <v>-149.56588161799999</v>
      </c>
      <c r="F230" s="121">
        <v>785</v>
      </c>
      <c r="G230" s="121" t="s">
        <v>486</v>
      </c>
      <c r="H230" s="121" t="s">
        <v>904</v>
      </c>
      <c r="I230" s="121" t="s">
        <v>905</v>
      </c>
      <c r="J230" s="121" t="s">
        <v>501</v>
      </c>
      <c r="K230" s="121" t="s">
        <v>475</v>
      </c>
      <c r="L230" s="121" t="s">
        <v>875</v>
      </c>
      <c r="M230" s="127" t="str">
        <f t="shared" si="4"/>
        <v>View on Google Map</v>
      </c>
    </row>
    <row r="231" spans="1:13" x14ac:dyDescent="0.2">
      <c r="A231" s="121">
        <v>176</v>
      </c>
      <c r="B231" s="121" t="s">
        <v>906</v>
      </c>
      <c r="C231" s="121" t="s">
        <v>475</v>
      </c>
      <c r="D231" s="121">
        <v>68.574783330000002</v>
      </c>
      <c r="E231" s="121">
        <v>-149.58205000000001</v>
      </c>
      <c r="F231" s="121">
        <v>774</v>
      </c>
      <c r="G231" s="121" t="s">
        <v>500</v>
      </c>
      <c r="H231" s="121" t="s">
        <v>907</v>
      </c>
      <c r="I231" s="121" t="s">
        <v>908</v>
      </c>
      <c r="J231" s="121" t="s">
        <v>501</v>
      </c>
      <c r="K231" s="121" t="s">
        <v>475</v>
      </c>
      <c r="L231" s="121" t="s">
        <v>890</v>
      </c>
      <c r="M231" s="127" t="str">
        <f t="shared" si="4"/>
        <v>View on Google Map</v>
      </c>
    </row>
    <row r="232" spans="1:13" x14ac:dyDescent="0.2">
      <c r="A232" s="121">
        <v>173</v>
      </c>
      <c r="B232" s="121" t="s">
        <v>909</v>
      </c>
      <c r="C232" s="121" t="s">
        <v>475</v>
      </c>
      <c r="D232" s="121">
        <v>68.572546000000003</v>
      </c>
      <c r="E232" s="121">
        <v>-149.570268</v>
      </c>
      <c r="F232" s="121">
        <v>785</v>
      </c>
      <c r="G232" s="121" t="s">
        <v>500</v>
      </c>
      <c r="H232" s="121" t="s">
        <v>910</v>
      </c>
      <c r="I232" s="121" t="s">
        <v>911</v>
      </c>
      <c r="J232" s="121" t="s">
        <v>501</v>
      </c>
      <c r="K232" s="121" t="s">
        <v>475</v>
      </c>
      <c r="L232" s="121" t="s">
        <v>890</v>
      </c>
      <c r="M232" s="127" t="str">
        <f t="shared" si="4"/>
        <v>View on Google Map</v>
      </c>
    </row>
    <row r="233" spans="1:13" x14ac:dyDescent="0.2">
      <c r="A233" s="121">
        <v>113</v>
      </c>
      <c r="B233" s="121" t="s">
        <v>912</v>
      </c>
      <c r="C233" s="121" t="s">
        <v>475</v>
      </c>
      <c r="D233" s="121">
        <v>68.575536630100004</v>
      </c>
      <c r="E233" s="121">
        <v>-149.583644456</v>
      </c>
      <c r="F233" s="121">
        <v>774</v>
      </c>
      <c r="G233" s="121" t="s">
        <v>486</v>
      </c>
      <c r="H233" s="121" t="s">
        <v>913</v>
      </c>
      <c r="I233" s="121" t="s">
        <v>914</v>
      </c>
      <c r="J233" s="121" t="s">
        <v>501</v>
      </c>
      <c r="K233" s="121" t="s">
        <v>475</v>
      </c>
      <c r="L233" s="121" t="s">
        <v>875</v>
      </c>
      <c r="M233" s="127" t="str">
        <f t="shared" si="4"/>
        <v>View on Google Map</v>
      </c>
    </row>
    <row r="234" spans="1:13" x14ac:dyDescent="0.2">
      <c r="A234" s="121">
        <v>177</v>
      </c>
      <c r="B234" s="121" t="s">
        <v>915</v>
      </c>
      <c r="C234" s="121" t="s">
        <v>475</v>
      </c>
      <c r="D234" s="121">
        <v>68.577539999999999</v>
      </c>
      <c r="E234" s="121">
        <v>-149.58200299999999</v>
      </c>
      <c r="F234" s="121">
        <v>774</v>
      </c>
      <c r="G234" s="121" t="s">
        <v>500</v>
      </c>
      <c r="H234" s="121" t="s">
        <v>916</v>
      </c>
      <c r="I234" s="121" t="s">
        <v>917</v>
      </c>
      <c r="J234" s="121" t="s">
        <v>501</v>
      </c>
      <c r="K234" s="121" t="s">
        <v>475</v>
      </c>
      <c r="L234" s="121" t="s">
        <v>890</v>
      </c>
      <c r="M234" s="127" t="str">
        <f t="shared" si="4"/>
        <v>View on Google Map</v>
      </c>
    </row>
    <row r="235" spans="1:13" x14ac:dyDescent="0.2">
      <c r="A235" s="121">
        <v>114</v>
      </c>
      <c r="B235" s="121" t="s">
        <v>918</v>
      </c>
      <c r="C235" s="121" t="s">
        <v>475</v>
      </c>
      <c r="D235" s="121">
        <v>68.579567150000003</v>
      </c>
      <c r="E235" s="121">
        <v>-149.58405938000001</v>
      </c>
      <c r="F235" s="121">
        <v>770</v>
      </c>
      <c r="G235" s="121" t="s">
        <v>486</v>
      </c>
      <c r="H235" s="121" t="s">
        <v>919</v>
      </c>
      <c r="I235" s="121" t="s">
        <v>920</v>
      </c>
      <c r="J235" s="121" t="s">
        <v>501</v>
      </c>
      <c r="K235" s="121" t="s">
        <v>475</v>
      </c>
      <c r="L235" s="121" t="s">
        <v>875</v>
      </c>
      <c r="M235" s="127" t="str">
        <f t="shared" si="4"/>
        <v>View on Google Map</v>
      </c>
    </row>
    <row r="236" spans="1:13" x14ac:dyDescent="0.2">
      <c r="A236" s="121">
        <v>179</v>
      </c>
      <c r="B236" s="121" t="s">
        <v>921</v>
      </c>
      <c r="C236" s="121" t="s">
        <v>475</v>
      </c>
      <c r="D236" s="121">
        <v>68.584233330000004</v>
      </c>
      <c r="E236" s="121">
        <v>-149.58359999999999</v>
      </c>
      <c r="F236" s="121">
        <v>770</v>
      </c>
      <c r="G236" s="121" t="s">
        <v>500</v>
      </c>
      <c r="H236" s="121" t="s">
        <v>922</v>
      </c>
      <c r="I236" s="121" t="s">
        <v>923</v>
      </c>
      <c r="J236" s="121" t="s">
        <v>501</v>
      </c>
      <c r="K236" s="121" t="s">
        <v>475</v>
      </c>
      <c r="L236" s="121" t="s">
        <v>890</v>
      </c>
      <c r="M236" s="127" t="str">
        <f t="shared" si="4"/>
        <v>View on Google Map</v>
      </c>
    </row>
    <row r="237" spans="1:13" x14ac:dyDescent="0.2">
      <c r="A237" s="121">
        <v>178</v>
      </c>
      <c r="B237" s="121" t="s">
        <v>924</v>
      </c>
      <c r="C237" s="121" t="s">
        <v>475</v>
      </c>
      <c r="D237" s="121">
        <v>68.581429999999997</v>
      </c>
      <c r="E237" s="121">
        <v>-149.58609999999999</v>
      </c>
      <c r="F237" s="121">
        <v>770</v>
      </c>
      <c r="G237" s="121" t="s">
        <v>500</v>
      </c>
      <c r="H237" s="121" t="s">
        <v>925</v>
      </c>
      <c r="I237" s="121" t="s">
        <v>926</v>
      </c>
      <c r="J237" s="121" t="s">
        <v>501</v>
      </c>
      <c r="K237" s="121" t="s">
        <v>475</v>
      </c>
      <c r="L237" s="121" t="s">
        <v>890</v>
      </c>
      <c r="M237" s="127" t="str">
        <f t="shared" si="4"/>
        <v>View on Google Map</v>
      </c>
    </row>
    <row r="238" spans="1:13" x14ac:dyDescent="0.2">
      <c r="A238" s="121">
        <v>115</v>
      </c>
      <c r="B238" s="121" t="s">
        <v>927</v>
      </c>
      <c r="C238" s="121" t="s">
        <v>475</v>
      </c>
      <c r="D238" s="121">
        <v>68.587387439099999</v>
      </c>
      <c r="E238" s="121">
        <v>-149.589625877</v>
      </c>
      <c r="F238" s="121">
        <v>767</v>
      </c>
      <c r="G238" s="121" t="s">
        <v>486</v>
      </c>
      <c r="H238" s="121" t="s">
        <v>928</v>
      </c>
      <c r="I238" s="121" t="s">
        <v>929</v>
      </c>
      <c r="J238" s="121" t="s">
        <v>501</v>
      </c>
      <c r="K238" s="121" t="s">
        <v>475</v>
      </c>
      <c r="L238" s="121" t="s">
        <v>875</v>
      </c>
      <c r="M238" s="127" t="str">
        <f t="shared" si="4"/>
        <v>View on Google Map</v>
      </c>
    </row>
    <row r="239" spans="1:13" x14ac:dyDescent="0.2">
      <c r="A239" s="121">
        <v>181</v>
      </c>
      <c r="B239" s="121" t="s">
        <v>930</v>
      </c>
      <c r="C239" s="121" t="s">
        <v>475</v>
      </c>
      <c r="D239" s="121">
        <v>68.594916670000003</v>
      </c>
      <c r="E239" s="121">
        <v>-149.58631600000001</v>
      </c>
      <c r="F239" s="121">
        <v>754</v>
      </c>
      <c r="G239" s="121" t="s">
        <v>500</v>
      </c>
      <c r="H239" s="121" t="s">
        <v>931</v>
      </c>
      <c r="I239" s="121" t="s">
        <v>932</v>
      </c>
      <c r="J239" s="121" t="s">
        <v>501</v>
      </c>
      <c r="K239" s="121" t="s">
        <v>475</v>
      </c>
      <c r="L239" s="121" t="s">
        <v>890</v>
      </c>
      <c r="M239" s="127" t="str">
        <f t="shared" si="4"/>
        <v>View on Google Map</v>
      </c>
    </row>
    <row r="240" spans="1:13" x14ac:dyDescent="0.2">
      <c r="A240" s="121">
        <v>180</v>
      </c>
      <c r="B240" s="121" t="s">
        <v>933</v>
      </c>
      <c r="C240" s="121" t="s">
        <v>475</v>
      </c>
      <c r="D240" s="121">
        <v>68.589087000000006</v>
      </c>
      <c r="E240" s="121">
        <v>-149.58921900000001</v>
      </c>
      <c r="F240" s="121">
        <v>767</v>
      </c>
      <c r="G240" s="121" t="s">
        <v>500</v>
      </c>
      <c r="H240" s="121" t="s">
        <v>934</v>
      </c>
      <c r="I240" s="121" t="s">
        <v>935</v>
      </c>
      <c r="J240" s="121" t="s">
        <v>501</v>
      </c>
      <c r="K240" s="121" t="s">
        <v>475</v>
      </c>
      <c r="L240" s="121" t="s">
        <v>890</v>
      </c>
      <c r="M240" s="127" t="str">
        <f t="shared" si="4"/>
        <v>View on Google Map</v>
      </c>
    </row>
    <row r="241" spans="1:13" x14ac:dyDescent="0.2">
      <c r="A241" s="121">
        <v>116</v>
      </c>
      <c r="B241" s="121" t="s">
        <v>936</v>
      </c>
      <c r="C241" s="121" t="s">
        <v>475</v>
      </c>
      <c r="D241" s="121">
        <v>68.596592403900004</v>
      </c>
      <c r="E241" s="121">
        <v>-149.59264335</v>
      </c>
      <c r="F241" s="121">
        <v>754</v>
      </c>
      <c r="G241" s="121" t="s">
        <v>486</v>
      </c>
      <c r="H241" s="121" t="s">
        <v>937</v>
      </c>
      <c r="I241" s="121" t="s">
        <v>938</v>
      </c>
      <c r="J241" s="121" t="s">
        <v>501</v>
      </c>
      <c r="K241" s="121" t="s">
        <v>475</v>
      </c>
      <c r="L241" s="121" t="s">
        <v>875</v>
      </c>
      <c r="M241" s="127" t="str">
        <f t="shared" si="4"/>
        <v>View on Google Map</v>
      </c>
    </row>
    <row r="242" spans="1:13" x14ac:dyDescent="0.2">
      <c r="A242" s="121">
        <v>431</v>
      </c>
      <c r="B242" s="121" t="s">
        <v>939</v>
      </c>
      <c r="C242" s="121" t="s">
        <v>475</v>
      </c>
      <c r="D242" s="121">
        <v>68.582061999999993</v>
      </c>
      <c r="E242" s="121">
        <v>-149.62293199999999</v>
      </c>
      <c r="F242" s="121">
        <v>806</v>
      </c>
      <c r="G242" s="121" t="s">
        <v>486</v>
      </c>
      <c r="H242" s="121" t="s">
        <v>940</v>
      </c>
      <c r="I242" s="121" t="s">
        <v>941</v>
      </c>
      <c r="J242" s="121" t="s">
        <v>501</v>
      </c>
      <c r="K242" s="121" t="s">
        <v>475</v>
      </c>
      <c r="L242" s="121" t="s">
        <v>875</v>
      </c>
      <c r="M242" s="127" t="str">
        <f t="shared" si="4"/>
        <v>View on Google Map</v>
      </c>
    </row>
    <row r="243" spans="1:13" x14ac:dyDescent="0.2">
      <c r="A243" s="121">
        <v>444</v>
      </c>
      <c r="B243" s="121" t="s">
        <v>942</v>
      </c>
      <c r="C243" s="121" t="s">
        <v>475</v>
      </c>
      <c r="D243" s="121">
        <v>68.578643</v>
      </c>
      <c r="E243" s="121">
        <v>-149.62110200000001</v>
      </c>
      <c r="F243" s="121">
        <v>808</v>
      </c>
      <c r="G243" s="121" t="s">
        <v>500</v>
      </c>
      <c r="H243" s="121" t="s">
        <v>943</v>
      </c>
      <c r="I243" s="121" t="s">
        <v>944</v>
      </c>
      <c r="J243" s="121" t="s">
        <v>501</v>
      </c>
      <c r="K243" s="121" t="s">
        <v>475</v>
      </c>
      <c r="L243" s="121" t="s">
        <v>890</v>
      </c>
      <c r="M243" s="127" t="str">
        <f t="shared" si="4"/>
        <v>View on Google Map</v>
      </c>
    </row>
    <row r="244" spans="1:13" x14ac:dyDescent="0.2">
      <c r="A244" s="121">
        <v>535</v>
      </c>
      <c r="B244" s="121" t="s">
        <v>945</v>
      </c>
      <c r="C244" s="121" t="s">
        <v>946</v>
      </c>
      <c r="D244" s="121">
        <v>68.585839000000007</v>
      </c>
      <c r="E244" s="121">
        <v>-149.62222299999999</v>
      </c>
      <c r="F244" s="121">
        <v>805</v>
      </c>
      <c r="G244" s="121" t="s">
        <v>500</v>
      </c>
      <c r="H244" s="121" t="s">
        <v>475</v>
      </c>
      <c r="I244" s="121" t="s">
        <v>475</v>
      </c>
      <c r="J244" s="121" t="s">
        <v>487</v>
      </c>
      <c r="K244" s="121" t="s">
        <v>475</v>
      </c>
      <c r="L244" s="121" t="s">
        <v>947</v>
      </c>
      <c r="M244" s="127" t="str">
        <f t="shared" si="4"/>
        <v>View on Google Map</v>
      </c>
    </row>
    <row r="245" spans="1:13" x14ac:dyDescent="0.2">
      <c r="A245" s="121">
        <v>536</v>
      </c>
      <c r="B245" s="121" t="s">
        <v>948</v>
      </c>
      <c r="C245" s="121" t="s">
        <v>946</v>
      </c>
      <c r="D245" s="121">
        <v>68.591329999999999</v>
      </c>
      <c r="E245" s="121">
        <v>-149.61154199999999</v>
      </c>
      <c r="F245" s="121">
        <v>775</v>
      </c>
      <c r="G245" s="121" t="s">
        <v>500</v>
      </c>
      <c r="H245" s="121" t="s">
        <v>475</v>
      </c>
      <c r="I245" s="121" t="s">
        <v>475</v>
      </c>
      <c r="J245" s="121" t="s">
        <v>487</v>
      </c>
      <c r="K245" s="121" t="s">
        <v>475</v>
      </c>
      <c r="L245" s="121" t="s">
        <v>947</v>
      </c>
      <c r="M245" s="127" t="str">
        <f t="shared" si="4"/>
        <v>View on Google Map</v>
      </c>
    </row>
    <row r="246" spans="1:13" x14ac:dyDescent="0.2">
      <c r="A246" s="121">
        <v>445</v>
      </c>
      <c r="B246" s="121" t="s">
        <v>949</v>
      </c>
      <c r="C246" s="121" t="s">
        <v>475</v>
      </c>
      <c r="D246" s="121">
        <v>68.583569999999995</v>
      </c>
      <c r="E246" s="121">
        <v>-149.62384</v>
      </c>
      <c r="F246" s="121">
        <v>808</v>
      </c>
      <c r="G246" s="121" t="s">
        <v>500</v>
      </c>
      <c r="H246" s="121" t="s">
        <v>950</v>
      </c>
      <c r="I246" s="121" t="s">
        <v>951</v>
      </c>
      <c r="J246" s="121" t="s">
        <v>501</v>
      </c>
      <c r="K246" s="121" t="s">
        <v>475</v>
      </c>
      <c r="L246" s="121" t="s">
        <v>890</v>
      </c>
      <c r="M246" s="127" t="str">
        <f t="shared" si="4"/>
        <v>View on Google Map</v>
      </c>
    </row>
    <row r="247" spans="1:13" x14ac:dyDescent="0.2">
      <c r="A247" s="121">
        <v>182</v>
      </c>
      <c r="B247" s="121" t="s">
        <v>952</v>
      </c>
      <c r="C247" s="121" t="s">
        <v>475</v>
      </c>
      <c r="D247" s="121">
        <v>68.596883329999997</v>
      </c>
      <c r="E247" s="121">
        <v>-149.60124999999999</v>
      </c>
      <c r="F247" s="121">
        <v>754</v>
      </c>
      <c r="G247" s="121" t="s">
        <v>500</v>
      </c>
      <c r="H247" s="121" t="s">
        <v>953</v>
      </c>
      <c r="I247" s="121" t="s">
        <v>954</v>
      </c>
      <c r="J247" s="121" t="s">
        <v>501</v>
      </c>
      <c r="K247" s="121" t="s">
        <v>475</v>
      </c>
      <c r="L247" s="121" t="s">
        <v>890</v>
      </c>
      <c r="M247" s="127" t="str">
        <f t="shared" si="4"/>
        <v>View on Google Map</v>
      </c>
    </row>
    <row r="248" spans="1:13" x14ac:dyDescent="0.2">
      <c r="A248" s="121">
        <v>183</v>
      </c>
      <c r="B248" s="121" t="s">
        <v>955</v>
      </c>
      <c r="C248" s="121" t="s">
        <v>475</v>
      </c>
      <c r="D248" s="121">
        <v>68.598684000000006</v>
      </c>
      <c r="E248" s="121">
        <v>-149.599853</v>
      </c>
      <c r="F248" s="121">
        <v>754</v>
      </c>
      <c r="G248" s="121" t="s">
        <v>500</v>
      </c>
      <c r="H248" s="121" t="s">
        <v>956</v>
      </c>
      <c r="I248" s="121" t="s">
        <v>957</v>
      </c>
      <c r="J248" s="121" t="s">
        <v>501</v>
      </c>
      <c r="K248" s="121" t="s">
        <v>475</v>
      </c>
      <c r="L248" s="121" t="s">
        <v>890</v>
      </c>
      <c r="M248" s="127" t="str">
        <f t="shared" si="4"/>
        <v>View on Google Map</v>
      </c>
    </row>
    <row r="249" spans="1:13" x14ac:dyDescent="0.2">
      <c r="A249" s="121">
        <v>117</v>
      </c>
      <c r="B249" s="121" t="s">
        <v>958</v>
      </c>
      <c r="C249" s="121" t="s">
        <v>475</v>
      </c>
      <c r="D249" s="121">
        <v>68.600874798199996</v>
      </c>
      <c r="E249" s="121">
        <v>-149.596582063</v>
      </c>
      <c r="F249" s="121">
        <v>742</v>
      </c>
      <c r="G249" s="121" t="s">
        <v>486</v>
      </c>
      <c r="H249" s="121" t="s">
        <v>959</v>
      </c>
      <c r="I249" s="121" t="s">
        <v>960</v>
      </c>
      <c r="J249" s="121" t="s">
        <v>501</v>
      </c>
      <c r="K249" s="121" t="s">
        <v>475</v>
      </c>
      <c r="L249" s="121" t="s">
        <v>875</v>
      </c>
      <c r="M249" s="127" t="str">
        <f t="shared" si="4"/>
        <v>View on Google Map</v>
      </c>
    </row>
    <row r="250" spans="1:13" x14ac:dyDescent="0.2">
      <c r="A250" s="121">
        <v>187</v>
      </c>
      <c r="B250" s="121" t="s">
        <v>961</v>
      </c>
      <c r="C250" s="121" t="s">
        <v>475</v>
      </c>
      <c r="D250" s="121">
        <v>68.618183329999994</v>
      </c>
      <c r="E250" s="121">
        <v>-149.596766</v>
      </c>
      <c r="F250" s="121">
        <v>728</v>
      </c>
      <c r="G250" s="121" t="s">
        <v>500</v>
      </c>
      <c r="H250" s="121" t="s">
        <v>962</v>
      </c>
      <c r="I250" s="121" t="s">
        <v>963</v>
      </c>
      <c r="J250" s="121" t="s">
        <v>501</v>
      </c>
      <c r="K250" s="121" t="s">
        <v>475</v>
      </c>
      <c r="L250" s="121" t="s">
        <v>890</v>
      </c>
      <c r="M250" s="127" t="str">
        <f t="shared" si="4"/>
        <v>View on Google Map</v>
      </c>
    </row>
    <row r="251" spans="1:13" x14ac:dyDescent="0.2">
      <c r="A251" s="121">
        <v>184</v>
      </c>
      <c r="B251" s="121" t="s">
        <v>964</v>
      </c>
      <c r="C251" s="121" t="s">
        <v>475</v>
      </c>
      <c r="D251" s="121">
        <v>68.601830000000007</v>
      </c>
      <c r="E251" s="121">
        <v>-149.59671299999999</v>
      </c>
      <c r="F251" s="121">
        <v>742</v>
      </c>
      <c r="G251" s="121" t="s">
        <v>500</v>
      </c>
      <c r="H251" s="121" t="s">
        <v>965</v>
      </c>
      <c r="I251" s="121" t="s">
        <v>966</v>
      </c>
      <c r="J251" s="121" t="s">
        <v>501</v>
      </c>
      <c r="K251" s="121" t="s">
        <v>475</v>
      </c>
      <c r="L251" s="121" t="s">
        <v>890</v>
      </c>
      <c r="M251" s="127" t="str">
        <f t="shared" si="4"/>
        <v>View on Google Map</v>
      </c>
    </row>
    <row r="252" spans="1:13" x14ac:dyDescent="0.2">
      <c r="A252" s="121">
        <v>118</v>
      </c>
      <c r="B252" s="121" t="s">
        <v>967</v>
      </c>
      <c r="C252" s="121" t="s">
        <v>475</v>
      </c>
      <c r="D252" s="121">
        <v>68.6101575207</v>
      </c>
      <c r="E252" s="121">
        <v>-149.582211513</v>
      </c>
      <c r="F252" s="121">
        <v>744</v>
      </c>
      <c r="G252" s="121" t="s">
        <v>486</v>
      </c>
      <c r="H252" s="121" t="s">
        <v>968</v>
      </c>
      <c r="I252" s="121" t="s">
        <v>969</v>
      </c>
      <c r="J252" s="121" t="s">
        <v>501</v>
      </c>
      <c r="K252" s="121" t="s">
        <v>475</v>
      </c>
      <c r="L252" s="121" t="s">
        <v>875</v>
      </c>
      <c r="M252" s="127" t="str">
        <f t="shared" si="4"/>
        <v>View on Google Map</v>
      </c>
    </row>
    <row r="253" spans="1:13" x14ac:dyDescent="0.2">
      <c r="A253" s="121">
        <v>172</v>
      </c>
      <c r="B253" s="121" t="s">
        <v>970</v>
      </c>
      <c r="C253" s="121" t="s">
        <v>475</v>
      </c>
      <c r="D253" s="121">
        <v>68.573666666666668</v>
      </c>
      <c r="E253" s="121">
        <v>-149.53716666666699</v>
      </c>
      <c r="F253" s="121">
        <v>808</v>
      </c>
      <c r="G253" s="121" t="s">
        <v>500</v>
      </c>
      <c r="H253" s="121" t="s">
        <v>971</v>
      </c>
      <c r="I253" s="121" t="s">
        <v>972</v>
      </c>
      <c r="J253" s="121" t="s">
        <v>501</v>
      </c>
      <c r="K253" s="121" t="s">
        <v>475</v>
      </c>
      <c r="L253" s="121" t="s">
        <v>890</v>
      </c>
      <c r="M253" s="127" t="str">
        <f t="shared" si="4"/>
        <v>View on Google Map</v>
      </c>
    </row>
    <row r="254" spans="1:13" x14ac:dyDescent="0.2">
      <c r="A254" s="121">
        <v>533</v>
      </c>
      <c r="B254" s="121" t="s">
        <v>973</v>
      </c>
      <c r="C254" s="121" t="s">
        <v>946</v>
      </c>
      <c r="D254" s="121">
        <v>68.599999999999994</v>
      </c>
      <c r="E254" s="121">
        <v>-149.57599999999999</v>
      </c>
      <c r="F254" s="121">
        <v>762</v>
      </c>
      <c r="G254" s="121" t="s">
        <v>500</v>
      </c>
      <c r="H254" s="121" t="s">
        <v>475</v>
      </c>
      <c r="I254" s="121" t="s">
        <v>475</v>
      </c>
      <c r="J254" s="121" t="s">
        <v>487</v>
      </c>
      <c r="K254" s="121" t="s">
        <v>475</v>
      </c>
      <c r="L254" s="121" t="s">
        <v>947</v>
      </c>
      <c r="M254" s="127" t="str">
        <f t="shared" si="4"/>
        <v>View on Google Map</v>
      </c>
    </row>
    <row r="255" spans="1:13" x14ac:dyDescent="0.2">
      <c r="A255" s="121">
        <v>534</v>
      </c>
      <c r="B255" s="121" t="s">
        <v>974</v>
      </c>
      <c r="C255" s="121" t="s">
        <v>946</v>
      </c>
      <c r="D255" s="121">
        <v>68.601493000000005</v>
      </c>
      <c r="E255" s="121">
        <v>-149.579071</v>
      </c>
      <c r="F255" s="121">
        <v>760</v>
      </c>
      <c r="G255" s="121" t="s">
        <v>500</v>
      </c>
      <c r="H255" s="121" t="s">
        <v>475</v>
      </c>
      <c r="I255" s="121" t="s">
        <v>475</v>
      </c>
      <c r="J255" s="121" t="s">
        <v>487</v>
      </c>
      <c r="K255" s="121" t="s">
        <v>475</v>
      </c>
      <c r="L255" s="121" t="s">
        <v>947</v>
      </c>
      <c r="M255" s="127" t="str">
        <f t="shared" si="4"/>
        <v>View on Google Map</v>
      </c>
    </row>
    <row r="256" spans="1:13" x14ac:dyDescent="0.2">
      <c r="A256" s="121">
        <v>185</v>
      </c>
      <c r="B256" s="121" t="s">
        <v>975</v>
      </c>
      <c r="C256" s="121" t="s">
        <v>475</v>
      </c>
      <c r="D256" s="121">
        <v>68.60853333</v>
      </c>
      <c r="E256" s="121">
        <v>-149.58763300000001</v>
      </c>
      <c r="F256" s="121">
        <v>744</v>
      </c>
      <c r="G256" s="121" t="s">
        <v>500</v>
      </c>
      <c r="H256" s="121" t="s">
        <v>976</v>
      </c>
      <c r="I256" s="121" t="s">
        <v>977</v>
      </c>
      <c r="J256" s="121" t="s">
        <v>501</v>
      </c>
      <c r="K256" s="121" t="s">
        <v>475</v>
      </c>
      <c r="L256" s="121" t="s">
        <v>890</v>
      </c>
      <c r="M256" s="127" t="str">
        <f t="shared" si="4"/>
        <v>View on Google Map</v>
      </c>
    </row>
    <row r="257" spans="1:13" x14ac:dyDescent="0.2">
      <c r="A257" s="121">
        <v>547</v>
      </c>
      <c r="B257" s="121" t="s">
        <v>978</v>
      </c>
      <c r="C257" s="121" t="s">
        <v>979</v>
      </c>
      <c r="D257" s="121">
        <v>68.611012000000002</v>
      </c>
      <c r="E257" s="121">
        <v>-149.57365200000001</v>
      </c>
      <c r="F257" s="121">
        <v>744</v>
      </c>
      <c r="G257" s="121" t="s">
        <v>500</v>
      </c>
      <c r="H257" s="121" t="s">
        <v>475</v>
      </c>
      <c r="I257" s="121" t="s">
        <v>475</v>
      </c>
      <c r="J257" s="121" t="s">
        <v>980</v>
      </c>
      <c r="K257" s="121" t="s">
        <v>475</v>
      </c>
      <c r="L257" s="121" t="s">
        <v>981</v>
      </c>
      <c r="M257" s="127" t="str">
        <f t="shared" si="4"/>
        <v>View on Google Map</v>
      </c>
    </row>
    <row r="258" spans="1:13" x14ac:dyDescent="0.2">
      <c r="A258" s="121">
        <v>548</v>
      </c>
      <c r="B258" s="121" t="s">
        <v>982</v>
      </c>
      <c r="C258" s="121" t="s">
        <v>979</v>
      </c>
      <c r="D258" s="121">
        <v>68.612117999999995</v>
      </c>
      <c r="E258" s="121">
        <v>-149.576359</v>
      </c>
      <c r="F258" s="121">
        <v>744</v>
      </c>
      <c r="G258" s="121" t="s">
        <v>500</v>
      </c>
      <c r="H258" s="121" t="s">
        <v>475</v>
      </c>
      <c r="I258" s="121" t="s">
        <v>475</v>
      </c>
      <c r="J258" s="121" t="s">
        <v>980</v>
      </c>
      <c r="K258" s="121" t="s">
        <v>475</v>
      </c>
      <c r="L258" s="121" t="s">
        <v>981</v>
      </c>
      <c r="M258" s="127" t="str">
        <f t="shared" si="4"/>
        <v>View on Google Map</v>
      </c>
    </row>
    <row r="259" spans="1:13" x14ac:dyDescent="0.2">
      <c r="A259" s="121">
        <v>546</v>
      </c>
      <c r="B259" s="121" t="s">
        <v>983</v>
      </c>
      <c r="C259" s="121" t="s">
        <v>979</v>
      </c>
      <c r="D259" s="121">
        <v>68.608949999999993</v>
      </c>
      <c r="E259" s="121">
        <v>-149.57907399999999</v>
      </c>
      <c r="F259" s="121">
        <v>744</v>
      </c>
      <c r="G259" s="121" t="s">
        <v>500</v>
      </c>
      <c r="H259" s="121" t="s">
        <v>475</v>
      </c>
      <c r="I259" s="121" t="s">
        <v>475</v>
      </c>
      <c r="J259" s="121" t="s">
        <v>980</v>
      </c>
      <c r="K259" s="121" t="s">
        <v>475</v>
      </c>
      <c r="L259" s="121" t="s">
        <v>981</v>
      </c>
      <c r="M259" s="127" t="str">
        <f t="shared" ref="M259:M322" si="5">HYPERLINK("http://maps.google.com/maps?q="&amp;D259&amp;","&amp;E259,"View on Google Map")</f>
        <v>View on Google Map</v>
      </c>
    </row>
    <row r="260" spans="1:13" x14ac:dyDescent="0.2">
      <c r="A260" s="121">
        <v>545</v>
      </c>
      <c r="B260" s="121" t="s">
        <v>984</v>
      </c>
      <c r="C260" s="121" t="s">
        <v>979</v>
      </c>
      <c r="D260" s="121">
        <v>68.609307999999999</v>
      </c>
      <c r="E260" s="121">
        <v>-149.57375200000001</v>
      </c>
      <c r="F260" s="121">
        <v>744</v>
      </c>
      <c r="G260" s="121" t="s">
        <v>500</v>
      </c>
      <c r="H260" s="121" t="s">
        <v>475</v>
      </c>
      <c r="I260" s="121" t="s">
        <v>475</v>
      </c>
      <c r="J260" s="121" t="s">
        <v>980</v>
      </c>
      <c r="K260" s="121" t="s">
        <v>475</v>
      </c>
      <c r="L260" s="121" t="s">
        <v>981</v>
      </c>
      <c r="M260" s="127" t="str">
        <f t="shared" si="5"/>
        <v>View on Google Map</v>
      </c>
    </row>
    <row r="261" spans="1:13" x14ac:dyDescent="0.2">
      <c r="A261" s="121">
        <v>549</v>
      </c>
      <c r="B261" s="121" t="s">
        <v>985</v>
      </c>
      <c r="C261" s="121" t="s">
        <v>475</v>
      </c>
      <c r="D261" s="121" t="s">
        <v>475</v>
      </c>
      <c r="E261" s="121" t="s">
        <v>475</v>
      </c>
      <c r="F261" s="121" t="s">
        <v>475</v>
      </c>
      <c r="G261" s="121" t="s">
        <v>500</v>
      </c>
      <c r="H261" s="121" t="s">
        <v>475</v>
      </c>
      <c r="I261" s="121" t="s">
        <v>475</v>
      </c>
      <c r="J261" s="121" t="s">
        <v>487</v>
      </c>
      <c r="K261" s="121" t="s">
        <v>475</v>
      </c>
      <c r="L261" s="121" t="s">
        <v>986</v>
      </c>
      <c r="M261" s="127" t="str">
        <f t="shared" si="5"/>
        <v>View on Google Map</v>
      </c>
    </row>
    <row r="262" spans="1:13" x14ac:dyDescent="0.2">
      <c r="A262" s="121">
        <v>188</v>
      </c>
      <c r="B262" s="121" t="s">
        <v>987</v>
      </c>
      <c r="C262" s="121" t="s">
        <v>475</v>
      </c>
      <c r="D262" s="121">
        <v>68.61838333</v>
      </c>
      <c r="E262" s="121">
        <v>-149.59649999999999</v>
      </c>
      <c r="F262" s="121">
        <v>728</v>
      </c>
      <c r="G262" s="121" t="s">
        <v>500</v>
      </c>
      <c r="H262" s="121" t="s">
        <v>988</v>
      </c>
      <c r="I262" s="121" t="s">
        <v>989</v>
      </c>
      <c r="J262" s="121" t="s">
        <v>501</v>
      </c>
      <c r="K262" s="121" t="s">
        <v>475</v>
      </c>
      <c r="L262" s="121" t="s">
        <v>890</v>
      </c>
      <c r="M262" s="127" t="str">
        <f t="shared" si="5"/>
        <v>View on Google Map</v>
      </c>
    </row>
    <row r="263" spans="1:13" x14ac:dyDescent="0.2">
      <c r="A263" s="121">
        <v>541</v>
      </c>
      <c r="B263" s="121" t="s">
        <v>990</v>
      </c>
      <c r="C263" s="121" t="s">
        <v>979</v>
      </c>
      <c r="D263" s="121">
        <v>68.609846000000005</v>
      </c>
      <c r="E263" s="121">
        <v>-149.58295100000001</v>
      </c>
      <c r="F263" s="121">
        <v>744</v>
      </c>
      <c r="G263" s="121" t="s">
        <v>486</v>
      </c>
      <c r="H263" s="121" t="s">
        <v>475</v>
      </c>
      <c r="I263" s="121" t="s">
        <v>475</v>
      </c>
      <c r="J263" s="121" t="s">
        <v>980</v>
      </c>
      <c r="K263" s="121" t="s">
        <v>475</v>
      </c>
      <c r="L263" s="121" t="s">
        <v>981</v>
      </c>
      <c r="M263" s="127" t="str">
        <f t="shared" si="5"/>
        <v>View on Google Map</v>
      </c>
    </row>
    <row r="264" spans="1:13" x14ac:dyDescent="0.2">
      <c r="A264" s="121">
        <v>539</v>
      </c>
      <c r="B264" s="121" t="s">
        <v>991</v>
      </c>
      <c r="C264" s="121" t="s">
        <v>979</v>
      </c>
      <c r="D264" s="121">
        <v>68.610575999999995</v>
      </c>
      <c r="E264" s="121">
        <v>-149.576018</v>
      </c>
      <c r="F264" s="121">
        <v>744</v>
      </c>
      <c r="G264" s="121" t="s">
        <v>486</v>
      </c>
      <c r="H264" s="121" t="s">
        <v>475</v>
      </c>
      <c r="I264" s="121" t="s">
        <v>475</v>
      </c>
      <c r="J264" s="121" t="s">
        <v>980</v>
      </c>
      <c r="K264" s="121" t="s">
        <v>475</v>
      </c>
      <c r="L264" s="121" t="s">
        <v>981</v>
      </c>
      <c r="M264" s="127" t="str">
        <f t="shared" si="5"/>
        <v>View on Google Map</v>
      </c>
    </row>
    <row r="265" spans="1:13" x14ac:dyDescent="0.2">
      <c r="A265" s="121">
        <v>538</v>
      </c>
      <c r="B265" s="121" t="s">
        <v>992</v>
      </c>
      <c r="C265" s="121" t="s">
        <v>979</v>
      </c>
      <c r="D265" s="121">
        <v>68.610889</v>
      </c>
      <c r="E265" s="121">
        <v>-149.576108</v>
      </c>
      <c r="F265" s="121">
        <v>744</v>
      </c>
      <c r="G265" s="121" t="s">
        <v>500</v>
      </c>
      <c r="H265" s="121" t="s">
        <v>475</v>
      </c>
      <c r="I265" s="121" t="s">
        <v>475</v>
      </c>
      <c r="J265" s="121" t="s">
        <v>980</v>
      </c>
      <c r="K265" s="121" t="s">
        <v>475</v>
      </c>
      <c r="L265" s="121" t="s">
        <v>981</v>
      </c>
      <c r="M265" s="127" t="str">
        <f t="shared" si="5"/>
        <v>View on Google Map</v>
      </c>
    </row>
    <row r="266" spans="1:13" x14ac:dyDescent="0.2">
      <c r="A266" s="121">
        <v>544</v>
      </c>
      <c r="B266" s="121" t="s">
        <v>993</v>
      </c>
      <c r="C266" s="121" t="s">
        <v>979</v>
      </c>
      <c r="D266" s="121">
        <v>68.610529</v>
      </c>
      <c r="E266" s="121">
        <v>-149.58864199999999</v>
      </c>
      <c r="F266" s="121">
        <v>744</v>
      </c>
      <c r="G266" s="121" t="s">
        <v>486</v>
      </c>
      <c r="H266" s="121" t="s">
        <v>475</v>
      </c>
      <c r="I266" s="121" t="s">
        <v>475</v>
      </c>
      <c r="J266" s="121" t="s">
        <v>980</v>
      </c>
      <c r="K266" s="121" t="s">
        <v>475</v>
      </c>
      <c r="L266" s="121" t="s">
        <v>981</v>
      </c>
      <c r="M266" s="127" t="str">
        <f t="shared" si="5"/>
        <v>View on Google Map</v>
      </c>
    </row>
    <row r="267" spans="1:13" x14ac:dyDescent="0.2">
      <c r="A267" s="121">
        <v>540</v>
      </c>
      <c r="B267" s="121" t="s">
        <v>994</v>
      </c>
      <c r="C267" s="121" t="s">
        <v>979</v>
      </c>
      <c r="D267" s="121">
        <v>68.609842</v>
      </c>
      <c r="E267" s="121">
        <v>-149.575346</v>
      </c>
      <c r="F267" s="121">
        <v>744</v>
      </c>
      <c r="G267" s="121" t="s">
        <v>486</v>
      </c>
      <c r="H267" s="121" t="s">
        <v>475</v>
      </c>
      <c r="I267" s="121" t="s">
        <v>475</v>
      </c>
      <c r="J267" s="121" t="s">
        <v>980</v>
      </c>
      <c r="K267" s="121" t="s">
        <v>475</v>
      </c>
      <c r="L267" s="121" t="s">
        <v>981</v>
      </c>
      <c r="M267" s="127" t="str">
        <f t="shared" si="5"/>
        <v>View on Google Map</v>
      </c>
    </row>
    <row r="268" spans="1:13" x14ac:dyDescent="0.2">
      <c r="A268" s="121">
        <v>542</v>
      </c>
      <c r="B268" s="121" t="s">
        <v>995</v>
      </c>
      <c r="C268" s="121" t="s">
        <v>979</v>
      </c>
      <c r="D268" s="121">
        <v>68.609202999999994</v>
      </c>
      <c r="E268" s="121">
        <v>-149.588257</v>
      </c>
      <c r="F268" s="121">
        <v>744</v>
      </c>
      <c r="G268" s="121" t="s">
        <v>486</v>
      </c>
      <c r="H268" s="121" t="s">
        <v>475</v>
      </c>
      <c r="I268" s="121" t="s">
        <v>475</v>
      </c>
      <c r="J268" s="121" t="s">
        <v>980</v>
      </c>
      <c r="K268" s="121" t="s">
        <v>475</v>
      </c>
      <c r="L268" s="121" t="s">
        <v>981</v>
      </c>
      <c r="M268" s="127" t="str">
        <f t="shared" si="5"/>
        <v>View on Google Map</v>
      </c>
    </row>
    <row r="269" spans="1:13" x14ac:dyDescent="0.2">
      <c r="A269" s="121">
        <v>543</v>
      </c>
      <c r="B269" s="121" t="s">
        <v>996</v>
      </c>
      <c r="C269" s="121" t="s">
        <v>979</v>
      </c>
      <c r="D269" s="121">
        <v>68.610028</v>
      </c>
      <c r="E269" s="121">
        <v>-149.588391</v>
      </c>
      <c r="F269" s="121">
        <v>744</v>
      </c>
      <c r="G269" s="121" t="s">
        <v>486</v>
      </c>
      <c r="H269" s="121" t="s">
        <v>475</v>
      </c>
      <c r="I269" s="121" t="s">
        <v>475</v>
      </c>
      <c r="J269" s="121" t="s">
        <v>980</v>
      </c>
      <c r="K269" s="121" t="s">
        <v>475</v>
      </c>
      <c r="L269" s="121" t="s">
        <v>981</v>
      </c>
      <c r="M269" s="127" t="str">
        <f t="shared" si="5"/>
        <v>View on Google Map</v>
      </c>
    </row>
    <row r="270" spans="1:13" x14ac:dyDescent="0.2">
      <c r="A270" s="121">
        <v>537</v>
      </c>
      <c r="B270" s="121" t="s">
        <v>997</v>
      </c>
      <c r="C270" s="121" t="s">
        <v>979</v>
      </c>
      <c r="D270" s="121">
        <v>68.611514</v>
      </c>
      <c r="E270" s="121">
        <v>-149.577617</v>
      </c>
      <c r="F270" s="121">
        <v>744</v>
      </c>
      <c r="G270" s="121" t="s">
        <v>500</v>
      </c>
      <c r="H270" s="121" t="s">
        <v>475</v>
      </c>
      <c r="I270" s="121" t="s">
        <v>475</v>
      </c>
      <c r="J270" s="121" t="s">
        <v>980</v>
      </c>
      <c r="K270" s="121" t="s">
        <v>475</v>
      </c>
      <c r="L270" s="121" t="s">
        <v>981</v>
      </c>
      <c r="M270" s="127" t="str">
        <f t="shared" si="5"/>
        <v>View on Google Map</v>
      </c>
    </row>
    <row r="271" spans="1:13" x14ac:dyDescent="0.2">
      <c r="A271" s="121">
        <v>15</v>
      </c>
      <c r="B271" s="121" t="s">
        <v>998</v>
      </c>
      <c r="C271" s="121" t="s">
        <v>475</v>
      </c>
      <c r="D271" s="121" t="s">
        <v>475</v>
      </c>
      <c r="E271" s="121" t="s">
        <v>475</v>
      </c>
      <c r="F271" s="121">
        <v>744</v>
      </c>
      <c r="G271" s="121" t="s">
        <v>500</v>
      </c>
      <c r="H271" s="121" t="s">
        <v>999</v>
      </c>
      <c r="I271" s="121" t="s">
        <v>1000</v>
      </c>
      <c r="J271" s="121" t="s">
        <v>501</v>
      </c>
      <c r="K271" s="121">
        <v>186</v>
      </c>
      <c r="L271" s="121" t="s">
        <v>475</v>
      </c>
      <c r="M271" s="127" t="str">
        <f t="shared" si="5"/>
        <v>View on Google Map</v>
      </c>
    </row>
    <row r="272" spans="1:13" x14ac:dyDescent="0.2">
      <c r="A272" s="121">
        <v>305</v>
      </c>
      <c r="B272" s="121" t="s">
        <v>1001</v>
      </c>
      <c r="C272" s="121" t="s">
        <v>1002</v>
      </c>
      <c r="D272" s="121" t="s">
        <v>475</v>
      </c>
      <c r="E272" s="121" t="s">
        <v>475</v>
      </c>
      <c r="F272" s="121" t="s">
        <v>475</v>
      </c>
      <c r="G272" s="121" t="s">
        <v>500</v>
      </c>
      <c r="H272" s="121" t="s">
        <v>1003</v>
      </c>
      <c r="I272" s="121" t="s">
        <v>1004</v>
      </c>
      <c r="J272" s="121" t="s">
        <v>501</v>
      </c>
      <c r="K272" s="121" t="s">
        <v>475</v>
      </c>
      <c r="L272" s="121" t="s">
        <v>890</v>
      </c>
      <c r="M272" s="127" t="str">
        <f t="shared" si="5"/>
        <v>View on Google Map</v>
      </c>
    </row>
    <row r="273" spans="1:13" x14ac:dyDescent="0.2">
      <c r="A273" s="121">
        <v>119</v>
      </c>
      <c r="B273" s="121" t="s">
        <v>1005</v>
      </c>
      <c r="C273" s="121" t="s">
        <v>475</v>
      </c>
      <c r="D273" s="121">
        <v>68.618964513199998</v>
      </c>
      <c r="E273" s="121">
        <v>-149.59549733099999</v>
      </c>
      <c r="F273" s="121">
        <v>728</v>
      </c>
      <c r="G273" s="121" t="s">
        <v>486</v>
      </c>
      <c r="H273" s="121" t="s">
        <v>1006</v>
      </c>
      <c r="I273" s="121" t="s">
        <v>1007</v>
      </c>
      <c r="J273" s="121" t="s">
        <v>501</v>
      </c>
      <c r="K273" s="121" t="s">
        <v>475</v>
      </c>
      <c r="L273" s="121" t="s">
        <v>875</v>
      </c>
      <c r="M273" s="127" t="str">
        <f t="shared" si="5"/>
        <v>View on Google Map</v>
      </c>
    </row>
    <row r="274" spans="1:13" x14ac:dyDescent="0.2">
      <c r="A274" s="121">
        <v>244</v>
      </c>
      <c r="B274" s="121" t="s">
        <v>1008</v>
      </c>
      <c r="C274" s="121" t="s">
        <v>475</v>
      </c>
      <c r="D274" s="121">
        <v>68.619383330000005</v>
      </c>
      <c r="E274" s="121">
        <v>-149.59528299999999</v>
      </c>
      <c r="F274" s="121">
        <v>728</v>
      </c>
      <c r="G274" s="121" t="s">
        <v>500</v>
      </c>
      <c r="H274" s="121" t="s">
        <v>1009</v>
      </c>
      <c r="I274" s="121" t="s">
        <v>1010</v>
      </c>
      <c r="J274" s="121" t="s">
        <v>501</v>
      </c>
      <c r="K274" s="121" t="s">
        <v>475</v>
      </c>
      <c r="L274" s="121" t="s">
        <v>890</v>
      </c>
      <c r="M274" s="127" t="str">
        <f t="shared" si="5"/>
        <v>View on Google Map</v>
      </c>
    </row>
    <row r="275" spans="1:13" x14ac:dyDescent="0.2">
      <c r="B275" s="121" t="s">
        <v>1011</v>
      </c>
      <c r="C275" s="121" t="s">
        <v>872</v>
      </c>
      <c r="D275" s="121">
        <v>68.544377999999995</v>
      </c>
      <c r="E275" s="121">
        <v>-149.521467</v>
      </c>
      <c r="G275" s="121" t="s">
        <v>1012</v>
      </c>
      <c r="J275" s="27" t="s">
        <v>501</v>
      </c>
      <c r="M275" s="127" t="str">
        <f t="shared" si="5"/>
        <v>View on Google Map</v>
      </c>
    </row>
    <row r="276" spans="1:13" x14ac:dyDescent="0.2">
      <c r="B276" s="121" t="s">
        <v>1013</v>
      </c>
      <c r="C276" s="121" t="s">
        <v>872</v>
      </c>
      <c r="D276" s="121">
        <v>68.548204999999996</v>
      </c>
      <c r="E276" s="121">
        <v>-149.52195</v>
      </c>
      <c r="G276" s="121" t="s">
        <v>1012</v>
      </c>
      <c r="J276" s="27" t="s">
        <v>501</v>
      </c>
      <c r="M276" s="127" t="str">
        <f t="shared" si="5"/>
        <v>View on Google Map</v>
      </c>
    </row>
    <row r="277" spans="1:13" x14ac:dyDescent="0.2">
      <c r="B277" s="121" t="s">
        <v>1014</v>
      </c>
      <c r="C277" s="121" t="s">
        <v>872</v>
      </c>
      <c r="D277" s="121">
        <v>68.548062999999999</v>
      </c>
      <c r="E277" s="121">
        <v>-149.521309</v>
      </c>
      <c r="G277" s="121" t="s">
        <v>1012</v>
      </c>
      <c r="J277" s="27" t="s">
        <v>501</v>
      </c>
      <c r="M277" s="127" t="str">
        <f t="shared" si="5"/>
        <v>View on Google Map</v>
      </c>
    </row>
    <row r="278" spans="1:13" x14ac:dyDescent="0.2">
      <c r="B278" s="121" t="s">
        <v>1015</v>
      </c>
      <c r="C278" s="121" t="s">
        <v>872</v>
      </c>
      <c r="D278" s="121">
        <v>68.544113999999993</v>
      </c>
      <c r="E278" s="121">
        <v>-149.52220800000001</v>
      </c>
      <c r="G278" s="121" t="s">
        <v>1012</v>
      </c>
      <c r="J278" s="27" t="s">
        <v>501</v>
      </c>
      <c r="M278" s="127" t="str">
        <f t="shared" si="5"/>
        <v>View on Google Map</v>
      </c>
    </row>
    <row r="279" spans="1:13" x14ac:dyDescent="0.2">
      <c r="B279" s="121" t="s">
        <v>1016</v>
      </c>
      <c r="C279" s="121" t="s">
        <v>872</v>
      </c>
      <c r="D279" s="121">
        <v>68.547873999999993</v>
      </c>
      <c r="E279" s="121">
        <v>-149.52158900000001</v>
      </c>
      <c r="G279" s="121" t="s">
        <v>1012</v>
      </c>
      <c r="J279" s="27" t="s">
        <v>501</v>
      </c>
      <c r="M279" s="127" t="str">
        <f t="shared" si="5"/>
        <v>View on Google Map</v>
      </c>
    </row>
    <row r="280" spans="1:13" x14ac:dyDescent="0.2">
      <c r="B280" s="121" t="s">
        <v>1017</v>
      </c>
      <c r="C280" s="121" t="s">
        <v>872</v>
      </c>
      <c r="D280" s="121">
        <v>68.616620304999998</v>
      </c>
      <c r="E280" s="121">
        <v>-149.31797396100001</v>
      </c>
      <c r="F280" s="121">
        <v>880.55700000000002</v>
      </c>
      <c r="G280" s="121" t="s">
        <v>1012</v>
      </c>
      <c r="J280" s="27" t="s">
        <v>501</v>
      </c>
      <c r="M280" s="127" t="str">
        <f t="shared" si="5"/>
        <v>View on Google Map</v>
      </c>
    </row>
    <row r="281" spans="1:13" x14ac:dyDescent="0.2">
      <c r="B281" s="121" t="s">
        <v>1018</v>
      </c>
      <c r="C281" s="121" t="s">
        <v>872</v>
      </c>
      <c r="D281" s="121">
        <v>68.618287679000005</v>
      </c>
      <c r="E281" s="121">
        <v>-149.318578011</v>
      </c>
      <c r="F281" s="121">
        <v>877.59500000000003</v>
      </c>
      <c r="G281" s="121" t="s">
        <v>1012</v>
      </c>
      <c r="J281" s="27" t="s">
        <v>501</v>
      </c>
      <c r="M281" s="127" t="str">
        <f t="shared" si="5"/>
        <v>View on Google Map</v>
      </c>
    </row>
    <row r="282" spans="1:13" x14ac:dyDescent="0.2">
      <c r="B282" s="121" t="s">
        <v>1019</v>
      </c>
      <c r="C282" s="121" t="s">
        <v>872</v>
      </c>
      <c r="D282" s="121">
        <v>68.619548409999993</v>
      </c>
      <c r="E282" s="121">
        <v>-149.31832187699999</v>
      </c>
      <c r="F282" s="121">
        <v>875.59299999999996</v>
      </c>
      <c r="G282" s="121" t="s">
        <v>1012</v>
      </c>
      <c r="J282" s="27" t="s">
        <v>501</v>
      </c>
      <c r="M282" s="127" t="str">
        <f t="shared" si="5"/>
        <v>View on Google Map</v>
      </c>
    </row>
    <row r="283" spans="1:13" x14ac:dyDescent="0.2">
      <c r="B283" s="121" t="s">
        <v>1020</v>
      </c>
      <c r="C283" s="121" t="s">
        <v>872</v>
      </c>
      <c r="D283" s="121">
        <v>68.621317497999996</v>
      </c>
      <c r="E283" s="121">
        <v>-149.31921364300001</v>
      </c>
      <c r="F283" s="121">
        <v>874.15200000000004</v>
      </c>
      <c r="G283" s="121" t="s">
        <v>1012</v>
      </c>
      <c r="J283" s="27" t="s">
        <v>501</v>
      </c>
      <c r="M283" s="127" t="str">
        <f t="shared" si="5"/>
        <v>View on Google Map</v>
      </c>
    </row>
    <row r="284" spans="1:13" x14ac:dyDescent="0.2">
      <c r="A284" s="121">
        <v>11</v>
      </c>
      <c r="B284" s="121" t="s">
        <v>1021</v>
      </c>
      <c r="C284" s="121" t="s">
        <v>475</v>
      </c>
      <c r="D284" s="121" t="s">
        <v>475</v>
      </c>
      <c r="E284" s="121" t="s">
        <v>475</v>
      </c>
      <c r="F284" s="121">
        <v>884</v>
      </c>
      <c r="G284" s="121" t="s">
        <v>500</v>
      </c>
      <c r="H284" s="121" t="s">
        <v>1022</v>
      </c>
      <c r="I284" s="121" t="s">
        <v>1023</v>
      </c>
      <c r="J284" s="121" t="s">
        <v>501</v>
      </c>
      <c r="K284" s="121" t="s">
        <v>475</v>
      </c>
      <c r="L284" s="121" t="s">
        <v>475</v>
      </c>
      <c r="M284" s="127" t="str">
        <f t="shared" si="5"/>
        <v>View on Google Map</v>
      </c>
    </row>
    <row r="285" spans="1:13" x14ac:dyDescent="0.2">
      <c r="B285" s="121" t="s">
        <v>1024</v>
      </c>
      <c r="C285" s="121" t="s">
        <v>872</v>
      </c>
      <c r="D285" s="121">
        <v>68.625256622999999</v>
      </c>
      <c r="E285" s="121">
        <v>-149.32463380199999</v>
      </c>
      <c r="F285" s="121">
        <v>862.80799999999999</v>
      </c>
      <c r="G285" s="121" t="s">
        <v>1012</v>
      </c>
      <c r="J285" s="27" t="s">
        <v>501</v>
      </c>
      <c r="M285" s="127" t="str">
        <f t="shared" si="5"/>
        <v>View on Google Map</v>
      </c>
    </row>
    <row r="286" spans="1:13" x14ac:dyDescent="0.2">
      <c r="B286" s="121" t="s">
        <v>1025</v>
      </c>
      <c r="C286" s="121" t="s">
        <v>872</v>
      </c>
      <c r="D286" s="121">
        <v>68.641922837999999</v>
      </c>
      <c r="E286" s="121">
        <v>-149.342972559</v>
      </c>
      <c r="F286" s="121">
        <v>834.62599999999998</v>
      </c>
      <c r="G286" s="121" t="s">
        <v>1012</v>
      </c>
      <c r="J286" s="27" t="s">
        <v>501</v>
      </c>
      <c r="M286" s="127" t="str">
        <f t="shared" si="5"/>
        <v>View on Google Map</v>
      </c>
    </row>
    <row r="287" spans="1:13" x14ac:dyDescent="0.2">
      <c r="A287" s="121">
        <v>1141</v>
      </c>
      <c r="B287" s="121" t="s">
        <v>1026</v>
      </c>
      <c r="C287" s="121" t="s">
        <v>475</v>
      </c>
      <c r="D287" s="121" t="s">
        <v>475</v>
      </c>
      <c r="E287" s="121" t="s">
        <v>475</v>
      </c>
      <c r="F287" s="121" t="s">
        <v>475</v>
      </c>
      <c r="G287" s="121" t="s">
        <v>476</v>
      </c>
      <c r="H287" s="121" t="s">
        <v>1027</v>
      </c>
      <c r="I287" s="121" t="s">
        <v>475</v>
      </c>
      <c r="J287" s="121" t="s">
        <v>501</v>
      </c>
      <c r="K287" s="121" t="s">
        <v>475</v>
      </c>
      <c r="L287" s="121" t="s">
        <v>475</v>
      </c>
      <c r="M287" s="127" t="str">
        <f t="shared" si="5"/>
        <v>View on Google Map</v>
      </c>
    </row>
    <row r="288" spans="1:13" x14ac:dyDescent="0.2">
      <c r="A288" s="121">
        <v>1142</v>
      </c>
      <c r="B288" s="121" t="s">
        <v>1028</v>
      </c>
      <c r="C288" s="121" t="s">
        <v>475</v>
      </c>
      <c r="D288" s="121" t="s">
        <v>475</v>
      </c>
      <c r="E288" s="121" t="s">
        <v>475</v>
      </c>
      <c r="F288" s="121" t="s">
        <v>475</v>
      </c>
      <c r="G288" s="121" t="s">
        <v>500</v>
      </c>
      <c r="H288" s="121" t="s">
        <v>1029</v>
      </c>
      <c r="I288" s="121" t="s">
        <v>475</v>
      </c>
      <c r="J288" s="121" t="s">
        <v>1030</v>
      </c>
      <c r="K288" s="121" t="s">
        <v>475</v>
      </c>
      <c r="L288" s="121" t="s">
        <v>475</v>
      </c>
      <c r="M288" s="127" t="str">
        <f t="shared" si="5"/>
        <v>View on Google Map</v>
      </c>
    </row>
    <row r="289" spans="1:13" x14ac:dyDescent="0.2">
      <c r="A289" s="121">
        <v>1143</v>
      </c>
      <c r="B289" s="121" t="s">
        <v>1031</v>
      </c>
      <c r="C289" s="121" t="s">
        <v>475</v>
      </c>
      <c r="D289" s="121" t="s">
        <v>475</v>
      </c>
      <c r="E289" s="121" t="s">
        <v>475</v>
      </c>
      <c r="F289" s="121" t="s">
        <v>475</v>
      </c>
      <c r="G289" s="121" t="s">
        <v>500</v>
      </c>
      <c r="H289" s="121" t="s">
        <v>475</v>
      </c>
      <c r="I289" s="121" t="s">
        <v>475</v>
      </c>
      <c r="J289" s="121" t="s">
        <v>1030</v>
      </c>
      <c r="K289" s="121" t="s">
        <v>475</v>
      </c>
      <c r="L289" s="121" t="s">
        <v>475</v>
      </c>
      <c r="M289" s="127" t="str">
        <f t="shared" si="5"/>
        <v>View on Google Map</v>
      </c>
    </row>
    <row r="290" spans="1:13" x14ac:dyDescent="0.2">
      <c r="A290" s="121">
        <v>1140</v>
      </c>
      <c r="B290" s="121" t="s">
        <v>1032</v>
      </c>
      <c r="C290" s="121" t="s">
        <v>475</v>
      </c>
      <c r="D290" s="121" t="s">
        <v>475</v>
      </c>
      <c r="E290" s="121" t="s">
        <v>475</v>
      </c>
      <c r="F290" s="121" t="s">
        <v>475</v>
      </c>
      <c r="G290" s="121" t="s">
        <v>476</v>
      </c>
      <c r="H290" s="121" t="s">
        <v>1033</v>
      </c>
      <c r="I290" s="121" t="s">
        <v>1034</v>
      </c>
      <c r="J290" s="121" t="s">
        <v>501</v>
      </c>
      <c r="K290" s="121" t="s">
        <v>475</v>
      </c>
      <c r="L290" s="121" t="s">
        <v>475</v>
      </c>
      <c r="M290" s="127" t="str">
        <f t="shared" si="5"/>
        <v>View on Google Map</v>
      </c>
    </row>
    <row r="291" spans="1:13" x14ac:dyDescent="0.2">
      <c r="A291" s="121">
        <v>1173</v>
      </c>
      <c r="B291" s="121" t="s">
        <v>1035</v>
      </c>
      <c r="C291" s="121" t="s">
        <v>475</v>
      </c>
      <c r="D291" s="121" t="s">
        <v>475</v>
      </c>
      <c r="E291" s="121" t="s">
        <v>475</v>
      </c>
      <c r="F291" s="121" t="s">
        <v>475</v>
      </c>
      <c r="G291" s="121" t="s">
        <v>476</v>
      </c>
      <c r="H291" s="121" t="s">
        <v>1036</v>
      </c>
      <c r="I291" s="121" t="s">
        <v>475</v>
      </c>
      <c r="J291" s="121" t="s">
        <v>482</v>
      </c>
      <c r="K291" s="121" t="s">
        <v>475</v>
      </c>
      <c r="L291" s="121" t="s">
        <v>483</v>
      </c>
      <c r="M291" s="127" t="str">
        <f t="shared" si="5"/>
        <v>View on Google Map</v>
      </c>
    </row>
    <row r="292" spans="1:13" x14ac:dyDescent="0.2">
      <c r="A292" s="121">
        <v>1144</v>
      </c>
      <c r="B292" s="121" t="s">
        <v>1037</v>
      </c>
      <c r="C292" s="121" t="s">
        <v>475</v>
      </c>
      <c r="D292" s="121" t="s">
        <v>475</v>
      </c>
      <c r="E292" s="121" t="s">
        <v>475</v>
      </c>
      <c r="F292" s="121" t="s">
        <v>475</v>
      </c>
      <c r="G292" s="121" t="s">
        <v>500</v>
      </c>
      <c r="H292" s="121" t="s">
        <v>1037</v>
      </c>
      <c r="I292" s="121" t="s">
        <v>475</v>
      </c>
      <c r="J292" s="121" t="s">
        <v>1030</v>
      </c>
      <c r="K292" s="121" t="s">
        <v>475</v>
      </c>
      <c r="L292" s="121" t="s">
        <v>475</v>
      </c>
      <c r="M292" s="127" t="str">
        <f t="shared" si="5"/>
        <v>View on Google Map</v>
      </c>
    </row>
    <row r="293" spans="1:13" x14ac:dyDescent="0.2">
      <c r="A293" s="121">
        <v>1145</v>
      </c>
      <c r="B293" s="121" t="s">
        <v>1038</v>
      </c>
      <c r="C293" s="121" t="s">
        <v>475</v>
      </c>
      <c r="D293" s="121" t="s">
        <v>475</v>
      </c>
      <c r="E293" s="121" t="s">
        <v>475</v>
      </c>
      <c r="F293" s="121" t="s">
        <v>475</v>
      </c>
      <c r="G293" s="121" t="s">
        <v>500</v>
      </c>
      <c r="H293" s="121" t="s">
        <v>1038</v>
      </c>
      <c r="I293" s="121" t="s">
        <v>475</v>
      </c>
      <c r="J293" s="121" t="s">
        <v>1030</v>
      </c>
      <c r="K293" s="121" t="s">
        <v>475</v>
      </c>
      <c r="L293" s="121" t="s">
        <v>475</v>
      </c>
      <c r="M293" s="127" t="str">
        <f t="shared" si="5"/>
        <v>View on Google Map</v>
      </c>
    </row>
    <row r="294" spans="1:13" x14ac:dyDescent="0.2">
      <c r="A294" s="121">
        <v>1146</v>
      </c>
      <c r="B294" s="121" t="s">
        <v>1039</v>
      </c>
      <c r="C294" s="121" t="s">
        <v>475</v>
      </c>
      <c r="D294" s="121" t="s">
        <v>475</v>
      </c>
      <c r="E294" s="121" t="s">
        <v>475</v>
      </c>
      <c r="F294" s="121" t="s">
        <v>475</v>
      </c>
      <c r="G294" s="121" t="s">
        <v>476</v>
      </c>
      <c r="H294" s="121" t="s">
        <v>1039</v>
      </c>
      <c r="I294" s="121" t="s">
        <v>475</v>
      </c>
      <c r="J294" s="121" t="s">
        <v>1030</v>
      </c>
      <c r="K294" s="121" t="s">
        <v>475</v>
      </c>
      <c r="L294" s="121" t="s">
        <v>475</v>
      </c>
      <c r="M294" s="127" t="str">
        <f t="shared" si="5"/>
        <v>View on Google Map</v>
      </c>
    </row>
    <row r="295" spans="1:13" x14ac:dyDescent="0.2">
      <c r="A295" s="121">
        <v>1147</v>
      </c>
      <c r="B295" s="121" t="s">
        <v>1040</v>
      </c>
      <c r="C295" s="121" t="s">
        <v>475</v>
      </c>
      <c r="D295" s="121" t="s">
        <v>475</v>
      </c>
      <c r="E295" s="121" t="s">
        <v>475</v>
      </c>
      <c r="F295" s="121" t="s">
        <v>475</v>
      </c>
      <c r="G295" s="121" t="s">
        <v>476</v>
      </c>
      <c r="H295" s="121" t="s">
        <v>1040</v>
      </c>
      <c r="I295" s="121" t="s">
        <v>475</v>
      </c>
      <c r="J295" s="121" t="s">
        <v>1030</v>
      </c>
      <c r="K295" s="121" t="s">
        <v>475</v>
      </c>
      <c r="L295" s="121" t="s">
        <v>475</v>
      </c>
      <c r="M295" s="127" t="str">
        <f t="shared" si="5"/>
        <v>View on Google Map</v>
      </c>
    </row>
    <row r="296" spans="1:13" x14ac:dyDescent="0.2">
      <c r="A296" s="121">
        <v>1148</v>
      </c>
      <c r="B296" s="121" t="s">
        <v>1041</v>
      </c>
      <c r="C296" s="121" t="s">
        <v>475</v>
      </c>
      <c r="D296" s="121" t="s">
        <v>475</v>
      </c>
      <c r="E296" s="121" t="s">
        <v>475</v>
      </c>
      <c r="F296" s="121" t="s">
        <v>475</v>
      </c>
      <c r="G296" s="121" t="s">
        <v>476</v>
      </c>
      <c r="H296" s="121" t="s">
        <v>1041</v>
      </c>
      <c r="I296" s="121" t="s">
        <v>1042</v>
      </c>
      <c r="J296" s="121" t="s">
        <v>1030</v>
      </c>
      <c r="K296" s="121" t="s">
        <v>475</v>
      </c>
      <c r="L296" s="121" t="s">
        <v>475</v>
      </c>
      <c r="M296" s="127" t="str">
        <f t="shared" si="5"/>
        <v>View on Google Map</v>
      </c>
    </row>
    <row r="297" spans="1:13" x14ac:dyDescent="0.2">
      <c r="A297" s="121">
        <v>1149</v>
      </c>
      <c r="B297" s="121" t="s">
        <v>1043</v>
      </c>
      <c r="C297" s="121" t="s">
        <v>475</v>
      </c>
      <c r="D297" s="121" t="s">
        <v>475</v>
      </c>
      <c r="E297" s="121" t="s">
        <v>475</v>
      </c>
      <c r="F297" s="121" t="s">
        <v>475</v>
      </c>
      <c r="G297" s="121" t="s">
        <v>476</v>
      </c>
      <c r="H297" s="121" t="s">
        <v>1043</v>
      </c>
      <c r="I297" s="121" t="s">
        <v>1044</v>
      </c>
      <c r="J297" s="121" t="s">
        <v>1030</v>
      </c>
      <c r="K297" s="121" t="s">
        <v>475</v>
      </c>
      <c r="L297" s="121" t="s">
        <v>475</v>
      </c>
      <c r="M297" s="127" t="str">
        <f t="shared" si="5"/>
        <v>View on Google Map</v>
      </c>
    </row>
    <row r="298" spans="1:13" x14ac:dyDescent="0.2">
      <c r="A298" s="121">
        <v>1150</v>
      </c>
      <c r="B298" s="121" t="s">
        <v>1045</v>
      </c>
      <c r="C298" s="121" t="s">
        <v>475</v>
      </c>
      <c r="D298" s="121" t="s">
        <v>475</v>
      </c>
      <c r="E298" s="121" t="s">
        <v>475</v>
      </c>
      <c r="F298" s="121" t="s">
        <v>475</v>
      </c>
      <c r="G298" s="121" t="s">
        <v>476</v>
      </c>
      <c r="H298" s="121" t="s">
        <v>1045</v>
      </c>
      <c r="I298" s="121" t="s">
        <v>1046</v>
      </c>
      <c r="J298" s="121" t="s">
        <v>1030</v>
      </c>
      <c r="K298" s="121" t="s">
        <v>475</v>
      </c>
      <c r="L298" s="121" t="s">
        <v>475</v>
      </c>
      <c r="M298" s="127" t="str">
        <f t="shared" si="5"/>
        <v>View on Google Map</v>
      </c>
    </row>
    <row r="299" spans="1:13" x14ac:dyDescent="0.2">
      <c r="A299" s="121">
        <v>1151</v>
      </c>
      <c r="B299" s="121" t="s">
        <v>1047</v>
      </c>
      <c r="C299" s="121" t="s">
        <v>475</v>
      </c>
      <c r="D299" s="121" t="s">
        <v>475</v>
      </c>
      <c r="E299" s="121" t="s">
        <v>475</v>
      </c>
      <c r="F299" s="121" t="s">
        <v>475</v>
      </c>
      <c r="G299" s="121" t="s">
        <v>476</v>
      </c>
      <c r="H299" s="121" t="s">
        <v>1047</v>
      </c>
      <c r="I299" s="121" t="s">
        <v>1048</v>
      </c>
      <c r="J299" s="121" t="s">
        <v>1030</v>
      </c>
      <c r="K299" s="121" t="s">
        <v>475</v>
      </c>
      <c r="L299" s="121" t="s">
        <v>475</v>
      </c>
      <c r="M299" s="127" t="str">
        <f t="shared" si="5"/>
        <v>View on Google Map</v>
      </c>
    </row>
    <row r="300" spans="1:13" x14ac:dyDescent="0.2">
      <c r="A300" s="121">
        <v>1152</v>
      </c>
      <c r="B300" s="121" t="s">
        <v>1049</v>
      </c>
      <c r="C300" s="121" t="s">
        <v>475</v>
      </c>
      <c r="D300" s="121" t="s">
        <v>475</v>
      </c>
      <c r="E300" s="121" t="s">
        <v>475</v>
      </c>
      <c r="F300" s="121" t="s">
        <v>475</v>
      </c>
      <c r="G300" s="121" t="s">
        <v>476</v>
      </c>
      <c r="H300" s="121" t="s">
        <v>1049</v>
      </c>
      <c r="I300" s="121" t="s">
        <v>1050</v>
      </c>
      <c r="J300" s="121" t="s">
        <v>1030</v>
      </c>
      <c r="K300" s="121" t="s">
        <v>475</v>
      </c>
      <c r="L300" s="121" t="s">
        <v>475</v>
      </c>
      <c r="M300" s="127" t="str">
        <f t="shared" si="5"/>
        <v>View on Google Map</v>
      </c>
    </row>
    <row r="301" spans="1:13" x14ac:dyDescent="0.2">
      <c r="A301" s="121">
        <v>1153</v>
      </c>
      <c r="B301" s="121" t="s">
        <v>1051</v>
      </c>
      <c r="C301" s="121" t="s">
        <v>475</v>
      </c>
      <c r="D301" s="121" t="s">
        <v>475</v>
      </c>
      <c r="E301" s="121" t="s">
        <v>475</v>
      </c>
      <c r="F301" s="121" t="s">
        <v>475</v>
      </c>
      <c r="G301" s="121" t="s">
        <v>476</v>
      </c>
      <c r="H301" s="121" t="s">
        <v>1051</v>
      </c>
      <c r="I301" s="121" t="s">
        <v>1052</v>
      </c>
      <c r="J301" s="121" t="s">
        <v>1030</v>
      </c>
      <c r="K301" s="121" t="s">
        <v>475</v>
      </c>
      <c r="L301" s="121" t="s">
        <v>475</v>
      </c>
      <c r="M301" s="127" t="str">
        <f t="shared" si="5"/>
        <v>View on Google Map</v>
      </c>
    </row>
    <row r="302" spans="1:13" x14ac:dyDescent="0.2">
      <c r="A302" s="121">
        <v>1154</v>
      </c>
      <c r="B302" s="121" t="s">
        <v>1053</v>
      </c>
      <c r="C302" s="121" t="s">
        <v>475</v>
      </c>
      <c r="D302" s="121" t="s">
        <v>475</v>
      </c>
      <c r="E302" s="121" t="s">
        <v>475</v>
      </c>
      <c r="F302" s="121" t="s">
        <v>475</v>
      </c>
      <c r="G302" s="121" t="s">
        <v>476</v>
      </c>
      <c r="H302" s="121" t="s">
        <v>1053</v>
      </c>
      <c r="I302" s="121" t="s">
        <v>1054</v>
      </c>
      <c r="J302" s="121" t="s">
        <v>1030</v>
      </c>
      <c r="K302" s="121" t="s">
        <v>475</v>
      </c>
      <c r="L302" s="121" t="s">
        <v>475</v>
      </c>
      <c r="M302" s="127" t="str">
        <f t="shared" si="5"/>
        <v>View on Google Map</v>
      </c>
    </row>
    <row r="303" spans="1:13" x14ac:dyDescent="0.2">
      <c r="A303" s="121">
        <v>1155</v>
      </c>
      <c r="B303" s="121" t="s">
        <v>1055</v>
      </c>
      <c r="C303" s="121" t="s">
        <v>475</v>
      </c>
      <c r="D303" s="121" t="s">
        <v>475</v>
      </c>
      <c r="E303" s="121" t="s">
        <v>475</v>
      </c>
      <c r="F303" s="121" t="s">
        <v>475</v>
      </c>
      <c r="G303" s="121" t="s">
        <v>476</v>
      </c>
      <c r="H303" s="121" t="s">
        <v>1055</v>
      </c>
      <c r="I303" s="121" t="s">
        <v>1056</v>
      </c>
      <c r="J303" s="121" t="s">
        <v>1030</v>
      </c>
      <c r="K303" s="121" t="s">
        <v>475</v>
      </c>
      <c r="L303" s="121" t="s">
        <v>475</v>
      </c>
      <c r="M303" s="127" t="str">
        <f t="shared" si="5"/>
        <v>View on Google Map</v>
      </c>
    </row>
    <row r="304" spans="1:13" x14ac:dyDescent="0.2">
      <c r="A304" s="121">
        <v>1156</v>
      </c>
      <c r="B304" s="121" t="s">
        <v>1057</v>
      </c>
      <c r="C304" s="121" t="s">
        <v>475</v>
      </c>
      <c r="D304" s="121" t="s">
        <v>475</v>
      </c>
      <c r="E304" s="121" t="s">
        <v>475</v>
      </c>
      <c r="F304" s="121" t="s">
        <v>475</v>
      </c>
      <c r="G304" s="121" t="s">
        <v>476</v>
      </c>
      <c r="H304" s="121" t="s">
        <v>1057</v>
      </c>
      <c r="I304" s="121" t="s">
        <v>1058</v>
      </c>
      <c r="J304" s="121" t="s">
        <v>1030</v>
      </c>
      <c r="K304" s="121" t="s">
        <v>475</v>
      </c>
      <c r="L304" s="121" t="s">
        <v>475</v>
      </c>
      <c r="M304" s="127" t="str">
        <f t="shared" si="5"/>
        <v>View on Google Map</v>
      </c>
    </row>
    <row r="305" spans="1:13" x14ac:dyDescent="0.2">
      <c r="A305" s="121">
        <v>1157</v>
      </c>
      <c r="B305" s="121" t="s">
        <v>1059</v>
      </c>
      <c r="C305" s="121" t="s">
        <v>475</v>
      </c>
      <c r="D305" s="121" t="s">
        <v>475</v>
      </c>
      <c r="E305" s="121" t="s">
        <v>475</v>
      </c>
      <c r="F305" s="121" t="s">
        <v>475</v>
      </c>
      <c r="G305" s="121" t="s">
        <v>476</v>
      </c>
      <c r="H305" s="121" t="s">
        <v>1059</v>
      </c>
      <c r="I305" s="121" t="s">
        <v>1060</v>
      </c>
      <c r="J305" s="121" t="s">
        <v>1030</v>
      </c>
      <c r="K305" s="121" t="s">
        <v>475</v>
      </c>
      <c r="L305" s="121" t="s">
        <v>475</v>
      </c>
      <c r="M305" s="127" t="str">
        <f t="shared" si="5"/>
        <v>View on Google Map</v>
      </c>
    </row>
    <row r="306" spans="1:13" x14ac:dyDescent="0.2">
      <c r="A306" s="121">
        <v>1158</v>
      </c>
      <c r="B306" s="121" t="s">
        <v>1061</v>
      </c>
      <c r="C306" s="121" t="s">
        <v>475</v>
      </c>
      <c r="D306" s="121" t="s">
        <v>475</v>
      </c>
      <c r="E306" s="121" t="s">
        <v>475</v>
      </c>
      <c r="F306" s="121" t="s">
        <v>475</v>
      </c>
      <c r="G306" s="121" t="s">
        <v>476</v>
      </c>
      <c r="H306" s="121" t="s">
        <v>1061</v>
      </c>
      <c r="I306" s="121" t="s">
        <v>1062</v>
      </c>
      <c r="J306" s="121" t="s">
        <v>1030</v>
      </c>
      <c r="K306" s="121" t="s">
        <v>475</v>
      </c>
      <c r="L306" s="121" t="s">
        <v>475</v>
      </c>
      <c r="M306" s="127" t="str">
        <f t="shared" si="5"/>
        <v>View on Google Map</v>
      </c>
    </row>
    <row r="307" spans="1:13" x14ac:dyDescent="0.2">
      <c r="A307" s="121">
        <v>1159</v>
      </c>
      <c r="B307" s="121" t="s">
        <v>1063</v>
      </c>
      <c r="C307" s="121" t="s">
        <v>475</v>
      </c>
      <c r="D307" s="121" t="s">
        <v>475</v>
      </c>
      <c r="E307" s="121" t="s">
        <v>475</v>
      </c>
      <c r="F307" s="121" t="s">
        <v>475</v>
      </c>
      <c r="G307" s="121" t="s">
        <v>476</v>
      </c>
      <c r="H307" s="121" t="s">
        <v>1063</v>
      </c>
      <c r="I307" s="121" t="s">
        <v>1064</v>
      </c>
      <c r="J307" s="121" t="s">
        <v>1030</v>
      </c>
      <c r="K307" s="121" t="s">
        <v>475</v>
      </c>
      <c r="L307" s="121" t="s">
        <v>475</v>
      </c>
      <c r="M307" s="127" t="str">
        <f t="shared" si="5"/>
        <v>View on Google Map</v>
      </c>
    </row>
    <row r="308" spans="1:13" x14ac:dyDescent="0.2">
      <c r="A308" s="121">
        <v>1160</v>
      </c>
      <c r="B308" s="121" t="s">
        <v>1065</v>
      </c>
      <c r="C308" s="121" t="s">
        <v>475</v>
      </c>
      <c r="D308" s="121" t="s">
        <v>475</v>
      </c>
      <c r="E308" s="121" t="s">
        <v>475</v>
      </c>
      <c r="F308" s="121" t="s">
        <v>475</v>
      </c>
      <c r="G308" s="121" t="s">
        <v>476</v>
      </c>
      <c r="H308" s="121" t="s">
        <v>1065</v>
      </c>
      <c r="I308" s="121" t="s">
        <v>1066</v>
      </c>
      <c r="J308" s="121" t="s">
        <v>1030</v>
      </c>
      <c r="K308" s="121" t="s">
        <v>475</v>
      </c>
      <c r="L308" s="121" t="s">
        <v>475</v>
      </c>
      <c r="M308" s="127" t="str">
        <f t="shared" si="5"/>
        <v>View on Google Map</v>
      </c>
    </row>
    <row r="309" spans="1:13" x14ac:dyDescent="0.2">
      <c r="A309" s="121">
        <v>1161</v>
      </c>
      <c r="B309" s="121" t="s">
        <v>1067</v>
      </c>
      <c r="C309" s="121" t="s">
        <v>475</v>
      </c>
      <c r="D309" s="121" t="s">
        <v>475</v>
      </c>
      <c r="E309" s="121" t="s">
        <v>475</v>
      </c>
      <c r="F309" s="121" t="s">
        <v>475</v>
      </c>
      <c r="G309" s="121" t="s">
        <v>476</v>
      </c>
      <c r="H309" s="121" t="s">
        <v>1067</v>
      </c>
      <c r="I309" s="121" t="s">
        <v>1068</v>
      </c>
      <c r="J309" s="121" t="s">
        <v>1030</v>
      </c>
      <c r="K309" s="121" t="s">
        <v>475</v>
      </c>
      <c r="L309" s="121" t="s">
        <v>475</v>
      </c>
      <c r="M309" s="127" t="str">
        <f t="shared" si="5"/>
        <v>View on Google Map</v>
      </c>
    </row>
    <row r="310" spans="1:13" x14ac:dyDescent="0.2">
      <c r="A310" s="121">
        <v>1162</v>
      </c>
      <c r="B310" s="121" t="s">
        <v>1069</v>
      </c>
      <c r="C310" s="121" t="s">
        <v>475</v>
      </c>
      <c r="D310" s="121" t="s">
        <v>475</v>
      </c>
      <c r="E310" s="121" t="s">
        <v>475</v>
      </c>
      <c r="F310" s="121" t="s">
        <v>475</v>
      </c>
      <c r="G310" s="121" t="s">
        <v>476</v>
      </c>
      <c r="H310" s="121" t="s">
        <v>1069</v>
      </c>
      <c r="I310" s="121" t="s">
        <v>1070</v>
      </c>
      <c r="J310" s="121" t="s">
        <v>1030</v>
      </c>
      <c r="K310" s="121" t="s">
        <v>475</v>
      </c>
      <c r="L310" s="121" t="s">
        <v>475</v>
      </c>
      <c r="M310" s="127" t="str">
        <f t="shared" si="5"/>
        <v>View on Google Map</v>
      </c>
    </row>
    <row r="311" spans="1:13" x14ac:dyDescent="0.2">
      <c r="A311" s="121">
        <v>1163</v>
      </c>
      <c r="B311" s="121" t="s">
        <v>1071</v>
      </c>
      <c r="C311" s="121" t="s">
        <v>475</v>
      </c>
      <c r="D311" s="121" t="s">
        <v>475</v>
      </c>
      <c r="E311" s="121" t="s">
        <v>475</v>
      </c>
      <c r="F311" s="121" t="s">
        <v>475</v>
      </c>
      <c r="G311" s="121" t="s">
        <v>476</v>
      </c>
      <c r="H311" s="121" t="s">
        <v>1071</v>
      </c>
      <c r="I311" s="121" t="s">
        <v>1072</v>
      </c>
      <c r="J311" s="121" t="s">
        <v>1030</v>
      </c>
      <c r="K311" s="121" t="s">
        <v>475</v>
      </c>
      <c r="L311" s="121" t="s">
        <v>475</v>
      </c>
      <c r="M311" s="127" t="str">
        <f t="shared" si="5"/>
        <v>View on Google Map</v>
      </c>
    </row>
    <row r="312" spans="1:13" x14ac:dyDescent="0.2">
      <c r="A312" s="121">
        <v>1164</v>
      </c>
      <c r="B312" s="121" t="s">
        <v>1073</v>
      </c>
      <c r="C312" s="121" t="s">
        <v>475</v>
      </c>
      <c r="D312" s="121" t="s">
        <v>475</v>
      </c>
      <c r="E312" s="121" t="s">
        <v>475</v>
      </c>
      <c r="F312" s="121" t="s">
        <v>475</v>
      </c>
      <c r="G312" s="121" t="s">
        <v>476</v>
      </c>
      <c r="H312" s="121" t="s">
        <v>1073</v>
      </c>
      <c r="I312" s="121" t="s">
        <v>1074</v>
      </c>
      <c r="J312" s="121" t="s">
        <v>1030</v>
      </c>
      <c r="K312" s="121" t="s">
        <v>475</v>
      </c>
      <c r="L312" s="121" t="s">
        <v>475</v>
      </c>
      <c r="M312" s="127" t="str">
        <f t="shared" si="5"/>
        <v>View on Google Map</v>
      </c>
    </row>
    <row r="313" spans="1:13" x14ac:dyDescent="0.2">
      <c r="A313" s="121">
        <v>1165</v>
      </c>
      <c r="B313" s="121" t="s">
        <v>1075</v>
      </c>
      <c r="C313" s="121" t="s">
        <v>475</v>
      </c>
      <c r="D313" s="121" t="s">
        <v>475</v>
      </c>
      <c r="E313" s="121" t="s">
        <v>475</v>
      </c>
      <c r="F313" s="121" t="s">
        <v>475</v>
      </c>
      <c r="G313" s="121" t="s">
        <v>476</v>
      </c>
      <c r="H313" s="121" t="s">
        <v>1075</v>
      </c>
      <c r="I313" s="121" t="s">
        <v>475</v>
      </c>
      <c r="J313" s="121" t="s">
        <v>1030</v>
      </c>
      <c r="K313" s="121" t="s">
        <v>475</v>
      </c>
      <c r="L313" s="121" t="s">
        <v>475</v>
      </c>
      <c r="M313" s="127" t="str">
        <f t="shared" si="5"/>
        <v>View on Google Map</v>
      </c>
    </row>
    <row r="314" spans="1:13" x14ac:dyDescent="0.2">
      <c r="A314" s="121">
        <v>1166</v>
      </c>
      <c r="B314" s="121" t="s">
        <v>1076</v>
      </c>
      <c r="C314" s="121" t="s">
        <v>475</v>
      </c>
      <c r="D314" s="121" t="s">
        <v>475</v>
      </c>
      <c r="E314" s="121" t="s">
        <v>475</v>
      </c>
      <c r="F314" s="121" t="s">
        <v>475</v>
      </c>
      <c r="G314" s="121" t="s">
        <v>476</v>
      </c>
      <c r="H314" s="121" t="s">
        <v>1076</v>
      </c>
      <c r="I314" s="121" t="s">
        <v>475</v>
      </c>
      <c r="J314" s="121" t="s">
        <v>1030</v>
      </c>
      <c r="K314" s="121" t="s">
        <v>475</v>
      </c>
      <c r="L314" s="121" t="s">
        <v>475</v>
      </c>
      <c r="M314" s="127" t="str">
        <f t="shared" si="5"/>
        <v>View on Google Map</v>
      </c>
    </row>
    <row r="315" spans="1:13" x14ac:dyDescent="0.2">
      <c r="A315" s="121">
        <v>1167</v>
      </c>
      <c r="B315" s="121" t="s">
        <v>1077</v>
      </c>
      <c r="C315" s="121" t="s">
        <v>1078</v>
      </c>
      <c r="D315" s="121" t="s">
        <v>475</v>
      </c>
      <c r="E315" s="121" t="s">
        <v>475</v>
      </c>
      <c r="F315" s="121" t="s">
        <v>475</v>
      </c>
      <c r="G315" s="121" t="s">
        <v>476</v>
      </c>
      <c r="H315" s="121" t="s">
        <v>1077</v>
      </c>
      <c r="I315" s="121" t="s">
        <v>475</v>
      </c>
      <c r="J315" s="121" t="s">
        <v>477</v>
      </c>
      <c r="K315" s="121" t="s">
        <v>475</v>
      </c>
      <c r="L315" s="121" t="s">
        <v>475</v>
      </c>
      <c r="M315" s="127" t="str">
        <f t="shared" si="5"/>
        <v>View on Google Map</v>
      </c>
    </row>
    <row r="316" spans="1:13" x14ac:dyDescent="0.2">
      <c r="A316" s="121">
        <v>1168</v>
      </c>
      <c r="B316" s="121" t="s">
        <v>1079</v>
      </c>
      <c r="C316" s="121" t="s">
        <v>1078</v>
      </c>
      <c r="D316" s="121" t="s">
        <v>475</v>
      </c>
      <c r="E316" s="121" t="s">
        <v>475</v>
      </c>
      <c r="F316" s="121" t="s">
        <v>475</v>
      </c>
      <c r="G316" s="121" t="s">
        <v>476</v>
      </c>
      <c r="H316" s="121" t="s">
        <v>1079</v>
      </c>
      <c r="I316" s="121" t="s">
        <v>475</v>
      </c>
      <c r="J316" s="121" t="s">
        <v>477</v>
      </c>
      <c r="K316" s="121" t="s">
        <v>475</v>
      </c>
      <c r="L316" s="121" t="s">
        <v>475</v>
      </c>
      <c r="M316" s="127" t="str">
        <f t="shared" si="5"/>
        <v>View on Google Map</v>
      </c>
    </row>
    <row r="317" spans="1:13" x14ac:dyDescent="0.2">
      <c r="A317" s="121">
        <v>125</v>
      </c>
      <c r="B317" s="121" t="s">
        <v>1080</v>
      </c>
      <c r="C317" s="121" t="s">
        <v>475</v>
      </c>
      <c r="D317" s="121">
        <v>68.52364</v>
      </c>
      <c r="E317" s="121">
        <v>-149.48141000000001</v>
      </c>
      <c r="F317" s="121">
        <v>881</v>
      </c>
      <c r="G317" s="121" t="s">
        <v>486</v>
      </c>
      <c r="H317" s="121" t="s">
        <v>1081</v>
      </c>
      <c r="I317" s="121" t="s">
        <v>475</v>
      </c>
      <c r="J317" s="121" t="s">
        <v>501</v>
      </c>
      <c r="K317" s="121" t="s">
        <v>475</v>
      </c>
      <c r="L317" s="121" t="s">
        <v>502</v>
      </c>
      <c r="M317" s="127" t="str">
        <f t="shared" si="5"/>
        <v>View on Google Map</v>
      </c>
    </row>
    <row r="318" spans="1:13" x14ac:dyDescent="0.2">
      <c r="A318" s="121">
        <v>110</v>
      </c>
      <c r="B318" s="121" t="s">
        <v>1082</v>
      </c>
      <c r="C318" s="121" t="s">
        <v>475</v>
      </c>
      <c r="D318" s="121">
        <v>68.687380000000005</v>
      </c>
      <c r="E318" s="121">
        <v>-149.67458999999999</v>
      </c>
      <c r="F318" s="121">
        <v>747</v>
      </c>
      <c r="G318" s="121" t="s">
        <v>486</v>
      </c>
      <c r="H318" s="121" t="s">
        <v>1083</v>
      </c>
      <c r="I318" s="121" t="s">
        <v>475</v>
      </c>
      <c r="J318" s="121" t="s">
        <v>501</v>
      </c>
      <c r="K318" s="121" t="s">
        <v>475</v>
      </c>
      <c r="L318" s="121" t="s">
        <v>475</v>
      </c>
      <c r="M318" s="127" t="str">
        <f t="shared" si="5"/>
        <v>View on Google Map</v>
      </c>
    </row>
    <row r="319" spans="1:13" x14ac:dyDescent="0.2">
      <c r="A319" s="121">
        <v>159</v>
      </c>
      <c r="B319" s="121" t="s">
        <v>1084</v>
      </c>
      <c r="C319" s="121" t="s">
        <v>475</v>
      </c>
      <c r="D319" s="121">
        <v>68.38333333333334</v>
      </c>
      <c r="E319" s="121">
        <v>-149.91666666666666</v>
      </c>
      <c r="F319" s="121">
        <v>681</v>
      </c>
      <c r="G319" s="121" t="s">
        <v>486</v>
      </c>
      <c r="H319" s="121" t="s">
        <v>1085</v>
      </c>
      <c r="I319" s="121" t="s">
        <v>475</v>
      </c>
      <c r="J319" s="121" t="s">
        <v>501</v>
      </c>
      <c r="K319" s="121" t="s">
        <v>475</v>
      </c>
      <c r="L319" s="121" t="s">
        <v>502</v>
      </c>
      <c r="M319" s="127" t="str">
        <f t="shared" si="5"/>
        <v>View on Google Map</v>
      </c>
    </row>
    <row r="320" spans="1:13" x14ac:dyDescent="0.2">
      <c r="B320" s="121" t="s">
        <v>1086</v>
      </c>
      <c r="C320" s="121" t="s">
        <v>1087</v>
      </c>
      <c r="D320" s="121">
        <v>68.590049999999991</v>
      </c>
      <c r="E320" s="121">
        <v>-149.72444166666699</v>
      </c>
      <c r="G320" s="121" t="s">
        <v>1012</v>
      </c>
      <c r="J320" s="27" t="s">
        <v>501</v>
      </c>
      <c r="M320" s="127" t="str">
        <f t="shared" si="5"/>
        <v>View on Google Map</v>
      </c>
    </row>
    <row r="321" spans="1:13" x14ac:dyDescent="0.2">
      <c r="B321" s="121" t="s">
        <v>1088</v>
      </c>
      <c r="C321" s="121" t="s">
        <v>1087</v>
      </c>
      <c r="D321" s="121">
        <v>68.590219444444443</v>
      </c>
      <c r="E321" s="121">
        <v>-149.725272222222</v>
      </c>
      <c r="G321" s="121" t="s">
        <v>1012</v>
      </c>
      <c r="J321" s="27" t="s">
        <v>501</v>
      </c>
      <c r="M321" s="127" t="str">
        <f t="shared" si="5"/>
        <v>View on Google Map</v>
      </c>
    </row>
    <row r="322" spans="1:13" x14ac:dyDescent="0.2">
      <c r="A322" s="121">
        <v>32</v>
      </c>
      <c r="B322" s="121" t="s">
        <v>1089</v>
      </c>
      <c r="C322" s="121" t="s">
        <v>475</v>
      </c>
      <c r="D322" s="121">
        <v>68.933499999999995</v>
      </c>
      <c r="E322" s="121">
        <v>-150.30600000000001</v>
      </c>
      <c r="F322" s="121" t="s">
        <v>475</v>
      </c>
      <c r="G322" s="121" t="s">
        <v>500</v>
      </c>
      <c r="H322" s="121" t="s">
        <v>1090</v>
      </c>
      <c r="I322" s="121" t="s">
        <v>475</v>
      </c>
      <c r="J322" s="121" t="s">
        <v>536</v>
      </c>
      <c r="K322" s="121" t="s">
        <v>475</v>
      </c>
      <c r="L322" s="121" t="s">
        <v>483</v>
      </c>
      <c r="M322" s="127" t="str">
        <f t="shared" si="5"/>
        <v>View on Google Map</v>
      </c>
    </row>
    <row r="323" spans="1:13" x14ac:dyDescent="0.2">
      <c r="A323" s="121">
        <v>33</v>
      </c>
      <c r="B323" s="121" t="s">
        <v>1091</v>
      </c>
      <c r="C323" s="121" t="s">
        <v>475</v>
      </c>
      <c r="D323" s="121">
        <v>68.908000000000001</v>
      </c>
      <c r="E323" s="121">
        <v>-150.114</v>
      </c>
      <c r="F323" s="121" t="s">
        <v>475</v>
      </c>
      <c r="G323" s="121" t="s">
        <v>500</v>
      </c>
      <c r="H323" s="121" t="s">
        <v>1092</v>
      </c>
      <c r="I323" s="121" t="s">
        <v>475</v>
      </c>
      <c r="J323" s="121" t="s">
        <v>536</v>
      </c>
      <c r="K323" s="121" t="s">
        <v>475</v>
      </c>
      <c r="L323" s="121" t="s">
        <v>483</v>
      </c>
      <c r="M323" s="127" t="str">
        <f t="shared" ref="M323:M386" si="6">HYPERLINK("http://maps.google.com/maps?q="&amp;D323&amp;","&amp;E323,"View on Google Map")</f>
        <v>View on Google Map</v>
      </c>
    </row>
    <row r="324" spans="1:13" x14ac:dyDescent="0.2">
      <c r="A324" s="121">
        <v>1</v>
      </c>
      <c r="B324" s="121" t="s">
        <v>1093</v>
      </c>
      <c r="C324" s="121" t="s">
        <v>1094</v>
      </c>
      <c r="D324" s="121">
        <v>68.639103747222222</v>
      </c>
      <c r="E324" s="121">
        <v>-149.39432556944399</v>
      </c>
      <c r="F324" s="121">
        <v>750.56600000000003</v>
      </c>
      <c r="G324" s="121" t="s">
        <v>1012</v>
      </c>
      <c r="J324" s="27" t="s">
        <v>501</v>
      </c>
      <c r="M324" s="127" t="str">
        <f t="shared" si="6"/>
        <v>View on Google Map</v>
      </c>
    </row>
    <row r="325" spans="1:13" x14ac:dyDescent="0.2">
      <c r="A325" s="121">
        <v>1</v>
      </c>
      <c r="B325" s="121" t="s">
        <v>1095</v>
      </c>
      <c r="C325" s="121" t="s">
        <v>1087</v>
      </c>
      <c r="D325" s="121">
        <v>68.638060455555561</v>
      </c>
      <c r="E325" s="121">
        <v>-149.391843363889</v>
      </c>
      <c r="F325" s="121">
        <v>750.601</v>
      </c>
      <c r="G325" s="121" t="s">
        <v>1012</v>
      </c>
      <c r="J325" s="27" t="s">
        <v>501</v>
      </c>
      <c r="M325" s="127" t="str">
        <f t="shared" si="6"/>
        <v>View on Google Map</v>
      </c>
    </row>
    <row r="326" spans="1:13" x14ac:dyDescent="0.2">
      <c r="A326" s="121">
        <v>1</v>
      </c>
      <c r="B326" s="121" t="s">
        <v>1096</v>
      </c>
      <c r="C326" s="121" t="s">
        <v>1097</v>
      </c>
      <c r="D326" s="121">
        <v>68.640747866666672</v>
      </c>
      <c r="E326" s="121">
        <v>-149.40056111111099</v>
      </c>
      <c r="F326" s="121">
        <v>747.74400000000003</v>
      </c>
      <c r="G326" s="121" t="s">
        <v>1012</v>
      </c>
      <c r="J326" s="27" t="s">
        <v>501</v>
      </c>
      <c r="M326" s="127" t="str">
        <f t="shared" si="6"/>
        <v>View on Google Map</v>
      </c>
    </row>
    <row r="327" spans="1:13" x14ac:dyDescent="0.2">
      <c r="A327" s="121">
        <v>1</v>
      </c>
      <c r="B327" s="121" t="s">
        <v>1098</v>
      </c>
      <c r="C327" s="121" t="s">
        <v>1087</v>
      </c>
      <c r="D327" s="121">
        <v>68.638399647222229</v>
      </c>
      <c r="E327" s="121">
        <v>-149.38922950555599</v>
      </c>
      <c r="F327" s="121">
        <v>752.79899999999998</v>
      </c>
      <c r="G327" s="121" t="s">
        <v>1012</v>
      </c>
      <c r="J327" s="27" t="s">
        <v>501</v>
      </c>
      <c r="M327" s="127" t="str">
        <f t="shared" si="6"/>
        <v>View on Google Map</v>
      </c>
    </row>
    <row r="328" spans="1:13" x14ac:dyDescent="0.2">
      <c r="A328" s="121">
        <v>1</v>
      </c>
      <c r="B328" s="121" t="s">
        <v>1099</v>
      </c>
      <c r="C328" s="121" t="s">
        <v>1087</v>
      </c>
      <c r="D328" s="121">
        <v>68.637445127777781</v>
      </c>
      <c r="E328" s="121">
        <v>-149.386685694444</v>
      </c>
      <c r="F328" s="121">
        <v>753.32</v>
      </c>
      <c r="G328" s="121" t="s">
        <v>1012</v>
      </c>
      <c r="J328" s="27" t="s">
        <v>501</v>
      </c>
      <c r="M328" s="127" t="str">
        <f t="shared" si="6"/>
        <v>View on Google Map</v>
      </c>
    </row>
    <row r="329" spans="1:13" x14ac:dyDescent="0.2">
      <c r="A329" s="121">
        <v>1</v>
      </c>
      <c r="B329" s="121" t="s">
        <v>1100</v>
      </c>
      <c r="C329" s="121" t="s">
        <v>872</v>
      </c>
      <c r="D329" s="121">
        <v>68.642054250000001</v>
      </c>
      <c r="E329" s="121">
        <v>-149.40350056666699</v>
      </c>
      <c r="F329" s="121">
        <v>746.26800000000003</v>
      </c>
      <c r="G329" s="121" t="s">
        <v>1012</v>
      </c>
      <c r="J329" s="27" t="s">
        <v>501</v>
      </c>
      <c r="M329" s="127" t="str">
        <f t="shared" si="6"/>
        <v>View on Google Map</v>
      </c>
    </row>
    <row r="330" spans="1:13" x14ac:dyDescent="0.2">
      <c r="A330" s="121">
        <v>1</v>
      </c>
      <c r="B330" s="121" t="s">
        <v>1101</v>
      </c>
      <c r="C330" s="121" t="s">
        <v>1102</v>
      </c>
      <c r="D330" s="121">
        <v>68.641460652777781</v>
      </c>
      <c r="E330" s="121">
        <v>-149.40187098888899</v>
      </c>
      <c r="F330" s="121">
        <v>747.17499999999995</v>
      </c>
      <c r="G330" s="121" t="s">
        <v>1012</v>
      </c>
      <c r="J330" s="27" t="s">
        <v>501</v>
      </c>
      <c r="M330" s="127" t="str">
        <f t="shared" si="6"/>
        <v>View on Google Map</v>
      </c>
    </row>
    <row r="331" spans="1:13" x14ac:dyDescent="0.2">
      <c r="A331" s="121">
        <v>1</v>
      </c>
      <c r="B331" s="121" t="s">
        <v>1103</v>
      </c>
      <c r="C331" s="121" t="s">
        <v>872</v>
      </c>
      <c r="D331" s="121">
        <v>68.643159841666673</v>
      </c>
      <c r="E331" s="121">
        <v>-149.40326701388901</v>
      </c>
      <c r="F331" s="121">
        <v>746.55200000000002</v>
      </c>
      <c r="G331" s="121" t="s">
        <v>1012</v>
      </c>
      <c r="J331" s="27" t="s">
        <v>501</v>
      </c>
      <c r="M331" s="127" t="str">
        <f t="shared" si="6"/>
        <v>View on Google Map</v>
      </c>
    </row>
    <row r="332" spans="1:13" x14ac:dyDescent="0.2">
      <c r="A332" s="121">
        <v>1</v>
      </c>
      <c r="B332" s="121" t="s">
        <v>1104</v>
      </c>
      <c r="C332" s="121" t="s">
        <v>1097</v>
      </c>
      <c r="D332" s="121">
        <v>68.636731430555557</v>
      </c>
      <c r="E332" s="121">
        <v>-149.38318683611101</v>
      </c>
      <c r="F332" s="121">
        <v>755.19299999999998</v>
      </c>
      <c r="G332" s="121" t="s">
        <v>1012</v>
      </c>
      <c r="J332" s="27" t="s">
        <v>501</v>
      </c>
      <c r="M332" s="127" t="str">
        <f t="shared" si="6"/>
        <v>View on Google Map</v>
      </c>
    </row>
    <row r="333" spans="1:13" x14ac:dyDescent="0.2">
      <c r="A333" s="121">
        <v>1</v>
      </c>
      <c r="B333" s="121" t="s">
        <v>1105</v>
      </c>
      <c r="C333" s="121" t="s">
        <v>1097</v>
      </c>
      <c r="D333" s="121">
        <v>68.643629936111111</v>
      </c>
      <c r="E333" s="121">
        <v>-149.40249773333301</v>
      </c>
      <c r="F333" s="121">
        <v>745.85199999999998</v>
      </c>
      <c r="G333" s="121" t="s">
        <v>1012</v>
      </c>
      <c r="J333" s="27" t="s">
        <v>501</v>
      </c>
      <c r="M333" s="127" t="str">
        <f t="shared" si="6"/>
        <v>View on Google Map</v>
      </c>
    </row>
    <row r="334" spans="1:13" x14ac:dyDescent="0.2">
      <c r="A334" s="121">
        <v>1</v>
      </c>
      <c r="B334" s="121" t="s">
        <v>1106</v>
      </c>
      <c r="C334" s="121" t="s">
        <v>1087</v>
      </c>
      <c r="D334" s="121">
        <v>68.644659113888892</v>
      </c>
      <c r="E334" s="121">
        <v>-149.405160461111</v>
      </c>
      <c r="F334" s="121">
        <v>744.06100000000004</v>
      </c>
      <c r="G334" s="121" t="s">
        <v>1012</v>
      </c>
      <c r="J334" s="27" t="s">
        <v>501</v>
      </c>
      <c r="M334" s="127" t="str">
        <f t="shared" si="6"/>
        <v>View on Google Map</v>
      </c>
    </row>
    <row r="335" spans="1:13" x14ac:dyDescent="0.2">
      <c r="A335" s="121">
        <v>1</v>
      </c>
      <c r="B335" s="121" t="s">
        <v>1107</v>
      </c>
      <c r="C335" s="121" t="s">
        <v>872</v>
      </c>
      <c r="D335" s="121">
        <v>68.646338200000002</v>
      </c>
      <c r="E335" s="121">
        <v>-149.41002641666699</v>
      </c>
      <c r="F335" s="121">
        <v>741.68899999999996</v>
      </c>
      <c r="G335" s="121" t="s">
        <v>1012</v>
      </c>
      <c r="J335" s="27" t="s">
        <v>501</v>
      </c>
      <c r="M335" s="127" t="str">
        <f t="shared" si="6"/>
        <v>View on Google Map</v>
      </c>
    </row>
    <row r="336" spans="1:13" x14ac:dyDescent="0.2">
      <c r="A336" s="121">
        <v>1</v>
      </c>
      <c r="B336" s="121" t="s">
        <v>1108</v>
      </c>
      <c r="C336" s="121" t="s">
        <v>1109</v>
      </c>
      <c r="D336" s="121">
        <v>68.646228841666669</v>
      </c>
      <c r="E336" s="121">
        <v>-149.40909021388899</v>
      </c>
      <c r="F336" s="121">
        <v>742.04</v>
      </c>
      <c r="G336" s="121" t="s">
        <v>1012</v>
      </c>
      <c r="J336" s="27" t="s">
        <v>501</v>
      </c>
      <c r="M336" s="127" t="str">
        <f t="shared" si="6"/>
        <v>View on Google Map</v>
      </c>
    </row>
    <row r="337" spans="1:13" x14ac:dyDescent="0.2">
      <c r="A337" s="121">
        <v>1</v>
      </c>
      <c r="B337" s="121" t="s">
        <v>1110</v>
      </c>
      <c r="C337" s="121" t="s">
        <v>1087</v>
      </c>
      <c r="D337" s="121">
        <v>68.647812641666675</v>
      </c>
      <c r="E337" s="121">
        <v>-149.41565431111101</v>
      </c>
      <c r="F337" s="121">
        <v>738.87300000000005</v>
      </c>
      <c r="G337" s="121" t="s">
        <v>1012</v>
      </c>
      <c r="J337" s="27" t="s">
        <v>501</v>
      </c>
      <c r="M337" s="127" t="str">
        <f t="shared" si="6"/>
        <v>View on Google Map</v>
      </c>
    </row>
    <row r="338" spans="1:13" x14ac:dyDescent="0.2">
      <c r="A338" s="121">
        <v>1</v>
      </c>
      <c r="B338" s="121" t="s">
        <v>1111</v>
      </c>
      <c r="C338" s="121" t="s">
        <v>872</v>
      </c>
      <c r="D338" s="121">
        <v>68.649547222222225</v>
      </c>
      <c r="E338" s="121">
        <v>-149.41615246388901</v>
      </c>
      <c r="F338" s="121">
        <v>737.07399999999996</v>
      </c>
      <c r="G338" s="121" t="s">
        <v>1012</v>
      </c>
      <c r="J338" s="27" t="s">
        <v>501</v>
      </c>
      <c r="M338" s="127" t="str">
        <f t="shared" si="6"/>
        <v>View on Google Map</v>
      </c>
    </row>
    <row r="339" spans="1:13" x14ac:dyDescent="0.2">
      <c r="A339" s="121">
        <v>1</v>
      </c>
      <c r="B339" s="121" t="s">
        <v>1112</v>
      </c>
      <c r="C339" s="121" t="s">
        <v>1097</v>
      </c>
      <c r="D339" s="121">
        <v>68.65164966388889</v>
      </c>
      <c r="E339" s="121">
        <v>-149.41647778611099</v>
      </c>
      <c r="F339" s="121">
        <v>735.41800000000001</v>
      </c>
      <c r="G339" s="121" t="s">
        <v>1012</v>
      </c>
      <c r="J339" s="27" t="s">
        <v>501</v>
      </c>
      <c r="M339" s="127" t="str">
        <f t="shared" si="6"/>
        <v>View on Google Map</v>
      </c>
    </row>
    <row r="340" spans="1:13" x14ac:dyDescent="0.2">
      <c r="A340" s="121">
        <v>1</v>
      </c>
      <c r="B340" s="121" t="s">
        <v>1113</v>
      </c>
      <c r="C340" s="121" t="s">
        <v>872</v>
      </c>
      <c r="D340" s="121">
        <v>68.652284541666674</v>
      </c>
      <c r="E340" s="121">
        <v>-149.41517665000001</v>
      </c>
      <c r="F340" s="121">
        <v>734.78499999999997</v>
      </c>
      <c r="G340" s="121" t="s">
        <v>1012</v>
      </c>
      <c r="J340" s="27" t="s">
        <v>501</v>
      </c>
      <c r="M340" s="127" t="str">
        <f t="shared" si="6"/>
        <v>View on Google Map</v>
      </c>
    </row>
    <row r="341" spans="1:13" x14ac:dyDescent="0.2">
      <c r="A341" s="121">
        <v>1</v>
      </c>
      <c r="B341" s="121" t="s">
        <v>1114</v>
      </c>
      <c r="C341" s="121" t="s">
        <v>1087</v>
      </c>
      <c r="D341" s="121">
        <v>68.653667241666668</v>
      </c>
      <c r="E341" s="121">
        <v>-149.420855111111</v>
      </c>
      <c r="F341" s="121">
        <v>732.173</v>
      </c>
      <c r="G341" s="121" t="s">
        <v>1012</v>
      </c>
      <c r="J341" s="27" t="s">
        <v>501</v>
      </c>
      <c r="M341" s="127" t="str">
        <f t="shared" si="6"/>
        <v>View on Google Map</v>
      </c>
    </row>
    <row r="342" spans="1:13" x14ac:dyDescent="0.2">
      <c r="A342" s="121">
        <v>1</v>
      </c>
      <c r="B342" s="121" t="s">
        <v>1115</v>
      </c>
      <c r="C342" s="121" t="s">
        <v>872</v>
      </c>
      <c r="D342" s="121">
        <v>68.658785577777778</v>
      </c>
      <c r="E342" s="121">
        <v>-149.42446433055599</v>
      </c>
      <c r="F342" s="121">
        <v>726.91899999999998</v>
      </c>
      <c r="G342" s="121" t="s">
        <v>1012</v>
      </c>
      <c r="J342" s="27" t="s">
        <v>501</v>
      </c>
      <c r="M342" s="127" t="str">
        <f t="shared" si="6"/>
        <v>View on Google Map</v>
      </c>
    </row>
    <row r="343" spans="1:13" x14ac:dyDescent="0.2">
      <c r="A343" s="121">
        <v>1</v>
      </c>
      <c r="B343" s="121" t="s">
        <v>1116</v>
      </c>
      <c r="C343" s="121" t="s">
        <v>1117</v>
      </c>
      <c r="D343" s="121">
        <v>68.638340663999998</v>
      </c>
      <c r="E343" s="121">
        <v>-149.39350505600001</v>
      </c>
      <c r="G343" s="121" t="s">
        <v>1012</v>
      </c>
      <c r="J343" s="27" t="s">
        <v>501</v>
      </c>
      <c r="M343" s="127" t="str">
        <f t="shared" si="6"/>
        <v>View on Google Map</v>
      </c>
    </row>
    <row r="344" spans="1:13" x14ac:dyDescent="0.2">
      <c r="A344" s="121">
        <v>1</v>
      </c>
      <c r="B344" s="27" t="s">
        <v>1118</v>
      </c>
      <c r="C344" s="27" t="s">
        <v>1118</v>
      </c>
      <c r="D344" s="121">
        <v>68.647525999999999</v>
      </c>
      <c r="E344" s="121">
        <v>-149.411416</v>
      </c>
      <c r="F344" s="121">
        <v>731</v>
      </c>
      <c r="G344" s="121" t="s">
        <v>500</v>
      </c>
      <c r="H344" s="121" t="s">
        <v>1119</v>
      </c>
      <c r="I344" s="121" t="s">
        <v>475</v>
      </c>
      <c r="J344" s="121" t="s">
        <v>501</v>
      </c>
      <c r="K344" s="121" t="s">
        <v>475</v>
      </c>
      <c r="L344" s="121" t="s">
        <v>475</v>
      </c>
      <c r="M344" s="127" t="str">
        <f t="shared" si="6"/>
        <v>View on Google Map</v>
      </c>
    </row>
    <row r="345" spans="1:13" x14ac:dyDescent="0.2">
      <c r="A345" s="121">
        <v>19</v>
      </c>
      <c r="B345" s="121" t="s">
        <v>1120</v>
      </c>
      <c r="C345" s="121" t="s">
        <v>475</v>
      </c>
      <c r="D345" s="121">
        <v>68.967611000000005</v>
      </c>
      <c r="E345" s="121">
        <v>-149.705342</v>
      </c>
      <c r="F345" s="121">
        <v>411</v>
      </c>
      <c r="G345" s="121" t="s">
        <v>500</v>
      </c>
      <c r="H345" s="121" t="s">
        <v>1121</v>
      </c>
      <c r="I345" s="121" t="s">
        <v>475</v>
      </c>
      <c r="J345" s="121" t="s">
        <v>501</v>
      </c>
      <c r="K345" s="121" t="s">
        <v>475</v>
      </c>
      <c r="L345" s="121" t="s">
        <v>475</v>
      </c>
      <c r="M345" s="127" t="str">
        <f t="shared" si="6"/>
        <v>View on Google Map</v>
      </c>
    </row>
    <row r="346" spans="1:13" x14ac:dyDescent="0.2">
      <c r="A346" s="121">
        <v>16</v>
      </c>
      <c r="B346" s="121" t="s">
        <v>1122</v>
      </c>
      <c r="C346" s="121" t="s">
        <v>475</v>
      </c>
      <c r="D346" s="121" t="s">
        <v>475</v>
      </c>
      <c r="E346" s="121" t="s">
        <v>475</v>
      </c>
      <c r="F346" s="121" t="s">
        <v>475</v>
      </c>
      <c r="G346" s="121" t="s">
        <v>500</v>
      </c>
      <c r="H346" s="121" t="s">
        <v>475</v>
      </c>
      <c r="I346" s="121" t="s">
        <v>475</v>
      </c>
      <c r="J346" s="121" t="s">
        <v>501</v>
      </c>
      <c r="K346" s="121" t="s">
        <v>475</v>
      </c>
      <c r="L346" s="121" t="s">
        <v>475</v>
      </c>
      <c r="M346" s="127" t="str">
        <f t="shared" si="6"/>
        <v>View on Google Map</v>
      </c>
    </row>
    <row r="347" spans="1:13" x14ac:dyDescent="0.2">
      <c r="A347" s="121">
        <v>1198</v>
      </c>
      <c r="B347" s="121" t="s">
        <v>1123</v>
      </c>
      <c r="C347" s="121" t="s">
        <v>659</v>
      </c>
      <c r="D347" s="121">
        <v>69.297460909999998</v>
      </c>
      <c r="E347" s="121">
        <v>-150.32340117999999</v>
      </c>
      <c r="F347" s="121" t="s">
        <v>475</v>
      </c>
      <c r="G347" s="121" t="s">
        <v>476</v>
      </c>
      <c r="H347" s="121" t="s">
        <v>475</v>
      </c>
      <c r="I347" s="121" t="s">
        <v>475</v>
      </c>
      <c r="J347" s="121" t="s">
        <v>482</v>
      </c>
      <c r="K347" s="121" t="s">
        <v>475</v>
      </c>
      <c r="L347" s="121" t="s">
        <v>483</v>
      </c>
      <c r="M347" s="127" t="str">
        <f t="shared" si="6"/>
        <v>View on Google Map</v>
      </c>
    </row>
    <row r="348" spans="1:13" x14ac:dyDescent="0.2">
      <c r="A348" s="121">
        <v>135</v>
      </c>
      <c r="B348" s="121" t="s">
        <v>1124</v>
      </c>
      <c r="C348" s="121" t="s">
        <v>475</v>
      </c>
      <c r="D348" s="121">
        <v>70.333333333333329</v>
      </c>
      <c r="E348" s="121">
        <v>-148.80000000000001</v>
      </c>
      <c r="F348" s="121">
        <v>4</v>
      </c>
      <c r="G348" s="121" t="s">
        <v>486</v>
      </c>
      <c r="H348" s="121" t="s">
        <v>1125</v>
      </c>
      <c r="I348" s="121" t="s">
        <v>475</v>
      </c>
      <c r="J348" s="121" t="s">
        <v>501</v>
      </c>
      <c r="K348" s="121" t="s">
        <v>475</v>
      </c>
      <c r="L348" s="121" t="s">
        <v>502</v>
      </c>
      <c r="M348" s="127" t="str">
        <f t="shared" si="6"/>
        <v>View on Google Map</v>
      </c>
    </row>
    <row r="349" spans="1:13" x14ac:dyDescent="0.2">
      <c r="A349" s="121">
        <v>126</v>
      </c>
      <c r="B349" s="121" t="s">
        <v>1126</v>
      </c>
      <c r="C349" s="121" t="s">
        <v>475</v>
      </c>
      <c r="D349" s="121">
        <v>68.733333333333334</v>
      </c>
      <c r="E349" s="121">
        <v>-148.93333333333334</v>
      </c>
      <c r="F349" s="121">
        <v>556</v>
      </c>
      <c r="G349" s="121" t="s">
        <v>486</v>
      </c>
      <c r="H349" s="121" t="s">
        <v>1127</v>
      </c>
      <c r="I349" s="121" t="s">
        <v>475</v>
      </c>
      <c r="J349" s="121" t="s">
        <v>501</v>
      </c>
      <c r="K349" s="121" t="s">
        <v>475</v>
      </c>
      <c r="L349" s="121" t="s">
        <v>502</v>
      </c>
      <c r="M349" s="127" t="str">
        <f t="shared" si="6"/>
        <v>View on Google Map</v>
      </c>
    </row>
    <row r="350" spans="1:13" x14ac:dyDescent="0.2">
      <c r="A350" s="121">
        <v>134</v>
      </c>
      <c r="B350" s="121" t="s">
        <v>1128</v>
      </c>
      <c r="C350" s="121" t="s">
        <v>475</v>
      </c>
      <c r="D350" s="121">
        <v>70.349999999999994</v>
      </c>
      <c r="E350" s="121">
        <v>-148.58333333333334</v>
      </c>
      <c r="F350" s="121">
        <v>2</v>
      </c>
      <c r="G350" s="121" t="s">
        <v>486</v>
      </c>
      <c r="H350" s="121" t="s">
        <v>1129</v>
      </c>
      <c r="I350" s="121" t="s">
        <v>475</v>
      </c>
      <c r="J350" s="121" t="s">
        <v>501</v>
      </c>
      <c r="K350" s="121" t="s">
        <v>475</v>
      </c>
      <c r="L350" s="121" t="s">
        <v>502</v>
      </c>
      <c r="M350" s="127" t="str">
        <f t="shared" si="6"/>
        <v>View on Google Map</v>
      </c>
    </row>
    <row r="351" spans="1:13" x14ac:dyDescent="0.2">
      <c r="A351" s="121">
        <v>128</v>
      </c>
      <c r="B351" s="121" t="s">
        <v>1130</v>
      </c>
      <c r="C351" s="121" t="s">
        <v>475</v>
      </c>
      <c r="D351" s="121">
        <v>69.033333333333331</v>
      </c>
      <c r="E351" s="121">
        <v>-148.85</v>
      </c>
      <c r="F351" s="121">
        <v>319</v>
      </c>
      <c r="G351" s="121" t="s">
        <v>486</v>
      </c>
      <c r="H351" s="121" t="s">
        <v>1131</v>
      </c>
      <c r="I351" s="121" t="s">
        <v>475</v>
      </c>
      <c r="J351" s="121" t="s">
        <v>501</v>
      </c>
      <c r="K351" s="121" t="s">
        <v>475</v>
      </c>
      <c r="L351" s="121" t="s">
        <v>502</v>
      </c>
      <c r="M351" s="127" t="str">
        <f t="shared" si="6"/>
        <v>View on Google Map</v>
      </c>
    </row>
    <row r="352" spans="1:13" x14ac:dyDescent="0.2">
      <c r="A352" s="121">
        <v>139</v>
      </c>
      <c r="B352" s="121" t="s">
        <v>1132</v>
      </c>
      <c r="C352" s="121" t="s">
        <v>475</v>
      </c>
      <c r="D352" s="121">
        <v>70.216666666666669</v>
      </c>
      <c r="E352" s="121">
        <v>-142.46666666666701</v>
      </c>
      <c r="F352" s="121">
        <v>15</v>
      </c>
      <c r="G352" s="121" t="s">
        <v>486</v>
      </c>
      <c r="H352" s="121" t="s">
        <v>1133</v>
      </c>
      <c r="I352" s="121" t="s">
        <v>1134</v>
      </c>
      <c r="J352" s="121" t="s">
        <v>501</v>
      </c>
      <c r="K352" s="121" t="s">
        <v>475</v>
      </c>
      <c r="L352" s="121" t="s">
        <v>502</v>
      </c>
      <c r="M352" s="127" t="str">
        <f t="shared" si="6"/>
        <v>View on Google Map</v>
      </c>
    </row>
    <row r="353" spans="1:14" x14ac:dyDescent="0.2">
      <c r="A353" s="121">
        <v>127</v>
      </c>
      <c r="B353" s="121" t="s">
        <v>1135</v>
      </c>
      <c r="C353" s="121" t="s">
        <v>475</v>
      </c>
      <c r="D353" s="121">
        <v>68.733333333333334</v>
      </c>
      <c r="E353" s="121">
        <v>-148.96666666666667</v>
      </c>
      <c r="F353" s="121">
        <v>597</v>
      </c>
      <c r="G353" s="121" t="s">
        <v>486</v>
      </c>
      <c r="H353" s="121" t="s">
        <v>1136</v>
      </c>
      <c r="I353" s="121" t="s">
        <v>475</v>
      </c>
      <c r="J353" s="121" t="s">
        <v>501</v>
      </c>
      <c r="K353" s="121" t="s">
        <v>475</v>
      </c>
      <c r="L353" s="121" t="s">
        <v>502</v>
      </c>
      <c r="M353" s="127" t="str">
        <f t="shared" si="6"/>
        <v>View on Google Map</v>
      </c>
    </row>
    <row r="354" spans="1:14" x14ac:dyDescent="0.2">
      <c r="A354" s="121">
        <v>133</v>
      </c>
      <c r="B354" s="121" t="s">
        <v>1137</v>
      </c>
      <c r="C354" s="121" t="s">
        <v>475</v>
      </c>
      <c r="D354" s="121">
        <v>70.36666666666666</v>
      </c>
      <c r="E354" s="121">
        <v>-148.5</v>
      </c>
      <c r="F354" s="121">
        <v>2</v>
      </c>
      <c r="G354" s="121" t="s">
        <v>486</v>
      </c>
      <c r="H354" s="121" t="s">
        <v>1138</v>
      </c>
      <c r="I354" s="121" t="s">
        <v>475</v>
      </c>
      <c r="J354" s="121" t="s">
        <v>501</v>
      </c>
      <c r="K354" s="121" t="s">
        <v>475</v>
      </c>
      <c r="L354" s="121" t="s">
        <v>502</v>
      </c>
      <c r="M354" s="127" t="str">
        <f t="shared" si="6"/>
        <v>View on Google Map</v>
      </c>
    </row>
    <row r="355" spans="1:14" x14ac:dyDescent="0.2">
      <c r="A355" s="121">
        <v>140</v>
      </c>
      <c r="B355" s="121" t="s">
        <v>1139</v>
      </c>
      <c r="C355" s="121" t="s">
        <v>475</v>
      </c>
      <c r="D355" s="121">
        <v>69.583333333333329</v>
      </c>
      <c r="E355" s="121">
        <v>-148.63333333333301</v>
      </c>
      <c r="F355" s="121">
        <v>145</v>
      </c>
      <c r="G355" s="121" t="s">
        <v>486</v>
      </c>
      <c r="H355" s="121" t="s">
        <v>1140</v>
      </c>
      <c r="I355" s="121" t="s">
        <v>1141</v>
      </c>
      <c r="J355" s="121" t="s">
        <v>501</v>
      </c>
      <c r="K355" s="121" t="s">
        <v>475</v>
      </c>
      <c r="L355" s="121" t="s">
        <v>502</v>
      </c>
      <c r="M355" s="127" t="str">
        <f t="shared" si="6"/>
        <v>View on Google Map</v>
      </c>
    </row>
    <row r="356" spans="1:14" x14ac:dyDescent="0.2">
      <c r="A356" s="121">
        <v>247</v>
      </c>
      <c r="B356" s="121" t="s">
        <v>1142</v>
      </c>
      <c r="C356" s="121" t="s">
        <v>1143</v>
      </c>
      <c r="D356" s="121">
        <v>68.687318124800001</v>
      </c>
      <c r="E356" s="121">
        <v>-150.043661294</v>
      </c>
      <c r="F356" s="121">
        <v>670</v>
      </c>
      <c r="G356" s="121" t="s">
        <v>486</v>
      </c>
      <c r="H356" s="121" t="s">
        <v>1144</v>
      </c>
      <c r="I356" s="121" t="s">
        <v>475</v>
      </c>
      <c r="J356" s="121" t="s">
        <v>768</v>
      </c>
      <c r="K356" s="121" t="s">
        <v>475</v>
      </c>
      <c r="L356" s="121" t="s">
        <v>769</v>
      </c>
      <c r="M356" s="127" t="str">
        <f t="shared" si="6"/>
        <v>View on Google Map</v>
      </c>
      <c r="N356" s="121">
        <f t="shared" ref="N356:N419" si="7">VALUE(MID(H356,5,3))</f>
        <v>1</v>
      </c>
    </row>
    <row r="357" spans="1:14" x14ac:dyDescent="0.2">
      <c r="A357" s="121">
        <v>248</v>
      </c>
      <c r="B357" s="121" t="s">
        <v>1145</v>
      </c>
      <c r="C357" s="121" t="s">
        <v>1146</v>
      </c>
      <c r="D357" s="121">
        <v>68.691799913400004</v>
      </c>
      <c r="E357" s="121">
        <v>-150.04995633499999</v>
      </c>
      <c r="F357" s="121">
        <v>670</v>
      </c>
      <c r="G357" s="121" t="s">
        <v>486</v>
      </c>
      <c r="H357" s="121" t="s">
        <v>1147</v>
      </c>
      <c r="I357" s="121" t="s">
        <v>475</v>
      </c>
      <c r="J357" s="121" t="s">
        <v>768</v>
      </c>
      <c r="K357" s="121" t="s">
        <v>475</v>
      </c>
      <c r="L357" s="121" t="s">
        <v>769</v>
      </c>
      <c r="M357" s="127" t="str">
        <f t="shared" si="6"/>
        <v>View on Google Map</v>
      </c>
      <c r="N357" s="121">
        <f t="shared" si="7"/>
        <v>2</v>
      </c>
    </row>
    <row r="358" spans="1:14" x14ac:dyDescent="0.2">
      <c r="A358" s="121">
        <v>249</v>
      </c>
      <c r="B358" s="121" t="s">
        <v>1148</v>
      </c>
      <c r="C358" s="121" t="s">
        <v>1149</v>
      </c>
      <c r="D358" s="121">
        <v>68.692272706200001</v>
      </c>
      <c r="E358" s="121">
        <v>-150.05393183499999</v>
      </c>
      <c r="F358" s="121">
        <v>670</v>
      </c>
      <c r="G358" s="121" t="s">
        <v>486</v>
      </c>
      <c r="H358" s="121" t="s">
        <v>1150</v>
      </c>
      <c r="I358" s="121" t="s">
        <v>475</v>
      </c>
      <c r="J358" s="121" t="s">
        <v>768</v>
      </c>
      <c r="K358" s="121" t="s">
        <v>475</v>
      </c>
      <c r="L358" s="121" t="s">
        <v>769</v>
      </c>
      <c r="M358" s="127" t="str">
        <f t="shared" si="6"/>
        <v>View on Google Map</v>
      </c>
      <c r="N358" s="121">
        <f t="shared" si="7"/>
        <v>3</v>
      </c>
    </row>
    <row r="359" spans="1:14" x14ac:dyDescent="0.2">
      <c r="A359" s="121">
        <v>250</v>
      </c>
      <c r="B359" s="121" t="s">
        <v>1151</v>
      </c>
      <c r="C359" s="121" t="s">
        <v>1152</v>
      </c>
      <c r="D359" s="121">
        <v>68.694180615799993</v>
      </c>
      <c r="E359" s="121">
        <v>-150.05828837300001</v>
      </c>
      <c r="F359" s="121">
        <v>670</v>
      </c>
      <c r="G359" s="121" t="s">
        <v>486</v>
      </c>
      <c r="H359" s="121" t="s">
        <v>1153</v>
      </c>
      <c r="I359" s="121" t="s">
        <v>475</v>
      </c>
      <c r="J359" s="121" t="s">
        <v>768</v>
      </c>
      <c r="K359" s="121" t="s">
        <v>475</v>
      </c>
      <c r="L359" s="121" t="s">
        <v>769</v>
      </c>
      <c r="M359" s="127" t="str">
        <f t="shared" si="6"/>
        <v>View on Google Map</v>
      </c>
      <c r="N359" s="121">
        <f t="shared" si="7"/>
        <v>4</v>
      </c>
    </row>
    <row r="360" spans="1:14" x14ac:dyDescent="0.2">
      <c r="A360" s="121">
        <v>251</v>
      </c>
      <c r="B360" s="121" t="s">
        <v>1154</v>
      </c>
      <c r="C360" s="121" t="s">
        <v>1155</v>
      </c>
      <c r="D360" s="121">
        <v>68.7077131315</v>
      </c>
      <c r="E360" s="121">
        <v>-150.04654580600001</v>
      </c>
      <c r="F360" s="121">
        <v>580</v>
      </c>
      <c r="G360" s="121" t="s">
        <v>486</v>
      </c>
      <c r="H360" s="121" t="s">
        <v>1156</v>
      </c>
      <c r="I360" s="121" t="s">
        <v>475</v>
      </c>
      <c r="J360" s="121" t="s">
        <v>768</v>
      </c>
      <c r="K360" s="121" t="s">
        <v>475</v>
      </c>
      <c r="L360" s="121" t="s">
        <v>769</v>
      </c>
      <c r="M360" s="127" t="str">
        <f t="shared" si="6"/>
        <v>View on Google Map</v>
      </c>
      <c r="N360" s="121">
        <f t="shared" si="7"/>
        <v>5</v>
      </c>
    </row>
    <row r="361" spans="1:14" x14ac:dyDescent="0.2">
      <c r="A361" s="121">
        <v>252</v>
      </c>
      <c r="B361" s="121" t="s">
        <v>1157</v>
      </c>
      <c r="C361" s="121" t="s">
        <v>1158</v>
      </c>
      <c r="D361" s="121">
        <v>68.713583961699996</v>
      </c>
      <c r="E361" s="121">
        <v>-150.03096474</v>
      </c>
      <c r="F361" s="121">
        <v>550</v>
      </c>
      <c r="G361" s="121" t="s">
        <v>486</v>
      </c>
      <c r="H361" s="121" t="s">
        <v>1159</v>
      </c>
      <c r="I361" s="121" t="s">
        <v>475</v>
      </c>
      <c r="J361" s="121" t="s">
        <v>768</v>
      </c>
      <c r="K361" s="121" t="s">
        <v>475</v>
      </c>
      <c r="L361" s="121" t="s">
        <v>769</v>
      </c>
      <c r="M361" s="127" t="str">
        <f t="shared" si="6"/>
        <v>View on Google Map</v>
      </c>
      <c r="N361" s="121">
        <f t="shared" si="7"/>
        <v>6</v>
      </c>
    </row>
    <row r="362" spans="1:14" x14ac:dyDescent="0.2">
      <c r="A362" s="121">
        <v>253</v>
      </c>
      <c r="B362" s="121" t="s">
        <v>1160</v>
      </c>
      <c r="C362" s="121" t="s">
        <v>1161</v>
      </c>
      <c r="D362" s="121">
        <v>68.717696468200003</v>
      </c>
      <c r="E362" s="121">
        <v>-150.03558023400001</v>
      </c>
      <c r="F362" s="121">
        <v>550</v>
      </c>
      <c r="G362" s="121" t="s">
        <v>486</v>
      </c>
      <c r="H362" s="121" t="s">
        <v>1162</v>
      </c>
      <c r="I362" s="121" t="s">
        <v>475</v>
      </c>
      <c r="J362" s="121" t="s">
        <v>768</v>
      </c>
      <c r="K362" s="121" t="s">
        <v>475</v>
      </c>
      <c r="L362" s="121" t="s">
        <v>769</v>
      </c>
      <c r="M362" s="127" t="str">
        <f t="shared" si="6"/>
        <v>View on Google Map</v>
      </c>
      <c r="N362" s="121">
        <f t="shared" si="7"/>
        <v>7</v>
      </c>
    </row>
    <row r="363" spans="1:14" x14ac:dyDescent="0.2">
      <c r="A363" s="121">
        <v>254</v>
      </c>
      <c r="B363" s="121" t="s">
        <v>1163</v>
      </c>
      <c r="C363" s="121" t="s">
        <v>1164</v>
      </c>
      <c r="D363" s="121">
        <v>68.724625849299997</v>
      </c>
      <c r="E363" s="121">
        <v>-150.02664640699999</v>
      </c>
      <c r="F363" s="121">
        <v>520</v>
      </c>
      <c r="G363" s="121" t="s">
        <v>486</v>
      </c>
      <c r="H363" s="121" t="s">
        <v>1165</v>
      </c>
      <c r="I363" s="121" t="s">
        <v>475</v>
      </c>
      <c r="J363" s="121" t="s">
        <v>768</v>
      </c>
      <c r="K363" s="121" t="s">
        <v>475</v>
      </c>
      <c r="L363" s="121" t="s">
        <v>769</v>
      </c>
      <c r="M363" s="127" t="str">
        <f t="shared" si="6"/>
        <v>View on Google Map</v>
      </c>
      <c r="N363" s="121">
        <f t="shared" si="7"/>
        <v>8</v>
      </c>
    </row>
    <row r="364" spans="1:14" x14ac:dyDescent="0.2">
      <c r="A364" s="121">
        <v>255</v>
      </c>
      <c r="B364" s="121" t="s">
        <v>1166</v>
      </c>
      <c r="C364" s="121" t="s">
        <v>1167</v>
      </c>
      <c r="D364" s="121">
        <v>68.728073916699998</v>
      </c>
      <c r="E364" s="121">
        <v>-150.03359923599999</v>
      </c>
      <c r="F364" s="121">
        <v>520</v>
      </c>
      <c r="G364" s="121" t="s">
        <v>486</v>
      </c>
      <c r="H364" s="121" t="s">
        <v>1168</v>
      </c>
      <c r="I364" s="121" t="s">
        <v>475</v>
      </c>
      <c r="J364" s="121" t="s">
        <v>768</v>
      </c>
      <c r="K364" s="121" t="s">
        <v>475</v>
      </c>
      <c r="L364" s="121" t="s">
        <v>769</v>
      </c>
      <c r="M364" s="127" t="str">
        <f t="shared" si="6"/>
        <v>View on Google Map</v>
      </c>
      <c r="N364" s="121">
        <f t="shared" si="7"/>
        <v>9</v>
      </c>
    </row>
    <row r="365" spans="1:14" x14ac:dyDescent="0.2">
      <c r="A365" s="121">
        <v>256</v>
      </c>
      <c r="B365" s="121" t="s">
        <v>1169</v>
      </c>
      <c r="C365" s="121" t="s">
        <v>1170</v>
      </c>
      <c r="D365" s="121">
        <v>68.701700654700005</v>
      </c>
      <c r="E365" s="121">
        <v>-149.74902999599999</v>
      </c>
      <c r="F365" s="121">
        <v>760</v>
      </c>
      <c r="G365" s="121" t="s">
        <v>486</v>
      </c>
      <c r="H365" s="121" t="s">
        <v>1171</v>
      </c>
      <c r="I365" s="121" t="s">
        <v>475</v>
      </c>
      <c r="J365" s="121" t="s">
        <v>768</v>
      </c>
      <c r="K365" s="121" t="s">
        <v>475</v>
      </c>
      <c r="L365" s="121" t="s">
        <v>769</v>
      </c>
      <c r="M365" s="127" t="str">
        <f t="shared" si="6"/>
        <v>View on Google Map</v>
      </c>
      <c r="N365" s="121">
        <f t="shared" si="7"/>
        <v>10</v>
      </c>
    </row>
    <row r="366" spans="1:14" x14ac:dyDescent="0.2">
      <c r="A366" s="121">
        <v>257</v>
      </c>
      <c r="B366" s="121" t="s">
        <v>1172</v>
      </c>
      <c r="C366" s="121" t="s">
        <v>1173</v>
      </c>
      <c r="D366" s="121">
        <v>68.701945515000006</v>
      </c>
      <c r="E366" s="121">
        <v>-149.745520981</v>
      </c>
      <c r="F366" s="121">
        <v>760</v>
      </c>
      <c r="G366" s="121" t="s">
        <v>486</v>
      </c>
      <c r="H366" s="121" t="s">
        <v>1174</v>
      </c>
      <c r="I366" s="121" t="s">
        <v>475</v>
      </c>
      <c r="J366" s="121" t="s">
        <v>768</v>
      </c>
      <c r="K366" s="121" t="s">
        <v>475</v>
      </c>
      <c r="L366" s="121" t="s">
        <v>769</v>
      </c>
      <c r="M366" s="127" t="str">
        <f t="shared" si="6"/>
        <v>View on Google Map</v>
      </c>
      <c r="N366" s="121">
        <f t="shared" si="7"/>
        <v>11</v>
      </c>
    </row>
    <row r="367" spans="1:14" x14ac:dyDescent="0.2">
      <c r="A367" s="121">
        <v>258</v>
      </c>
      <c r="B367" s="121" t="s">
        <v>1175</v>
      </c>
      <c r="C367" s="121" t="s">
        <v>1176</v>
      </c>
      <c r="D367" s="121">
        <v>68.704802601699996</v>
      </c>
      <c r="E367" s="121">
        <v>-149.73409678600001</v>
      </c>
      <c r="F367" s="121">
        <v>730</v>
      </c>
      <c r="G367" s="121" t="s">
        <v>486</v>
      </c>
      <c r="H367" s="121" t="s">
        <v>1177</v>
      </c>
      <c r="I367" s="121" t="s">
        <v>475</v>
      </c>
      <c r="J367" s="121" t="s">
        <v>768</v>
      </c>
      <c r="K367" s="121" t="s">
        <v>475</v>
      </c>
      <c r="L367" s="121" t="s">
        <v>769</v>
      </c>
      <c r="M367" s="127" t="str">
        <f t="shared" si="6"/>
        <v>View on Google Map</v>
      </c>
      <c r="N367" s="121">
        <f t="shared" si="7"/>
        <v>12</v>
      </c>
    </row>
    <row r="368" spans="1:14" x14ac:dyDescent="0.2">
      <c r="A368" s="121">
        <v>259</v>
      </c>
      <c r="B368" s="121" t="s">
        <v>1178</v>
      </c>
      <c r="C368" s="121" t="s">
        <v>1179</v>
      </c>
      <c r="D368" s="121">
        <v>68.703579720799993</v>
      </c>
      <c r="E368" s="121">
        <v>-149.717697128</v>
      </c>
      <c r="F368" s="121">
        <v>690</v>
      </c>
      <c r="G368" s="121" t="s">
        <v>486</v>
      </c>
      <c r="H368" s="121" t="s">
        <v>1180</v>
      </c>
      <c r="I368" s="121" t="s">
        <v>475</v>
      </c>
      <c r="J368" s="121" t="s">
        <v>768</v>
      </c>
      <c r="K368" s="121" t="s">
        <v>475</v>
      </c>
      <c r="L368" s="121" t="s">
        <v>769</v>
      </c>
      <c r="M368" s="127" t="str">
        <f t="shared" si="6"/>
        <v>View on Google Map</v>
      </c>
      <c r="N368" s="121">
        <f t="shared" si="7"/>
        <v>13</v>
      </c>
    </row>
    <row r="369" spans="1:14" x14ac:dyDescent="0.2">
      <c r="A369" s="121">
        <v>260</v>
      </c>
      <c r="B369" s="121" t="s">
        <v>1181</v>
      </c>
      <c r="C369" s="121" t="s">
        <v>1182</v>
      </c>
      <c r="D369" s="121">
        <v>68.702004088500004</v>
      </c>
      <c r="E369" s="121">
        <v>-149.71011160800001</v>
      </c>
      <c r="F369" s="121">
        <v>650</v>
      </c>
      <c r="G369" s="121" t="s">
        <v>486</v>
      </c>
      <c r="H369" s="121" t="s">
        <v>1183</v>
      </c>
      <c r="I369" s="121" t="s">
        <v>475</v>
      </c>
      <c r="J369" s="121" t="s">
        <v>768</v>
      </c>
      <c r="K369" s="121" t="s">
        <v>475</v>
      </c>
      <c r="L369" s="121" t="s">
        <v>769</v>
      </c>
      <c r="M369" s="127" t="str">
        <f t="shared" si="6"/>
        <v>View on Google Map</v>
      </c>
      <c r="N369" s="121">
        <f t="shared" si="7"/>
        <v>14</v>
      </c>
    </row>
    <row r="370" spans="1:14" x14ac:dyDescent="0.2">
      <c r="A370" s="121">
        <v>261</v>
      </c>
      <c r="B370" s="121" t="s">
        <v>1184</v>
      </c>
      <c r="C370" s="121" t="s">
        <v>1185</v>
      </c>
      <c r="D370" s="121">
        <v>68.707978848899998</v>
      </c>
      <c r="E370" s="121">
        <v>-149.715105897</v>
      </c>
      <c r="F370" s="121">
        <v>650</v>
      </c>
      <c r="G370" s="121" t="s">
        <v>486</v>
      </c>
      <c r="H370" s="121" t="s">
        <v>1186</v>
      </c>
      <c r="I370" s="121" t="s">
        <v>475</v>
      </c>
      <c r="J370" s="121" t="s">
        <v>768</v>
      </c>
      <c r="K370" s="121" t="s">
        <v>475</v>
      </c>
      <c r="L370" s="121" t="s">
        <v>769</v>
      </c>
      <c r="M370" s="127" t="str">
        <f t="shared" si="6"/>
        <v>View on Google Map</v>
      </c>
      <c r="N370" s="121">
        <f t="shared" si="7"/>
        <v>15</v>
      </c>
    </row>
    <row r="371" spans="1:14" x14ac:dyDescent="0.2">
      <c r="A371" s="121">
        <v>262</v>
      </c>
      <c r="B371" s="121" t="s">
        <v>1187</v>
      </c>
      <c r="C371" s="121" t="s">
        <v>1188</v>
      </c>
      <c r="D371" s="121">
        <v>68.707847844300005</v>
      </c>
      <c r="E371" s="121">
        <v>-149.69962200099999</v>
      </c>
      <c r="F371" s="121">
        <v>650</v>
      </c>
      <c r="G371" s="121" t="s">
        <v>486</v>
      </c>
      <c r="H371" s="121" t="s">
        <v>1189</v>
      </c>
      <c r="I371" s="121" t="s">
        <v>475</v>
      </c>
      <c r="J371" s="121" t="s">
        <v>768</v>
      </c>
      <c r="K371" s="121" t="s">
        <v>475</v>
      </c>
      <c r="L371" s="121" t="s">
        <v>769</v>
      </c>
      <c r="M371" s="127" t="str">
        <f t="shared" si="6"/>
        <v>View on Google Map</v>
      </c>
      <c r="N371" s="121">
        <f t="shared" si="7"/>
        <v>16</v>
      </c>
    </row>
    <row r="372" spans="1:14" x14ac:dyDescent="0.2">
      <c r="A372" s="121">
        <v>263</v>
      </c>
      <c r="B372" s="121" t="s">
        <v>1190</v>
      </c>
      <c r="C372" s="121" t="s">
        <v>1191</v>
      </c>
      <c r="D372" s="121">
        <v>68.7041606871</v>
      </c>
      <c r="E372" s="121">
        <v>-149.68743035400001</v>
      </c>
      <c r="F372" s="121">
        <v>650</v>
      </c>
      <c r="G372" s="121" t="s">
        <v>486</v>
      </c>
      <c r="H372" s="121" t="s">
        <v>1192</v>
      </c>
      <c r="I372" s="121" t="s">
        <v>475</v>
      </c>
      <c r="J372" s="121" t="s">
        <v>768</v>
      </c>
      <c r="K372" s="121" t="s">
        <v>475</v>
      </c>
      <c r="L372" s="121" t="s">
        <v>769</v>
      </c>
      <c r="M372" s="127" t="str">
        <f t="shared" si="6"/>
        <v>View on Google Map</v>
      </c>
      <c r="N372" s="121">
        <f t="shared" si="7"/>
        <v>17</v>
      </c>
    </row>
    <row r="373" spans="1:14" x14ac:dyDescent="0.2">
      <c r="A373" s="121">
        <v>264</v>
      </c>
      <c r="B373" s="121" t="s">
        <v>1193</v>
      </c>
      <c r="C373" s="121" t="s">
        <v>1194</v>
      </c>
      <c r="D373" s="121">
        <v>68.699385523999993</v>
      </c>
      <c r="E373" s="121">
        <v>-149.69396666399999</v>
      </c>
      <c r="F373" s="121">
        <v>650</v>
      </c>
      <c r="G373" s="121" t="s">
        <v>486</v>
      </c>
      <c r="H373" s="121" t="s">
        <v>1195</v>
      </c>
      <c r="I373" s="121" t="s">
        <v>475</v>
      </c>
      <c r="J373" s="121" t="s">
        <v>768</v>
      </c>
      <c r="K373" s="121" t="s">
        <v>475</v>
      </c>
      <c r="L373" s="121" t="s">
        <v>769</v>
      </c>
      <c r="M373" s="127" t="str">
        <f t="shared" si="6"/>
        <v>View on Google Map</v>
      </c>
      <c r="N373" s="121">
        <f t="shared" si="7"/>
        <v>18</v>
      </c>
    </row>
    <row r="374" spans="1:14" x14ac:dyDescent="0.2">
      <c r="A374" s="121">
        <v>265</v>
      </c>
      <c r="B374" s="121" t="s">
        <v>1196</v>
      </c>
      <c r="C374" s="121" t="s">
        <v>1197</v>
      </c>
      <c r="D374" s="121">
        <v>68.7022801743</v>
      </c>
      <c r="E374" s="121">
        <v>-149.70382138400001</v>
      </c>
      <c r="F374" s="121">
        <v>650</v>
      </c>
      <c r="G374" s="121" t="s">
        <v>486</v>
      </c>
      <c r="H374" s="121" t="s">
        <v>1198</v>
      </c>
      <c r="I374" s="121" t="s">
        <v>475</v>
      </c>
      <c r="J374" s="121" t="s">
        <v>768</v>
      </c>
      <c r="K374" s="121" t="s">
        <v>475</v>
      </c>
      <c r="L374" s="121" t="s">
        <v>769</v>
      </c>
      <c r="M374" s="127" t="str">
        <f t="shared" si="6"/>
        <v>View on Google Map</v>
      </c>
      <c r="N374" s="121">
        <f t="shared" si="7"/>
        <v>19</v>
      </c>
    </row>
    <row r="375" spans="1:14" x14ac:dyDescent="0.2">
      <c r="A375" s="121">
        <v>266</v>
      </c>
      <c r="B375" s="121" t="s">
        <v>1199</v>
      </c>
      <c r="C375" s="121" t="s">
        <v>1200</v>
      </c>
      <c r="D375" s="121">
        <v>68.691324054399999</v>
      </c>
      <c r="E375" s="121">
        <v>-149.78520674699999</v>
      </c>
      <c r="F375" s="121">
        <v>650</v>
      </c>
      <c r="G375" s="121" t="s">
        <v>486</v>
      </c>
      <c r="H375" s="121" t="s">
        <v>1201</v>
      </c>
      <c r="I375" s="121" t="s">
        <v>475</v>
      </c>
      <c r="J375" s="121" t="s">
        <v>768</v>
      </c>
      <c r="K375" s="121" t="s">
        <v>475</v>
      </c>
      <c r="L375" s="121" t="s">
        <v>769</v>
      </c>
      <c r="M375" s="127" t="str">
        <f t="shared" si="6"/>
        <v>View on Google Map</v>
      </c>
      <c r="N375" s="121">
        <f t="shared" si="7"/>
        <v>20</v>
      </c>
    </row>
    <row r="376" spans="1:14" x14ac:dyDescent="0.2">
      <c r="A376" s="121">
        <v>267</v>
      </c>
      <c r="B376" s="121" t="s">
        <v>1202</v>
      </c>
      <c r="C376" s="121" t="s">
        <v>1203</v>
      </c>
      <c r="D376" s="121">
        <v>68.682528721799997</v>
      </c>
      <c r="E376" s="121">
        <v>-149.77156908800001</v>
      </c>
      <c r="F376" s="121">
        <v>630</v>
      </c>
      <c r="G376" s="121" t="s">
        <v>486</v>
      </c>
      <c r="H376" s="121" t="s">
        <v>1204</v>
      </c>
      <c r="I376" s="121" t="s">
        <v>475</v>
      </c>
      <c r="J376" s="121" t="s">
        <v>768</v>
      </c>
      <c r="K376" s="121" t="s">
        <v>475</v>
      </c>
      <c r="L376" s="121" t="s">
        <v>769</v>
      </c>
      <c r="M376" s="127" t="str">
        <f t="shared" si="6"/>
        <v>View on Google Map</v>
      </c>
      <c r="N376" s="121">
        <f t="shared" si="7"/>
        <v>21</v>
      </c>
    </row>
    <row r="377" spans="1:14" x14ac:dyDescent="0.2">
      <c r="A377" s="121">
        <v>268</v>
      </c>
      <c r="B377" s="121" t="s">
        <v>1205</v>
      </c>
      <c r="C377" s="121" t="s">
        <v>1206</v>
      </c>
      <c r="D377" s="121">
        <v>68.6833666064</v>
      </c>
      <c r="E377" s="121">
        <v>-149.78602037900001</v>
      </c>
      <c r="F377" s="121">
        <v>620</v>
      </c>
      <c r="G377" s="121" t="s">
        <v>486</v>
      </c>
      <c r="H377" s="121" t="s">
        <v>1207</v>
      </c>
      <c r="I377" s="121" t="s">
        <v>475</v>
      </c>
      <c r="J377" s="121" t="s">
        <v>768</v>
      </c>
      <c r="K377" s="121" t="s">
        <v>475</v>
      </c>
      <c r="L377" s="121" t="s">
        <v>769</v>
      </c>
      <c r="M377" s="127" t="str">
        <f t="shared" si="6"/>
        <v>View on Google Map</v>
      </c>
      <c r="N377" s="121">
        <f t="shared" si="7"/>
        <v>22</v>
      </c>
    </row>
    <row r="378" spans="1:14" x14ac:dyDescent="0.2">
      <c r="A378" s="121">
        <v>269</v>
      </c>
      <c r="B378" s="121" t="s">
        <v>1208</v>
      </c>
      <c r="C378" s="121" t="s">
        <v>1209</v>
      </c>
      <c r="D378" s="121">
        <v>68.685049484000004</v>
      </c>
      <c r="E378" s="121">
        <v>-149.801322572</v>
      </c>
      <c r="F378" s="121">
        <v>590</v>
      </c>
      <c r="G378" s="121" t="s">
        <v>486</v>
      </c>
      <c r="H378" s="121" t="s">
        <v>1210</v>
      </c>
      <c r="I378" s="121" t="s">
        <v>475</v>
      </c>
      <c r="J378" s="121" t="s">
        <v>768</v>
      </c>
      <c r="K378" s="121" t="s">
        <v>475</v>
      </c>
      <c r="L378" s="121" t="s">
        <v>769</v>
      </c>
      <c r="M378" s="127" t="str">
        <f t="shared" si="6"/>
        <v>View on Google Map</v>
      </c>
      <c r="N378" s="121">
        <f t="shared" si="7"/>
        <v>23</v>
      </c>
    </row>
    <row r="379" spans="1:14" x14ac:dyDescent="0.2">
      <c r="A379" s="121">
        <v>270</v>
      </c>
      <c r="B379" s="121" t="s">
        <v>1211</v>
      </c>
      <c r="C379" s="121" t="s">
        <v>1212</v>
      </c>
      <c r="D379" s="121">
        <v>68.6853960145</v>
      </c>
      <c r="E379" s="121">
        <v>-149.80798693200001</v>
      </c>
      <c r="F379" s="121">
        <v>590</v>
      </c>
      <c r="G379" s="121" t="s">
        <v>486</v>
      </c>
      <c r="H379" s="121" t="s">
        <v>1213</v>
      </c>
      <c r="I379" s="121" t="s">
        <v>475</v>
      </c>
      <c r="J379" s="121" t="s">
        <v>768</v>
      </c>
      <c r="K379" s="121" t="s">
        <v>475</v>
      </c>
      <c r="L379" s="121" t="s">
        <v>769</v>
      </c>
      <c r="M379" s="127" t="str">
        <f t="shared" si="6"/>
        <v>View on Google Map</v>
      </c>
      <c r="N379" s="121">
        <f t="shared" si="7"/>
        <v>24</v>
      </c>
    </row>
    <row r="380" spans="1:14" x14ac:dyDescent="0.2">
      <c r="A380" s="121">
        <v>271</v>
      </c>
      <c r="B380" s="121" t="s">
        <v>1214</v>
      </c>
      <c r="C380" s="121" t="s">
        <v>1215</v>
      </c>
      <c r="D380" s="121">
        <v>68.682885549900007</v>
      </c>
      <c r="E380" s="121">
        <v>-149.809163652</v>
      </c>
      <c r="F380" s="121">
        <v>590</v>
      </c>
      <c r="G380" s="121" t="s">
        <v>486</v>
      </c>
      <c r="H380" s="121" t="s">
        <v>1216</v>
      </c>
      <c r="I380" s="121" t="s">
        <v>475</v>
      </c>
      <c r="J380" s="121" t="s">
        <v>768</v>
      </c>
      <c r="K380" s="121" t="s">
        <v>475</v>
      </c>
      <c r="L380" s="121" t="s">
        <v>769</v>
      </c>
      <c r="M380" s="127" t="str">
        <f t="shared" si="6"/>
        <v>View on Google Map</v>
      </c>
      <c r="N380" s="121">
        <f t="shared" si="7"/>
        <v>25</v>
      </c>
    </row>
    <row r="381" spans="1:14" x14ac:dyDescent="0.2">
      <c r="A381" s="121">
        <v>272</v>
      </c>
      <c r="B381" s="121" t="s">
        <v>1217</v>
      </c>
      <c r="C381" s="121" t="s">
        <v>1218</v>
      </c>
      <c r="D381" s="121">
        <v>68.682270906200003</v>
      </c>
      <c r="E381" s="121">
        <v>-149.81202356599999</v>
      </c>
      <c r="F381" s="121" t="s">
        <v>475</v>
      </c>
      <c r="G381" s="121" t="s">
        <v>486</v>
      </c>
      <c r="H381" s="121" t="s">
        <v>1219</v>
      </c>
      <c r="I381" s="121" t="s">
        <v>475</v>
      </c>
      <c r="J381" s="121" t="s">
        <v>768</v>
      </c>
      <c r="K381" s="121" t="s">
        <v>475</v>
      </c>
      <c r="L381" s="121" t="s">
        <v>769</v>
      </c>
      <c r="M381" s="127" t="str">
        <f t="shared" si="6"/>
        <v>View on Google Map</v>
      </c>
      <c r="N381" s="121">
        <f t="shared" si="7"/>
        <v>26</v>
      </c>
    </row>
    <row r="382" spans="1:14" x14ac:dyDescent="0.2">
      <c r="A382" s="121">
        <v>315</v>
      </c>
      <c r="B382" s="121" t="s">
        <v>1220</v>
      </c>
      <c r="C382" s="121" t="s">
        <v>1221</v>
      </c>
      <c r="D382" s="121">
        <v>68.568206306199997</v>
      </c>
      <c r="E382" s="121">
        <v>-149.167395043</v>
      </c>
      <c r="F382" s="121" t="s">
        <v>475</v>
      </c>
      <c r="G382" s="121" t="s">
        <v>486</v>
      </c>
      <c r="H382" s="121" t="s">
        <v>1222</v>
      </c>
      <c r="I382" s="121" t="s">
        <v>475</v>
      </c>
      <c r="J382" s="121" t="s">
        <v>768</v>
      </c>
      <c r="K382" s="121" t="s">
        <v>475</v>
      </c>
      <c r="L382" s="121" t="s">
        <v>769</v>
      </c>
      <c r="M382" s="127" t="str">
        <f t="shared" si="6"/>
        <v>View on Google Map</v>
      </c>
      <c r="N382" s="121">
        <f t="shared" si="7"/>
        <v>27</v>
      </c>
    </row>
    <row r="383" spans="1:14" x14ac:dyDescent="0.2">
      <c r="A383" s="121">
        <v>316</v>
      </c>
      <c r="B383" s="121" t="s">
        <v>1223</v>
      </c>
      <c r="C383" s="121" t="s">
        <v>1224</v>
      </c>
      <c r="D383" s="121">
        <v>68.563566134699997</v>
      </c>
      <c r="E383" s="121">
        <v>-149.17548626199999</v>
      </c>
      <c r="F383" s="121" t="s">
        <v>475</v>
      </c>
      <c r="G383" s="121" t="s">
        <v>486</v>
      </c>
      <c r="H383" s="121" t="s">
        <v>1225</v>
      </c>
      <c r="I383" s="121" t="s">
        <v>475</v>
      </c>
      <c r="J383" s="121" t="s">
        <v>768</v>
      </c>
      <c r="K383" s="121" t="s">
        <v>475</v>
      </c>
      <c r="L383" s="121" t="s">
        <v>769</v>
      </c>
      <c r="M383" s="127" t="str">
        <f t="shared" si="6"/>
        <v>View on Google Map</v>
      </c>
      <c r="N383" s="121">
        <f t="shared" si="7"/>
        <v>28</v>
      </c>
    </row>
    <row r="384" spans="1:14" x14ac:dyDescent="0.2">
      <c r="A384" s="121">
        <v>317</v>
      </c>
      <c r="B384" s="121" t="s">
        <v>1226</v>
      </c>
      <c r="C384" s="121" t="s">
        <v>1227</v>
      </c>
      <c r="D384" s="121">
        <v>68.567753827800004</v>
      </c>
      <c r="E384" s="121">
        <v>-149.18255546</v>
      </c>
      <c r="F384" s="121" t="s">
        <v>475</v>
      </c>
      <c r="G384" s="121" t="s">
        <v>486</v>
      </c>
      <c r="H384" s="121" t="s">
        <v>1228</v>
      </c>
      <c r="I384" s="121" t="s">
        <v>475</v>
      </c>
      <c r="J384" s="121" t="s">
        <v>768</v>
      </c>
      <c r="K384" s="121" t="s">
        <v>475</v>
      </c>
      <c r="L384" s="121" t="s">
        <v>769</v>
      </c>
      <c r="M384" s="127" t="str">
        <f t="shared" si="6"/>
        <v>View on Google Map</v>
      </c>
      <c r="N384" s="121">
        <f t="shared" si="7"/>
        <v>29</v>
      </c>
    </row>
    <row r="385" spans="1:14" x14ac:dyDescent="0.2">
      <c r="A385" s="121">
        <v>318</v>
      </c>
      <c r="B385" s="121" t="s">
        <v>1229</v>
      </c>
      <c r="C385" s="121" t="s">
        <v>1230</v>
      </c>
      <c r="D385" s="121">
        <v>68.575143231300004</v>
      </c>
      <c r="E385" s="121">
        <v>-149.187493434</v>
      </c>
      <c r="F385" s="121">
        <v>899</v>
      </c>
      <c r="G385" s="121" t="s">
        <v>486</v>
      </c>
      <c r="H385" s="121" t="s">
        <v>1231</v>
      </c>
      <c r="I385" s="121" t="s">
        <v>475</v>
      </c>
      <c r="J385" s="121" t="s">
        <v>768</v>
      </c>
      <c r="K385" s="121" t="s">
        <v>475</v>
      </c>
      <c r="L385" s="121" t="s">
        <v>769</v>
      </c>
      <c r="M385" s="127" t="str">
        <f t="shared" si="6"/>
        <v>View on Google Map</v>
      </c>
      <c r="N385" s="121">
        <f t="shared" si="7"/>
        <v>30</v>
      </c>
    </row>
    <row r="386" spans="1:14" x14ac:dyDescent="0.2">
      <c r="A386" s="121">
        <v>319</v>
      </c>
      <c r="B386" s="121" t="s">
        <v>1232</v>
      </c>
      <c r="C386" s="121" t="s">
        <v>1233</v>
      </c>
      <c r="D386" s="121">
        <v>68.575979722100001</v>
      </c>
      <c r="E386" s="121">
        <v>-149.19939190100001</v>
      </c>
      <c r="F386" s="121" t="s">
        <v>475</v>
      </c>
      <c r="G386" s="121" t="s">
        <v>486</v>
      </c>
      <c r="H386" s="121" t="s">
        <v>1234</v>
      </c>
      <c r="I386" s="121" t="s">
        <v>475</v>
      </c>
      <c r="J386" s="121" t="s">
        <v>768</v>
      </c>
      <c r="K386" s="121" t="s">
        <v>475</v>
      </c>
      <c r="L386" s="121" t="s">
        <v>769</v>
      </c>
      <c r="M386" s="127" t="str">
        <f t="shared" si="6"/>
        <v>View on Google Map</v>
      </c>
      <c r="N386" s="121">
        <f t="shared" si="7"/>
        <v>31</v>
      </c>
    </row>
    <row r="387" spans="1:14" x14ac:dyDescent="0.2">
      <c r="A387" s="121">
        <v>320</v>
      </c>
      <c r="B387" s="121" t="s">
        <v>1235</v>
      </c>
      <c r="C387" s="121" t="s">
        <v>1236</v>
      </c>
      <c r="D387" s="121">
        <v>68.576887217199996</v>
      </c>
      <c r="E387" s="121">
        <v>-149.17782305899999</v>
      </c>
      <c r="F387" s="121">
        <v>891</v>
      </c>
      <c r="G387" s="121" t="s">
        <v>486</v>
      </c>
      <c r="H387" s="121" t="s">
        <v>1237</v>
      </c>
      <c r="I387" s="121" t="s">
        <v>475</v>
      </c>
      <c r="J387" s="121" t="s">
        <v>768</v>
      </c>
      <c r="K387" s="121" t="s">
        <v>475</v>
      </c>
      <c r="L387" s="121" t="s">
        <v>769</v>
      </c>
      <c r="M387" s="127" t="str">
        <f t="shared" ref="M387:M450" si="8">HYPERLINK("http://maps.google.com/maps?q="&amp;D387&amp;","&amp;E387,"View on Google Map")</f>
        <v>View on Google Map</v>
      </c>
      <c r="N387" s="121">
        <f t="shared" si="7"/>
        <v>32</v>
      </c>
    </row>
    <row r="388" spans="1:14" x14ac:dyDescent="0.2">
      <c r="A388" s="121">
        <v>321</v>
      </c>
      <c r="B388" s="121" t="s">
        <v>1238</v>
      </c>
      <c r="C388" s="121" t="s">
        <v>1239</v>
      </c>
      <c r="D388" s="121">
        <v>68.581215404199995</v>
      </c>
      <c r="E388" s="121">
        <v>-149.17874205800001</v>
      </c>
      <c r="F388" s="121">
        <v>891</v>
      </c>
      <c r="G388" s="121" t="s">
        <v>486</v>
      </c>
      <c r="H388" s="121" t="s">
        <v>1240</v>
      </c>
      <c r="I388" s="121" t="s">
        <v>475</v>
      </c>
      <c r="J388" s="121" t="s">
        <v>768</v>
      </c>
      <c r="K388" s="121" t="s">
        <v>475</v>
      </c>
      <c r="L388" s="121" t="s">
        <v>769</v>
      </c>
      <c r="M388" s="127" t="str">
        <f t="shared" si="8"/>
        <v>View on Google Map</v>
      </c>
      <c r="N388" s="121">
        <f t="shared" si="7"/>
        <v>33</v>
      </c>
    </row>
    <row r="389" spans="1:14" x14ac:dyDescent="0.2">
      <c r="A389" s="121">
        <v>322</v>
      </c>
      <c r="B389" s="121" t="s">
        <v>1241</v>
      </c>
      <c r="C389" s="121" t="s">
        <v>1242</v>
      </c>
      <c r="D389" s="121">
        <v>68.587382761699999</v>
      </c>
      <c r="E389" s="121">
        <v>-149.144248847</v>
      </c>
      <c r="F389" s="121" t="s">
        <v>475</v>
      </c>
      <c r="G389" s="121" t="s">
        <v>486</v>
      </c>
      <c r="H389" s="121" t="s">
        <v>1243</v>
      </c>
      <c r="I389" s="121" t="s">
        <v>475</v>
      </c>
      <c r="J389" s="121" t="s">
        <v>768</v>
      </c>
      <c r="K389" s="121" t="s">
        <v>475</v>
      </c>
      <c r="L389" s="121" t="s">
        <v>769</v>
      </c>
      <c r="M389" s="127" t="str">
        <f t="shared" si="8"/>
        <v>View on Google Map</v>
      </c>
      <c r="N389" s="121">
        <f t="shared" si="7"/>
        <v>34</v>
      </c>
    </row>
    <row r="390" spans="1:14" x14ac:dyDescent="0.2">
      <c r="A390" s="121">
        <v>323</v>
      </c>
      <c r="B390" s="121" t="s">
        <v>1244</v>
      </c>
      <c r="C390" s="121" t="s">
        <v>1245</v>
      </c>
      <c r="D390" s="121">
        <v>68.548407480700007</v>
      </c>
      <c r="E390" s="121">
        <v>-150.03700547700001</v>
      </c>
      <c r="F390" s="121" t="s">
        <v>475</v>
      </c>
      <c r="G390" s="121" t="s">
        <v>486</v>
      </c>
      <c r="H390" s="121" t="s">
        <v>1246</v>
      </c>
      <c r="I390" s="121" t="s">
        <v>475</v>
      </c>
      <c r="J390" s="121" t="s">
        <v>768</v>
      </c>
      <c r="K390" s="121" t="s">
        <v>475</v>
      </c>
      <c r="L390" s="121" t="s">
        <v>769</v>
      </c>
      <c r="M390" s="127" t="str">
        <f t="shared" si="8"/>
        <v>View on Google Map</v>
      </c>
      <c r="N390" s="121">
        <f t="shared" si="7"/>
        <v>35</v>
      </c>
    </row>
    <row r="391" spans="1:14" x14ac:dyDescent="0.2">
      <c r="A391" s="121">
        <v>324</v>
      </c>
      <c r="B391" s="121" t="s">
        <v>1247</v>
      </c>
      <c r="C391" s="121" t="s">
        <v>1248</v>
      </c>
      <c r="D391" s="121">
        <v>68.550052273099993</v>
      </c>
      <c r="E391" s="121">
        <v>-150.02948327199999</v>
      </c>
      <c r="F391" s="121" t="s">
        <v>475</v>
      </c>
      <c r="G391" s="121" t="s">
        <v>486</v>
      </c>
      <c r="H391" s="121" t="s">
        <v>1249</v>
      </c>
      <c r="I391" s="121" t="s">
        <v>475</v>
      </c>
      <c r="J391" s="121" t="s">
        <v>768</v>
      </c>
      <c r="K391" s="121" t="s">
        <v>475</v>
      </c>
      <c r="L391" s="121" t="s">
        <v>769</v>
      </c>
      <c r="M391" s="127" t="str">
        <f t="shared" si="8"/>
        <v>View on Google Map</v>
      </c>
      <c r="N391" s="121">
        <f t="shared" si="7"/>
        <v>36</v>
      </c>
    </row>
    <row r="392" spans="1:14" x14ac:dyDescent="0.2">
      <c r="A392" s="121">
        <v>325</v>
      </c>
      <c r="B392" s="121" t="s">
        <v>1250</v>
      </c>
      <c r="C392" s="121" t="s">
        <v>1251</v>
      </c>
      <c r="D392" s="121">
        <v>68.5460242857</v>
      </c>
      <c r="E392" s="121">
        <v>-150.02463014</v>
      </c>
      <c r="F392" s="121" t="s">
        <v>475</v>
      </c>
      <c r="G392" s="121" t="s">
        <v>486</v>
      </c>
      <c r="H392" s="121" t="s">
        <v>1252</v>
      </c>
      <c r="I392" s="121" t="s">
        <v>475</v>
      </c>
      <c r="J392" s="121" t="s">
        <v>768</v>
      </c>
      <c r="K392" s="121" t="s">
        <v>475</v>
      </c>
      <c r="L392" s="121" t="s">
        <v>769</v>
      </c>
      <c r="M392" s="127" t="str">
        <f t="shared" si="8"/>
        <v>View on Google Map</v>
      </c>
      <c r="N392" s="121">
        <f t="shared" si="7"/>
        <v>37</v>
      </c>
    </row>
    <row r="393" spans="1:14" x14ac:dyDescent="0.2">
      <c r="A393" s="121">
        <v>326</v>
      </c>
      <c r="B393" s="121" t="s">
        <v>1253</v>
      </c>
      <c r="C393" s="121" t="s">
        <v>1254</v>
      </c>
      <c r="D393" s="121">
        <v>68.550135830100004</v>
      </c>
      <c r="E393" s="121">
        <v>-150.01499602000001</v>
      </c>
      <c r="F393" s="121" t="s">
        <v>475</v>
      </c>
      <c r="G393" s="121" t="s">
        <v>486</v>
      </c>
      <c r="H393" s="121" t="s">
        <v>1255</v>
      </c>
      <c r="I393" s="121" t="s">
        <v>475</v>
      </c>
      <c r="J393" s="121" t="s">
        <v>768</v>
      </c>
      <c r="K393" s="121" t="s">
        <v>475</v>
      </c>
      <c r="L393" s="121" t="s">
        <v>769</v>
      </c>
      <c r="M393" s="127" t="str">
        <f t="shared" si="8"/>
        <v>View on Google Map</v>
      </c>
      <c r="N393" s="121">
        <f t="shared" si="7"/>
        <v>38</v>
      </c>
    </row>
    <row r="394" spans="1:14" x14ac:dyDescent="0.2">
      <c r="A394" s="121">
        <v>327</v>
      </c>
      <c r="B394" s="121" t="s">
        <v>1256</v>
      </c>
      <c r="C394" s="121" t="s">
        <v>1257</v>
      </c>
      <c r="D394" s="121">
        <v>68.556356553000001</v>
      </c>
      <c r="E394" s="121">
        <v>-150.01283142599999</v>
      </c>
      <c r="F394" s="121" t="s">
        <v>475</v>
      </c>
      <c r="G394" s="121" t="s">
        <v>486</v>
      </c>
      <c r="H394" s="121" t="s">
        <v>1258</v>
      </c>
      <c r="I394" s="121" t="s">
        <v>475</v>
      </c>
      <c r="J394" s="121" t="s">
        <v>768</v>
      </c>
      <c r="K394" s="121" t="s">
        <v>475</v>
      </c>
      <c r="L394" s="121" t="s">
        <v>769</v>
      </c>
      <c r="M394" s="127" t="str">
        <f t="shared" si="8"/>
        <v>View on Google Map</v>
      </c>
      <c r="N394" s="121">
        <f t="shared" si="7"/>
        <v>39</v>
      </c>
    </row>
    <row r="395" spans="1:14" x14ac:dyDescent="0.2">
      <c r="A395" s="121">
        <v>328</v>
      </c>
      <c r="B395" s="121" t="s">
        <v>1259</v>
      </c>
      <c r="C395" s="121" t="s">
        <v>1260</v>
      </c>
      <c r="D395" s="121">
        <v>68.565564884200001</v>
      </c>
      <c r="E395" s="121">
        <v>-150.00164362699999</v>
      </c>
      <c r="F395" s="121" t="s">
        <v>475</v>
      </c>
      <c r="G395" s="121" t="s">
        <v>486</v>
      </c>
      <c r="H395" s="121" t="s">
        <v>1261</v>
      </c>
      <c r="I395" s="121" t="s">
        <v>475</v>
      </c>
      <c r="J395" s="121" t="s">
        <v>768</v>
      </c>
      <c r="K395" s="121" t="s">
        <v>475</v>
      </c>
      <c r="L395" s="121" t="s">
        <v>769</v>
      </c>
      <c r="M395" s="127" t="str">
        <f t="shared" si="8"/>
        <v>View on Google Map</v>
      </c>
      <c r="N395" s="121">
        <f t="shared" si="7"/>
        <v>40</v>
      </c>
    </row>
    <row r="396" spans="1:14" x14ac:dyDescent="0.2">
      <c r="A396" s="121">
        <v>329</v>
      </c>
      <c r="B396" s="121" t="s">
        <v>1262</v>
      </c>
      <c r="C396" s="121" t="s">
        <v>1263</v>
      </c>
      <c r="D396" s="121">
        <v>68.567838099200003</v>
      </c>
      <c r="E396" s="121">
        <v>-149.99849875500001</v>
      </c>
      <c r="F396" s="121" t="s">
        <v>475</v>
      </c>
      <c r="G396" s="121" t="s">
        <v>486</v>
      </c>
      <c r="H396" s="121" t="s">
        <v>1264</v>
      </c>
      <c r="I396" s="121" t="s">
        <v>475</v>
      </c>
      <c r="J396" s="121" t="s">
        <v>768</v>
      </c>
      <c r="K396" s="121" t="s">
        <v>475</v>
      </c>
      <c r="L396" s="121" t="s">
        <v>769</v>
      </c>
      <c r="M396" s="127" t="str">
        <f t="shared" si="8"/>
        <v>View on Google Map</v>
      </c>
      <c r="N396" s="121">
        <f t="shared" si="7"/>
        <v>41</v>
      </c>
    </row>
    <row r="397" spans="1:14" x14ac:dyDescent="0.2">
      <c r="A397" s="121">
        <v>330</v>
      </c>
      <c r="B397" s="121" t="s">
        <v>1265</v>
      </c>
      <c r="C397" s="121" t="s">
        <v>1266</v>
      </c>
      <c r="D397" s="121">
        <v>68.5855663241</v>
      </c>
      <c r="E397" s="121">
        <v>-149.98167511</v>
      </c>
      <c r="F397" s="121" t="s">
        <v>475</v>
      </c>
      <c r="G397" s="121" t="s">
        <v>486</v>
      </c>
      <c r="H397" s="121" t="s">
        <v>1267</v>
      </c>
      <c r="I397" s="121" t="s">
        <v>475</v>
      </c>
      <c r="J397" s="121" t="s">
        <v>768</v>
      </c>
      <c r="K397" s="121" t="s">
        <v>475</v>
      </c>
      <c r="L397" s="121" t="s">
        <v>769</v>
      </c>
      <c r="M397" s="127" t="str">
        <f t="shared" si="8"/>
        <v>View on Google Map</v>
      </c>
      <c r="N397" s="121">
        <f t="shared" si="7"/>
        <v>42</v>
      </c>
    </row>
    <row r="398" spans="1:14" x14ac:dyDescent="0.2">
      <c r="A398" s="121">
        <v>331</v>
      </c>
      <c r="B398" s="121" t="s">
        <v>1268</v>
      </c>
      <c r="C398" s="121" t="s">
        <v>1269</v>
      </c>
      <c r="D398" s="121">
        <v>68.534049837699996</v>
      </c>
      <c r="E398" s="121">
        <v>-149.157309078</v>
      </c>
      <c r="F398" s="121">
        <v>926</v>
      </c>
      <c r="G398" s="121" t="s">
        <v>486</v>
      </c>
      <c r="H398" s="121" t="s">
        <v>1270</v>
      </c>
      <c r="I398" s="121" t="s">
        <v>475</v>
      </c>
      <c r="J398" s="121" t="s">
        <v>768</v>
      </c>
      <c r="K398" s="121" t="s">
        <v>475</v>
      </c>
      <c r="L398" s="121" t="s">
        <v>769</v>
      </c>
      <c r="M398" s="127" t="str">
        <f t="shared" si="8"/>
        <v>View on Google Map</v>
      </c>
      <c r="N398" s="121">
        <f t="shared" si="7"/>
        <v>43</v>
      </c>
    </row>
    <row r="399" spans="1:14" x14ac:dyDescent="0.2">
      <c r="A399" s="121">
        <v>332</v>
      </c>
      <c r="B399" s="121" t="s">
        <v>1271</v>
      </c>
      <c r="C399" s="121" t="s">
        <v>1272</v>
      </c>
      <c r="D399" s="121">
        <v>68.533584622000006</v>
      </c>
      <c r="E399" s="121">
        <v>-149.16705049699999</v>
      </c>
      <c r="F399" s="121" t="s">
        <v>475</v>
      </c>
      <c r="G399" s="121" t="s">
        <v>486</v>
      </c>
      <c r="H399" s="121" t="s">
        <v>1273</v>
      </c>
      <c r="I399" s="121" t="s">
        <v>475</v>
      </c>
      <c r="J399" s="121" t="s">
        <v>768</v>
      </c>
      <c r="K399" s="121" t="s">
        <v>475</v>
      </c>
      <c r="L399" s="121" t="s">
        <v>769</v>
      </c>
      <c r="M399" s="127" t="str">
        <f t="shared" si="8"/>
        <v>View on Google Map</v>
      </c>
      <c r="N399" s="121">
        <f t="shared" si="7"/>
        <v>44</v>
      </c>
    </row>
    <row r="400" spans="1:14" x14ac:dyDescent="0.2">
      <c r="A400" s="121">
        <v>333</v>
      </c>
      <c r="B400" s="121" t="s">
        <v>1274</v>
      </c>
      <c r="C400" s="121" t="s">
        <v>1275</v>
      </c>
      <c r="D400" s="121">
        <v>68.533269411600003</v>
      </c>
      <c r="E400" s="121">
        <v>-149.19565723900001</v>
      </c>
      <c r="F400" s="121">
        <v>899</v>
      </c>
      <c r="G400" s="121" t="s">
        <v>486</v>
      </c>
      <c r="H400" s="121" t="s">
        <v>1276</v>
      </c>
      <c r="I400" s="121" t="s">
        <v>475</v>
      </c>
      <c r="J400" s="121" t="s">
        <v>768</v>
      </c>
      <c r="K400" s="121" t="s">
        <v>475</v>
      </c>
      <c r="L400" s="121" t="s">
        <v>769</v>
      </c>
      <c r="M400" s="127" t="str">
        <f t="shared" si="8"/>
        <v>View on Google Map</v>
      </c>
      <c r="N400" s="121">
        <f t="shared" si="7"/>
        <v>45</v>
      </c>
    </row>
    <row r="401" spans="1:14" x14ac:dyDescent="0.2">
      <c r="A401" s="121">
        <v>335</v>
      </c>
      <c r="B401" s="121" t="s">
        <v>1277</v>
      </c>
      <c r="C401" s="121" t="s">
        <v>1278</v>
      </c>
      <c r="D401" s="121">
        <v>68.516771954500001</v>
      </c>
      <c r="E401" s="121">
        <v>-150.05742084799999</v>
      </c>
      <c r="F401" s="121" t="s">
        <v>475</v>
      </c>
      <c r="G401" s="121" t="s">
        <v>486</v>
      </c>
      <c r="H401" s="121" t="s">
        <v>1279</v>
      </c>
      <c r="I401" s="121" t="s">
        <v>475</v>
      </c>
      <c r="J401" s="121" t="s">
        <v>768</v>
      </c>
      <c r="K401" s="121" t="s">
        <v>475</v>
      </c>
      <c r="L401" s="121" t="s">
        <v>769</v>
      </c>
      <c r="M401" s="127" t="str">
        <f t="shared" si="8"/>
        <v>View on Google Map</v>
      </c>
      <c r="N401" s="121">
        <f t="shared" si="7"/>
        <v>47</v>
      </c>
    </row>
    <row r="402" spans="1:14" x14ac:dyDescent="0.2">
      <c r="A402" s="121">
        <v>336</v>
      </c>
      <c r="B402" s="121" t="s">
        <v>1280</v>
      </c>
      <c r="C402" s="121" t="s">
        <v>1281</v>
      </c>
      <c r="D402" s="121">
        <v>68.531484729400006</v>
      </c>
      <c r="E402" s="121">
        <v>-150.04821666999999</v>
      </c>
      <c r="F402" s="121" t="s">
        <v>475</v>
      </c>
      <c r="G402" s="121" t="s">
        <v>486</v>
      </c>
      <c r="H402" s="121" t="s">
        <v>1282</v>
      </c>
      <c r="I402" s="121" t="s">
        <v>475</v>
      </c>
      <c r="J402" s="121" t="s">
        <v>768</v>
      </c>
      <c r="K402" s="121" t="s">
        <v>475</v>
      </c>
      <c r="L402" s="121" t="s">
        <v>769</v>
      </c>
      <c r="M402" s="127" t="str">
        <f t="shared" si="8"/>
        <v>View on Google Map</v>
      </c>
      <c r="N402" s="121">
        <f t="shared" si="7"/>
        <v>48</v>
      </c>
    </row>
    <row r="403" spans="1:14" x14ac:dyDescent="0.2">
      <c r="A403" s="121">
        <v>337</v>
      </c>
      <c r="B403" s="121" t="s">
        <v>1283</v>
      </c>
      <c r="C403" s="121" t="s">
        <v>1284</v>
      </c>
      <c r="D403" s="121">
        <v>68.525496449800002</v>
      </c>
      <c r="E403" s="121">
        <v>-150.03164010200001</v>
      </c>
      <c r="F403" s="121" t="s">
        <v>475</v>
      </c>
      <c r="G403" s="121" t="s">
        <v>486</v>
      </c>
      <c r="H403" s="121" t="s">
        <v>1285</v>
      </c>
      <c r="I403" s="121" t="s">
        <v>475</v>
      </c>
      <c r="J403" s="121" t="s">
        <v>768</v>
      </c>
      <c r="K403" s="121" t="s">
        <v>475</v>
      </c>
      <c r="L403" s="121" t="s">
        <v>769</v>
      </c>
      <c r="M403" s="127" t="str">
        <f t="shared" si="8"/>
        <v>View on Google Map</v>
      </c>
      <c r="N403" s="121">
        <f t="shared" si="7"/>
        <v>49</v>
      </c>
    </row>
    <row r="404" spans="1:14" x14ac:dyDescent="0.2">
      <c r="A404" s="121">
        <v>338</v>
      </c>
      <c r="B404" s="121" t="s">
        <v>1286</v>
      </c>
      <c r="C404" s="121" t="s">
        <v>1287</v>
      </c>
      <c r="D404" s="121">
        <v>68.522395926599998</v>
      </c>
      <c r="E404" s="121">
        <v>-150.02260567299999</v>
      </c>
      <c r="F404" s="121" t="s">
        <v>475</v>
      </c>
      <c r="G404" s="121" t="s">
        <v>486</v>
      </c>
      <c r="H404" s="121" t="s">
        <v>1288</v>
      </c>
      <c r="I404" s="121" t="s">
        <v>475</v>
      </c>
      <c r="J404" s="121" t="s">
        <v>768</v>
      </c>
      <c r="K404" s="121" t="s">
        <v>475</v>
      </c>
      <c r="L404" s="121" t="s">
        <v>769</v>
      </c>
      <c r="M404" s="127" t="str">
        <f t="shared" si="8"/>
        <v>View on Google Map</v>
      </c>
      <c r="N404" s="121">
        <f t="shared" si="7"/>
        <v>50</v>
      </c>
    </row>
    <row r="405" spans="1:14" x14ac:dyDescent="0.2">
      <c r="A405" s="121">
        <v>339</v>
      </c>
      <c r="B405" s="121" t="s">
        <v>1289</v>
      </c>
      <c r="C405" s="121" t="s">
        <v>1290</v>
      </c>
      <c r="D405" s="121">
        <v>68.574095052399997</v>
      </c>
      <c r="E405" s="121">
        <v>-149.97662969199999</v>
      </c>
      <c r="F405" s="121" t="s">
        <v>475</v>
      </c>
      <c r="G405" s="121" t="s">
        <v>486</v>
      </c>
      <c r="H405" s="121" t="s">
        <v>1291</v>
      </c>
      <c r="I405" s="121" t="s">
        <v>475</v>
      </c>
      <c r="J405" s="121" t="s">
        <v>768</v>
      </c>
      <c r="K405" s="121" t="s">
        <v>475</v>
      </c>
      <c r="L405" s="121" t="s">
        <v>769</v>
      </c>
      <c r="M405" s="127" t="str">
        <f t="shared" si="8"/>
        <v>View on Google Map</v>
      </c>
      <c r="N405" s="121">
        <f t="shared" si="7"/>
        <v>51</v>
      </c>
    </row>
    <row r="406" spans="1:14" x14ac:dyDescent="0.2">
      <c r="A406" s="121">
        <v>340</v>
      </c>
      <c r="B406" s="121" t="s">
        <v>1292</v>
      </c>
      <c r="C406" s="121" t="s">
        <v>1293</v>
      </c>
      <c r="D406" s="121">
        <v>68.571671305899997</v>
      </c>
      <c r="E406" s="121">
        <v>-149.972667672</v>
      </c>
      <c r="F406" s="121" t="s">
        <v>475</v>
      </c>
      <c r="G406" s="121" t="s">
        <v>486</v>
      </c>
      <c r="H406" s="121" t="s">
        <v>1294</v>
      </c>
      <c r="I406" s="121" t="s">
        <v>475</v>
      </c>
      <c r="J406" s="121" t="s">
        <v>768</v>
      </c>
      <c r="K406" s="121" t="s">
        <v>475</v>
      </c>
      <c r="L406" s="121" t="s">
        <v>769</v>
      </c>
      <c r="M406" s="127" t="str">
        <f t="shared" si="8"/>
        <v>View on Google Map</v>
      </c>
      <c r="N406" s="121">
        <f t="shared" si="7"/>
        <v>52</v>
      </c>
    </row>
    <row r="407" spans="1:14" x14ac:dyDescent="0.2">
      <c r="A407" s="121">
        <v>341</v>
      </c>
      <c r="B407" s="121" t="s">
        <v>1295</v>
      </c>
      <c r="C407" s="121" t="s">
        <v>1296</v>
      </c>
      <c r="D407" s="121">
        <v>68.562791718200003</v>
      </c>
      <c r="E407" s="121">
        <v>-149.977791473</v>
      </c>
      <c r="F407" s="121" t="s">
        <v>475</v>
      </c>
      <c r="G407" s="121" t="s">
        <v>486</v>
      </c>
      <c r="H407" s="121" t="s">
        <v>1297</v>
      </c>
      <c r="I407" s="121" t="s">
        <v>475</v>
      </c>
      <c r="J407" s="121" t="s">
        <v>768</v>
      </c>
      <c r="K407" s="121" t="s">
        <v>475</v>
      </c>
      <c r="L407" s="121" t="s">
        <v>769</v>
      </c>
      <c r="M407" s="127" t="str">
        <f t="shared" si="8"/>
        <v>View on Google Map</v>
      </c>
      <c r="N407" s="121">
        <f t="shared" si="7"/>
        <v>53</v>
      </c>
    </row>
    <row r="408" spans="1:14" x14ac:dyDescent="0.2">
      <c r="A408" s="121">
        <v>342</v>
      </c>
      <c r="B408" s="121" t="s">
        <v>1298</v>
      </c>
      <c r="C408" s="121" t="s">
        <v>1299</v>
      </c>
      <c r="D408" s="121">
        <v>68.556077412199997</v>
      </c>
      <c r="E408" s="121">
        <v>-149.93361884199999</v>
      </c>
      <c r="F408" s="121" t="s">
        <v>475</v>
      </c>
      <c r="G408" s="121" t="s">
        <v>486</v>
      </c>
      <c r="H408" s="121" t="s">
        <v>1300</v>
      </c>
      <c r="I408" s="121" t="s">
        <v>475</v>
      </c>
      <c r="J408" s="121" t="s">
        <v>768</v>
      </c>
      <c r="K408" s="121" t="s">
        <v>475</v>
      </c>
      <c r="L408" s="121" t="s">
        <v>769</v>
      </c>
      <c r="M408" s="127" t="str">
        <f t="shared" si="8"/>
        <v>View on Google Map</v>
      </c>
      <c r="N408" s="121">
        <f t="shared" si="7"/>
        <v>54</v>
      </c>
    </row>
    <row r="409" spans="1:14" x14ac:dyDescent="0.2">
      <c r="A409" s="121">
        <v>343</v>
      </c>
      <c r="B409" s="121" t="s">
        <v>1301</v>
      </c>
      <c r="C409" s="121" t="s">
        <v>1302</v>
      </c>
      <c r="D409" s="121">
        <v>68.567959712100006</v>
      </c>
      <c r="E409" s="121">
        <v>-149.89938475599999</v>
      </c>
      <c r="F409" s="121" t="s">
        <v>475</v>
      </c>
      <c r="G409" s="121" t="s">
        <v>486</v>
      </c>
      <c r="H409" s="121" t="s">
        <v>1303</v>
      </c>
      <c r="I409" s="121" t="s">
        <v>475</v>
      </c>
      <c r="J409" s="121" t="s">
        <v>768</v>
      </c>
      <c r="K409" s="121" t="s">
        <v>475</v>
      </c>
      <c r="L409" s="121" t="s">
        <v>769</v>
      </c>
      <c r="M409" s="127" t="str">
        <f t="shared" si="8"/>
        <v>View on Google Map</v>
      </c>
      <c r="N409" s="121">
        <f t="shared" si="7"/>
        <v>55</v>
      </c>
    </row>
    <row r="410" spans="1:14" x14ac:dyDescent="0.2">
      <c r="A410" s="121">
        <v>344</v>
      </c>
      <c r="B410" s="121" t="s">
        <v>1304</v>
      </c>
      <c r="C410" s="121" t="s">
        <v>1305</v>
      </c>
      <c r="D410" s="121">
        <v>68.615854386999999</v>
      </c>
      <c r="E410" s="121">
        <v>-149.123111674</v>
      </c>
      <c r="F410" s="121" t="s">
        <v>475</v>
      </c>
      <c r="G410" s="121" t="s">
        <v>486</v>
      </c>
      <c r="H410" s="121" t="s">
        <v>1306</v>
      </c>
      <c r="I410" s="121" t="s">
        <v>475</v>
      </c>
      <c r="J410" s="121" t="s">
        <v>768</v>
      </c>
      <c r="K410" s="121" t="s">
        <v>475</v>
      </c>
      <c r="L410" s="121" t="s">
        <v>769</v>
      </c>
      <c r="M410" s="127" t="str">
        <f t="shared" si="8"/>
        <v>View on Google Map</v>
      </c>
      <c r="N410" s="121">
        <f t="shared" si="7"/>
        <v>56</v>
      </c>
    </row>
    <row r="411" spans="1:14" x14ac:dyDescent="0.2">
      <c r="A411" s="121">
        <v>345</v>
      </c>
      <c r="B411" s="121" t="s">
        <v>1307</v>
      </c>
      <c r="C411" s="121" t="s">
        <v>1308</v>
      </c>
      <c r="D411" s="121">
        <v>68.622759303600006</v>
      </c>
      <c r="E411" s="121">
        <v>-149.15087640600001</v>
      </c>
      <c r="F411" s="121">
        <v>861</v>
      </c>
      <c r="G411" s="121" t="s">
        <v>486</v>
      </c>
      <c r="H411" s="121" t="s">
        <v>1309</v>
      </c>
      <c r="I411" s="121" t="s">
        <v>475</v>
      </c>
      <c r="J411" s="121" t="s">
        <v>768</v>
      </c>
      <c r="K411" s="121" t="s">
        <v>475</v>
      </c>
      <c r="L411" s="121" t="s">
        <v>769</v>
      </c>
      <c r="M411" s="127" t="str">
        <f t="shared" si="8"/>
        <v>View on Google Map</v>
      </c>
      <c r="N411" s="121">
        <f t="shared" si="7"/>
        <v>57</v>
      </c>
    </row>
    <row r="412" spans="1:14" x14ac:dyDescent="0.2">
      <c r="A412" s="121">
        <v>346</v>
      </c>
      <c r="B412" s="121" t="s">
        <v>1310</v>
      </c>
      <c r="C412" s="121" t="s">
        <v>1311</v>
      </c>
      <c r="D412" s="121">
        <v>68.625381351599998</v>
      </c>
      <c r="E412" s="121">
        <v>-149.13918719200001</v>
      </c>
      <c r="F412" s="121">
        <v>877</v>
      </c>
      <c r="G412" s="121" t="s">
        <v>486</v>
      </c>
      <c r="H412" s="121" t="s">
        <v>1312</v>
      </c>
      <c r="I412" s="121" t="s">
        <v>475</v>
      </c>
      <c r="J412" s="121" t="s">
        <v>768</v>
      </c>
      <c r="K412" s="121" t="s">
        <v>475</v>
      </c>
      <c r="L412" s="121" t="s">
        <v>769</v>
      </c>
      <c r="M412" s="127" t="str">
        <f t="shared" si="8"/>
        <v>View on Google Map</v>
      </c>
      <c r="N412" s="121">
        <f t="shared" si="7"/>
        <v>58</v>
      </c>
    </row>
    <row r="413" spans="1:14" x14ac:dyDescent="0.2">
      <c r="A413" s="121">
        <v>347</v>
      </c>
      <c r="B413" s="121" t="s">
        <v>1313</v>
      </c>
      <c r="C413" s="121" t="s">
        <v>1314</v>
      </c>
      <c r="D413" s="121">
        <v>68.630955107899993</v>
      </c>
      <c r="E413" s="121">
        <v>-149.161535972</v>
      </c>
      <c r="F413" s="121">
        <v>858</v>
      </c>
      <c r="G413" s="121" t="s">
        <v>486</v>
      </c>
      <c r="H413" s="121" t="s">
        <v>1315</v>
      </c>
      <c r="I413" s="121" t="s">
        <v>475</v>
      </c>
      <c r="J413" s="121" t="s">
        <v>768</v>
      </c>
      <c r="K413" s="121" t="s">
        <v>475</v>
      </c>
      <c r="L413" s="121" t="s">
        <v>769</v>
      </c>
      <c r="M413" s="127" t="str">
        <f t="shared" si="8"/>
        <v>View on Google Map</v>
      </c>
      <c r="N413" s="121">
        <f t="shared" si="7"/>
        <v>59</v>
      </c>
    </row>
    <row r="414" spans="1:14" x14ac:dyDescent="0.2">
      <c r="A414" s="121">
        <v>348</v>
      </c>
      <c r="B414" s="121" t="s">
        <v>1316</v>
      </c>
      <c r="C414" s="121" t="s">
        <v>1317</v>
      </c>
      <c r="D414" s="121">
        <v>68.636431312400006</v>
      </c>
      <c r="E414" s="121">
        <v>-149.14390222200001</v>
      </c>
      <c r="F414" s="121" t="s">
        <v>475</v>
      </c>
      <c r="G414" s="121" t="s">
        <v>486</v>
      </c>
      <c r="H414" s="121" t="s">
        <v>1318</v>
      </c>
      <c r="I414" s="121" t="s">
        <v>475</v>
      </c>
      <c r="J414" s="121" t="s">
        <v>768</v>
      </c>
      <c r="K414" s="121" t="s">
        <v>475</v>
      </c>
      <c r="L414" s="121" t="s">
        <v>769</v>
      </c>
      <c r="M414" s="127" t="str">
        <f t="shared" si="8"/>
        <v>View on Google Map</v>
      </c>
      <c r="N414" s="121">
        <f t="shared" si="7"/>
        <v>60</v>
      </c>
    </row>
    <row r="415" spans="1:14" x14ac:dyDescent="0.2">
      <c r="A415" s="121">
        <v>349</v>
      </c>
      <c r="B415" s="121" t="s">
        <v>1319</v>
      </c>
      <c r="C415" s="121" t="s">
        <v>1320</v>
      </c>
      <c r="D415" s="121">
        <v>68.638723598300004</v>
      </c>
      <c r="E415" s="121">
        <v>-149.17862426400001</v>
      </c>
      <c r="F415" s="121" t="s">
        <v>475</v>
      </c>
      <c r="G415" s="121" t="s">
        <v>486</v>
      </c>
      <c r="H415" s="121" t="s">
        <v>1321</v>
      </c>
      <c r="I415" s="121" t="s">
        <v>475</v>
      </c>
      <c r="J415" s="121" t="s">
        <v>768</v>
      </c>
      <c r="K415" s="121" t="s">
        <v>475</v>
      </c>
      <c r="L415" s="121" t="s">
        <v>769</v>
      </c>
      <c r="M415" s="127" t="str">
        <f t="shared" si="8"/>
        <v>View on Google Map</v>
      </c>
      <c r="N415" s="121">
        <f t="shared" si="7"/>
        <v>61</v>
      </c>
    </row>
    <row r="416" spans="1:14" x14ac:dyDescent="0.2">
      <c r="A416" s="121">
        <v>350</v>
      </c>
      <c r="B416" s="121" t="s">
        <v>1322</v>
      </c>
      <c r="C416" s="121" t="s">
        <v>1323</v>
      </c>
      <c r="D416" s="121">
        <v>68.634874735899999</v>
      </c>
      <c r="E416" s="121">
        <v>-149.193728236</v>
      </c>
      <c r="F416" s="121" t="s">
        <v>475</v>
      </c>
      <c r="G416" s="121" t="s">
        <v>486</v>
      </c>
      <c r="H416" s="121" t="s">
        <v>1324</v>
      </c>
      <c r="I416" s="121" t="s">
        <v>475</v>
      </c>
      <c r="J416" s="121" t="s">
        <v>768</v>
      </c>
      <c r="K416" s="121" t="s">
        <v>475</v>
      </c>
      <c r="L416" s="121" t="s">
        <v>769</v>
      </c>
      <c r="M416" s="127" t="str">
        <f t="shared" si="8"/>
        <v>View on Google Map</v>
      </c>
      <c r="N416" s="121">
        <f t="shared" si="7"/>
        <v>62</v>
      </c>
    </row>
    <row r="417" spans="1:14" x14ac:dyDescent="0.2">
      <c r="A417" s="121">
        <v>351</v>
      </c>
      <c r="B417" s="121" t="s">
        <v>1325</v>
      </c>
      <c r="C417" s="121" t="s">
        <v>1326</v>
      </c>
      <c r="D417" s="121">
        <v>68.630921065799996</v>
      </c>
      <c r="E417" s="121">
        <v>-149.19135200100001</v>
      </c>
      <c r="F417" s="121" t="s">
        <v>475</v>
      </c>
      <c r="G417" s="121" t="s">
        <v>486</v>
      </c>
      <c r="H417" s="121" t="s">
        <v>1327</v>
      </c>
      <c r="I417" s="121" t="s">
        <v>475</v>
      </c>
      <c r="J417" s="121" t="s">
        <v>768</v>
      </c>
      <c r="K417" s="121" t="s">
        <v>475</v>
      </c>
      <c r="L417" s="121" t="s">
        <v>769</v>
      </c>
      <c r="M417" s="127" t="str">
        <f t="shared" si="8"/>
        <v>View on Google Map</v>
      </c>
      <c r="N417" s="121">
        <f t="shared" si="7"/>
        <v>63</v>
      </c>
    </row>
    <row r="418" spans="1:14" x14ac:dyDescent="0.2">
      <c r="A418" s="121">
        <v>352</v>
      </c>
      <c r="B418" s="121" t="s">
        <v>1328</v>
      </c>
      <c r="C418" s="121" t="s">
        <v>1329</v>
      </c>
      <c r="D418" s="121">
        <v>68.635774522800006</v>
      </c>
      <c r="E418" s="121">
        <v>-149.20688041899999</v>
      </c>
      <c r="F418" s="121" t="s">
        <v>475</v>
      </c>
      <c r="G418" s="121" t="s">
        <v>486</v>
      </c>
      <c r="H418" s="121" t="s">
        <v>1330</v>
      </c>
      <c r="I418" s="121" t="s">
        <v>475</v>
      </c>
      <c r="J418" s="121" t="s">
        <v>768</v>
      </c>
      <c r="K418" s="121" t="s">
        <v>475</v>
      </c>
      <c r="L418" s="121" t="s">
        <v>769</v>
      </c>
      <c r="M418" s="127" t="str">
        <f t="shared" si="8"/>
        <v>View on Google Map</v>
      </c>
      <c r="N418" s="121">
        <f t="shared" si="7"/>
        <v>64</v>
      </c>
    </row>
    <row r="419" spans="1:14" x14ac:dyDescent="0.2">
      <c r="A419" s="121">
        <v>353</v>
      </c>
      <c r="B419" s="121" t="s">
        <v>1331</v>
      </c>
      <c r="C419" s="121" t="s">
        <v>1332</v>
      </c>
      <c r="D419" s="121">
        <v>68.585080002200002</v>
      </c>
      <c r="E419" s="121">
        <v>-149.208359645</v>
      </c>
      <c r="F419" s="121">
        <v>898</v>
      </c>
      <c r="G419" s="121" t="s">
        <v>486</v>
      </c>
      <c r="H419" s="121" t="s">
        <v>1333</v>
      </c>
      <c r="I419" s="121" t="s">
        <v>475</v>
      </c>
      <c r="J419" s="121" t="s">
        <v>768</v>
      </c>
      <c r="K419" s="121" t="s">
        <v>475</v>
      </c>
      <c r="L419" s="121" t="s">
        <v>769</v>
      </c>
      <c r="M419" s="127" t="str">
        <f t="shared" si="8"/>
        <v>View on Google Map</v>
      </c>
      <c r="N419" s="121">
        <f t="shared" si="7"/>
        <v>65</v>
      </c>
    </row>
    <row r="420" spans="1:14" x14ac:dyDescent="0.2">
      <c r="A420" s="121">
        <v>354</v>
      </c>
      <c r="B420" s="121" t="s">
        <v>1334</v>
      </c>
      <c r="C420" s="121" t="s">
        <v>1335</v>
      </c>
      <c r="D420" s="121">
        <v>68.583148055099997</v>
      </c>
      <c r="E420" s="121">
        <v>-149.19950362399999</v>
      </c>
      <c r="F420" s="121">
        <v>896</v>
      </c>
      <c r="G420" s="121" t="s">
        <v>486</v>
      </c>
      <c r="H420" s="121" t="s">
        <v>1336</v>
      </c>
      <c r="I420" s="121" t="s">
        <v>475</v>
      </c>
      <c r="J420" s="121" t="s">
        <v>768</v>
      </c>
      <c r="K420" s="121" t="s">
        <v>475</v>
      </c>
      <c r="L420" s="121" t="s">
        <v>769</v>
      </c>
      <c r="M420" s="127" t="str">
        <f t="shared" si="8"/>
        <v>View on Google Map</v>
      </c>
      <c r="N420" s="121">
        <f t="shared" ref="N420:N434" si="9">VALUE(MID(H420,5,3))</f>
        <v>66</v>
      </c>
    </row>
    <row r="421" spans="1:14" x14ac:dyDescent="0.2">
      <c r="A421" s="121">
        <v>355</v>
      </c>
      <c r="B421" s="121" t="s">
        <v>1337</v>
      </c>
      <c r="C421" s="121" t="s">
        <v>1338</v>
      </c>
      <c r="D421" s="121">
        <v>68.589302268899999</v>
      </c>
      <c r="E421" s="121">
        <v>-149.18432651699999</v>
      </c>
      <c r="F421" s="121">
        <v>880</v>
      </c>
      <c r="G421" s="121" t="s">
        <v>486</v>
      </c>
      <c r="H421" s="121" t="s">
        <v>1339</v>
      </c>
      <c r="I421" s="121" t="s">
        <v>475</v>
      </c>
      <c r="J421" s="121" t="s">
        <v>768</v>
      </c>
      <c r="K421" s="121" t="s">
        <v>475</v>
      </c>
      <c r="L421" s="121" t="s">
        <v>769</v>
      </c>
      <c r="M421" s="127" t="str">
        <f t="shared" si="8"/>
        <v>View on Google Map</v>
      </c>
      <c r="N421" s="121">
        <f t="shared" si="9"/>
        <v>67</v>
      </c>
    </row>
    <row r="422" spans="1:14" x14ac:dyDescent="0.2">
      <c r="A422" s="121">
        <v>357</v>
      </c>
      <c r="B422" s="121" t="s">
        <v>1340</v>
      </c>
      <c r="C422" s="121" t="s">
        <v>1341</v>
      </c>
      <c r="D422" s="121">
        <v>68.595953562800005</v>
      </c>
      <c r="E422" s="121">
        <v>-149.161045868</v>
      </c>
      <c r="F422" s="121" t="s">
        <v>475</v>
      </c>
      <c r="G422" s="121" t="s">
        <v>486</v>
      </c>
      <c r="H422" s="121" t="s">
        <v>1342</v>
      </c>
      <c r="I422" s="121" t="s">
        <v>475</v>
      </c>
      <c r="J422" s="121" t="s">
        <v>768</v>
      </c>
      <c r="K422" s="121" t="s">
        <v>475</v>
      </c>
      <c r="L422" s="121" t="s">
        <v>769</v>
      </c>
      <c r="M422" s="127" t="str">
        <f t="shared" si="8"/>
        <v>View on Google Map</v>
      </c>
      <c r="N422" s="121">
        <f t="shared" si="9"/>
        <v>69</v>
      </c>
    </row>
    <row r="423" spans="1:14" x14ac:dyDescent="0.2">
      <c r="A423" s="121">
        <v>358</v>
      </c>
      <c r="B423" s="121" t="s">
        <v>1343</v>
      </c>
      <c r="C423" s="121" t="s">
        <v>1344</v>
      </c>
      <c r="D423" s="121">
        <v>68.590721600400002</v>
      </c>
      <c r="E423" s="121">
        <v>-149.17612158099999</v>
      </c>
      <c r="F423" s="121" t="s">
        <v>475</v>
      </c>
      <c r="G423" s="121" t="s">
        <v>486</v>
      </c>
      <c r="H423" s="121" t="s">
        <v>1345</v>
      </c>
      <c r="I423" s="121" t="s">
        <v>475</v>
      </c>
      <c r="J423" s="121" t="s">
        <v>768</v>
      </c>
      <c r="K423" s="121" t="s">
        <v>475</v>
      </c>
      <c r="L423" s="121" t="s">
        <v>769</v>
      </c>
      <c r="M423" s="127" t="str">
        <f t="shared" si="8"/>
        <v>View on Google Map</v>
      </c>
      <c r="N423" s="121">
        <f t="shared" si="9"/>
        <v>70</v>
      </c>
    </row>
    <row r="424" spans="1:14" x14ac:dyDescent="0.2">
      <c r="A424" s="121">
        <v>359</v>
      </c>
      <c r="B424" s="121" t="s">
        <v>1346</v>
      </c>
      <c r="C424" s="121" t="s">
        <v>1347</v>
      </c>
      <c r="D424" s="121">
        <v>68.600362864999994</v>
      </c>
      <c r="E424" s="121">
        <v>-149.14055367099999</v>
      </c>
      <c r="F424" s="121" t="s">
        <v>475</v>
      </c>
      <c r="G424" s="121" t="s">
        <v>486</v>
      </c>
      <c r="H424" s="121" t="s">
        <v>1348</v>
      </c>
      <c r="I424" s="121" t="s">
        <v>475</v>
      </c>
      <c r="J424" s="121" t="s">
        <v>768</v>
      </c>
      <c r="K424" s="121" t="s">
        <v>475</v>
      </c>
      <c r="L424" s="121" t="s">
        <v>769</v>
      </c>
      <c r="M424" s="127" t="str">
        <f t="shared" si="8"/>
        <v>View on Google Map</v>
      </c>
      <c r="N424" s="121">
        <f t="shared" si="9"/>
        <v>71</v>
      </c>
    </row>
    <row r="425" spans="1:14" x14ac:dyDescent="0.2">
      <c r="A425" s="121">
        <v>360</v>
      </c>
      <c r="B425" s="121" t="s">
        <v>1349</v>
      </c>
      <c r="C425" s="121" t="s">
        <v>1350</v>
      </c>
      <c r="D425" s="121">
        <v>68.610380375800005</v>
      </c>
      <c r="E425" s="121">
        <v>-149.15074315300001</v>
      </c>
      <c r="F425" s="121" t="s">
        <v>475</v>
      </c>
      <c r="G425" s="121" t="s">
        <v>486</v>
      </c>
      <c r="H425" s="121" t="s">
        <v>1351</v>
      </c>
      <c r="I425" s="121" t="s">
        <v>475</v>
      </c>
      <c r="J425" s="121" t="s">
        <v>768</v>
      </c>
      <c r="K425" s="121" t="s">
        <v>475</v>
      </c>
      <c r="L425" s="121" t="s">
        <v>769</v>
      </c>
      <c r="M425" s="127" t="str">
        <f t="shared" si="8"/>
        <v>View on Google Map</v>
      </c>
      <c r="N425" s="121">
        <f t="shared" si="9"/>
        <v>72</v>
      </c>
    </row>
    <row r="426" spans="1:14" x14ac:dyDescent="0.2">
      <c r="A426" s="121">
        <v>361</v>
      </c>
      <c r="B426" s="121" t="s">
        <v>1352</v>
      </c>
      <c r="C426" s="121" t="s">
        <v>1353</v>
      </c>
      <c r="D426" s="121">
        <v>68.6163784405</v>
      </c>
      <c r="E426" s="121">
        <v>-149.16060521700001</v>
      </c>
      <c r="F426" s="121" t="s">
        <v>475</v>
      </c>
      <c r="G426" s="121" t="s">
        <v>486</v>
      </c>
      <c r="H426" s="121" t="s">
        <v>1354</v>
      </c>
      <c r="I426" s="121" t="s">
        <v>475</v>
      </c>
      <c r="J426" s="121" t="s">
        <v>768</v>
      </c>
      <c r="K426" s="121" t="s">
        <v>475</v>
      </c>
      <c r="L426" s="121" t="s">
        <v>769</v>
      </c>
      <c r="M426" s="127" t="str">
        <f t="shared" si="8"/>
        <v>View on Google Map</v>
      </c>
      <c r="N426" s="121">
        <f t="shared" si="9"/>
        <v>73</v>
      </c>
    </row>
    <row r="427" spans="1:14" x14ac:dyDescent="0.2">
      <c r="A427" s="121">
        <v>362</v>
      </c>
      <c r="B427" s="121" t="s">
        <v>1355</v>
      </c>
      <c r="C427" s="121" t="s">
        <v>1356</v>
      </c>
      <c r="D427" s="121">
        <v>68.617934232500005</v>
      </c>
      <c r="E427" s="121">
        <v>-149.18594585299999</v>
      </c>
      <c r="F427" s="121" t="s">
        <v>475</v>
      </c>
      <c r="G427" s="121" t="s">
        <v>486</v>
      </c>
      <c r="H427" s="121" t="s">
        <v>1357</v>
      </c>
      <c r="I427" s="121" t="s">
        <v>475</v>
      </c>
      <c r="J427" s="121" t="s">
        <v>768</v>
      </c>
      <c r="K427" s="121" t="s">
        <v>475</v>
      </c>
      <c r="L427" s="121" t="s">
        <v>769</v>
      </c>
      <c r="M427" s="127" t="str">
        <f t="shared" si="8"/>
        <v>View on Google Map</v>
      </c>
      <c r="N427" s="121">
        <f t="shared" si="9"/>
        <v>74</v>
      </c>
    </row>
    <row r="428" spans="1:14" x14ac:dyDescent="0.2">
      <c r="A428" s="121">
        <v>363</v>
      </c>
      <c r="B428" s="121" t="s">
        <v>1358</v>
      </c>
      <c r="C428" s="121" t="s">
        <v>1359</v>
      </c>
      <c r="D428" s="121">
        <v>68.614396448299999</v>
      </c>
      <c r="E428" s="121">
        <v>-149.19403818800001</v>
      </c>
      <c r="F428" s="121" t="s">
        <v>475</v>
      </c>
      <c r="G428" s="121" t="s">
        <v>486</v>
      </c>
      <c r="H428" s="121" t="s">
        <v>1360</v>
      </c>
      <c r="I428" s="121" t="s">
        <v>475</v>
      </c>
      <c r="J428" s="121" t="s">
        <v>768</v>
      </c>
      <c r="K428" s="121" t="s">
        <v>475</v>
      </c>
      <c r="L428" s="121" t="s">
        <v>769</v>
      </c>
      <c r="M428" s="127" t="str">
        <f t="shared" si="8"/>
        <v>View on Google Map</v>
      </c>
      <c r="N428" s="121">
        <f t="shared" si="9"/>
        <v>75</v>
      </c>
    </row>
    <row r="429" spans="1:14" x14ac:dyDescent="0.2">
      <c r="A429" s="121">
        <v>364</v>
      </c>
      <c r="B429" s="121" t="s">
        <v>1361</v>
      </c>
      <c r="C429" s="121" t="s">
        <v>1362</v>
      </c>
      <c r="D429" s="121">
        <v>68.694256581000005</v>
      </c>
      <c r="E429" s="121">
        <v>-149.73679655699999</v>
      </c>
      <c r="F429" s="121" t="s">
        <v>475</v>
      </c>
      <c r="G429" s="121" t="s">
        <v>486</v>
      </c>
      <c r="H429" s="121" t="s">
        <v>1363</v>
      </c>
      <c r="I429" s="121" t="s">
        <v>475</v>
      </c>
      <c r="J429" s="121" t="s">
        <v>768</v>
      </c>
      <c r="K429" s="121" t="s">
        <v>475</v>
      </c>
      <c r="L429" s="121" t="s">
        <v>769</v>
      </c>
      <c r="M429" s="127" t="str">
        <f t="shared" si="8"/>
        <v>View on Google Map</v>
      </c>
      <c r="N429" s="121">
        <f t="shared" si="9"/>
        <v>76</v>
      </c>
    </row>
    <row r="430" spans="1:14" x14ac:dyDescent="0.2">
      <c r="A430" s="121">
        <v>365</v>
      </c>
      <c r="B430" s="121" t="s">
        <v>1364</v>
      </c>
      <c r="C430" s="121" t="s">
        <v>1365</v>
      </c>
      <c r="D430" s="121">
        <v>68.696056827099994</v>
      </c>
      <c r="E430" s="121">
        <v>-149.73131395300001</v>
      </c>
      <c r="F430" s="121" t="s">
        <v>475</v>
      </c>
      <c r="G430" s="121" t="s">
        <v>486</v>
      </c>
      <c r="H430" s="121" t="s">
        <v>1366</v>
      </c>
      <c r="I430" s="121" t="s">
        <v>475</v>
      </c>
      <c r="J430" s="121" t="s">
        <v>768</v>
      </c>
      <c r="K430" s="121" t="s">
        <v>475</v>
      </c>
      <c r="L430" s="121" t="s">
        <v>769</v>
      </c>
      <c r="M430" s="127" t="str">
        <f t="shared" si="8"/>
        <v>View on Google Map</v>
      </c>
      <c r="N430" s="121">
        <f t="shared" si="9"/>
        <v>77</v>
      </c>
    </row>
    <row r="431" spans="1:14" x14ac:dyDescent="0.2">
      <c r="A431" s="121">
        <v>366</v>
      </c>
      <c r="B431" s="121" t="s">
        <v>1367</v>
      </c>
      <c r="C431" s="121" t="s">
        <v>1368</v>
      </c>
      <c r="D431" s="121">
        <v>68.696468206399999</v>
      </c>
      <c r="E431" s="121">
        <v>-149.708828248</v>
      </c>
      <c r="F431" s="121" t="s">
        <v>475</v>
      </c>
      <c r="G431" s="121" t="s">
        <v>486</v>
      </c>
      <c r="H431" s="121" t="s">
        <v>1369</v>
      </c>
      <c r="I431" s="121" t="s">
        <v>475</v>
      </c>
      <c r="J431" s="121" t="s">
        <v>768</v>
      </c>
      <c r="K431" s="121" t="s">
        <v>475</v>
      </c>
      <c r="L431" s="121" t="s">
        <v>769</v>
      </c>
      <c r="M431" s="127" t="str">
        <f t="shared" si="8"/>
        <v>View on Google Map</v>
      </c>
      <c r="N431" s="121">
        <f t="shared" si="9"/>
        <v>78</v>
      </c>
    </row>
    <row r="432" spans="1:14" x14ac:dyDescent="0.2">
      <c r="A432" s="121">
        <v>367</v>
      </c>
      <c r="B432" s="121" t="s">
        <v>1370</v>
      </c>
      <c r="C432" s="121" t="s">
        <v>1371</v>
      </c>
      <c r="D432" s="121">
        <v>68.688141157800004</v>
      </c>
      <c r="E432" s="121">
        <v>-149.73555264800001</v>
      </c>
      <c r="F432" s="121" t="s">
        <v>475</v>
      </c>
      <c r="G432" s="121" t="s">
        <v>486</v>
      </c>
      <c r="H432" s="121" t="s">
        <v>1372</v>
      </c>
      <c r="I432" s="121" t="s">
        <v>475</v>
      </c>
      <c r="J432" s="121" t="s">
        <v>768</v>
      </c>
      <c r="K432" s="121" t="s">
        <v>475</v>
      </c>
      <c r="L432" s="121" t="s">
        <v>769</v>
      </c>
      <c r="M432" s="127" t="str">
        <f t="shared" si="8"/>
        <v>View on Google Map</v>
      </c>
      <c r="N432" s="121">
        <f t="shared" si="9"/>
        <v>79</v>
      </c>
    </row>
    <row r="433" spans="1:14" x14ac:dyDescent="0.2">
      <c r="A433" s="121">
        <v>368</v>
      </c>
      <c r="B433" s="121" t="s">
        <v>1373</v>
      </c>
      <c r="C433" s="121" t="s">
        <v>1374</v>
      </c>
      <c r="D433" s="121">
        <v>68.682810930000002</v>
      </c>
      <c r="E433" s="121">
        <v>-149.73974315500001</v>
      </c>
      <c r="F433" s="121" t="s">
        <v>475</v>
      </c>
      <c r="G433" s="121" t="s">
        <v>486</v>
      </c>
      <c r="H433" s="121" t="s">
        <v>1375</v>
      </c>
      <c r="I433" s="121" t="s">
        <v>475</v>
      </c>
      <c r="J433" s="121" t="s">
        <v>768</v>
      </c>
      <c r="K433" s="121" t="s">
        <v>475</v>
      </c>
      <c r="L433" s="121" t="s">
        <v>769</v>
      </c>
      <c r="M433" s="127" t="str">
        <f t="shared" si="8"/>
        <v>View on Google Map</v>
      </c>
      <c r="N433" s="121">
        <f t="shared" si="9"/>
        <v>80</v>
      </c>
    </row>
    <row r="434" spans="1:14" x14ac:dyDescent="0.2">
      <c r="A434" s="121">
        <v>369</v>
      </c>
      <c r="B434" s="121" t="s">
        <v>1376</v>
      </c>
      <c r="C434" s="121" t="s">
        <v>1377</v>
      </c>
      <c r="D434" s="121">
        <v>68.682815967099998</v>
      </c>
      <c r="E434" s="121">
        <v>-149.759701116</v>
      </c>
      <c r="F434" s="121" t="s">
        <v>475</v>
      </c>
      <c r="G434" s="121" t="s">
        <v>486</v>
      </c>
      <c r="H434" s="121" t="s">
        <v>1378</v>
      </c>
      <c r="I434" s="121" t="s">
        <v>475</v>
      </c>
      <c r="J434" s="121" t="s">
        <v>768</v>
      </c>
      <c r="K434" s="121" t="s">
        <v>475</v>
      </c>
      <c r="L434" s="121" t="s">
        <v>769</v>
      </c>
      <c r="M434" s="127" t="str">
        <f t="shared" si="8"/>
        <v>View on Google Map</v>
      </c>
      <c r="N434" s="121">
        <f t="shared" si="9"/>
        <v>81</v>
      </c>
    </row>
    <row r="435" spans="1:14" x14ac:dyDescent="0.2">
      <c r="A435" s="121">
        <v>1225</v>
      </c>
      <c r="B435" s="121" t="s">
        <v>1379</v>
      </c>
      <c r="C435" s="27" t="s">
        <v>1380</v>
      </c>
      <c r="D435" s="121">
        <v>68.641727000000003</v>
      </c>
      <c r="E435" s="121">
        <v>-149.58665300000001</v>
      </c>
      <c r="F435" s="121">
        <v>724</v>
      </c>
      <c r="G435" s="121" t="s">
        <v>476</v>
      </c>
      <c r="H435" s="121" t="s">
        <v>475</v>
      </c>
      <c r="I435" s="121" t="s">
        <v>475</v>
      </c>
      <c r="J435" s="121" t="s">
        <v>501</v>
      </c>
      <c r="K435" s="121" t="s">
        <v>475</v>
      </c>
      <c r="L435" s="121" t="s">
        <v>475</v>
      </c>
      <c r="M435" s="127" t="str">
        <f t="shared" si="8"/>
        <v>View on Google Map</v>
      </c>
    </row>
    <row r="436" spans="1:14" x14ac:dyDescent="0.2">
      <c r="B436" s="121" t="s">
        <v>1381</v>
      </c>
      <c r="C436" s="129" t="s">
        <v>1382</v>
      </c>
      <c r="D436" s="121">
        <v>68.622865000000004</v>
      </c>
      <c r="E436" s="121">
        <v>-149.60854499999999</v>
      </c>
      <c r="F436" s="121">
        <v>758</v>
      </c>
      <c r="G436" s="121" t="s">
        <v>476</v>
      </c>
      <c r="J436" s="121" t="s">
        <v>501</v>
      </c>
      <c r="M436" s="127" t="str">
        <f t="shared" si="8"/>
        <v>View on Google Map</v>
      </c>
    </row>
    <row r="437" spans="1:14" x14ac:dyDescent="0.2">
      <c r="A437" s="121">
        <v>1220</v>
      </c>
      <c r="B437" s="121" t="s">
        <v>1383</v>
      </c>
      <c r="C437" s="27" t="s">
        <v>1384</v>
      </c>
      <c r="D437" s="121">
        <v>68.624410999999995</v>
      </c>
      <c r="E437" s="121">
        <v>-149.609589</v>
      </c>
      <c r="F437" s="121">
        <v>750</v>
      </c>
      <c r="G437" s="121" t="s">
        <v>476</v>
      </c>
      <c r="H437" s="121" t="s">
        <v>475</v>
      </c>
      <c r="I437" s="121" t="s">
        <v>475</v>
      </c>
      <c r="J437" s="121" t="s">
        <v>501</v>
      </c>
      <c r="K437" s="121" t="s">
        <v>475</v>
      </c>
      <c r="L437" s="121" t="s">
        <v>475</v>
      </c>
      <c r="M437" s="127" t="str">
        <f t="shared" si="8"/>
        <v>View on Google Map</v>
      </c>
    </row>
    <row r="438" spans="1:14" x14ac:dyDescent="0.2">
      <c r="A438" s="121">
        <v>1222</v>
      </c>
      <c r="B438" s="121" t="s">
        <v>1385</v>
      </c>
      <c r="C438" s="27" t="s">
        <v>1386</v>
      </c>
      <c r="D438" s="121">
        <v>68.629636000000005</v>
      </c>
      <c r="E438" s="121">
        <v>-149.57565600000001</v>
      </c>
      <c r="F438" s="121">
        <v>755</v>
      </c>
      <c r="G438" s="121" t="s">
        <v>476</v>
      </c>
      <c r="H438" s="121" t="s">
        <v>475</v>
      </c>
      <c r="I438" s="121" t="s">
        <v>475</v>
      </c>
      <c r="J438" s="121" t="s">
        <v>501</v>
      </c>
      <c r="K438" s="121" t="s">
        <v>475</v>
      </c>
      <c r="L438" s="121" t="s">
        <v>475</v>
      </c>
      <c r="M438" s="127" t="str">
        <f t="shared" si="8"/>
        <v>View on Google Map</v>
      </c>
    </row>
    <row r="439" spans="1:14" x14ac:dyDescent="0.2">
      <c r="A439" s="121">
        <v>1228</v>
      </c>
      <c r="B439" s="121" t="s">
        <v>1387</v>
      </c>
      <c r="C439" s="27" t="s">
        <v>1388</v>
      </c>
      <c r="D439" s="121">
        <v>68.634530999999996</v>
      </c>
      <c r="E439" s="121">
        <v>-149.64205799999999</v>
      </c>
      <c r="F439" s="121">
        <v>748</v>
      </c>
      <c r="G439" s="121" t="s">
        <v>476</v>
      </c>
      <c r="H439" s="121" t="s">
        <v>475</v>
      </c>
      <c r="I439" s="121" t="s">
        <v>475</v>
      </c>
      <c r="J439" s="121" t="s">
        <v>501</v>
      </c>
      <c r="K439" s="121" t="s">
        <v>475</v>
      </c>
      <c r="L439" s="121" t="s">
        <v>475</v>
      </c>
      <c r="M439" s="127" t="str">
        <f t="shared" si="8"/>
        <v>View on Google Map</v>
      </c>
    </row>
    <row r="440" spans="1:14" x14ac:dyDescent="0.2">
      <c r="A440" s="121">
        <v>1227</v>
      </c>
      <c r="B440" s="121" t="s">
        <v>1389</v>
      </c>
      <c r="C440" s="27" t="s">
        <v>1390</v>
      </c>
      <c r="D440" s="121">
        <v>68.634039000000001</v>
      </c>
      <c r="E440" s="121">
        <v>-149.63704899999999</v>
      </c>
      <c r="F440" s="121">
        <v>750</v>
      </c>
      <c r="G440" s="121" t="s">
        <v>476</v>
      </c>
      <c r="H440" s="121" t="s">
        <v>475</v>
      </c>
      <c r="I440" s="121" t="s">
        <v>475</v>
      </c>
      <c r="J440" s="121" t="s">
        <v>501</v>
      </c>
      <c r="K440" s="121" t="s">
        <v>475</v>
      </c>
      <c r="L440" s="121" t="s">
        <v>475</v>
      </c>
      <c r="M440" s="127" t="str">
        <f t="shared" si="8"/>
        <v>View on Google Map</v>
      </c>
    </row>
    <row r="441" spans="1:14" x14ac:dyDescent="0.2">
      <c r="A441" s="121">
        <v>1223</v>
      </c>
      <c r="B441" s="121" t="s">
        <v>1391</v>
      </c>
      <c r="C441" s="27" t="s">
        <v>1392</v>
      </c>
      <c r="D441" s="121">
        <v>68.635624000000007</v>
      </c>
      <c r="E441" s="121">
        <v>-149.587064</v>
      </c>
      <c r="F441" s="121">
        <v>745</v>
      </c>
      <c r="G441" s="121" t="s">
        <v>476</v>
      </c>
      <c r="H441" s="121" t="s">
        <v>475</v>
      </c>
      <c r="I441" s="121" t="s">
        <v>475</v>
      </c>
      <c r="J441" s="121" t="s">
        <v>501</v>
      </c>
      <c r="K441" s="121" t="s">
        <v>475</v>
      </c>
      <c r="L441" s="121" t="s">
        <v>475</v>
      </c>
      <c r="M441" s="127" t="str">
        <f t="shared" si="8"/>
        <v>View on Google Map</v>
      </c>
    </row>
    <row r="442" spans="1:14" x14ac:dyDescent="0.2">
      <c r="A442" s="121">
        <v>1224</v>
      </c>
      <c r="B442" s="121" t="s">
        <v>1393</v>
      </c>
      <c r="C442" s="27" t="s">
        <v>1394</v>
      </c>
      <c r="D442" s="121">
        <v>68.638692000000006</v>
      </c>
      <c r="E442" s="121">
        <v>-149.567789</v>
      </c>
      <c r="F442" s="121">
        <v>731</v>
      </c>
      <c r="G442" s="121" t="s">
        <v>476</v>
      </c>
      <c r="H442" s="121" t="s">
        <v>475</v>
      </c>
      <c r="I442" s="121" t="s">
        <v>475</v>
      </c>
      <c r="J442" s="121" t="s">
        <v>501</v>
      </c>
      <c r="K442" s="121" t="s">
        <v>475</v>
      </c>
      <c r="L442" s="121" t="s">
        <v>475</v>
      </c>
      <c r="M442" s="127" t="str">
        <f t="shared" si="8"/>
        <v>View on Google Map</v>
      </c>
    </row>
    <row r="443" spans="1:14" x14ac:dyDescent="0.2">
      <c r="A443" s="121">
        <v>1221</v>
      </c>
      <c r="B443" s="121" t="s">
        <v>1395</v>
      </c>
      <c r="C443" s="27" t="s">
        <v>1396</v>
      </c>
      <c r="D443" s="121">
        <v>68.625440999999995</v>
      </c>
      <c r="E443" s="121">
        <v>-149.60287299999999</v>
      </c>
      <c r="F443" s="121">
        <v>717</v>
      </c>
      <c r="G443" s="121" t="s">
        <v>476</v>
      </c>
      <c r="H443" s="121" t="s">
        <v>475</v>
      </c>
      <c r="I443" s="121" t="s">
        <v>475</v>
      </c>
      <c r="J443" s="121" t="s">
        <v>501</v>
      </c>
      <c r="K443" s="121" t="s">
        <v>475</v>
      </c>
      <c r="L443" s="121" t="s">
        <v>475</v>
      </c>
      <c r="M443" s="127" t="str">
        <f t="shared" si="8"/>
        <v>View on Google Map</v>
      </c>
    </row>
    <row r="444" spans="1:14" x14ac:dyDescent="0.2">
      <c r="A444" s="121">
        <v>1226</v>
      </c>
      <c r="B444" s="27" t="s">
        <v>1397</v>
      </c>
      <c r="C444" s="27" t="s">
        <v>1398</v>
      </c>
      <c r="D444" s="121">
        <v>68.647621999999998</v>
      </c>
      <c r="E444" s="121">
        <v>-149.57729800000001</v>
      </c>
      <c r="F444" s="121">
        <v>719</v>
      </c>
      <c r="G444" s="121" t="s">
        <v>476</v>
      </c>
      <c r="H444" s="121" t="s">
        <v>475</v>
      </c>
      <c r="I444" s="121" t="s">
        <v>475</v>
      </c>
      <c r="J444" s="121" t="s">
        <v>501</v>
      </c>
      <c r="K444" s="121" t="s">
        <v>475</v>
      </c>
      <c r="L444" s="121" t="s">
        <v>475</v>
      </c>
      <c r="M444" s="127" t="str">
        <f t="shared" si="8"/>
        <v>View on Google Map</v>
      </c>
    </row>
    <row r="445" spans="1:14" x14ac:dyDescent="0.2">
      <c r="A445" s="121">
        <v>487</v>
      </c>
      <c r="B445" s="121" t="s">
        <v>1399</v>
      </c>
      <c r="C445" s="121" t="s">
        <v>475</v>
      </c>
      <c r="D445" s="121">
        <v>68.961583332999993</v>
      </c>
      <c r="E445" s="121">
        <v>-150.20961666700001</v>
      </c>
      <c r="F445" s="121">
        <v>380</v>
      </c>
      <c r="G445" s="121" t="s">
        <v>486</v>
      </c>
      <c r="H445" s="121" t="s">
        <v>475</v>
      </c>
      <c r="I445" s="121" t="s">
        <v>475</v>
      </c>
      <c r="J445" s="121" t="s">
        <v>536</v>
      </c>
      <c r="K445" s="121" t="s">
        <v>475</v>
      </c>
      <c r="L445" s="121" t="s">
        <v>483</v>
      </c>
      <c r="M445" s="127" t="str">
        <f t="shared" si="8"/>
        <v>View on Google Map</v>
      </c>
    </row>
    <row r="446" spans="1:14" x14ac:dyDescent="0.2">
      <c r="A446" s="121">
        <v>23</v>
      </c>
      <c r="B446" s="121" t="s">
        <v>1400</v>
      </c>
      <c r="C446" s="121" t="s">
        <v>475</v>
      </c>
      <c r="D446" s="121" t="s">
        <v>475</v>
      </c>
      <c r="E446" s="121" t="s">
        <v>475</v>
      </c>
      <c r="F446" s="121" t="s">
        <v>475</v>
      </c>
      <c r="G446" s="121" t="s">
        <v>500</v>
      </c>
      <c r="H446" s="121" t="s">
        <v>475</v>
      </c>
      <c r="I446" s="121" t="s">
        <v>475</v>
      </c>
      <c r="J446" s="121" t="s">
        <v>501</v>
      </c>
      <c r="K446" s="121" t="s">
        <v>475</v>
      </c>
      <c r="L446" s="121" t="s">
        <v>475</v>
      </c>
      <c r="M446" s="127" t="str">
        <f t="shared" si="8"/>
        <v>View on Google Map</v>
      </c>
    </row>
    <row r="447" spans="1:14" x14ac:dyDescent="0.2">
      <c r="A447" s="121">
        <v>529</v>
      </c>
      <c r="B447" s="121" t="s">
        <v>1401</v>
      </c>
      <c r="C447" s="121" t="s">
        <v>881</v>
      </c>
      <c r="D447" s="121">
        <v>68.672934999999995</v>
      </c>
      <c r="E447" s="121">
        <v>-149.61752300000001</v>
      </c>
      <c r="F447" s="121">
        <v>708</v>
      </c>
      <c r="G447" s="121" t="s">
        <v>486</v>
      </c>
      <c r="H447" s="121" t="s">
        <v>475</v>
      </c>
      <c r="I447" s="121" t="s">
        <v>475</v>
      </c>
      <c r="J447" s="121" t="s">
        <v>487</v>
      </c>
      <c r="K447" s="121" t="s">
        <v>475</v>
      </c>
      <c r="L447" s="121" t="s">
        <v>882</v>
      </c>
      <c r="M447" s="127" t="str">
        <f t="shared" si="8"/>
        <v>View on Google Map</v>
      </c>
    </row>
    <row r="448" spans="1:14" x14ac:dyDescent="0.2">
      <c r="A448" s="121">
        <v>494</v>
      </c>
      <c r="B448" s="121" t="s">
        <v>1402</v>
      </c>
      <c r="C448" s="121" t="s">
        <v>475</v>
      </c>
      <c r="D448" s="121">
        <v>68.673756999999995</v>
      </c>
      <c r="E448" s="121">
        <v>-149.618268</v>
      </c>
      <c r="F448" s="121">
        <v>701</v>
      </c>
      <c r="G448" s="121" t="s">
        <v>500</v>
      </c>
      <c r="H448" s="121" t="s">
        <v>475</v>
      </c>
      <c r="I448" s="121" t="s">
        <v>475</v>
      </c>
      <c r="J448" s="121" t="s">
        <v>1403</v>
      </c>
      <c r="K448" s="121" t="s">
        <v>475</v>
      </c>
      <c r="L448" s="121" t="s">
        <v>882</v>
      </c>
      <c r="M448" s="127" t="str">
        <f t="shared" si="8"/>
        <v>View on Google Map</v>
      </c>
    </row>
    <row r="449" spans="1:13" x14ac:dyDescent="0.2">
      <c r="A449" s="121">
        <v>189</v>
      </c>
      <c r="B449" s="121" t="s">
        <v>1404</v>
      </c>
      <c r="C449" s="121" t="s">
        <v>475</v>
      </c>
      <c r="D449" s="121">
        <v>68.622</v>
      </c>
      <c r="E449" s="121">
        <v>-149.590666</v>
      </c>
      <c r="F449" s="121">
        <v>725</v>
      </c>
      <c r="G449" s="121" t="s">
        <v>500</v>
      </c>
      <c r="H449" s="121" t="s">
        <v>1405</v>
      </c>
      <c r="I449" s="121" t="s">
        <v>1406</v>
      </c>
      <c r="J449" s="121" t="s">
        <v>501</v>
      </c>
      <c r="K449" s="121" t="s">
        <v>475</v>
      </c>
      <c r="L449" s="121" t="s">
        <v>890</v>
      </c>
      <c r="M449" s="127" t="str">
        <f t="shared" si="8"/>
        <v>View on Google Map</v>
      </c>
    </row>
    <row r="450" spans="1:13" x14ac:dyDescent="0.2">
      <c r="A450" s="121">
        <v>273</v>
      </c>
      <c r="B450" s="121" t="s">
        <v>1407</v>
      </c>
      <c r="C450" s="121" t="s">
        <v>475</v>
      </c>
      <c r="D450" s="121">
        <v>68.620166670000003</v>
      </c>
      <c r="E450" s="121">
        <v>-149.56816599999999</v>
      </c>
      <c r="F450" s="121">
        <v>739</v>
      </c>
      <c r="G450" s="121" t="s">
        <v>500</v>
      </c>
      <c r="H450" s="121" t="s">
        <v>1408</v>
      </c>
      <c r="I450" s="121" t="s">
        <v>1409</v>
      </c>
      <c r="J450" s="121" t="s">
        <v>501</v>
      </c>
      <c r="K450" s="121" t="s">
        <v>475</v>
      </c>
      <c r="L450" s="121" t="s">
        <v>890</v>
      </c>
      <c r="M450" s="127" t="str">
        <f t="shared" si="8"/>
        <v>View on Google Map</v>
      </c>
    </row>
    <row r="451" spans="1:13" x14ac:dyDescent="0.2">
      <c r="A451" s="121">
        <v>1175</v>
      </c>
      <c r="B451" s="121" t="s">
        <v>1410</v>
      </c>
      <c r="C451" s="121" t="s">
        <v>475</v>
      </c>
      <c r="D451" s="121">
        <v>68.951925000000003</v>
      </c>
      <c r="E451" s="121">
        <v>-150.20976669999999</v>
      </c>
      <c r="F451" s="121" t="s">
        <v>475</v>
      </c>
      <c r="G451" s="121" t="s">
        <v>500</v>
      </c>
      <c r="H451" s="121" t="s">
        <v>475</v>
      </c>
      <c r="I451" s="121" t="s">
        <v>475</v>
      </c>
      <c r="J451" s="121" t="s">
        <v>1030</v>
      </c>
      <c r="K451" s="121" t="s">
        <v>475</v>
      </c>
      <c r="L451" s="121" t="s">
        <v>475</v>
      </c>
      <c r="M451" s="127" t="str">
        <f t="shared" ref="M451:M514" si="10">HYPERLINK("http://maps.google.com/maps?q="&amp;D451&amp;","&amp;E451,"View on Google Map")</f>
        <v>View on Google Map</v>
      </c>
    </row>
    <row r="452" spans="1:13" x14ac:dyDescent="0.2">
      <c r="A452" s="121">
        <v>103</v>
      </c>
      <c r="B452" s="121" t="s">
        <v>1411</v>
      </c>
      <c r="C452" s="121" t="s">
        <v>475</v>
      </c>
      <c r="D452" s="121">
        <v>68.639893935800004</v>
      </c>
      <c r="E452" s="121">
        <v>-149.606965643</v>
      </c>
      <c r="F452" s="121">
        <v>731</v>
      </c>
      <c r="G452" s="121" t="s">
        <v>486</v>
      </c>
      <c r="H452" s="121" t="s">
        <v>1412</v>
      </c>
      <c r="I452" s="121" t="s">
        <v>1413</v>
      </c>
      <c r="J452" s="121" t="s">
        <v>501</v>
      </c>
      <c r="K452" s="121" t="s">
        <v>475</v>
      </c>
      <c r="L452" s="121" t="s">
        <v>475</v>
      </c>
      <c r="M452" s="127" t="str">
        <f t="shared" si="10"/>
        <v>View on Google Map</v>
      </c>
    </row>
    <row r="453" spans="1:13" x14ac:dyDescent="0.2">
      <c r="A453" s="121">
        <v>104</v>
      </c>
      <c r="B453" s="121" t="s">
        <v>1414</v>
      </c>
      <c r="C453" s="121" t="s">
        <v>475</v>
      </c>
      <c r="D453" s="121">
        <v>68.640947234500004</v>
      </c>
      <c r="E453" s="121">
        <v>-149.625086307</v>
      </c>
      <c r="F453" s="121">
        <v>724</v>
      </c>
      <c r="G453" s="121" t="s">
        <v>486</v>
      </c>
      <c r="H453" s="121" t="s">
        <v>1415</v>
      </c>
      <c r="I453" s="121" t="s">
        <v>1416</v>
      </c>
      <c r="J453" s="121" t="s">
        <v>501</v>
      </c>
      <c r="K453" s="121" t="s">
        <v>475</v>
      </c>
      <c r="L453" s="121" t="s">
        <v>475</v>
      </c>
      <c r="M453" s="127" t="str">
        <f t="shared" si="10"/>
        <v>View on Google Map</v>
      </c>
    </row>
    <row r="454" spans="1:13" x14ac:dyDescent="0.2">
      <c r="A454" s="121">
        <v>105</v>
      </c>
      <c r="B454" s="121" t="s">
        <v>1417</v>
      </c>
      <c r="C454" s="121" t="s">
        <v>475</v>
      </c>
      <c r="D454" s="121">
        <v>68.642385337299999</v>
      </c>
      <c r="E454" s="121">
        <v>-149.630769851</v>
      </c>
      <c r="F454" s="121" t="s">
        <v>475</v>
      </c>
      <c r="G454" s="121" t="s">
        <v>486</v>
      </c>
      <c r="H454" s="121" t="s">
        <v>1418</v>
      </c>
      <c r="I454" s="121" t="s">
        <v>475</v>
      </c>
      <c r="J454" s="121" t="s">
        <v>501</v>
      </c>
      <c r="K454" s="121" t="s">
        <v>475</v>
      </c>
      <c r="L454" s="121" t="s">
        <v>475</v>
      </c>
      <c r="M454" s="127" t="str">
        <f t="shared" si="10"/>
        <v>View on Google Map</v>
      </c>
    </row>
    <row r="455" spans="1:13" x14ac:dyDescent="0.2">
      <c r="A455" s="121">
        <v>245</v>
      </c>
      <c r="B455" s="121" t="s">
        <v>1419</v>
      </c>
      <c r="C455" s="121" t="s">
        <v>475</v>
      </c>
      <c r="D455" s="121">
        <v>68.645120702900002</v>
      </c>
      <c r="E455" s="121">
        <v>-149.64028014900001</v>
      </c>
      <c r="F455" s="121" t="s">
        <v>475</v>
      </c>
      <c r="G455" s="121" t="s">
        <v>486</v>
      </c>
      <c r="H455" s="121" t="s">
        <v>1420</v>
      </c>
      <c r="I455" s="121" t="s">
        <v>475</v>
      </c>
      <c r="J455" s="121" t="s">
        <v>501</v>
      </c>
      <c r="K455" s="121" t="s">
        <v>475</v>
      </c>
      <c r="L455" s="121" t="s">
        <v>475</v>
      </c>
      <c r="M455" s="127" t="str">
        <f t="shared" si="10"/>
        <v>View on Google Map</v>
      </c>
    </row>
    <row r="456" spans="1:13" x14ac:dyDescent="0.2">
      <c r="A456" s="121">
        <v>240</v>
      </c>
      <c r="B456" s="121" t="s">
        <v>1421</v>
      </c>
      <c r="C456" s="121" t="s">
        <v>475</v>
      </c>
      <c r="D456" s="121">
        <v>68.645428204500007</v>
      </c>
      <c r="E456" s="121">
        <v>-149.62885531000001</v>
      </c>
      <c r="F456" s="121" t="s">
        <v>475</v>
      </c>
      <c r="G456" s="121" t="s">
        <v>486</v>
      </c>
      <c r="H456" s="121" t="s">
        <v>1422</v>
      </c>
      <c r="I456" s="121" t="s">
        <v>475</v>
      </c>
      <c r="J456" s="121" t="s">
        <v>501</v>
      </c>
      <c r="K456" s="121" t="s">
        <v>475</v>
      </c>
      <c r="L456" s="121" t="s">
        <v>475</v>
      </c>
      <c r="M456" s="127" t="str">
        <f t="shared" si="10"/>
        <v>View on Google Map</v>
      </c>
    </row>
    <row r="457" spans="1:13" x14ac:dyDescent="0.2">
      <c r="A457" s="121">
        <v>508</v>
      </c>
      <c r="B457" s="121" t="s">
        <v>1423</v>
      </c>
      <c r="C457" s="121" t="s">
        <v>485</v>
      </c>
      <c r="D457" s="121">
        <v>68.396288999999996</v>
      </c>
      <c r="E457" s="121">
        <v>-150.58781500000001</v>
      </c>
      <c r="F457" s="121">
        <v>841</v>
      </c>
      <c r="G457" s="121" t="s">
        <v>486</v>
      </c>
      <c r="H457" s="121" t="s">
        <v>488</v>
      </c>
      <c r="I457" s="121" t="s">
        <v>475</v>
      </c>
      <c r="J457" s="121" t="s">
        <v>487</v>
      </c>
      <c r="K457" s="121" t="s">
        <v>475</v>
      </c>
      <c r="L457" s="121" t="s">
        <v>488</v>
      </c>
      <c r="M457" s="127" t="str">
        <f t="shared" si="10"/>
        <v>View on Google Map</v>
      </c>
    </row>
    <row r="458" spans="1:13" x14ac:dyDescent="0.2">
      <c r="A458" s="121">
        <v>513</v>
      </c>
      <c r="B458" s="121" t="s">
        <v>1424</v>
      </c>
      <c r="C458" s="121" t="s">
        <v>485</v>
      </c>
      <c r="D458" s="121">
        <v>68.362488999999997</v>
      </c>
      <c r="E458" s="121">
        <v>-151.70717300000001</v>
      </c>
      <c r="F458" s="121">
        <v>792</v>
      </c>
      <c r="G458" s="121" t="s">
        <v>486</v>
      </c>
      <c r="H458" s="121" t="s">
        <v>475</v>
      </c>
      <c r="I458" s="121" t="s">
        <v>475</v>
      </c>
      <c r="J458" s="121" t="s">
        <v>487</v>
      </c>
      <c r="K458" s="121" t="s">
        <v>475</v>
      </c>
      <c r="L458" s="121" t="s">
        <v>488</v>
      </c>
      <c r="M458" s="127" t="str">
        <f t="shared" si="10"/>
        <v>View on Google Map</v>
      </c>
    </row>
    <row r="459" spans="1:13" x14ac:dyDescent="0.2">
      <c r="A459" s="121">
        <v>512</v>
      </c>
      <c r="B459" s="121" t="s">
        <v>1425</v>
      </c>
      <c r="C459" s="121" t="s">
        <v>485</v>
      </c>
      <c r="D459" s="121">
        <v>68.351332999999997</v>
      </c>
      <c r="E459" s="121">
        <v>-151.702167</v>
      </c>
      <c r="F459" s="121">
        <v>789</v>
      </c>
      <c r="G459" s="121" t="s">
        <v>486</v>
      </c>
      <c r="H459" s="121" t="s">
        <v>475</v>
      </c>
      <c r="I459" s="121" t="s">
        <v>475</v>
      </c>
      <c r="J459" s="121" t="s">
        <v>487</v>
      </c>
      <c r="K459" s="121" t="s">
        <v>475</v>
      </c>
      <c r="L459" s="121" t="s">
        <v>488</v>
      </c>
      <c r="M459" s="127" t="str">
        <f t="shared" si="10"/>
        <v>View on Google Map</v>
      </c>
    </row>
    <row r="460" spans="1:13" x14ac:dyDescent="0.2">
      <c r="A460" s="121">
        <v>511</v>
      </c>
      <c r="B460" s="121" t="s">
        <v>1426</v>
      </c>
      <c r="C460" s="121" t="s">
        <v>485</v>
      </c>
      <c r="D460" s="121">
        <v>68.347333000000006</v>
      </c>
      <c r="E460" s="121">
        <v>-151.70316700000001</v>
      </c>
      <c r="F460" s="121">
        <v>798</v>
      </c>
      <c r="G460" s="121" t="s">
        <v>486</v>
      </c>
      <c r="H460" s="121" t="s">
        <v>475</v>
      </c>
      <c r="I460" s="121" t="s">
        <v>475</v>
      </c>
      <c r="J460" s="121" t="s">
        <v>487</v>
      </c>
      <c r="K460" s="121" t="s">
        <v>475</v>
      </c>
      <c r="L460" s="121" t="s">
        <v>488</v>
      </c>
      <c r="M460" s="127" t="str">
        <f t="shared" si="10"/>
        <v>View on Google Map</v>
      </c>
    </row>
    <row r="461" spans="1:13" x14ac:dyDescent="0.2">
      <c r="A461" s="121">
        <v>510</v>
      </c>
      <c r="B461" s="121" t="s">
        <v>1427</v>
      </c>
      <c r="C461" s="121" t="s">
        <v>485</v>
      </c>
      <c r="D461" s="121">
        <v>68.351332999999997</v>
      </c>
      <c r="E461" s="121">
        <v>-151.702167</v>
      </c>
      <c r="F461" s="121">
        <v>810</v>
      </c>
      <c r="G461" s="121" t="s">
        <v>486</v>
      </c>
      <c r="H461" s="121" t="s">
        <v>475</v>
      </c>
      <c r="I461" s="121" t="s">
        <v>475</v>
      </c>
      <c r="J461" s="121" t="s">
        <v>487</v>
      </c>
      <c r="K461" s="121" t="s">
        <v>475</v>
      </c>
      <c r="L461" s="121" t="s">
        <v>488</v>
      </c>
      <c r="M461" s="127" t="str">
        <f t="shared" si="10"/>
        <v>View on Google Map</v>
      </c>
    </row>
    <row r="462" spans="1:13" x14ac:dyDescent="0.2">
      <c r="A462" s="121">
        <v>233</v>
      </c>
      <c r="B462" s="121" t="s">
        <v>1428</v>
      </c>
      <c r="C462" s="121" t="s">
        <v>475</v>
      </c>
      <c r="D462" s="121">
        <v>68.643783170000006</v>
      </c>
      <c r="E462" s="121">
        <v>-149.58949436200001</v>
      </c>
      <c r="F462" s="121">
        <v>716</v>
      </c>
      <c r="G462" s="121" t="s">
        <v>486</v>
      </c>
      <c r="H462" s="121" t="s">
        <v>1429</v>
      </c>
      <c r="I462" s="121" t="s">
        <v>475</v>
      </c>
      <c r="J462" s="121" t="s">
        <v>501</v>
      </c>
      <c r="K462" s="121" t="s">
        <v>475</v>
      </c>
      <c r="L462" s="121" t="s">
        <v>475</v>
      </c>
      <c r="M462" s="127" t="str">
        <f t="shared" si="10"/>
        <v>View on Google Map</v>
      </c>
    </row>
    <row r="463" spans="1:13" x14ac:dyDescent="0.2">
      <c r="A463" s="121">
        <v>147</v>
      </c>
      <c r="B463" s="121" t="s">
        <v>1430</v>
      </c>
      <c r="C463" s="121" t="s">
        <v>475</v>
      </c>
      <c r="D463" s="121">
        <v>68.646325005500003</v>
      </c>
      <c r="E463" s="121">
        <v>-149.58272243900001</v>
      </c>
      <c r="F463" s="121">
        <v>716</v>
      </c>
      <c r="G463" s="121" t="s">
        <v>486</v>
      </c>
      <c r="H463" s="121" t="s">
        <v>1431</v>
      </c>
      <c r="I463" s="121" t="s">
        <v>475</v>
      </c>
      <c r="J463" s="121" t="s">
        <v>501</v>
      </c>
      <c r="K463" s="121" t="s">
        <v>475</v>
      </c>
      <c r="L463" s="121" t="s">
        <v>475</v>
      </c>
      <c r="M463" s="127" t="str">
        <f t="shared" si="10"/>
        <v>View on Google Map</v>
      </c>
    </row>
    <row r="464" spans="1:13" x14ac:dyDescent="0.2">
      <c r="A464" s="121">
        <v>234</v>
      </c>
      <c r="B464" s="121" t="s">
        <v>1432</v>
      </c>
      <c r="C464" s="121" t="s">
        <v>475</v>
      </c>
      <c r="D464" s="121">
        <v>68.650192520999994</v>
      </c>
      <c r="E464" s="121">
        <v>-149.58255972500001</v>
      </c>
      <c r="F464" s="121">
        <v>731</v>
      </c>
      <c r="G464" s="121" t="s">
        <v>486</v>
      </c>
      <c r="H464" s="121" t="s">
        <v>1433</v>
      </c>
      <c r="I464" s="121" t="s">
        <v>475</v>
      </c>
      <c r="J464" s="121" t="s">
        <v>501</v>
      </c>
      <c r="K464" s="121" t="s">
        <v>475</v>
      </c>
      <c r="L464" s="121" t="s">
        <v>475</v>
      </c>
      <c r="M464" s="127" t="str">
        <f t="shared" si="10"/>
        <v>View on Google Map</v>
      </c>
    </row>
    <row r="465" spans="1:13" x14ac:dyDescent="0.2">
      <c r="A465" s="121">
        <v>306</v>
      </c>
      <c r="B465" s="121" t="s">
        <v>1434</v>
      </c>
      <c r="C465" s="121" t="s">
        <v>475</v>
      </c>
      <c r="D465" s="121" t="s">
        <v>475</v>
      </c>
      <c r="E465" s="121" t="s">
        <v>475</v>
      </c>
      <c r="F465" s="121">
        <v>731</v>
      </c>
      <c r="G465" s="121" t="s">
        <v>486</v>
      </c>
      <c r="H465" s="121" t="s">
        <v>1435</v>
      </c>
      <c r="I465" s="121" t="s">
        <v>475</v>
      </c>
      <c r="J465" s="121" t="s">
        <v>501</v>
      </c>
      <c r="K465" s="121" t="s">
        <v>475</v>
      </c>
      <c r="L465" s="121" t="s">
        <v>475</v>
      </c>
      <c r="M465" s="127" t="str">
        <f t="shared" si="10"/>
        <v>View on Google Map</v>
      </c>
    </row>
    <row r="466" spans="1:13" x14ac:dyDescent="0.2">
      <c r="A466" s="121">
        <v>235</v>
      </c>
      <c r="B466" s="121" t="s">
        <v>1436</v>
      </c>
      <c r="C466" s="121" t="s">
        <v>475</v>
      </c>
      <c r="D466" s="121" t="s">
        <v>475</v>
      </c>
      <c r="E466" s="121" t="s">
        <v>475</v>
      </c>
      <c r="F466" s="121">
        <v>716</v>
      </c>
      <c r="G466" s="121" t="s">
        <v>486</v>
      </c>
      <c r="H466" s="121" t="s">
        <v>1437</v>
      </c>
      <c r="I466" s="121" t="s">
        <v>475</v>
      </c>
      <c r="J466" s="121" t="s">
        <v>501</v>
      </c>
      <c r="K466" s="121" t="s">
        <v>475</v>
      </c>
      <c r="L466" s="121" t="s">
        <v>475</v>
      </c>
      <c r="M466" s="127" t="str">
        <f t="shared" si="10"/>
        <v>View on Google Map</v>
      </c>
    </row>
    <row r="467" spans="1:13" x14ac:dyDescent="0.2">
      <c r="A467" s="121">
        <v>307</v>
      </c>
      <c r="B467" s="121" t="s">
        <v>1438</v>
      </c>
      <c r="C467" s="121" t="s">
        <v>475</v>
      </c>
      <c r="D467" s="121" t="s">
        <v>475</v>
      </c>
      <c r="E467" s="121" t="s">
        <v>475</v>
      </c>
      <c r="F467" s="121">
        <v>716</v>
      </c>
      <c r="G467" s="121" t="s">
        <v>486</v>
      </c>
      <c r="H467" s="121" t="s">
        <v>1439</v>
      </c>
      <c r="I467" s="121" t="s">
        <v>475</v>
      </c>
      <c r="J467" s="121" t="s">
        <v>501</v>
      </c>
      <c r="K467" s="121" t="s">
        <v>475</v>
      </c>
      <c r="L467" s="121" t="s">
        <v>475</v>
      </c>
      <c r="M467" s="127" t="str">
        <f t="shared" si="10"/>
        <v>View on Google Map</v>
      </c>
    </row>
    <row r="468" spans="1:13" x14ac:dyDescent="0.2">
      <c r="A468" s="121">
        <v>236</v>
      </c>
      <c r="B468" s="121" t="s">
        <v>1440</v>
      </c>
      <c r="C468" s="121" t="s">
        <v>475</v>
      </c>
      <c r="D468" s="121">
        <v>68.653572283900004</v>
      </c>
      <c r="E468" s="121">
        <v>-149.58091106399999</v>
      </c>
      <c r="F468" s="121">
        <v>731</v>
      </c>
      <c r="G468" s="121" t="s">
        <v>486</v>
      </c>
      <c r="H468" s="121" t="s">
        <v>1441</v>
      </c>
      <c r="I468" s="121" t="s">
        <v>475</v>
      </c>
      <c r="J468" s="121" t="s">
        <v>501</v>
      </c>
      <c r="K468" s="121" t="s">
        <v>475</v>
      </c>
      <c r="L468" s="121" t="s">
        <v>475</v>
      </c>
      <c r="M468" s="127" t="str">
        <f t="shared" si="10"/>
        <v>View on Google Map</v>
      </c>
    </row>
    <row r="469" spans="1:13" x14ac:dyDescent="0.2">
      <c r="A469" s="121">
        <v>308</v>
      </c>
      <c r="B469" s="121" t="s">
        <v>1442</v>
      </c>
      <c r="C469" s="121" t="s">
        <v>475</v>
      </c>
      <c r="D469" s="121">
        <v>68.652551279199997</v>
      </c>
      <c r="E469" s="121">
        <v>-149.58676006799999</v>
      </c>
      <c r="F469" s="121">
        <v>731</v>
      </c>
      <c r="G469" s="121" t="s">
        <v>486</v>
      </c>
      <c r="H469" s="121" t="s">
        <v>1443</v>
      </c>
      <c r="I469" s="121" t="s">
        <v>475</v>
      </c>
      <c r="J469" s="121" t="s">
        <v>501</v>
      </c>
      <c r="K469" s="121" t="s">
        <v>475</v>
      </c>
      <c r="L469" s="121" t="s">
        <v>475</v>
      </c>
      <c r="M469" s="127" t="str">
        <f t="shared" si="10"/>
        <v>View on Google Map</v>
      </c>
    </row>
    <row r="470" spans="1:13" x14ac:dyDescent="0.2">
      <c r="A470" s="121">
        <v>446</v>
      </c>
      <c r="B470" s="121" t="s">
        <v>1444</v>
      </c>
      <c r="C470" s="121" t="s">
        <v>475</v>
      </c>
      <c r="D470" s="121">
        <v>68.653536133599999</v>
      </c>
      <c r="E470" s="121">
        <v>-149.59622183299999</v>
      </c>
      <c r="F470" s="121">
        <v>747</v>
      </c>
      <c r="G470" s="121" t="s">
        <v>486</v>
      </c>
      <c r="H470" s="121" t="s">
        <v>1445</v>
      </c>
      <c r="I470" s="121" t="s">
        <v>475</v>
      </c>
      <c r="J470" s="121" t="s">
        <v>501</v>
      </c>
      <c r="K470" s="121" t="s">
        <v>475</v>
      </c>
      <c r="L470" s="121" t="s">
        <v>475</v>
      </c>
      <c r="M470" s="127" t="str">
        <f t="shared" si="10"/>
        <v>View on Google Map</v>
      </c>
    </row>
    <row r="471" spans="1:13" x14ac:dyDescent="0.2">
      <c r="A471" s="121">
        <v>447</v>
      </c>
      <c r="B471" s="121" t="s">
        <v>1446</v>
      </c>
      <c r="C471" s="121" t="s">
        <v>475</v>
      </c>
      <c r="D471" s="121">
        <v>68.652588284900006</v>
      </c>
      <c r="E471" s="121">
        <v>-149.60764069300001</v>
      </c>
      <c r="F471" s="121" t="s">
        <v>475</v>
      </c>
      <c r="G471" s="121" t="s">
        <v>486</v>
      </c>
      <c r="H471" s="121" t="s">
        <v>1447</v>
      </c>
      <c r="I471" s="121" t="s">
        <v>475</v>
      </c>
      <c r="J471" s="121" t="s">
        <v>501</v>
      </c>
      <c r="K471" s="121" t="s">
        <v>475</v>
      </c>
      <c r="L471" s="121" t="s">
        <v>475</v>
      </c>
      <c r="M471" s="127" t="str">
        <f t="shared" si="10"/>
        <v>View on Google Map</v>
      </c>
    </row>
    <row r="472" spans="1:13" x14ac:dyDescent="0.2">
      <c r="A472" s="121">
        <v>504</v>
      </c>
      <c r="B472" s="121" t="s">
        <v>1448</v>
      </c>
      <c r="C472" s="121" t="s">
        <v>475</v>
      </c>
      <c r="D472" s="121">
        <v>68.647407723699999</v>
      </c>
      <c r="E472" s="121">
        <v>-149.60936597400001</v>
      </c>
      <c r="F472" s="121">
        <v>731</v>
      </c>
      <c r="G472" s="121" t="s">
        <v>486</v>
      </c>
      <c r="H472" s="121" t="s">
        <v>475</v>
      </c>
      <c r="I472" s="121" t="s">
        <v>475</v>
      </c>
      <c r="J472" s="121" t="s">
        <v>501</v>
      </c>
      <c r="K472" s="121" t="s">
        <v>475</v>
      </c>
      <c r="L472" s="121" t="s">
        <v>475</v>
      </c>
      <c r="M472" s="127" t="str">
        <f t="shared" si="10"/>
        <v>View on Google Map</v>
      </c>
    </row>
    <row r="473" spans="1:13" x14ac:dyDescent="0.2">
      <c r="A473" s="121">
        <v>108</v>
      </c>
      <c r="B473" s="121" t="s">
        <v>1449</v>
      </c>
      <c r="C473" s="121" t="s">
        <v>475</v>
      </c>
      <c r="D473" s="121">
        <v>68.650000000000006</v>
      </c>
      <c r="E473" s="121">
        <v>-149.61666666666667</v>
      </c>
      <c r="F473" s="121">
        <v>699</v>
      </c>
      <c r="G473" s="121" t="s">
        <v>486</v>
      </c>
      <c r="H473" s="121" t="s">
        <v>1450</v>
      </c>
      <c r="I473" s="121" t="s">
        <v>475</v>
      </c>
      <c r="J473" s="121" t="s">
        <v>501</v>
      </c>
      <c r="K473" s="121" t="s">
        <v>475</v>
      </c>
      <c r="L473" s="121" t="s">
        <v>475</v>
      </c>
      <c r="M473" s="127" t="str">
        <f t="shared" si="10"/>
        <v>View on Google Map</v>
      </c>
    </row>
    <row r="474" spans="1:13" x14ac:dyDescent="0.2">
      <c r="A474" s="121">
        <v>309</v>
      </c>
      <c r="B474" s="121" t="s">
        <v>1451</v>
      </c>
      <c r="C474" s="121" t="s">
        <v>475</v>
      </c>
      <c r="D474" s="121" t="s">
        <v>475</v>
      </c>
      <c r="E474" s="121" t="s">
        <v>475</v>
      </c>
      <c r="F474" s="121" t="s">
        <v>475</v>
      </c>
      <c r="G474" s="121" t="s">
        <v>486</v>
      </c>
      <c r="H474" s="121" t="s">
        <v>1452</v>
      </c>
      <c r="I474" s="121" t="s">
        <v>475</v>
      </c>
      <c r="J474" s="121" t="s">
        <v>501</v>
      </c>
      <c r="K474" s="121" t="s">
        <v>475</v>
      </c>
      <c r="L474" s="121" t="s">
        <v>475</v>
      </c>
      <c r="M474" s="127" t="str">
        <f t="shared" si="10"/>
        <v>View on Google Map</v>
      </c>
    </row>
    <row r="475" spans="1:13" x14ac:dyDescent="0.2">
      <c r="A475" s="121">
        <v>109</v>
      </c>
      <c r="B475" s="121" t="s">
        <v>1453</v>
      </c>
      <c r="C475" s="121" t="s">
        <v>475</v>
      </c>
      <c r="D475" s="121">
        <v>68.683333333333337</v>
      </c>
      <c r="E475" s="121">
        <v>-149.61666666666667</v>
      </c>
      <c r="F475" s="121">
        <v>701</v>
      </c>
      <c r="G475" s="121" t="s">
        <v>486</v>
      </c>
      <c r="H475" s="121" t="s">
        <v>1454</v>
      </c>
      <c r="I475" s="121" t="s">
        <v>475</v>
      </c>
      <c r="J475" s="121" t="s">
        <v>501</v>
      </c>
      <c r="K475" s="121" t="s">
        <v>475</v>
      </c>
      <c r="L475" s="121" t="s">
        <v>475</v>
      </c>
      <c r="M475" s="127" t="str">
        <f t="shared" si="10"/>
        <v>View on Google Map</v>
      </c>
    </row>
    <row r="476" spans="1:13" x14ac:dyDescent="0.2">
      <c r="A476" s="121">
        <v>497</v>
      </c>
      <c r="B476" s="121" t="s">
        <v>1455</v>
      </c>
      <c r="C476" s="121" t="s">
        <v>1456</v>
      </c>
      <c r="D476" s="121">
        <v>68.674931999999998</v>
      </c>
      <c r="E476" s="121">
        <v>-149.625439</v>
      </c>
      <c r="F476" s="121">
        <v>701</v>
      </c>
      <c r="G476" s="121" t="s">
        <v>486</v>
      </c>
      <c r="H476" s="121" t="s">
        <v>475</v>
      </c>
      <c r="I476" s="121" t="s">
        <v>475</v>
      </c>
      <c r="J476" s="121" t="s">
        <v>1403</v>
      </c>
      <c r="K476" s="121" t="s">
        <v>475</v>
      </c>
      <c r="L476" s="121" t="s">
        <v>882</v>
      </c>
      <c r="M476" s="127" t="str">
        <f t="shared" si="10"/>
        <v>View on Google Map</v>
      </c>
    </row>
    <row r="477" spans="1:13" x14ac:dyDescent="0.2">
      <c r="A477" s="121">
        <v>498</v>
      </c>
      <c r="B477" s="121" t="s">
        <v>1457</v>
      </c>
      <c r="C477" s="121" t="s">
        <v>475</v>
      </c>
      <c r="D477" s="121">
        <v>68.677723</v>
      </c>
      <c r="E477" s="121">
        <v>-149.62402800000001</v>
      </c>
      <c r="F477" s="121">
        <v>701</v>
      </c>
      <c r="G477" s="121" t="s">
        <v>500</v>
      </c>
      <c r="H477" s="121" t="s">
        <v>475</v>
      </c>
      <c r="I477" s="121" t="s">
        <v>475</v>
      </c>
      <c r="J477" s="121" t="s">
        <v>1403</v>
      </c>
      <c r="K477" s="121" t="s">
        <v>475</v>
      </c>
      <c r="L477" s="121" t="s">
        <v>882</v>
      </c>
      <c r="M477" s="127" t="str">
        <f t="shared" si="10"/>
        <v>View on Google Map</v>
      </c>
    </row>
    <row r="478" spans="1:13" x14ac:dyDescent="0.2">
      <c r="A478" s="121">
        <v>495</v>
      </c>
      <c r="B478" s="121" t="s">
        <v>1458</v>
      </c>
      <c r="C478" s="121" t="s">
        <v>475</v>
      </c>
      <c r="D478" s="121">
        <v>68.674121999999997</v>
      </c>
      <c r="E478" s="121">
        <v>-149.62885</v>
      </c>
      <c r="F478" s="121">
        <v>701</v>
      </c>
      <c r="G478" s="121" t="s">
        <v>500</v>
      </c>
      <c r="H478" s="121" t="s">
        <v>475</v>
      </c>
      <c r="I478" s="121" t="s">
        <v>475</v>
      </c>
      <c r="J478" s="121" t="s">
        <v>1403</v>
      </c>
      <c r="K478" s="121" t="s">
        <v>475</v>
      </c>
      <c r="L478" s="121" t="s">
        <v>882</v>
      </c>
      <c r="M478" s="127" t="str">
        <f t="shared" si="10"/>
        <v>View on Google Map</v>
      </c>
    </row>
    <row r="479" spans="1:13" x14ac:dyDescent="0.2">
      <c r="A479" s="121">
        <v>448</v>
      </c>
      <c r="B479" s="121" t="s">
        <v>1459</v>
      </c>
      <c r="C479" s="121" t="s">
        <v>475</v>
      </c>
      <c r="D479" s="121">
        <v>68.655874034999997</v>
      </c>
      <c r="E479" s="121">
        <v>-149.58555905599999</v>
      </c>
      <c r="F479" s="121" t="s">
        <v>475</v>
      </c>
      <c r="G479" s="121" t="s">
        <v>486</v>
      </c>
      <c r="H479" s="121" t="s">
        <v>1460</v>
      </c>
      <c r="I479" s="121" t="s">
        <v>475</v>
      </c>
      <c r="J479" s="121" t="s">
        <v>501</v>
      </c>
      <c r="K479" s="121" t="s">
        <v>475</v>
      </c>
      <c r="L479" s="121" t="s">
        <v>475</v>
      </c>
      <c r="M479" s="127" t="str">
        <f t="shared" si="10"/>
        <v>View on Google Map</v>
      </c>
    </row>
    <row r="480" spans="1:13" x14ac:dyDescent="0.2">
      <c r="A480" s="121">
        <v>449</v>
      </c>
      <c r="B480" s="121" t="s">
        <v>1461</v>
      </c>
      <c r="C480" s="121" t="s">
        <v>475</v>
      </c>
      <c r="D480" s="121">
        <v>68.661045276899998</v>
      </c>
      <c r="E480" s="121">
        <v>-149.586664767</v>
      </c>
      <c r="F480" s="121" t="s">
        <v>475</v>
      </c>
      <c r="G480" s="121" t="s">
        <v>486</v>
      </c>
      <c r="H480" s="121" t="s">
        <v>1462</v>
      </c>
      <c r="I480" s="121" t="s">
        <v>475</v>
      </c>
      <c r="J480" s="121" t="s">
        <v>501</v>
      </c>
      <c r="K480" s="121" t="s">
        <v>475</v>
      </c>
      <c r="L480" s="121" t="s">
        <v>475</v>
      </c>
      <c r="M480" s="127" t="str">
        <f t="shared" si="10"/>
        <v>View on Google Map</v>
      </c>
    </row>
    <row r="481" spans="1:13" x14ac:dyDescent="0.2">
      <c r="A481" s="121">
        <v>171</v>
      </c>
      <c r="B481" s="121" t="s">
        <v>1463</v>
      </c>
      <c r="C481" s="121" t="s">
        <v>475</v>
      </c>
      <c r="D481" s="121">
        <v>68.652645483100002</v>
      </c>
      <c r="E481" s="121">
        <v>-149.59947366200001</v>
      </c>
      <c r="F481" s="121">
        <v>747</v>
      </c>
      <c r="G481" s="121" t="s">
        <v>486</v>
      </c>
      <c r="H481" s="121" t="s">
        <v>1464</v>
      </c>
      <c r="I481" s="121" t="s">
        <v>1465</v>
      </c>
      <c r="J481" s="121" t="s">
        <v>501</v>
      </c>
      <c r="K481" s="121" t="s">
        <v>475</v>
      </c>
      <c r="L481" s="121" t="s">
        <v>475</v>
      </c>
      <c r="M481" s="127" t="str">
        <f t="shared" si="10"/>
        <v>View on Google Map</v>
      </c>
    </row>
    <row r="482" spans="1:13" x14ac:dyDescent="0.2">
      <c r="A482" s="121">
        <v>499</v>
      </c>
      <c r="B482" s="121" t="s">
        <v>1466</v>
      </c>
      <c r="C482" s="121" t="s">
        <v>475</v>
      </c>
      <c r="D482" s="121">
        <v>68.829610000000002</v>
      </c>
      <c r="E482" s="121">
        <v>-149.77901</v>
      </c>
      <c r="F482" s="121">
        <v>633</v>
      </c>
      <c r="G482" s="121" t="s">
        <v>486</v>
      </c>
      <c r="H482" s="121" t="s">
        <v>1467</v>
      </c>
      <c r="I482" s="121" t="s">
        <v>1468</v>
      </c>
      <c r="J482" s="121" t="s">
        <v>487</v>
      </c>
      <c r="K482" s="121" t="s">
        <v>475</v>
      </c>
      <c r="L482" s="121" t="s">
        <v>475</v>
      </c>
      <c r="M482" s="127" t="str">
        <f t="shared" si="10"/>
        <v>View on Google Map</v>
      </c>
    </row>
    <row r="483" spans="1:13" x14ac:dyDescent="0.2">
      <c r="A483" s="121">
        <v>500</v>
      </c>
      <c r="B483" s="121" t="s">
        <v>1469</v>
      </c>
      <c r="C483" s="121" t="s">
        <v>475</v>
      </c>
      <c r="D483" s="121">
        <v>68.832999999999998</v>
      </c>
      <c r="E483" s="121">
        <v>-149.76808</v>
      </c>
      <c r="F483" s="121">
        <v>624</v>
      </c>
      <c r="G483" s="121" t="s">
        <v>486</v>
      </c>
      <c r="H483" s="121" t="s">
        <v>1470</v>
      </c>
      <c r="I483" s="121" t="s">
        <v>1471</v>
      </c>
      <c r="J483" s="121" t="s">
        <v>487</v>
      </c>
      <c r="K483" s="121" t="s">
        <v>475</v>
      </c>
      <c r="L483" s="121" t="s">
        <v>475</v>
      </c>
      <c r="M483" s="127" t="str">
        <f t="shared" si="10"/>
        <v>View on Google Map</v>
      </c>
    </row>
    <row r="484" spans="1:13" x14ac:dyDescent="0.2">
      <c r="A484" s="121">
        <v>501</v>
      </c>
      <c r="B484" s="121" t="s">
        <v>1472</v>
      </c>
      <c r="C484" s="121" t="s">
        <v>475</v>
      </c>
      <c r="D484" s="121">
        <v>68.828299999999999</v>
      </c>
      <c r="E484" s="121">
        <v>-149.76473999999999</v>
      </c>
      <c r="F484" s="121">
        <v>624</v>
      </c>
      <c r="G484" s="121" t="s">
        <v>486</v>
      </c>
      <c r="H484" s="121" t="s">
        <v>1473</v>
      </c>
      <c r="I484" s="121" t="s">
        <v>1474</v>
      </c>
      <c r="J484" s="121" t="s">
        <v>487</v>
      </c>
      <c r="K484" s="121" t="s">
        <v>475</v>
      </c>
      <c r="L484" s="121" t="s">
        <v>475</v>
      </c>
      <c r="M484" s="127" t="str">
        <f t="shared" si="10"/>
        <v>View on Google Map</v>
      </c>
    </row>
    <row r="485" spans="1:13" x14ac:dyDescent="0.2">
      <c r="A485" s="121">
        <v>502</v>
      </c>
      <c r="B485" s="121" t="s">
        <v>1475</v>
      </c>
      <c r="C485" s="121" t="s">
        <v>475</v>
      </c>
      <c r="D485" s="121">
        <v>68.826520000000002</v>
      </c>
      <c r="E485" s="121">
        <v>-149.75897000000001</v>
      </c>
      <c r="F485" s="121">
        <v>592</v>
      </c>
      <c r="G485" s="121" t="s">
        <v>486</v>
      </c>
      <c r="H485" s="121" t="s">
        <v>1476</v>
      </c>
      <c r="I485" s="121" t="s">
        <v>1477</v>
      </c>
      <c r="J485" s="121" t="s">
        <v>487</v>
      </c>
      <c r="K485" s="121" t="s">
        <v>475</v>
      </c>
      <c r="L485" s="121" t="s">
        <v>475</v>
      </c>
      <c r="M485" s="127" t="str">
        <f t="shared" si="10"/>
        <v>View on Google Map</v>
      </c>
    </row>
    <row r="486" spans="1:13" x14ac:dyDescent="0.2">
      <c r="A486" s="121">
        <v>503</v>
      </c>
      <c r="B486" s="121" t="s">
        <v>1478</v>
      </c>
      <c r="C486" s="121" t="s">
        <v>475</v>
      </c>
      <c r="D486" s="121">
        <v>68.827259999999995</v>
      </c>
      <c r="E486" s="121">
        <v>-149.75089</v>
      </c>
      <c r="F486" s="121">
        <v>592</v>
      </c>
      <c r="G486" s="121" t="s">
        <v>486</v>
      </c>
      <c r="H486" s="121" t="s">
        <v>1479</v>
      </c>
      <c r="I486" s="121" t="s">
        <v>1480</v>
      </c>
      <c r="J486" s="121" t="s">
        <v>487</v>
      </c>
      <c r="K486" s="121" t="s">
        <v>475</v>
      </c>
      <c r="L486" s="121" t="s">
        <v>475</v>
      </c>
      <c r="M486" s="127" t="str">
        <f t="shared" si="10"/>
        <v>View on Google Map</v>
      </c>
    </row>
    <row r="487" spans="1:13" x14ac:dyDescent="0.2">
      <c r="A487" s="121">
        <v>488</v>
      </c>
      <c r="B487" s="121" t="s">
        <v>1481</v>
      </c>
      <c r="C487" s="121" t="s">
        <v>475</v>
      </c>
      <c r="D487" s="121">
        <v>69.329949999999997</v>
      </c>
      <c r="E487" s="121">
        <v>-150.95275000000001</v>
      </c>
      <c r="F487" s="121">
        <v>127</v>
      </c>
      <c r="G487" s="121" t="s">
        <v>486</v>
      </c>
      <c r="H487" s="121" t="s">
        <v>475</v>
      </c>
      <c r="I487" s="121" t="s">
        <v>475</v>
      </c>
      <c r="J487" s="121" t="s">
        <v>536</v>
      </c>
      <c r="K487" s="121" t="s">
        <v>475</v>
      </c>
      <c r="L487" s="121" t="s">
        <v>483</v>
      </c>
      <c r="M487" s="127" t="str">
        <f t="shared" si="10"/>
        <v>View on Google Map</v>
      </c>
    </row>
    <row r="488" spans="1:13" x14ac:dyDescent="0.2">
      <c r="A488" s="121">
        <v>489</v>
      </c>
      <c r="B488" s="121" t="s">
        <v>1482</v>
      </c>
      <c r="C488" s="121" t="s">
        <v>475</v>
      </c>
      <c r="D488" s="121" t="s">
        <v>475</v>
      </c>
      <c r="E488" s="121" t="s">
        <v>475</v>
      </c>
      <c r="F488" s="121">
        <v>127</v>
      </c>
      <c r="G488" s="121" t="s">
        <v>500</v>
      </c>
      <c r="H488" s="121" t="s">
        <v>475</v>
      </c>
      <c r="I488" s="121" t="s">
        <v>475</v>
      </c>
      <c r="J488" s="121" t="s">
        <v>536</v>
      </c>
      <c r="K488" s="121" t="s">
        <v>475</v>
      </c>
      <c r="L488" s="121" t="s">
        <v>483</v>
      </c>
      <c r="M488" s="127" t="str">
        <f t="shared" si="10"/>
        <v>View on Google Map</v>
      </c>
    </row>
    <row r="489" spans="1:13" x14ac:dyDescent="0.2">
      <c r="A489" s="121">
        <v>490</v>
      </c>
      <c r="B489" s="121" t="s">
        <v>1483</v>
      </c>
      <c r="C489" s="121" t="s">
        <v>475</v>
      </c>
      <c r="D489" s="121" t="s">
        <v>475</v>
      </c>
      <c r="E489" s="121" t="s">
        <v>475</v>
      </c>
      <c r="F489" s="121">
        <v>127</v>
      </c>
      <c r="G489" s="121" t="s">
        <v>486</v>
      </c>
      <c r="H489" s="121" t="s">
        <v>475</v>
      </c>
      <c r="I489" s="121" t="s">
        <v>475</v>
      </c>
      <c r="J489" s="121" t="s">
        <v>536</v>
      </c>
      <c r="K489" s="121" t="s">
        <v>475</v>
      </c>
      <c r="L489" s="121" t="s">
        <v>483</v>
      </c>
      <c r="M489" s="127" t="str">
        <f t="shared" si="10"/>
        <v>View on Google Map</v>
      </c>
    </row>
    <row r="490" spans="1:13" x14ac:dyDescent="0.2">
      <c r="A490" s="121">
        <v>34</v>
      </c>
      <c r="B490" s="121" t="s">
        <v>1484</v>
      </c>
      <c r="C490" s="121" t="s">
        <v>475</v>
      </c>
      <c r="D490" s="121">
        <v>69.057400000000001</v>
      </c>
      <c r="E490" s="121">
        <v>-150.39599999999999</v>
      </c>
      <c r="F490" s="121">
        <v>274</v>
      </c>
      <c r="G490" s="121" t="s">
        <v>500</v>
      </c>
      <c r="H490" s="121" t="s">
        <v>475</v>
      </c>
      <c r="I490" s="121" t="s">
        <v>475</v>
      </c>
      <c r="J490" s="121" t="s">
        <v>536</v>
      </c>
      <c r="K490" s="121" t="s">
        <v>475</v>
      </c>
      <c r="L490" s="121" t="s">
        <v>483</v>
      </c>
      <c r="M490" s="127" t="str">
        <f t="shared" si="10"/>
        <v>View on Google Map</v>
      </c>
    </row>
    <row r="491" spans="1:13" x14ac:dyDescent="0.2">
      <c r="A491" s="121">
        <v>45</v>
      </c>
      <c r="B491" s="121" t="s">
        <v>1485</v>
      </c>
      <c r="C491" s="121" t="s">
        <v>475</v>
      </c>
      <c r="D491" s="121">
        <v>69.063298000000003</v>
      </c>
      <c r="E491" s="121">
        <v>-150.394711</v>
      </c>
      <c r="F491" s="121" t="s">
        <v>475</v>
      </c>
      <c r="G491" s="121" t="s">
        <v>500</v>
      </c>
      <c r="H491" s="121" t="s">
        <v>475</v>
      </c>
      <c r="I491" s="121" t="s">
        <v>475</v>
      </c>
      <c r="J491" s="121" t="s">
        <v>1486</v>
      </c>
      <c r="K491" s="121" t="s">
        <v>475</v>
      </c>
      <c r="L491" s="121" t="s">
        <v>483</v>
      </c>
      <c r="M491" s="127" t="str">
        <f t="shared" si="10"/>
        <v>View on Google Map</v>
      </c>
    </row>
    <row r="492" spans="1:13" x14ac:dyDescent="0.2">
      <c r="B492" s="121" t="s">
        <v>1487</v>
      </c>
      <c r="C492" s="121" t="s">
        <v>1488</v>
      </c>
      <c r="D492" s="121">
        <v>69.138333333333335</v>
      </c>
      <c r="E492" s="121">
        <v>-150.64916666666701</v>
      </c>
      <c r="G492" s="121" t="s">
        <v>494</v>
      </c>
      <c r="J492" s="121" t="s">
        <v>482</v>
      </c>
      <c r="L492" s="121" t="s">
        <v>483</v>
      </c>
      <c r="M492" s="127" t="str">
        <f t="shared" si="10"/>
        <v>View on Google Map</v>
      </c>
    </row>
    <row r="493" spans="1:13" x14ac:dyDescent="0.2">
      <c r="B493" s="121" t="s">
        <v>1489</v>
      </c>
      <c r="C493" s="121" t="s">
        <v>872</v>
      </c>
      <c r="D493" s="121">
        <v>69.152500000000003</v>
      </c>
      <c r="E493" s="121">
        <v>-150.706111111111</v>
      </c>
      <c r="G493" s="121" t="s">
        <v>494</v>
      </c>
      <c r="J493" s="121" t="s">
        <v>482</v>
      </c>
      <c r="L493" s="121" t="s">
        <v>483</v>
      </c>
      <c r="M493" s="127" t="str">
        <f t="shared" si="10"/>
        <v>View on Google Map</v>
      </c>
    </row>
    <row r="494" spans="1:13" x14ac:dyDescent="0.2">
      <c r="A494" s="121">
        <v>35</v>
      </c>
      <c r="B494" s="121" t="s">
        <v>1490</v>
      </c>
      <c r="C494" s="121" t="s">
        <v>475</v>
      </c>
      <c r="D494" s="121">
        <v>69.063333333333333</v>
      </c>
      <c r="E494" s="121">
        <v>-150.39333333333335</v>
      </c>
      <c r="F494" s="121">
        <v>281</v>
      </c>
      <c r="G494" s="121" t="s">
        <v>500</v>
      </c>
      <c r="H494" s="121" t="s">
        <v>475</v>
      </c>
      <c r="I494" s="121" t="s">
        <v>475</v>
      </c>
      <c r="J494" s="121" t="s">
        <v>536</v>
      </c>
      <c r="K494" s="121" t="s">
        <v>475</v>
      </c>
      <c r="L494" s="121" t="s">
        <v>483</v>
      </c>
      <c r="M494" s="127" t="str">
        <f t="shared" si="10"/>
        <v>View on Google Map</v>
      </c>
    </row>
    <row r="495" spans="1:13" x14ac:dyDescent="0.2">
      <c r="A495" s="121">
        <v>161</v>
      </c>
      <c r="B495" s="121" t="s">
        <v>1491</v>
      </c>
      <c r="C495" s="121" t="s">
        <v>1492</v>
      </c>
      <c r="D495" s="121">
        <v>68.599999999999994</v>
      </c>
      <c r="E495" s="121">
        <v>-149.18333333333334</v>
      </c>
      <c r="F495" s="121">
        <v>876</v>
      </c>
      <c r="G495" s="121" t="s">
        <v>486</v>
      </c>
      <c r="H495" s="121" t="s">
        <v>1493</v>
      </c>
      <c r="I495" s="121" t="s">
        <v>475</v>
      </c>
      <c r="J495" s="121" t="s">
        <v>501</v>
      </c>
      <c r="K495" s="121" t="s">
        <v>475</v>
      </c>
      <c r="L495" s="121" t="s">
        <v>502</v>
      </c>
      <c r="M495" s="127" t="str">
        <f t="shared" si="10"/>
        <v>View on Google Map</v>
      </c>
    </row>
    <row r="496" spans="1:13" x14ac:dyDescent="0.2">
      <c r="A496" s="121">
        <v>162</v>
      </c>
      <c r="B496" s="121" t="s">
        <v>1494</v>
      </c>
      <c r="C496" s="121" t="s">
        <v>1492</v>
      </c>
      <c r="D496" s="121">
        <v>68.583333333333329</v>
      </c>
      <c r="E496" s="121">
        <v>-149.19999999999999</v>
      </c>
      <c r="F496" s="121">
        <v>892</v>
      </c>
      <c r="G496" s="121" t="s">
        <v>486</v>
      </c>
      <c r="H496" s="121" t="s">
        <v>1495</v>
      </c>
      <c r="I496" s="121" t="s">
        <v>475</v>
      </c>
      <c r="J496" s="121" t="s">
        <v>501</v>
      </c>
      <c r="K496" s="121" t="s">
        <v>475</v>
      </c>
      <c r="L496" s="121" t="s">
        <v>502</v>
      </c>
      <c r="M496" s="127" t="str">
        <f t="shared" si="10"/>
        <v>View on Google Map</v>
      </c>
    </row>
    <row r="497" spans="1:13" x14ac:dyDescent="0.2">
      <c r="A497" s="121">
        <v>163</v>
      </c>
      <c r="B497" s="121" t="s">
        <v>1496</v>
      </c>
      <c r="C497" s="121" t="s">
        <v>1492</v>
      </c>
      <c r="D497" s="121">
        <v>68.599999999999994</v>
      </c>
      <c r="E497" s="121">
        <v>-149.16666666666666</v>
      </c>
      <c r="F497" s="121">
        <v>876</v>
      </c>
      <c r="G497" s="121" t="s">
        <v>486</v>
      </c>
      <c r="H497" s="121" t="s">
        <v>1497</v>
      </c>
      <c r="I497" s="121" t="s">
        <v>475</v>
      </c>
      <c r="J497" s="121" t="s">
        <v>501</v>
      </c>
      <c r="K497" s="121" t="s">
        <v>475</v>
      </c>
      <c r="L497" s="121" t="s">
        <v>502</v>
      </c>
      <c r="M497" s="127" t="str">
        <f t="shared" si="10"/>
        <v>View on Google Map</v>
      </c>
    </row>
    <row r="498" spans="1:13" x14ac:dyDescent="0.2">
      <c r="A498" s="121">
        <v>5</v>
      </c>
      <c r="B498" s="121" t="s">
        <v>1498</v>
      </c>
      <c r="C498" s="121" t="s">
        <v>1087</v>
      </c>
      <c r="D498" s="121">
        <v>68.671486221999999</v>
      </c>
      <c r="E498" s="121">
        <v>-149.1281271</v>
      </c>
      <c r="F498" s="121">
        <v>761.75599999999997</v>
      </c>
      <c r="G498" s="121" t="s">
        <v>1012</v>
      </c>
      <c r="J498" s="27" t="s">
        <v>501</v>
      </c>
      <c r="M498" s="127" t="str">
        <f t="shared" si="10"/>
        <v>View on Google Map</v>
      </c>
    </row>
    <row r="499" spans="1:13" x14ac:dyDescent="0.2">
      <c r="A499" s="121">
        <v>5</v>
      </c>
      <c r="B499" s="121" t="s">
        <v>1499</v>
      </c>
      <c r="C499" s="121" t="s">
        <v>1087</v>
      </c>
      <c r="D499" s="121">
        <v>68.671371694000001</v>
      </c>
      <c r="E499" s="121">
        <v>-149.131155484</v>
      </c>
      <c r="F499" s="121">
        <v>763.88099999999997</v>
      </c>
      <c r="G499" s="121" t="s">
        <v>1012</v>
      </c>
      <c r="J499" s="27" t="s">
        <v>501</v>
      </c>
      <c r="M499" s="127" t="str">
        <f t="shared" si="10"/>
        <v>View on Google Map</v>
      </c>
    </row>
    <row r="500" spans="1:13" x14ac:dyDescent="0.2">
      <c r="A500" s="121">
        <v>5</v>
      </c>
      <c r="B500" s="121" t="s">
        <v>1500</v>
      </c>
      <c r="C500" s="121" t="s">
        <v>1087</v>
      </c>
      <c r="D500" s="121">
        <v>68.671018009999997</v>
      </c>
      <c r="E500" s="121">
        <v>-149.13789268599999</v>
      </c>
      <c r="F500" s="121">
        <v>764.53700000000003</v>
      </c>
      <c r="G500" s="121" t="s">
        <v>1012</v>
      </c>
      <c r="J500" s="27" t="s">
        <v>501</v>
      </c>
      <c r="M500" s="127" t="str">
        <f t="shared" si="10"/>
        <v>View on Google Map</v>
      </c>
    </row>
    <row r="501" spans="1:13" x14ac:dyDescent="0.2">
      <c r="A501" s="121">
        <v>5</v>
      </c>
      <c r="B501" s="121" t="s">
        <v>1501</v>
      </c>
      <c r="C501" s="121" t="s">
        <v>1097</v>
      </c>
      <c r="D501" s="121">
        <v>68.677193270000004</v>
      </c>
      <c r="E501" s="121">
        <v>-149.121792258</v>
      </c>
      <c r="F501" s="121">
        <v>763.74300000000005</v>
      </c>
      <c r="G501" s="121" t="s">
        <v>1012</v>
      </c>
      <c r="J501" s="27" t="s">
        <v>501</v>
      </c>
      <c r="M501" s="127" t="str">
        <f t="shared" si="10"/>
        <v>View on Google Map</v>
      </c>
    </row>
    <row r="502" spans="1:13" x14ac:dyDescent="0.2">
      <c r="A502" s="121">
        <v>5</v>
      </c>
      <c r="B502" s="121" t="s">
        <v>1502</v>
      </c>
      <c r="C502" s="121" t="s">
        <v>1097</v>
      </c>
      <c r="D502" s="121">
        <v>68.679780992000005</v>
      </c>
      <c r="E502" s="121">
        <v>-149.114206438</v>
      </c>
      <c r="F502" s="121">
        <v>762.678</v>
      </c>
      <c r="G502" s="121" t="s">
        <v>1012</v>
      </c>
      <c r="J502" s="27" t="s">
        <v>501</v>
      </c>
      <c r="M502" s="127" t="str">
        <f t="shared" si="10"/>
        <v>View on Google Map</v>
      </c>
    </row>
    <row r="503" spans="1:13" x14ac:dyDescent="0.2">
      <c r="A503" s="121">
        <v>5</v>
      </c>
      <c r="B503" s="121" t="s">
        <v>1503</v>
      </c>
      <c r="C503" s="121" t="s">
        <v>499</v>
      </c>
      <c r="D503" s="121">
        <v>68.687399999999997</v>
      </c>
      <c r="E503" s="121">
        <v>-149.095</v>
      </c>
      <c r="F503" s="121">
        <v>754</v>
      </c>
      <c r="G503" s="121" t="s">
        <v>500</v>
      </c>
      <c r="H503" s="121" t="s">
        <v>1504</v>
      </c>
      <c r="I503" s="121" t="s">
        <v>1505</v>
      </c>
      <c r="J503" s="121" t="s">
        <v>501</v>
      </c>
      <c r="K503" s="121" t="s">
        <v>475</v>
      </c>
      <c r="L503" s="121" t="s">
        <v>502</v>
      </c>
      <c r="M503" s="127" t="str">
        <f t="shared" si="10"/>
        <v>View on Google Map</v>
      </c>
    </row>
    <row r="504" spans="1:13" x14ac:dyDescent="0.2">
      <c r="A504" s="121">
        <v>5</v>
      </c>
      <c r="B504" s="121" t="s">
        <v>1506</v>
      </c>
      <c r="C504" s="121" t="s">
        <v>1117</v>
      </c>
      <c r="D504" s="121">
        <v>68.672870447999998</v>
      </c>
      <c r="E504" s="121">
        <v>-149.124843486</v>
      </c>
      <c r="G504" s="121" t="s">
        <v>1012</v>
      </c>
      <c r="J504" s="27" t="s">
        <v>501</v>
      </c>
      <c r="M504" s="127" t="str">
        <f t="shared" si="10"/>
        <v>View on Google Map</v>
      </c>
    </row>
    <row r="505" spans="1:13" x14ac:dyDescent="0.2">
      <c r="A505" s="121">
        <v>5</v>
      </c>
      <c r="B505" s="121" t="s">
        <v>1507</v>
      </c>
      <c r="C505" s="121" t="s">
        <v>1508</v>
      </c>
      <c r="D505" s="121">
        <v>68.686037823000007</v>
      </c>
      <c r="E505" s="121">
        <v>-149.0990032</v>
      </c>
      <c r="G505" s="121" t="s">
        <v>1012</v>
      </c>
      <c r="J505" s="27" t="s">
        <v>501</v>
      </c>
      <c r="M505" s="127" t="str">
        <f t="shared" si="10"/>
        <v>View on Google Map</v>
      </c>
    </row>
    <row r="506" spans="1:13" x14ac:dyDescent="0.2">
      <c r="A506" s="121">
        <v>491</v>
      </c>
      <c r="B506" s="121" t="s">
        <v>1509</v>
      </c>
      <c r="C506" s="121" t="s">
        <v>475</v>
      </c>
      <c r="D506" s="121">
        <v>68.941266666999994</v>
      </c>
      <c r="E506" s="121">
        <v>-150.5068</v>
      </c>
      <c r="F506" s="121">
        <v>408</v>
      </c>
      <c r="G506" s="121" t="s">
        <v>486</v>
      </c>
      <c r="H506" s="121" t="s">
        <v>1510</v>
      </c>
      <c r="I506" s="121" t="s">
        <v>475</v>
      </c>
      <c r="J506" s="121" t="s">
        <v>536</v>
      </c>
      <c r="K506" s="121" t="s">
        <v>475</v>
      </c>
      <c r="L506" s="121" t="s">
        <v>483</v>
      </c>
      <c r="M506" s="127" t="str">
        <f t="shared" si="10"/>
        <v>View on Google Map</v>
      </c>
    </row>
    <row r="507" spans="1:13" x14ac:dyDescent="0.2">
      <c r="A507" s="121">
        <v>492</v>
      </c>
      <c r="B507" s="121" t="s">
        <v>1511</v>
      </c>
      <c r="C507" s="121" t="s">
        <v>475</v>
      </c>
      <c r="D507" s="121" t="s">
        <v>475</v>
      </c>
      <c r="E507" s="121" t="s">
        <v>475</v>
      </c>
      <c r="F507" s="121">
        <v>408</v>
      </c>
      <c r="G507" s="121" t="s">
        <v>486</v>
      </c>
      <c r="H507" s="121" t="s">
        <v>1512</v>
      </c>
      <c r="I507" s="121" t="s">
        <v>475</v>
      </c>
      <c r="J507" s="121" t="s">
        <v>536</v>
      </c>
      <c r="K507" s="121" t="s">
        <v>475</v>
      </c>
      <c r="L507" s="121" t="s">
        <v>483</v>
      </c>
      <c r="M507" s="127" t="str">
        <f t="shared" si="10"/>
        <v>View on Google Map</v>
      </c>
    </row>
    <row r="508" spans="1:13" x14ac:dyDescent="0.2">
      <c r="A508" s="121">
        <v>1172</v>
      </c>
      <c r="B508" s="121" t="s">
        <v>1513</v>
      </c>
      <c r="C508" s="121" t="s">
        <v>475</v>
      </c>
      <c r="D508" s="121">
        <v>68.99666666666667</v>
      </c>
      <c r="E508" s="121">
        <v>-150.21249999999998</v>
      </c>
      <c r="F508" s="121" t="s">
        <v>475</v>
      </c>
      <c r="G508" s="121" t="s">
        <v>476</v>
      </c>
      <c r="H508" s="121" t="s">
        <v>1514</v>
      </c>
      <c r="I508" s="121" t="s">
        <v>475</v>
      </c>
      <c r="J508" s="121" t="s">
        <v>482</v>
      </c>
      <c r="K508" s="121" t="s">
        <v>475</v>
      </c>
      <c r="L508" s="121" t="s">
        <v>483</v>
      </c>
      <c r="M508" s="127" t="str">
        <f t="shared" si="10"/>
        <v>View on Google Map</v>
      </c>
    </row>
    <row r="509" spans="1:13" x14ac:dyDescent="0.2">
      <c r="A509" s="121">
        <v>493</v>
      </c>
      <c r="B509" s="121" t="s">
        <v>1515</v>
      </c>
      <c r="C509" s="121" t="s">
        <v>475</v>
      </c>
      <c r="D509" s="121">
        <v>68.974933332999996</v>
      </c>
      <c r="E509" s="121">
        <v>-150.221066667</v>
      </c>
      <c r="F509" s="121">
        <v>364</v>
      </c>
      <c r="G509" s="121" t="s">
        <v>486</v>
      </c>
      <c r="H509" s="121" t="s">
        <v>475</v>
      </c>
      <c r="I509" s="121" t="s">
        <v>475</v>
      </c>
      <c r="J509" s="121" t="s">
        <v>536</v>
      </c>
      <c r="K509" s="121" t="s">
        <v>475</v>
      </c>
      <c r="L509" s="121" t="s">
        <v>483</v>
      </c>
      <c r="M509" s="127" t="str">
        <f t="shared" si="10"/>
        <v>View on Google Map</v>
      </c>
    </row>
    <row r="510" spans="1:13" x14ac:dyDescent="0.2">
      <c r="A510" s="121">
        <v>405</v>
      </c>
      <c r="B510" s="121" t="s">
        <v>1516</v>
      </c>
      <c r="C510" s="121" t="s">
        <v>475</v>
      </c>
      <c r="D510" s="121" t="s">
        <v>475</v>
      </c>
      <c r="E510" s="121" t="s">
        <v>475</v>
      </c>
      <c r="F510" s="121" t="s">
        <v>475</v>
      </c>
      <c r="G510" s="121" t="s">
        <v>486</v>
      </c>
      <c r="H510" s="121" t="s">
        <v>475</v>
      </c>
      <c r="I510" s="121" t="s">
        <v>475</v>
      </c>
      <c r="J510" s="121" t="s">
        <v>501</v>
      </c>
      <c r="K510" s="121" t="s">
        <v>475</v>
      </c>
      <c r="L510" s="121" t="s">
        <v>657</v>
      </c>
      <c r="M510" s="127" t="str">
        <f t="shared" si="10"/>
        <v>View on Google Map</v>
      </c>
    </row>
    <row r="511" spans="1:13" x14ac:dyDescent="0.2">
      <c r="A511" s="121">
        <v>505</v>
      </c>
      <c r="B511" s="121" t="s">
        <v>1517</v>
      </c>
      <c r="C511" s="121" t="s">
        <v>475</v>
      </c>
      <c r="D511" s="121">
        <v>68.921059</v>
      </c>
      <c r="E511" s="121">
        <v>-150.34784300000001</v>
      </c>
      <c r="F511" s="121" t="s">
        <v>475</v>
      </c>
      <c r="G511" s="121" t="s">
        <v>486</v>
      </c>
      <c r="H511" s="121" t="s">
        <v>475</v>
      </c>
      <c r="I511" s="121" t="s">
        <v>475</v>
      </c>
      <c r="J511" s="121" t="s">
        <v>536</v>
      </c>
      <c r="K511" s="121" t="s">
        <v>475</v>
      </c>
      <c r="L511" s="121" t="s">
        <v>483</v>
      </c>
      <c r="M511" s="127" t="str">
        <f t="shared" si="10"/>
        <v>View on Google Map</v>
      </c>
    </row>
    <row r="512" spans="1:13" x14ac:dyDescent="0.2">
      <c r="A512" s="121">
        <v>506</v>
      </c>
      <c r="B512" s="121" t="s">
        <v>1518</v>
      </c>
      <c r="C512" s="121" t="s">
        <v>475</v>
      </c>
      <c r="D512" s="121">
        <v>68.921186000000006</v>
      </c>
      <c r="E512" s="121">
        <v>-150.37015</v>
      </c>
      <c r="F512" s="121" t="s">
        <v>475</v>
      </c>
      <c r="G512" s="121" t="s">
        <v>486</v>
      </c>
      <c r="H512" s="121" t="s">
        <v>475</v>
      </c>
      <c r="I512" s="121" t="s">
        <v>475</v>
      </c>
      <c r="J512" s="121" t="s">
        <v>536</v>
      </c>
      <c r="K512" s="121" t="s">
        <v>475</v>
      </c>
      <c r="L512" s="121" t="s">
        <v>483</v>
      </c>
      <c r="M512" s="127" t="str">
        <f t="shared" si="10"/>
        <v>View on Google Map</v>
      </c>
    </row>
    <row r="513" spans="1:13" x14ac:dyDescent="0.2">
      <c r="A513" s="121">
        <v>507</v>
      </c>
      <c r="B513" s="121" t="s">
        <v>1519</v>
      </c>
      <c r="C513" s="121" t="s">
        <v>475</v>
      </c>
      <c r="D513" s="121">
        <v>68.936953000000003</v>
      </c>
      <c r="E513" s="121">
        <v>-150.35309699999999</v>
      </c>
      <c r="F513" s="121" t="s">
        <v>475</v>
      </c>
      <c r="G513" s="121" t="s">
        <v>486</v>
      </c>
      <c r="H513" s="121" t="s">
        <v>475</v>
      </c>
      <c r="I513" s="121" t="s">
        <v>475</v>
      </c>
      <c r="J513" s="121" t="s">
        <v>536</v>
      </c>
      <c r="K513" s="121" t="s">
        <v>475</v>
      </c>
      <c r="L513" s="121" t="s">
        <v>483</v>
      </c>
      <c r="M513" s="127" t="str">
        <f t="shared" si="10"/>
        <v>View on Google Map</v>
      </c>
    </row>
    <row r="514" spans="1:13" x14ac:dyDescent="0.2">
      <c r="A514" s="121">
        <v>12</v>
      </c>
      <c r="B514" s="121" t="s">
        <v>1520</v>
      </c>
      <c r="C514" s="121" t="s">
        <v>475</v>
      </c>
      <c r="D514" s="121" t="s">
        <v>475</v>
      </c>
      <c r="E514" s="121" t="s">
        <v>475</v>
      </c>
      <c r="F514" s="121" t="s">
        <v>475</v>
      </c>
      <c r="G514" s="121" t="s">
        <v>500</v>
      </c>
      <c r="H514" s="121" t="s">
        <v>475</v>
      </c>
      <c r="I514" s="121" t="s">
        <v>475</v>
      </c>
      <c r="J514" s="121" t="s">
        <v>501</v>
      </c>
      <c r="K514" s="121" t="s">
        <v>475</v>
      </c>
      <c r="L514" s="121" t="s">
        <v>475</v>
      </c>
      <c r="M514" s="127" t="str">
        <f t="shared" si="10"/>
        <v>View on Google Map</v>
      </c>
    </row>
    <row r="515" spans="1:13" x14ac:dyDescent="0.2">
      <c r="A515" s="121">
        <v>4</v>
      </c>
      <c r="B515" s="121" t="s">
        <v>1521</v>
      </c>
      <c r="C515" s="121" t="s">
        <v>499</v>
      </c>
      <c r="D515" s="121">
        <v>68.38333333333334</v>
      </c>
      <c r="E515" s="121">
        <v>-149.31666666666666</v>
      </c>
      <c r="F515" s="121">
        <v>869</v>
      </c>
      <c r="G515" s="121" t="s">
        <v>500</v>
      </c>
      <c r="H515" s="121" t="s">
        <v>1522</v>
      </c>
      <c r="I515" s="121" t="s">
        <v>1523</v>
      </c>
      <c r="J515" s="121" t="s">
        <v>501</v>
      </c>
      <c r="K515" s="121" t="s">
        <v>475</v>
      </c>
      <c r="L515" s="121" t="s">
        <v>502</v>
      </c>
      <c r="M515" s="127" t="str">
        <f t="shared" ref="M515:M578" si="11">HYPERLINK("http://maps.google.com/maps?q="&amp;D515&amp;","&amp;E515,"View on Google Map")</f>
        <v>View on Google Map</v>
      </c>
    </row>
    <row r="516" spans="1:13" x14ac:dyDescent="0.2">
      <c r="A516" s="121">
        <v>148</v>
      </c>
      <c r="B516" s="121" t="s">
        <v>1524</v>
      </c>
      <c r="C516" s="121" t="s">
        <v>475</v>
      </c>
      <c r="D516" s="121">
        <v>68.624535966600007</v>
      </c>
      <c r="E516" s="121">
        <v>-149.60216609099999</v>
      </c>
      <c r="F516" s="121">
        <v>720</v>
      </c>
      <c r="G516" s="121" t="s">
        <v>486</v>
      </c>
      <c r="H516" s="121" t="s">
        <v>475</v>
      </c>
      <c r="I516" s="121" t="s">
        <v>475</v>
      </c>
      <c r="J516" s="121" t="s">
        <v>501</v>
      </c>
      <c r="K516" s="121" t="s">
        <v>475</v>
      </c>
      <c r="L516" s="121" t="s">
        <v>475</v>
      </c>
      <c r="M516" s="127" t="str">
        <f t="shared" si="11"/>
        <v>View on Google Map</v>
      </c>
    </row>
    <row r="517" spans="1:13" x14ac:dyDescent="0.2">
      <c r="A517" s="121">
        <v>241</v>
      </c>
      <c r="B517" s="121" t="s">
        <v>1524</v>
      </c>
      <c r="C517" s="121" t="s">
        <v>475</v>
      </c>
      <c r="D517" s="121">
        <v>68.624535966600007</v>
      </c>
      <c r="E517" s="121">
        <v>-149.60216609099999</v>
      </c>
      <c r="F517" s="121" t="s">
        <v>475</v>
      </c>
      <c r="G517" s="121" t="s">
        <v>486</v>
      </c>
      <c r="H517" s="121" t="s">
        <v>475</v>
      </c>
      <c r="I517" s="121" t="s">
        <v>475</v>
      </c>
      <c r="J517" s="121" t="s">
        <v>501</v>
      </c>
      <c r="K517" s="121" t="s">
        <v>475</v>
      </c>
      <c r="L517" s="121" t="s">
        <v>475</v>
      </c>
      <c r="M517" s="127" t="str">
        <f t="shared" si="11"/>
        <v>View on Google Map</v>
      </c>
    </row>
    <row r="518" spans="1:13" x14ac:dyDescent="0.2">
      <c r="A518" s="121">
        <v>149</v>
      </c>
      <c r="B518" s="121" t="s">
        <v>1525</v>
      </c>
      <c r="C518" s="121" t="s">
        <v>475</v>
      </c>
      <c r="D518" s="121">
        <v>68.627169078600005</v>
      </c>
      <c r="E518" s="121">
        <v>-149.61135296200001</v>
      </c>
      <c r="F518" s="121">
        <v>720</v>
      </c>
      <c r="G518" s="121" t="s">
        <v>486</v>
      </c>
      <c r="H518" s="121" t="s">
        <v>475</v>
      </c>
      <c r="I518" s="121" t="s">
        <v>475</v>
      </c>
      <c r="J518" s="121" t="s">
        <v>501</v>
      </c>
      <c r="K518" s="121" t="s">
        <v>475</v>
      </c>
      <c r="L518" s="121" t="s">
        <v>475</v>
      </c>
      <c r="M518" s="127" t="str">
        <f t="shared" si="11"/>
        <v>View on Google Map</v>
      </c>
    </row>
    <row r="519" spans="1:13" x14ac:dyDescent="0.2">
      <c r="A519" s="121">
        <v>150</v>
      </c>
      <c r="B519" s="121" t="s">
        <v>1526</v>
      </c>
      <c r="C519" s="121" t="s">
        <v>475</v>
      </c>
      <c r="D519" s="121">
        <v>68.628818623300006</v>
      </c>
      <c r="E519" s="121">
        <v>-149.62482197599999</v>
      </c>
      <c r="F519" s="121">
        <v>720</v>
      </c>
      <c r="G519" s="121" t="s">
        <v>486</v>
      </c>
      <c r="H519" s="121" t="s">
        <v>475</v>
      </c>
      <c r="I519" s="121" t="s">
        <v>475</v>
      </c>
      <c r="J519" s="121" t="s">
        <v>501</v>
      </c>
      <c r="K519" s="121" t="s">
        <v>475</v>
      </c>
      <c r="L519" s="121" t="s">
        <v>475</v>
      </c>
      <c r="M519" s="127" t="str">
        <f t="shared" si="11"/>
        <v>View on Google Map</v>
      </c>
    </row>
    <row r="520" spans="1:13" x14ac:dyDescent="0.2">
      <c r="A520" s="121">
        <v>151</v>
      </c>
      <c r="B520" s="121" t="s">
        <v>1527</v>
      </c>
      <c r="C520" s="121" t="s">
        <v>475</v>
      </c>
      <c r="D520" s="121">
        <v>68.630949932700005</v>
      </c>
      <c r="E520" s="121">
        <v>-149.62993150400001</v>
      </c>
      <c r="F520" s="121" t="s">
        <v>475</v>
      </c>
      <c r="G520" s="121" t="s">
        <v>486</v>
      </c>
      <c r="H520" s="121" t="s">
        <v>475</v>
      </c>
      <c r="I520" s="121" t="s">
        <v>475</v>
      </c>
      <c r="J520" s="121" t="s">
        <v>501</v>
      </c>
      <c r="K520" s="121" t="s">
        <v>475</v>
      </c>
      <c r="L520" s="121" t="s">
        <v>475</v>
      </c>
      <c r="M520" s="127" t="str">
        <f t="shared" si="11"/>
        <v>View on Google Map</v>
      </c>
    </row>
    <row r="521" spans="1:13" x14ac:dyDescent="0.2">
      <c r="A521" s="121">
        <v>106</v>
      </c>
      <c r="B521" s="121" t="s">
        <v>1528</v>
      </c>
      <c r="C521" s="121" t="s">
        <v>475</v>
      </c>
      <c r="D521" s="121">
        <v>68.631431924799998</v>
      </c>
      <c r="E521" s="121">
        <v>-149.63669249099999</v>
      </c>
      <c r="F521" s="121">
        <v>725</v>
      </c>
      <c r="G521" s="121" t="s">
        <v>486</v>
      </c>
      <c r="H521" s="121" t="s">
        <v>1529</v>
      </c>
      <c r="I521" s="121" t="s">
        <v>475</v>
      </c>
      <c r="J521" s="121" t="s">
        <v>501</v>
      </c>
      <c r="K521" s="121" t="s">
        <v>475</v>
      </c>
      <c r="L521" s="121" t="s">
        <v>475</v>
      </c>
      <c r="M521" s="127" t="str">
        <f t="shared" si="11"/>
        <v>View on Google Map</v>
      </c>
    </row>
    <row r="522" spans="1:13" x14ac:dyDescent="0.2">
      <c r="A522" s="121">
        <v>107</v>
      </c>
      <c r="B522" s="121" t="s">
        <v>1530</v>
      </c>
      <c r="C522" s="121" t="s">
        <v>475</v>
      </c>
      <c r="D522" s="121">
        <v>68.629379781599994</v>
      </c>
      <c r="E522" s="121">
        <v>-149.64162329499999</v>
      </c>
      <c r="F522" s="121">
        <v>731</v>
      </c>
      <c r="G522" s="121" t="s">
        <v>486</v>
      </c>
      <c r="H522" s="121" t="s">
        <v>1531</v>
      </c>
      <c r="I522" s="121" t="s">
        <v>475</v>
      </c>
      <c r="J522" s="121" t="s">
        <v>501</v>
      </c>
      <c r="K522" s="121" t="s">
        <v>475</v>
      </c>
      <c r="L522" s="121" t="s">
        <v>475</v>
      </c>
      <c r="M522" s="127" t="str">
        <f t="shared" si="11"/>
        <v>View on Google Map</v>
      </c>
    </row>
    <row r="523" spans="1:13" x14ac:dyDescent="0.2">
      <c r="A523" s="121">
        <v>1603</v>
      </c>
      <c r="B523" s="121" t="s">
        <v>1532</v>
      </c>
      <c r="C523" s="121" t="s">
        <v>475</v>
      </c>
      <c r="D523" s="121" t="s">
        <v>475</v>
      </c>
      <c r="E523" s="121" t="s">
        <v>475</v>
      </c>
      <c r="F523" s="121" t="s">
        <v>475</v>
      </c>
      <c r="G523" s="121" t="s">
        <v>500</v>
      </c>
      <c r="H523" s="121" t="s">
        <v>1533</v>
      </c>
      <c r="I523" s="121" t="s">
        <v>1534</v>
      </c>
      <c r="J523" s="121" t="s">
        <v>501</v>
      </c>
      <c r="K523" s="121" t="s">
        <v>475</v>
      </c>
      <c r="L523" s="121" t="s">
        <v>475</v>
      </c>
      <c r="M523" s="127" t="str">
        <f t="shared" si="11"/>
        <v>View on Google Map</v>
      </c>
    </row>
    <row r="524" spans="1:13" x14ac:dyDescent="0.2">
      <c r="A524" s="121">
        <v>152</v>
      </c>
      <c r="B524" s="121" t="s">
        <v>1535</v>
      </c>
      <c r="C524" s="121" t="s">
        <v>475</v>
      </c>
      <c r="D524" s="121">
        <v>68.630062744699998</v>
      </c>
      <c r="E524" s="121">
        <v>-149.64444178900001</v>
      </c>
      <c r="F524" s="121">
        <v>731</v>
      </c>
      <c r="G524" s="121" t="s">
        <v>486</v>
      </c>
      <c r="H524" s="121" t="s">
        <v>475</v>
      </c>
      <c r="I524" s="121" t="s">
        <v>475</v>
      </c>
      <c r="J524" s="121" t="s">
        <v>501</v>
      </c>
      <c r="K524" s="121" t="s">
        <v>475</v>
      </c>
      <c r="L524" s="121" t="s">
        <v>475</v>
      </c>
      <c r="M524" s="127" t="str">
        <f t="shared" si="11"/>
        <v>View on Google Map</v>
      </c>
    </row>
    <row r="525" spans="1:13" x14ac:dyDescent="0.2">
      <c r="A525" s="121">
        <v>1601</v>
      </c>
      <c r="B525" s="121" t="s">
        <v>1536</v>
      </c>
      <c r="C525" s="121" t="s">
        <v>475</v>
      </c>
      <c r="D525" s="121" t="s">
        <v>475</v>
      </c>
      <c r="E525" s="121" t="s">
        <v>475</v>
      </c>
      <c r="F525" s="121" t="s">
        <v>475</v>
      </c>
      <c r="G525" s="121" t="s">
        <v>475</v>
      </c>
      <c r="H525" s="121" t="s">
        <v>1537</v>
      </c>
      <c r="I525" s="121" t="s">
        <v>1538</v>
      </c>
      <c r="J525" s="27" t="s">
        <v>501</v>
      </c>
      <c r="K525" s="121" t="s">
        <v>475</v>
      </c>
      <c r="L525" s="121" t="s">
        <v>475</v>
      </c>
      <c r="M525" s="127" t="str">
        <f t="shared" si="11"/>
        <v>View on Google Map</v>
      </c>
    </row>
    <row r="526" spans="1:13" x14ac:dyDescent="0.2">
      <c r="A526" s="121">
        <v>1602</v>
      </c>
      <c r="B526" s="121" t="s">
        <v>1539</v>
      </c>
      <c r="C526" s="121" t="s">
        <v>475</v>
      </c>
      <c r="D526" s="121" t="s">
        <v>475</v>
      </c>
      <c r="E526" s="121" t="s">
        <v>475</v>
      </c>
      <c r="F526" s="121" t="s">
        <v>475</v>
      </c>
      <c r="G526" s="121" t="s">
        <v>475</v>
      </c>
      <c r="H526" s="121" t="s">
        <v>1540</v>
      </c>
      <c r="I526" s="121" t="s">
        <v>1541</v>
      </c>
      <c r="J526" s="27" t="s">
        <v>501</v>
      </c>
      <c r="K526" s="121" t="s">
        <v>475</v>
      </c>
      <c r="L526" s="121" t="s">
        <v>475</v>
      </c>
      <c r="M526" s="127" t="str">
        <f t="shared" si="11"/>
        <v>View on Google Map</v>
      </c>
    </row>
    <row r="527" spans="1:13" x14ac:dyDescent="0.2">
      <c r="A527" s="121">
        <v>153</v>
      </c>
      <c r="B527" s="121" t="s">
        <v>1542</v>
      </c>
      <c r="C527" s="121" t="s">
        <v>475</v>
      </c>
      <c r="D527" s="121" t="s">
        <v>475</v>
      </c>
      <c r="E527" s="121" t="s">
        <v>475</v>
      </c>
      <c r="F527" s="121" t="s">
        <v>475</v>
      </c>
      <c r="G527" s="121" t="s">
        <v>486</v>
      </c>
      <c r="H527" s="121" t="s">
        <v>475</v>
      </c>
      <c r="I527" s="121" t="s">
        <v>475</v>
      </c>
      <c r="J527" s="121" t="s">
        <v>501</v>
      </c>
      <c r="K527" s="121" t="s">
        <v>475</v>
      </c>
      <c r="L527" s="121" t="s">
        <v>475</v>
      </c>
      <c r="M527" s="127" t="str">
        <f t="shared" si="11"/>
        <v>View on Google Map</v>
      </c>
    </row>
    <row r="528" spans="1:13" x14ac:dyDescent="0.2">
      <c r="A528" s="121">
        <v>154</v>
      </c>
      <c r="B528" s="121" t="s">
        <v>1543</v>
      </c>
      <c r="C528" s="121" t="s">
        <v>475</v>
      </c>
      <c r="D528" s="121" t="s">
        <v>475</v>
      </c>
      <c r="E528" s="121" t="s">
        <v>475</v>
      </c>
      <c r="F528" s="121" t="s">
        <v>475</v>
      </c>
      <c r="G528" s="121" t="s">
        <v>486</v>
      </c>
      <c r="H528" s="121" t="s">
        <v>475</v>
      </c>
      <c r="I528" s="121" t="s">
        <v>475</v>
      </c>
      <c r="J528" s="121" t="s">
        <v>501</v>
      </c>
      <c r="K528" s="121" t="s">
        <v>475</v>
      </c>
      <c r="L528" s="121" t="s">
        <v>475</v>
      </c>
      <c r="M528" s="127" t="str">
        <f t="shared" si="11"/>
        <v>View on Google Map</v>
      </c>
    </row>
    <row r="529" spans="1:13" x14ac:dyDescent="0.2">
      <c r="A529" s="121">
        <v>155</v>
      </c>
      <c r="B529" s="121" t="s">
        <v>1544</v>
      </c>
      <c r="C529" s="121" t="s">
        <v>475</v>
      </c>
      <c r="D529" s="121" t="s">
        <v>475</v>
      </c>
      <c r="E529" s="121" t="s">
        <v>475</v>
      </c>
      <c r="F529" s="121" t="s">
        <v>475</v>
      </c>
      <c r="G529" s="121" t="s">
        <v>486</v>
      </c>
      <c r="H529" s="121" t="s">
        <v>475</v>
      </c>
      <c r="I529" s="121" t="s">
        <v>475</v>
      </c>
      <c r="J529" s="121" t="s">
        <v>501</v>
      </c>
      <c r="K529" s="121" t="s">
        <v>475</v>
      </c>
      <c r="L529" s="121" t="s">
        <v>475</v>
      </c>
      <c r="M529" s="127" t="str">
        <f t="shared" si="11"/>
        <v>View on Google Map</v>
      </c>
    </row>
    <row r="530" spans="1:13" x14ac:dyDescent="0.2">
      <c r="A530" s="121">
        <v>156</v>
      </c>
      <c r="B530" s="121" t="s">
        <v>1545</v>
      </c>
      <c r="C530" s="121" t="s">
        <v>475</v>
      </c>
      <c r="D530" s="121">
        <v>68.630148048999999</v>
      </c>
      <c r="E530" s="121">
        <v>-149.65057914499999</v>
      </c>
      <c r="F530" s="121">
        <v>750</v>
      </c>
      <c r="G530" s="121" t="s">
        <v>486</v>
      </c>
      <c r="H530" s="121" t="s">
        <v>475</v>
      </c>
      <c r="I530" s="121" t="s">
        <v>475</v>
      </c>
      <c r="J530" s="121" t="s">
        <v>501</v>
      </c>
      <c r="K530" s="121" t="s">
        <v>475</v>
      </c>
      <c r="L530" s="121" t="s">
        <v>475</v>
      </c>
      <c r="M530" s="127" t="str">
        <f t="shared" si="11"/>
        <v>View on Google Map</v>
      </c>
    </row>
    <row r="531" spans="1:13" x14ac:dyDescent="0.2">
      <c r="A531" s="121">
        <v>157</v>
      </c>
      <c r="B531" s="121" t="s">
        <v>1546</v>
      </c>
      <c r="C531" s="121" t="s">
        <v>475</v>
      </c>
      <c r="D531" s="121">
        <v>68.629627802900004</v>
      </c>
      <c r="E531" s="121">
        <v>-149.655880887</v>
      </c>
      <c r="F531" s="121">
        <v>754</v>
      </c>
      <c r="G531" s="121" t="s">
        <v>486</v>
      </c>
      <c r="H531" s="121" t="s">
        <v>475</v>
      </c>
      <c r="I531" s="121" t="s">
        <v>475</v>
      </c>
      <c r="J531" s="121" t="s">
        <v>501</v>
      </c>
      <c r="K531" s="121" t="s">
        <v>475</v>
      </c>
      <c r="L531" s="121" t="s">
        <v>475</v>
      </c>
      <c r="M531" s="127" t="str">
        <f t="shared" si="11"/>
        <v>View on Google Map</v>
      </c>
    </row>
    <row r="532" spans="1:13" x14ac:dyDescent="0.2">
      <c r="A532" s="121">
        <v>158</v>
      </c>
      <c r="B532" s="121" t="s">
        <v>1547</v>
      </c>
      <c r="C532" s="121" t="s">
        <v>475</v>
      </c>
      <c r="D532" s="121">
        <v>68.631486568699998</v>
      </c>
      <c r="E532" s="121">
        <v>-149.65910231699999</v>
      </c>
      <c r="F532" s="121">
        <v>754</v>
      </c>
      <c r="G532" s="121" t="s">
        <v>486</v>
      </c>
      <c r="H532" s="121" t="s">
        <v>475</v>
      </c>
      <c r="I532" s="121" t="s">
        <v>475</v>
      </c>
      <c r="J532" s="121" t="s">
        <v>501</v>
      </c>
      <c r="K532" s="121" t="s">
        <v>475</v>
      </c>
      <c r="L532" s="121" t="s">
        <v>475</v>
      </c>
      <c r="M532" s="127" t="str">
        <f t="shared" si="11"/>
        <v>View on Google Map</v>
      </c>
    </row>
    <row r="533" spans="1:13" x14ac:dyDescent="0.2">
      <c r="A533" s="121">
        <v>169</v>
      </c>
      <c r="B533" s="121" t="s">
        <v>1548</v>
      </c>
      <c r="C533" s="121" t="s">
        <v>475</v>
      </c>
      <c r="D533" s="121" t="s">
        <v>475</v>
      </c>
      <c r="E533" s="121" t="s">
        <v>475</v>
      </c>
      <c r="F533" s="121" t="s">
        <v>475</v>
      </c>
      <c r="G533" s="121" t="s">
        <v>486</v>
      </c>
      <c r="H533" s="121" t="s">
        <v>475</v>
      </c>
      <c r="I533" s="121" t="s">
        <v>475</v>
      </c>
      <c r="J533" s="121" t="s">
        <v>501</v>
      </c>
      <c r="K533" s="121" t="s">
        <v>475</v>
      </c>
      <c r="L533" s="121" t="s">
        <v>475</v>
      </c>
      <c r="M533" s="127" t="str">
        <f t="shared" si="11"/>
        <v>View on Google Map</v>
      </c>
    </row>
    <row r="534" spans="1:13" x14ac:dyDescent="0.2">
      <c r="A534" s="121">
        <v>170</v>
      </c>
      <c r="B534" s="121" t="s">
        <v>1549</v>
      </c>
      <c r="C534" s="121" t="s">
        <v>475</v>
      </c>
      <c r="D534" s="121" t="s">
        <v>475</v>
      </c>
      <c r="E534" s="121" t="s">
        <v>475</v>
      </c>
      <c r="F534" s="121" t="s">
        <v>475</v>
      </c>
      <c r="G534" s="121" t="s">
        <v>486</v>
      </c>
      <c r="H534" s="121" t="s">
        <v>475</v>
      </c>
      <c r="I534" s="121" t="s">
        <v>475</v>
      </c>
      <c r="J534" s="121" t="s">
        <v>501</v>
      </c>
      <c r="K534" s="121" t="s">
        <v>475</v>
      </c>
      <c r="L534" s="121" t="s">
        <v>475</v>
      </c>
      <c r="M534" s="127" t="str">
        <f t="shared" si="11"/>
        <v>View on Google Map</v>
      </c>
    </row>
    <row r="535" spans="1:13" x14ac:dyDescent="0.2">
      <c r="A535" s="121">
        <v>136</v>
      </c>
      <c r="B535" s="121" t="s">
        <v>1550</v>
      </c>
      <c r="C535" s="121" t="s">
        <v>475</v>
      </c>
      <c r="D535" s="121">
        <v>70.233333333333334</v>
      </c>
      <c r="E535" s="121">
        <v>-148.25</v>
      </c>
      <c r="F535" s="121">
        <v>10</v>
      </c>
      <c r="G535" s="121" t="s">
        <v>486</v>
      </c>
      <c r="H535" s="121" t="s">
        <v>1551</v>
      </c>
      <c r="I535" s="121" t="s">
        <v>475</v>
      </c>
      <c r="J535" s="121" t="s">
        <v>501</v>
      </c>
      <c r="K535" s="121" t="s">
        <v>475</v>
      </c>
      <c r="L535" s="121" t="s">
        <v>502</v>
      </c>
      <c r="M535" s="127" t="str">
        <f t="shared" si="11"/>
        <v>View on Google Map</v>
      </c>
    </row>
    <row r="536" spans="1:13" x14ac:dyDescent="0.2">
      <c r="A536" s="121">
        <v>6</v>
      </c>
      <c r="B536" s="121" t="s">
        <v>1552</v>
      </c>
      <c r="C536" s="121" t="s">
        <v>475</v>
      </c>
      <c r="D536" s="121" t="s">
        <v>475</v>
      </c>
      <c r="E536" s="121" t="s">
        <v>475</v>
      </c>
      <c r="F536" s="121">
        <v>457</v>
      </c>
      <c r="G536" s="121" t="s">
        <v>500</v>
      </c>
      <c r="H536" s="121" t="s">
        <v>1553</v>
      </c>
      <c r="I536" s="121" t="s">
        <v>1554</v>
      </c>
      <c r="J536" s="121" t="s">
        <v>501</v>
      </c>
      <c r="K536" s="121" t="s">
        <v>475</v>
      </c>
      <c r="L536" s="121" t="s">
        <v>502</v>
      </c>
      <c r="M536" s="127" t="str">
        <f t="shared" si="11"/>
        <v>View on Google Map</v>
      </c>
    </row>
    <row r="537" spans="1:13" x14ac:dyDescent="0.2">
      <c r="A537" s="121">
        <v>20</v>
      </c>
      <c r="B537" s="121" t="s">
        <v>1555</v>
      </c>
      <c r="C537" s="121" t="s">
        <v>475</v>
      </c>
      <c r="D537" s="121" t="s">
        <v>475</v>
      </c>
      <c r="E537" s="121" t="s">
        <v>475</v>
      </c>
      <c r="F537" s="121" t="s">
        <v>475</v>
      </c>
      <c r="G537" s="121" t="s">
        <v>500</v>
      </c>
      <c r="H537" s="121" t="s">
        <v>475</v>
      </c>
      <c r="I537" s="121" t="s">
        <v>475</v>
      </c>
      <c r="J537" s="121" t="s">
        <v>501</v>
      </c>
      <c r="K537" s="121" t="s">
        <v>475</v>
      </c>
      <c r="L537" s="121" t="s">
        <v>475</v>
      </c>
      <c r="M537" s="127" t="str">
        <f t="shared" si="11"/>
        <v>View on Google Map</v>
      </c>
    </row>
    <row r="538" spans="1:13" x14ac:dyDescent="0.2">
      <c r="A538" s="121">
        <v>1176</v>
      </c>
      <c r="B538" s="121" t="s">
        <v>1556</v>
      </c>
      <c r="C538" s="121" t="s">
        <v>507</v>
      </c>
      <c r="D538" s="121">
        <v>68.996418329999997</v>
      </c>
      <c r="E538" s="121">
        <v>-150.27895670000001</v>
      </c>
      <c r="F538" s="121" t="s">
        <v>475</v>
      </c>
      <c r="G538" s="121" t="s">
        <v>476</v>
      </c>
      <c r="H538" s="121" t="s">
        <v>475</v>
      </c>
      <c r="I538" s="121" t="s">
        <v>475</v>
      </c>
      <c r="J538" s="121" t="s">
        <v>482</v>
      </c>
      <c r="K538" s="121" t="s">
        <v>475</v>
      </c>
      <c r="L538" s="121" t="s">
        <v>483</v>
      </c>
      <c r="M538" s="127" t="str">
        <f t="shared" si="11"/>
        <v>View on Google Map</v>
      </c>
    </row>
    <row r="539" spans="1:13" x14ac:dyDescent="0.2">
      <c r="A539" s="121">
        <v>509</v>
      </c>
      <c r="B539" s="121" t="s">
        <v>1557</v>
      </c>
      <c r="C539" s="121" t="s">
        <v>485</v>
      </c>
      <c r="D539" s="121">
        <v>68.338126000000003</v>
      </c>
      <c r="E539" s="121">
        <v>-151.061735</v>
      </c>
      <c r="F539" s="121">
        <v>840</v>
      </c>
      <c r="G539" s="121" t="s">
        <v>486</v>
      </c>
      <c r="H539" s="121" t="s">
        <v>475</v>
      </c>
      <c r="I539" s="121" t="s">
        <v>475</v>
      </c>
      <c r="J539" s="121" t="s">
        <v>487</v>
      </c>
      <c r="K539" s="121" t="s">
        <v>475</v>
      </c>
      <c r="L539" s="121" t="s">
        <v>488</v>
      </c>
      <c r="M539" s="127" t="str">
        <f t="shared" si="11"/>
        <v>View on Google Map</v>
      </c>
    </row>
    <row r="540" spans="1:13" x14ac:dyDescent="0.2">
      <c r="A540" s="121">
        <v>36</v>
      </c>
      <c r="B540" s="121" t="s">
        <v>1558</v>
      </c>
      <c r="C540" s="121" t="s">
        <v>475</v>
      </c>
      <c r="D540" s="121">
        <v>69.233333333333334</v>
      </c>
      <c r="E540" s="121">
        <v>-150.804383333</v>
      </c>
      <c r="F540" s="121">
        <v>181.97</v>
      </c>
      <c r="G540" s="121" t="s">
        <v>500</v>
      </c>
      <c r="H540" s="121" t="s">
        <v>475</v>
      </c>
      <c r="I540" s="121" t="s">
        <v>475</v>
      </c>
      <c r="J540" s="121" t="s">
        <v>536</v>
      </c>
      <c r="K540" s="121" t="s">
        <v>475</v>
      </c>
      <c r="L540" s="121" t="s">
        <v>483</v>
      </c>
      <c r="M540" s="127" t="str">
        <f t="shared" si="11"/>
        <v>View on Google Map</v>
      </c>
    </row>
    <row r="541" spans="1:13" x14ac:dyDescent="0.2">
      <c r="A541" s="121">
        <v>37</v>
      </c>
      <c r="B541" s="121" t="s">
        <v>1559</v>
      </c>
      <c r="C541" s="121" t="s">
        <v>475</v>
      </c>
      <c r="D541" s="121">
        <v>68.289683333333329</v>
      </c>
      <c r="E541" s="121">
        <v>-150.91499999999999</v>
      </c>
      <c r="F541" s="121">
        <v>392</v>
      </c>
      <c r="G541" s="121" t="s">
        <v>500</v>
      </c>
      <c r="H541" s="121" t="s">
        <v>475</v>
      </c>
      <c r="I541" s="121" t="s">
        <v>475</v>
      </c>
      <c r="J541" s="121" t="s">
        <v>536</v>
      </c>
      <c r="K541" s="121" t="s">
        <v>475</v>
      </c>
      <c r="L541" s="121" t="s">
        <v>483</v>
      </c>
      <c r="M541" s="127" t="str">
        <f t="shared" si="11"/>
        <v>View on Google Map</v>
      </c>
    </row>
    <row r="542" spans="1:13" x14ac:dyDescent="0.2">
      <c r="A542" s="121">
        <v>130</v>
      </c>
      <c r="B542" s="121" t="s">
        <v>1560</v>
      </c>
      <c r="C542" s="121" t="s">
        <v>1561</v>
      </c>
      <c r="D542" s="121">
        <v>70.083333333333329</v>
      </c>
      <c r="E542" s="121">
        <v>-148.53333333333299</v>
      </c>
      <c r="F542" s="121">
        <v>24</v>
      </c>
      <c r="G542" s="121" t="s">
        <v>486</v>
      </c>
      <c r="H542" s="121" t="s">
        <v>1562</v>
      </c>
      <c r="I542" s="121" t="s">
        <v>475</v>
      </c>
      <c r="J542" s="121" t="s">
        <v>501</v>
      </c>
      <c r="K542" s="121" t="s">
        <v>475</v>
      </c>
      <c r="L542" s="121" t="s">
        <v>502</v>
      </c>
      <c r="M542" s="127" t="str">
        <f t="shared" si="11"/>
        <v>View on Google Map</v>
      </c>
    </row>
    <row r="543" spans="1:13" x14ac:dyDescent="0.2">
      <c r="A543" s="121">
        <v>519</v>
      </c>
      <c r="B543" s="121" t="s">
        <v>1563</v>
      </c>
      <c r="C543" s="121" t="s">
        <v>485</v>
      </c>
      <c r="D543" s="121">
        <v>68.802636000000007</v>
      </c>
      <c r="E543" s="121">
        <v>-150.78539699999999</v>
      </c>
      <c r="F543" s="121">
        <v>411</v>
      </c>
      <c r="G543" s="121" t="s">
        <v>486</v>
      </c>
      <c r="H543" s="121" t="s">
        <v>475</v>
      </c>
      <c r="I543" s="121" t="s">
        <v>475</v>
      </c>
      <c r="J543" s="121" t="s">
        <v>487</v>
      </c>
      <c r="K543" s="121" t="s">
        <v>475</v>
      </c>
      <c r="L543" s="121" t="s">
        <v>488</v>
      </c>
      <c r="M543" s="127" t="str">
        <f t="shared" si="11"/>
        <v>View on Google Map</v>
      </c>
    </row>
    <row r="544" spans="1:13" x14ac:dyDescent="0.2">
      <c r="A544" s="121">
        <v>452</v>
      </c>
      <c r="B544" s="121" t="s">
        <v>1564</v>
      </c>
      <c r="C544" s="121" t="s">
        <v>475</v>
      </c>
      <c r="D544" s="121">
        <v>68.794960000000003</v>
      </c>
      <c r="E544" s="121">
        <v>-149.04813999999999</v>
      </c>
      <c r="F544" s="121">
        <v>754</v>
      </c>
      <c r="G544" s="121" t="s">
        <v>486</v>
      </c>
      <c r="H544" s="121" t="s">
        <v>475</v>
      </c>
      <c r="I544" s="121" t="s">
        <v>475</v>
      </c>
      <c r="J544" s="121" t="s">
        <v>487</v>
      </c>
      <c r="K544" s="121" t="s">
        <v>475</v>
      </c>
      <c r="L544" s="121" t="s">
        <v>475</v>
      </c>
      <c r="M544" s="127" t="str">
        <f t="shared" si="11"/>
        <v>View on Google Map</v>
      </c>
    </row>
    <row r="545" spans="1:13" x14ac:dyDescent="0.2">
      <c r="A545" s="121">
        <v>453</v>
      </c>
      <c r="B545" s="121" t="s">
        <v>1565</v>
      </c>
      <c r="C545" s="121" t="s">
        <v>475</v>
      </c>
      <c r="D545" s="121">
        <v>68.810460000000006</v>
      </c>
      <c r="E545" s="121">
        <v>-149.05207999999999</v>
      </c>
      <c r="F545" s="121">
        <v>727</v>
      </c>
      <c r="G545" s="121" t="s">
        <v>486</v>
      </c>
      <c r="H545" s="121" t="s">
        <v>475</v>
      </c>
      <c r="I545" s="121" t="s">
        <v>475</v>
      </c>
      <c r="J545" s="121" t="s">
        <v>487</v>
      </c>
      <c r="K545" s="121" t="s">
        <v>475</v>
      </c>
      <c r="L545" s="121" t="s">
        <v>475</v>
      </c>
      <c r="M545" s="127" t="str">
        <f t="shared" si="11"/>
        <v>View on Google Map</v>
      </c>
    </row>
    <row r="546" spans="1:13" x14ac:dyDescent="0.2">
      <c r="A546" s="121">
        <v>454</v>
      </c>
      <c r="B546" s="121" t="s">
        <v>1566</v>
      </c>
      <c r="C546" s="121" t="s">
        <v>475</v>
      </c>
      <c r="D546" s="121">
        <v>68.815870000000004</v>
      </c>
      <c r="E546" s="121">
        <v>-149.06173999999999</v>
      </c>
      <c r="F546" s="121">
        <v>715</v>
      </c>
      <c r="G546" s="121" t="s">
        <v>486</v>
      </c>
      <c r="H546" s="121" t="s">
        <v>475</v>
      </c>
      <c r="I546" s="121" t="s">
        <v>475</v>
      </c>
      <c r="J546" s="121" t="s">
        <v>487</v>
      </c>
      <c r="K546" s="121" t="s">
        <v>475</v>
      </c>
      <c r="L546" s="121" t="s">
        <v>475</v>
      </c>
      <c r="M546" s="127" t="str">
        <f t="shared" si="11"/>
        <v>View on Google Map</v>
      </c>
    </row>
    <row r="547" spans="1:13" x14ac:dyDescent="0.2">
      <c r="A547" s="121">
        <v>455</v>
      </c>
      <c r="B547" s="121" t="s">
        <v>1567</v>
      </c>
      <c r="C547" s="121" t="s">
        <v>475</v>
      </c>
      <c r="D547" s="121">
        <v>68.810519999999997</v>
      </c>
      <c r="E547" s="121">
        <v>-149.06282999999999</v>
      </c>
      <c r="F547" s="121">
        <v>728</v>
      </c>
      <c r="G547" s="121" t="s">
        <v>486</v>
      </c>
      <c r="H547" s="121" t="s">
        <v>475</v>
      </c>
      <c r="I547" s="121" t="s">
        <v>475</v>
      </c>
      <c r="J547" s="121" t="s">
        <v>487</v>
      </c>
      <c r="K547" s="121" t="s">
        <v>475</v>
      </c>
      <c r="L547" s="121" t="s">
        <v>475</v>
      </c>
      <c r="M547" s="127" t="str">
        <f t="shared" si="11"/>
        <v>View on Google Map</v>
      </c>
    </row>
    <row r="548" spans="1:13" x14ac:dyDescent="0.2">
      <c r="A548" s="121">
        <v>456</v>
      </c>
      <c r="B548" s="121" t="s">
        <v>1568</v>
      </c>
      <c r="C548" s="121" t="s">
        <v>475</v>
      </c>
      <c r="D548" s="121">
        <v>68.812290000000004</v>
      </c>
      <c r="E548" s="121">
        <v>-149.06899000000001</v>
      </c>
      <c r="F548" s="121">
        <v>730</v>
      </c>
      <c r="G548" s="121" t="s">
        <v>486</v>
      </c>
      <c r="H548" s="121" t="s">
        <v>475</v>
      </c>
      <c r="I548" s="121" t="s">
        <v>475</v>
      </c>
      <c r="J548" s="121" t="s">
        <v>487</v>
      </c>
      <c r="K548" s="121" t="s">
        <v>475</v>
      </c>
      <c r="L548" s="121" t="s">
        <v>475</v>
      </c>
      <c r="M548" s="127" t="str">
        <f t="shared" si="11"/>
        <v>View on Google Map</v>
      </c>
    </row>
    <row r="549" spans="1:13" x14ac:dyDescent="0.2">
      <c r="A549" s="121">
        <v>457</v>
      </c>
      <c r="B549" s="121" t="s">
        <v>1569</v>
      </c>
      <c r="C549" s="121" t="s">
        <v>475</v>
      </c>
      <c r="D549" s="121">
        <v>68.814369999999997</v>
      </c>
      <c r="E549" s="121">
        <v>-149.06774999999999</v>
      </c>
      <c r="F549" s="121">
        <v>724</v>
      </c>
      <c r="G549" s="121" t="s">
        <v>486</v>
      </c>
      <c r="H549" s="121" t="s">
        <v>475</v>
      </c>
      <c r="I549" s="121" t="s">
        <v>475</v>
      </c>
      <c r="J549" s="121" t="s">
        <v>487</v>
      </c>
      <c r="K549" s="121" t="s">
        <v>475</v>
      </c>
      <c r="L549" s="121" t="s">
        <v>475</v>
      </c>
      <c r="M549" s="127" t="str">
        <f t="shared" si="11"/>
        <v>View on Google Map</v>
      </c>
    </row>
    <row r="550" spans="1:13" x14ac:dyDescent="0.2">
      <c r="A550" s="121">
        <v>38</v>
      </c>
      <c r="B550" s="121" t="s">
        <v>1570</v>
      </c>
      <c r="C550" s="121" t="s">
        <v>475</v>
      </c>
      <c r="D550" s="121">
        <v>69.011899999999997</v>
      </c>
      <c r="E550" s="121">
        <v>-150.30000000000001</v>
      </c>
      <c r="F550" s="121">
        <v>321</v>
      </c>
      <c r="G550" s="121" t="s">
        <v>500</v>
      </c>
      <c r="H550" s="121" t="s">
        <v>1571</v>
      </c>
      <c r="I550" s="121" t="s">
        <v>1572</v>
      </c>
      <c r="J550" s="121" t="s">
        <v>536</v>
      </c>
      <c r="K550" s="121" t="s">
        <v>475</v>
      </c>
      <c r="L550" s="121" t="s">
        <v>483</v>
      </c>
      <c r="M550" s="127" t="str">
        <f t="shared" si="11"/>
        <v>View on Google Map</v>
      </c>
    </row>
    <row r="551" spans="1:13" x14ac:dyDescent="0.2">
      <c r="A551" s="121">
        <v>1211</v>
      </c>
      <c r="B551" s="121" t="s">
        <v>1573</v>
      </c>
      <c r="C551" s="121" t="s">
        <v>659</v>
      </c>
      <c r="D551" s="121">
        <v>68.996700000000004</v>
      </c>
      <c r="E551" s="121">
        <v>-150.28142</v>
      </c>
      <c r="F551" s="121" t="s">
        <v>475</v>
      </c>
      <c r="G551" s="121" t="s">
        <v>476</v>
      </c>
      <c r="H551" s="121" t="s">
        <v>475</v>
      </c>
      <c r="I551" s="121" t="s">
        <v>475</v>
      </c>
      <c r="J551" s="121" t="s">
        <v>482</v>
      </c>
      <c r="K551" s="121" t="s">
        <v>475</v>
      </c>
      <c r="L551" s="121" t="s">
        <v>483</v>
      </c>
      <c r="M551" s="127" t="str">
        <f t="shared" si="11"/>
        <v>View on Google Map</v>
      </c>
    </row>
    <row r="552" spans="1:13" x14ac:dyDescent="0.2">
      <c r="A552" s="121">
        <v>1210</v>
      </c>
      <c r="B552" s="121" t="s">
        <v>1574</v>
      </c>
      <c r="C552" s="121" t="s">
        <v>659</v>
      </c>
      <c r="D552" s="121">
        <v>68.996700000000004</v>
      </c>
      <c r="E552" s="121">
        <v>-150.28142</v>
      </c>
      <c r="F552" s="121" t="s">
        <v>475</v>
      </c>
      <c r="G552" s="121" t="s">
        <v>476</v>
      </c>
      <c r="H552" s="121" t="s">
        <v>475</v>
      </c>
      <c r="I552" s="121" t="s">
        <v>475</v>
      </c>
      <c r="J552" s="121" t="s">
        <v>482</v>
      </c>
      <c r="K552" s="121" t="s">
        <v>475</v>
      </c>
      <c r="L552" s="121" t="s">
        <v>483</v>
      </c>
      <c r="M552" s="127" t="str">
        <f t="shared" si="11"/>
        <v>View on Google Map</v>
      </c>
    </row>
    <row r="553" spans="1:13" x14ac:dyDescent="0.2">
      <c r="B553" s="121" t="s">
        <v>1575</v>
      </c>
      <c r="C553" s="121" t="s">
        <v>1488</v>
      </c>
      <c r="D553" s="121">
        <v>69.007500000000007</v>
      </c>
      <c r="E553" s="121">
        <v>-150.31388888888901</v>
      </c>
      <c r="G553" s="121" t="s">
        <v>494</v>
      </c>
      <c r="J553" s="121" t="s">
        <v>482</v>
      </c>
      <c r="L553" s="121" t="s">
        <v>483</v>
      </c>
      <c r="M553" s="127" t="str">
        <f t="shared" si="11"/>
        <v>View on Google Map</v>
      </c>
    </row>
    <row r="554" spans="1:13" x14ac:dyDescent="0.2">
      <c r="B554" s="121" t="s">
        <v>1576</v>
      </c>
      <c r="C554" s="121" t="s">
        <v>872</v>
      </c>
      <c r="D554" s="121">
        <v>69.043055555555554</v>
      </c>
      <c r="E554" s="121">
        <v>-150.42916666666699</v>
      </c>
      <c r="G554" s="121" t="s">
        <v>494</v>
      </c>
      <c r="J554" s="121" t="s">
        <v>482</v>
      </c>
      <c r="L554" s="121" t="s">
        <v>483</v>
      </c>
      <c r="M554" s="127" t="str">
        <f t="shared" si="11"/>
        <v>View on Google Map</v>
      </c>
    </row>
    <row r="555" spans="1:13" x14ac:dyDescent="0.2">
      <c r="A555" s="121">
        <v>39</v>
      </c>
      <c r="B555" s="121" t="s">
        <v>1577</v>
      </c>
      <c r="C555" s="121" t="s">
        <v>475</v>
      </c>
      <c r="D555" s="121">
        <v>68.994600000000005</v>
      </c>
      <c r="E555" s="121">
        <v>-150.30699999999999</v>
      </c>
      <c r="F555" s="121">
        <v>307</v>
      </c>
      <c r="G555" s="121" t="s">
        <v>500</v>
      </c>
      <c r="H555" s="121" t="s">
        <v>1578</v>
      </c>
      <c r="I555" s="121" t="s">
        <v>475</v>
      </c>
      <c r="J555" s="121" t="s">
        <v>536</v>
      </c>
      <c r="K555" s="121" t="s">
        <v>475</v>
      </c>
      <c r="L555" s="121" t="s">
        <v>483</v>
      </c>
      <c r="M555" s="127" t="str">
        <f t="shared" si="11"/>
        <v>View on Google Map</v>
      </c>
    </row>
    <row r="556" spans="1:13" x14ac:dyDescent="0.2">
      <c r="B556" s="121" t="s">
        <v>1579</v>
      </c>
      <c r="C556" s="121" t="s">
        <v>493</v>
      </c>
      <c r="D556" s="121">
        <v>69.570555555555558</v>
      </c>
      <c r="E556" s="121">
        <v>-150.893333333333</v>
      </c>
      <c r="G556" s="121" t="s">
        <v>494</v>
      </c>
      <c r="J556" s="121" t="s">
        <v>482</v>
      </c>
      <c r="L556" s="121" t="s">
        <v>483</v>
      </c>
      <c r="M556" s="127" t="str">
        <f t="shared" si="11"/>
        <v>View on Google Map</v>
      </c>
    </row>
    <row r="557" spans="1:13" x14ac:dyDescent="0.2">
      <c r="A557" s="121">
        <v>46</v>
      </c>
      <c r="B557" s="121" t="s">
        <v>1580</v>
      </c>
      <c r="C557" s="121" t="s">
        <v>475</v>
      </c>
      <c r="D557" s="121">
        <v>68.891069000000002</v>
      </c>
      <c r="E557" s="121">
        <v>-150.58501899999999</v>
      </c>
      <c r="F557" s="121" t="s">
        <v>475</v>
      </c>
      <c r="G557" s="121" t="s">
        <v>500</v>
      </c>
      <c r="H557" s="121" t="s">
        <v>475</v>
      </c>
      <c r="I557" s="121" t="s">
        <v>475</v>
      </c>
      <c r="J557" s="121" t="s">
        <v>1486</v>
      </c>
      <c r="K557" s="121" t="s">
        <v>475</v>
      </c>
      <c r="L557" s="121" t="s">
        <v>483</v>
      </c>
      <c r="M557" s="127" t="str">
        <f t="shared" si="11"/>
        <v>View on Google Map</v>
      </c>
    </row>
    <row r="558" spans="1:13" x14ac:dyDescent="0.2">
      <c r="A558" s="121">
        <v>47</v>
      </c>
      <c r="B558" s="121" t="s">
        <v>1581</v>
      </c>
      <c r="C558" s="121" t="s">
        <v>475</v>
      </c>
      <c r="D558" s="121">
        <v>68.966999999999999</v>
      </c>
      <c r="E558" s="121">
        <v>-150.56673000000001</v>
      </c>
      <c r="F558" s="121" t="s">
        <v>475</v>
      </c>
      <c r="G558" s="121" t="s">
        <v>500</v>
      </c>
      <c r="H558" s="121" t="s">
        <v>475</v>
      </c>
      <c r="I558" s="121" t="s">
        <v>475</v>
      </c>
      <c r="J558" s="121" t="s">
        <v>1486</v>
      </c>
      <c r="K558" s="121" t="s">
        <v>475</v>
      </c>
      <c r="L558" s="121" t="s">
        <v>483</v>
      </c>
      <c r="M558" s="127" t="str">
        <f t="shared" si="11"/>
        <v>View on Google Map</v>
      </c>
    </row>
    <row r="559" spans="1:13" x14ac:dyDescent="0.2">
      <c r="A559" s="121">
        <v>100</v>
      </c>
      <c r="B559" s="121" t="s">
        <v>20</v>
      </c>
      <c r="C559" s="121" t="s">
        <v>1582</v>
      </c>
      <c r="D559" s="121">
        <v>68.629960999999994</v>
      </c>
      <c r="E559" s="121">
        <v>-149.61263299999999</v>
      </c>
      <c r="F559" s="121">
        <v>719</v>
      </c>
      <c r="G559" s="121" t="s">
        <v>486</v>
      </c>
      <c r="H559" s="121" t="s">
        <v>1583</v>
      </c>
      <c r="I559" s="121" t="s">
        <v>1584</v>
      </c>
      <c r="J559" s="121" t="s">
        <v>501</v>
      </c>
      <c r="K559" s="121" t="s">
        <v>475</v>
      </c>
      <c r="L559" s="121" t="s">
        <v>475</v>
      </c>
      <c r="M559" s="127" t="str">
        <f t="shared" si="11"/>
        <v>View on Google Map</v>
      </c>
    </row>
    <row r="560" spans="1:13" x14ac:dyDescent="0.2">
      <c r="A560" s="121">
        <v>523</v>
      </c>
      <c r="B560" s="121" t="s">
        <v>1585</v>
      </c>
      <c r="C560" s="121" t="s">
        <v>1586</v>
      </c>
      <c r="D560" s="121">
        <v>68.626671999999999</v>
      </c>
      <c r="E560" s="121">
        <v>-149.59784400000001</v>
      </c>
      <c r="F560" s="121">
        <v>719</v>
      </c>
      <c r="G560" s="121" t="s">
        <v>486</v>
      </c>
      <c r="H560" s="121" t="s">
        <v>475</v>
      </c>
      <c r="I560" s="121" t="s">
        <v>475</v>
      </c>
      <c r="J560" s="121" t="s">
        <v>487</v>
      </c>
      <c r="K560" s="121" t="s">
        <v>475</v>
      </c>
      <c r="L560" s="121" t="s">
        <v>1587</v>
      </c>
      <c r="M560" s="127" t="str">
        <f t="shared" si="11"/>
        <v>View on Google Map</v>
      </c>
    </row>
    <row r="561" spans="1:13" x14ac:dyDescent="0.2">
      <c r="A561" s="121">
        <v>524</v>
      </c>
      <c r="B561" s="121" t="s">
        <v>1588</v>
      </c>
      <c r="C561" s="121" t="s">
        <v>1586</v>
      </c>
      <c r="D561" s="121">
        <v>68.632586000000003</v>
      </c>
      <c r="E561" s="121">
        <v>-149.60089500000001</v>
      </c>
      <c r="F561" s="121">
        <v>719</v>
      </c>
      <c r="G561" s="121" t="s">
        <v>486</v>
      </c>
      <c r="H561" s="121" t="s">
        <v>475</v>
      </c>
      <c r="I561" s="121" t="s">
        <v>475</v>
      </c>
      <c r="J561" s="121" t="s">
        <v>487</v>
      </c>
      <c r="K561" s="121" t="s">
        <v>475</v>
      </c>
      <c r="L561" s="121" t="s">
        <v>1587</v>
      </c>
      <c r="M561" s="127" t="str">
        <f t="shared" si="11"/>
        <v>View on Google Map</v>
      </c>
    </row>
    <row r="562" spans="1:13" x14ac:dyDescent="0.2">
      <c r="A562" s="121">
        <v>525</v>
      </c>
      <c r="B562" s="121" t="s">
        <v>1589</v>
      </c>
      <c r="C562" s="121" t="s">
        <v>1586</v>
      </c>
      <c r="D562" s="121">
        <v>68.636390000000006</v>
      </c>
      <c r="E562" s="121">
        <v>-149.594774</v>
      </c>
      <c r="F562" s="121">
        <v>719</v>
      </c>
      <c r="G562" s="121" t="s">
        <v>486</v>
      </c>
      <c r="H562" s="121" t="s">
        <v>475</v>
      </c>
      <c r="I562" s="121" t="s">
        <v>475</v>
      </c>
      <c r="J562" s="121" t="s">
        <v>487</v>
      </c>
      <c r="K562" s="121" t="s">
        <v>475</v>
      </c>
      <c r="L562" s="121" t="s">
        <v>1587</v>
      </c>
      <c r="M562" s="127" t="str">
        <f t="shared" si="11"/>
        <v>View on Google Map</v>
      </c>
    </row>
    <row r="563" spans="1:13" x14ac:dyDescent="0.2">
      <c r="A563" s="121">
        <v>13</v>
      </c>
      <c r="B563" s="121" t="s">
        <v>1590</v>
      </c>
      <c r="C563" s="121" t="s">
        <v>475</v>
      </c>
      <c r="D563" s="121">
        <v>68.625600000000006</v>
      </c>
      <c r="E563" s="121">
        <v>-149.59604999999999</v>
      </c>
      <c r="F563" s="121">
        <v>719</v>
      </c>
      <c r="G563" s="121" t="s">
        <v>500</v>
      </c>
      <c r="H563" s="121" t="s">
        <v>1591</v>
      </c>
      <c r="I563" s="121" t="s">
        <v>1592</v>
      </c>
      <c r="J563" s="121" t="s">
        <v>501</v>
      </c>
      <c r="K563" s="121">
        <v>190</v>
      </c>
      <c r="L563" s="121" t="s">
        <v>890</v>
      </c>
      <c r="M563" s="127" t="str">
        <f t="shared" si="11"/>
        <v>View on Google Map</v>
      </c>
    </row>
    <row r="564" spans="1:13" x14ac:dyDescent="0.2">
      <c r="A564" s="121">
        <v>522</v>
      </c>
      <c r="B564" s="121" t="s">
        <v>1593</v>
      </c>
      <c r="C564" s="121" t="s">
        <v>1586</v>
      </c>
      <c r="D564" s="121">
        <v>68.625966000000005</v>
      </c>
      <c r="E564" s="121">
        <v>-149.59902199999999</v>
      </c>
      <c r="F564" s="121">
        <v>719</v>
      </c>
      <c r="G564" s="121" t="s">
        <v>486</v>
      </c>
      <c r="H564" s="121" t="s">
        <v>475</v>
      </c>
      <c r="I564" s="121" t="s">
        <v>475</v>
      </c>
      <c r="J564" s="121" t="s">
        <v>487</v>
      </c>
      <c r="K564" s="121" t="s">
        <v>475</v>
      </c>
      <c r="L564" s="121" t="s">
        <v>1587</v>
      </c>
      <c r="M564" s="127" t="str">
        <f t="shared" si="11"/>
        <v>View on Google Map</v>
      </c>
    </row>
    <row r="565" spans="1:13" x14ac:dyDescent="0.2">
      <c r="A565" s="121">
        <v>101</v>
      </c>
      <c r="B565" s="121" t="s">
        <v>1594</v>
      </c>
      <c r="C565" s="121" t="s">
        <v>1595</v>
      </c>
      <c r="D565" s="121" t="s">
        <v>475</v>
      </c>
      <c r="E565" s="121" t="s">
        <v>475</v>
      </c>
      <c r="F565" s="121">
        <v>719</v>
      </c>
      <c r="G565" s="121" t="s">
        <v>486</v>
      </c>
      <c r="H565" s="121" t="s">
        <v>475</v>
      </c>
      <c r="I565" s="121" t="s">
        <v>475</v>
      </c>
      <c r="J565" s="121" t="s">
        <v>501</v>
      </c>
      <c r="K565" s="121" t="s">
        <v>475</v>
      </c>
      <c r="L565" s="121" t="s">
        <v>475</v>
      </c>
      <c r="M565" s="127" t="str">
        <f t="shared" si="11"/>
        <v>View on Google Map</v>
      </c>
    </row>
    <row r="566" spans="1:13" x14ac:dyDescent="0.2">
      <c r="A566" s="121">
        <v>102</v>
      </c>
      <c r="B566" s="121" t="s">
        <v>1596</v>
      </c>
      <c r="C566" s="121" t="s">
        <v>1597</v>
      </c>
      <c r="D566" s="121">
        <v>68.638623999999993</v>
      </c>
      <c r="E566" s="121">
        <v>-149.610737</v>
      </c>
      <c r="F566" s="121">
        <v>719</v>
      </c>
      <c r="G566" s="121" t="s">
        <v>486</v>
      </c>
      <c r="H566" s="121" t="s">
        <v>1598</v>
      </c>
      <c r="I566" s="121" t="s">
        <v>1599</v>
      </c>
      <c r="J566" s="121" t="s">
        <v>501</v>
      </c>
      <c r="K566" s="121" t="s">
        <v>475</v>
      </c>
      <c r="L566" s="121" t="s">
        <v>475</v>
      </c>
      <c r="M566" s="127" t="str">
        <f t="shared" si="11"/>
        <v>View on Google Map</v>
      </c>
    </row>
    <row r="567" spans="1:13" x14ac:dyDescent="0.2">
      <c r="A567" s="121">
        <v>526</v>
      </c>
      <c r="B567" s="121" t="s">
        <v>1600</v>
      </c>
      <c r="C567" s="121" t="s">
        <v>1586</v>
      </c>
      <c r="D567" s="121">
        <v>68.633232000000007</v>
      </c>
      <c r="E567" s="121">
        <v>-149.61149</v>
      </c>
      <c r="F567" s="121">
        <v>719</v>
      </c>
      <c r="G567" s="121" t="s">
        <v>486</v>
      </c>
      <c r="H567" s="121" t="s">
        <v>475</v>
      </c>
      <c r="I567" s="121" t="s">
        <v>475</v>
      </c>
      <c r="J567" s="121" t="s">
        <v>487</v>
      </c>
      <c r="K567" s="121" t="s">
        <v>475</v>
      </c>
      <c r="L567" s="121" t="s">
        <v>1587</v>
      </c>
      <c r="M567" s="127" t="str">
        <f t="shared" si="11"/>
        <v>View on Google Map</v>
      </c>
    </row>
    <row r="568" spans="1:13" x14ac:dyDescent="0.2">
      <c r="A568" s="121">
        <v>14</v>
      </c>
      <c r="B568" s="121" t="s">
        <v>1601</v>
      </c>
      <c r="C568" s="121" t="s">
        <v>475</v>
      </c>
      <c r="D568" s="121" t="s">
        <v>475</v>
      </c>
      <c r="E568" s="121" t="s">
        <v>475</v>
      </c>
      <c r="F568" s="121">
        <v>719</v>
      </c>
      <c r="G568" s="121" t="s">
        <v>500</v>
      </c>
      <c r="H568" s="121" t="s">
        <v>1602</v>
      </c>
      <c r="I568" s="121" t="s">
        <v>475</v>
      </c>
      <c r="J568" s="121" t="s">
        <v>501</v>
      </c>
      <c r="K568" s="121" t="s">
        <v>475</v>
      </c>
      <c r="L568" s="121" t="s">
        <v>475</v>
      </c>
      <c r="M568" s="127" t="str">
        <f t="shared" si="11"/>
        <v>View on Google Map</v>
      </c>
    </row>
    <row r="569" spans="1:13" x14ac:dyDescent="0.2">
      <c r="A569" s="121">
        <v>527</v>
      </c>
      <c r="B569" s="121" t="s">
        <v>1603</v>
      </c>
      <c r="C569" s="121" t="s">
        <v>1586</v>
      </c>
      <c r="D569" s="121">
        <v>68.639894999999996</v>
      </c>
      <c r="E569" s="121">
        <v>-149.59610599999999</v>
      </c>
      <c r="F569" s="121">
        <v>719</v>
      </c>
      <c r="G569" s="121" t="s">
        <v>486</v>
      </c>
      <c r="H569" s="121" t="s">
        <v>475</v>
      </c>
      <c r="I569" s="121" t="s">
        <v>475</v>
      </c>
      <c r="J569" s="121" t="s">
        <v>487</v>
      </c>
      <c r="K569" s="121" t="s">
        <v>475</v>
      </c>
      <c r="L569" s="121" t="s">
        <v>1587</v>
      </c>
      <c r="M569" s="127" t="str">
        <f t="shared" si="11"/>
        <v>View on Google Map</v>
      </c>
    </row>
    <row r="570" spans="1:13" x14ac:dyDescent="0.2">
      <c r="A570" s="121">
        <v>9</v>
      </c>
      <c r="B570" s="121" t="s">
        <v>1604</v>
      </c>
      <c r="C570" s="121" t="s">
        <v>475</v>
      </c>
      <c r="D570" s="121" t="s">
        <v>475</v>
      </c>
      <c r="E570" s="121" t="s">
        <v>475</v>
      </c>
      <c r="F570" s="121">
        <v>823</v>
      </c>
      <c r="G570" s="121" t="s">
        <v>500</v>
      </c>
      <c r="H570" s="121" t="s">
        <v>475</v>
      </c>
      <c r="I570" s="121" t="s">
        <v>475</v>
      </c>
      <c r="J570" s="121" t="s">
        <v>501</v>
      </c>
      <c r="K570" s="121" t="s">
        <v>475</v>
      </c>
      <c r="L570" s="121" t="s">
        <v>475</v>
      </c>
      <c r="M570" s="127" t="str">
        <f t="shared" si="11"/>
        <v>View on Google Map</v>
      </c>
    </row>
    <row r="571" spans="1:13" x14ac:dyDescent="0.2">
      <c r="A571" s="121">
        <v>22</v>
      </c>
      <c r="B571" s="121" t="s">
        <v>1605</v>
      </c>
      <c r="C571" s="121" t="s">
        <v>475</v>
      </c>
      <c r="D571" s="121" t="s">
        <v>475</v>
      </c>
      <c r="E571" s="121" t="s">
        <v>475</v>
      </c>
      <c r="F571" s="121" t="s">
        <v>475</v>
      </c>
      <c r="G571" s="121" t="s">
        <v>500</v>
      </c>
      <c r="H571" s="121" t="s">
        <v>1606</v>
      </c>
      <c r="I571" s="121" t="s">
        <v>475</v>
      </c>
      <c r="J571" s="121" t="s">
        <v>501</v>
      </c>
      <c r="K571" s="121" t="s">
        <v>475</v>
      </c>
      <c r="L571" s="121" t="s">
        <v>475</v>
      </c>
      <c r="M571" s="127" t="str">
        <f t="shared" si="11"/>
        <v>View on Google Map</v>
      </c>
    </row>
    <row r="572" spans="1:13" x14ac:dyDescent="0.2">
      <c r="A572" s="121">
        <v>528</v>
      </c>
      <c r="B572" s="121" t="s">
        <v>1607</v>
      </c>
      <c r="C572" s="121" t="s">
        <v>1586</v>
      </c>
      <c r="D572" s="121">
        <v>68.634241000000003</v>
      </c>
      <c r="E572" s="121">
        <v>-149.60275899999999</v>
      </c>
      <c r="F572" s="121">
        <v>719</v>
      </c>
      <c r="G572" s="121" t="s">
        <v>486</v>
      </c>
      <c r="H572" s="121" t="s">
        <v>475</v>
      </c>
      <c r="I572" s="121" t="s">
        <v>475</v>
      </c>
      <c r="J572" s="121" t="s">
        <v>487</v>
      </c>
      <c r="K572" s="121" t="s">
        <v>475</v>
      </c>
      <c r="L572" s="121" t="s">
        <v>1587</v>
      </c>
      <c r="M572" s="127" t="str">
        <f t="shared" si="11"/>
        <v>View on Google Map</v>
      </c>
    </row>
    <row r="573" spans="1:13" x14ac:dyDescent="0.2">
      <c r="A573" s="121">
        <v>521</v>
      </c>
      <c r="B573" s="121" t="s">
        <v>1608</v>
      </c>
      <c r="C573" s="121" t="s">
        <v>1586</v>
      </c>
      <c r="D573" s="121">
        <v>68.628656000000007</v>
      </c>
      <c r="E573" s="121">
        <v>-149.59960599999999</v>
      </c>
      <c r="F573" s="121">
        <v>719</v>
      </c>
      <c r="G573" s="121" t="s">
        <v>486</v>
      </c>
      <c r="H573" s="121" t="s">
        <v>475</v>
      </c>
      <c r="I573" s="121" t="s">
        <v>475</v>
      </c>
      <c r="J573" s="121" t="s">
        <v>487</v>
      </c>
      <c r="K573" s="121" t="s">
        <v>475</v>
      </c>
      <c r="L573" s="121" t="s">
        <v>1587</v>
      </c>
      <c r="M573" s="127" t="str">
        <f t="shared" si="11"/>
        <v>View on Google Map</v>
      </c>
    </row>
    <row r="574" spans="1:13" x14ac:dyDescent="0.2">
      <c r="A574" s="121">
        <v>520</v>
      </c>
      <c r="B574" s="121" t="s">
        <v>1609</v>
      </c>
      <c r="C574" s="121" t="s">
        <v>1586</v>
      </c>
      <c r="D574" s="121">
        <v>68.633064000000005</v>
      </c>
      <c r="E574" s="121">
        <v>-149.62826999999999</v>
      </c>
      <c r="F574" s="121">
        <v>719</v>
      </c>
      <c r="G574" s="121" t="s">
        <v>486</v>
      </c>
      <c r="H574" s="121" t="s">
        <v>475</v>
      </c>
      <c r="I574" s="121" t="s">
        <v>475</v>
      </c>
      <c r="J574" s="121" t="s">
        <v>487</v>
      </c>
      <c r="K574" s="121" t="s">
        <v>475</v>
      </c>
      <c r="L574" s="121" t="s">
        <v>1587</v>
      </c>
      <c r="M574" s="127" t="str">
        <f t="shared" si="11"/>
        <v>View on Google Map</v>
      </c>
    </row>
    <row r="575" spans="1:13" x14ac:dyDescent="0.2">
      <c r="B575" s="121" t="s">
        <v>1610</v>
      </c>
      <c r="C575" s="121" t="s">
        <v>872</v>
      </c>
      <c r="D575" s="121">
        <v>68.695505999999995</v>
      </c>
      <c r="E575" s="121">
        <v>-149.207807</v>
      </c>
      <c r="G575" s="121" t="s">
        <v>1012</v>
      </c>
      <c r="J575" s="27" t="s">
        <v>501</v>
      </c>
      <c r="M575" s="127" t="str">
        <f t="shared" si="11"/>
        <v>View on Google Map</v>
      </c>
    </row>
    <row r="576" spans="1:13" x14ac:dyDescent="0.2">
      <c r="B576" s="121" t="s">
        <v>1611</v>
      </c>
      <c r="C576" s="121" t="s">
        <v>872</v>
      </c>
      <c r="D576" s="121">
        <v>68.695696999999996</v>
      </c>
      <c r="E576" s="121">
        <v>-149.20482699999999</v>
      </c>
      <c r="G576" s="121" t="s">
        <v>1012</v>
      </c>
      <c r="J576" s="27" t="s">
        <v>501</v>
      </c>
      <c r="M576" s="127" t="str">
        <f t="shared" si="11"/>
        <v>View on Google Map</v>
      </c>
    </row>
    <row r="577" spans="1:13" x14ac:dyDescent="0.2">
      <c r="B577" s="121" t="s">
        <v>1612</v>
      </c>
      <c r="C577" s="121" t="s">
        <v>872</v>
      </c>
      <c r="D577" s="121">
        <v>68.690700000000007</v>
      </c>
      <c r="E577" s="121">
        <v>-149.208371</v>
      </c>
      <c r="G577" s="121" t="s">
        <v>1012</v>
      </c>
      <c r="J577" s="27" t="s">
        <v>501</v>
      </c>
      <c r="M577" s="127" t="str">
        <f t="shared" si="11"/>
        <v>View on Google Map</v>
      </c>
    </row>
    <row r="578" spans="1:13" x14ac:dyDescent="0.2">
      <c r="B578" s="121" t="s">
        <v>1613</v>
      </c>
      <c r="C578" s="121" t="s">
        <v>872</v>
      </c>
      <c r="D578" s="121">
        <v>68.693759</v>
      </c>
      <c r="E578" s="121">
        <v>-149.20405500000001</v>
      </c>
      <c r="G578" s="121" t="s">
        <v>1012</v>
      </c>
      <c r="J578" s="27" t="s">
        <v>501</v>
      </c>
      <c r="M578" s="127" t="str">
        <f t="shared" si="11"/>
        <v>View on Google Map</v>
      </c>
    </row>
    <row r="579" spans="1:13" x14ac:dyDescent="0.2">
      <c r="B579" s="121" t="s">
        <v>1614</v>
      </c>
      <c r="C579" s="121" t="s">
        <v>1615</v>
      </c>
      <c r="D579" s="121">
        <v>68.628228973000006</v>
      </c>
      <c r="E579" s="121">
        <v>-149.596001285</v>
      </c>
      <c r="F579" s="121">
        <v>726.5</v>
      </c>
      <c r="J579" s="121" t="s">
        <v>501</v>
      </c>
      <c r="M579" s="121" t="str">
        <f>HYPERLINK("http://maps.google.com/maps?q="&amp;D579&amp;","&amp;E579,"View on Google Map")</f>
        <v>View on Google Map</v>
      </c>
    </row>
    <row r="580" spans="1:13" x14ac:dyDescent="0.2">
      <c r="A580" s="121">
        <v>901</v>
      </c>
      <c r="B580" s="121" t="s">
        <v>1616</v>
      </c>
      <c r="C580" s="121" t="s">
        <v>1617</v>
      </c>
      <c r="D580" s="121" t="s">
        <v>475</v>
      </c>
      <c r="E580" s="121" t="s">
        <v>475</v>
      </c>
      <c r="F580" s="121" t="s">
        <v>475</v>
      </c>
      <c r="G580" s="121" t="s">
        <v>475</v>
      </c>
      <c r="H580" s="121" t="s">
        <v>1618</v>
      </c>
      <c r="I580" s="121" t="s">
        <v>475</v>
      </c>
      <c r="J580" s="27" t="s">
        <v>501</v>
      </c>
      <c r="K580" s="121" t="s">
        <v>475</v>
      </c>
      <c r="L580" s="121" t="s">
        <v>475</v>
      </c>
      <c r="M580" s="127" t="str">
        <f t="shared" ref="M580:M638" si="12">HYPERLINK("http://maps.google.com/maps?q="&amp;D580&amp;","&amp;E580,"View on Google Map")</f>
        <v>View on Google Map</v>
      </c>
    </row>
    <row r="581" spans="1:13" x14ac:dyDescent="0.2">
      <c r="A581" s="121">
        <v>902</v>
      </c>
      <c r="B581" s="121" t="s">
        <v>1619</v>
      </c>
      <c r="C581" s="121" t="s">
        <v>1617</v>
      </c>
      <c r="D581" s="121" t="s">
        <v>475</v>
      </c>
      <c r="E581" s="121" t="s">
        <v>475</v>
      </c>
      <c r="F581" s="121">
        <v>757</v>
      </c>
      <c r="G581" s="121" t="s">
        <v>476</v>
      </c>
      <c r="H581" s="121" t="s">
        <v>1620</v>
      </c>
      <c r="I581" s="121" t="s">
        <v>475</v>
      </c>
      <c r="J581" s="121" t="s">
        <v>501</v>
      </c>
      <c r="K581" s="121" t="s">
        <v>475</v>
      </c>
      <c r="L581" s="121" t="s">
        <v>475</v>
      </c>
      <c r="M581" s="127" t="str">
        <f t="shared" si="12"/>
        <v>View on Google Map</v>
      </c>
    </row>
    <row r="582" spans="1:13" x14ac:dyDescent="0.2">
      <c r="A582" s="121">
        <v>903</v>
      </c>
      <c r="B582" s="121" t="s">
        <v>1621</v>
      </c>
      <c r="C582" s="121" t="s">
        <v>1617</v>
      </c>
      <c r="D582" s="121" t="s">
        <v>475</v>
      </c>
      <c r="E582" s="121" t="s">
        <v>475</v>
      </c>
      <c r="F582" s="121">
        <v>770</v>
      </c>
      <c r="G582" s="121" t="s">
        <v>476</v>
      </c>
      <c r="H582" s="121" t="s">
        <v>1622</v>
      </c>
      <c r="I582" s="121" t="s">
        <v>475</v>
      </c>
      <c r="J582" s="121" t="s">
        <v>501</v>
      </c>
      <c r="K582" s="121" t="s">
        <v>475</v>
      </c>
      <c r="L582" s="121" t="s">
        <v>475</v>
      </c>
      <c r="M582" s="127" t="str">
        <f t="shared" si="12"/>
        <v>View on Google Map</v>
      </c>
    </row>
    <row r="583" spans="1:13" x14ac:dyDescent="0.2">
      <c r="A583" s="121">
        <v>904</v>
      </c>
      <c r="B583" s="121" t="s">
        <v>1623</v>
      </c>
      <c r="C583" s="121" t="s">
        <v>1617</v>
      </c>
      <c r="D583" s="121" t="s">
        <v>475</v>
      </c>
      <c r="E583" s="121" t="s">
        <v>475</v>
      </c>
      <c r="F583" s="121">
        <v>770</v>
      </c>
      <c r="G583" s="121" t="s">
        <v>476</v>
      </c>
      <c r="H583" s="121" t="s">
        <v>1624</v>
      </c>
      <c r="I583" s="121" t="s">
        <v>475</v>
      </c>
      <c r="J583" s="121" t="s">
        <v>501</v>
      </c>
      <c r="K583" s="121" t="s">
        <v>475</v>
      </c>
      <c r="L583" s="121" t="s">
        <v>475</v>
      </c>
      <c r="M583" s="127" t="str">
        <f t="shared" si="12"/>
        <v>View on Google Map</v>
      </c>
    </row>
    <row r="584" spans="1:13" x14ac:dyDescent="0.2">
      <c r="A584" s="121">
        <v>905</v>
      </c>
      <c r="B584" s="121" t="s">
        <v>1625</v>
      </c>
      <c r="C584" s="121" t="s">
        <v>1617</v>
      </c>
      <c r="D584" s="121" t="s">
        <v>475</v>
      </c>
      <c r="E584" s="121" t="s">
        <v>475</v>
      </c>
      <c r="F584" s="121">
        <v>769</v>
      </c>
      <c r="G584" s="121" t="s">
        <v>476</v>
      </c>
      <c r="H584" s="121" t="s">
        <v>1626</v>
      </c>
      <c r="I584" s="121" t="s">
        <v>475</v>
      </c>
      <c r="J584" s="121" t="s">
        <v>501</v>
      </c>
      <c r="K584" s="121" t="s">
        <v>475</v>
      </c>
      <c r="L584" s="121" t="s">
        <v>475</v>
      </c>
      <c r="M584" s="127" t="str">
        <f t="shared" si="12"/>
        <v>View on Google Map</v>
      </c>
    </row>
    <row r="585" spans="1:13" x14ac:dyDescent="0.2">
      <c r="A585" s="121">
        <v>906</v>
      </c>
      <c r="B585" s="121" t="s">
        <v>1627</v>
      </c>
      <c r="C585" s="121" t="s">
        <v>1617</v>
      </c>
      <c r="D585" s="121" t="s">
        <v>475</v>
      </c>
      <c r="E585" s="121" t="s">
        <v>475</v>
      </c>
      <c r="F585" s="121">
        <v>769</v>
      </c>
      <c r="G585" s="121" t="s">
        <v>476</v>
      </c>
      <c r="H585" s="121" t="s">
        <v>1628</v>
      </c>
      <c r="I585" s="121" t="s">
        <v>475</v>
      </c>
      <c r="J585" s="121" t="s">
        <v>501</v>
      </c>
      <c r="K585" s="121" t="s">
        <v>475</v>
      </c>
      <c r="L585" s="121" t="s">
        <v>475</v>
      </c>
      <c r="M585" s="127" t="str">
        <f t="shared" si="12"/>
        <v>View on Google Map</v>
      </c>
    </row>
    <row r="586" spans="1:13" x14ac:dyDescent="0.2">
      <c r="A586" s="121">
        <v>907</v>
      </c>
      <c r="B586" s="121" t="s">
        <v>1629</v>
      </c>
      <c r="C586" s="121" t="s">
        <v>1617</v>
      </c>
      <c r="D586" s="121" t="s">
        <v>475</v>
      </c>
      <c r="E586" s="121" t="s">
        <v>475</v>
      </c>
      <c r="F586" s="121">
        <v>770</v>
      </c>
      <c r="G586" s="121" t="s">
        <v>476</v>
      </c>
      <c r="H586" s="121" t="s">
        <v>1630</v>
      </c>
      <c r="I586" s="121" t="s">
        <v>475</v>
      </c>
      <c r="J586" s="121" t="s">
        <v>501</v>
      </c>
      <c r="K586" s="121" t="s">
        <v>475</v>
      </c>
      <c r="L586" s="121" t="s">
        <v>475</v>
      </c>
      <c r="M586" s="127" t="str">
        <f t="shared" si="12"/>
        <v>View on Google Map</v>
      </c>
    </row>
    <row r="587" spans="1:13" x14ac:dyDescent="0.2">
      <c r="A587" s="121">
        <v>908</v>
      </c>
      <c r="B587" s="121" t="s">
        <v>1631</v>
      </c>
      <c r="C587" s="121" t="s">
        <v>1617</v>
      </c>
      <c r="D587" s="121" t="s">
        <v>475</v>
      </c>
      <c r="E587" s="121" t="s">
        <v>475</v>
      </c>
      <c r="F587" s="121">
        <v>770</v>
      </c>
      <c r="G587" s="121" t="s">
        <v>476</v>
      </c>
      <c r="H587" s="121" t="s">
        <v>1632</v>
      </c>
      <c r="I587" s="121" t="s">
        <v>475</v>
      </c>
      <c r="J587" s="121" t="s">
        <v>501</v>
      </c>
      <c r="K587" s="121" t="s">
        <v>475</v>
      </c>
      <c r="L587" s="121" t="s">
        <v>475</v>
      </c>
      <c r="M587" s="127" t="str">
        <f t="shared" si="12"/>
        <v>View on Google Map</v>
      </c>
    </row>
    <row r="588" spans="1:13" x14ac:dyDescent="0.2">
      <c r="A588" s="121">
        <v>909</v>
      </c>
      <c r="B588" s="121" t="s">
        <v>1633</v>
      </c>
      <c r="C588" s="121" t="s">
        <v>1617</v>
      </c>
      <c r="D588" s="121" t="s">
        <v>475</v>
      </c>
      <c r="E588" s="121" t="s">
        <v>475</v>
      </c>
      <c r="F588" s="121">
        <v>764</v>
      </c>
      <c r="G588" s="121" t="s">
        <v>476</v>
      </c>
      <c r="H588" s="121" t="s">
        <v>1634</v>
      </c>
      <c r="I588" s="121" t="s">
        <v>475</v>
      </c>
      <c r="J588" s="121" t="s">
        <v>501</v>
      </c>
      <c r="K588" s="121" t="s">
        <v>475</v>
      </c>
      <c r="L588" s="121" t="s">
        <v>475</v>
      </c>
      <c r="M588" s="127" t="str">
        <f t="shared" si="12"/>
        <v>View on Google Map</v>
      </c>
    </row>
    <row r="589" spans="1:13" x14ac:dyDescent="0.2">
      <c r="A589" s="121">
        <v>910</v>
      </c>
      <c r="B589" s="121" t="s">
        <v>1635</v>
      </c>
      <c r="C589" s="121" t="s">
        <v>1617</v>
      </c>
      <c r="D589" s="121" t="s">
        <v>475</v>
      </c>
      <c r="E589" s="121" t="s">
        <v>475</v>
      </c>
      <c r="F589" s="121">
        <v>764</v>
      </c>
      <c r="G589" s="121" t="s">
        <v>476</v>
      </c>
      <c r="H589" s="121" t="s">
        <v>1636</v>
      </c>
      <c r="I589" s="121" t="s">
        <v>475</v>
      </c>
      <c r="J589" s="121" t="s">
        <v>501</v>
      </c>
      <c r="K589" s="121" t="s">
        <v>475</v>
      </c>
      <c r="L589" s="121" t="s">
        <v>475</v>
      </c>
      <c r="M589" s="127" t="str">
        <f t="shared" si="12"/>
        <v>View on Google Map</v>
      </c>
    </row>
    <row r="590" spans="1:13" x14ac:dyDescent="0.2">
      <c r="A590" s="121">
        <v>911</v>
      </c>
      <c r="B590" s="121" t="s">
        <v>1637</v>
      </c>
      <c r="C590" s="121" t="s">
        <v>1617</v>
      </c>
      <c r="D590" s="121" t="s">
        <v>475</v>
      </c>
      <c r="E590" s="121" t="s">
        <v>475</v>
      </c>
      <c r="F590" s="121">
        <v>760</v>
      </c>
      <c r="G590" s="121" t="s">
        <v>476</v>
      </c>
      <c r="H590" s="121" t="s">
        <v>1638</v>
      </c>
      <c r="I590" s="121" t="s">
        <v>475</v>
      </c>
      <c r="J590" s="121" t="s">
        <v>501</v>
      </c>
      <c r="K590" s="121" t="s">
        <v>475</v>
      </c>
      <c r="L590" s="121" t="s">
        <v>475</v>
      </c>
      <c r="M590" s="127" t="str">
        <f t="shared" si="12"/>
        <v>View on Google Map</v>
      </c>
    </row>
    <row r="591" spans="1:13" x14ac:dyDescent="0.2">
      <c r="A591" s="121">
        <v>912</v>
      </c>
      <c r="B591" s="121" t="s">
        <v>1639</v>
      </c>
      <c r="C591" s="121" t="s">
        <v>1617</v>
      </c>
      <c r="D591" s="121" t="s">
        <v>475</v>
      </c>
      <c r="E591" s="121" t="s">
        <v>475</v>
      </c>
      <c r="F591" s="121">
        <v>760</v>
      </c>
      <c r="G591" s="121" t="s">
        <v>476</v>
      </c>
      <c r="H591" s="121" t="s">
        <v>1640</v>
      </c>
      <c r="I591" s="121" t="s">
        <v>475</v>
      </c>
      <c r="J591" s="121" t="s">
        <v>501</v>
      </c>
      <c r="K591" s="121" t="s">
        <v>475</v>
      </c>
      <c r="L591" s="121" t="s">
        <v>475</v>
      </c>
      <c r="M591" s="127" t="str">
        <f t="shared" si="12"/>
        <v>View on Google Map</v>
      </c>
    </row>
    <row r="592" spans="1:13" x14ac:dyDescent="0.2">
      <c r="A592" s="121">
        <v>913</v>
      </c>
      <c r="B592" s="121" t="s">
        <v>1641</v>
      </c>
      <c r="C592" s="121" t="s">
        <v>1617</v>
      </c>
      <c r="D592" s="121" t="s">
        <v>475</v>
      </c>
      <c r="E592" s="121" t="s">
        <v>475</v>
      </c>
      <c r="F592" s="121">
        <v>759</v>
      </c>
      <c r="G592" s="121" t="s">
        <v>476</v>
      </c>
      <c r="H592" s="121" t="s">
        <v>1642</v>
      </c>
      <c r="I592" s="121" t="s">
        <v>475</v>
      </c>
      <c r="J592" s="121" t="s">
        <v>501</v>
      </c>
      <c r="K592" s="121" t="s">
        <v>475</v>
      </c>
      <c r="L592" s="121" t="s">
        <v>475</v>
      </c>
      <c r="M592" s="127" t="str">
        <f t="shared" si="12"/>
        <v>View on Google Map</v>
      </c>
    </row>
    <row r="593" spans="1:13" x14ac:dyDescent="0.2">
      <c r="A593" s="121">
        <v>914</v>
      </c>
      <c r="B593" s="121" t="s">
        <v>1643</v>
      </c>
      <c r="C593" s="121" t="s">
        <v>1617</v>
      </c>
      <c r="D593" s="121" t="s">
        <v>475</v>
      </c>
      <c r="E593" s="121" t="s">
        <v>475</v>
      </c>
      <c r="F593" s="121">
        <v>758</v>
      </c>
      <c r="G593" s="121" t="s">
        <v>476</v>
      </c>
      <c r="H593" s="121" t="s">
        <v>1644</v>
      </c>
      <c r="I593" s="121" t="s">
        <v>475</v>
      </c>
      <c r="J593" s="121" t="s">
        <v>501</v>
      </c>
      <c r="K593" s="121" t="s">
        <v>475</v>
      </c>
      <c r="L593" s="121" t="s">
        <v>475</v>
      </c>
      <c r="M593" s="127" t="str">
        <f t="shared" si="12"/>
        <v>View on Google Map</v>
      </c>
    </row>
    <row r="594" spans="1:13" x14ac:dyDescent="0.2">
      <c r="A594" s="121">
        <v>915</v>
      </c>
      <c r="B594" s="121" t="s">
        <v>1645</v>
      </c>
      <c r="C594" s="121" t="s">
        <v>1646</v>
      </c>
      <c r="D594" s="121">
        <v>68.627900999999994</v>
      </c>
      <c r="E594" s="121">
        <v>-149.61295100000001</v>
      </c>
      <c r="F594" s="121">
        <v>759</v>
      </c>
      <c r="G594" s="121" t="s">
        <v>476</v>
      </c>
      <c r="H594" s="121" t="s">
        <v>1647</v>
      </c>
      <c r="I594" s="121" t="s">
        <v>1648</v>
      </c>
      <c r="J594" s="121" t="s">
        <v>501</v>
      </c>
      <c r="K594" s="121" t="s">
        <v>475</v>
      </c>
      <c r="L594" s="121" t="s">
        <v>475</v>
      </c>
      <c r="M594" s="127" t="str">
        <f t="shared" si="12"/>
        <v>View on Google Map</v>
      </c>
    </row>
    <row r="595" spans="1:13" x14ac:dyDescent="0.2">
      <c r="A595" s="121">
        <v>900</v>
      </c>
      <c r="B595" s="121" t="s">
        <v>1649</v>
      </c>
      <c r="C595" s="121" t="s">
        <v>475</v>
      </c>
      <c r="D595" s="121">
        <v>68.623487999999995</v>
      </c>
      <c r="E595" s="121">
        <v>-149.616559</v>
      </c>
      <c r="F595" s="121">
        <v>761</v>
      </c>
      <c r="G595" s="121" t="s">
        <v>476</v>
      </c>
      <c r="H595" s="121" t="s">
        <v>1650</v>
      </c>
      <c r="I595" s="121" t="s">
        <v>1651</v>
      </c>
      <c r="J595" s="121" t="s">
        <v>501</v>
      </c>
      <c r="K595" s="121" t="s">
        <v>475</v>
      </c>
      <c r="L595" s="121" t="s">
        <v>475</v>
      </c>
      <c r="M595" s="127" t="str">
        <f t="shared" si="12"/>
        <v>View on Google Map</v>
      </c>
    </row>
    <row r="596" spans="1:13" x14ac:dyDescent="0.2">
      <c r="B596" s="121" t="s">
        <v>1652</v>
      </c>
      <c r="C596" s="121" t="s">
        <v>1087</v>
      </c>
      <c r="D596" s="121">
        <v>68.549263888888888</v>
      </c>
      <c r="E596" s="121">
        <v>-149.306022222222</v>
      </c>
      <c r="G596" s="121" t="s">
        <v>1012</v>
      </c>
      <c r="J596" s="27" t="s">
        <v>501</v>
      </c>
      <c r="M596" s="127" t="str">
        <f t="shared" si="12"/>
        <v>View on Google Map</v>
      </c>
    </row>
    <row r="597" spans="1:13" x14ac:dyDescent="0.2">
      <c r="B597" s="121" t="s">
        <v>1653</v>
      </c>
      <c r="C597" s="121" t="s">
        <v>1087</v>
      </c>
      <c r="D597" s="121">
        <v>68.550188888888883</v>
      </c>
      <c r="E597" s="121">
        <v>-149.310305555556</v>
      </c>
      <c r="G597" s="121" t="s">
        <v>1012</v>
      </c>
      <c r="J597" s="27" t="s">
        <v>501</v>
      </c>
      <c r="M597" s="127" t="str">
        <f t="shared" si="12"/>
        <v>View on Google Map</v>
      </c>
    </row>
    <row r="598" spans="1:13" x14ac:dyDescent="0.2">
      <c r="B598" s="121" t="s">
        <v>1654</v>
      </c>
      <c r="C598" s="121" t="s">
        <v>1087</v>
      </c>
      <c r="D598" s="121">
        <v>68.549108333333336</v>
      </c>
      <c r="E598" s="121">
        <v>-149.30837777777799</v>
      </c>
      <c r="G598" s="121" t="s">
        <v>1012</v>
      </c>
      <c r="J598" s="27" t="s">
        <v>501</v>
      </c>
      <c r="M598" s="127" t="str">
        <f t="shared" si="12"/>
        <v>View on Google Map</v>
      </c>
    </row>
    <row r="599" spans="1:13" x14ac:dyDescent="0.2">
      <c r="A599" s="121">
        <v>42</v>
      </c>
      <c r="B599" s="121" t="s">
        <v>1655</v>
      </c>
      <c r="C599" s="121" t="s">
        <v>475</v>
      </c>
      <c r="D599" s="121">
        <v>68.960555999999997</v>
      </c>
      <c r="E599" s="121">
        <v>-150.63055600000001</v>
      </c>
      <c r="F599" s="121" t="s">
        <v>475</v>
      </c>
      <c r="G599" s="121" t="s">
        <v>500</v>
      </c>
      <c r="H599" s="121" t="s">
        <v>1656</v>
      </c>
      <c r="I599" s="121" t="s">
        <v>475</v>
      </c>
      <c r="J599" s="121" t="s">
        <v>1486</v>
      </c>
      <c r="K599" s="121" t="s">
        <v>475</v>
      </c>
      <c r="L599" s="121" t="s">
        <v>483</v>
      </c>
      <c r="M599" s="127" t="str">
        <f t="shared" si="12"/>
        <v>View on Google Map</v>
      </c>
    </row>
    <row r="600" spans="1:13" x14ac:dyDescent="0.2">
      <c r="A600" s="121">
        <v>43</v>
      </c>
      <c r="B600" s="121" t="s">
        <v>1657</v>
      </c>
      <c r="C600" s="121" t="s">
        <v>475</v>
      </c>
      <c r="D600" s="121">
        <v>68.935101000000003</v>
      </c>
      <c r="E600" s="121">
        <v>-150.68391700000001</v>
      </c>
      <c r="F600" s="121" t="s">
        <v>475</v>
      </c>
      <c r="G600" s="121" t="s">
        <v>500</v>
      </c>
      <c r="H600" s="121" t="s">
        <v>1658</v>
      </c>
      <c r="I600" s="121" t="s">
        <v>475</v>
      </c>
      <c r="J600" s="121" t="s">
        <v>1486</v>
      </c>
      <c r="K600" s="121" t="s">
        <v>475</v>
      </c>
      <c r="L600" s="121" t="s">
        <v>483</v>
      </c>
      <c r="M600" s="127" t="str">
        <f t="shared" si="12"/>
        <v>View on Google Map</v>
      </c>
    </row>
    <row r="601" spans="1:13" x14ac:dyDescent="0.2">
      <c r="A601" s="121">
        <v>44</v>
      </c>
      <c r="B601" s="121" t="s">
        <v>1659</v>
      </c>
      <c r="C601" s="121" t="s">
        <v>475</v>
      </c>
      <c r="D601" s="121">
        <v>68.916987000000006</v>
      </c>
      <c r="E601" s="121">
        <v>-150.659291</v>
      </c>
      <c r="F601" s="121" t="s">
        <v>475</v>
      </c>
      <c r="G601" s="121" t="s">
        <v>500</v>
      </c>
      <c r="H601" s="121" t="s">
        <v>1660</v>
      </c>
      <c r="I601" s="121" t="s">
        <v>475</v>
      </c>
      <c r="J601" s="121" t="s">
        <v>1486</v>
      </c>
      <c r="K601" s="121" t="s">
        <v>475</v>
      </c>
      <c r="L601" s="121" t="s">
        <v>483</v>
      </c>
      <c r="M601" s="127" t="str">
        <f t="shared" si="12"/>
        <v>View on Google Map</v>
      </c>
    </row>
    <row r="602" spans="1:13" x14ac:dyDescent="0.2">
      <c r="B602" s="121" t="s">
        <v>1661</v>
      </c>
      <c r="C602" s="121" t="s">
        <v>1488</v>
      </c>
      <c r="D602" s="121">
        <v>69.132777777777775</v>
      </c>
      <c r="E602" s="121">
        <v>-150.710833333333</v>
      </c>
      <c r="G602" s="121" t="s">
        <v>494</v>
      </c>
      <c r="J602" s="121" t="s">
        <v>482</v>
      </c>
      <c r="L602" s="121" t="s">
        <v>483</v>
      </c>
      <c r="M602" s="127" t="str">
        <f t="shared" si="12"/>
        <v>View on Google Map</v>
      </c>
    </row>
    <row r="603" spans="1:13" x14ac:dyDescent="0.2">
      <c r="B603" s="121" t="s">
        <v>1662</v>
      </c>
      <c r="C603" s="121" t="s">
        <v>872</v>
      </c>
      <c r="D603" s="121">
        <v>69.13944444444445</v>
      </c>
      <c r="E603" s="121">
        <v>-150.68388888888899</v>
      </c>
      <c r="G603" s="121" t="s">
        <v>494</v>
      </c>
      <c r="J603" s="121" t="s">
        <v>482</v>
      </c>
      <c r="L603" s="121" t="s">
        <v>483</v>
      </c>
      <c r="M603" s="127" t="str">
        <f t="shared" si="12"/>
        <v>View on Google Map</v>
      </c>
    </row>
    <row r="604" spans="1:13" x14ac:dyDescent="0.2">
      <c r="B604" s="121" t="s">
        <v>1663</v>
      </c>
      <c r="C604" s="121" t="s">
        <v>1488</v>
      </c>
      <c r="D604" s="121">
        <v>68.960833333333341</v>
      </c>
      <c r="E604" s="121">
        <v>-150.719722222222</v>
      </c>
      <c r="G604" s="121" t="s">
        <v>494</v>
      </c>
      <c r="J604" s="121" t="s">
        <v>482</v>
      </c>
      <c r="L604" s="121" t="s">
        <v>483</v>
      </c>
      <c r="M604" s="127" t="str">
        <f t="shared" si="12"/>
        <v>View on Google Map</v>
      </c>
    </row>
    <row r="605" spans="1:13" x14ac:dyDescent="0.2">
      <c r="B605" s="121" t="s">
        <v>1664</v>
      </c>
      <c r="C605" s="121" t="s">
        <v>872</v>
      </c>
      <c r="D605" s="121">
        <v>69.055277777777775</v>
      </c>
      <c r="E605" s="121">
        <v>-150.80972222222201</v>
      </c>
      <c r="G605" s="121" t="s">
        <v>494</v>
      </c>
      <c r="J605" s="121" t="s">
        <v>482</v>
      </c>
      <c r="L605" s="121" t="s">
        <v>483</v>
      </c>
      <c r="M605" s="127" t="str">
        <f t="shared" si="12"/>
        <v>View on Google Map</v>
      </c>
    </row>
    <row r="606" spans="1:13" x14ac:dyDescent="0.2">
      <c r="A606" s="121">
        <v>932</v>
      </c>
      <c r="B606" s="121" t="s">
        <v>1665</v>
      </c>
      <c r="C606" s="121" t="s">
        <v>475</v>
      </c>
      <c r="D606" s="121" t="s">
        <v>475</v>
      </c>
      <c r="E606" s="121" t="s">
        <v>475</v>
      </c>
      <c r="F606" s="121">
        <v>750</v>
      </c>
      <c r="G606" s="121" t="s">
        <v>476</v>
      </c>
      <c r="H606" s="121" t="s">
        <v>1666</v>
      </c>
      <c r="I606" s="121" t="s">
        <v>1667</v>
      </c>
      <c r="J606" s="121" t="s">
        <v>501</v>
      </c>
      <c r="K606" s="121" t="s">
        <v>475</v>
      </c>
      <c r="L606" s="121" t="s">
        <v>475</v>
      </c>
      <c r="M606" s="127" t="str">
        <f t="shared" si="12"/>
        <v>View on Google Map</v>
      </c>
    </row>
    <row r="607" spans="1:13" x14ac:dyDescent="0.2">
      <c r="A607" s="121">
        <v>920</v>
      </c>
      <c r="B607" s="121" t="s">
        <v>1668</v>
      </c>
      <c r="C607" s="121" t="s">
        <v>475</v>
      </c>
      <c r="D607" s="121" t="s">
        <v>475</v>
      </c>
      <c r="E607" s="121" t="s">
        <v>475</v>
      </c>
      <c r="F607" s="121">
        <v>760</v>
      </c>
      <c r="G607" s="121" t="s">
        <v>476</v>
      </c>
      <c r="H607" s="121" t="s">
        <v>1669</v>
      </c>
      <c r="I607" s="121" t="s">
        <v>1670</v>
      </c>
      <c r="J607" s="121" t="s">
        <v>501</v>
      </c>
      <c r="K607" s="121" t="s">
        <v>475</v>
      </c>
      <c r="L607" s="121" t="s">
        <v>475</v>
      </c>
      <c r="M607" s="127" t="str">
        <f t="shared" si="12"/>
        <v>View on Google Map</v>
      </c>
    </row>
    <row r="608" spans="1:13" x14ac:dyDescent="0.2">
      <c r="A608" s="121">
        <v>921</v>
      </c>
      <c r="B608" s="121" t="s">
        <v>1671</v>
      </c>
      <c r="C608" s="121" t="s">
        <v>475</v>
      </c>
      <c r="D608" s="121" t="s">
        <v>475</v>
      </c>
      <c r="E608" s="121" t="s">
        <v>475</v>
      </c>
      <c r="F608" s="121">
        <v>720</v>
      </c>
      <c r="G608" s="121" t="s">
        <v>476</v>
      </c>
      <c r="H608" s="121" t="s">
        <v>1672</v>
      </c>
      <c r="I608" s="121" t="s">
        <v>1673</v>
      </c>
      <c r="J608" s="121" t="s">
        <v>501</v>
      </c>
      <c r="K608" s="121" t="s">
        <v>475</v>
      </c>
      <c r="L608" s="121" t="s">
        <v>475</v>
      </c>
      <c r="M608" s="127" t="str">
        <f t="shared" si="12"/>
        <v>View on Google Map</v>
      </c>
    </row>
    <row r="609" spans="1:13" x14ac:dyDescent="0.2">
      <c r="A609" s="121">
        <v>922</v>
      </c>
      <c r="B609" s="121" t="s">
        <v>1674</v>
      </c>
      <c r="C609" s="121" t="s">
        <v>475</v>
      </c>
      <c r="D609" s="121" t="s">
        <v>475</v>
      </c>
      <c r="E609" s="121" t="s">
        <v>475</v>
      </c>
      <c r="F609" s="121">
        <v>750</v>
      </c>
      <c r="G609" s="121" t="s">
        <v>476</v>
      </c>
      <c r="H609" s="121" t="s">
        <v>1675</v>
      </c>
      <c r="I609" s="121" t="s">
        <v>1676</v>
      </c>
      <c r="J609" s="121" t="s">
        <v>501</v>
      </c>
      <c r="K609" s="121" t="s">
        <v>475</v>
      </c>
      <c r="L609" s="121" t="s">
        <v>475</v>
      </c>
      <c r="M609" s="127" t="str">
        <f t="shared" si="12"/>
        <v>View on Google Map</v>
      </c>
    </row>
    <row r="610" spans="1:13" x14ac:dyDescent="0.2">
      <c r="A610" s="121">
        <v>923</v>
      </c>
      <c r="B610" s="121" t="s">
        <v>1677</v>
      </c>
      <c r="C610" s="121" t="s">
        <v>475</v>
      </c>
      <c r="D610" s="121" t="s">
        <v>475</v>
      </c>
      <c r="E610" s="121" t="s">
        <v>475</v>
      </c>
      <c r="F610" s="121">
        <v>750</v>
      </c>
      <c r="G610" s="121" t="s">
        <v>476</v>
      </c>
      <c r="H610" s="121" t="s">
        <v>1678</v>
      </c>
      <c r="I610" s="121" t="s">
        <v>1679</v>
      </c>
      <c r="J610" s="121" t="s">
        <v>501</v>
      </c>
      <c r="K610" s="121" t="s">
        <v>475</v>
      </c>
      <c r="L610" s="121" t="s">
        <v>475</v>
      </c>
      <c r="M610" s="127" t="str">
        <f t="shared" si="12"/>
        <v>View on Google Map</v>
      </c>
    </row>
    <row r="611" spans="1:13" x14ac:dyDescent="0.2">
      <c r="A611" s="121">
        <v>924</v>
      </c>
      <c r="B611" s="121" t="s">
        <v>1680</v>
      </c>
      <c r="C611" s="121" t="s">
        <v>475</v>
      </c>
      <c r="D611" s="121" t="s">
        <v>475</v>
      </c>
      <c r="E611" s="121" t="s">
        <v>475</v>
      </c>
      <c r="F611" s="121">
        <v>750</v>
      </c>
      <c r="G611" s="121" t="s">
        <v>476</v>
      </c>
      <c r="H611" s="121" t="s">
        <v>1681</v>
      </c>
      <c r="I611" s="121" t="s">
        <v>1682</v>
      </c>
      <c r="J611" s="121" t="s">
        <v>501</v>
      </c>
      <c r="K611" s="121" t="s">
        <v>475</v>
      </c>
      <c r="L611" s="121" t="s">
        <v>475</v>
      </c>
      <c r="M611" s="127" t="str">
        <f t="shared" si="12"/>
        <v>View on Google Map</v>
      </c>
    </row>
    <row r="612" spans="1:13" x14ac:dyDescent="0.2">
      <c r="A612" s="121">
        <v>925</v>
      </c>
      <c r="B612" s="121" t="s">
        <v>1683</v>
      </c>
      <c r="C612" s="121" t="s">
        <v>475</v>
      </c>
      <c r="D612" s="121" t="s">
        <v>475</v>
      </c>
      <c r="E612" s="121" t="s">
        <v>475</v>
      </c>
      <c r="F612" s="121">
        <v>750</v>
      </c>
      <c r="G612" s="121" t="s">
        <v>476</v>
      </c>
      <c r="H612" s="121" t="s">
        <v>1684</v>
      </c>
      <c r="I612" s="121" t="s">
        <v>1685</v>
      </c>
      <c r="J612" s="121" t="s">
        <v>501</v>
      </c>
      <c r="K612" s="121" t="s">
        <v>475</v>
      </c>
      <c r="L612" s="121" t="s">
        <v>475</v>
      </c>
      <c r="M612" s="127" t="str">
        <f t="shared" si="12"/>
        <v>View on Google Map</v>
      </c>
    </row>
    <row r="613" spans="1:13" x14ac:dyDescent="0.2">
      <c r="A613" s="121">
        <v>926</v>
      </c>
      <c r="B613" s="121" t="s">
        <v>1686</v>
      </c>
      <c r="C613" s="121" t="s">
        <v>475</v>
      </c>
      <c r="D613" s="121" t="s">
        <v>475</v>
      </c>
      <c r="E613" s="121" t="s">
        <v>475</v>
      </c>
      <c r="F613" s="121">
        <v>750</v>
      </c>
      <c r="G613" s="121" t="s">
        <v>476</v>
      </c>
      <c r="H613" s="121" t="s">
        <v>1687</v>
      </c>
      <c r="I613" s="121" t="s">
        <v>1688</v>
      </c>
      <c r="J613" s="121" t="s">
        <v>501</v>
      </c>
      <c r="K613" s="121" t="s">
        <v>475</v>
      </c>
      <c r="L613" s="121" t="s">
        <v>475</v>
      </c>
      <c r="M613" s="127" t="str">
        <f t="shared" si="12"/>
        <v>View on Google Map</v>
      </c>
    </row>
    <row r="614" spans="1:13" x14ac:dyDescent="0.2">
      <c r="A614" s="121">
        <v>927</v>
      </c>
      <c r="B614" s="121" t="s">
        <v>1689</v>
      </c>
      <c r="C614" s="121" t="s">
        <v>475</v>
      </c>
      <c r="D614" s="121" t="s">
        <v>475</v>
      </c>
      <c r="E614" s="121" t="s">
        <v>475</v>
      </c>
      <c r="F614" s="121">
        <v>750</v>
      </c>
      <c r="G614" s="121" t="s">
        <v>476</v>
      </c>
      <c r="H614" s="121" t="s">
        <v>1690</v>
      </c>
      <c r="I614" s="121" t="s">
        <v>1691</v>
      </c>
      <c r="J614" s="121" t="s">
        <v>501</v>
      </c>
      <c r="K614" s="121" t="s">
        <v>475</v>
      </c>
      <c r="L614" s="121" t="s">
        <v>475</v>
      </c>
      <c r="M614" s="127" t="str">
        <f t="shared" si="12"/>
        <v>View on Google Map</v>
      </c>
    </row>
    <row r="615" spans="1:13" x14ac:dyDescent="0.2">
      <c r="A615" s="121">
        <v>928</v>
      </c>
      <c r="B615" s="121" t="s">
        <v>1692</v>
      </c>
      <c r="C615" s="121" t="s">
        <v>475</v>
      </c>
      <c r="D615" s="121" t="s">
        <v>475</v>
      </c>
      <c r="E615" s="121" t="s">
        <v>475</v>
      </c>
      <c r="F615" s="121">
        <v>750</v>
      </c>
      <c r="G615" s="121" t="s">
        <v>476</v>
      </c>
      <c r="H615" s="121" t="s">
        <v>1693</v>
      </c>
      <c r="I615" s="121" t="s">
        <v>1694</v>
      </c>
      <c r="J615" s="121" t="s">
        <v>501</v>
      </c>
      <c r="K615" s="121" t="s">
        <v>475</v>
      </c>
      <c r="L615" s="121" t="s">
        <v>475</v>
      </c>
      <c r="M615" s="127" t="str">
        <f t="shared" si="12"/>
        <v>View on Google Map</v>
      </c>
    </row>
    <row r="616" spans="1:13" x14ac:dyDescent="0.2">
      <c r="A616" s="121">
        <v>929</v>
      </c>
      <c r="B616" s="121" t="s">
        <v>1695</v>
      </c>
      <c r="C616" s="121" t="s">
        <v>475</v>
      </c>
      <c r="D616" s="121" t="s">
        <v>475</v>
      </c>
      <c r="E616" s="121" t="s">
        <v>475</v>
      </c>
      <c r="F616" s="121">
        <v>750</v>
      </c>
      <c r="G616" s="121" t="s">
        <v>476</v>
      </c>
      <c r="H616" s="121" t="s">
        <v>1696</v>
      </c>
      <c r="I616" s="121" t="s">
        <v>1697</v>
      </c>
      <c r="J616" s="121" t="s">
        <v>501</v>
      </c>
      <c r="K616" s="121" t="s">
        <v>475</v>
      </c>
      <c r="L616" s="121" t="s">
        <v>475</v>
      </c>
      <c r="M616" s="127" t="str">
        <f t="shared" si="12"/>
        <v>View on Google Map</v>
      </c>
    </row>
    <row r="617" spans="1:13" x14ac:dyDescent="0.2">
      <c r="A617" s="121">
        <v>930</v>
      </c>
      <c r="B617" s="121" t="s">
        <v>1698</v>
      </c>
      <c r="C617" s="121" t="s">
        <v>475</v>
      </c>
      <c r="D617" s="121" t="s">
        <v>475</v>
      </c>
      <c r="E617" s="121" t="s">
        <v>475</v>
      </c>
      <c r="F617" s="121">
        <v>750</v>
      </c>
      <c r="G617" s="121" t="s">
        <v>476</v>
      </c>
      <c r="H617" s="121" t="s">
        <v>1699</v>
      </c>
      <c r="I617" s="121" t="s">
        <v>1700</v>
      </c>
      <c r="J617" s="121" t="s">
        <v>501</v>
      </c>
      <c r="K617" s="121" t="s">
        <v>475</v>
      </c>
      <c r="L617" s="121" t="s">
        <v>475</v>
      </c>
      <c r="M617" s="127" t="str">
        <f t="shared" si="12"/>
        <v>View on Google Map</v>
      </c>
    </row>
    <row r="618" spans="1:13" x14ac:dyDescent="0.2">
      <c r="A618" s="121">
        <v>931</v>
      </c>
      <c r="B618" s="121" t="s">
        <v>1701</v>
      </c>
      <c r="C618" s="121" t="s">
        <v>475</v>
      </c>
      <c r="D618" s="121" t="s">
        <v>475</v>
      </c>
      <c r="E618" s="121" t="s">
        <v>475</v>
      </c>
      <c r="F618" s="121">
        <v>750</v>
      </c>
      <c r="G618" s="121" t="s">
        <v>476</v>
      </c>
      <c r="H618" s="121" t="s">
        <v>1702</v>
      </c>
      <c r="I618" s="121" t="s">
        <v>1703</v>
      </c>
      <c r="J618" s="121" t="s">
        <v>501</v>
      </c>
      <c r="K618" s="121" t="s">
        <v>475</v>
      </c>
      <c r="L618" s="121" t="s">
        <v>475</v>
      </c>
      <c r="M618" s="127" t="str">
        <f t="shared" si="12"/>
        <v>View on Google Map</v>
      </c>
    </row>
    <row r="619" spans="1:13" x14ac:dyDescent="0.2">
      <c r="A619" s="121">
        <v>370</v>
      </c>
      <c r="B619" s="121" t="s">
        <v>1704</v>
      </c>
      <c r="C619" s="121" t="s">
        <v>475</v>
      </c>
      <c r="D619" s="121" t="s">
        <v>475</v>
      </c>
      <c r="E619" s="121" t="s">
        <v>475</v>
      </c>
      <c r="F619" s="121" t="s">
        <v>475</v>
      </c>
      <c r="G619" s="121" t="s">
        <v>486</v>
      </c>
      <c r="H619" s="121" t="s">
        <v>475</v>
      </c>
      <c r="I619" s="121" t="s">
        <v>475</v>
      </c>
      <c r="J619" s="121" t="s">
        <v>501</v>
      </c>
      <c r="K619" s="121" t="s">
        <v>475</v>
      </c>
      <c r="L619" s="121" t="s">
        <v>1705</v>
      </c>
      <c r="M619" s="127" t="str">
        <f t="shared" si="12"/>
        <v>View on Google Map</v>
      </c>
    </row>
    <row r="620" spans="1:13" x14ac:dyDescent="0.2">
      <c r="A620" s="121">
        <v>371</v>
      </c>
      <c r="B620" s="121" t="s">
        <v>1706</v>
      </c>
      <c r="C620" s="121" t="s">
        <v>475</v>
      </c>
      <c r="D620" s="121" t="s">
        <v>475</v>
      </c>
      <c r="E620" s="121" t="s">
        <v>475</v>
      </c>
      <c r="F620" s="121" t="s">
        <v>475</v>
      </c>
      <c r="G620" s="121" t="s">
        <v>486</v>
      </c>
      <c r="H620" s="121" t="s">
        <v>475</v>
      </c>
      <c r="I620" s="121" t="s">
        <v>475</v>
      </c>
      <c r="J620" s="121" t="s">
        <v>501</v>
      </c>
      <c r="K620" s="121" t="s">
        <v>475</v>
      </c>
      <c r="L620" s="121" t="s">
        <v>1705</v>
      </c>
      <c r="M620" s="127" t="str">
        <f t="shared" si="12"/>
        <v>View on Google Map</v>
      </c>
    </row>
    <row r="621" spans="1:13" x14ac:dyDescent="0.2">
      <c r="A621" s="121">
        <v>372</v>
      </c>
      <c r="B621" s="121" t="s">
        <v>1707</v>
      </c>
      <c r="C621" s="121" t="s">
        <v>475</v>
      </c>
      <c r="D621" s="121" t="s">
        <v>475</v>
      </c>
      <c r="E621" s="121" t="s">
        <v>475</v>
      </c>
      <c r="F621" s="121" t="s">
        <v>475</v>
      </c>
      <c r="G621" s="121" t="s">
        <v>486</v>
      </c>
      <c r="H621" s="121" t="s">
        <v>475</v>
      </c>
      <c r="I621" s="121" t="s">
        <v>475</v>
      </c>
      <c r="J621" s="121" t="s">
        <v>501</v>
      </c>
      <c r="K621" s="121" t="s">
        <v>475</v>
      </c>
      <c r="L621" s="121" t="s">
        <v>1705</v>
      </c>
      <c r="M621" s="127" t="str">
        <f t="shared" si="12"/>
        <v>View on Google Map</v>
      </c>
    </row>
    <row r="622" spans="1:13" x14ac:dyDescent="0.2">
      <c r="A622" s="121">
        <v>373</v>
      </c>
      <c r="B622" s="121" t="s">
        <v>1708</v>
      </c>
      <c r="C622" s="121" t="s">
        <v>475</v>
      </c>
      <c r="D622" s="121" t="s">
        <v>475</v>
      </c>
      <c r="E622" s="121" t="s">
        <v>475</v>
      </c>
      <c r="F622" s="121" t="s">
        <v>475</v>
      </c>
      <c r="G622" s="121" t="s">
        <v>486</v>
      </c>
      <c r="H622" s="121" t="s">
        <v>475</v>
      </c>
      <c r="I622" s="121" t="s">
        <v>475</v>
      </c>
      <c r="J622" s="121" t="s">
        <v>501</v>
      </c>
      <c r="K622" s="121" t="s">
        <v>475</v>
      </c>
      <c r="L622" s="121" t="s">
        <v>1705</v>
      </c>
      <c r="M622" s="127" t="str">
        <f t="shared" si="12"/>
        <v>View on Google Map</v>
      </c>
    </row>
    <row r="623" spans="1:13" x14ac:dyDescent="0.2">
      <c r="A623" s="121">
        <v>374</v>
      </c>
      <c r="B623" s="121" t="s">
        <v>1709</v>
      </c>
      <c r="C623" s="121" t="s">
        <v>475</v>
      </c>
      <c r="D623" s="121" t="s">
        <v>475</v>
      </c>
      <c r="E623" s="121" t="s">
        <v>475</v>
      </c>
      <c r="F623" s="121" t="s">
        <v>475</v>
      </c>
      <c r="G623" s="121" t="s">
        <v>486</v>
      </c>
      <c r="H623" s="121" t="s">
        <v>475</v>
      </c>
      <c r="I623" s="121" t="s">
        <v>475</v>
      </c>
      <c r="J623" s="121" t="s">
        <v>501</v>
      </c>
      <c r="K623" s="121" t="s">
        <v>475</v>
      </c>
      <c r="L623" s="121" t="s">
        <v>1705</v>
      </c>
      <c r="M623" s="127" t="str">
        <f t="shared" si="12"/>
        <v>View on Google Map</v>
      </c>
    </row>
    <row r="624" spans="1:13" x14ac:dyDescent="0.2">
      <c r="A624" s="121">
        <v>375</v>
      </c>
      <c r="B624" s="121" t="s">
        <v>1710</v>
      </c>
      <c r="C624" s="121" t="s">
        <v>475</v>
      </c>
      <c r="D624" s="121" t="s">
        <v>475</v>
      </c>
      <c r="E624" s="121" t="s">
        <v>475</v>
      </c>
      <c r="F624" s="121" t="s">
        <v>475</v>
      </c>
      <c r="G624" s="121" t="s">
        <v>486</v>
      </c>
      <c r="H624" s="121" t="s">
        <v>475</v>
      </c>
      <c r="I624" s="121" t="s">
        <v>475</v>
      </c>
      <c r="J624" s="121" t="s">
        <v>501</v>
      </c>
      <c r="K624" s="121" t="s">
        <v>475</v>
      </c>
      <c r="L624" s="121" t="s">
        <v>1705</v>
      </c>
      <c r="M624" s="127" t="str">
        <f t="shared" si="12"/>
        <v>View on Google Map</v>
      </c>
    </row>
    <row r="625" spans="1:13" x14ac:dyDescent="0.2">
      <c r="A625" s="121">
        <v>376</v>
      </c>
      <c r="B625" s="121" t="s">
        <v>1711</v>
      </c>
      <c r="C625" s="121" t="s">
        <v>475</v>
      </c>
      <c r="D625" s="121" t="s">
        <v>475</v>
      </c>
      <c r="E625" s="121" t="s">
        <v>475</v>
      </c>
      <c r="F625" s="121" t="s">
        <v>475</v>
      </c>
      <c r="G625" s="121" t="s">
        <v>486</v>
      </c>
      <c r="H625" s="121" t="s">
        <v>475</v>
      </c>
      <c r="I625" s="121" t="s">
        <v>475</v>
      </c>
      <c r="J625" s="121" t="s">
        <v>501</v>
      </c>
      <c r="K625" s="121" t="s">
        <v>475</v>
      </c>
      <c r="L625" s="121" t="s">
        <v>1705</v>
      </c>
      <c r="M625" s="127" t="str">
        <f t="shared" si="12"/>
        <v>View on Google Map</v>
      </c>
    </row>
    <row r="626" spans="1:13" x14ac:dyDescent="0.2">
      <c r="A626" s="121">
        <v>377</v>
      </c>
      <c r="B626" s="121" t="s">
        <v>1712</v>
      </c>
      <c r="C626" s="121" t="s">
        <v>475</v>
      </c>
      <c r="D626" s="121" t="s">
        <v>475</v>
      </c>
      <c r="E626" s="121" t="s">
        <v>475</v>
      </c>
      <c r="F626" s="121" t="s">
        <v>475</v>
      </c>
      <c r="G626" s="121" t="s">
        <v>486</v>
      </c>
      <c r="H626" s="121" t="s">
        <v>475</v>
      </c>
      <c r="I626" s="121" t="s">
        <v>475</v>
      </c>
      <c r="J626" s="121" t="s">
        <v>501</v>
      </c>
      <c r="K626" s="121" t="s">
        <v>475</v>
      </c>
      <c r="L626" s="121" t="s">
        <v>1705</v>
      </c>
      <c r="M626" s="127" t="str">
        <f t="shared" si="12"/>
        <v>View on Google Map</v>
      </c>
    </row>
    <row r="627" spans="1:13" x14ac:dyDescent="0.2">
      <c r="A627" s="121">
        <v>378</v>
      </c>
      <c r="B627" s="121" t="s">
        <v>1713</v>
      </c>
      <c r="C627" s="121" t="s">
        <v>475</v>
      </c>
      <c r="D627" s="121" t="s">
        <v>475</v>
      </c>
      <c r="E627" s="121" t="s">
        <v>475</v>
      </c>
      <c r="F627" s="121" t="s">
        <v>475</v>
      </c>
      <c r="G627" s="121" t="s">
        <v>486</v>
      </c>
      <c r="H627" s="121" t="s">
        <v>475</v>
      </c>
      <c r="I627" s="121" t="s">
        <v>475</v>
      </c>
      <c r="J627" s="121" t="s">
        <v>501</v>
      </c>
      <c r="K627" s="121" t="s">
        <v>475</v>
      </c>
      <c r="L627" s="121" t="s">
        <v>1705</v>
      </c>
      <c r="M627" s="127" t="str">
        <f t="shared" si="12"/>
        <v>View on Google Map</v>
      </c>
    </row>
    <row r="628" spans="1:13" x14ac:dyDescent="0.2">
      <c r="A628" s="121">
        <v>379</v>
      </c>
      <c r="B628" s="121" t="s">
        <v>1714</v>
      </c>
      <c r="C628" s="121" t="s">
        <v>475</v>
      </c>
      <c r="D628" s="121" t="s">
        <v>475</v>
      </c>
      <c r="E628" s="121" t="s">
        <v>475</v>
      </c>
      <c r="F628" s="121" t="s">
        <v>475</v>
      </c>
      <c r="G628" s="121" t="s">
        <v>486</v>
      </c>
      <c r="H628" s="121" t="s">
        <v>475</v>
      </c>
      <c r="I628" s="121" t="s">
        <v>475</v>
      </c>
      <c r="J628" s="121" t="s">
        <v>501</v>
      </c>
      <c r="K628" s="121" t="s">
        <v>475</v>
      </c>
      <c r="L628" s="121" t="s">
        <v>1705</v>
      </c>
      <c r="M628" s="127" t="str">
        <f t="shared" si="12"/>
        <v>View on Google Map</v>
      </c>
    </row>
    <row r="629" spans="1:13" x14ac:dyDescent="0.2">
      <c r="A629" s="121">
        <v>458</v>
      </c>
      <c r="B629" s="121" t="s">
        <v>1715</v>
      </c>
      <c r="C629" s="121" t="s">
        <v>475</v>
      </c>
      <c r="D629" s="121">
        <v>68.986329999999995</v>
      </c>
      <c r="E629" s="121">
        <v>-149.89803000000001</v>
      </c>
      <c r="F629" s="121">
        <v>419</v>
      </c>
      <c r="G629" s="121" t="s">
        <v>486</v>
      </c>
      <c r="H629" s="121" t="s">
        <v>475</v>
      </c>
      <c r="I629" s="121" t="s">
        <v>475</v>
      </c>
      <c r="J629" s="121" t="s">
        <v>487</v>
      </c>
      <c r="K629" s="121" t="s">
        <v>475</v>
      </c>
      <c r="L629" s="121" t="s">
        <v>475</v>
      </c>
      <c r="M629" s="127" t="str">
        <f t="shared" si="12"/>
        <v>View on Google Map</v>
      </c>
    </row>
    <row r="630" spans="1:13" x14ac:dyDescent="0.2">
      <c r="A630" s="121">
        <v>459</v>
      </c>
      <c r="B630" s="121" t="s">
        <v>1716</v>
      </c>
      <c r="C630" s="121" t="s">
        <v>475</v>
      </c>
      <c r="D630" s="121">
        <v>68.983530000000002</v>
      </c>
      <c r="E630" s="121">
        <v>-149.89436000000001</v>
      </c>
      <c r="F630" s="121">
        <v>408</v>
      </c>
      <c r="G630" s="121" t="s">
        <v>486</v>
      </c>
      <c r="H630" s="121" t="s">
        <v>475</v>
      </c>
      <c r="I630" s="121" t="s">
        <v>475</v>
      </c>
      <c r="J630" s="121" t="s">
        <v>487</v>
      </c>
      <c r="K630" s="121" t="s">
        <v>475</v>
      </c>
      <c r="L630" s="121" t="s">
        <v>475</v>
      </c>
      <c r="M630" s="127" t="str">
        <f t="shared" si="12"/>
        <v>View on Google Map</v>
      </c>
    </row>
    <row r="631" spans="1:13" x14ac:dyDescent="0.2">
      <c r="A631" s="121">
        <v>460</v>
      </c>
      <c r="B631" s="121" t="s">
        <v>1717</v>
      </c>
      <c r="C631" s="121" t="s">
        <v>475</v>
      </c>
      <c r="D631" s="121">
        <v>68.978710000000007</v>
      </c>
      <c r="E631" s="121">
        <v>-149.89182</v>
      </c>
      <c r="F631" s="121">
        <v>394</v>
      </c>
      <c r="G631" s="121" t="s">
        <v>486</v>
      </c>
      <c r="H631" s="121" t="s">
        <v>475</v>
      </c>
      <c r="I631" s="121" t="s">
        <v>475</v>
      </c>
      <c r="J631" s="121" t="s">
        <v>487</v>
      </c>
      <c r="K631" s="121" t="s">
        <v>475</v>
      </c>
      <c r="L631" s="121" t="s">
        <v>475</v>
      </c>
      <c r="M631" s="127" t="str">
        <f t="shared" si="12"/>
        <v>View on Google Map</v>
      </c>
    </row>
    <row r="632" spans="1:13" x14ac:dyDescent="0.2">
      <c r="A632" s="121">
        <v>461</v>
      </c>
      <c r="B632" s="121" t="s">
        <v>1718</v>
      </c>
      <c r="C632" s="121" t="s">
        <v>475</v>
      </c>
      <c r="D632" s="121">
        <v>68.861750000000001</v>
      </c>
      <c r="E632" s="121">
        <v>-149.03908000000001</v>
      </c>
      <c r="F632" s="121">
        <v>651</v>
      </c>
      <c r="G632" s="121" t="s">
        <v>486</v>
      </c>
      <c r="H632" s="121" t="s">
        <v>475</v>
      </c>
      <c r="I632" s="121" t="s">
        <v>475</v>
      </c>
      <c r="J632" s="121" t="s">
        <v>487</v>
      </c>
      <c r="K632" s="121" t="s">
        <v>475</v>
      </c>
      <c r="L632" s="121" t="s">
        <v>475</v>
      </c>
      <c r="M632" s="127" t="str">
        <f t="shared" si="12"/>
        <v>View on Google Map</v>
      </c>
    </row>
    <row r="633" spans="1:13" x14ac:dyDescent="0.2">
      <c r="A633" s="121">
        <v>462</v>
      </c>
      <c r="B633" s="121" t="s">
        <v>1719</v>
      </c>
      <c r="C633" s="121" t="s">
        <v>475</v>
      </c>
      <c r="D633" s="121">
        <v>68.867549999999994</v>
      </c>
      <c r="E633" s="121">
        <v>-149.03557000000001</v>
      </c>
      <c r="F633" s="121">
        <v>638</v>
      </c>
      <c r="G633" s="121" t="s">
        <v>486</v>
      </c>
      <c r="H633" s="121" t="s">
        <v>475</v>
      </c>
      <c r="I633" s="121" t="s">
        <v>475</v>
      </c>
      <c r="J633" s="121" t="s">
        <v>487</v>
      </c>
      <c r="K633" s="121" t="s">
        <v>475</v>
      </c>
      <c r="L633" s="121" t="s">
        <v>475</v>
      </c>
      <c r="M633" s="127" t="str">
        <f t="shared" si="12"/>
        <v>View on Google Map</v>
      </c>
    </row>
    <row r="634" spans="1:13" x14ac:dyDescent="0.2">
      <c r="A634" s="128">
        <v>463</v>
      </c>
      <c r="B634" s="128" t="s">
        <v>1720</v>
      </c>
      <c r="C634" s="128" t="s">
        <v>475</v>
      </c>
      <c r="D634" s="128">
        <v>68.873149999999995</v>
      </c>
      <c r="E634" s="128">
        <v>-149.04128</v>
      </c>
      <c r="F634" s="128">
        <v>637</v>
      </c>
      <c r="G634" s="128" t="s">
        <v>486</v>
      </c>
      <c r="H634" s="128" t="s">
        <v>475</v>
      </c>
      <c r="I634" s="128" t="s">
        <v>475</v>
      </c>
      <c r="J634" s="128" t="s">
        <v>487</v>
      </c>
      <c r="K634" s="128" t="s">
        <v>475</v>
      </c>
      <c r="L634" s="128" t="s">
        <v>475</v>
      </c>
      <c r="M634" s="127" t="str">
        <f t="shared" si="12"/>
        <v>View on Google Map</v>
      </c>
    </row>
    <row r="635" spans="1:13" x14ac:dyDescent="0.2">
      <c r="A635" s="121">
        <v>129</v>
      </c>
      <c r="B635" s="121" t="s">
        <v>1721</v>
      </c>
      <c r="C635" s="121" t="s">
        <v>1561</v>
      </c>
      <c r="D635" s="121">
        <v>69.966666666666669</v>
      </c>
      <c r="E635" s="121">
        <v>-148.73333333333301</v>
      </c>
      <c r="F635" s="121">
        <v>57</v>
      </c>
      <c r="G635" s="121" t="s">
        <v>486</v>
      </c>
      <c r="H635" s="121" t="s">
        <v>1722</v>
      </c>
      <c r="I635" s="121" t="s">
        <v>475</v>
      </c>
      <c r="J635" s="121" t="s">
        <v>501</v>
      </c>
      <c r="K635" s="121" t="s">
        <v>475</v>
      </c>
      <c r="L635" s="121" t="s">
        <v>502</v>
      </c>
      <c r="M635" s="127" t="str">
        <f t="shared" si="12"/>
        <v>View on Google Map</v>
      </c>
    </row>
    <row r="636" spans="1:13" x14ac:dyDescent="0.2">
      <c r="A636" s="121">
        <v>17</v>
      </c>
      <c r="B636" s="121" t="s">
        <v>1723</v>
      </c>
      <c r="C636" s="121" t="s">
        <v>1724</v>
      </c>
      <c r="D636" s="121" t="s">
        <v>475</v>
      </c>
      <c r="E636" s="121" t="s">
        <v>475</v>
      </c>
      <c r="F636" s="121" t="s">
        <v>475</v>
      </c>
      <c r="G636" s="121" t="s">
        <v>500</v>
      </c>
      <c r="H636" s="121" t="s">
        <v>475</v>
      </c>
      <c r="I636" s="121" t="s">
        <v>475</v>
      </c>
      <c r="J636" s="121" t="s">
        <v>501</v>
      </c>
      <c r="K636" s="121" t="s">
        <v>475</v>
      </c>
      <c r="L636" s="121" t="s">
        <v>475</v>
      </c>
      <c r="M636" s="127" t="str">
        <f t="shared" si="12"/>
        <v>View on Google Map</v>
      </c>
    </row>
    <row r="637" spans="1:13" x14ac:dyDescent="0.2">
      <c r="A637" s="121">
        <v>530</v>
      </c>
      <c r="B637" s="121" t="s">
        <v>1725</v>
      </c>
      <c r="C637" s="121" t="s">
        <v>881</v>
      </c>
      <c r="D637" s="121">
        <v>68.674332000000007</v>
      </c>
      <c r="E637" s="121">
        <v>-149.61694399999999</v>
      </c>
      <c r="F637" s="121">
        <v>701</v>
      </c>
      <c r="G637" s="121" t="s">
        <v>486</v>
      </c>
      <c r="H637" s="121" t="s">
        <v>475</v>
      </c>
      <c r="I637" s="121" t="s">
        <v>475</v>
      </c>
      <c r="J637" s="121" t="s">
        <v>487</v>
      </c>
      <c r="K637" s="121" t="s">
        <v>475</v>
      </c>
      <c r="L637" s="121" t="s">
        <v>882</v>
      </c>
      <c r="M637" s="127" t="str">
        <f t="shared" si="12"/>
        <v>View on Google Map</v>
      </c>
    </row>
    <row r="638" spans="1:13" x14ac:dyDescent="0.2">
      <c r="A638" s="121">
        <v>496</v>
      </c>
      <c r="B638" s="121" t="s">
        <v>1726</v>
      </c>
      <c r="C638" s="121" t="s">
        <v>475</v>
      </c>
      <c r="D638" s="121">
        <v>68.674149999999997</v>
      </c>
      <c r="E638" s="121">
        <v>-149.61810299999999</v>
      </c>
      <c r="F638" s="121">
        <v>701</v>
      </c>
      <c r="G638" s="121" t="s">
        <v>500</v>
      </c>
      <c r="H638" s="121" t="s">
        <v>1727</v>
      </c>
      <c r="I638" s="121" t="s">
        <v>475</v>
      </c>
      <c r="J638" s="121" t="s">
        <v>1403</v>
      </c>
      <c r="K638" s="121" t="s">
        <v>475</v>
      </c>
      <c r="L638" s="121" t="s">
        <v>882</v>
      </c>
      <c r="M638" s="127"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Metadata_PF_LAISummary</vt:lpstr>
      <vt:lpstr>PF_LAISummary</vt:lpstr>
      <vt:lpstr>Sites(Do NOT Edit)</vt:lpstr>
      <vt:lpstr>Metadata_PF_LAISummary!ABSTRACT</vt:lpstr>
      <vt:lpstr>'Sites(Do NOT Edit)'!ABSTRACT</vt:lpstr>
      <vt:lpstr>Metadata_PF_LAISummary!Address_line_2</vt:lpstr>
      <vt:lpstr>'Sites(Do NOT Edit)'!Address_line_2</vt:lpstr>
      <vt:lpstr>Metadata_PF_LAISummary!Address_line_3</vt:lpstr>
      <vt:lpstr>'Sites(Do NOT Edit)'!Address_line_3</vt:lpstr>
      <vt:lpstr>Metadata_PF_LAISummary!Availability_Status</vt:lpstr>
      <vt:lpstr>'Sites(Do NOT Edit)'!Availability_Status</vt:lpstr>
      <vt:lpstr>Metadata_PF_LAISummary!Beginning_Date</vt:lpstr>
      <vt:lpstr>'Sites(Do NOT Edit)'!Beginning_Date</vt:lpstr>
      <vt:lpstr>Metadata_PF_LAISummary!City</vt:lpstr>
      <vt:lpstr>'Sites(Do NOT Edit)'!City</vt:lpstr>
      <vt:lpstr>Metadata_PF_LAISummary!Code_Information</vt:lpstr>
      <vt:lpstr>'Sites(Do NOT Edit)'!Code_Information</vt:lpstr>
      <vt:lpstr>Metadata_PF_LAISummary!Country</vt:lpstr>
      <vt:lpstr>'Sites(Do NOT Edit)'!Country</vt:lpstr>
      <vt:lpstr>Metadata_PF_LAISummary!DATA_FILE_INFORMATION</vt:lpstr>
      <vt:lpstr>'Sites(Do NOT Edit)'!DATA_FILE_INFORMATION</vt:lpstr>
      <vt:lpstr>Metadata_PF_LAISummary!Data_File_Name</vt:lpstr>
      <vt:lpstr>'Sites(Do NOT Edit)'!Data_File_Name</vt:lpstr>
      <vt:lpstr>Metadata_PF_LAISummary!Data_File_URL</vt:lpstr>
      <vt:lpstr>'Sites(Do NOT Edit)'!Data_File_URL</vt:lpstr>
      <vt:lpstr>Metadata_PF_LAISummary!Data_Type</vt:lpstr>
      <vt:lpstr>'Sites(Do NOT Edit)'!Data_Type</vt:lpstr>
      <vt:lpstr>Metadata_PF_LAISummary!DATASET_ID</vt:lpstr>
      <vt:lpstr>'Sites(Do NOT Edit)'!DATASET_ID</vt:lpstr>
      <vt:lpstr>Metadata_PF_LAISummary!DATASET_TITLE</vt:lpstr>
      <vt:lpstr>'Sites(Do NOT Edit)'!DATASET_TITLE</vt:lpstr>
      <vt:lpstr>Metadata_PF_LAISummary!DateTime_Format</vt:lpstr>
      <vt:lpstr>'Sites(Do NOT Edit)'!DateTime_Format</vt:lpstr>
      <vt:lpstr>Metadata_PF_LAISummary!Distribution_URL_for_file</vt:lpstr>
      <vt:lpstr>'Sites(Do NOT Edit)'!Distribution_URL_for_file</vt:lpstr>
      <vt:lpstr>Metadata_PF_LAISummary!East_Bounding_Coordinate</vt:lpstr>
      <vt:lpstr>'Sites(Do NOT Edit)'!East_Bounding_Coordinate</vt:lpstr>
      <vt:lpstr>Metadata_PF_LAISummary!Elevation</vt:lpstr>
      <vt:lpstr>'Sites(Do NOT Edit)'!Elevation</vt:lpstr>
      <vt:lpstr>Metadata_PF_LAISummary!Email</vt:lpstr>
      <vt:lpstr>'Sites(Do NOT Edit)'!Email</vt:lpstr>
      <vt:lpstr>Metadata_PF_LAISummary!End_Date</vt:lpstr>
      <vt:lpstr>'Sites(Do NOT Edit)'!End_Date</vt:lpstr>
      <vt:lpstr>Metadata_PF_LAISummary!First_Name</vt:lpstr>
      <vt:lpstr>'Sites(Do NOT Edit)'!First_Name</vt:lpstr>
      <vt:lpstr>Metadata_PF_LAISummary!Geographic_Description</vt:lpstr>
      <vt:lpstr>'Sites(Do NOT Edit)'!Geographic_Description</vt:lpstr>
      <vt:lpstr>Metadata_PF_LAISummary!INVESTIGATOR_INFORMATION</vt:lpstr>
      <vt:lpstr>'Sites(Do NOT Edit)'!INVESTIGATOR_INFORMATION</vt:lpstr>
      <vt:lpstr>Metadata_PF_LAISummary!KEYWORD_INFORMATION</vt:lpstr>
      <vt:lpstr>'Sites(Do NOT Edit)'!KEYWORD_INFORMATION</vt:lpstr>
      <vt:lpstr>Metadata_PF_LAISummary!KEYWORDS</vt:lpstr>
      <vt:lpstr>'Sites(Do NOT Edit)'!KEYWORDS</vt:lpstr>
      <vt:lpstr>Metadata_PF_LAISummary!Last_Name</vt:lpstr>
      <vt:lpstr>'Sites(Do NOT Edit)'!Last_Name</vt:lpstr>
      <vt:lpstr>Metadata_PF_LAISummary!Latitude</vt:lpstr>
      <vt:lpstr>'Sites(Do NOT Edit)'!Latitude</vt:lpstr>
      <vt:lpstr>Link_to_Google_Map</vt:lpstr>
      <vt:lpstr>Metadata_PF_LAISummary!Location_Bounding_Box</vt:lpstr>
      <vt:lpstr>'Sites(Do NOT Edit)'!Location_Bounding_Box</vt:lpstr>
      <vt:lpstr>Metadata_PF_LAISummary!Location_Name</vt:lpstr>
      <vt:lpstr>'Sites(Do NOT Edit)'!Location_Name</vt:lpstr>
      <vt:lpstr>Metadata_PF_LAISummary!Log_of_Changes</vt:lpstr>
      <vt:lpstr>'Sites(Do NOT Edit)'!Log_of_Changes</vt:lpstr>
      <vt:lpstr>Metadata_PF_LAISummary!Longitude</vt:lpstr>
      <vt:lpstr>'Sites(Do NOT Edit)'!Longitude</vt:lpstr>
      <vt:lpstr>LTER_Sites_number</vt:lpstr>
      <vt:lpstr>Metadata_PF_LAISummary!Maintenance_Description</vt:lpstr>
      <vt:lpstr>'Sites(Do NOT Edit)'!Maintenance_Description</vt:lpstr>
      <vt:lpstr>Metadata_PF_LAISummary!Metacat_Package_ID</vt:lpstr>
      <vt:lpstr>'Sites(Do NOT Edit)'!Metacat_Package_ID</vt:lpstr>
      <vt:lpstr>Metadata_PF_LAISummary!METHODS</vt:lpstr>
      <vt:lpstr>'Sites(Do NOT Edit)'!METHODS</vt:lpstr>
      <vt:lpstr>Metadata_PF_LAISummary!Missing_Value_Code</vt:lpstr>
      <vt:lpstr>'Sites(Do NOT Edit)'!Missing_Value_Code</vt:lpstr>
      <vt:lpstr>Metadata_PF_LAISummary!North_Bounding_Coordinate</vt:lpstr>
      <vt:lpstr>'Sites(Do NOT Edit)'!North_Bounding_Coordinate</vt:lpstr>
      <vt:lpstr>Metadata_PF_LAISummary!Number_of_Data_Records</vt:lpstr>
      <vt:lpstr>'Sites(Do NOT Edit)'!Number_of_Data_Records</vt:lpstr>
      <vt:lpstr>Metadata_PF_LAISummary!OR</vt:lpstr>
      <vt:lpstr>'Sites(Do NOT Edit)'!OR</vt:lpstr>
      <vt:lpstr>Metadata_PF_LAISummary!OR_if_single_point_location</vt:lpstr>
      <vt:lpstr>'Sites(Do NOT Edit)'!OR_if_single_point_location</vt:lpstr>
      <vt:lpstr>Metadata_PF_LAISummary!Organisms_studied</vt:lpstr>
      <vt:lpstr>'Sites(Do NOT Edit)'!Organisms_studied</vt:lpstr>
      <vt:lpstr>Metadata_PF_LAISummary!Organization</vt:lpstr>
      <vt:lpstr>'Sites(Do NOT Edit)'!Organization</vt:lpstr>
      <vt:lpstr>Metadata_PF_LAISummary!Other_Files_to_Reference</vt:lpstr>
      <vt:lpstr>'Sites(Do NOT Edit)'!Other_Files_to_Reference</vt:lpstr>
      <vt:lpstr>Metadata_PF_LAISummary!Protocol_Document</vt:lpstr>
      <vt:lpstr>'Sites(Do NOT Edit)'!Protocol_Document</vt:lpstr>
      <vt:lpstr>Metadata_PF_LAISummary!Protocol_Title</vt:lpstr>
      <vt:lpstr>'Sites(Do NOT Edit)'!Protocol_Title</vt:lpstr>
      <vt:lpstr>Metadata_PF_LAISummary!Quality_Control_Information</vt:lpstr>
      <vt:lpstr>'Sites(Do NOT Edit)'!Quality_Control_Information</vt:lpstr>
      <vt:lpstr>Metadata_PF_LAISummary!RESEARCH_LOCATION</vt:lpstr>
      <vt:lpstr>'Sites(Do NOT Edit)'!RESEARCH_LOCATION</vt:lpstr>
      <vt:lpstr>Metadata_PF_LAISummary!Role</vt:lpstr>
      <vt:lpstr>'Sites(Do NOT Edit)'!Role</vt:lpstr>
      <vt:lpstr>Metadata_PF_LAISummary!Sampling_and_or_Lab_Protocols</vt:lpstr>
      <vt:lpstr>'Sites(Do NOT Edit)'!Sampling_and_or_Lab_Protocols</vt:lpstr>
      <vt:lpstr>Site_name</vt:lpstr>
      <vt:lpstr>Site_name_list</vt:lpstr>
      <vt:lpstr>Sites</vt:lpstr>
      <vt:lpstr>Metadata_PF_LAISummary!South_Bounding_Coordinate</vt:lpstr>
      <vt:lpstr>'Sites(Do NOT Edit)'!South_Bounding_Coordinate</vt:lpstr>
      <vt:lpstr>Metadata_PF_LAISummary!State</vt:lpstr>
      <vt:lpstr>'Sites(Do NOT Edit)'!State</vt:lpstr>
      <vt:lpstr>Metadata_PF_LAISummary!TAXONOMIC_COVERAGE</vt:lpstr>
      <vt:lpstr>'Sites(Do NOT Edit)'!TAXONOMIC_COVERAGE</vt:lpstr>
      <vt:lpstr>Metadata_PF_LAISummary!Units</vt:lpstr>
      <vt:lpstr>'Sites(Do NOT Edit)'!Units</vt:lpstr>
      <vt:lpstr>Metadata_PF_LAISummary!URL_of_online_Protocol</vt:lpstr>
      <vt:lpstr>'Sites(Do NOT Edit)'!URL_of_online_Protocol</vt:lpstr>
      <vt:lpstr>Metadata_PF_LAISummary!Variable_Description</vt:lpstr>
      <vt:lpstr>'Sites(Do NOT Edit)'!Variable_Description</vt:lpstr>
      <vt:lpstr>Metadata_PF_LAISummary!VARIABLE_DESCRIPTIONS</vt:lpstr>
      <vt:lpstr>'Sites(Do NOT Edit)'!VARIABLE_DESCRIPTIONS</vt:lpstr>
      <vt:lpstr>Metadata_PF_LAISummary!Variable_Name</vt:lpstr>
      <vt:lpstr>'Sites(Do NOT Edit)'!Variable_Name</vt:lpstr>
      <vt:lpstr>Metadata_PF_LAISummary!West_Bounding_Coordinate</vt:lpstr>
      <vt:lpstr>'Sites(Do NOT Edit)'!West_Bounding_Coordinate</vt:lpstr>
      <vt:lpstr>Metadata_PF_LAISummary!Year_Released_to_Public</vt:lpstr>
      <vt:lpstr>'Sites(Do NOT Edit)'!Year_Released_to_Public</vt:lpstr>
      <vt:lpstr>Metadata_PF_LAISummary!Zip_Code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toolik</dc:creator>
  <cp:lastModifiedBy>jiml</cp:lastModifiedBy>
  <dcterms:created xsi:type="dcterms:W3CDTF">2012-06-23T03:05:23Z</dcterms:created>
  <dcterms:modified xsi:type="dcterms:W3CDTF">2013-05-22T22:35:14Z</dcterms:modified>
</cp:coreProperties>
</file>