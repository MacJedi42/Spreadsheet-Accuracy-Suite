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65" windowWidth="12420" windowHeight="7275"/>
  </bookViews>
  <sheets>
    <sheet name="by Grade" sheetId="3" r:id="rId1"/>
  </sheets>
  <calcPr calcId="145621"/>
</workbook>
</file>

<file path=xl/calcChain.xml><?xml version="1.0" encoding="utf-8"?>
<calcChain xmlns="http://schemas.openxmlformats.org/spreadsheetml/2006/main">
  <c r="C46" i="3" l="1"/>
  <c r="D46" i="3"/>
  <c r="E46" i="3"/>
  <c r="F46" i="3"/>
  <c r="G46" i="3"/>
  <c r="H46" i="3"/>
  <c r="I46" i="3"/>
  <c r="J46" i="3"/>
  <c r="K46" i="3"/>
  <c r="L46" i="3"/>
  <c r="M46" i="3"/>
  <c r="N46" i="3"/>
  <c r="O46" i="3"/>
  <c r="C134" i="3" l="1"/>
  <c r="D134" i="3"/>
  <c r="E134" i="3"/>
  <c r="F134" i="3"/>
  <c r="G134" i="3"/>
  <c r="H134" i="3"/>
  <c r="I134" i="3"/>
  <c r="J134" i="3"/>
  <c r="K134" i="3"/>
  <c r="L134" i="3"/>
  <c r="M134" i="3"/>
  <c r="N134" i="3"/>
  <c r="O134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00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52" i="3"/>
  <c r="B134" i="3" s="1"/>
  <c r="K13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5" i="3"/>
  <c r="B36" i="3"/>
  <c r="B37" i="3"/>
  <c r="B38" i="3"/>
  <c r="B39" i="3"/>
  <c r="B40" i="3"/>
  <c r="B41" i="3"/>
  <c r="B42" i="3"/>
  <c r="B43" i="3"/>
  <c r="B44" i="3"/>
  <c r="B45" i="3"/>
  <c r="B5" i="3"/>
  <c r="A135" i="3"/>
  <c r="O135" i="3"/>
  <c r="N135" i="3"/>
  <c r="M135" i="3"/>
  <c r="L135" i="3"/>
  <c r="J135" i="3" l="1"/>
  <c r="K136" i="3"/>
  <c r="M136" i="3"/>
  <c r="O136" i="3"/>
  <c r="J136" i="3"/>
  <c r="L136" i="3"/>
  <c r="N136" i="3"/>
  <c r="I135" i="3" l="1"/>
  <c r="I136" i="3" s="1"/>
  <c r="H135" i="3" l="1"/>
  <c r="H136" i="3" s="1"/>
  <c r="G135" i="3" l="1"/>
  <c r="G136" i="3" s="1"/>
  <c r="F135" i="3" l="1"/>
  <c r="F136" i="3" s="1"/>
  <c r="E135" i="3" l="1"/>
  <c r="E136" i="3" s="1"/>
  <c r="D135" i="3" l="1"/>
  <c r="D136" i="3" s="1"/>
  <c r="C135" i="3" l="1"/>
  <c r="C136" i="3" s="1"/>
  <c r="B34" i="3"/>
  <c r="B46" i="3" s="1"/>
  <c r="B135" i="3" s="1"/>
  <c r="B136" i="3" s="1"/>
</calcChain>
</file>

<file path=xl/sharedStrings.xml><?xml version="1.0" encoding="utf-8"?>
<sst xmlns="http://schemas.openxmlformats.org/spreadsheetml/2006/main" count="137" uniqueCount="129">
  <si>
    <t>District</t>
  </si>
  <si>
    <t>Total K-12</t>
  </si>
  <si>
    <t>K</t>
  </si>
  <si>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</si>
  <si>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</si>
  <si>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</si>
  <si>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</si>
  <si>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</si>
  <si>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</si>
  <si>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</si>
  <si>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</si>
  <si>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Canyons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</si>
  <si>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</si>
  <si>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</si>
  <si>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</si>
  <si>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</si>
  <si>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</si>
  <si>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</si>
  <si>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</si>
  <si>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</si>
  <si>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Morgan District</t>
  </si>
  <si>
    <t>Millard District</t>
  </si>
  <si>
    <t>District Total</t>
  </si>
  <si>
    <t>Charter</t>
  </si>
  <si>
    <t>Logan District</t>
  </si>
  <si>
    <t>Murray District</t>
  </si>
  <si>
    <t>Nebo District</t>
  </si>
  <si>
    <t>North Sanpete District</t>
  </si>
  <si>
    <t>North Summit District</t>
  </si>
  <si>
    <t>Ogden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</si>
  <si>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</si>
  <si>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</si>
  <si>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</si>
  <si>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</si>
  <si>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</si>
  <si>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</si>
  <si>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</si>
  <si>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</si>
  <si>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</si>
  <si>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</si>
  <si>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</si>
  <si>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</si>
  <si>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</si>
  <si>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</si>
  <si>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</si>
  <si>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</si>
  <si>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American Leadership Academy</t>
  </si>
  <si>
    <t>American Preparatory Academy</t>
  </si>
  <si>
    <t>Bear River Charter School</t>
  </si>
  <si>
    <t>Canyon Rim Academy</t>
  </si>
  <si>
    <t>Channing Hall</t>
  </si>
  <si>
    <t>City Academy</t>
  </si>
  <si>
    <t>Dual Immersion Academy</t>
  </si>
  <si>
    <t>East Hollywood High</t>
  </si>
  <si>
    <t>Edith Bowen Laboratory School</t>
  </si>
  <si>
    <t>Entheos Academy</t>
  </si>
  <si>
    <t>Excelsior Academy</t>
  </si>
  <si>
    <t>Fast Forward High</t>
  </si>
  <si>
    <t>Freedom Academy</t>
  </si>
  <si>
    <t>Gateway Preparatory Academy</t>
  </si>
  <si>
    <t>Good Foundation Academy</t>
  </si>
  <si>
    <t>Hawthorn Academy</t>
  </si>
  <si>
    <t>Intech Collegiate High School</t>
  </si>
  <si>
    <t>Itineris Early College High</t>
  </si>
  <si>
    <t>John Hancock Charter School</t>
  </si>
  <si>
    <t>Karl G Maeser Preparatory Academy</t>
  </si>
  <si>
    <t>Lakeview Academy</t>
  </si>
  <si>
    <t>Legacy Preparatory Academy</t>
  </si>
  <si>
    <t>Liberty Academy</t>
  </si>
  <si>
    <t>Maria Montessori Academy</t>
  </si>
  <si>
    <t>Merit College Preparatory Academy</t>
  </si>
  <si>
    <t>Moab Community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</si>
  <si>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</si>
  <si>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</si>
  <si>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</si>
  <si>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</si>
  <si>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</si>
  <si>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</si>
  <si>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</si>
  <si>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</si>
  <si>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</si>
  <si>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Oquirrh Mountain Charter School</t>
  </si>
  <si>
    <t>Paradigm High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</si>
  <si>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</si>
  <si>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</si>
  <si>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</si>
  <si>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</si>
  <si>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</si>
  <si>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</si>
  <si>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</si>
  <si>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</si>
  <si>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</si>
  <si>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</si>
  <si>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Soldier Hollow Charter School</t>
  </si>
  <si>
    <t>Spectrum Academy</t>
  </si>
  <si>
    <t>Success Academy</t>
  </si>
  <si>
    <t>Summit Academy High School</t>
  </si>
  <si>
    <t>Syracuse Arts Academy</t>
  </si>
  <si>
    <t>Thomas Edison - North</t>
  </si>
  <si>
    <t>Timpanogos Academy</t>
  </si>
  <si>
    <t>Uintah River High</t>
  </si>
  <si>
    <t>Utah Virtual Academy</t>
  </si>
  <si>
    <t>Venture Academy</t>
  </si>
  <si>
    <t>Wasatch Peak Academy</t>
  </si>
  <si>
    <t>Charter School Total</t>
  </si>
  <si>
    <t>Grand Total</t>
  </si>
  <si>
    <t>George Washington Academy</t>
  </si>
  <si>
    <t>Lincoln Academy</t>
  </si>
  <si>
    <t>Fall Enrollment Summary by Grade</t>
  </si>
  <si>
    <t>Fall Enrollment Summary by Grade (Charter Schools)</t>
  </si>
  <si>
    <t>October 2011</t>
  </si>
  <si>
    <t>Walden School Of Liberal Arts</t>
  </si>
  <si>
    <t>Tuacahn High School For The Performing Arts</t>
  </si>
  <si>
    <t>Guadalupe School</t>
  </si>
  <si>
    <t>Vista At Entrada School Of Performing Arts And Tec</t>
  </si>
  <si>
    <t>Cs Lewis Academy</t>
  </si>
  <si>
    <t>Endeavor Hall</t>
  </si>
  <si>
    <t>Early Light Academy At Daybreak</t>
  </si>
  <si>
    <t>Weilenmann School Of Discovery</t>
  </si>
  <si>
    <t>Salt Lake School For The Performing Arts</t>
  </si>
  <si>
    <t>Open High School Of Utah</t>
  </si>
  <si>
    <t>Alianza Academy</t>
  </si>
  <si>
    <t>Davinci Academy</t>
  </si>
  <si>
    <t>Summit Academy</t>
  </si>
  <si>
    <t>Academy For Math Engineering &amp; Science</t>
  </si>
  <si>
    <t>Beehive Science &amp; Technology Academy</t>
  </si>
  <si>
    <t>No Ut Acad For Math Engineering &amp; Science</t>
  </si>
  <si>
    <t>Utah Connections Academy</t>
  </si>
  <si>
    <t>Utah County Academy Of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</si>
</sst>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b/>
      <sz val="14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3">
    <xf numFmtId="0" fontId="0" fillId="0" borderId="0" xfId="0"/>
    <xf numFmtId="3" fontId="4" fillId="0" borderId="0" xfId="0" applyNumberFormat="1" applyFont="1"/>
    <xf numFmtId="3" fontId="4" fillId="0" borderId="0" xfId="0" applyNumberFormat="1" applyFont="1" applyBorder="1" applyAlignment="1"/>
    <xf numFmtId="3" fontId="4" fillId="0" borderId="0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2" fillId="0" borderId="0" xfId="0" applyNumberFormat="1" applyFont="1"/>
    <xf numFmtId="3" fontId="3" fillId="0" borderId="3" xfId="1" applyNumberFormat="1" applyFont="1" applyBorder="1" applyAlignment="1">
      <alignment vertical="top"/>
    </xf>
    <xf numFmtId="3" fontId="3" fillId="0" borderId="4" xfId="1" applyNumberFormat="1" applyFont="1" applyBorder="1" applyAlignment="1">
      <alignment vertical="top"/>
    </xf>
    <xf numFmtId="3" fontId="3" fillId="0" borderId="5" xfId="1" applyNumberFormat="1" applyFont="1" applyBorder="1" applyAlignment="1">
      <alignment vertical="top"/>
    </xf>
    <xf numFmtId="3" fontId="2" fillId="0" borderId="6" xfId="0" applyNumberFormat="1" applyFont="1" applyBorder="1" applyAlignment="1"/>
    <xf numFmtId="3" fontId="4" fillId="0" borderId="7" xfId="0" applyNumberFormat="1" applyFont="1" applyBorder="1" applyAlignment="1"/>
    <xf numFmtId="3" fontId="4" fillId="0" borderId="8" xfId="0" applyNumberFormat="1" applyFont="1" applyBorder="1" applyAlignment="1">
      <alignment horizontal="right"/>
    </xf>
    <xf numFmtId="3" fontId="4" fillId="0" borderId="9" xfId="0" applyNumberFormat="1" applyFont="1" applyBorder="1" applyAlignment="1">
      <alignment horizontal="right"/>
    </xf>
    <xf numFmtId="3" fontId="2" fillId="0" borderId="15" xfId="0" applyNumberFormat="1" applyFont="1" applyBorder="1" applyAlignment="1">
      <alignment horizontal="center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/>
    <xf numFmtId="3" fontId="2" fillId="0" borderId="14" xfId="0" applyNumberFormat="1" applyFont="1" applyBorder="1" applyAlignment="1"/>
    <xf numFmtId="3" fontId="2" fillId="0" borderId="12" xfId="0" applyNumberFormat="1" applyFont="1" applyBorder="1" applyAlignment="1"/>
    <xf numFmtId="3" fontId="6" fillId="0" borderId="0" xfId="0" applyNumberFormat="1" applyFont="1"/>
    <xf numFmtId="3" fontId="2" fillId="0" borderId="20" xfId="0" applyNumberFormat="1" applyFont="1" applyBorder="1" applyAlignment="1">
      <alignment horizontal="center" vertical="center"/>
    </xf>
    <xf numFmtId="3" fontId="2" fillId="0" borderId="22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/>
    <xf numFmtId="3" fontId="4" fillId="0" borderId="23" xfId="0" applyNumberFormat="1" applyFont="1" applyBorder="1" applyAlignment="1">
      <alignment horizontal="right"/>
    </xf>
    <xf numFmtId="3" fontId="3" fillId="0" borderId="23" xfId="1" applyNumberFormat="1" applyFont="1" applyBorder="1" applyAlignment="1">
      <alignment horizontal="right" vertical="top" wrapText="1"/>
    </xf>
    <xf numFmtId="3" fontId="3" fillId="0" borderId="24" xfId="1" applyNumberFormat="1" applyFont="1" applyBorder="1" applyAlignment="1">
      <alignment horizontal="right" vertical="top" wrapText="1"/>
    </xf>
    <xf numFmtId="3" fontId="3" fillId="0" borderId="13" xfId="1" applyNumberFormat="1" applyFont="1" applyBorder="1" applyAlignment="1">
      <alignment horizontal="right" vertical="top" wrapText="1"/>
    </xf>
    <xf numFmtId="3" fontId="3" fillId="0" borderId="14" xfId="1" applyNumberFormat="1" applyFont="1" applyBorder="1" applyAlignment="1">
      <alignment horizontal="right" vertical="top" wrapText="1"/>
    </xf>
    <xf numFmtId="3" fontId="4" fillId="0" borderId="25" xfId="0" applyNumberFormat="1" applyFont="1" applyBorder="1" applyAlignment="1">
      <alignment horizontal="right"/>
    </xf>
    <xf numFmtId="3" fontId="2" fillId="0" borderId="16" xfId="0" applyNumberFormat="1" applyFont="1" applyBorder="1" applyAlignment="1">
      <alignment horizontal="right"/>
    </xf>
    <xf numFmtId="3" fontId="2" fillId="0" borderId="28" xfId="0" applyNumberFormat="1" applyFont="1" applyBorder="1" applyAlignment="1">
      <alignment horizontal="center" vertical="center" wrapText="1"/>
    </xf>
    <xf numFmtId="3" fontId="2" fillId="0" borderId="29" xfId="0" applyNumberFormat="1" applyFont="1" applyBorder="1" applyAlignment="1">
      <alignment horizontal="center" vertical="center"/>
    </xf>
    <xf numFmtId="3" fontId="2" fillId="0" borderId="24" xfId="0" applyNumberFormat="1" applyFont="1" applyBorder="1" applyAlignment="1"/>
    <xf numFmtId="3" fontId="2" fillId="0" borderId="31" xfId="0" applyNumberFormat="1" applyFont="1" applyBorder="1" applyAlignment="1"/>
    <xf numFmtId="3" fontId="2" fillId="0" borderId="32" xfId="0" applyNumberFormat="1" applyFont="1" applyBorder="1" applyAlignment="1">
      <alignment horizontal="center" vertical="center" wrapText="1"/>
    </xf>
    <xf numFmtId="3" fontId="2" fillId="0" borderId="33" xfId="0" applyNumberFormat="1" applyFont="1" applyBorder="1" applyAlignment="1">
      <alignment horizontal="center" vertical="center"/>
    </xf>
    <xf numFmtId="3" fontId="3" fillId="0" borderId="26" xfId="1" applyNumberFormat="1" applyFont="1" applyBorder="1" applyAlignment="1">
      <alignment horizontal="right" vertical="top" wrapText="1"/>
    </xf>
    <xf numFmtId="3" fontId="2" fillId="0" borderId="34" xfId="0" applyNumberFormat="1" applyFont="1" applyBorder="1" applyAlignment="1"/>
    <xf numFmtId="3" fontId="2" fillId="0" borderId="26" xfId="0" applyNumberFormat="1" applyFont="1" applyBorder="1" applyAlignment="1">
      <alignment horizontal="right"/>
    </xf>
    <xf numFmtId="3" fontId="4" fillId="0" borderId="35" xfId="0" applyNumberFormat="1" applyFont="1" applyBorder="1" applyAlignment="1">
      <alignment horizontal="right"/>
    </xf>
    <xf numFmtId="3" fontId="2" fillId="0" borderId="15" xfId="0" applyNumberFormat="1" applyFont="1" applyBorder="1" applyAlignment="1">
      <alignment horizontal="center" vertical="center" wrapText="1"/>
    </xf>
    <xf numFmtId="0" fontId="5" fillId="0" borderId="34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27" xfId="0" applyFont="1" applyBorder="1"/>
    <xf numFmtId="3" fontId="3" fillId="0" borderId="25" xfId="1" applyNumberFormat="1" applyFont="1" applyBorder="1" applyAlignment="1">
      <alignment horizontal="right" vertical="top" wrapText="1"/>
    </xf>
    <xf numFmtId="0" fontId="5" fillId="0" borderId="38" xfId="0" applyFont="1" applyBorder="1"/>
    <xf numFmtId="3" fontId="6" fillId="0" borderId="25" xfId="0" applyNumberFormat="1" applyFont="1" applyBorder="1" applyAlignment="1">
      <alignment horizontal="right"/>
    </xf>
    <xf numFmtId="3" fontId="6" fillId="0" borderId="40" xfId="0" applyNumberFormat="1" applyFont="1" applyBorder="1" applyAlignment="1">
      <alignment horizontal="right"/>
    </xf>
    <xf numFmtId="3" fontId="6" fillId="0" borderId="41" xfId="0" applyNumberFormat="1" applyFont="1" applyBorder="1" applyAlignment="1">
      <alignment horizontal="right"/>
    </xf>
    <xf numFmtId="3" fontId="6" fillId="0" borderId="42" xfId="0" applyNumberFormat="1" applyFont="1" applyBorder="1" applyAlignment="1">
      <alignment horizontal="right"/>
    </xf>
    <xf numFmtId="3" fontId="6" fillId="0" borderId="43" xfId="0" applyNumberFormat="1" applyFont="1" applyBorder="1" applyAlignment="1">
      <alignment horizontal="right"/>
    </xf>
    <xf numFmtId="3" fontId="6" fillId="0" borderId="44" xfId="0" applyNumberFormat="1" applyFont="1" applyBorder="1" applyAlignment="1"/>
    <xf numFmtId="49" fontId="8" fillId="0" borderId="8" xfId="1" applyNumberFormat="1" applyFont="1" applyBorder="1" applyAlignment="1">
      <alignment horizontal="center" vertical="top"/>
    </xf>
    <xf numFmtId="3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3" fontId="8" fillId="0" borderId="0" xfId="1" applyNumberFormat="1" applyFont="1" applyBorder="1" applyAlignment="1">
      <alignment horizontal="center" vertical="top"/>
    </xf>
    <xf numFmtId="3" fontId="3" fillId="0" borderId="45" xfId="1" applyNumberFormat="1" applyFont="1" applyBorder="1" applyAlignment="1">
      <alignment horizontal="center" vertical="top"/>
    </xf>
    <xf numFmtId="3" fontId="4" fillId="0" borderId="45" xfId="0" applyNumberFormat="1" applyFont="1" applyBorder="1" applyAlignment="1">
      <alignment horizontal="center"/>
    </xf>
    <xf numFmtId="3" fontId="3" fillId="0" borderId="46" xfId="1" applyNumberFormat="1" applyFont="1" applyBorder="1" applyAlignment="1">
      <alignment horizontal="right" vertical="top" wrapText="1"/>
    </xf>
    <xf numFmtId="3" fontId="3" fillId="0" borderId="12" xfId="1" applyNumberFormat="1" applyFont="1" applyBorder="1" applyAlignment="1">
      <alignment horizontal="right" vertical="top" wrapText="1"/>
    </xf>
    <xf numFmtId="3" fontId="2" fillId="0" borderId="47" xfId="0" applyNumberFormat="1" applyFont="1" applyBorder="1" applyAlignment="1">
      <alignment horizontal="right"/>
    </xf>
    <xf numFmtId="3" fontId="3" fillId="0" borderId="36" xfId="1" applyNumberFormat="1" applyFont="1" applyBorder="1" applyAlignment="1">
      <alignment horizontal="right" vertical="top" wrapText="1"/>
    </xf>
    <xf numFmtId="3" fontId="3" fillId="0" borderId="37" xfId="1" applyNumberFormat="1" applyFont="1" applyBorder="1" applyAlignment="1">
      <alignment horizontal="right" vertical="top" wrapText="1"/>
    </xf>
    <xf numFmtId="3" fontId="3" fillId="0" borderId="9" xfId="1" applyNumberFormat="1" applyFont="1" applyBorder="1" applyAlignment="1">
      <alignment horizontal="right" vertical="top" wrapText="1"/>
    </xf>
    <xf numFmtId="3" fontId="3" fillId="0" borderId="48" xfId="1" applyNumberFormat="1" applyFont="1" applyBorder="1" applyAlignment="1">
      <alignment horizontal="right" vertical="top" wrapText="1"/>
    </xf>
    <xf numFmtId="3" fontId="3" fillId="0" borderId="49" xfId="1" applyNumberFormat="1" applyFont="1" applyBorder="1" applyAlignment="1">
      <alignment horizontal="right" vertical="top" wrapText="1"/>
    </xf>
    <xf numFmtId="3" fontId="3" fillId="0" borderId="39" xfId="1" applyNumberFormat="1" applyFont="1" applyBorder="1" applyAlignment="1">
      <alignment horizontal="right" vertical="top" wrapText="1"/>
    </xf>
    <xf numFmtId="3" fontId="2" fillId="0" borderId="39" xfId="0" applyNumberFormat="1" applyFont="1" applyBorder="1" applyAlignment="1">
      <alignment horizontal="righ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"/>
  <sheetViews>
    <sheetView tabSelected="1" zoomScaleNormal="100" zoomScaleSheetLayoutView="100" workbookViewId="0">
      <selection activeCell="B134" sqref="B134"/>
    </sheetView>
  </sheetViews>
  <sheetFormatPr defaultColWidth="8.7109375" defaultRowHeight="11.25" x14ac:dyDescent="0.2"/>
  <cols>
    <col min="1" max="1" width="33.85546875" style="2" customWidth="1"/>
    <col min="2" max="2" width="7.42578125" style="26" bestFit="1" customWidth="1"/>
    <col min="3" max="15" width="6.85546875" style="3" customWidth="1"/>
    <col min="16" max="16384" width="8.7109375" style="1"/>
  </cols>
  <sheetData>
    <row r="1" spans="1:15" ht="18" x14ac:dyDescent="0.25">
      <c r="A1" s="57" t="s">
        <v>108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ht="18" x14ac:dyDescent="0.25">
      <c r="A2" s="58" t="s">
        <v>110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5" ht="12" thickBot="1" x14ac:dyDescent="0.25">
      <c r="B3" s="13"/>
    </row>
    <row r="4" spans="1:15" s="7" customFormat="1" ht="22.5" x14ac:dyDescent="0.2">
      <c r="A4" s="4" t="s">
        <v>0</v>
      </c>
      <c r="B4" s="43" t="s">
        <v>1</v>
      </c>
      <c r="C4" s="23" t="s">
        <v>2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6">
        <v>12</v>
      </c>
    </row>
    <row r="5" spans="1:15" x14ac:dyDescent="0.2">
      <c r="A5" s="8" t="s">
        <v>3</v>
      </c>
      <c r="B5" s="29">
        <f>SUM(C5:O5)</f>
        <v>68233</v>
      </c>
      <c r="C5" s="29">
        <v>5911</v>
      </c>
      <c r="D5" s="29">
        <v>5811</v>
      </c>
      <c r="E5" s="29">
        <v>5847</v>
      </c>
      <c r="F5" s="29">
        <v>5652</v>
      </c>
      <c r="G5" s="29">
        <v>5366</v>
      </c>
      <c r="H5" s="29">
        <v>5417</v>
      </c>
      <c r="I5" s="29">
        <v>5174</v>
      </c>
      <c r="J5" s="29">
        <v>5329</v>
      </c>
      <c r="K5" s="29">
        <v>5027</v>
      </c>
      <c r="L5" s="29">
        <v>4806</v>
      </c>
      <c r="M5" s="29">
        <v>4736</v>
      </c>
      <c r="N5" s="29">
        <v>4720</v>
      </c>
      <c r="O5" s="63">
        <v>4437</v>
      </c>
    </row>
    <row r="6" spans="1:15" x14ac:dyDescent="0.2">
      <c r="A6" s="9" t="s">
        <v>4</v>
      </c>
      <c r="B6" s="29">
        <f t="shared" ref="B6:B45" si="0">SUM(C6:O6)</f>
        <v>1540</v>
      </c>
      <c r="C6" s="29">
        <v>110</v>
      </c>
      <c r="D6" s="29">
        <v>130</v>
      </c>
      <c r="E6" s="29">
        <v>132</v>
      </c>
      <c r="F6" s="29">
        <v>132</v>
      </c>
      <c r="G6" s="29">
        <v>109</v>
      </c>
      <c r="H6" s="29">
        <v>110</v>
      </c>
      <c r="I6" s="29">
        <v>126</v>
      </c>
      <c r="J6" s="29">
        <v>113</v>
      </c>
      <c r="K6" s="29">
        <v>136</v>
      </c>
      <c r="L6" s="29">
        <v>119</v>
      </c>
      <c r="M6" s="29">
        <v>118</v>
      </c>
      <c r="N6" s="29">
        <v>109</v>
      </c>
      <c r="O6" s="63">
        <v>96</v>
      </c>
    </row>
    <row r="7" spans="1:15" x14ac:dyDescent="0.2">
      <c r="A7" s="9" t="s">
        <v>5</v>
      </c>
      <c r="B7" s="29">
        <f t="shared" si="0"/>
        <v>11273</v>
      </c>
      <c r="C7" s="29">
        <v>953</v>
      </c>
      <c r="D7" s="29">
        <v>895</v>
      </c>
      <c r="E7" s="29">
        <v>913</v>
      </c>
      <c r="F7" s="29">
        <v>906</v>
      </c>
      <c r="G7" s="29">
        <v>872</v>
      </c>
      <c r="H7" s="29">
        <v>871</v>
      </c>
      <c r="I7" s="29">
        <v>855</v>
      </c>
      <c r="J7" s="29">
        <v>905</v>
      </c>
      <c r="K7" s="29">
        <v>847</v>
      </c>
      <c r="L7" s="29">
        <v>855</v>
      </c>
      <c r="M7" s="29">
        <v>811</v>
      </c>
      <c r="N7" s="29">
        <v>802</v>
      </c>
      <c r="O7" s="63">
        <v>788</v>
      </c>
    </row>
    <row r="8" spans="1:15" x14ac:dyDescent="0.2">
      <c r="A8" s="9" t="s">
        <v>6</v>
      </c>
      <c r="B8" s="29">
        <f t="shared" si="0"/>
        <v>15605</v>
      </c>
      <c r="C8" s="29">
        <v>1271</v>
      </c>
      <c r="D8" s="29">
        <v>1236</v>
      </c>
      <c r="E8" s="29">
        <v>1364</v>
      </c>
      <c r="F8" s="29">
        <v>1214</v>
      </c>
      <c r="G8" s="29">
        <v>1282</v>
      </c>
      <c r="H8" s="29">
        <v>1150</v>
      </c>
      <c r="I8" s="29">
        <v>1257</v>
      </c>
      <c r="J8" s="29">
        <v>1175</v>
      </c>
      <c r="K8" s="29">
        <v>1195</v>
      </c>
      <c r="L8" s="29">
        <v>1127</v>
      </c>
      <c r="M8" s="29">
        <v>1106</v>
      </c>
      <c r="N8" s="29">
        <v>1100</v>
      </c>
      <c r="O8" s="63">
        <v>1128</v>
      </c>
    </row>
    <row r="9" spans="1:15" x14ac:dyDescent="0.2">
      <c r="A9" s="10" t="s">
        <v>11</v>
      </c>
      <c r="B9" s="30">
        <f t="shared" si="0"/>
        <v>33490</v>
      </c>
      <c r="C9" s="30">
        <v>2513</v>
      </c>
      <c r="D9" s="30">
        <v>2625</v>
      </c>
      <c r="E9" s="30">
        <v>2597</v>
      </c>
      <c r="F9" s="30">
        <v>2602</v>
      </c>
      <c r="G9" s="30">
        <v>2669</v>
      </c>
      <c r="H9" s="30">
        <v>2593</v>
      </c>
      <c r="I9" s="30">
        <v>2654</v>
      </c>
      <c r="J9" s="30">
        <v>2444</v>
      </c>
      <c r="K9" s="30">
        <v>2489</v>
      </c>
      <c r="L9" s="30">
        <v>2536</v>
      </c>
      <c r="M9" s="30">
        <v>2506</v>
      </c>
      <c r="N9" s="30">
        <v>2679</v>
      </c>
      <c r="O9" s="64">
        <v>2583</v>
      </c>
    </row>
    <row r="10" spans="1:15" x14ac:dyDescent="0.2">
      <c r="A10" s="9" t="s">
        <v>7</v>
      </c>
      <c r="B10" s="29">
        <f t="shared" si="0"/>
        <v>3423</v>
      </c>
      <c r="C10" s="29">
        <v>292</v>
      </c>
      <c r="D10" s="29">
        <v>296</v>
      </c>
      <c r="E10" s="29">
        <v>325</v>
      </c>
      <c r="F10" s="29">
        <v>277</v>
      </c>
      <c r="G10" s="29">
        <v>291</v>
      </c>
      <c r="H10" s="29">
        <v>273</v>
      </c>
      <c r="I10" s="29">
        <v>266</v>
      </c>
      <c r="J10" s="29">
        <v>261</v>
      </c>
      <c r="K10" s="29">
        <v>227</v>
      </c>
      <c r="L10" s="29">
        <v>238</v>
      </c>
      <c r="M10" s="29">
        <v>217</v>
      </c>
      <c r="N10" s="29">
        <v>238</v>
      </c>
      <c r="O10" s="63">
        <v>222</v>
      </c>
    </row>
    <row r="11" spans="1:15" x14ac:dyDescent="0.2">
      <c r="A11" s="9" t="s">
        <v>8</v>
      </c>
      <c r="B11" s="29">
        <f t="shared" si="0"/>
        <v>169</v>
      </c>
      <c r="C11" s="29">
        <v>13</v>
      </c>
      <c r="D11" s="29">
        <v>19</v>
      </c>
      <c r="E11" s="29">
        <v>12</v>
      </c>
      <c r="F11" s="29">
        <v>20</v>
      </c>
      <c r="G11" s="29">
        <v>11</v>
      </c>
      <c r="H11" s="29">
        <v>10</v>
      </c>
      <c r="I11" s="29">
        <v>10</v>
      </c>
      <c r="J11" s="29">
        <v>18</v>
      </c>
      <c r="K11" s="29">
        <v>12</v>
      </c>
      <c r="L11" s="29">
        <v>12</v>
      </c>
      <c r="M11" s="29">
        <v>10</v>
      </c>
      <c r="N11" s="29">
        <v>8</v>
      </c>
      <c r="O11" s="63">
        <v>14</v>
      </c>
    </row>
    <row r="12" spans="1:15" x14ac:dyDescent="0.2">
      <c r="A12" s="9" t="s">
        <v>9</v>
      </c>
      <c r="B12" s="29">
        <f t="shared" si="0"/>
        <v>67736</v>
      </c>
      <c r="C12" s="29">
        <v>5537</v>
      </c>
      <c r="D12" s="29">
        <v>5591</v>
      </c>
      <c r="E12" s="29">
        <v>5650</v>
      </c>
      <c r="F12" s="29">
        <v>5360</v>
      </c>
      <c r="G12" s="29">
        <v>5392</v>
      </c>
      <c r="H12" s="29">
        <v>5292</v>
      </c>
      <c r="I12" s="29">
        <v>5189</v>
      </c>
      <c r="J12" s="29">
        <v>5284</v>
      </c>
      <c r="K12" s="29">
        <v>4977</v>
      </c>
      <c r="L12" s="29">
        <v>4955</v>
      </c>
      <c r="M12" s="29">
        <v>4823</v>
      </c>
      <c r="N12" s="29">
        <v>4833</v>
      </c>
      <c r="O12" s="63">
        <v>4853</v>
      </c>
    </row>
    <row r="13" spans="1:15" x14ac:dyDescent="0.2">
      <c r="A13" s="9" t="s">
        <v>10</v>
      </c>
      <c r="B13" s="29">
        <f t="shared" si="0"/>
        <v>4574</v>
      </c>
      <c r="C13" s="29">
        <v>406</v>
      </c>
      <c r="D13" s="29">
        <v>369</v>
      </c>
      <c r="E13" s="29">
        <v>383</v>
      </c>
      <c r="F13" s="29">
        <v>376</v>
      </c>
      <c r="G13" s="29">
        <v>365</v>
      </c>
      <c r="H13" s="29">
        <v>366</v>
      </c>
      <c r="I13" s="29">
        <v>351</v>
      </c>
      <c r="J13" s="29">
        <v>374</v>
      </c>
      <c r="K13" s="29">
        <v>322</v>
      </c>
      <c r="L13" s="29">
        <v>319</v>
      </c>
      <c r="M13" s="29">
        <v>329</v>
      </c>
      <c r="N13" s="29">
        <v>308</v>
      </c>
      <c r="O13" s="63">
        <v>306</v>
      </c>
    </row>
    <row r="14" spans="1:15" x14ac:dyDescent="0.2">
      <c r="A14" s="10" t="s">
        <v>12</v>
      </c>
      <c r="B14" s="30">
        <f t="shared" si="0"/>
        <v>2313</v>
      </c>
      <c r="C14" s="30">
        <v>194</v>
      </c>
      <c r="D14" s="30">
        <v>185</v>
      </c>
      <c r="E14" s="30">
        <v>185</v>
      </c>
      <c r="F14" s="30">
        <v>204</v>
      </c>
      <c r="G14" s="30">
        <v>190</v>
      </c>
      <c r="H14" s="30">
        <v>183</v>
      </c>
      <c r="I14" s="30">
        <v>177</v>
      </c>
      <c r="J14" s="30">
        <v>173</v>
      </c>
      <c r="K14" s="30">
        <v>188</v>
      </c>
      <c r="L14" s="30">
        <v>187</v>
      </c>
      <c r="M14" s="30">
        <v>148</v>
      </c>
      <c r="N14" s="30">
        <v>159</v>
      </c>
      <c r="O14" s="64">
        <v>140</v>
      </c>
    </row>
    <row r="15" spans="1:15" x14ac:dyDescent="0.2">
      <c r="A15" s="9" t="s">
        <v>13</v>
      </c>
      <c r="B15" s="29">
        <f t="shared" si="0"/>
        <v>927</v>
      </c>
      <c r="C15" s="29">
        <v>77</v>
      </c>
      <c r="D15" s="29">
        <v>82</v>
      </c>
      <c r="E15" s="29">
        <v>78</v>
      </c>
      <c r="F15" s="29">
        <v>65</v>
      </c>
      <c r="G15" s="29">
        <v>74</v>
      </c>
      <c r="H15" s="29">
        <v>67</v>
      </c>
      <c r="I15" s="29">
        <v>69</v>
      </c>
      <c r="J15" s="29">
        <v>75</v>
      </c>
      <c r="K15" s="29">
        <v>83</v>
      </c>
      <c r="L15" s="29">
        <v>65</v>
      </c>
      <c r="M15" s="29">
        <v>73</v>
      </c>
      <c r="N15" s="29">
        <v>68</v>
      </c>
      <c r="O15" s="63">
        <v>51</v>
      </c>
    </row>
    <row r="16" spans="1:15" x14ac:dyDescent="0.2">
      <c r="A16" s="9" t="s">
        <v>14</v>
      </c>
      <c r="B16" s="29">
        <f t="shared" si="0"/>
        <v>1467</v>
      </c>
      <c r="C16" s="29">
        <v>91</v>
      </c>
      <c r="D16" s="29">
        <v>121</v>
      </c>
      <c r="E16" s="29">
        <v>112</v>
      </c>
      <c r="F16" s="29">
        <v>114</v>
      </c>
      <c r="G16" s="29">
        <v>112</v>
      </c>
      <c r="H16" s="29">
        <v>123</v>
      </c>
      <c r="I16" s="29">
        <v>108</v>
      </c>
      <c r="J16" s="29">
        <v>112</v>
      </c>
      <c r="K16" s="29">
        <v>121</v>
      </c>
      <c r="L16" s="29">
        <v>107</v>
      </c>
      <c r="M16" s="29">
        <v>129</v>
      </c>
      <c r="N16" s="29">
        <v>105</v>
      </c>
      <c r="O16" s="63">
        <v>112</v>
      </c>
    </row>
    <row r="17" spans="1:15" x14ac:dyDescent="0.2">
      <c r="A17" s="9" t="s">
        <v>15</v>
      </c>
      <c r="B17" s="29">
        <f t="shared" si="0"/>
        <v>67736</v>
      </c>
      <c r="C17" s="29">
        <v>5616</v>
      </c>
      <c r="D17" s="29">
        <v>5730</v>
      </c>
      <c r="E17" s="29">
        <v>5514</v>
      </c>
      <c r="F17" s="29">
        <v>5517</v>
      </c>
      <c r="G17" s="29">
        <v>5209</v>
      </c>
      <c r="H17" s="29">
        <v>5357</v>
      </c>
      <c r="I17" s="29">
        <v>5229</v>
      </c>
      <c r="J17" s="29">
        <v>5265</v>
      </c>
      <c r="K17" s="29">
        <v>5135</v>
      </c>
      <c r="L17" s="29">
        <v>4844</v>
      </c>
      <c r="M17" s="29">
        <v>4997</v>
      </c>
      <c r="N17" s="29">
        <v>4660</v>
      </c>
      <c r="O17" s="63">
        <v>4663</v>
      </c>
    </row>
    <row r="18" spans="1:15" x14ac:dyDescent="0.2">
      <c r="A18" s="9" t="s">
        <v>16</v>
      </c>
      <c r="B18" s="29">
        <f t="shared" si="0"/>
        <v>8508</v>
      </c>
      <c r="C18" s="29">
        <v>703</v>
      </c>
      <c r="D18" s="29">
        <v>705</v>
      </c>
      <c r="E18" s="29">
        <v>674</v>
      </c>
      <c r="F18" s="29">
        <v>674</v>
      </c>
      <c r="G18" s="29">
        <v>683</v>
      </c>
      <c r="H18" s="29">
        <v>630</v>
      </c>
      <c r="I18" s="29">
        <v>678</v>
      </c>
      <c r="J18" s="29">
        <v>686</v>
      </c>
      <c r="K18" s="29">
        <v>665</v>
      </c>
      <c r="L18" s="29">
        <v>578</v>
      </c>
      <c r="M18" s="29">
        <v>621</v>
      </c>
      <c r="N18" s="29">
        <v>606</v>
      </c>
      <c r="O18" s="63">
        <v>605</v>
      </c>
    </row>
    <row r="19" spans="1:15" x14ac:dyDescent="0.2">
      <c r="A19" s="10" t="s">
        <v>17</v>
      </c>
      <c r="B19" s="30">
        <f t="shared" si="0"/>
        <v>50581</v>
      </c>
      <c r="C19" s="30">
        <v>4122</v>
      </c>
      <c r="D19" s="30">
        <v>4056</v>
      </c>
      <c r="E19" s="30">
        <v>4086</v>
      </c>
      <c r="F19" s="30">
        <v>4184</v>
      </c>
      <c r="G19" s="30">
        <v>4062</v>
      </c>
      <c r="H19" s="30">
        <v>4018</v>
      </c>
      <c r="I19" s="30">
        <v>3914</v>
      </c>
      <c r="J19" s="30">
        <v>3761</v>
      </c>
      <c r="K19" s="30">
        <v>3711</v>
      </c>
      <c r="L19" s="30">
        <v>3583</v>
      </c>
      <c r="M19" s="30">
        <v>3856</v>
      </c>
      <c r="N19" s="30">
        <v>3558</v>
      </c>
      <c r="O19" s="64">
        <v>3670</v>
      </c>
    </row>
    <row r="20" spans="1:15" x14ac:dyDescent="0.2">
      <c r="A20" s="9" t="s">
        <v>18</v>
      </c>
      <c r="B20" s="29">
        <f t="shared" si="0"/>
        <v>2297</v>
      </c>
      <c r="C20" s="29">
        <v>176</v>
      </c>
      <c r="D20" s="29">
        <v>178</v>
      </c>
      <c r="E20" s="29">
        <v>163</v>
      </c>
      <c r="F20" s="29">
        <v>184</v>
      </c>
      <c r="G20" s="29">
        <v>186</v>
      </c>
      <c r="H20" s="29">
        <v>170</v>
      </c>
      <c r="I20" s="29">
        <v>178</v>
      </c>
      <c r="J20" s="29">
        <v>193</v>
      </c>
      <c r="K20" s="29">
        <v>170</v>
      </c>
      <c r="L20" s="29">
        <v>171</v>
      </c>
      <c r="M20" s="29">
        <v>184</v>
      </c>
      <c r="N20" s="29">
        <v>165</v>
      </c>
      <c r="O20" s="63">
        <v>179</v>
      </c>
    </row>
    <row r="21" spans="1:15" x14ac:dyDescent="0.2">
      <c r="A21" s="9" t="s">
        <v>19</v>
      </c>
      <c r="B21" s="29">
        <f t="shared" si="0"/>
        <v>1175</v>
      </c>
      <c r="C21" s="29">
        <v>94</v>
      </c>
      <c r="D21" s="29">
        <v>108</v>
      </c>
      <c r="E21" s="29">
        <v>93</v>
      </c>
      <c r="F21" s="29">
        <v>100</v>
      </c>
      <c r="G21" s="29">
        <v>91</v>
      </c>
      <c r="H21" s="29">
        <v>69</v>
      </c>
      <c r="I21" s="29">
        <v>85</v>
      </c>
      <c r="J21" s="29">
        <v>92</v>
      </c>
      <c r="K21" s="29">
        <v>86</v>
      </c>
      <c r="L21" s="29">
        <v>85</v>
      </c>
      <c r="M21" s="29">
        <v>95</v>
      </c>
      <c r="N21" s="29">
        <v>97</v>
      </c>
      <c r="O21" s="63">
        <v>80</v>
      </c>
    </row>
    <row r="22" spans="1:15" x14ac:dyDescent="0.2">
      <c r="A22" s="9" t="s">
        <v>24</v>
      </c>
      <c r="B22" s="29">
        <f t="shared" si="0"/>
        <v>6120</v>
      </c>
      <c r="C22" s="29">
        <v>626</v>
      </c>
      <c r="D22" s="29">
        <v>541</v>
      </c>
      <c r="E22" s="29">
        <v>535</v>
      </c>
      <c r="F22" s="29">
        <v>507</v>
      </c>
      <c r="G22" s="29">
        <v>424</v>
      </c>
      <c r="H22" s="29">
        <v>452</v>
      </c>
      <c r="I22" s="29">
        <v>440</v>
      </c>
      <c r="J22" s="29">
        <v>432</v>
      </c>
      <c r="K22" s="29">
        <v>442</v>
      </c>
      <c r="L22" s="29">
        <v>450</v>
      </c>
      <c r="M22" s="29">
        <v>438</v>
      </c>
      <c r="N22" s="29">
        <v>401</v>
      </c>
      <c r="O22" s="63">
        <v>432</v>
      </c>
    </row>
    <row r="23" spans="1:15" x14ac:dyDescent="0.2">
      <c r="A23" s="9" t="s">
        <v>21</v>
      </c>
      <c r="B23" s="29">
        <f t="shared" si="0"/>
        <v>2815</v>
      </c>
      <c r="C23" s="29">
        <v>220</v>
      </c>
      <c r="D23" s="29">
        <v>202</v>
      </c>
      <c r="E23" s="29">
        <v>206</v>
      </c>
      <c r="F23" s="29">
        <v>214</v>
      </c>
      <c r="G23" s="29">
        <v>205</v>
      </c>
      <c r="H23" s="29">
        <v>218</v>
      </c>
      <c r="I23" s="29">
        <v>204</v>
      </c>
      <c r="J23" s="29">
        <v>219</v>
      </c>
      <c r="K23" s="29">
        <v>219</v>
      </c>
      <c r="L23" s="29">
        <v>250</v>
      </c>
      <c r="M23" s="29">
        <v>199</v>
      </c>
      <c r="N23" s="29">
        <v>220</v>
      </c>
      <c r="O23" s="63">
        <v>239</v>
      </c>
    </row>
    <row r="24" spans="1:15" x14ac:dyDescent="0.2">
      <c r="A24" s="10" t="s">
        <v>20</v>
      </c>
      <c r="B24" s="30">
        <f t="shared" si="0"/>
        <v>2421</v>
      </c>
      <c r="C24" s="30">
        <v>177</v>
      </c>
      <c r="D24" s="30">
        <v>190</v>
      </c>
      <c r="E24" s="30">
        <v>198</v>
      </c>
      <c r="F24" s="30">
        <v>197</v>
      </c>
      <c r="G24" s="30">
        <v>180</v>
      </c>
      <c r="H24" s="30">
        <v>177</v>
      </c>
      <c r="I24" s="30">
        <v>192</v>
      </c>
      <c r="J24" s="30">
        <v>190</v>
      </c>
      <c r="K24" s="30">
        <v>195</v>
      </c>
      <c r="L24" s="30">
        <v>186</v>
      </c>
      <c r="M24" s="30">
        <v>195</v>
      </c>
      <c r="N24" s="30">
        <v>167</v>
      </c>
      <c r="O24" s="64">
        <v>177</v>
      </c>
    </row>
    <row r="25" spans="1:15" x14ac:dyDescent="0.2">
      <c r="A25" s="9" t="s">
        <v>25</v>
      </c>
      <c r="B25" s="29">
        <f t="shared" si="0"/>
        <v>6417</v>
      </c>
      <c r="C25" s="29">
        <v>497</v>
      </c>
      <c r="D25" s="29">
        <v>487</v>
      </c>
      <c r="E25" s="29">
        <v>529</v>
      </c>
      <c r="F25" s="29">
        <v>467</v>
      </c>
      <c r="G25" s="29">
        <v>482</v>
      </c>
      <c r="H25" s="29">
        <v>452</v>
      </c>
      <c r="I25" s="29">
        <v>478</v>
      </c>
      <c r="J25" s="29">
        <v>512</v>
      </c>
      <c r="K25" s="29">
        <v>505</v>
      </c>
      <c r="L25" s="29">
        <v>475</v>
      </c>
      <c r="M25" s="29">
        <v>516</v>
      </c>
      <c r="N25" s="29">
        <v>483</v>
      </c>
      <c r="O25" s="63">
        <v>534</v>
      </c>
    </row>
    <row r="26" spans="1:15" x14ac:dyDescent="0.2">
      <c r="A26" s="9" t="s">
        <v>26</v>
      </c>
      <c r="B26" s="29">
        <f t="shared" si="0"/>
        <v>29724</v>
      </c>
      <c r="C26" s="29">
        <v>2502</v>
      </c>
      <c r="D26" s="29">
        <v>2504</v>
      </c>
      <c r="E26" s="29">
        <v>2392</v>
      </c>
      <c r="F26" s="29">
        <v>2491</v>
      </c>
      <c r="G26" s="29">
        <v>2379</v>
      </c>
      <c r="H26" s="29">
        <v>2362</v>
      </c>
      <c r="I26" s="29">
        <v>2245</v>
      </c>
      <c r="J26" s="29">
        <v>2350</v>
      </c>
      <c r="K26" s="29">
        <v>2219</v>
      </c>
      <c r="L26" s="29">
        <v>2173</v>
      </c>
      <c r="M26" s="29">
        <v>2145</v>
      </c>
      <c r="N26" s="29">
        <v>2015</v>
      </c>
      <c r="O26" s="63">
        <v>1947</v>
      </c>
    </row>
    <row r="27" spans="1:15" x14ac:dyDescent="0.2">
      <c r="A27" s="9" t="s">
        <v>27</v>
      </c>
      <c r="B27" s="29">
        <f t="shared" si="0"/>
        <v>2420</v>
      </c>
      <c r="C27" s="29">
        <v>203</v>
      </c>
      <c r="D27" s="29">
        <v>205</v>
      </c>
      <c r="E27" s="29">
        <v>190</v>
      </c>
      <c r="F27" s="29">
        <v>172</v>
      </c>
      <c r="G27" s="29">
        <v>187</v>
      </c>
      <c r="H27" s="29">
        <v>206</v>
      </c>
      <c r="I27" s="29">
        <v>188</v>
      </c>
      <c r="J27" s="29">
        <v>190</v>
      </c>
      <c r="K27" s="29">
        <v>164</v>
      </c>
      <c r="L27" s="29">
        <v>201</v>
      </c>
      <c r="M27" s="29">
        <v>152</v>
      </c>
      <c r="N27" s="29">
        <v>183</v>
      </c>
      <c r="O27" s="63">
        <v>179</v>
      </c>
    </row>
    <row r="28" spans="1:15" x14ac:dyDescent="0.2">
      <c r="A28" s="9" t="s">
        <v>28</v>
      </c>
      <c r="B28" s="29">
        <f t="shared" si="0"/>
        <v>983</v>
      </c>
      <c r="C28" s="29">
        <v>75</v>
      </c>
      <c r="D28" s="29">
        <v>69</v>
      </c>
      <c r="E28" s="29">
        <v>90</v>
      </c>
      <c r="F28" s="29">
        <v>83</v>
      </c>
      <c r="G28" s="29">
        <v>83</v>
      </c>
      <c r="H28" s="29">
        <v>79</v>
      </c>
      <c r="I28" s="29">
        <v>75</v>
      </c>
      <c r="J28" s="29">
        <v>68</v>
      </c>
      <c r="K28" s="29">
        <v>81</v>
      </c>
      <c r="L28" s="29">
        <v>67</v>
      </c>
      <c r="M28" s="29">
        <v>66</v>
      </c>
      <c r="N28" s="29">
        <v>64</v>
      </c>
      <c r="O28" s="63">
        <v>83</v>
      </c>
    </row>
    <row r="29" spans="1:15" x14ac:dyDescent="0.2">
      <c r="A29" s="10" t="s">
        <v>29</v>
      </c>
      <c r="B29" s="30">
        <f t="shared" si="0"/>
        <v>12652</v>
      </c>
      <c r="C29" s="30">
        <v>1154</v>
      </c>
      <c r="D29" s="30">
        <v>1132</v>
      </c>
      <c r="E29" s="30">
        <v>1068</v>
      </c>
      <c r="F29" s="30">
        <v>1083</v>
      </c>
      <c r="G29" s="30">
        <v>1052</v>
      </c>
      <c r="H29" s="30">
        <v>996</v>
      </c>
      <c r="I29" s="30">
        <v>948</v>
      </c>
      <c r="J29" s="30">
        <v>910</v>
      </c>
      <c r="K29" s="30">
        <v>890</v>
      </c>
      <c r="L29" s="30">
        <v>848</v>
      </c>
      <c r="M29" s="30">
        <v>847</v>
      </c>
      <c r="N29" s="30">
        <v>872</v>
      </c>
      <c r="O29" s="64">
        <v>852</v>
      </c>
    </row>
    <row r="30" spans="1:15" x14ac:dyDescent="0.2">
      <c r="A30" s="9" t="s">
        <v>30</v>
      </c>
      <c r="B30" s="29">
        <f t="shared" si="0"/>
        <v>4400</v>
      </c>
      <c r="C30" s="29">
        <v>260</v>
      </c>
      <c r="D30" s="29">
        <v>292</v>
      </c>
      <c r="E30" s="29">
        <v>329</v>
      </c>
      <c r="F30" s="29">
        <v>337</v>
      </c>
      <c r="G30" s="29">
        <v>327</v>
      </c>
      <c r="H30" s="29">
        <v>321</v>
      </c>
      <c r="I30" s="29">
        <v>359</v>
      </c>
      <c r="J30" s="29">
        <v>364</v>
      </c>
      <c r="K30" s="29">
        <v>342</v>
      </c>
      <c r="L30" s="29">
        <v>377</v>
      </c>
      <c r="M30" s="29">
        <v>369</v>
      </c>
      <c r="N30" s="29">
        <v>362</v>
      </c>
      <c r="O30" s="63">
        <v>361</v>
      </c>
    </row>
    <row r="31" spans="1:15" x14ac:dyDescent="0.2">
      <c r="A31" s="9" t="s">
        <v>31</v>
      </c>
      <c r="B31" s="29">
        <f t="shared" si="0"/>
        <v>317</v>
      </c>
      <c r="C31" s="29">
        <v>24</v>
      </c>
      <c r="D31" s="29">
        <v>16</v>
      </c>
      <c r="E31" s="29">
        <v>21</v>
      </c>
      <c r="F31" s="29">
        <v>26</v>
      </c>
      <c r="G31" s="29">
        <v>21</v>
      </c>
      <c r="H31" s="29">
        <v>19</v>
      </c>
      <c r="I31" s="29">
        <v>24</v>
      </c>
      <c r="J31" s="29">
        <v>26</v>
      </c>
      <c r="K31" s="29">
        <v>28</v>
      </c>
      <c r="L31" s="29">
        <v>32</v>
      </c>
      <c r="M31" s="29">
        <v>26</v>
      </c>
      <c r="N31" s="29">
        <v>26</v>
      </c>
      <c r="O31" s="63">
        <v>28</v>
      </c>
    </row>
    <row r="32" spans="1:15" x14ac:dyDescent="0.2">
      <c r="A32" s="9" t="s">
        <v>32</v>
      </c>
      <c r="B32" s="29">
        <f t="shared" si="0"/>
        <v>13779</v>
      </c>
      <c r="C32" s="29">
        <v>1303</v>
      </c>
      <c r="D32" s="29">
        <v>1224</v>
      </c>
      <c r="E32" s="29">
        <v>1157</v>
      </c>
      <c r="F32" s="29">
        <v>1135</v>
      </c>
      <c r="G32" s="29">
        <v>996</v>
      </c>
      <c r="H32" s="29">
        <v>1049</v>
      </c>
      <c r="I32" s="29">
        <v>1051</v>
      </c>
      <c r="J32" s="29">
        <v>964</v>
      </c>
      <c r="K32" s="29">
        <v>985</v>
      </c>
      <c r="L32" s="29">
        <v>974</v>
      </c>
      <c r="M32" s="29">
        <v>980</v>
      </c>
      <c r="N32" s="29">
        <v>970</v>
      </c>
      <c r="O32" s="63">
        <v>991</v>
      </c>
    </row>
    <row r="33" spans="1:15" x14ac:dyDescent="0.2">
      <c r="A33" s="9" t="s">
        <v>33</v>
      </c>
      <c r="B33" s="29">
        <f t="shared" si="0"/>
        <v>491</v>
      </c>
      <c r="C33" s="29">
        <v>45</v>
      </c>
      <c r="D33" s="29">
        <v>40</v>
      </c>
      <c r="E33" s="29">
        <v>45</v>
      </c>
      <c r="F33" s="29">
        <v>56</v>
      </c>
      <c r="G33" s="29">
        <v>29</v>
      </c>
      <c r="H33" s="29">
        <v>40</v>
      </c>
      <c r="I33" s="29">
        <v>37</v>
      </c>
      <c r="J33" s="29">
        <v>36</v>
      </c>
      <c r="K33" s="29">
        <v>32</v>
      </c>
      <c r="L33" s="29">
        <v>31</v>
      </c>
      <c r="M33" s="29">
        <v>32</v>
      </c>
      <c r="N33" s="29">
        <v>30</v>
      </c>
      <c r="O33" s="63">
        <v>38</v>
      </c>
    </row>
    <row r="34" spans="1:15" x14ac:dyDescent="0.2">
      <c r="A34" s="10" t="s">
        <v>34</v>
      </c>
      <c r="B34" s="30">
        <f t="shared" si="0"/>
        <v>23919</v>
      </c>
      <c r="C34" s="30">
        <v>2205</v>
      </c>
      <c r="D34" s="30">
        <v>2127</v>
      </c>
      <c r="E34" s="30">
        <v>2090</v>
      </c>
      <c r="F34" s="30">
        <v>2110</v>
      </c>
      <c r="G34" s="30">
        <v>1942</v>
      </c>
      <c r="H34" s="30">
        <v>1852</v>
      </c>
      <c r="I34" s="30">
        <v>1822</v>
      </c>
      <c r="J34" s="30">
        <v>1587</v>
      </c>
      <c r="K34" s="30">
        <v>1589</v>
      </c>
      <c r="L34" s="30">
        <v>1619</v>
      </c>
      <c r="M34" s="30">
        <v>1710</v>
      </c>
      <c r="N34" s="30">
        <v>1629</v>
      </c>
      <c r="O34" s="64">
        <v>1637</v>
      </c>
    </row>
    <row r="35" spans="1:15" x14ac:dyDescent="0.2">
      <c r="A35" s="9" t="s">
        <v>35</v>
      </c>
      <c r="B35" s="29">
        <f t="shared" si="0"/>
        <v>2922</v>
      </c>
      <c r="C35" s="29">
        <v>223</v>
      </c>
      <c r="D35" s="29">
        <v>224</v>
      </c>
      <c r="E35" s="29">
        <v>195</v>
      </c>
      <c r="F35" s="29">
        <v>256</v>
      </c>
      <c r="G35" s="29">
        <v>211</v>
      </c>
      <c r="H35" s="29">
        <v>203</v>
      </c>
      <c r="I35" s="29">
        <v>203</v>
      </c>
      <c r="J35" s="29">
        <v>238</v>
      </c>
      <c r="K35" s="29">
        <v>222</v>
      </c>
      <c r="L35" s="29">
        <v>226</v>
      </c>
      <c r="M35" s="29">
        <v>239</v>
      </c>
      <c r="N35" s="29">
        <v>234</v>
      </c>
      <c r="O35" s="63">
        <v>248</v>
      </c>
    </row>
    <row r="36" spans="1:15" x14ac:dyDescent="0.2">
      <c r="A36" s="9" t="s">
        <v>36</v>
      </c>
      <c r="B36" s="29">
        <f t="shared" si="0"/>
        <v>4546</v>
      </c>
      <c r="C36" s="29">
        <v>366</v>
      </c>
      <c r="D36" s="29">
        <v>356</v>
      </c>
      <c r="E36" s="29">
        <v>380</v>
      </c>
      <c r="F36" s="29">
        <v>361</v>
      </c>
      <c r="G36" s="29">
        <v>387</v>
      </c>
      <c r="H36" s="29">
        <v>338</v>
      </c>
      <c r="I36" s="29">
        <v>351</v>
      </c>
      <c r="J36" s="29">
        <v>330</v>
      </c>
      <c r="K36" s="29">
        <v>350</v>
      </c>
      <c r="L36" s="29">
        <v>360</v>
      </c>
      <c r="M36" s="29">
        <v>332</v>
      </c>
      <c r="N36" s="29">
        <v>328</v>
      </c>
      <c r="O36" s="63">
        <v>307</v>
      </c>
    </row>
    <row r="37" spans="1:15" x14ac:dyDescent="0.2">
      <c r="A37" s="9" t="s">
        <v>37</v>
      </c>
      <c r="B37" s="29">
        <f t="shared" si="0"/>
        <v>3124</v>
      </c>
      <c r="C37" s="29">
        <v>248</v>
      </c>
      <c r="D37" s="29">
        <v>244</v>
      </c>
      <c r="E37" s="29">
        <v>237</v>
      </c>
      <c r="F37" s="29">
        <v>249</v>
      </c>
      <c r="G37" s="29">
        <v>237</v>
      </c>
      <c r="H37" s="29">
        <v>251</v>
      </c>
      <c r="I37" s="29">
        <v>252</v>
      </c>
      <c r="J37" s="29">
        <v>247</v>
      </c>
      <c r="K37" s="29">
        <v>227</v>
      </c>
      <c r="L37" s="29">
        <v>252</v>
      </c>
      <c r="M37" s="29">
        <v>216</v>
      </c>
      <c r="N37" s="29">
        <v>232</v>
      </c>
      <c r="O37" s="63">
        <v>232</v>
      </c>
    </row>
    <row r="38" spans="1:15" x14ac:dyDescent="0.2">
      <c r="A38" s="9" t="s">
        <v>38</v>
      </c>
      <c r="B38" s="29">
        <f t="shared" si="0"/>
        <v>1457</v>
      </c>
      <c r="C38" s="29">
        <v>118</v>
      </c>
      <c r="D38" s="29">
        <v>124</v>
      </c>
      <c r="E38" s="29">
        <v>117</v>
      </c>
      <c r="F38" s="29">
        <v>116</v>
      </c>
      <c r="G38" s="29">
        <v>125</v>
      </c>
      <c r="H38" s="29">
        <v>97</v>
      </c>
      <c r="I38" s="29">
        <v>119</v>
      </c>
      <c r="J38" s="29">
        <v>106</v>
      </c>
      <c r="K38" s="29">
        <v>112</v>
      </c>
      <c r="L38" s="29">
        <v>123</v>
      </c>
      <c r="M38" s="29">
        <v>105</v>
      </c>
      <c r="N38" s="29">
        <v>98</v>
      </c>
      <c r="O38" s="63">
        <v>97</v>
      </c>
    </row>
    <row r="39" spans="1:15" x14ac:dyDescent="0.2">
      <c r="A39" s="10" t="s">
        <v>39</v>
      </c>
      <c r="B39" s="30">
        <f t="shared" si="0"/>
        <v>210</v>
      </c>
      <c r="C39" s="30">
        <v>12</v>
      </c>
      <c r="D39" s="30">
        <v>10</v>
      </c>
      <c r="E39" s="30">
        <v>10</v>
      </c>
      <c r="F39" s="30">
        <v>13</v>
      </c>
      <c r="G39" s="30">
        <v>13</v>
      </c>
      <c r="H39" s="30">
        <v>8</v>
      </c>
      <c r="I39" s="30">
        <v>22</v>
      </c>
      <c r="J39" s="30">
        <v>24</v>
      </c>
      <c r="K39" s="30">
        <v>25</v>
      </c>
      <c r="L39" s="30">
        <v>23</v>
      </c>
      <c r="M39" s="30">
        <v>16</v>
      </c>
      <c r="N39" s="30">
        <v>16</v>
      </c>
      <c r="O39" s="64">
        <v>18</v>
      </c>
    </row>
    <row r="40" spans="1:15" x14ac:dyDescent="0.2">
      <c r="A40" s="9" t="s">
        <v>40</v>
      </c>
      <c r="B40" s="29">
        <f t="shared" si="0"/>
        <v>13675</v>
      </c>
      <c r="C40" s="29">
        <v>1113</v>
      </c>
      <c r="D40" s="29">
        <v>1076</v>
      </c>
      <c r="E40" s="29">
        <v>1119</v>
      </c>
      <c r="F40" s="29">
        <v>1108</v>
      </c>
      <c r="G40" s="29">
        <v>1052</v>
      </c>
      <c r="H40" s="29">
        <v>1118</v>
      </c>
      <c r="I40" s="29">
        <v>1097</v>
      </c>
      <c r="J40" s="29">
        <v>1037</v>
      </c>
      <c r="K40" s="29">
        <v>1017</v>
      </c>
      <c r="L40" s="29">
        <v>1078</v>
      </c>
      <c r="M40" s="29">
        <v>989</v>
      </c>
      <c r="N40" s="29">
        <v>981</v>
      </c>
      <c r="O40" s="63">
        <v>890</v>
      </c>
    </row>
    <row r="41" spans="1:15" x14ac:dyDescent="0.2">
      <c r="A41" s="9" t="s">
        <v>41</v>
      </c>
      <c r="B41" s="29">
        <f t="shared" si="0"/>
        <v>6993</v>
      </c>
      <c r="C41" s="29">
        <v>726</v>
      </c>
      <c r="D41" s="29">
        <v>672</v>
      </c>
      <c r="E41" s="29">
        <v>630</v>
      </c>
      <c r="F41" s="29">
        <v>631</v>
      </c>
      <c r="G41" s="29">
        <v>582</v>
      </c>
      <c r="H41" s="29">
        <v>572</v>
      </c>
      <c r="I41" s="29">
        <v>491</v>
      </c>
      <c r="J41" s="29">
        <v>534</v>
      </c>
      <c r="K41" s="29">
        <v>531</v>
      </c>
      <c r="L41" s="29">
        <v>395</v>
      </c>
      <c r="M41" s="29">
        <v>422</v>
      </c>
      <c r="N41" s="29">
        <v>416</v>
      </c>
      <c r="O41" s="63">
        <v>391</v>
      </c>
    </row>
    <row r="42" spans="1:15" x14ac:dyDescent="0.2">
      <c r="A42" s="9" t="s">
        <v>42</v>
      </c>
      <c r="B42" s="29">
        <f t="shared" si="0"/>
        <v>5253</v>
      </c>
      <c r="C42" s="29">
        <v>379</v>
      </c>
      <c r="D42" s="29">
        <v>418</v>
      </c>
      <c r="E42" s="29">
        <v>468</v>
      </c>
      <c r="F42" s="29">
        <v>394</v>
      </c>
      <c r="G42" s="29">
        <v>429</v>
      </c>
      <c r="H42" s="29">
        <v>394</v>
      </c>
      <c r="I42" s="29">
        <v>420</v>
      </c>
      <c r="J42" s="29">
        <v>382</v>
      </c>
      <c r="K42" s="29">
        <v>441</v>
      </c>
      <c r="L42" s="29">
        <v>389</v>
      </c>
      <c r="M42" s="29">
        <v>400</v>
      </c>
      <c r="N42" s="29">
        <v>374</v>
      </c>
      <c r="O42" s="63">
        <v>365</v>
      </c>
    </row>
    <row r="43" spans="1:15" x14ac:dyDescent="0.2">
      <c r="A43" s="9" t="s">
        <v>43</v>
      </c>
      <c r="B43" s="29">
        <f t="shared" si="0"/>
        <v>26206</v>
      </c>
      <c r="C43" s="29">
        <v>2204</v>
      </c>
      <c r="D43" s="29">
        <v>2077</v>
      </c>
      <c r="E43" s="29">
        <v>2161</v>
      </c>
      <c r="F43" s="29">
        <v>2143</v>
      </c>
      <c r="G43" s="29">
        <v>2082</v>
      </c>
      <c r="H43" s="29">
        <v>1997</v>
      </c>
      <c r="I43" s="29">
        <v>2095</v>
      </c>
      <c r="J43" s="29">
        <v>2047</v>
      </c>
      <c r="K43" s="29">
        <v>2072</v>
      </c>
      <c r="L43" s="29">
        <v>1956</v>
      </c>
      <c r="M43" s="29">
        <v>1883</v>
      </c>
      <c r="N43" s="29">
        <v>1762</v>
      </c>
      <c r="O43" s="63">
        <v>1727</v>
      </c>
    </row>
    <row r="44" spans="1:15" x14ac:dyDescent="0.2">
      <c r="A44" s="9" t="s">
        <v>44</v>
      </c>
      <c r="B44" s="29">
        <f t="shared" si="0"/>
        <v>539</v>
      </c>
      <c r="C44" s="29">
        <v>41</v>
      </c>
      <c r="D44" s="29">
        <v>46</v>
      </c>
      <c r="E44" s="29">
        <v>46</v>
      </c>
      <c r="F44" s="29">
        <v>46</v>
      </c>
      <c r="G44" s="29">
        <v>43</v>
      </c>
      <c r="H44" s="29">
        <v>39</v>
      </c>
      <c r="I44" s="29">
        <v>43</v>
      </c>
      <c r="J44" s="29">
        <v>45</v>
      </c>
      <c r="K44" s="29">
        <v>41</v>
      </c>
      <c r="L44" s="29">
        <v>35</v>
      </c>
      <c r="M44" s="29">
        <v>41</v>
      </c>
      <c r="N44" s="29">
        <v>33</v>
      </c>
      <c r="O44" s="63">
        <v>40</v>
      </c>
    </row>
    <row r="45" spans="1:15" x14ac:dyDescent="0.2">
      <c r="A45" s="10" t="s">
        <v>45</v>
      </c>
      <c r="B45" s="30">
        <f t="shared" si="0"/>
        <v>30423</v>
      </c>
      <c r="C45" s="30">
        <v>2240</v>
      </c>
      <c r="D45" s="30">
        <v>2334</v>
      </c>
      <c r="E45" s="30">
        <v>2345</v>
      </c>
      <c r="F45" s="30">
        <v>2320</v>
      </c>
      <c r="G45" s="30">
        <v>2342</v>
      </c>
      <c r="H45" s="30">
        <v>2292</v>
      </c>
      <c r="I45" s="30">
        <v>2393</v>
      </c>
      <c r="J45" s="30">
        <v>2418</v>
      </c>
      <c r="K45" s="30">
        <v>2490</v>
      </c>
      <c r="L45" s="30">
        <v>2376</v>
      </c>
      <c r="M45" s="30">
        <v>2223</v>
      </c>
      <c r="N45" s="30">
        <v>2314</v>
      </c>
      <c r="O45" s="64">
        <v>2336</v>
      </c>
    </row>
    <row r="46" spans="1:15" s="7" customFormat="1" ht="12" thickBot="1" x14ac:dyDescent="0.25">
      <c r="A46" s="11" t="s">
        <v>22</v>
      </c>
      <c r="B46" s="32">
        <f>SUM(B5:B45)</f>
        <v>542853</v>
      </c>
      <c r="C46" s="32">
        <f t="shared" ref="C46:O46" si="1">SUM(C5:C45)</f>
        <v>45040</v>
      </c>
      <c r="D46" s="32">
        <f t="shared" si="1"/>
        <v>44747</v>
      </c>
      <c r="E46" s="32">
        <f t="shared" si="1"/>
        <v>44686</v>
      </c>
      <c r="F46" s="32">
        <f t="shared" si="1"/>
        <v>44096</v>
      </c>
      <c r="G46" s="32">
        <f t="shared" si="1"/>
        <v>42774</v>
      </c>
      <c r="H46" s="32">
        <f t="shared" si="1"/>
        <v>42231</v>
      </c>
      <c r="I46" s="32">
        <f t="shared" si="1"/>
        <v>41869</v>
      </c>
      <c r="J46" s="32">
        <f t="shared" si="1"/>
        <v>41516</v>
      </c>
      <c r="K46" s="32">
        <f t="shared" si="1"/>
        <v>40610</v>
      </c>
      <c r="L46" s="32">
        <f t="shared" si="1"/>
        <v>39483</v>
      </c>
      <c r="M46" s="32">
        <f t="shared" si="1"/>
        <v>39300</v>
      </c>
      <c r="N46" s="32">
        <f t="shared" si="1"/>
        <v>38425</v>
      </c>
      <c r="O46" s="65">
        <f t="shared" si="1"/>
        <v>38076</v>
      </c>
    </row>
    <row r="47" spans="1:15" ht="3.6" customHeight="1" thickTop="1" thickBot="1" x14ac:dyDescent="0.25">
      <c r="A47" s="12"/>
      <c r="B47" s="4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4"/>
    </row>
    <row r="48" spans="1:15" x14ac:dyDescent="0.2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</row>
    <row r="49" spans="1:15" ht="18" x14ac:dyDescent="0.25">
      <c r="A49" s="57" t="s">
        <v>109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</row>
    <row r="50" spans="1:15" ht="18.75" thickBot="1" x14ac:dyDescent="0.3">
      <c r="A50" s="59" t="s">
        <v>110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s="7" customFormat="1" ht="22.5" x14ac:dyDescent="0.2">
      <c r="A51" s="34" t="s">
        <v>23</v>
      </c>
      <c r="B51" s="33" t="s">
        <v>1</v>
      </c>
      <c r="C51" s="23" t="s">
        <v>2</v>
      </c>
      <c r="D51" s="5">
        <v>1</v>
      </c>
      <c r="E51" s="15">
        <v>2</v>
      </c>
      <c r="F51" s="5">
        <v>3</v>
      </c>
      <c r="G51" s="15">
        <v>4</v>
      </c>
      <c r="H51" s="5">
        <v>5</v>
      </c>
      <c r="I51" s="15">
        <v>6</v>
      </c>
      <c r="J51" s="5">
        <v>7</v>
      </c>
      <c r="K51" s="15">
        <v>8</v>
      </c>
      <c r="L51" s="5">
        <v>9</v>
      </c>
      <c r="M51" s="15">
        <v>10</v>
      </c>
      <c r="N51" s="5">
        <v>11</v>
      </c>
      <c r="O51" s="6">
        <v>12</v>
      </c>
    </row>
    <row r="52" spans="1:15" x14ac:dyDescent="0.2">
      <c r="A52" s="44" t="s">
        <v>124</v>
      </c>
      <c r="B52" s="27">
        <f>SUM(C52:O52)</f>
        <v>484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142</v>
      </c>
      <c r="M52" s="27">
        <v>125</v>
      </c>
      <c r="N52" s="27">
        <v>124</v>
      </c>
      <c r="O52" s="66">
        <v>93</v>
      </c>
    </row>
    <row r="53" spans="1:15" x14ac:dyDescent="0.2">
      <c r="A53" s="45" t="s">
        <v>121</v>
      </c>
      <c r="B53" s="27">
        <f t="shared" ref="B53:B95" si="2">SUM(C53:O53)</f>
        <v>468</v>
      </c>
      <c r="C53" s="27">
        <v>40</v>
      </c>
      <c r="D53" s="27">
        <v>52</v>
      </c>
      <c r="E53" s="27">
        <v>46</v>
      </c>
      <c r="F53" s="27">
        <v>50</v>
      </c>
      <c r="G53" s="27">
        <v>48</v>
      </c>
      <c r="H53" s="27">
        <v>78</v>
      </c>
      <c r="I53" s="27">
        <v>72</v>
      </c>
      <c r="J53" s="27">
        <v>65</v>
      </c>
      <c r="K53" s="27">
        <v>17</v>
      </c>
      <c r="L53" s="27">
        <v>0</v>
      </c>
      <c r="M53" s="27">
        <v>0</v>
      </c>
      <c r="N53" s="27">
        <v>0</v>
      </c>
      <c r="O53" s="66">
        <v>0</v>
      </c>
    </row>
    <row r="54" spans="1:15" x14ac:dyDescent="0.2">
      <c r="A54" s="45" t="s">
        <v>46</v>
      </c>
      <c r="B54" s="27">
        <f t="shared" si="2"/>
        <v>1523</v>
      </c>
      <c r="C54" s="27">
        <v>95</v>
      </c>
      <c r="D54" s="27">
        <v>87</v>
      </c>
      <c r="E54" s="27">
        <v>101</v>
      </c>
      <c r="F54" s="27">
        <v>107</v>
      </c>
      <c r="G54" s="27">
        <v>119</v>
      </c>
      <c r="H54" s="27">
        <v>116</v>
      </c>
      <c r="I54" s="27">
        <v>102</v>
      </c>
      <c r="J54" s="27">
        <v>130</v>
      </c>
      <c r="K54" s="27">
        <v>155</v>
      </c>
      <c r="L54" s="27">
        <v>170</v>
      </c>
      <c r="M54" s="27">
        <v>131</v>
      </c>
      <c r="N54" s="27">
        <v>111</v>
      </c>
      <c r="O54" s="66">
        <v>99</v>
      </c>
    </row>
    <row r="55" spans="1:15" x14ac:dyDescent="0.2">
      <c r="A55" s="45" t="s">
        <v>47</v>
      </c>
      <c r="B55" s="27">
        <f t="shared" si="2"/>
        <v>1862</v>
      </c>
      <c r="C55" s="27">
        <v>163</v>
      </c>
      <c r="D55" s="27">
        <v>174</v>
      </c>
      <c r="E55" s="27">
        <v>176</v>
      </c>
      <c r="F55" s="27">
        <v>181</v>
      </c>
      <c r="G55" s="27">
        <v>185</v>
      </c>
      <c r="H55" s="27">
        <v>194</v>
      </c>
      <c r="I55" s="27">
        <v>181</v>
      </c>
      <c r="J55" s="27">
        <v>191</v>
      </c>
      <c r="K55" s="27">
        <v>194</v>
      </c>
      <c r="L55" s="27">
        <v>152</v>
      </c>
      <c r="M55" s="27">
        <v>71</v>
      </c>
      <c r="N55" s="27">
        <v>0</v>
      </c>
      <c r="O55" s="66">
        <v>0</v>
      </c>
    </row>
    <row r="56" spans="1:15" x14ac:dyDescent="0.2">
      <c r="A56" s="46" t="s">
        <v>48</v>
      </c>
      <c r="B56" s="30">
        <f t="shared" si="2"/>
        <v>180</v>
      </c>
      <c r="C56" s="30">
        <v>20</v>
      </c>
      <c r="D56" s="30">
        <v>20</v>
      </c>
      <c r="E56" s="30">
        <v>20</v>
      </c>
      <c r="F56" s="30">
        <v>20</v>
      </c>
      <c r="G56" s="30">
        <v>20</v>
      </c>
      <c r="H56" s="30">
        <v>20</v>
      </c>
      <c r="I56" s="30">
        <v>20</v>
      </c>
      <c r="J56" s="30">
        <v>20</v>
      </c>
      <c r="K56" s="30">
        <v>20</v>
      </c>
      <c r="L56" s="30">
        <v>0</v>
      </c>
      <c r="M56" s="30">
        <v>0</v>
      </c>
      <c r="N56" s="30">
        <v>0</v>
      </c>
      <c r="O56" s="64">
        <v>0</v>
      </c>
    </row>
    <row r="57" spans="1:15" x14ac:dyDescent="0.2">
      <c r="A57" s="45" t="s">
        <v>125</v>
      </c>
      <c r="B57" s="27">
        <f t="shared" si="2"/>
        <v>138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33</v>
      </c>
      <c r="K57" s="27">
        <v>50</v>
      </c>
      <c r="L57" s="27">
        <v>24</v>
      </c>
      <c r="M57" s="27">
        <v>12</v>
      </c>
      <c r="N57" s="27">
        <v>9</v>
      </c>
      <c r="O57" s="66">
        <v>10</v>
      </c>
    </row>
    <row r="58" spans="1:15" x14ac:dyDescent="0.2">
      <c r="A58" s="45" t="s">
        <v>49</v>
      </c>
      <c r="B58" s="27">
        <f t="shared" si="2"/>
        <v>529</v>
      </c>
      <c r="C58" s="27">
        <v>78</v>
      </c>
      <c r="D58" s="27">
        <v>75</v>
      </c>
      <c r="E58" s="27">
        <v>74</v>
      </c>
      <c r="F58" s="27">
        <v>76</v>
      </c>
      <c r="G58" s="27">
        <v>75</v>
      </c>
      <c r="H58" s="27">
        <v>77</v>
      </c>
      <c r="I58" s="27">
        <v>74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66">
        <v>0</v>
      </c>
    </row>
    <row r="59" spans="1:15" x14ac:dyDescent="0.2">
      <c r="A59" s="45" t="s">
        <v>50</v>
      </c>
      <c r="B59" s="27">
        <f t="shared" si="2"/>
        <v>669</v>
      </c>
      <c r="C59" s="27">
        <v>78</v>
      </c>
      <c r="D59" s="27">
        <v>77</v>
      </c>
      <c r="E59" s="27">
        <v>78</v>
      </c>
      <c r="F59" s="27">
        <v>78</v>
      </c>
      <c r="G59" s="27">
        <v>78</v>
      </c>
      <c r="H59" s="27">
        <v>77</v>
      </c>
      <c r="I59" s="27">
        <v>77</v>
      </c>
      <c r="J59" s="27">
        <v>66</v>
      </c>
      <c r="K59" s="27">
        <v>60</v>
      </c>
      <c r="L59" s="27">
        <v>0</v>
      </c>
      <c r="M59" s="27">
        <v>0</v>
      </c>
      <c r="N59" s="27">
        <v>0</v>
      </c>
      <c r="O59" s="66">
        <v>0</v>
      </c>
    </row>
    <row r="60" spans="1:15" x14ac:dyDescent="0.2">
      <c r="A60" s="45" t="s">
        <v>51</v>
      </c>
      <c r="B60" s="27">
        <f t="shared" si="2"/>
        <v>207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27</v>
      </c>
      <c r="L60" s="27">
        <v>47</v>
      </c>
      <c r="M60" s="27">
        <v>48</v>
      </c>
      <c r="N60" s="27">
        <v>38</v>
      </c>
      <c r="O60" s="66">
        <v>47</v>
      </c>
    </row>
    <row r="61" spans="1:15" x14ac:dyDescent="0.2">
      <c r="A61" s="46" t="s">
        <v>115</v>
      </c>
      <c r="B61" s="28">
        <f t="shared" si="2"/>
        <v>459</v>
      </c>
      <c r="C61" s="28">
        <v>56</v>
      </c>
      <c r="D61" s="28">
        <v>50</v>
      </c>
      <c r="E61" s="28">
        <v>34</v>
      </c>
      <c r="F61" s="28">
        <v>95</v>
      </c>
      <c r="G61" s="28">
        <v>128</v>
      </c>
      <c r="H61" s="28">
        <v>66</v>
      </c>
      <c r="I61" s="28">
        <v>30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67">
        <v>0</v>
      </c>
    </row>
    <row r="62" spans="1:15" x14ac:dyDescent="0.2">
      <c r="A62" s="45" t="s">
        <v>122</v>
      </c>
      <c r="B62" s="27">
        <f t="shared" si="2"/>
        <v>935</v>
      </c>
      <c r="C62" s="27">
        <v>0</v>
      </c>
      <c r="D62" s="27">
        <v>176</v>
      </c>
      <c r="E62" s="27">
        <v>186</v>
      </c>
      <c r="F62" s="27">
        <v>0</v>
      </c>
      <c r="G62" s="27">
        <v>0</v>
      </c>
      <c r="H62" s="27">
        <v>0</v>
      </c>
      <c r="I62" s="27">
        <v>178</v>
      </c>
      <c r="J62" s="27">
        <v>58</v>
      </c>
      <c r="K62" s="27">
        <v>77</v>
      </c>
      <c r="L62" s="27">
        <v>93</v>
      </c>
      <c r="M62" s="27">
        <v>65</v>
      </c>
      <c r="N62" s="27">
        <v>55</v>
      </c>
      <c r="O62" s="66">
        <v>47</v>
      </c>
    </row>
    <row r="63" spans="1:15" x14ac:dyDescent="0.2">
      <c r="A63" s="45" t="s">
        <v>52</v>
      </c>
      <c r="B63" s="27">
        <f t="shared" si="2"/>
        <v>442</v>
      </c>
      <c r="C63" s="27">
        <v>105</v>
      </c>
      <c r="D63" s="27">
        <v>57</v>
      </c>
      <c r="E63" s="27">
        <v>61</v>
      </c>
      <c r="F63" s="27">
        <v>54</v>
      </c>
      <c r="G63" s="27">
        <v>43</v>
      </c>
      <c r="H63" s="27">
        <v>41</v>
      </c>
      <c r="I63" s="27">
        <v>31</v>
      </c>
      <c r="J63" s="27">
        <v>27</v>
      </c>
      <c r="K63" s="27">
        <v>23</v>
      </c>
      <c r="L63" s="27">
        <v>0</v>
      </c>
      <c r="M63" s="27">
        <v>0</v>
      </c>
      <c r="N63" s="27">
        <v>0</v>
      </c>
      <c r="O63" s="66">
        <v>0</v>
      </c>
    </row>
    <row r="64" spans="1:15" x14ac:dyDescent="0.2">
      <c r="A64" s="45" t="s">
        <v>117</v>
      </c>
      <c r="B64" s="27">
        <f t="shared" si="2"/>
        <v>751</v>
      </c>
      <c r="C64" s="27">
        <v>72</v>
      </c>
      <c r="D64" s="27">
        <v>75</v>
      </c>
      <c r="E64" s="27">
        <v>75</v>
      </c>
      <c r="F64" s="27">
        <v>75</v>
      </c>
      <c r="G64" s="27">
        <v>75</v>
      </c>
      <c r="H64" s="27">
        <v>76</v>
      </c>
      <c r="I64" s="27">
        <v>77</v>
      </c>
      <c r="J64" s="27">
        <v>78</v>
      </c>
      <c r="K64" s="27">
        <v>78</v>
      </c>
      <c r="L64" s="27">
        <v>70</v>
      </c>
      <c r="M64" s="27">
        <v>0</v>
      </c>
      <c r="N64" s="27">
        <v>0</v>
      </c>
      <c r="O64" s="66">
        <v>0</v>
      </c>
    </row>
    <row r="65" spans="1:15" x14ac:dyDescent="0.2">
      <c r="A65" s="45" t="s">
        <v>53</v>
      </c>
      <c r="B65" s="27">
        <f t="shared" si="2"/>
        <v>313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51</v>
      </c>
      <c r="M65" s="27">
        <v>76</v>
      </c>
      <c r="N65" s="27">
        <v>98</v>
      </c>
      <c r="O65" s="66">
        <v>88</v>
      </c>
    </row>
    <row r="66" spans="1:15" x14ac:dyDescent="0.2">
      <c r="A66" s="46" t="s">
        <v>54</v>
      </c>
      <c r="B66" s="28">
        <f t="shared" si="2"/>
        <v>296</v>
      </c>
      <c r="C66" s="28">
        <v>44</v>
      </c>
      <c r="D66" s="28">
        <v>48</v>
      </c>
      <c r="E66" s="28">
        <v>48</v>
      </c>
      <c r="F66" s="28">
        <v>52</v>
      </c>
      <c r="G66" s="28">
        <v>53</v>
      </c>
      <c r="H66" s="28">
        <v>51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67">
        <v>0</v>
      </c>
    </row>
    <row r="67" spans="1:15" x14ac:dyDescent="0.2">
      <c r="A67" s="45" t="s">
        <v>116</v>
      </c>
      <c r="B67" s="27">
        <f t="shared" si="2"/>
        <v>299</v>
      </c>
      <c r="C67" s="27">
        <v>0</v>
      </c>
      <c r="D67" s="27">
        <v>62</v>
      </c>
      <c r="E67" s="27">
        <v>58</v>
      </c>
      <c r="F67" s="27">
        <v>54</v>
      </c>
      <c r="G67" s="27">
        <v>52</v>
      </c>
      <c r="H67" s="27">
        <v>49</v>
      </c>
      <c r="I67" s="27">
        <v>24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66">
        <v>0</v>
      </c>
    </row>
    <row r="68" spans="1:15" x14ac:dyDescent="0.2">
      <c r="A68" s="45" t="s">
        <v>55</v>
      </c>
      <c r="B68" s="27">
        <f t="shared" si="2"/>
        <v>523</v>
      </c>
      <c r="C68" s="27">
        <v>52</v>
      </c>
      <c r="D68" s="27">
        <v>51</v>
      </c>
      <c r="E68" s="27">
        <v>52</v>
      </c>
      <c r="F68" s="27">
        <v>53</v>
      </c>
      <c r="G68" s="27">
        <v>52</v>
      </c>
      <c r="H68" s="27">
        <v>55</v>
      </c>
      <c r="I68" s="27">
        <v>55</v>
      </c>
      <c r="J68" s="27">
        <v>57</v>
      </c>
      <c r="K68" s="27">
        <v>55</v>
      </c>
      <c r="L68" s="27">
        <v>41</v>
      </c>
      <c r="M68" s="27">
        <v>0</v>
      </c>
      <c r="N68" s="27">
        <v>0</v>
      </c>
      <c r="O68" s="66">
        <v>0</v>
      </c>
    </row>
    <row r="69" spans="1:15" x14ac:dyDescent="0.2">
      <c r="A69" s="45" t="s">
        <v>56</v>
      </c>
      <c r="B69" s="27">
        <f t="shared" si="2"/>
        <v>679</v>
      </c>
      <c r="C69" s="27">
        <v>74</v>
      </c>
      <c r="D69" s="27">
        <v>81</v>
      </c>
      <c r="E69" s="27">
        <v>80</v>
      </c>
      <c r="F69" s="27">
        <v>78</v>
      </c>
      <c r="G69" s="27">
        <v>78</v>
      </c>
      <c r="H69" s="27">
        <v>81</v>
      </c>
      <c r="I69" s="27">
        <v>75</v>
      </c>
      <c r="J69" s="27">
        <v>74</v>
      </c>
      <c r="K69" s="27">
        <v>58</v>
      </c>
      <c r="L69" s="27">
        <v>0</v>
      </c>
      <c r="M69" s="27">
        <v>0</v>
      </c>
      <c r="N69" s="27">
        <v>0</v>
      </c>
      <c r="O69" s="66">
        <v>0</v>
      </c>
    </row>
    <row r="70" spans="1:15" x14ac:dyDescent="0.2">
      <c r="A70" s="45" t="s">
        <v>57</v>
      </c>
      <c r="B70" s="27">
        <f t="shared" si="2"/>
        <v>220</v>
      </c>
      <c r="C70" s="27">
        <v>0</v>
      </c>
      <c r="D70" s="27">
        <v>0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32</v>
      </c>
      <c r="M70" s="27">
        <v>55</v>
      </c>
      <c r="N70" s="27">
        <v>67</v>
      </c>
      <c r="O70" s="66">
        <v>66</v>
      </c>
    </row>
    <row r="71" spans="1:15" x14ac:dyDescent="0.2">
      <c r="A71" s="46" t="s">
        <v>58</v>
      </c>
      <c r="B71" s="28">
        <f t="shared" si="2"/>
        <v>697</v>
      </c>
      <c r="C71" s="28">
        <v>76</v>
      </c>
      <c r="D71" s="28">
        <v>78</v>
      </c>
      <c r="E71" s="28">
        <v>78</v>
      </c>
      <c r="F71" s="28">
        <v>78</v>
      </c>
      <c r="G71" s="28">
        <v>78</v>
      </c>
      <c r="H71" s="28">
        <v>74</v>
      </c>
      <c r="I71" s="28">
        <v>71</v>
      </c>
      <c r="J71" s="28">
        <v>91</v>
      </c>
      <c r="K71" s="28">
        <v>73</v>
      </c>
      <c r="L71" s="28">
        <v>0</v>
      </c>
      <c r="M71" s="28">
        <v>0</v>
      </c>
      <c r="N71" s="28">
        <v>0</v>
      </c>
      <c r="O71" s="67">
        <v>0</v>
      </c>
    </row>
    <row r="72" spans="1:15" x14ac:dyDescent="0.2">
      <c r="A72" s="45" t="s">
        <v>59</v>
      </c>
      <c r="B72" s="27">
        <f t="shared" si="2"/>
        <v>652</v>
      </c>
      <c r="C72" s="27">
        <v>73</v>
      </c>
      <c r="D72" s="27">
        <v>69</v>
      </c>
      <c r="E72" s="27">
        <v>83</v>
      </c>
      <c r="F72" s="27">
        <v>79</v>
      </c>
      <c r="G72" s="27">
        <v>75</v>
      </c>
      <c r="H72" s="27">
        <v>80</v>
      </c>
      <c r="I72" s="27">
        <v>64</v>
      </c>
      <c r="J72" s="27">
        <v>67</v>
      </c>
      <c r="K72" s="27">
        <v>62</v>
      </c>
      <c r="L72" s="27">
        <v>0</v>
      </c>
      <c r="M72" s="27">
        <v>0</v>
      </c>
      <c r="N72" s="27">
        <v>0</v>
      </c>
      <c r="O72" s="66">
        <v>0</v>
      </c>
    </row>
    <row r="73" spans="1:15" x14ac:dyDescent="0.2">
      <c r="A73" s="45" t="s">
        <v>106</v>
      </c>
      <c r="B73" s="27">
        <f t="shared" si="2"/>
        <v>921</v>
      </c>
      <c r="C73" s="27">
        <v>130</v>
      </c>
      <c r="D73" s="27">
        <v>155</v>
      </c>
      <c r="E73" s="27">
        <v>120</v>
      </c>
      <c r="F73" s="27">
        <v>111</v>
      </c>
      <c r="G73" s="27">
        <v>128</v>
      </c>
      <c r="H73" s="27">
        <v>97</v>
      </c>
      <c r="I73" s="27">
        <v>71</v>
      </c>
      <c r="J73" s="27">
        <v>66</v>
      </c>
      <c r="K73" s="27">
        <v>43</v>
      </c>
      <c r="L73" s="27">
        <v>0</v>
      </c>
      <c r="M73" s="27">
        <v>0</v>
      </c>
      <c r="N73" s="27">
        <v>0</v>
      </c>
      <c r="O73" s="66">
        <v>0</v>
      </c>
    </row>
    <row r="74" spans="1:15" x14ac:dyDescent="0.2">
      <c r="A74" s="45" t="s">
        <v>60</v>
      </c>
      <c r="B74" s="27">
        <f t="shared" si="2"/>
        <v>413</v>
      </c>
      <c r="C74" s="27">
        <v>71</v>
      </c>
      <c r="D74" s="27">
        <v>74</v>
      </c>
      <c r="E74" s="27">
        <v>71</v>
      </c>
      <c r="F74" s="27">
        <v>65</v>
      </c>
      <c r="G74" s="27">
        <v>63</v>
      </c>
      <c r="H74" s="27">
        <v>44</v>
      </c>
      <c r="I74" s="27">
        <v>25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66">
        <v>0</v>
      </c>
    </row>
    <row r="75" spans="1:15" x14ac:dyDescent="0.2">
      <c r="A75" s="45" t="s">
        <v>113</v>
      </c>
      <c r="B75" s="27">
        <f t="shared" si="2"/>
        <v>126</v>
      </c>
      <c r="C75" s="27">
        <v>26</v>
      </c>
      <c r="D75" s="27">
        <v>27</v>
      </c>
      <c r="E75" s="27">
        <v>25</v>
      </c>
      <c r="F75" s="27">
        <v>26</v>
      </c>
      <c r="G75" s="27">
        <v>22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66">
        <v>0</v>
      </c>
    </row>
    <row r="76" spans="1:15" x14ac:dyDescent="0.2">
      <c r="A76" s="46" t="s">
        <v>61</v>
      </c>
      <c r="B76" s="28">
        <f t="shared" si="2"/>
        <v>813</v>
      </c>
      <c r="C76" s="28">
        <v>78</v>
      </c>
      <c r="D76" s="28">
        <v>78</v>
      </c>
      <c r="E76" s="28">
        <v>78</v>
      </c>
      <c r="F76" s="28">
        <v>78</v>
      </c>
      <c r="G76" s="28">
        <v>78</v>
      </c>
      <c r="H76" s="28">
        <v>80</v>
      </c>
      <c r="I76" s="28">
        <v>105</v>
      </c>
      <c r="J76" s="28">
        <v>99</v>
      </c>
      <c r="K76" s="28">
        <v>79</v>
      </c>
      <c r="L76" s="28">
        <v>60</v>
      </c>
      <c r="M76" s="28">
        <v>0</v>
      </c>
      <c r="N76" s="28">
        <v>0</v>
      </c>
      <c r="O76" s="67">
        <v>0</v>
      </c>
    </row>
    <row r="77" spans="1:15" x14ac:dyDescent="0.2">
      <c r="A77" s="45" t="s">
        <v>62</v>
      </c>
      <c r="B77" s="27">
        <f t="shared" si="2"/>
        <v>161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62</v>
      </c>
      <c r="M77" s="27">
        <v>36</v>
      </c>
      <c r="N77" s="27">
        <v>33</v>
      </c>
      <c r="O77" s="66">
        <v>30</v>
      </c>
    </row>
    <row r="78" spans="1:15" x14ac:dyDescent="0.2">
      <c r="A78" s="45" t="s">
        <v>63</v>
      </c>
      <c r="B78" s="27">
        <f t="shared" si="2"/>
        <v>254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134</v>
      </c>
      <c r="O78" s="66">
        <v>120</v>
      </c>
    </row>
    <row r="79" spans="1:15" x14ac:dyDescent="0.2">
      <c r="A79" s="45" t="s">
        <v>64</v>
      </c>
      <c r="B79" s="27">
        <f t="shared" si="2"/>
        <v>188</v>
      </c>
      <c r="C79" s="27">
        <v>20</v>
      </c>
      <c r="D79" s="27">
        <v>20</v>
      </c>
      <c r="E79" s="27">
        <v>21</v>
      </c>
      <c r="F79" s="27">
        <v>23</v>
      </c>
      <c r="G79" s="27">
        <v>22</v>
      </c>
      <c r="H79" s="27">
        <v>22</v>
      </c>
      <c r="I79" s="27">
        <v>22</v>
      </c>
      <c r="J79" s="27">
        <v>18</v>
      </c>
      <c r="K79" s="27">
        <v>20</v>
      </c>
      <c r="L79" s="27">
        <v>0</v>
      </c>
      <c r="M79" s="27">
        <v>0</v>
      </c>
      <c r="N79" s="27">
        <v>0</v>
      </c>
      <c r="O79" s="66">
        <v>0</v>
      </c>
    </row>
    <row r="80" spans="1:15" x14ac:dyDescent="0.2">
      <c r="A80" s="45" t="s">
        <v>65</v>
      </c>
      <c r="B80" s="27">
        <f t="shared" si="2"/>
        <v>626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104</v>
      </c>
      <c r="K80" s="27">
        <v>105</v>
      </c>
      <c r="L80" s="27">
        <v>132</v>
      </c>
      <c r="M80" s="27">
        <v>109</v>
      </c>
      <c r="N80" s="27">
        <v>95</v>
      </c>
      <c r="O80" s="66">
        <v>81</v>
      </c>
    </row>
    <row r="81" spans="1:15" x14ac:dyDescent="0.2">
      <c r="A81" s="46" t="s">
        <v>66</v>
      </c>
      <c r="B81" s="28">
        <f t="shared" si="2"/>
        <v>727</v>
      </c>
      <c r="C81" s="28">
        <v>75</v>
      </c>
      <c r="D81" s="28">
        <v>75</v>
      </c>
      <c r="E81" s="28">
        <v>75</v>
      </c>
      <c r="F81" s="28">
        <v>99</v>
      </c>
      <c r="G81" s="28">
        <v>101</v>
      </c>
      <c r="H81" s="28">
        <v>100</v>
      </c>
      <c r="I81" s="28">
        <v>75</v>
      </c>
      <c r="J81" s="28">
        <v>61</v>
      </c>
      <c r="K81" s="28">
        <v>47</v>
      </c>
      <c r="L81" s="28">
        <v>19</v>
      </c>
      <c r="M81" s="28">
        <v>0</v>
      </c>
      <c r="N81" s="28">
        <v>0</v>
      </c>
      <c r="O81" s="67">
        <v>0</v>
      </c>
    </row>
    <row r="82" spans="1:15" x14ac:dyDescent="0.2">
      <c r="A82" s="45" t="s">
        <v>67</v>
      </c>
      <c r="B82" s="27">
        <f t="shared" si="2"/>
        <v>993</v>
      </c>
      <c r="C82" s="27">
        <v>108</v>
      </c>
      <c r="D82" s="27">
        <v>80</v>
      </c>
      <c r="E82" s="27">
        <v>79</v>
      </c>
      <c r="F82" s="27">
        <v>78</v>
      </c>
      <c r="G82" s="27">
        <v>78</v>
      </c>
      <c r="H82" s="27">
        <v>78</v>
      </c>
      <c r="I82" s="27">
        <v>101</v>
      </c>
      <c r="J82" s="27">
        <v>102</v>
      </c>
      <c r="K82" s="27">
        <v>92</v>
      </c>
      <c r="L82" s="27">
        <v>85</v>
      </c>
      <c r="M82" s="27">
        <v>54</v>
      </c>
      <c r="N82" s="27">
        <v>39</v>
      </c>
      <c r="O82" s="66">
        <v>19</v>
      </c>
    </row>
    <row r="83" spans="1:15" x14ac:dyDescent="0.2">
      <c r="A83" s="45" t="s">
        <v>68</v>
      </c>
      <c r="B83" s="27">
        <f t="shared" si="2"/>
        <v>460</v>
      </c>
      <c r="C83" s="27">
        <v>72</v>
      </c>
      <c r="D83" s="27">
        <v>58</v>
      </c>
      <c r="E83" s="27">
        <v>48</v>
      </c>
      <c r="F83" s="27">
        <v>48</v>
      </c>
      <c r="G83" s="27">
        <v>44</v>
      </c>
      <c r="H83" s="27">
        <v>46</v>
      </c>
      <c r="I83" s="27">
        <v>38</v>
      </c>
      <c r="J83" s="27">
        <v>23</v>
      </c>
      <c r="K83" s="27">
        <v>27</v>
      </c>
      <c r="L83" s="27">
        <v>23</v>
      </c>
      <c r="M83" s="27">
        <v>18</v>
      </c>
      <c r="N83" s="27">
        <v>14</v>
      </c>
      <c r="O83" s="66">
        <v>1</v>
      </c>
    </row>
    <row r="84" spans="1:15" x14ac:dyDescent="0.2">
      <c r="A84" s="45" t="s">
        <v>107</v>
      </c>
      <c r="B84" s="27">
        <f t="shared" si="2"/>
        <v>643</v>
      </c>
      <c r="C84" s="27">
        <v>46</v>
      </c>
      <c r="D84" s="27">
        <v>54</v>
      </c>
      <c r="E84" s="27">
        <v>52</v>
      </c>
      <c r="F84" s="27">
        <v>52</v>
      </c>
      <c r="G84" s="27">
        <v>52</v>
      </c>
      <c r="H84" s="27">
        <v>76</v>
      </c>
      <c r="I84" s="27">
        <v>78</v>
      </c>
      <c r="J84" s="27">
        <v>85</v>
      </c>
      <c r="K84" s="27">
        <v>77</v>
      </c>
      <c r="L84" s="27">
        <v>71</v>
      </c>
      <c r="M84" s="27">
        <v>0</v>
      </c>
      <c r="N84" s="27">
        <v>0</v>
      </c>
      <c r="O84" s="66">
        <v>0</v>
      </c>
    </row>
    <row r="85" spans="1:15" x14ac:dyDescent="0.2">
      <c r="A85" s="45" t="s">
        <v>69</v>
      </c>
      <c r="B85" s="27">
        <f t="shared" si="2"/>
        <v>490</v>
      </c>
      <c r="C85" s="27">
        <v>75</v>
      </c>
      <c r="D85" s="27">
        <v>71</v>
      </c>
      <c r="E85" s="27">
        <v>71</v>
      </c>
      <c r="F85" s="27">
        <v>77</v>
      </c>
      <c r="G85" s="27">
        <v>72</v>
      </c>
      <c r="H85" s="27">
        <v>70</v>
      </c>
      <c r="I85" s="27">
        <v>54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66">
        <v>0</v>
      </c>
    </row>
    <row r="86" spans="1:15" x14ac:dyDescent="0.2">
      <c r="A86" s="46" t="s">
        <v>70</v>
      </c>
      <c r="B86" s="28">
        <f t="shared" si="2"/>
        <v>601</v>
      </c>
      <c r="C86" s="28">
        <v>0</v>
      </c>
      <c r="D86" s="28">
        <v>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28</v>
      </c>
      <c r="K86" s="28">
        <v>32</v>
      </c>
      <c r="L86" s="28">
        <v>198</v>
      </c>
      <c r="M86" s="28">
        <v>142</v>
      </c>
      <c r="N86" s="28">
        <v>118</v>
      </c>
      <c r="O86" s="67">
        <v>83</v>
      </c>
    </row>
    <row r="87" spans="1:15" x14ac:dyDescent="0.2">
      <c r="A87" s="45" t="s">
        <v>71</v>
      </c>
      <c r="B87" s="27">
        <f t="shared" si="2"/>
        <v>78</v>
      </c>
      <c r="C87" s="27">
        <v>17</v>
      </c>
      <c r="D87" s="27">
        <v>17</v>
      </c>
      <c r="E87" s="27">
        <v>14</v>
      </c>
      <c r="F87" s="27">
        <v>10</v>
      </c>
      <c r="G87" s="27">
        <v>9</v>
      </c>
      <c r="H87" s="27">
        <v>6</v>
      </c>
      <c r="I87" s="27">
        <v>5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66">
        <v>0</v>
      </c>
    </row>
    <row r="88" spans="1:15" x14ac:dyDescent="0.2">
      <c r="A88" s="45" t="s">
        <v>72</v>
      </c>
      <c r="B88" s="27">
        <f t="shared" si="2"/>
        <v>741</v>
      </c>
      <c r="C88" s="27">
        <v>75</v>
      </c>
      <c r="D88" s="27">
        <v>75</v>
      </c>
      <c r="E88" s="27">
        <v>75</v>
      </c>
      <c r="F88" s="27">
        <v>75</v>
      </c>
      <c r="G88" s="27">
        <v>75</v>
      </c>
      <c r="H88" s="27">
        <v>75</v>
      </c>
      <c r="I88" s="27">
        <v>78</v>
      </c>
      <c r="J88" s="27">
        <v>78</v>
      </c>
      <c r="K88" s="27">
        <v>69</v>
      </c>
      <c r="L88" s="27">
        <v>66</v>
      </c>
      <c r="M88" s="27">
        <v>0</v>
      </c>
      <c r="N88" s="27">
        <v>0</v>
      </c>
      <c r="O88" s="66">
        <v>0</v>
      </c>
    </row>
    <row r="89" spans="1:15" x14ac:dyDescent="0.2">
      <c r="A89" s="45" t="s">
        <v>73</v>
      </c>
      <c r="B89" s="27">
        <f t="shared" si="2"/>
        <v>747</v>
      </c>
      <c r="C89" s="27">
        <v>73</v>
      </c>
      <c r="D89" s="27">
        <v>81</v>
      </c>
      <c r="E89" s="27">
        <v>80</v>
      </c>
      <c r="F89" s="27">
        <v>81</v>
      </c>
      <c r="G89" s="27">
        <v>108</v>
      </c>
      <c r="H89" s="27">
        <v>100</v>
      </c>
      <c r="I89" s="27">
        <v>95</v>
      </c>
      <c r="J89" s="27">
        <v>60</v>
      </c>
      <c r="K89" s="27">
        <v>43</v>
      </c>
      <c r="L89" s="27">
        <v>26</v>
      </c>
      <c r="M89" s="27">
        <v>0</v>
      </c>
      <c r="N89" s="27">
        <v>0</v>
      </c>
      <c r="O89" s="66">
        <v>0</v>
      </c>
    </row>
    <row r="90" spans="1:15" x14ac:dyDescent="0.2">
      <c r="A90" s="45" t="s">
        <v>74</v>
      </c>
      <c r="B90" s="27">
        <f t="shared" si="2"/>
        <v>533</v>
      </c>
      <c r="C90" s="27">
        <v>54</v>
      </c>
      <c r="D90" s="27">
        <v>56</v>
      </c>
      <c r="E90" s="27">
        <v>77</v>
      </c>
      <c r="F90" s="27">
        <v>54</v>
      </c>
      <c r="G90" s="27">
        <v>54</v>
      </c>
      <c r="H90" s="27">
        <v>52</v>
      </c>
      <c r="I90" s="27">
        <v>52</v>
      </c>
      <c r="J90" s="27">
        <v>53</v>
      </c>
      <c r="K90" s="27">
        <v>47</v>
      </c>
      <c r="L90" s="27">
        <v>34</v>
      </c>
      <c r="M90" s="27">
        <v>0</v>
      </c>
      <c r="N90" s="27">
        <v>0</v>
      </c>
      <c r="O90" s="66">
        <v>0</v>
      </c>
    </row>
    <row r="91" spans="1:15" x14ac:dyDescent="0.2">
      <c r="A91" s="46" t="s">
        <v>126</v>
      </c>
      <c r="B91" s="28">
        <f t="shared" si="2"/>
        <v>448</v>
      </c>
      <c r="C91" s="28">
        <v>0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168</v>
      </c>
      <c r="N91" s="28">
        <v>156</v>
      </c>
      <c r="O91" s="67">
        <v>124</v>
      </c>
    </row>
    <row r="92" spans="1:15" x14ac:dyDescent="0.2">
      <c r="A92" s="45" t="s">
        <v>75</v>
      </c>
      <c r="B92" s="27">
        <f t="shared" si="2"/>
        <v>586</v>
      </c>
      <c r="C92" s="27">
        <v>85</v>
      </c>
      <c r="D92" s="27">
        <v>84</v>
      </c>
      <c r="E92" s="27">
        <v>86</v>
      </c>
      <c r="F92" s="27">
        <v>84</v>
      </c>
      <c r="G92" s="27">
        <v>87</v>
      </c>
      <c r="H92" s="27">
        <v>87</v>
      </c>
      <c r="I92" s="27">
        <v>73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66">
        <v>0</v>
      </c>
    </row>
    <row r="93" spans="1:15" x14ac:dyDescent="0.2">
      <c r="A93" s="45" t="s">
        <v>76</v>
      </c>
      <c r="B93" s="27">
        <f t="shared" si="2"/>
        <v>1009</v>
      </c>
      <c r="C93" s="27">
        <v>104</v>
      </c>
      <c r="D93" s="27">
        <v>109</v>
      </c>
      <c r="E93" s="27">
        <v>107</v>
      </c>
      <c r="F93" s="27">
        <v>110</v>
      </c>
      <c r="G93" s="27">
        <v>112</v>
      </c>
      <c r="H93" s="27">
        <v>108</v>
      </c>
      <c r="I93" s="27">
        <v>108</v>
      </c>
      <c r="J93" s="27">
        <v>101</v>
      </c>
      <c r="K93" s="27">
        <v>73</v>
      </c>
      <c r="L93" s="27">
        <v>77</v>
      </c>
      <c r="M93" s="27">
        <v>0</v>
      </c>
      <c r="N93" s="27">
        <v>0</v>
      </c>
      <c r="O93" s="66">
        <v>0</v>
      </c>
    </row>
    <row r="94" spans="1:15" x14ac:dyDescent="0.2">
      <c r="A94" s="45" t="s">
        <v>77</v>
      </c>
      <c r="B94" s="27">
        <f t="shared" si="2"/>
        <v>510</v>
      </c>
      <c r="C94" s="27">
        <v>52</v>
      </c>
      <c r="D94" s="27">
        <v>52</v>
      </c>
      <c r="E94" s="27">
        <v>52</v>
      </c>
      <c r="F94" s="27">
        <v>52</v>
      </c>
      <c r="G94" s="27">
        <v>51</v>
      </c>
      <c r="H94" s="27">
        <v>50</v>
      </c>
      <c r="I94" s="27">
        <v>52</v>
      </c>
      <c r="J94" s="27">
        <v>54</v>
      </c>
      <c r="K94" s="27">
        <v>54</v>
      </c>
      <c r="L94" s="27">
        <v>41</v>
      </c>
      <c r="M94" s="27">
        <v>0</v>
      </c>
      <c r="N94" s="27">
        <v>0</v>
      </c>
      <c r="O94" s="66">
        <v>0</v>
      </c>
    </row>
    <row r="95" spans="1:15" ht="12" thickBot="1" x14ac:dyDescent="0.25">
      <c r="A95" s="47" t="s">
        <v>78</v>
      </c>
      <c r="B95" s="48">
        <f t="shared" si="2"/>
        <v>506</v>
      </c>
      <c r="C95" s="48">
        <v>90</v>
      </c>
      <c r="D95" s="48">
        <v>106</v>
      </c>
      <c r="E95" s="48">
        <v>70</v>
      </c>
      <c r="F95" s="48">
        <v>55</v>
      </c>
      <c r="G95" s="48">
        <v>75</v>
      </c>
      <c r="H95" s="48">
        <v>53</v>
      </c>
      <c r="I95" s="48">
        <v>57</v>
      </c>
      <c r="J95" s="48">
        <v>0</v>
      </c>
      <c r="K95" s="48">
        <v>0</v>
      </c>
      <c r="L95" s="48">
        <v>0</v>
      </c>
      <c r="M95" s="48">
        <v>0</v>
      </c>
      <c r="N95" s="48">
        <v>0</v>
      </c>
      <c r="O95" s="68">
        <v>0</v>
      </c>
    </row>
    <row r="96" spans="1:15" ht="15" customHeight="1" x14ac:dyDescent="0.2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</row>
    <row r="97" spans="1:15" ht="18" x14ac:dyDescent="0.2">
      <c r="A97" s="60" t="s">
        <v>109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</row>
    <row r="98" spans="1:15" ht="18.75" thickBot="1" x14ac:dyDescent="0.25">
      <c r="A98" s="56" t="s">
        <v>110</v>
      </c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</row>
    <row r="99" spans="1:15" ht="23.25" thickBot="1" x14ac:dyDescent="0.25">
      <c r="A99" s="38" t="s">
        <v>23</v>
      </c>
      <c r="B99" s="37" t="s">
        <v>1</v>
      </c>
      <c r="C99" s="24" t="s">
        <v>2</v>
      </c>
      <c r="D99" s="16">
        <v>1</v>
      </c>
      <c r="E99" s="17">
        <v>2</v>
      </c>
      <c r="F99" s="16">
        <v>3</v>
      </c>
      <c r="G99" s="17">
        <v>4</v>
      </c>
      <c r="H99" s="16">
        <v>5</v>
      </c>
      <c r="I99" s="17">
        <v>6</v>
      </c>
      <c r="J99" s="16">
        <v>7</v>
      </c>
      <c r="K99" s="17">
        <v>8</v>
      </c>
      <c r="L99" s="16">
        <v>9</v>
      </c>
      <c r="M99" s="17">
        <v>10</v>
      </c>
      <c r="N99" s="16">
        <v>11</v>
      </c>
      <c r="O99" s="18">
        <v>12</v>
      </c>
    </row>
    <row r="100" spans="1:15" x14ac:dyDescent="0.2">
      <c r="A100" s="49" t="s">
        <v>79</v>
      </c>
      <c r="B100" s="69">
        <f t="shared" ref="B100:B133" si="3">SUM(C100:O100)</f>
        <v>1042</v>
      </c>
      <c r="C100" s="69">
        <v>104</v>
      </c>
      <c r="D100" s="69">
        <v>107</v>
      </c>
      <c r="E100" s="69">
        <v>105</v>
      </c>
      <c r="F100" s="69">
        <v>106</v>
      </c>
      <c r="G100" s="69">
        <v>103</v>
      </c>
      <c r="H100" s="69">
        <v>111</v>
      </c>
      <c r="I100" s="69">
        <v>105</v>
      </c>
      <c r="J100" s="69">
        <v>106</v>
      </c>
      <c r="K100" s="69">
        <v>102</v>
      </c>
      <c r="L100" s="69">
        <v>93</v>
      </c>
      <c r="M100" s="69">
        <v>0</v>
      </c>
      <c r="N100" s="69">
        <v>0</v>
      </c>
      <c r="O100" s="70">
        <v>0</v>
      </c>
    </row>
    <row r="101" spans="1:15" x14ac:dyDescent="0.2">
      <c r="A101" s="45" t="s">
        <v>80</v>
      </c>
      <c r="B101" s="27">
        <f t="shared" si="3"/>
        <v>384</v>
      </c>
      <c r="C101" s="27">
        <v>50</v>
      </c>
      <c r="D101" s="27">
        <v>56</v>
      </c>
      <c r="E101" s="27">
        <v>50</v>
      </c>
      <c r="F101" s="27">
        <v>63</v>
      </c>
      <c r="G101" s="27">
        <v>48</v>
      </c>
      <c r="H101" s="27">
        <v>28</v>
      </c>
      <c r="I101" s="27">
        <v>41</v>
      </c>
      <c r="J101" s="27">
        <v>24</v>
      </c>
      <c r="K101" s="27">
        <v>24</v>
      </c>
      <c r="L101" s="27">
        <v>0</v>
      </c>
      <c r="M101" s="27">
        <v>0</v>
      </c>
      <c r="N101" s="27">
        <v>0</v>
      </c>
      <c r="O101" s="66">
        <v>0</v>
      </c>
    </row>
    <row r="102" spans="1:15" s="7" customFormat="1" x14ac:dyDescent="0.2">
      <c r="A102" s="45" t="s">
        <v>120</v>
      </c>
      <c r="B102" s="27">
        <f t="shared" si="3"/>
        <v>328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76</v>
      </c>
      <c r="M102" s="27">
        <v>102</v>
      </c>
      <c r="N102" s="27">
        <v>105</v>
      </c>
      <c r="O102" s="66">
        <v>45</v>
      </c>
    </row>
    <row r="103" spans="1:15" x14ac:dyDescent="0.2">
      <c r="A103" s="45" t="s">
        <v>81</v>
      </c>
      <c r="B103" s="27">
        <f t="shared" si="3"/>
        <v>711</v>
      </c>
      <c r="C103" s="27">
        <v>87</v>
      </c>
      <c r="D103" s="27">
        <v>105</v>
      </c>
      <c r="E103" s="27">
        <v>97</v>
      </c>
      <c r="F103" s="27">
        <v>104</v>
      </c>
      <c r="G103" s="27">
        <v>80</v>
      </c>
      <c r="H103" s="27">
        <v>73</v>
      </c>
      <c r="I103" s="27">
        <v>66</v>
      </c>
      <c r="J103" s="27">
        <v>42</v>
      </c>
      <c r="K103" s="27">
        <v>30</v>
      </c>
      <c r="L103" s="27">
        <v>27</v>
      </c>
      <c r="M103" s="27">
        <v>0</v>
      </c>
      <c r="N103" s="27">
        <v>0</v>
      </c>
      <c r="O103" s="66">
        <v>0</v>
      </c>
    </row>
    <row r="104" spans="1:15" x14ac:dyDescent="0.2">
      <c r="A104" s="46" t="s">
        <v>82</v>
      </c>
      <c r="B104" s="28">
        <f t="shared" si="3"/>
        <v>561</v>
      </c>
      <c r="C104" s="28">
        <v>0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136</v>
      </c>
      <c r="M104" s="28">
        <v>152</v>
      </c>
      <c r="N104" s="28">
        <v>142</v>
      </c>
      <c r="O104" s="67">
        <v>131</v>
      </c>
    </row>
    <row r="105" spans="1:15" x14ac:dyDescent="0.2">
      <c r="A105" s="45" t="s">
        <v>83</v>
      </c>
      <c r="B105" s="27">
        <f t="shared" si="3"/>
        <v>520</v>
      </c>
      <c r="C105" s="27">
        <v>31</v>
      </c>
      <c r="D105" s="27">
        <v>26</v>
      </c>
      <c r="E105" s="27">
        <v>38</v>
      </c>
      <c r="F105" s="27">
        <v>34</v>
      </c>
      <c r="G105" s="27">
        <v>36</v>
      </c>
      <c r="H105" s="27">
        <v>33</v>
      </c>
      <c r="I105" s="27">
        <v>42</v>
      </c>
      <c r="J105" s="27">
        <v>49</v>
      </c>
      <c r="K105" s="27">
        <v>60</v>
      </c>
      <c r="L105" s="27">
        <v>42</v>
      </c>
      <c r="M105" s="27">
        <v>43</v>
      </c>
      <c r="N105" s="27">
        <v>47</v>
      </c>
      <c r="O105" s="66">
        <v>39</v>
      </c>
    </row>
    <row r="106" spans="1:15" x14ac:dyDescent="0.2">
      <c r="A106" s="45" t="s">
        <v>84</v>
      </c>
      <c r="B106" s="27">
        <f t="shared" si="3"/>
        <v>1416</v>
      </c>
      <c r="C106" s="27">
        <v>125</v>
      </c>
      <c r="D106" s="27">
        <v>125</v>
      </c>
      <c r="E106" s="27">
        <v>125</v>
      </c>
      <c r="F106" s="27">
        <v>127</v>
      </c>
      <c r="G106" s="27">
        <v>125</v>
      </c>
      <c r="H106" s="27">
        <v>130</v>
      </c>
      <c r="I106" s="27">
        <v>218</v>
      </c>
      <c r="J106" s="27">
        <v>217</v>
      </c>
      <c r="K106" s="27">
        <v>156</v>
      </c>
      <c r="L106" s="27">
        <v>68</v>
      </c>
      <c r="M106" s="27">
        <v>0</v>
      </c>
      <c r="N106" s="27">
        <v>0</v>
      </c>
      <c r="O106" s="66">
        <v>0</v>
      </c>
    </row>
    <row r="107" spans="1:15" x14ac:dyDescent="0.2">
      <c r="A107" s="45" t="s">
        <v>85</v>
      </c>
      <c r="B107" s="27">
        <f t="shared" si="3"/>
        <v>538</v>
      </c>
      <c r="C107" s="27">
        <v>75</v>
      </c>
      <c r="D107" s="27">
        <v>75</v>
      </c>
      <c r="E107" s="27">
        <v>67</v>
      </c>
      <c r="F107" s="27">
        <v>79</v>
      </c>
      <c r="G107" s="27">
        <v>59</v>
      </c>
      <c r="H107" s="27">
        <v>59</v>
      </c>
      <c r="I107" s="27">
        <v>59</v>
      </c>
      <c r="J107" s="27">
        <v>29</v>
      </c>
      <c r="K107" s="27">
        <v>36</v>
      </c>
      <c r="L107" s="27">
        <v>0</v>
      </c>
      <c r="M107" s="27">
        <v>0</v>
      </c>
      <c r="N107" s="27">
        <v>0</v>
      </c>
      <c r="O107" s="66">
        <v>0</v>
      </c>
    </row>
    <row r="108" spans="1:15" x14ac:dyDescent="0.2">
      <c r="A108" s="45" t="s">
        <v>86</v>
      </c>
      <c r="B108" s="27">
        <f t="shared" si="3"/>
        <v>753</v>
      </c>
      <c r="C108" s="27">
        <v>104</v>
      </c>
      <c r="D108" s="27">
        <v>107</v>
      </c>
      <c r="E108" s="27">
        <v>108</v>
      </c>
      <c r="F108" s="27">
        <v>106</v>
      </c>
      <c r="G108" s="27">
        <v>92</v>
      </c>
      <c r="H108" s="27">
        <v>99</v>
      </c>
      <c r="I108" s="27">
        <v>73</v>
      </c>
      <c r="J108" s="27">
        <v>42</v>
      </c>
      <c r="K108" s="27">
        <v>22</v>
      </c>
      <c r="L108" s="27">
        <v>0</v>
      </c>
      <c r="M108" s="27">
        <v>0</v>
      </c>
      <c r="N108" s="27">
        <v>0</v>
      </c>
      <c r="O108" s="66">
        <v>0</v>
      </c>
    </row>
    <row r="109" spans="1:15" x14ac:dyDescent="0.2">
      <c r="A109" s="46" t="s">
        <v>87</v>
      </c>
      <c r="B109" s="28">
        <f t="shared" si="3"/>
        <v>362</v>
      </c>
      <c r="C109" s="28">
        <v>52</v>
      </c>
      <c r="D109" s="28">
        <v>52</v>
      </c>
      <c r="E109" s="28">
        <v>52</v>
      </c>
      <c r="F109" s="28">
        <v>52</v>
      </c>
      <c r="G109" s="28">
        <v>52</v>
      </c>
      <c r="H109" s="28">
        <v>52</v>
      </c>
      <c r="I109" s="28">
        <v>50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67">
        <v>0</v>
      </c>
    </row>
    <row r="110" spans="1:15" x14ac:dyDescent="0.2">
      <c r="A110" s="44" t="s">
        <v>88</v>
      </c>
      <c r="B110" s="39">
        <f t="shared" si="3"/>
        <v>675</v>
      </c>
      <c r="C110" s="39">
        <v>80</v>
      </c>
      <c r="D110" s="39">
        <v>79</v>
      </c>
      <c r="E110" s="39">
        <v>78</v>
      </c>
      <c r="F110" s="39">
        <v>79</v>
      </c>
      <c r="G110" s="39">
        <v>77</v>
      </c>
      <c r="H110" s="39">
        <v>81</v>
      </c>
      <c r="I110" s="39">
        <v>79</v>
      </c>
      <c r="J110" s="39">
        <v>62</v>
      </c>
      <c r="K110" s="39">
        <v>60</v>
      </c>
      <c r="L110" s="39">
        <v>0</v>
      </c>
      <c r="M110" s="39">
        <v>0</v>
      </c>
      <c r="N110" s="39">
        <v>0</v>
      </c>
      <c r="O110" s="71">
        <v>0</v>
      </c>
    </row>
    <row r="111" spans="1:15" x14ac:dyDescent="0.2">
      <c r="A111" s="45" t="s">
        <v>89</v>
      </c>
      <c r="B111" s="27">
        <f t="shared" si="3"/>
        <v>679</v>
      </c>
      <c r="C111" s="27">
        <v>100</v>
      </c>
      <c r="D111" s="27">
        <v>76</v>
      </c>
      <c r="E111" s="27">
        <v>81</v>
      </c>
      <c r="F111" s="27">
        <v>79</v>
      </c>
      <c r="G111" s="27">
        <v>71</v>
      </c>
      <c r="H111" s="27">
        <v>75</v>
      </c>
      <c r="I111" s="27">
        <v>76</v>
      </c>
      <c r="J111" s="27">
        <v>47</v>
      </c>
      <c r="K111" s="27">
        <v>50</v>
      </c>
      <c r="L111" s="27">
        <v>24</v>
      </c>
      <c r="M111" s="27">
        <v>0</v>
      </c>
      <c r="N111" s="27">
        <v>0</v>
      </c>
      <c r="O111" s="66">
        <v>0</v>
      </c>
    </row>
    <row r="112" spans="1:15" x14ac:dyDescent="0.2">
      <c r="A112" s="45" t="s">
        <v>90</v>
      </c>
      <c r="B112" s="27">
        <f t="shared" si="3"/>
        <v>594</v>
      </c>
      <c r="C112" s="27">
        <v>0</v>
      </c>
      <c r="D112" s="27">
        <v>0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200</v>
      </c>
      <c r="K112" s="27">
        <v>153</v>
      </c>
      <c r="L112" s="27">
        <v>67</v>
      </c>
      <c r="M112" s="27">
        <v>64</v>
      </c>
      <c r="N112" s="27">
        <v>62</v>
      </c>
      <c r="O112" s="66">
        <v>48</v>
      </c>
    </row>
    <row r="113" spans="1:15" x14ac:dyDescent="0.2">
      <c r="A113" s="45" t="s">
        <v>91</v>
      </c>
      <c r="B113" s="27">
        <f t="shared" si="3"/>
        <v>300</v>
      </c>
      <c r="C113" s="27">
        <v>0</v>
      </c>
      <c r="D113" s="27">
        <v>0</v>
      </c>
      <c r="E113" s="27">
        <v>0</v>
      </c>
      <c r="F113" s="27">
        <v>0</v>
      </c>
      <c r="G113" s="27">
        <v>0</v>
      </c>
      <c r="H113" s="27">
        <v>76</v>
      </c>
      <c r="I113" s="27">
        <v>74</v>
      </c>
      <c r="J113" s="27">
        <v>81</v>
      </c>
      <c r="K113" s="27">
        <v>69</v>
      </c>
      <c r="L113" s="27">
        <v>0</v>
      </c>
      <c r="M113" s="27">
        <v>0</v>
      </c>
      <c r="N113" s="27">
        <v>0</v>
      </c>
      <c r="O113" s="66">
        <v>0</v>
      </c>
    </row>
    <row r="114" spans="1:15" x14ac:dyDescent="0.2">
      <c r="A114" s="46" t="s">
        <v>92</v>
      </c>
      <c r="B114" s="28">
        <f t="shared" si="3"/>
        <v>335</v>
      </c>
      <c r="C114" s="28">
        <v>0</v>
      </c>
      <c r="D114" s="28">
        <v>0</v>
      </c>
      <c r="E114" s="28">
        <v>0</v>
      </c>
      <c r="F114" s="28">
        <v>0</v>
      </c>
      <c r="G114" s="28">
        <v>0</v>
      </c>
      <c r="H114" s="28">
        <v>0</v>
      </c>
      <c r="I114" s="28">
        <v>61</v>
      </c>
      <c r="J114" s="28">
        <v>63</v>
      </c>
      <c r="K114" s="28">
        <v>82</v>
      </c>
      <c r="L114" s="28">
        <v>54</v>
      </c>
      <c r="M114" s="28">
        <v>53</v>
      </c>
      <c r="N114" s="28">
        <v>22</v>
      </c>
      <c r="O114" s="67">
        <v>0</v>
      </c>
    </row>
    <row r="115" spans="1:15" x14ac:dyDescent="0.2">
      <c r="A115" s="44" t="s">
        <v>119</v>
      </c>
      <c r="B115" s="39">
        <f t="shared" si="3"/>
        <v>220</v>
      </c>
      <c r="C115" s="39">
        <v>0</v>
      </c>
      <c r="D115" s="39">
        <v>0</v>
      </c>
      <c r="E115" s="39">
        <v>0</v>
      </c>
      <c r="F115" s="39">
        <v>0</v>
      </c>
      <c r="G115" s="39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77</v>
      </c>
      <c r="M115" s="39">
        <v>49</v>
      </c>
      <c r="N115" s="39">
        <v>47</v>
      </c>
      <c r="O115" s="71">
        <v>47</v>
      </c>
    </row>
    <row r="116" spans="1:15" x14ac:dyDescent="0.2">
      <c r="A116" s="45" t="s">
        <v>93</v>
      </c>
      <c r="B116" s="27">
        <f t="shared" si="3"/>
        <v>246</v>
      </c>
      <c r="C116" s="27">
        <v>40</v>
      </c>
      <c r="D116" s="27">
        <v>35</v>
      </c>
      <c r="E116" s="27">
        <v>30</v>
      </c>
      <c r="F116" s="27">
        <v>30</v>
      </c>
      <c r="G116" s="27">
        <v>26</v>
      </c>
      <c r="H116" s="27">
        <v>29</v>
      </c>
      <c r="I116" s="27">
        <v>30</v>
      </c>
      <c r="J116" s="27">
        <v>17</v>
      </c>
      <c r="K116" s="27">
        <v>9</v>
      </c>
      <c r="L116" s="27">
        <v>0</v>
      </c>
      <c r="M116" s="27">
        <v>0</v>
      </c>
      <c r="N116" s="27">
        <v>0</v>
      </c>
      <c r="O116" s="66">
        <v>0</v>
      </c>
    </row>
    <row r="117" spans="1:15" x14ac:dyDescent="0.2">
      <c r="A117" s="45" t="s">
        <v>94</v>
      </c>
      <c r="B117" s="27">
        <f t="shared" si="3"/>
        <v>404</v>
      </c>
      <c r="C117" s="27">
        <v>42</v>
      </c>
      <c r="D117" s="27">
        <v>27</v>
      </c>
      <c r="E117" s="27">
        <v>31</v>
      </c>
      <c r="F117" s="27">
        <v>33</v>
      </c>
      <c r="G117" s="27">
        <v>34</v>
      </c>
      <c r="H117" s="27">
        <v>35</v>
      </c>
      <c r="I117" s="27">
        <v>42</v>
      </c>
      <c r="J117" s="27">
        <v>37</v>
      </c>
      <c r="K117" s="27">
        <v>41</v>
      </c>
      <c r="L117" s="27">
        <v>29</v>
      </c>
      <c r="M117" s="27">
        <v>33</v>
      </c>
      <c r="N117" s="27">
        <v>20</v>
      </c>
      <c r="O117" s="66">
        <v>0</v>
      </c>
    </row>
    <row r="118" spans="1:15" x14ac:dyDescent="0.2">
      <c r="A118" s="45" t="s">
        <v>95</v>
      </c>
      <c r="B118" s="27">
        <f t="shared" si="3"/>
        <v>347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63</v>
      </c>
      <c r="M118" s="27">
        <v>108</v>
      </c>
      <c r="N118" s="27">
        <v>97</v>
      </c>
      <c r="O118" s="66">
        <v>79</v>
      </c>
    </row>
    <row r="119" spans="1:15" x14ac:dyDescent="0.2">
      <c r="A119" s="46" t="s">
        <v>123</v>
      </c>
      <c r="B119" s="28">
        <f t="shared" si="3"/>
        <v>1003</v>
      </c>
      <c r="C119" s="28">
        <v>97</v>
      </c>
      <c r="D119" s="28">
        <v>104</v>
      </c>
      <c r="E119" s="28">
        <v>104</v>
      </c>
      <c r="F119" s="28">
        <v>104</v>
      </c>
      <c r="G119" s="28">
        <v>104</v>
      </c>
      <c r="H119" s="28">
        <v>104</v>
      </c>
      <c r="I119" s="28">
        <v>128</v>
      </c>
      <c r="J119" s="28">
        <v>129</v>
      </c>
      <c r="K119" s="28">
        <v>129</v>
      </c>
      <c r="L119" s="28">
        <v>0</v>
      </c>
      <c r="M119" s="28">
        <v>0</v>
      </c>
      <c r="N119" s="28">
        <v>0</v>
      </c>
      <c r="O119" s="67">
        <v>0</v>
      </c>
    </row>
    <row r="120" spans="1:15" x14ac:dyDescent="0.2">
      <c r="A120" s="44" t="s">
        <v>96</v>
      </c>
      <c r="B120" s="39">
        <f t="shared" si="3"/>
        <v>284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39">
        <v>0</v>
      </c>
      <c r="K120" s="39">
        <v>0</v>
      </c>
      <c r="L120" s="39">
        <v>160</v>
      </c>
      <c r="M120" s="39">
        <v>80</v>
      </c>
      <c r="N120" s="39">
        <v>41</v>
      </c>
      <c r="O120" s="71">
        <v>3</v>
      </c>
    </row>
    <row r="121" spans="1:15" x14ac:dyDescent="0.2">
      <c r="A121" s="45" t="s">
        <v>97</v>
      </c>
      <c r="B121" s="27">
        <f t="shared" si="3"/>
        <v>1021</v>
      </c>
      <c r="C121" s="27">
        <v>112</v>
      </c>
      <c r="D121" s="27">
        <v>108</v>
      </c>
      <c r="E121" s="27">
        <v>108</v>
      </c>
      <c r="F121" s="27">
        <v>108</v>
      </c>
      <c r="G121" s="27">
        <v>108</v>
      </c>
      <c r="H121" s="27">
        <v>108</v>
      </c>
      <c r="I121" s="27">
        <v>108</v>
      </c>
      <c r="J121" s="27">
        <v>98</v>
      </c>
      <c r="K121" s="27">
        <v>98</v>
      </c>
      <c r="L121" s="27">
        <v>65</v>
      </c>
      <c r="M121" s="27">
        <v>0</v>
      </c>
      <c r="N121" s="27">
        <v>0</v>
      </c>
      <c r="O121" s="66">
        <v>0</v>
      </c>
    </row>
    <row r="122" spans="1:15" x14ac:dyDescent="0.2">
      <c r="A122" s="45" t="s">
        <v>98</v>
      </c>
      <c r="B122" s="27">
        <f t="shared" si="3"/>
        <v>1178</v>
      </c>
      <c r="C122" s="27">
        <v>152</v>
      </c>
      <c r="D122" s="27">
        <v>153</v>
      </c>
      <c r="E122" s="27">
        <v>141</v>
      </c>
      <c r="F122" s="27">
        <v>142</v>
      </c>
      <c r="G122" s="27">
        <v>110</v>
      </c>
      <c r="H122" s="27">
        <v>146</v>
      </c>
      <c r="I122" s="27">
        <v>109</v>
      </c>
      <c r="J122" s="27">
        <v>104</v>
      </c>
      <c r="K122" s="27">
        <v>92</v>
      </c>
      <c r="L122" s="27">
        <v>29</v>
      </c>
      <c r="M122" s="27">
        <v>0</v>
      </c>
      <c r="N122" s="27">
        <v>0</v>
      </c>
      <c r="O122" s="66">
        <v>0</v>
      </c>
    </row>
    <row r="123" spans="1:15" x14ac:dyDescent="0.2">
      <c r="A123" s="45" t="s">
        <v>99</v>
      </c>
      <c r="B123" s="27">
        <f t="shared" si="3"/>
        <v>438</v>
      </c>
      <c r="C123" s="27">
        <v>50</v>
      </c>
      <c r="D123" s="27">
        <v>50</v>
      </c>
      <c r="E123" s="27">
        <v>50</v>
      </c>
      <c r="F123" s="27">
        <v>50</v>
      </c>
      <c r="G123" s="27">
        <v>50</v>
      </c>
      <c r="H123" s="27">
        <v>50</v>
      </c>
      <c r="I123" s="27">
        <v>58</v>
      </c>
      <c r="J123" s="27">
        <v>51</v>
      </c>
      <c r="K123" s="27">
        <v>29</v>
      </c>
      <c r="L123" s="27">
        <v>0</v>
      </c>
      <c r="M123" s="27">
        <v>0</v>
      </c>
      <c r="N123" s="27">
        <v>0</v>
      </c>
      <c r="O123" s="66">
        <v>0</v>
      </c>
    </row>
    <row r="124" spans="1:15" x14ac:dyDescent="0.2">
      <c r="A124" s="45" t="s">
        <v>112</v>
      </c>
      <c r="B124" s="27">
        <f t="shared" si="3"/>
        <v>333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88</v>
      </c>
      <c r="M124" s="27">
        <v>85</v>
      </c>
      <c r="N124" s="27">
        <v>87</v>
      </c>
      <c r="O124" s="66">
        <v>73</v>
      </c>
    </row>
    <row r="125" spans="1:15" x14ac:dyDescent="0.2">
      <c r="A125" s="46" t="s">
        <v>100</v>
      </c>
      <c r="B125" s="28">
        <f t="shared" si="3"/>
        <v>55</v>
      </c>
      <c r="C125" s="28">
        <v>0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12</v>
      </c>
      <c r="M125" s="28">
        <v>15</v>
      </c>
      <c r="N125" s="28">
        <v>15</v>
      </c>
      <c r="O125" s="67">
        <v>13</v>
      </c>
    </row>
    <row r="126" spans="1:15" x14ac:dyDescent="0.2">
      <c r="A126" s="45" t="s">
        <v>127</v>
      </c>
      <c r="B126" s="27">
        <f t="shared" si="3"/>
        <v>279</v>
      </c>
      <c r="C126" s="27">
        <v>11</v>
      </c>
      <c r="D126" s="27">
        <v>16</v>
      </c>
      <c r="E126" s="27">
        <v>15</v>
      </c>
      <c r="F126" s="27">
        <v>13</v>
      </c>
      <c r="G126" s="27">
        <v>24</v>
      </c>
      <c r="H126" s="27">
        <v>22</v>
      </c>
      <c r="I126" s="27">
        <v>24</v>
      </c>
      <c r="J126" s="27">
        <v>27</v>
      </c>
      <c r="K126" s="27">
        <v>29</v>
      </c>
      <c r="L126" s="27">
        <v>51</v>
      </c>
      <c r="M126" s="27">
        <v>20</v>
      </c>
      <c r="N126" s="27">
        <v>18</v>
      </c>
      <c r="O126" s="66">
        <v>9</v>
      </c>
    </row>
    <row r="127" spans="1:15" x14ac:dyDescent="0.2">
      <c r="A127" s="45" t="s">
        <v>128</v>
      </c>
      <c r="B127" s="27">
        <f t="shared" si="3"/>
        <v>388</v>
      </c>
      <c r="C127" s="27">
        <v>0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136</v>
      </c>
      <c r="N127" s="27">
        <v>132</v>
      </c>
      <c r="O127" s="66">
        <v>120</v>
      </c>
    </row>
    <row r="128" spans="1:15" x14ac:dyDescent="0.2">
      <c r="A128" s="45" t="s">
        <v>101</v>
      </c>
      <c r="B128" s="27">
        <f t="shared" si="3"/>
        <v>2000</v>
      </c>
      <c r="C128" s="27">
        <v>138</v>
      </c>
      <c r="D128" s="27">
        <v>143</v>
      </c>
      <c r="E128" s="27">
        <v>112</v>
      </c>
      <c r="F128" s="27">
        <v>128</v>
      </c>
      <c r="G128" s="27">
        <v>161</v>
      </c>
      <c r="H128" s="27">
        <v>158</v>
      </c>
      <c r="I128" s="27">
        <v>161</v>
      </c>
      <c r="J128" s="27">
        <v>185</v>
      </c>
      <c r="K128" s="27">
        <v>263</v>
      </c>
      <c r="L128" s="27">
        <v>207</v>
      </c>
      <c r="M128" s="27">
        <v>150</v>
      </c>
      <c r="N128" s="27">
        <v>119</v>
      </c>
      <c r="O128" s="66">
        <v>75</v>
      </c>
    </row>
    <row r="129" spans="1:15" x14ac:dyDescent="0.2">
      <c r="A129" s="45" t="s">
        <v>102</v>
      </c>
      <c r="B129" s="27">
        <f t="shared" si="3"/>
        <v>488</v>
      </c>
      <c r="C129" s="27">
        <v>50</v>
      </c>
      <c r="D129" s="27">
        <v>49</v>
      </c>
      <c r="E129" s="27">
        <v>51</v>
      </c>
      <c r="F129" s="27">
        <v>52</v>
      </c>
      <c r="G129" s="27">
        <v>48</v>
      </c>
      <c r="H129" s="27">
        <v>50</v>
      </c>
      <c r="I129" s="27">
        <v>50</v>
      </c>
      <c r="J129" s="27">
        <v>49</v>
      </c>
      <c r="K129" s="27">
        <v>45</v>
      </c>
      <c r="L129" s="27">
        <v>44</v>
      </c>
      <c r="M129" s="27">
        <v>0</v>
      </c>
      <c r="N129" s="27">
        <v>0</v>
      </c>
      <c r="O129" s="66">
        <v>0</v>
      </c>
    </row>
    <row r="130" spans="1:15" x14ac:dyDescent="0.2">
      <c r="A130" s="46" t="s">
        <v>114</v>
      </c>
      <c r="B130" s="28">
        <f t="shared" si="3"/>
        <v>862</v>
      </c>
      <c r="C130" s="28">
        <v>100</v>
      </c>
      <c r="D130" s="28">
        <v>103</v>
      </c>
      <c r="E130" s="28">
        <v>112</v>
      </c>
      <c r="F130" s="28">
        <v>76</v>
      </c>
      <c r="G130" s="28">
        <v>104</v>
      </c>
      <c r="H130" s="28">
        <v>101</v>
      </c>
      <c r="I130" s="28">
        <v>104</v>
      </c>
      <c r="J130" s="28">
        <v>100</v>
      </c>
      <c r="K130" s="28">
        <v>62</v>
      </c>
      <c r="L130" s="28">
        <v>0</v>
      </c>
      <c r="M130" s="28">
        <v>0</v>
      </c>
      <c r="N130" s="28">
        <v>0</v>
      </c>
      <c r="O130" s="67">
        <v>0</v>
      </c>
    </row>
    <row r="131" spans="1:15" x14ac:dyDescent="0.2">
      <c r="A131" s="45" t="s">
        <v>111</v>
      </c>
      <c r="B131" s="27">
        <f t="shared" si="3"/>
        <v>338</v>
      </c>
      <c r="C131" s="27">
        <v>37</v>
      </c>
      <c r="D131" s="27">
        <v>42</v>
      </c>
      <c r="E131" s="27">
        <v>24</v>
      </c>
      <c r="F131" s="27">
        <v>33</v>
      </c>
      <c r="G131" s="27">
        <v>17</v>
      </c>
      <c r="H131" s="27">
        <v>27</v>
      </c>
      <c r="I131" s="27">
        <v>22</v>
      </c>
      <c r="J131" s="27">
        <v>24</v>
      </c>
      <c r="K131" s="27">
        <v>18</v>
      </c>
      <c r="L131" s="27">
        <v>27</v>
      </c>
      <c r="M131" s="27">
        <v>20</v>
      </c>
      <c r="N131" s="27">
        <v>25</v>
      </c>
      <c r="O131" s="66">
        <v>22</v>
      </c>
    </row>
    <row r="132" spans="1:15" x14ac:dyDescent="0.2">
      <c r="A132" s="45" t="s">
        <v>103</v>
      </c>
      <c r="B132" s="27">
        <f t="shared" si="3"/>
        <v>375</v>
      </c>
      <c r="C132" s="27">
        <v>51</v>
      </c>
      <c r="D132" s="27">
        <v>51</v>
      </c>
      <c r="E132" s="27">
        <v>51</v>
      </c>
      <c r="F132" s="27">
        <v>50</v>
      </c>
      <c r="G132" s="27">
        <v>50</v>
      </c>
      <c r="H132" s="27">
        <v>49</v>
      </c>
      <c r="I132" s="27">
        <v>73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66">
        <v>0</v>
      </c>
    </row>
    <row r="133" spans="1:15" x14ac:dyDescent="0.2">
      <c r="A133" s="45" t="s">
        <v>118</v>
      </c>
      <c r="B133" s="27">
        <f t="shared" si="3"/>
        <v>535</v>
      </c>
      <c r="C133" s="27">
        <v>51</v>
      </c>
      <c r="D133" s="27">
        <v>75</v>
      </c>
      <c r="E133" s="27">
        <v>65</v>
      </c>
      <c r="F133" s="27">
        <v>75</v>
      </c>
      <c r="G133" s="27">
        <v>72</v>
      </c>
      <c r="H133" s="27">
        <v>67</v>
      </c>
      <c r="I133" s="27">
        <v>50</v>
      </c>
      <c r="J133" s="27">
        <v>47</v>
      </c>
      <c r="K133" s="27">
        <v>33</v>
      </c>
      <c r="L133" s="27">
        <v>0</v>
      </c>
      <c r="M133" s="27">
        <v>0</v>
      </c>
      <c r="N133" s="27">
        <v>0</v>
      </c>
      <c r="O133" s="66">
        <v>0</v>
      </c>
    </row>
    <row r="134" spans="1:15" s="7" customFormat="1" x14ac:dyDescent="0.2">
      <c r="A134" s="40" t="s">
        <v>104</v>
      </c>
      <c r="B134" s="41">
        <f>SUM(B52:B95)+SUM(B100:B133)</f>
        <v>44892</v>
      </c>
      <c r="C134" s="41">
        <f t="shared" ref="C134:O134" si="4">SUM(C52:C95)+SUM(C100:C133)</f>
        <v>4016</v>
      </c>
      <c r="D134" s="41">
        <f t="shared" si="4"/>
        <v>4268</v>
      </c>
      <c r="E134" s="41">
        <f t="shared" si="4"/>
        <v>4146</v>
      </c>
      <c r="F134" s="41">
        <f t="shared" si="4"/>
        <v>4031</v>
      </c>
      <c r="G134" s="41">
        <f t="shared" si="4"/>
        <v>4041</v>
      </c>
      <c r="H134" s="41">
        <f t="shared" si="4"/>
        <v>4042</v>
      </c>
      <c r="I134" s="41">
        <f t="shared" si="4"/>
        <v>4123</v>
      </c>
      <c r="J134" s="41">
        <f t="shared" si="4"/>
        <v>3719</v>
      </c>
      <c r="K134" s="41">
        <f t="shared" si="4"/>
        <v>3449</v>
      </c>
      <c r="L134" s="41">
        <f t="shared" si="4"/>
        <v>3155</v>
      </c>
      <c r="M134" s="41">
        <f t="shared" si="4"/>
        <v>2220</v>
      </c>
      <c r="N134" s="41">
        <f t="shared" si="4"/>
        <v>2070</v>
      </c>
      <c r="O134" s="72">
        <f t="shared" si="4"/>
        <v>1612</v>
      </c>
    </row>
    <row r="135" spans="1:15" s="7" customFormat="1" x14ac:dyDescent="0.2">
      <c r="A135" s="36" t="str">
        <f>A46</f>
        <v>District Total</v>
      </c>
      <c r="B135" s="35">
        <f t="shared" ref="B135:O135" si="5">B46</f>
        <v>542853</v>
      </c>
      <c r="C135" s="25">
        <f t="shared" si="5"/>
        <v>45040</v>
      </c>
      <c r="D135" s="19">
        <f t="shared" si="5"/>
        <v>44747</v>
      </c>
      <c r="E135" s="20">
        <f t="shared" si="5"/>
        <v>44686</v>
      </c>
      <c r="F135" s="19">
        <f t="shared" si="5"/>
        <v>44096</v>
      </c>
      <c r="G135" s="20">
        <f t="shared" si="5"/>
        <v>42774</v>
      </c>
      <c r="H135" s="19">
        <f t="shared" si="5"/>
        <v>42231</v>
      </c>
      <c r="I135" s="20">
        <f t="shared" si="5"/>
        <v>41869</v>
      </c>
      <c r="J135" s="19">
        <f t="shared" si="5"/>
        <v>41516</v>
      </c>
      <c r="K135" s="20">
        <f t="shared" si="5"/>
        <v>40610</v>
      </c>
      <c r="L135" s="19">
        <f t="shared" si="5"/>
        <v>39483</v>
      </c>
      <c r="M135" s="20">
        <f t="shared" si="5"/>
        <v>39300</v>
      </c>
      <c r="N135" s="19">
        <f t="shared" si="5"/>
        <v>38425</v>
      </c>
      <c r="O135" s="21">
        <f t="shared" si="5"/>
        <v>38076</v>
      </c>
    </row>
    <row r="136" spans="1:15" s="22" customFormat="1" ht="12.75" thickBot="1" x14ac:dyDescent="0.25">
      <c r="A136" s="55" t="s">
        <v>105</v>
      </c>
      <c r="B136" s="50">
        <f>SUM(B134:B135)</f>
        <v>587745</v>
      </c>
      <c r="C136" s="51">
        <f>SUM(C134:C135)</f>
        <v>49056</v>
      </c>
      <c r="D136" s="52">
        <f t="shared" ref="D136:O136" si="6">SUM(D134:D135)</f>
        <v>49015</v>
      </c>
      <c r="E136" s="53">
        <f t="shared" si="6"/>
        <v>48832</v>
      </c>
      <c r="F136" s="52">
        <f t="shared" si="6"/>
        <v>48127</v>
      </c>
      <c r="G136" s="53">
        <f t="shared" si="6"/>
        <v>46815</v>
      </c>
      <c r="H136" s="52">
        <f t="shared" si="6"/>
        <v>46273</v>
      </c>
      <c r="I136" s="53">
        <f t="shared" si="6"/>
        <v>45992</v>
      </c>
      <c r="J136" s="52">
        <f t="shared" si="6"/>
        <v>45235</v>
      </c>
      <c r="K136" s="53">
        <f t="shared" si="6"/>
        <v>44059</v>
      </c>
      <c r="L136" s="52">
        <f t="shared" si="6"/>
        <v>42638</v>
      </c>
      <c r="M136" s="53">
        <f t="shared" si="6"/>
        <v>41520</v>
      </c>
      <c r="N136" s="52">
        <f t="shared" si="6"/>
        <v>40495</v>
      </c>
      <c r="O136" s="54">
        <f t="shared" si="6"/>
        <v>39688</v>
      </c>
    </row>
    <row r="137" spans="1:15" ht="3" customHeight="1" thickBot="1" x14ac:dyDescent="0.25">
      <c r="A137" s="12"/>
      <c r="B137" s="31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4"/>
    </row>
  </sheetData>
  <mergeCells count="8">
    <mergeCell ref="A98:O98"/>
    <mergeCell ref="A1:O1"/>
    <mergeCell ref="A2:O2"/>
    <mergeCell ref="A49:O49"/>
    <mergeCell ref="A50:O50"/>
    <mergeCell ref="A97:O97"/>
    <mergeCell ref="A96:O96"/>
    <mergeCell ref="A48:O48"/>
  </mergeCells>
  <pageMargins left="0.82" right="0.25" top="0.75" bottom="0.75" header="0.3" footer="0.3"/>
  <pageSetup scale="90" orientation="landscape" r:id="rId1"/>
  <headerFooter>
    <oddFooter xml:space="preserve">&amp;L&amp;8Compiler: USOE/Data and Statistics
Source: October 2011 Clearinghouse
</oddFooter>
  </headerFooter>
  <rowBreaks count="2" manualBreakCount="2">
    <brk id="48" max="16383" man="1"/>
    <brk id="96" max="16383" man="1"/>
  </rowBreaks>
  <ignoredErrors>
    <ignoredError sqref="D46:O4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Grade</vt:lpstr>
    </vt:vector>
  </TitlesOfParts>
  <Company>USOE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vparriott</dc:creator>
  <cp:lastModifiedBy>Joey DeFilippis</cp:lastModifiedBy>
  <cp:lastPrinted>2011-12-05T18:52:32Z</cp:lastPrinted>
  <dcterms:created xsi:type="dcterms:W3CDTF">2010-11-12T20:09:23Z</dcterms:created>
  <dcterms:modified xsi:type="dcterms:W3CDTF">2011-12-05T18:53:21Z</dcterms:modified>
</cp:coreProperties>
</file>