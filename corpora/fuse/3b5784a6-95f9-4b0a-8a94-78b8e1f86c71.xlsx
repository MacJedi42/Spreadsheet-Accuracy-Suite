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448" windowWidth="9672" windowHeight="577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 fullCalcOnLoad="1"/>
</workbook>
</file>

<file path=xl/calcChain.xml><?xml version="1.0" encoding="utf-8"?>
<calcChain xmlns="http://schemas.openxmlformats.org/spreadsheetml/2006/main">
  <c r="H9" i="6" l="1"/>
  <c r="F9" i="6"/>
  <c r="E9" i="6"/>
  <c r="D9" i="6"/>
  <c r="C9" i="6"/>
  <c r="B9" i="6"/>
  <c r="H7" i="6"/>
  <c r="H6" i="6"/>
  <c r="F7" i="6"/>
  <c r="E7" i="6"/>
  <c r="E6" i="6"/>
  <c r="D7" i="6"/>
  <c r="D6" i="6"/>
  <c r="C7" i="6"/>
  <c r="C6" i="6"/>
  <c r="B7" i="6"/>
  <c r="B6" i="6"/>
  <c r="R6" i="8"/>
  <c r="R5" i="8"/>
  <c r="R4" i="8"/>
  <c r="Q6" i="8"/>
  <c r="D12" i="6"/>
  <c r="Q5" i="8"/>
  <c r="D11" i="6"/>
  <c r="O6" i="8"/>
  <c r="O5" i="8"/>
  <c r="O4" i="8"/>
  <c r="M6" i="8"/>
  <c r="M5" i="8"/>
  <c r="M4" i="8"/>
  <c r="J6" i="8"/>
  <c r="I6" i="8"/>
  <c r="J5" i="8"/>
  <c r="I5" i="8"/>
  <c r="I4" i="8"/>
  <c r="H6" i="8"/>
  <c r="H5" i="8"/>
  <c r="H4" i="8"/>
  <c r="F6" i="8"/>
  <c r="F5" i="8"/>
  <c r="F4" i="8"/>
  <c r="E6" i="8"/>
  <c r="E5" i="8"/>
  <c r="E4" i="8"/>
  <c r="D6" i="8"/>
  <c r="D5" i="8"/>
  <c r="D4" i="8"/>
  <c r="S1058" i="7"/>
  <c r="T1058" i="7"/>
  <c r="U1058" i="7"/>
  <c r="V1058" i="7"/>
  <c r="W1058" i="7"/>
  <c r="X1058" i="7"/>
  <c r="Y1058" i="7"/>
  <c r="B1058" i="7"/>
  <c r="C1058" i="7"/>
  <c r="N5" i="8" s="1"/>
  <c r="C11" i="6" s="1"/>
  <c r="E1058" i="7"/>
  <c r="Q4" i="8"/>
  <c r="F1058" i="7"/>
  <c r="H1058" i="7"/>
  <c r="J1058" i="7"/>
  <c r="K1058" i="7"/>
  <c r="L1058" i="7"/>
  <c r="M1058" i="7"/>
  <c r="N1058" i="7"/>
  <c r="O1058" i="7"/>
  <c r="P1058" i="7"/>
  <c r="I1058" i="1"/>
  <c r="F6" i="6" s="1"/>
  <c r="H1058" i="1"/>
  <c r="E8" i="6"/>
  <c r="E10" i="6"/>
  <c r="C8" i="6"/>
  <c r="C10" i="6"/>
  <c r="S1057" i="7"/>
  <c r="T1057" i="7"/>
  <c r="U1057" i="7"/>
  <c r="V1057" i="7"/>
  <c r="W1057" i="7"/>
  <c r="X1057" i="7"/>
  <c r="Y1057" i="7"/>
  <c r="B1057" i="7"/>
  <c r="C1057" i="7"/>
  <c r="E1057" i="7"/>
  <c r="F1057" i="7"/>
  <c r="H1057" i="7"/>
  <c r="J1057" i="7"/>
  <c r="K1057" i="7"/>
  <c r="L1057" i="7"/>
  <c r="M1057" i="7"/>
  <c r="N1057" i="7"/>
  <c r="O1057" i="7"/>
  <c r="P1057" i="7"/>
  <c r="I1057" i="1"/>
  <c r="H1057" i="1"/>
  <c r="F11" i="8"/>
  <c r="J11" i="8"/>
  <c r="I11" i="8"/>
  <c r="H11" i="8"/>
  <c r="E11" i="8"/>
  <c r="D11" i="8"/>
  <c r="F10" i="8"/>
  <c r="F12" i="8"/>
  <c r="H10" i="8"/>
  <c r="H12" i="8"/>
  <c r="D10" i="8"/>
  <c r="E10" i="8"/>
  <c r="E12" i="8" s="1"/>
  <c r="D12" i="8"/>
  <c r="B11" i="6"/>
  <c r="S1056" i="7"/>
  <c r="T1056" i="7"/>
  <c r="U1056" i="7"/>
  <c r="V1056" i="7"/>
  <c r="W1056" i="7"/>
  <c r="X1056" i="7"/>
  <c r="Y1056" i="7"/>
  <c r="B1056" i="7"/>
  <c r="C1056" i="7"/>
  <c r="E1056" i="7"/>
  <c r="H1056" i="7"/>
  <c r="J1056" i="7"/>
  <c r="K1056" i="7"/>
  <c r="L1056" i="7"/>
  <c r="M1056" i="7"/>
  <c r="N1056" i="7"/>
  <c r="O1056" i="7"/>
  <c r="P1056" i="7"/>
  <c r="H1056" i="1"/>
  <c r="F1056" i="7"/>
  <c r="I10" i="8"/>
  <c r="I12" i="8"/>
  <c r="H8" i="6"/>
  <c r="H10" i="6"/>
  <c r="S1055" i="7"/>
  <c r="T1055" i="7"/>
  <c r="U1055" i="7"/>
  <c r="V1055" i="7"/>
  <c r="W1055" i="7"/>
  <c r="X1055" i="7"/>
  <c r="Y1055" i="7"/>
  <c r="B1055" i="7"/>
  <c r="C1055" i="7"/>
  <c r="E1055" i="7"/>
  <c r="F1055" i="7"/>
  <c r="H1055" i="7"/>
  <c r="J1055" i="7"/>
  <c r="K1055" i="7"/>
  <c r="L1055" i="7"/>
  <c r="M1055" i="7"/>
  <c r="N1055" i="7"/>
  <c r="O1055" i="7"/>
  <c r="P1055" i="7"/>
  <c r="I1055" i="1"/>
  <c r="H1055" i="1"/>
  <c r="S1054" i="7"/>
  <c r="T1054" i="7"/>
  <c r="U1054" i="7"/>
  <c r="V1054" i="7"/>
  <c r="W1054" i="7"/>
  <c r="X1054" i="7"/>
  <c r="Y1054" i="7"/>
  <c r="B1054" i="7"/>
  <c r="C1054" i="7"/>
  <c r="E1054" i="7"/>
  <c r="H1054" i="7"/>
  <c r="J1054" i="7"/>
  <c r="K1054" i="7"/>
  <c r="L1054" i="7"/>
  <c r="M1054" i="7"/>
  <c r="N1054" i="7"/>
  <c r="O1054" i="7"/>
  <c r="P1054" i="7"/>
  <c r="H1054" i="1"/>
  <c r="F1054" i="7"/>
  <c r="I1054" i="1"/>
  <c r="B1053" i="7"/>
  <c r="C1053" i="7"/>
  <c r="E1053" i="7"/>
  <c r="H1053" i="7"/>
  <c r="J1053" i="7"/>
  <c r="K1053" i="7"/>
  <c r="L1053" i="7"/>
  <c r="M1053" i="7"/>
  <c r="P1053" i="7"/>
  <c r="H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I1047" i="1"/>
  <c r="K1104" i="1"/>
  <c r="K1105" i="1"/>
  <c r="K1106" i="1"/>
  <c r="K1107" i="1"/>
  <c r="K1108" i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E1045" i="7"/>
  <c r="H1045" i="7"/>
  <c r="J1045" i="7"/>
  <c r="K1045" i="7"/>
  <c r="L1045" i="7"/>
  <c r="M1045" i="7"/>
  <c r="P1045" i="7"/>
  <c r="H1040" i="1"/>
  <c r="I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/>
  <c r="H1037" i="1"/>
  <c r="I1037" i="1"/>
  <c r="B1036" i="7"/>
  <c r="C1036" i="7"/>
  <c r="E1036" i="7"/>
  <c r="H1036" i="7"/>
  <c r="J1036" i="7"/>
  <c r="K1036" i="7"/>
  <c r="L1036" i="7"/>
  <c r="M1036" i="7"/>
  <c r="P1036" i="7"/>
  <c r="H1036" i="1"/>
  <c r="B1035" i="7"/>
  <c r="C1035" i="7"/>
  <c r="E1035" i="7"/>
  <c r="H1035" i="7"/>
  <c r="J1035" i="7"/>
  <c r="K1035" i="7"/>
  <c r="L1035" i="7"/>
  <c r="M1035" i="7"/>
  <c r="P1035" i="7"/>
  <c r="H1035" i="1"/>
  <c r="I1035" i="1"/>
  <c r="B1034" i="7"/>
  <c r="C1034" i="7"/>
  <c r="E1034" i="7"/>
  <c r="H1034" i="7"/>
  <c r="J1034" i="7"/>
  <c r="K1034" i="7"/>
  <c r="L1034" i="7"/>
  <c r="M1034" i="7"/>
  <c r="P1034" i="7"/>
  <c r="H1034" i="1"/>
  <c r="I1034" i="1"/>
  <c r="B1033" i="7"/>
  <c r="C1033" i="7"/>
  <c r="E1033" i="7"/>
  <c r="H1033" i="7"/>
  <c r="J1033" i="7"/>
  <c r="K1033" i="7"/>
  <c r="L1033" i="7"/>
  <c r="M1033" i="7"/>
  <c r="P1033" i="7"/>
  <c r="H1033" i="1"/>
  <c r="I1033" i="1"/>
  <c r="G1034" i="7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I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I988" i="1"/>
  <c r="H987" i="1"/>
  <c r="H986" i="1"/>
  <c r="I986" i="1"/>
  <c r="H985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Y830" i="7"/>
  <c r="H779" i="7"/>
  <c r="H780" i="7"/>
  <c r="Y832" i="7"/>
  <c r="H781" i="7"/>
  <c r="H782" i="7"/>
  <c r="H783" i="7"/>
  <c r="Y835" i="7"/>
  <c r="H784" i="7"/>
  <c r="H785" i="7"/>
  <c r="Y837" i="7"/>
  <c r="H786" i="7"/>
  <c r="H787" i="7"/>
  <c r="Y839" i="7"/>
  <c r="H788" i="7"/>
  <c r="H789" i="7"/>
  <c r="H790" i="7"/>
  <c r="H791" i="7"/>
  <c r="H792" i="7"/>
  <c r="Y844" i="7"/>
  <c r="H793" i="7"/>
  <c r="Y845" i="7"/>
  <c r="H794" i="7"/>
  <c r="Y846" i="7"/>
  <c r="H795" i="7"/>
  <c r="Y847" i="7"/>
  <c r="H796" i="7"/>
  <c r="Y848" i="7"/>
  <c r="H797" i="7"/>
  <c r="H798" i="7"/>
  <c r="Y850" i="7"/>
  <c r="H799" i="7"/>
  <c r="H800" i="7"/>
  <c r="Y852" i="7"/>
  <c r="H801" i="7"/>
  <c r="Y853" i="7"/>
  <c r="H802" i="7"/>
  <c r="H803" i="7"/>
  <c r="Y855" i="7"/>
  <c r="H804" i="7"/>
  <c r="H805" i="7"/>
  <c r="Y857" i="7"/>
  <c r="H806" i="7"/>
  <c r="H807" i="7"/>
  <c r="H808" i="7"/>
  <c r="Y860" i="7"/>
  <c r="H809" i="7"/>
  <c r="Y861" i="7"/>
  <c r="H810" i="7"/>
  <c r="Y862" i="7"/>
  <c r="H811" i="7"/>
  <c r="H812" i="7"/>
  <c r="Y1021" i="7"/>
  <c r="H813" i="7"/>
  <c r="Y865" i="7"/>
  <c r="H814" i="7"/>
  <c r="H815" i="7"/>
  <c r="Y867" i="7"/>
  <c r="H816" i="7"/>
  <c r="H817" i="7"/>
  <c r="H818" i="7"/>
  <c r="Y974" i="7"/>
  <c r="H819" i="7"/>
  <c r="Y871" i="7"/>
  <c r="H820" i="7"/>
  <c r="Y872" i="7"/>
  <c r="H821" i="7"/>
  <c r="H822" i="7"/>
  <c r="H823" i="7"/>
  <c r="H824" i="7"/>
  <c r="H825" i="7"/>
  <c r="H826" i="7"/>
  <c r="H827" i="7"/>
  <c r="Y879" i="7"/>
  <c r="H828" i="7"/>
  <c r="H829" i="7"/>
  <c r="H830" i="7"/>
  <c r="Y882" i="7"/>
  <c r="H831" i="7"/>
  <c r="Y935" i="7"/>
  <c r="H832" i="7"/>
  <c r="Y884" i="7"/>
  <c r="H833" i="7"/>
  <c r="H834" i="7"/>
  <c r="H835" i="7"/>
  <c r="Y939" i="7"/>
  <c r="H836" i="7"/>
  <c r="H837" i="7"/>
  <c r="H838" i="7"/>
  <c r="Y890" i="7"/>
  <c r="H839" i="7"/>
  <c r="H840" i="7"/>
  <c r="H841" i="7"/>
  <c r="H842" i="7"/>
  <c r="H843" i="7"/>
  <c r="Y895" i="7"/>
  <c r="H844" i="7"/>
  <c r="H845" i="7"/>
  <c r="Y897" i="7"/>
  <c r="H846" i="7"/>
  <c r="H847" i="7"/>
  <c r="H848" i="7"/>
  <c r="H849" i="7"/>
  <c r="H850" i="7"/>
  <c r="Y902" i="7"/>
  <c r="H851" i="7"/>
  <c r="Y903" i="7"/>
  <c r="H852" i="7"/>
  <c r="H853" i="7"/>
  <c r="H854" i="7"/>
  <c r="Y906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/>
  <c r="H868" i="7"/>
  <c r="Y972" i="7"/>
  <c r="H869" i="7"/>
  <c r="H870" i="7"/>
  <c r="H871" i="7"/>
  <c r="H872" i="7"/>
  <c r="H873" i="7"/>
  <c r="H874" i="7"/>
  <c r="Y926" i="7"/>
  <c r="H875" i="7"/>
  <c r="Y927" i="7"/>
  <c r="H876" i="7"/>
  <c r="H877" i="7"/>
  <c r="H878" i="7"/>
  <c r="H879" i="7"/>
  <c r="H880" i="7"/>
  <c r="Y984" i="7"/>
  <c r="H881" i="7"/>
  <c r="Y933" i="7"/>
  <c r="H882" i="7"/>
  <c r="H883" i="7"/>
  <c r="H884" i="7"/>
  <c r="H885" i="7"/>
  <c r="H886" i="7"/>
  <c r="H887" i="7"/>
  <c r="H888" i="7"/>
  <c r="H889" i="7"/>
  <c r="H890" i="7"/>
  <c r="Y942" i="7"/>
  <c r="H891" i="7"/>
  <c r="Y943" i="7"/>
  <c r="H892" i="7"/>
  <c r="H893" i="7"/>
  <c r="H894" i="7"/>
  <c r="H895" i="7"/>
  <c r="H896" i="7"/>
  <c r="Y1000" i="7"/>
  <c r="H897" i="7"/>
  <c r="Y949" i="7"/>
  <c r="H898" i="7"/>
  <c r="H899" i="7"/>
  <c r="H900" i="7"/>
  <c r="H901" i="7"/>
  <c r="H902" i="7"/>
  <c r="H903" i="7"/>
  <c r="Y1007" i="7"/>
  <c r="H904" i="7"/>
  <c r="Y956" i="7"/>
  <c r="H905" i="7"/>
  <c r="H906" i="7"/>
  <c r="H907" i="7"/>
  <c r="Y1011" i="7"/>
  <c r="H908" i="7"/>
  <c r="H909" i="7"/>
  <c r="H910" i="7"/>
  <c r="Y962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Y982" i="7"/>
  <c r="H931" i="7"/>
  <c r="Y983" i="7"/>
  <c r="H932" i="7"/>
  <c r="H933" i="7"/>
  <c r="H934" i="7"/>
  <c r="H935" i="7"/>
  <c r="H936" i="7"/>
  <c r="H937" i="7"/>
  <c r="H938" i="7"/>
  <c r="H939" i="7"/>
  <c r="H940" i="7"/>
  <c r="H941" i="7"/>
  <c r="Y993" i="7"/>
  <c r="H942" i="7"/>
  <c r="H943" i="7"/>
  <c r="H944" i="7"/>
  <c r="H945" i="7"/>
  <c r="Y997" i="7"/>
  <c r="H946" i="7"/>
  <c r="H947" i="7"/>
  <c r="H948" i="7"/>
  <c r="Y1052" i="7"/>
  <c r="H949" i="7"/>
  <c r="H950" i="7"/>
  <c r="Y1002" i="7"/>
  <c r="H951" i="7"/>
  <c r="H952" i="7"/>
  <c r="H953" i="7"/>
  <c r="H954" i="7"/>
  <c r="H955" i="7"/>
  <c r="H956" i="7"/>
  <c r="H957" i="7"/>
  <c r="Y1009" i="7"/>
  <c r="H958" i="7"/>
  <c r="H959" i="7"/>
  <c r="H960" i="7"/>
  <c r="H961" i="7"/>
  <c r="H962" i="7"/>
  <c r="H963" i="7"/>
  <c r="Y1015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Y829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I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F986" i="7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I978" i="1"/>
  <c r="F981" i="7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I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F969" i="7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I967" i="1"/>
  <c r="B966" i="7"/>
  <c r="C966" i="7"/>
  <c r="D966" i="7"/>
  <c r="E966" i="7"/>
  <c r="J966" i="7"/>
  <c r="K966" i="7"/>
  <c r="L966" i="7"/>
  <c r="M966" i="7"/>
  <c r="H966" i="1"/>
  <c r="I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I962" i="1"/>
  <c r="B961" i="7"/>
  <c r="C961" i="7"/>
  <c r="D961" i="7"/>
  <c r="E961" i="7"/>
  <c r="J961" i="7"/>
  <c r="K961" i="7"/>
  <c r="L961" i="7"/>
  <c r="M961" i="7"/>
  <c r="H961" i="1"/>
  <c r="I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I955" i="1"/>
  <c r="H954" i="1"/>
  <c r="H953" i="1"/>
  <c r="I953" i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I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E939" i="7"/>
  <c r="J939" i="7"/>
  <c r="K939" i="7"/>
  <c r="L939" i="7"/>
  <c r="M939" i="7"/>
  <c r="H939" i="1"/>
  <c r="I939" i="1"/>
  <c r="B938" i="7"/>
  <c r="C938" i="7"/>
  <c r="D938" i="7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I937" i="1"/>
  <c r="B936" i="7"/>
  <c r="C936" i="7"/>
  <c r="D936" i="7"/>
  <c r="E936" i="7"/>
  <c r="J936" i="7"/>
  <c r="K936" i="7"/>
  <c r="L936" i="7"/>
  <c r="M936" i="7"/>
  <c r="H936" i="1"/>
  <c r="B935" i="7"/>
  <c r="C935" i="7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T985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S974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I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/>
  <c r="B907" i="7"/>
  <c r="C907" i="7"/>
  <c r="D907" i="7"/>
  <c r="E907" i="7"/>
  <c r="H907" i="1"/>
  <c r="B906" i="7"/>
  <c r="C906" i="7"/>
  <c r="D906" i="7"/>
  <c r="E906" i="7"/>
  <c r="H906" i="1"/>
  <c r="I906" i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/>
  <c r="E895" i="7"/>
  <c r="D895" i="7"/>
  <c r="C895" i="7"/>
  <c r="B895" i="7"/>
  <c r="H895" i="1"/>
  <c r="E894" i="7"/>
  <c r="D894" i="7"/>
  <c r="C894" i="7"/>
  <c r="B894" i="7"/>
  <c r="H894" i="1"/>
  <c r="B893" i="7"/>
  <c r="C893" i="7"/>
  <c r="D893" i="7"/>
  <c r="E893" i="7"/>
  <c r="H893" i="1"/>
  <c r="B892" i="7"/>
  <c r="C892" i="7"/>
  <c r="D892" i="7"/>
  <c r="E892" i="7"/>
  <c r="H892" i="1"/>
  <c r="B891" i="7"/>
  <c r="C891" i="7"/>
  <c r="D891" i="7"/>
  <c r="E891" i="7"/>
  <c r="H891" i="1"/>
  <c r="E890" i="7"/>
  <c r="D890" i="7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C881" i="7"/>
  <c r="B881" i="7"/>
  <c r="H881" i="1"/>
  <c r="I881" i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B873" i="7"/>
  <c r="H873" i="1"/>
  <c r="H872" i="1"/>
  <c r="F874" i="7"/>
  <c r="E872" i="7"/>
  <c r="D872" i="7"/>
  <c r="C872" i="7"/>
  <c r="B872" i="7"/>
  <c r="D871" i="7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O972" i="7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H860" i="1"/>
  <c r="F863" i="7"/>
  <c r="E864" i="7"/>
  <c r="D864" i="7"/>
  <c r="C864" i="7"/>
  <c r="B864" i="7"/>
  <c r="S1020" i="7"/>
  <c r="E863" i="7"/>
  <c r="D863" i="7"/>
  <c r="C863" i="7"/>
  <c r="B863" i="7"/>
  <c r="S1019" i="7"/>
  <c r="E862" i="7"/>
  <c r="D862" i="7"/>
  <c r="C862" i="7"/>
  <c r="B862" i="7"/>
  <c r="E861" i="7"/>
  <c r="D861" i="7"/>
  <c r="C861" i="7"/>
  <c r="B861" i="7"/>
  <c r="S965" i="7"/>
  <c r="E860" i="7"/>
  <c r="D860" i="7"/>
  <c r="C860" i="7"/>
  <c r="B860" i="7"/>
  <c r="E859" i="7"/>
  <c r="D859" i="7"/>
  <c r="C859" i="7"/>
  <c r="B859" i="7"/>
  <c r="S963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F857" i="7"/>
  <c r="H855" i="1"/>
  <c r="H854" i="1"/>
  <c r="I854" i="1"/>
  <c r="E856" i="7"/>
  <c r="D856" i="7"/>
  <c r="C856" i="7"/>
  <c r="B856" i="7"/>
  <c r="E855" i="7"/>
  <c r="D855" i="7"/>
  <c r="C855" i="7"/>
  <c r="B855" i="7"/>
  <c r="H853" i="1"/>
  <c r="I853" i="1"/>
  <c r="E854" i="7"/>
  <c r="D854" i="7"/>
  <c r="C854" i="7"/>
  <c r="B854" i="7"/>
  <c r="E853" i="7"/>
  <c r="D853" i="7"/>
  <c r="C853" i="7"/>
  <c r="B853" i="7"/>
  <c r="E852" i="7"/>
  <c r="D852" i="7"/>
  <c r="C852" i="7"/>
  <c r="B852" i="7"/>
  <c r="H852" i="1"/>
  <c r="H851" i="1"/>
  <c r="E851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S1005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C84" i="7"/>
  <c r="M844" i="7"/>
  <c r="L844" i="7"/>
  <c r="K844" i="7"/>
  <c r="J844" i="7"/>
  <c r="E844" i="7"/>
  <c r="D844" i="7"/>
  <c r="C844" i="7"/>
  <c r="B844" i="7"/>
  <c r="H844" i="1"/>
  <c r="I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C834" i="7"/>
  <c r="B834" i="7"/>
  <c r="M833" i="7"/>
  <c r="L833" i="7"/>
  <c r="K833" i="7"/>
  <c r="J833" i="7"/>
  <c r="E833" i="7"/>
  <c r="D833" i="7"/>
  <c r="C833" i="7"/>
  <c r="B833" i="7"/>
  <c r="M832" i="7"/>
  <c r="L832" i="7"/>
  <c r="K832" i="7"/>
  <c r="J832" i="7"/>
  <c r="E832" i="7"/>
  <c r="D832" i="7"/>
  <c r="U936" i="7"/>
  <c r="C832" i="7"/>
  <c r="B832" i="7"/>
  <c r="M831" i="7"/>
  <c r="L831" i="7"/>
  <c r="K831" i="7"/>
  <c r="J831" i="7"/>
  <c r="E831" i="7"/>
  <c r="D831" i="7"/>
  <c r="C831" i="7"/>
  <c r="B831" i="7"/>
  <c r="M830" i="7"/>
  <c r="L830" i="7"/>
  <c r="K830" i="7"/>
  <c r="J830" i="7"/>
  <c r="E830" i="7"/>
  <c r="D830" i="7"/>
  <c r="C830" i="7"/>
  <c r="B830" i="7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U868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U970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S1021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U1017" i="7"/>
  <c r="C808" i="7"/>
  <c r="B808" i="7"/>
  <c r="M807" i="7"/>
  <c r="L807" i="7"/>
  <c r="K807" i="7"/>
  <c r="J807" i="7"/>
  <c r="E807" i="7"/>
  <c r="V1016" i="7"/>
  <c r="D807" i="7"/>
  <c r="C807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U1014" i="7"/>
  <c r="C805" i="7"/>
  <c r="B805" i="7"/>
  <c r="S857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S907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S853" i="7"/>
  <c r="M800" i="7"/>
  <c r="L800" i="7"/>
  <c r="K800" i="7"/>
  <c r="J800" i="7"/>
  <c r="E800" i="7"/>
  <c r="V1009" i="7"/>
  <c r="D800" i="7"/>
  <c r="C800" i="7"/>
  <c r="T956" i="7"/>
  <c r="B800" i="7"/>
  <c r="M799" i="7"/>
  <c r="L799" i="7"/>
  <c r="K799" i="7"/>
  <c r="J799" i="7"/>
  <c r="E799" i="7"/>
  <c r="D799" i="7"/>
  <c r="C799" i="7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D797" i="7"/>
  <c r="C797" i="7"/>
  <c r="T1006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T951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D792" i="7"/>
  <c r="C792" i="7"/>
  <c r="B792" i="7"/>
  <c r="M791" i="7"/>
  <c r="L791" i="7"/>
  <c r="K791" i="7"/>
  <c r="J791" i="7"/>
  <c r="E791" i="7"/>
  <c r="D791" i="7"/>
  <c r="C791" i="7"/>
  <c r="B791" i="7"/>
  <c r="M790" i="7"/>
  <c r="L790" i="7"/>
  <c r="K790" i="7"/>
  <c r="J790" i="7"/>
  <c r="E790" i="7"/>
  <c r="D790" i="7"/>
  <c r="C790" i="7"/>
  <c r="B790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D786" i="7"/>
  <c r="C786" i="7"/>
  <c r="B786" i="7"/>
  <c r="M785" i="7"/>
  <c r="L785" i="7"/>
  <c r="K785" i="7"/>
  <c r="J785" i="7"/>
  <c r="E785" i="7"/>
  <c r="D785" i="7"/>
  <c r="C785" i="7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D780" i="7"/>
  <c r="C780" i="7"/>
  <c r="B780" i="7"/>
  <c r="M779" i="7"/>
  <c r="L779" i="7"/>
  <c r="K779" i="7"/>
  <c r="J779" i="7"/>
  <c r="E779" i="7"/>
  <c r="D779" i="7"/>
  <c r="C779" i="7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U932" i="7"/>
  <c r="C776" i="7"/>
  <c r="B776" i="7"/>
  <c r="M775" i="7"/>
  <c r="L775" i="7"/>
  <c r="K775" i="7"/>
  <c r="J775" i="7"/>
  <c r="E775" i="7"/>
  <c r="D775" i="7"/>
  <c r="C775" i="7"/>
  <c r="B775" i="7"/>
  <c r="M774" i="7"/>
  <c r="L774" i="7"/>
  <c r="K774" i="7"/>
  <c r="J774" i="7"/>
  <c r="E774" i="7"/>
  <c r="D774" i="7"/>
  <c r="U826" i="7"/>
  <c r="C774" i="7"/>
  <c r="B774" i="7"/>
  <c r="M773" i="7"/>
  <c r="L773" i="7"/>
  <c r="K773" i="7"/>
  <c r="J773" i="7"/>
  <c r="E773" i="7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D768" i="7"/>
  <c r="C768" i="7"/>
  <c r="B768" i="7"/>
  <c r="M767" i="7"/>
  <c r="L767" i="7"/>
  <c r="K767" i="7"/>
  <c r="J767" i="7"/>
  <c r="E767" i="7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74" i="7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D751" i="7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C749" i="7"/>
  <c r="B749" i="7"/>
  <c r="M748" i="7"/>
  <c r="L748" i="7"/>
  <c r="K748" i="7"/>
  <c r="J748" i="7"/>
  <c r="E748" i="7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D741" i="7"/>
  <c r="C741" i="7"/>
  <c r="B741" i="7"/>
  <c r="M740" i="7"/>
  <c r="L740" i="7"/>
  <c r="K740" i="7"/>
  <c r="J740" i="7"/>
  <c r="E740" i="7"/>
  <c r="D740" i="7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T837" i="7"/>
  <c r="B733" i="7"/>
  <c r="M732" i="7"/>
  <c r="L732" i="7"/>
  <c r="K732" i="7"/>
  <c r="J732" i="7"/>
  <c r="E732" i="7"/>
  <c r="D732" i="7"/>
  <c r="C732" i="7"/>
  <c r="T941" i="7"/>
  <c r="B732" i="7"/>
  <c r="M731" i="7"/>
  <c r="L731" i="7"/>
  <c r="K731" i="7"/>
  <c r="J731" i="7"/>
  <c r="E731" i="7"/>
  <c r="D731" i="7"/>
  <c r="C731" i="7"/>
  <c r="T940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V777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V775" i="7"/>
  <c r="D723" i="7"/>
  <c r="C723" i="7"/>
  <c r="T932" i="7"/>
  <c r="B723" i="7"/>
  <c r="M722" i="7"/>
  <c r="L722" i="7"/>
  <c r="K722" i="7"/>
  <c r="J722" i="7"/>
  <c r="E722" i="7"/>
  <c r="D722" i="7"/>
  <c r="C722" i="7"/>
  <c r="T878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V771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M716" i="7"/>
  <c r="L716" i="7"/>
  <c r="K716" i="7"/>
  <c r="J716" i="7"/>
  <c r="E716" i="7"/>
  <c r="D716" i="7"/>
  <c r="C716" i="7"/>
  <c r="B716" i="7"/>
  <c r="M715" i="7"/>
  <c r="L715" i="7"/>
  <c r="K715" i="7"/>
  <c r="J715" i="7"/>
  <c r="E715" i="7"/>
  <c r="V767" i="7"/>
  <c r="D715" i="7"/>
  <c r="C715" i="7"/>
  <c r="B715" i="7"/>
  <c r="M714" i="7"/>
  <c r="L714" i="7"/>
  <c r="K714" i="7"/>
  <c r="J714" i="7"/>
  <c r="E714" i="7"/>
  <c r="D714" i="7"/>
  <c r="C714" i="7"/>
  <c r="B714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M711" i="7"/>
  <c r="L711" i="7"/>
  <c r="K711" i="7"/>
  <c r="J711" i="7"/>
  <c r="E711" i="7"/>
  <c r="D711" i="7"/>
  <c r="C711" i="7"/>
  <c r="B711" i="7"/>
  <c r="S920" i="7"/>
  <c r="M710" i="7"/>
  <c r="L710" i="7"/>
  <c r="K710" i="7"/>
  <c r="J710" i="7"/>
  <c r="E710" i="7"/>
  <c r="D710" i="7"/>
  <c r="C710" i="7"/>
  <c r="T814" i="7"/>
  <c r="B710" i="7"/>
  <c r="M709" i="7"/>
  <c r="L709" i="7"/>
  <c r="K709" i="7"/>
  <c r="J709" i="7"/>
  <c r="E709" i="7"/>
  <c r="D709" i="7"/>
  <c r="C709" i="7"/>
  <c r="T813" i="7"/>
  <c r="B709" i="7"/>
  <c r="M708" i="7"/>
  <c r="L708" i="7"/>
  <c r="K708" i="7"/>
  <c r="J708" i="7"/>
  <c r="E708" i="7"/>
  <c r="D708" i="7"/>
  <c r="C708" i="7"/>
  <c r="B708" i="7"/>
  <c r="M707" i="7"/>
  <c r="L707" i="7"/>
  <c r="K707" i="7"/>
  <c r="J707" i="7"/>
  <c r="E707" i="7"/>
  <c r="V759" i="7"/>
  <c r="D707" i="7"/>
  <c r="C707" i="7"/>
  <c r="B707" i="7"/>
  <c r="S916" i="7"/>
  <c r="M706" i="7"/>
  <c r="L706" i="7"/>
  <c r="K706" i="7"/>
  <c r="J706" i="7"/>
  <c r="E706" i="7"/>
  <c r="D706" i="7"/>
  <c r="C706" i="7"/>
  <c r="B706" i="7"/>
  <c r="M705" i="7"/>
  <c r="L705" i="7"/>
  <c r="K705" i="7"/>
  <c r="J705" i="7"/>
  <c r="E705" i="7"/>
  <c r="D705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T755" i="7"/>
  <c r="B703" i="7"/>
  <c r="M702" i="7"/>
  <c r="L702" i="7"/>
  <c r="K702" i="7"/>
  <c r="J702" i="7"/>
  <c r="E702" i="7"/>
  <c r="D702" i="7"/>
  <c r="C702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M696" i="7"/>
  <c r="L696" i="7"/>
  <c r="K696" i="7"/>
  <c r="J696" i="7"/>
  <c r="E696" i="7"/>
  <c r="D696" i="7"/>
  <c r="C696" i="7"/>
  <c r="B696" i="7"/>
  <c r="M695" i="7"/>
  <c r="L695" i="7"/>
  <c r="K695" i="7"/>
  <c r="J695" i="7"/>
  <c r="E695" i="7"/>
  <c r="D695" i="7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U739" i="7"/>
  <c r="C687" i="7"/>
  <c r="B687" i="7"/>
  <c r="S739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840" i="7"/>
  <c r="B684" i="7"/>
  <c r="M683" i="7"/>
  <c r="L683" i="7"/>
  <c r="K683" i="7"/>
  <c r="E683" i="7"/>
  <c r="D683" i="7"/>
  <c r="C683" i="7"/>
  <c r="B683" i="7"/>
  <c r="M682" i="7"/>
  <c r="L682" i="7"/>
  <c r="K682" i="7"/>
  <c r="E682" i="7"/>
  <c r="D682" i="7"/>
  <c r="C682" i="7"/>
  <c r="B682" i="7"/>
  <c r="M681" i="7"/>
  <c r="L681" i="7"/>
  <c r="K681" i="7"/>
  <c r="E681" i="7"/>
  <c r="D681" i="7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U731" i="7"/>
  <c r="C679" i="7"/>
  <c r="B679" i="7"/>
  <c r="M678" i="7"/>
  <c r="L678" i="7"/>
  <c r="K678" i="7"/>
  <c r="E678" i="7"/>
  <c r="D678" i="7"/>
  <c r="C678" i="7"/>
  <c r="T782" i="7"/>
  <c r="B678" i="7"/>
  <c r="S782" i="7"/>
  <c r="M677" i="7"/>
  <c r="L677" i="7"/>
  <c r="K677" i="7"/>
  <c r="E677" i="7"/>
  <c r="D677" i="7"/>
  <c r="C677" i="7"/>
  <c r="T781" i="7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T831" i="7"/>
  <c r="B675" i="7"/>
  <c r="S884" i="7"/>
  <c r="M674" i="7"/>
  <c r="L674" i="7"/>
  <c r="K674" i="7"/>
  <c r="E674" i="7"/>
  <c r="D674" i="7"/>
  <c r="C674" i="7"/>
  <c r="B674" i="7"/>
  <c r="S883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B667" i="7"/>
  <c r="M666" i="7"/>
  <c r="L666" i="7"/>
  <c r="K666" i="7"/>
  <c r="E666" i="7"/>
  <c r="D666" i="7"/>
  <c r="C666" i="7"/>
  <c r="T718" i="7"/>
  <c r="B666" i="7"/>
  <c r="M665" i="7"/>
  <c r="L665" i="7"/>
  <c r="K665" i="7"/>
  <c r="E665" i="7"/>
  <c r="D665" i="7"/>
  <c r="C665" i="7"/>
  <c r="B665" i="7"/>
  <c r="S717" i="7"/>
  <c r="M664" i="7"/>
  <c r="L664" i="7"/>
  <c r="K664" i="7"/>
  <c r="E664" i="7"/>
  <c r="D664" i="7"/>
  <c r="C664" i="7"/>
  <c r="T873" i="7"/>
  <c r="B664" i="7"/>
  <c r="S873" i="7"/>
  <c r="M663" i="7"/>
  <c r="L663" i="7"/>
  <c r="K663" i="7"/>
  <c r="E663" i="7"/>
  <c r="D663" i="7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C661" i="7"/>
  <c r="B661" i="7"/>
  <c r="M660" i="7"/>
  <c r="L660" i="7"/>
  <c r="K660" i="7"/>
  <c r="E660" i="7"/>
  <c r="D660" i="7"/>
  <c r="C660" i="7"/>
  <c r="B660" i="7"/>
  <c r="S816" i="7"/>
  <c r="M659" i="7"/>
  <c r="L659" i="7"/>
  <c r="K659" i="7"/>
  <c r="E659" i="7"/>
  <c r="D659" i="7"/>
  <c r="C659" i="7"/>
  <c r="T868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V761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S808" i="7"/>
  <c r="M651" i="7"/>
  <c r="L651" i="7"/>
  <c r="K651" i="7"/>
  <c r="E651" i="7"/>
  <c r="D651" i="7"/>
  <c r="C651" i="7"/>
  <c r="B651" i="7"/>
  <c r="M650" i="7"/>
  <c r="L650" i="7"/>
  <c r="K650" i="7"/>
  <c r="E650" i="7"/>
  <c r="D650" i="7"/>
  <c r="C650" i="7"/>
  <c r="B650" i="7"/>
  <c r="M649" i="7"/>
  <c r="L649" i="7"/>
  <c r="K649" i="7"/>
  <c r="E649" i="7"/>
  <c r="D649" i="7"/>
  <c r="C649" i="7"/>
  <c r="B649" i="7"/>
  <c r="S805" i="7"/>
  <c r="M648" i="7"/>
  <c r="L648" i="7"/>
  <c r="K648" i="7"/>
  <c r="E648" i="7"/>
  <c r="D648" i="7"/>
  <c r="C648" i="7"/>
  <c r="B648" i="7"/>
  <c r="M647" i="7"/>
  <c r="L647" i="7"/>
  <c r="K647" i="7"/>
  <c r="E647" i="7"/>
  <c r="D647" i="7"/>
  <c r="C647" i="7"/>
  <c r="B647" i="7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M644" i="7"/>
  <c r="L644" i="7"/>
  <c r="K644" i="7"/>
  <c r="E644" i="7"/>
  <c r="D644" i="7"/>
  <c r="C644" i="7"/>
  <c r="B644" i="7"/>
  <c r="M643" i="7"/>
  <c r="L643" i="7"/>
  <c r="K643" i="7"/>
  <c r="E643" i="7"/>
  <c r="D643" i="7"/>
  <c r="C643" i="7"/>
  <c r="B643" i="7"/>
  <c r="M642" i="7"/>
  <c r="L642" i="7"/>
  <c r="K642" i="7"/>
  <c r="E642" i="7"/>
  <c r="D642" i="7"/>
  <c r="C642" i="7"/>
  <c r="B642" i="7"/>
  <c r="S851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S849" i="7"/>
  <c r="M639" i="7"/>
  <c r="L639" i="7"/>
  <c r="K639" i="7"/>
  <c r="E639" i="7"/>
  <c r="D639" i="7"/>
  <c r="U743" i="7"/>
  <c r="C639" i="7"/>
  <c r="B639" i="7"/>
  <c r="M638" i="7"/>
  <c r="L638" i="7"/>
  <c r="K638" i="7"/>
  <c r="E638" i="7"/>
  <c r="D638" i="7"/>
  <c r="U742" i="7"/>
  <c r="C638" i="7"/>
  <c r="B638" i="7"/>
  <c r="M637" i="7"/>
  <c r="L637" i="7"/>
  <c r="K637" i="7"/>
  <c r="E637" i="7"/>
  <c r="D637" i="7"/>
  <c r="C637" i="7"/>
  <c r="B637" i="7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B635" i="7"/>
  <c r="M634" i="7"/>
  <c r="K634" i="7"/>
  <c r="E634" i="7"/>
  <c r="D634" i="7"/>
  <c r="C634" i="7"/>
  <c r="B634" i="7"/>
  <c r="M633" i="7"/>
  <c r="K633" i="7"/>
  <c r="E633" i="7"/>
  <c r="D633" i="7"/>
  <c r="C633" i="7"/>
  <c r="B633" i="7"/>
  <c r="M632" i="7"/>
  <c r="K632" i="7"/>
  <c r="E632" i="7"/>
  <c r="D632" i="7"/>
  <c r="C632" i="7"/>
  <c r="B632" i="7"/>
  <c r="M631" i="7"/>
  <c r="K631" i="7"/>
  <c r="E631" i="7"/>
  <c r="D631" i="7"/>
  <c r="C631" i="7"/>
  <c r="B631" i="7"/>
  <c r="S840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T676" i="7"/>
  <c r="B624" i="7"/>
  <c r="M623" i="7"/>
  <c r="K623" i="7"/>
  <c r="E623" i="7"/>
  <c r="D623" i="7"/>
  <c r="C623" i="7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T775" i="7"/>
  <c r="B619" i="7"/>
  <c r="M618" i="7"/>
  <c r="K618" i="7"/>
  <c r="E618" i="7"/>
  <c r="D618" i="7"/>
  <c r="C618" i="7"/>
  <c r="B618" i="7"/>
  <c r="M617" i="7"/>
  <c r="K617" i="7"/>
  <c r="E617" i="7"/>
  <c r="D617" i="7"/>
  <c r="C617" i="7"/>
  <c r="B617" i="7"/>
  <c r="M616" i="7"/>
  <c r="K616" i="7"/>
  <c r="E616" i="7"/>
  <c r="V668" i="7"/>
  <c r="D616" i="7"/>
  <c r="C616" i="7"/>
  <c r="B616" i="7"/>
  <c r="M615" i="7"/>
  <c r="K615" i="7"/>
  <c r="E615" i="7"/>
  <c r="D615" i="7"/>
  <c r="C615" i="7"/>
  <c r="B615" i="7"/>
  <c r="S824" i="7"/>
  <c r="M614" i="7"/>
  <c r="K614" i="7"/>
  <c r="E614" i="7"/>
  <c r="D614" i="7"/>
  <c r="C614" i="7"/>
  <c r="B614" i="7"/>
  <c r="M613" i="7"/>
  <c r="K613" i="7"/>
  <c r="E613" i="7"/>
  <c r="D613" i="7"/>
  <c r="C613" i="7"/>
  <c r="B613" i="7"/>
  <c r="M612" i="7"/>
  <c r="K612" i="7"/>
  <c r="E612" i="7"/>
  <c r="D612" i="7"/>
  <c r="U716" i="7"/>
  <c r="C612" i="7"/>
  <c r="B612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T818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S815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650" i="7"/>
  <c r="C598" i="7"/>
  <c r="B598" i="7"/>
  <c r="M597" i="7"/>
  <c r="K597" i="7"/>
  <c r="E597" i="7"/>
  <c r="D597" i="7"/>
  <c r="C597" i="7"/>
  <c r="B597" i="7"/>
  <c r="S701" i="7"/>
  <c r="M596" i="7"/>
  <c r="K596" i="7"/>
  <c r="E596" i="7"/>
  <c r="D596" i="7"/>
  <c r="U648" i="7"/>
  <c r="C596" i="7"/>
  <c r="B596" i="7"/>
  <c r="M595" i="7"/>
  <c r="K595" i="7"/>
  <c r="E595" i="7"/>
  <c r="D595" i="7"/>
  <c r="U647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S694" i="7"/>
  <c r="M589" i="7"/>
  <c r="K589" i="7"/>
  <c r="E589" i="7"/>
  <c r="D589" i="7"/>
  <c r="C589" i="7"/>
  <c r="B589" i="7"/>
  <c r="M588" i="7"/>
  <c r="K588" i="7"/>
  <c r="E588" i="7"/>
  <c r="D588" i="7"/>
  <c r="U640" i="7"/>
  <c r="C588" i="7"/>
  <c r="B588" i="7"/>
  <c r="M587" i="7"/>
  <c r="K587" i="7"/>
  <c r="E587" i="7"/>
  <c r="D587" i="7"/>
  <c r="C587" i="7"/>
  <c r="T639" i="7"/>
  <c r="B587" i="7"/>
  <c r="M586" i="7"/>
  <c r="K586" i="7"/>
  <c r="E586" i="7"/>
  <c r="D586" i="7"/>
  <c r="C586" i="7"/>
  <c r="B586" i="7"/>
  <c r="M585" i="7"/>
  <c r="K585" i="7"/>
  <c r="E585" i="7"/>
  <c r="D585" i="7"/>
  <c r="U689" i="7"/>
  <c r="C585" i="7"/>
  <c r="B585" i="7"/>
  <c r="S741" i="7"/>
  <c r="M584" i="7"/>
  <c r="K584" i="7"/>
  <c r="E584" i="7"/>
  <c r="D584" i="7"/>
  <c r="C584" i="7"/>
  <c r="T688" i="7"/>
  <c r="B584" i="7"/>
  <c r="S740" i="7"/>
  <c r="M583" i="7"/>
  <c r="K583" i="7"/>
  <c r="E583" i="7"/>
  <c r="D583" i="7"/>
  <c r="C583" i="7"/>
  <c r="B583" i="7"/>
  <c r="S792" i="7"/>
  <c r="M582" i="7"/>
  <c r="K582" i="7"/>
  <c r="E582" i="7"/>
  <c r="D582" i="7"/>
  <c r="C582" i="7"/>
  <c r="B582" i="7"/>
  <c r="M581" i="7"/>
  <c r="K581" i="7"/>
  <c r="E581" i="7"/>
  <c r="D581" i="7"/>
  <c r="U790" i="7"/>
  <c r="C581" i="7"/>
  <c r="B581" i="7"/>
  <c r="E580" i="7"/>
  <c r="D580" i="7"/>
  <c r="C580" i="7"/>
  <c r="B580" i="7"/>
  <c r="E579" i="7"/>
  <c r="V683" i="7"/>
  <c r="D579" i="7"/>
  <c r="C579" i="7"/>
  <c r="B579" i="7"/>
  <c r="S788" i="7"/>
  <c r="E578" i="7"/>
  <c r="D578" i="7"/>
  <c r="C578" i="7"/>
  <c r="B578" i="7"/>
  <c r="E577" i="7"/>
  <c r="D577" i="7"/>
  <c r="C577" i="7"/>
  <c r="B577" i="7"/>
  <c r="E576" i="7"/>
  <c r="D576" i="7"/>
  <c r="C576" i="7"/>
  <c r="B576" i="7"/>
  <c r="E575" i="7"/>
  <c r="D575" i="7"/>
  <c r="C575" i="7"/>
  <c r="B575" i="7"/>
  <c r="E574" i="7"/>
  <c r="D574" i="7"/>
  <c r="C574" i="7"/>
  <c r="B574" i="7"/>
  <c r="E573" i="7"/>
  <c r="D573" i="7"/>
  <c r="C573" i="7"/>
  <c r="B573" i="7"/>
  <c r="E572" i="7"/>
  <c r="D572" i="7"/>
  <c r="C572" i="7"/>
  <c r="B572" i="7"/>
  <c r="E571" i="7"/>
  <c r="D571" i="7"/>
  <c r="C571" i="7"/>
  <c r="B571" i="7"/>
  <c r="E570" i="7"/>
  <c r="V779" i="7"/>
  <c r="D570" i="7"/>
  <c r="C570" i="7"/>
  <c r="B570" i="7"/>
  <c r="S726" i="7"/>
  <c r="E569" i="7"/>
  <c r="D569" i="7"/>
  <c r="C569" i="7"/>
  <c r="B569" i="7"/>
  <c r="E568" i="7"/>
  <c r="D568" i="7"/>
  <c r="C568" i="7"/>
  <c r="B568" i="7"/>
  <c r="E567" i="7"/>
  <c r="D567" i="7"/>
  <c r="U723" i="7"/>
  <c r="C567" i="7"/>
  <c r="B567" i="7"/>
  <c r="E566" i="7"/>
  <c r="D566" i="7"/>
  <c r="C566" i="7"/>
  <c r="B566" i="7"/>
  <c r="S775" i="7"/>
  <c r="E565" i="7"/>
  <c r="D565" i="7"/>
  <c r="C565" i="7"/>
  <c r="B565" i="7"/>
  <c r="E564" i="7"/>
  <c r="D564" i="7"/>
  <c r="C564" i="7"/>
  <c r="B564" i="7"/>
  <c r="S773" i="7"/>
  <c r="E563" i="7"/>
  <c r="V615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T664" i="7"/>
  <c r="B560" i="7"/>
  <c r="E559" i="7"/>
  <c r="D559" i="7"/>
  <c r="C559" i="7"/>
  <c r="B559" i="7"/>
  <c r="E558" i="7"/>
  <c r="D558" i="7"/>
  <c r="C558" i="7"/>
  <c r="B558" i="7"/>
  <c r="E557" i="7"/>
  <c r="D557" i="7"/>
  <c r="C557" i="7"/>
  <c r="B557" i="7"/>
  <c r="E556" i="7"/>
  <c r="D556" i="7"/>
  <c r="C556" i="7"/>
  <c r="B556" i="7"/>
  <c r="E555" i="7"/>
  <c r="D555" i="7"/>
  <c r="C555" i="7"/>
  <c r="B555" i="7"/>
  <c r="E554" i="7"/>
  <c r="D554" i="7"/>
  <c r="C554" i="7"/>
  <c r="B554" i="7"/>
  <c r="E553" i="7"/>
  <c r="D553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U652" i="7"/>
  <c r="C548" i="7"/>
  <c r="B548" i="7"/>
  <c r="E547" i="7"/>
  <c r="D547" i="7"/>
  <c r="C547" i="7"/>
  <c r="B547" i="7"/>
  <c r="E546" i="7"/>
  <c r="D546" i="7"/>
  <c r="C546" i="7"/>
  <c r="B546" i="7"/>
  <c r="E545" i="7"/>
  <c r="D545" i="7"/>
  <c r="C545" i="7"/>
  <c r="B545" i="7"/>
  <c r="S754" i="7"/>
  <c r="E544" i="7"/>
  <c r="D544" i="7"/>
  <c r="C544" i="7"/>
  <c r="B544" i="7"/>
  <c r="E543" i="7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E537" i="7"/>
  <c r="D537" i="7"/>
  <c r="U693" i="7"/>
  <c r="C537" i="7"/>
  <c r="B537" i="7"/>
  <c r="E536" i="7"/>
  <c r="D536" i="7"/>
  <c r="C536" i="7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S688" i="7"/>
  <c r="E531" i="7"/>
  <c r="D531" i="7"/>
  <c r="C531" i="7"/>
  <c r="E530" i="7"/>
  <c r="V739" i="7"/>
  <c r="D530" i="7"/>
  <c r="U686" i="7"/>
  <c r="C530" i="7"/>
  <c r="E529" i="7"/>
  <c r="V685" i="7"/>
  <c r="D529" i="7"/>
  <c r="C529" i="7"/>
  <c r="E528" i="7"/>
  <c r="D528" i="7"/>
  <c r="C528" i="7"/>
  <c r="E527" i="7"/>
  <c r="D527" i="7"/>
  <c r="C527" i="7"/>
  <c r="E526" i="7"/>
  <c r="D526" i="7"/>
  <c r="C526" i="7"/>
  <c r="T682" i="7"/>
  <c r="E525" i="7"/>
  <c r="D525" i="7"/>
  <c r="C525" i="7"/>
  <c r="E524" i="7"/>
  <c r="D524" i="7"/>
  <c r="C524" i="7"/>
  <c r="E523" i="7"/>
  <c r="D523" i="7"/>
  <c r="C523" i="7"/>
  <c r="E522" i="7"/>
  <c r="D522" i="7"/>
  <c r="C522" i="7"/>
  <c r="E521" i="7"/>
  <c r="D521" i="7"/>
  <c r="C521" i="7"/>
  <c r="E520" i="7"/>
  <c r="V676" i="7"/>
  <c r="D520" i="7"/>
  <c r="C520" i="7"/>
  <c r="E519" i="7"/>
  <c r="D519" i="7"/>
  <c r="C519" i="7"/>
  <c r="E518" i="7"/>
  <c r="D518" i="7"/>
  <c r="C518" i="7"/>
  <c r="T622" i="7"/>
  <c r="E517" i="7"/>
  <c r="D517" i="7"/>
  <c r="C517" i="7"/>
  <c r="E516" i="7"/>
  <c r="D516" i="7"/>
  <c r="C516" i="7"/>
  <c r="E515" i="7"/>
  <c r="D515" i="7"/>
  <c r="U671" i="7"/>
  <c r="C515" i="7"/>
  <c r="E514" i="7"/>
  <c r="D514" i="7"/>
  <c r="C514" i="7"/>
  <c r="E513" i="7"/>
  <c r="D513" i="7"/>
  <c r="C513" i="7"/>
  <c r="E512" i="7"/>
  <c r="V616" i="7"/>
  <c r="D512" i="7"/>
  <c r="C512" i="7"/>
  <c r="E511" i="7"/>
  <c r="D511" i="7"/>
  <c r="C511" i="7"/>
  <c r="E510" i="7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C505" i="7"/>
  <c r="E504" i="7"/>
  <c r="D504" i="7"/>
  <c r="C504" i="7"/>
  <c r="E503" i="7"/>
  <c r="D503" i="7"/>
  <c r="C503" i="7"/>
  <c r="E502" i="7"/>
  <c r="V658" i="7"/>
  <c r="D502" i="7"/>
  <c r="C502" i="7"/>
  <c r="E501" i="7"/>
  <c r="D501" i="7"/>
  <c r="C501" i="7"/>
  <c r="E500" i="7"/>
  <c r="D500" i="7"/>
  <c r="C500" i="7"/>
  <c r="T709" i="7"/>
  <c r="E499" i="7"/>
  <c r="D499" i="7"/>
  <c r="C499" i="7"/>
  <c r="T603" i="7"/>
  <c r="E498" i="7"/>
  <c r="D498" i="7"/>
  <c r="C498" i="7"/>
  <c r="E497" i="7"/>
  <c r="D497" i="7"/>
  <c r="C497" i="7"/>
  <c r="E496" i="7"/>
  <c r="D496" i="7"/>
  <c r="C496" i="7"/>
  <c r="E495" i="7"/>
  <c r="D495" i="7"/>
  <c r="C495" i="7"/>
  <c r="E494" i="7"/>
  <c r="D494" i="7"/>
  <c r="C494" i="7"/>
  <c r="E493" i="7"/>
  <c r="D493" i="7"/>
  <c r="C493" i="7"/>
  <c r="E492" i="7"/>
  <c r="D492" i="7"/>
  <c r="C492" i="7"/>
  <c r="E491" i="7"/>
  <c r="D491" i="7"/>
  <c r="C491" i="7"/>
  <c r="E490" i="7"/>
  <c r="D490" i="7"/>
  <c r="C490" i="7"/>
  <c r="E489" i="7"/>
  <c r="V645" i="7"/>
  <c r="D489" i="7"/>
  <c r="C489" i="7"/>
  <c r="E488" i="7"/>
  <c r="D488" i="7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V637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E471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V669" i="7"/>
  <c r="D460" i="7"/>
  <c r="C460" i="7"/>
  <c r="E459" i="7"/>
  <c r="D459" i="7"/>
  <c r="C459" i="7"/>
  <c r="E458" i="7"/>
  <c r="D458" i="7"/>
  <c r="C458" i="7"/>
  <c r="E457" i="7"/>
  <c r="D457" i="7"/>
  <c r="C457" i="7"/>
  <c r="E456" i="7"/>
  <c r="D456" i="7"/>
  <c r="C456" i="7"/>
  <c r="E455" i="7"/>
  <c r="D455" i="7"/>
  <c r="C455" i="7"/>
  <c r="E454" i="7"/>
  <c r="D454" i="7"/>
  <c r="C454" i="7"/>
  <c r="E453" i="7"/>
  <c r="D453" i="7"/>
  <c r="C453" i="7"/>
  <c r="E452" i="7"/>
  <c r="V608" i="7"/>
  <c r="D452" i="7"/>
  <c r="C452" i="7"/>
  <c r="E451" i="7"/>
  <c r="D451" i="7"/>
  <c r="C451" i="7"/>
  <c r="E450" i="7"/>
  <c r="D450" i="7"/>
  <c r="C450" i="7"/>
  <c r="T659" i="7"/>
  <c r="E449" i="7"/>
  <c r="D449" i="7"/>
  <c r="C449" i="7"/>
  <c r="E448" i="7"/>
  <c r="D448" i="7"/>
  <c r="C448" i="7"/>
  <c r="E447" i="7"/>
  <c r="V603" i="7"/>
  <c r="D447" i="7"/>
  <c r="C447" i="7"/>
  <c r="E446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U646" i="7"/>
  <c r="C437" i="7"/>
  <c r="T646" i="7"/>
  <c r="E436" i="7"/>
  <c r="D436" i="7"/>
  <c r="C436" i="7"/>
  <c r="E435" i="7"/>
  <c r="V591" i="7"/>
  <c r="D435" i="7"/>
  <c r="C435" i="7"/>
  <c r="E434" i="7"/>
  <c r="D434" i="7"/>
  <c r="U643" i="7"/>
  <c r="C434" i="7"/>
  <c r="E433" i="7"/>
  <c r="D433" i="7"/>
  <c r="C433" i="7"/>
  <c r="E432" i="7"/>
  <c r="D432" i="7"/>
  <c r="C432" i="7"/>
  <c r="E431" i="7"/>
  <c r="D431" i="7"/>
  <c r="C431" i="7"/>
  <c r="E430" i="7"/>
  <c r="D430" i="7"/>
  <c r="C430" i="7"/>
  <c r="E429" i="7"/>
  <c r="D429" i="7"/>
  <c r="U638" i="7"/>
  <c r="C429" i="7"/>
  <c r="T638" i="7"/>
  <c r="E428" i="7"/>
  <c r="D428" i="7"/>
  <c r="C428" i="7"/>
  <c r="E427" i="7"/>
  <c r="D427" i="7"/>
  <c r="C427" i="7"/>
  <c r="E426" i="7"/>
  <c r="C426" i="7"/>
  <c r="E425" i="7"/>
  <c r="C425" i="7"/>
  <c r="E424" i="7"/>
  <c r="C424" i="7"/>
  <c r="E423" i="7"/>
  <c r="C423" i="7"/>
  <c r="E422" i="7"/>
  <c r="V630" i="7"/>
  <c r="C422" i="7"/>
  <c r="E421" i="7"/>
  <c r="C421" i="7"/>
  <c r="E420" i="7"/>
  <c r="C420" i="7"/>
  <c r="E419" i="7"/>
  <c r="C419" i="7"/>
  <c r="E418" i="7"/>
  <c r="V626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T618" i="7"/>
  <c r="E409" i="7"/>
  <c r="C409" i="7"/>
  <c r="E408" i="7"/>
  <c r="C408" i="7"/>
  <c r="E407" i="7"/>
  <c r="C407" i="7"/>
  <c r="E406" i="7"/>
  <c r="V614" i="7"/>
  <c r="C406" i="7"/>
  <c r="E405" i="7"/>
  <c r="C405" i="7"/>
  <c r="E404" i="7"/>
  <c r="C404" i="7"/>
  <c r="E403" i="7"/>
  <c r="C403" i="7"/>
  <c r="E402" i="7"/>
  <c r="V610" i="7"/>
  <c r="C402" i="7"/>
  <c r="E401" i="7"/>
  <c r="C401" i="7"/>
  <c r="E400" i="7"/>
  <c r="C400" i="7"/>
  <c r="E399" i="7"/>
  <c r="C399" i="7"/>
  <c r="E398" i="7"/>
  <c r="V606" i="7"/>
  <c r="C398" i="7"/>
  <c r="E397" i="7"/>
  <c r="C397" i="7"/>
  <c r="E396" i="7"/>
  <c r="C396" i="7"/>
  <c r="E395" i="7"/>
  <c r="C395" i="7"/>
  <c r="E394" i="7"/>
  <c r="V602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T594" i="7"/>
  <c r="E385" i="7"/>
  <c r="C385" i="7"/>
  <c r="E384" i="7"/>
  <c r="C384" i="7"/>
  <c r="E383" i="7"/>
  <c r="C383" i="7"/>
  <c r="E382" i="7"/>
  <c r="C382" i="7"/>
  <c r="E381" i="7"/>
  <c r="C381" i="7"/>
  <c r="E380" i="7"/>
  <c r="C380" i="7"/>
  <c r="E379" i="7"/>
  <c r="C379" i="7"/>
  <c r="E378" i="7"/>
  <c r="C378" i="7"/>
  <c r="T586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N934" i="7"/>
  <c r="H829" i="1"/>
  <c r="I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I817" i="1"/>
  <c r="H816" i="1"/>
  <c r="I816" i="1"/>
  <c r="H815" i="1"/>
  <c r="H814" i="1"/>
  <c r="H813" i="1"/>
  <c r="H812" i="1"/>
  <c r="I812" i="1"/>
  <c r="H811" i="1"/>
  <c r="H810" i="1"/>
  <c r="I810" i="1"/>
  <c r="H809" i="1"/>
  <c r="I809" i="1"/>
  <c r="H808" i="1"/>
  <c r="H807" i="1"/>
  <c r="F810" i="7"/>
  <c r="H806" i="1"/>
  <c r="H805" i="1"/>
  <c r="F808" i="7"/>
  <c r="H804" i="1"/>
  <c r="H803" i="1"/>
  <c r="H802" i="1"/>
  <c r="I802" i="1"/>
  <c r="H801" i="1"/>
  <c r="N1009" i="7"/>
  <c r="H800" i="1"/>
  <c r="I800" i="1"/>
  <c r="H799" i="1"/>
  <c r="N955" i="7"/>
  <c r="H798" i="1"/>
  <c r="H797" i="1"/>
  <c r="H796" i="1"/>
  <c r="H795" i="1"/>
  <c r="H794" i="1"/>
  <c r="I794" i="1"/>
  <c r="H793" i="1"/>
  <c r="F795" i="7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H792" i="1"/>
  <c r="I792" i="1"/>
  <c r="H791" i="1"/>
  <c r="H790" i="1"/>
  <c r="H789" i="1"/>
  <c r="H788" i="1"/>
  <c r="H787" i="1"/>
  <c r="I787" i="1"/>
  <c r="O839" i="7"/>
  <c r="H786" i="1"/>
  <c r="H785" i="1"/>
  <c r="H784" i="1"/>
  <c r="H783" i="1"/>
  <c r="H782" i="1"/>
  <c r="N990" i="7"/>
  <c r="H781" i="1"/>
  <c r="H780" i="1"/>
  <c r="H779" i="1"/>
  <c r="I779" i="1"/>
  <c r="H778" i="1"/>
  <c r="H777" i="1"/>
  <c r="H776" i="1"/>
  <c r="H775" i="1"/>
  <c r="I775" i="1"/>
  <c r="H774" i="1"/>
  <c r="H773" i="1"/>
  <c r="H772" i="1"/>
  <c r="I772" i="1"/>
  <c r="H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H757" i="1"/>
  <c r="I757" i="1"/>
  <c r="H756" i="1"/>
  <c r="H755" i="1"/>
  <c r="H754" i="1"/>
  <c r="H753" i="1"/>
  <c r="I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/>
  <c r="H741" i="1"/>
  <c r="H740" i="1"/>
  <c r="H739" i="1"/>
  <c r="H737" i="1"/>
  <c r="F739" i="7"/>
  <c r="H738" i="1"/>
  <c r="H736" i="1"/>
  <c r="H735" i="1"/>
  <c r="H734" i="1"/>
  <c r="N838" i="7"/>
  <c r="H733" i="1"/>
  <c r="I733" i="1"/>
  <c r="H732" i="1"/>
  <c r="H731" i="1"/>
  <c r="H730" i="1"/>
  <c r="H729" i="1"/>
  <c r="F732" i="7"/>
  <c r="H728" i="1"/>
  <c r="I728" i="1"/>
  <c r="H727" i="1"/>
  <c r="H726" i="1"/>
  <c r="H725" i="1"/>
  <c r="I725" i="1"/>
  <c r="H724" i="1"/>
  <c r="I724" i="1"/>
  <c r="O828" i="7"/>
  <c r="H723" i="1"/>
  <c r="H722" i="1"/>
  <c r="H721" i="1"/>
  <c r="I721" i="1"/>
  <c r="H720" i="1"/>
  <c r="I720" i="1"/>
  <c r="H719" i="1"/>
  <c r="H718" i="1"/>
  <c r="H717" i="1"/>
  <c r="I717" i="1"/>
  <c r="H716" i="1"/>
  <c r="H714" i="1"/>
  <c r="H715" i="1"/>
  <c r="I715" i="1"/>
  <c r="H713" i="1"/>
  <c r="I713" i="1"/>
  <c r="H712" i="1"/>
  <c r="H711" i="1"/>
  <c r="H709" i="1"/>
  <c r="H708" i="1"/>
  <c r="H707" i="1"/>
  <c r="I707" i="1"/>
  <c r="H706" i="1"/>
  <c r="H705" i="1"/>
  <c r="I705" i="1"/>
  <c r="H704" i="1"/>
  <c r="H703" i="1"/>
  <c r="H702" i="1"/>
  <c r="F705" i="7"/>
  <c r="H701" i="1"/>
  <c r="H700" i="1"/>
  <c r="H699" i="1"/>
  <c r="H698" i="1"/>
  <c r="H697" i="1"/>
  <c r="H692" i="1"/>
  <c r="I692" i="1"/>
  <c r="H693" i="1"/>
  <c r="H694" i="1"/>
  <c r="H695" i="1"/>
  <c r="H696" i="1"/>
  <c r="H691" i="1"/>
  <c r="H690" i="1"/>
  <c r="I690" i="1"/>
  <c r="H689" i="1"/>
  <c r="I689" i="1"/>
  <c r="H688" i="1"/>
  <c r="I688" i="1"/>
  <c r="H687" i="1"/>
  <c r="I687" i="1"/>
  <c r="H686" i="1"/>
  <c r="I686" i="1"/>
  <c r="O738" i="7"/>
  <c r="H685" i="1"/>
  <c r="H684" i="1"/>
  <c r="H683" i="1"/>
  <c r="I683" i="1"/>
  <c r="H682" i="1"/>
  <c r="I682" i="1"/>
  <c r="H681" i="1"/>
  <c r="H680" i="1"/>
  <c r="H679" i="1"/>
  <c r="H678" i="1"/>
  <c r="I678" i="1"/>
  <c r="H677" i="1"/>
  <c r="H676" i="1"/>
  <c r="H675" i="1"/>
  <c r="H674" i="1"/>
  <c r="H673" i="1"/>
  <c r="I673" i="1"/>
  <c r="H672" i="1"/>
  <c r="F675" i="7"/>
  <c r="H671" i="1"/>
  <c r="H670" i="1"/>
  <c r="H669" i="1"/>
  <c r="H668" i="1"/>
  <c r="H667" i="1"/>
  <c r="H666" i="1"/>
  <c r="I666" i="1"/>
  <c r="G669" i="7"/>
  <c r="H665" i="1"/>
  <c r="H662" i="1"/>
  <c r="I662" i="1"/>
  <c r="H663" i="1"/>
  <c r="H664" i="1"/>
  <c r="I664" i="1"/>
  <c r="H610" i="1"/>
  <c r="H611" i="1"/>
  <c r="N715" i="7"/>
  <c r="H612" i="1"/>
  <c r="H613" i="1"/>
  <c r="H558" i="1"/>
  <c r="H559" i="1"/>
  <c r="I559" i="1"/>
  <c r="H560" i="1"/>
  <c r="I560" i="1"/>
  <c r="O716" i="7"/>
  <c r="H561" i="1"/>
  <c r="H506" i="1"/>
  <c r="H507" i="1"/>
  <c r="H508" i="1"/>
  <c r="H509" i="1"/>
  <c r="H454" i="1"/>
  <c r="H455" i="1"/>
  <c r="H456" i="1"/>
  <c r="H457" i="1"/>
  <c r="H661" i="1"/>
  <c r="H581" i="1"/>
  <c r="I581" i="1"/>
  <c r="H582" i="1"/>
  <c r="H583" i="1"/>
  <c r="H584" i="1"/>
  <c r="H585" i="1"/>
  <c r="H586" i="1"/>
  <c r="H587" i="1"/>
  <c r="H588" i="1"/>
  <c r="I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/>
  <c r="H605" i="1"/>
  <c r="H606" i="1"/>
  <c r="I606" i="1"/>
  <c r="H607" i="1"/>
  <c r="I607" i="1"/>
  <c r="H608" i="1"/>
  <c r="H609" i="1"/>
  <c r="I609" i="1"/>
  <c r="H633" i="1"/>
  <c r="H634" i="1"/>
  <c r="H635" i="1"/>
  <c r="H636" i="1"/>
  <c r="H637" i="1"/>
  <c r="H638" i="1"/>
  <c r="H639" i="1"/>
  <c r="I639" i="1"/>
  <c r="H640" i="1"/>
  <c r="H641" i="1"/>
  <c r="H642" i="1"/>
  <c r="H643" i="1"/>
  <c r="H644" i="1"/>
  <c r="H645" i="1"/>
  <c r="H646" i="1"/>
  <c r="I646" i="1"/>
  <c r="H647" i="1"/>
  <c r="I647" i="1"/>
  <c r="H648" i="1"/>
  <c r="I648" i="1"/>
  <c r="O700" i="7"/>
  <c r="H649" i="1"/>
  <c r="I649" i="1"/>
  <c r="H650" i="1"/>
  <c r="I650" i="1"/>
  <c r="G653" i="7"/>
  <c r="H651" i="1"/>
  <c r="I651" i="1"/>
  <c r="H652" i="1"/>
  <c r="H653" i="1"/>
  <c r="H654" i="1"/>
  <c r="H655" i="1"/>
  <c r="I655" i="1"/>
  <c r="H656" i="1"/>
  <c r="N708" i="7"/>
  <c r="H657" i="1"/>
  <c r="I657" i="1"/>
  <c r="H658" i="1"/>
  <c r="I658" i="1"/>
  <c r="H659" i="1"/>
  <c r="H660" i="1"/>
  <c r="I660" i="1"/>
  <c r="H557" i="1"/>
  <c r="N609" i="7"/>
  <c r="H505" i="1"/>
  <c r="H453" i="1"/>
  <c r="H556" i="1"/>
  <c r="I556" i="1"/>
  <c r="H504" i="1"/>
  <c r="H452" i="1"/>
  <c r="H555" i="1"/>
  <c r="H503" i="1"/>
  <c r="H451" i="1"/>
  <c r="H554" i="1"/>
  <c r="H502" i="1"/>
  <c r="F502" i="7"/>
  <c r="H450" i="1"/>
  <c r="H553" i="1"/>
  <c r="H501" i="1"/>
  <c r="H449" i="1"/>
  <c r="H552" i="1"/>
  <c r="H500" i="1"/>
  <c r="F503" i="7"/>
  <c r="H448" i="1"/>
  <c r="H551" i="1"/>
  <c r="I551" i="1"/>
  <c r="H499" i="1"/>
  <c r="F499" i="7"/>
  <c r="W708" i="7"/>
  <c r="H447" i="1"/>
  <c r="H550" i="1"/>
  <c r="H498" i="1"/>
  <c r="H446" i="1"/>
  <c r="H549" i="1"/>
  <c r="H497" i="1"/>
  <c r="H445" i="1"/>
  <c r="H548" i="1"/>
  <c r="H496" i="1"/>
  <c r="H444" i="1"/>
  <c r="H547" i="1"/>
  <c r="H495" i="1"/>
  <c r="H443" i="1"/>
  <c r="H529" i="1"/>
  <c r="I529" i="1"/>
  <c r="H530" i="1"/>
  <c r="H531" i="1"/>
  <c r="I531" i="1"/>
  <c r="H532" i="1"/>
  <c r="H533" i="1"/>
  <c r="H534" i="1"/>
  <c r="I534" i="1"/>
  <c r="H535" i="1"/>
  <c r="H536" i="1"/>
  <c r="H537" i="1"/>
  <c r="H538" i="1"/>
  <c r="I538" i="1"/>
  <c r="H539" i="1"/>
  <c r="I539" i="1"/>
  <c r="H540" i="1"/>
  <c r="H541" i="1"/>
  <c r="H542" i="1"/>
  <c r="I542" i="1"/>
  <c r="H543" i="1"/>
  <c r="H544" i="1"/>
  <c r="H545" i="1"/>
  <c r="H546" i="1"/>
  <c r="H562" i="1"/>
  <c r="H563" i="1"/>
  <c r="I563" i="1"/>
  <c r="H564" i="1"/>
  <c r="I564" i="1"/>
  <c r="H565" i="1"/>
  <c r="N773" i="7"/>
  <c r="H566" i="1"/>
  <c r="I566" i="1"/>
  <c r="H567" i="1"/>
  <c r="H568" i="1"/>
  <c r="H569" i="1"/>
  <c r="I569" i="1"/>
  <c r="H570" i="1"/>
  <c r="I570" i="1"/>
  <c r="G572" i="7"/>
  <c r="H571" i="1"/>
  <c r="I571" i="1"/>
  <c r="H572" i="1"/>
  <c r="I572" i="1"/>
  <c r="H573" i="1"/>
  <c r="I573" i="1"/>
  <c r="H574" i="1"/>
  <c r="I574" i="1"/>
  <c r="G574" i="7"/>
  <c r="H575" i="1"/>
  <c r="H576" i="1"/>
  <c r="H577" i="1"/>
  <c r="F579" i="7"/>
  <c r="H578" i="1"/>
  <c r="N734" i="7"/>
  <c r="I578" i="1"/>
  <c r="H579" i="1"/>
  <c r="H528" i="1"/>
  <c r="H580" i="1"/>
  <c r="H614" i="1"/>
  <c r="H615" i="1"/>
  <c r="N719" i="7"/>
  <c r="H616" i="1"/>
  <c r="I616" i="1"/>
  <c r="H617" i="1"/>
  <c r="H618" i="1"/>
  <c r="H619" i="1"/>
  <c r="H620" i="1"/>
  <c r="I620" i="1"/>
  <c r="H621" i="1"/>
  <c r="N777" i="7"/>
  <c r="I621" i="1"/>
  <c r="H622" i="1"/>
  <c r="H623" i="1"/>
  <c r="H624" i="1"/>
  <c r="I624" i="1"/>
  <c r="H625" i="1"/>
  <c r="H626" i="1"/>
  <c r="H627" i="1"/>
  <c r="H628" i="1"/>
  <c r="H629" i="1"/>
  <c r="H630" i="1"/>
  <c r="H631" i="1"/>
  <c r="I631" i="1"/>
  <c r="H632" i="1"/>
  <c r="I632" i="1"/>
  <c r="G634" i="7"/>
  <c r="H8" i="1"/>
  <c r="F11" i="7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F31" i="7"/>
  <c r="H29" i="1"/>
  <c r="H30" i="1"/>
  <c r="H31" i="1"/>
  <c r="H32" i="1"/>
  <c r="H33" i="1"/>
  <c r="H34" i="1"/>
  <c r="H35" i="1"/>
  <c r="H36" i="1"/>
  <c r="F39" i="7"/>
  <c r="H37" i="1"/>
  <c r="H38" i="1"/>
  <c r="H39" i="1"/>
  <c r="H40" i="1"/>
  <c r="H41" i="1"/>
  <c r="H42" i="1"/>
  <c r="H43" i="1"/>
  <c r="H44" i="1"/>
  <c r="F47" i="7"/>
  <c r="H45" i="1"/>
  <c r="H46" i="1"/>
  <c r="H47" i="1"/>
  <c r="H48" i="1"/>
  <c r="H49" i="1"/>
  <c r="H50" i="1"/>
  <c r="H51" i="1"/>
  <c r="F53" i="7"/>
  <c r="H52" i="1"/>
  <c r="F55" i="7"/>
  <c r="H53" i="1"/>
  <c r="H54" i="1"/>
  <c r="H55" i="1"/>
  <c r="H56" i="1"/>
  <c r="H57" i="1"/>
  <c r="H58" i="1"/>
  <c r="H59" i="1"/>
  <c r="H60" i="1"/>
  <c r="F63" i="7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C81" i="1"/>
  <c r="H81" i="1"/>
  <c r="H82" i="1"/>
  <c r="F85" i="7"/>
  <c r="H83" i="1"/>
  <c r="H84" i="1"/>
  <c r="F87" i="7"/>
  <c r="H85" i="1"/>
  <c r="H86" i="1"/>
  <c r="H87" i="1"/>
  <c r="H88" i="1"/>
  <c r="H89" i="1"/>
  <c r="H90" i="1"/>
  <c r="H91" i="1"/>
  <c r="H92" i="1"/>
  <c r="H93" i="1"/>
  <c r="H94" i="1"/>
  <c r="H95" i="1"/>
  <c r="H96" i="1"/>
  <c r="F99" i="7"/>
  <c r="H97" i="1"/>
  <c r="H98" i="1"/>
  <c r="H99" i="1"/>
  <c r="H100" i="1"/>
  <c r="H101" i="1"/>
  <c r="H102" i="1"/>
  <c r="F105" i="7"/>
  <c r="H103" i="1"/>
  <c r="H104" i="1"/>
  <c r="H105" i="1"/>
  <c r="H106" i="1"/>
  <c r="H107" i="1"/>
  <c r="H108" i="1"/>
  <c r="H109" i="1"/>
  <c r="H110" i="1"/>
  <c r="F113" i="7"/>
  <c r="H111" i="1"/>
  <c r="H112" i="1"/>
  <c r="H113" i="1"/>
  <c r="H114" i="1"/>
  <c r="H115" i="1"/>
  <c r="H116" i="1"/>
  <c r="H117" i="1"/>
  <c r="H118" i="1"/>
  <c r="F119" i="7"/>
  <c r="H119" i="1"/>
  <c r="H120" i="1"/>
  <c r="H121" i="1"/>
  <c r="F124" i="7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/>
  <c r="H134" i="1"/>
  <c r="F137" i="7"/>
  <c r="H135" i="1"/>
  <c r="H136" i="1"/>
  <c r="H137" i="1"/>
  <c r="H138" i="1"/>
  <c r="H139" i="1"/>
  <c r="H140" i="1"/>
  <c r="H141" i="1"/>
  <c r="H142" i="1"/>
  <c r="F145" i="7"/>
  <c r="H143" i="1"/>
  <c r="H144" i="1"/>
  <c r="H145" i="1"/>
  <c r="H146" i="1"/>
  <c r="H147" i="1"/>
  <c r="F150" i="7"/>
  <c r="H148" i="1"/>
  <c r="H149" i="1"/>
  <c r="H150" i="1"/>
  <c r="H151" i="1"/>
  <c r="H152" i="1"/>
  <c r="H153" i="1"/>
  <c r="H154" i="1"/>
  <c r="H155" i="1"/>
  <c r="F158" i="7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F170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F188" i="7"/>
  <c r="H186" i="1"/>
  <c r="H187" i="1"/>
  <c r="H188" i="1"/>
  <c r="H189" i="1"/>
  <c r="H190" i="1"/>
  <c r="H191" i="1"/>
  <c r="H192" i="1"/>
  <c r="F193" i="7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F219" i="7"/>
  <c r="H217" i="1"/>
  <c r="H218" i="1"/>
  <c r="H219" i="1"/>
  <c r="H220" i="1"/>
  <c r="H221" i="1"/>
  <c r="H222" i="1"/>
  <c r="H223" i="1"/>
  <c r="H224" i="1"/>
  <c r="F227" i="7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F265" i="7"/>
  <c r="H263" i="1"/>
  <c r="H264" i="1"/>
  <c r="H265" i="1"/>
  <c r="H266" i="1"/>
  <c r="H267" i="1"/>
  <c r="H268" i="1"/>
  <c r="H269" i="1"/>
  <c r="H270" i="1"/>
  <c r="F273" i="7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F289" i="7"/>
  <c r="H287" i="1"/>
  <c r="H288" i="1"/>
  <c r="F291" i="7"/>
  <c r="H289" i="1"/>
  <c r="H290" i="1"/>
  <c r="H291" i="1"/>
  <c r="H292" i="1"/>
  <c r="F293" i="7"/>
  <c r="H293" i="1"/>
  <c r="F296" i="7"/>
  <c r="H294" i="1"/>
  <c r="H295" i="1"/>
  <c r="H296" i="1"/>
  <c r="F299" i="7"/>
  <c r="H297" i="1"/>
  <c r="H298" i="1"/>
  <c r="H299" i="1"/>
  <c r="H300" i="1"/>
  <c r="F303" i="7"/>
  <c r="H301" i="1"/>
  <c r="H302" i="1"/>
  <c r="H303" i="1"/>
  <c r="H304" i="1"/>
  <c r="H305" i="1"/>
  <c r="H306" i="1"/>
  <c r="H307" i="1"/>
  <c r="F309" i="7"/>
  <c r="H308" i="1"/>
  <c r="F311" i="7"/>
  <c r="H309" i="1"/>
  <c r="H310" i="1"/>
  <c r="H311" i="1"/>
  <c r="H312" i="1"/>
  <c r="H313" i="1"/>
  <c r="H314" i="1"/>
  <c r="F314" i="7"/>
  <c r="F315" i="7"/>
  <c r="H315" i="1"/>
  <c r="H316" i="1"/>
  <c r="H317" i="1"/>
  <c r="H318" i="1"/>
  <c r="H319" i="1"/>
  <c r="H320" i="1"/>
  <c r="H321" i="1"/>
  <c r="H322" i="1"/>
  <c r="F325" i="7"/>
  <c r="H323" i="1"/>
  <c r="H324" i="1"/>
  <c r="F327" i="7"/>
  <c r="H325" i="1"/>
  <c r="H326" i="1"/>
  <c r="H327" i="1"/>
  <c r="H328" i="1"/>
  <c r="F331" i="7"/>
  <c r="H329" i="1"/>
  <c r="H330" i="1"/>
  <c r="H331" i="1"/>
  <c r="H332" i="1"/>
  <c r="H333" i="1"/>
  <c r="H334" i="1"/>
  <c r="H335" i="1"/>
  <c r="H336" i="1"/>
  <c r="H337" i="1"/>
  <c r="F340" i="7"/>
  <c r="H338" i="1"/>
  <c r="H339" i="1"/>
  <c r="H340" i="1"/>
  <c r="H341" i="1"/>
  <c r="H342" i="1"/>
  <c r="F345" i="7"/>
  <c r="H343" i="1"/>
  <c r="H344" i="1"/>
  <c r="H345" i="1"/>
  <c r="H346" i="1"/>
  <c r="H347" i="1"/>
  <c r="H348" i="1"/>
  <c r="H349" i="1"/>
  <c r="H350" i="1"/>
  <c r="F353" i="7"/>
  <c r="H351" i="1"/>
  <c r="H352" i="1"/>
  <c r="F355" i="7"/>
  <c r="H353" i="1"/>
  <c r="H354" i="1"/>
  <c r="H355" i="1"/>
  <c r="H356" i="1"/>
  <c r="H357" i="1"/>
  <c r="H358" i="1"/>
  <c r="H359" i="1"/>
  <c r="H360" i="1"/>
  <c r="H361" i="1"/>
  <c r="H362" i="1"/>
  <c r="H363" i="1"/>
  <c r="H364" i="1"/>
  <c r="F367" i="7"/>
  <c r="H365" i="1"/>
  <c r="H366" i="1"/>
  <c r="H367" i="1"/>
  <c r="H368" i="1"/>
  <c r="H369" i="1"/>
  <c r="H370" i="1"/>
  <c r="F373" i="7"/>
  <c r="H371" i="1"/>
  <c r="H372" i="1"/>
  <c r="H373" i="1"/>
  <c r="H374" i="1"/>
  <c r="H375" i="1"/>
  <c r="H376" i="1"/>
  <c r="H377" i="1"/>
  <c r="F378" i="7"/>
  <c r="H378" i="1"/>
  <c r="H379" i="1"/>
  <c r="F382" i="7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F398" i="7"/>
  <c r="H397" i="1"/>
  <c r="H398" i="1"/>
  <c r="H399" i="1"/>
  <c r="F399" i="7"/>
  <c r="H400" i="1"/>
  <c r="H401" i="1"/>
  <c r="H402" i="1"/>
  <c r="H403" i="1"/>
  <c r="H404" i="1"/>
  <c r="H405" i="1"/>
  <c r="H406" i="1"/>
  <c r="H407" i="1"/>
  <c r="N615" i="7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N644" i="7"/>
  <c r="H437" i="1"/>
  <c r="H438" i="1"/>
  <c r="H439" i="1"/>
  <c r="H440" i="1"/>
  <c r="H441" i="1"/>
  <c r="H442" i="1"/>
  <c r="H458" i="1"/>
  <c r="H459" i="1"/>
  <c r="N667" i="7"/>
  <c r="H460" i="1"/>
  <c r="H461" i="1"/>
  <c r="F463" i="7"/>
  <c r="H462" i="1"/>
  <c r="H463" i="1"/>
  <c r="H464" i="1"/>
  <c r="F464" i="7"/>
  <c r="H465" i="1"/>
  <c r="H466" i="1"/>
  <c r="H467" i="1"/>
  <c r="H468" i="1"/>
  <c r="H469" i="1"/>
  <c r="H470" i="1"/>
  <c r="H471" i="1"/>
  <c r="H472" i="1"/>
  <c r="N628" i="7"/>
  <c r="H473" i="1"/>
  <c r="H474" i="1"/>
  <c r="H475" i="1"/>
  <c r="F477" i="7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N597" i="7"/>
  <c r="H494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F525" i="7"/>
  <c r="H523" i="1"/>
  <c r="H524" i="1"/>
  <c r="H525" i="1"/>
  <c r="H526" i="1"/>
  <c r="H527" i="1"/>
  <c r="F530" i="7"/>
  <c r="C82" i="7"/>
  <c r="Y854" i="7"/>
  <c r="I970" i="1"/>
  <c r="I880" i="1"/>
  <c r="T943" i="7"/>
  <c r="I672" i="1"/>
  <c r="I782" i="1"/>
  <c r="I541" i="1"/>
  <c r="I761" i="1"/>
  <c r="I838" i="1"/>
  <c r="C83" i="7"/>
  <c r="C81" i="7"/>
  <c r="I871" i="1"/>
  <c r="I756" i="1"/>
  <c r="I904" i="1"/>
  <c r="F904" i="7"/>
  <c r="I957" i="1"/>
  <c r="Y843" i="7"/>
  <c r="T994" i="7"/>
  <c r="Y912" i="7"/>
  <c r="I741" i="1"/>
  <c r="I617" i="1"/>
  <c r="I754" i="1"/>
  <c r="I653" i="1"/>
  <c r="S893" i="7"/>
  <c r="S862" i="7"/>
  <c r="T998" i="7"/>
  <c r="I951" i="1"/>
  <c r="F995" i="7"/>
  <c r="S817" i="7"/>
  <c r="F747" i="7"/>
  <c r="T860" i="7"/>
  <c r="N739" i="7"/>
  <c r="F729" i="7"/>
  <c r="F654" i="7"/>
  <c r="I748" i="1"/>
  <c r="I773" i="1"/>
  <c r="I591" i="1"/>
  <c r="S936" i="7"/>
  <c r="I930" i="1"/>
  <c r="F939" i="7"/>
  <c r="I751" i="1"/>
  <c r="I851" i="1"/>
  <c r="I864" i="1"/>
  <c r="F975" i="7"/>
  <c r="Y866" i="7"/>
  <c r="Y918" i="7"/>
  <c r="Y970" i="7"/>
  <c r="T896" i="7"/>
  <c r="I845" i="1"/>
  <c r="I834" i="1"/>
  <c r="Y1008" i="7"/>
  <c r="I1006" i="1"/>
  <c r="I1002" i="1"/>
  <c r="T713" i="7"/>
  <c r="I719" i="1"/>
  <c r="I536" i="1"/>
  <c r="N890" i="7"/>
  <c r="I796" i="1"/>
  <c r="I954" i="1"/>
  <c r="Y936" i="7"/>
  <c r="Y904" i="7"/>
  <c r="I1022" i="1"/>
  <c r="U641" i="7"/>
  <c r="I998" i="1"/>
  <c r="T855" i="7"/>
  <c r="T959" i="7"/>
  <c r="Y873" i="7"/>
  <c r="S685" i="7"/>
  <c r="T942" i="7"/>
  <c r="F917" i="7"/>
  <c r="N809" i="7"/>
  <c r="S904" i="7"/>
  <c r="S864" i="7"/>
  <c r="S972" i="7"/>
  <c r="S870" i="7"/>
  <c r="S977" i="7"/>
  <c r="F855" i="7"/>
  <c r="S934" i="7"/>
  <c r="F914" i="7"/>
  <c r="T907" i="7"/>
  <c r="I920" i="1"/>
  <c r="F54" i="7"/>
  <c r="S938" i="7"/>
  <c r="S940" i="7"/>
  <c r="S992" i="7"/>
  <c r="S946" i="7"/>
  <c r="S894" i="7"/>
  <c r="S998" i="7"/>
  <c r="I862" i="1"/>
  <c r="I873" i="1"/>
  <c r="I876" i="1"/>
  <c r="F70" i="7"/>
  <c r="F854" i="7"/>
  <c r="N633" i="7"/>
  <c r="T905" i="7"/>
  <c r="S956" i="7"/>
  <c r="I575" i="1"/>
  <c r="G578" i="7"/>
  <c r="S989" i="7"/>
  <c r="S993" i="7"/>
  <c r="N954" i="7"/>
  <c r="I850" i="1"/>
  <c r="N906" i="7"/>
  <c r="F624" i="7"/>
  <c r="F539" i="7"/>
  <c r="F915" i="7"/>
  <c r="N897" i="7"/>
  <c r="I801" i="1"/>
  <c r="F811" i="7"/>
  <c r="S1008" i="7"/>
  <c r="F853" i="7"/>
  <c r="I622" i="1"/>
  <c r="I793" i="1"/>
  <c r="N861" i="7"/>
  <c r="I590" i="1"/>
  <c r="I582" i="1"/>
  <c r="I612" i="1"/>
  <c r="F945" i="7"/>
  <c r="I944" i="1"/>
  <c r="I987" i="1"/>
  <c r="I981" i="1"/>
  <c r="Y891" i="7"/>
  <c r="Y875" i="7"/>
  <c r="Y888" i="7"/>
  <c r="Y836" i="7"/>
  <c r="I892" i="1"/>
  <c r="Y898" i="7"/>
  <c r="Y874" i="7"/>
  <c r="Y868" i="7"/>
  <c r="I663" i="1"/>
  <c r="I905" i="1"/>
  <c r="F906" i="7"/>
  <c r="F905" i="7"/>
  <c r="S964" i="7"/>
  <c r="T987" i="7"/>
  <c r="T963" i="7"/>
  <c r="S966" i="7"/>
  <c r="I1018" i="1"/>
  <c r="T800" i="7"/>
  <c r="S973" i="7"/>
  <c r="Y913" i="7"/>
  <c r="Y881" i="7"/>
  <c r="I898" i="1"/>
  <c r="F901" i="7"/>
  <c r="I929" i="1"/>
  <c r="I936" i="1"/>
  <c r="G938" i="7"/>
  <c r="I1014" i="1"/>
  <c r="T933" i="7"/>
  <c r="T962" i="7"/>
  <c r="T939" i="7"/>
  <c r="S962" i="7"/>
  <c r="S841" i="7"/>
  <c r="S846" i="7"/>
  <c r="S910" i="7"/>
  <c r="S925" i="7"/>
  <c r="T871" i="7"/>
  <c r="T926" i="7"/>
  <c r="T874" i="7"/>
  <c r="I919" i="1"/>
  <c r="F927" i="7"/>
  <c r="I736" i="1"/>
  <c r="I744" i="1"/>
  <c r="F383" i="7"/>
  <c r="T973" i="7"/>
  <c r="T872" i="7"/>
  <c r="S879" i="7"/>
  <c r="U967" i="7"/>
  <c r="U918" i="7"/>
  <c r="S948" i="7"/>
  <c r="S1000" i="7"/>
  <c r="S954" i="7"/>
  <c r="S1006" i="7"/>
  <c r="N1000" i="7"/>
  <c r="N896" i="7"/>
  <c r="F829" i="7"/>
  <c r="V623" i="7"/>
  <c r="T913" i="7"/>
  <c r="T970" i="7"/>
  <c r="F591" i="7"/>
  <c r="F526" i="7"/>
  <c r="F930" i="7"/>
  <c r="I907" i="1"/>
  <c r="F908" i="7"/>
  <c r="F907" i="7"/>
  <c r="I913" i="1"/>
  <c r="F916" i="7"/>
  <c r="S947" i="7"/>
  <c r="F496" i="7"/>
  <c r="T981" i="7"/>
  <c r="U941" i="7"/>
  <c r="T936" i="7"/>
  <c r="S997" i="7"/>
  <c r="S945" i="7"/>
  <c r="I765" i="1"/>
  <c r="S928" i="7"/>
  <c r="I628" i="1"/>
  <c r="T863" i="7"/>
  <c r="T918" i="7"/>
  <c r="T870" i="7"/>
  <c r="T978" i="7"/>
  <c r="S982" i="7"/>
  <c r="Y958" i="7"/>
  <c r="T921" i="7"/>
  <c r="I916" i="1"/>
  <c r="F918" i="7"/>
  <c r="F919" i="7"/>
  <c r="V965" i="7"/>
  <c r="I675" i="1"/>
  <c r="F883" i="7"/>
  <c r="N968" i="7"/>
  <c r="S985" i="7"/>
  <c r="I627" i="1"/>
  <c r="I565" i="1"/>
  <c r="F376" i="7"/>
  <c r="I615" i="1"/>
  <c r="F400" i="7"/>
  <c r="F384" i="7"/>
  <c r="I820" i="1"/>
  <c r="I532" i="1"/>
  <c r="F498" i="7"/>
  <c r="I681" i="1"/>
  <c r="O785" i="7"/>
  <c r="F690" i="7"/>
  <c r="I709" i="1"/>
  <c r="I731" i="1"/>
  <c r="F884" i="7"/>
  <c r="F885" i="7"/>
  <c r="Y851" i="7"/>
  <c r="I872" i="1"/>
  <c r="I948" i="1"/>
  <c r="Y838" i="7"/>
  <c r="S877" i="7"/>
  <c r="S988" i="7"/>
  <c r="F889" i="7"/>
  <c r="I889" i="1"/>
  <c r="I958" i="1"/>
  <c r="O1010" i="7"/>
  <c r="T817" i="7"/>
  <c r="T975" i="7"/>
  <c r="I934" i="1"/>
  <c r="T967" i="7"/>
  <c r="T915" i="7"/>
  <c r="I923" i="1"/>
  <c r="F926" i="7"/>
  <c r="S689" i="7"/>
  <c r="T965" i="7"/>
  <c r="V670" i="7"/>
  <c r="T935" i="7"/>
  <c r="S980" i="7"/>
  <c r="T880" i="7"/>
  <c r="T923" i="7"/>
  <c r="F700" i="7"/>
  <c r="T879" i="7"/>
  <c r="S933" i="7"/>
  <c r="U929" i="7"/>
  <c r="N682" i="7"/>
  <c r="N786" i="7"/>
  <c r="F630" i="7"/>
  <c r="I630" i="1"/>
  <c r="I623" i="1"/>
  <c r="O727" i="7"/>
  <c r="I577" i="1"/>
  <c r="I638" i="1"/>
  <c r="I599" i="1"/>
  <c r="I593" i="1"/>
  <c r="G593" i="7"/>
  <c r="F459" i="7"/>
  <c r="F774" i="7"/>
  <c r="I771" i="1"/>
  <c r="I804" i="1"/>
  <c r="V715" i="7"/>
  <c r="I909" i="1"/>
  <c r="F911" i="7"/>
  <c r="F909" i="7"/>
  <c r="W1013" i="7"/>
  <c r="F910" i="7"/>
  <c r="F912" i="7"/>
  <c r="F952" i="7"/>
  <c r="F951" i="7"/>
  <c r="I949" i="1"/>
  <c r="F687" i="7"/>
  <c r="I697" i="1"/>
  <c r="I843" i="1"/>
  <c r="F169" i="7"/>
  <c r="G881" i="7"/>
  <c r="I704" i="1"/>
  <c r="I726" i="1"/>
  <c r="T705" i="7"/>
  <c r="F631" i="7"/>
  <c r="I576" i="1"/>
  <c r="N725" i="7"/>
  <c r="I598" i="1"/>
  <c r="F600" i="7"/>
  <c r="F585" i="7"/>
  <c r="I738" i="1"/>
  <c r="I758" i="1"/>
  <c r="I764" i="1"/>
  <c r="N972" i="7"/>
  <c r="N920" i="7"/>
  <c r="F653" i="7"/>
  <c r="I636" i="1"/>
  <c r="T911" i="7"/>
  <c r="T862" i="7"/>
  <c r="S917" i="7"/>
  <c r="S969" i="7"/>
  <c r="S918" i="7"/>
  <c r="S970" i="7"/>
  <c r="S921" i="7"/>
  <c r="S869" i="7"/>
  <c r="F318" i="7"/>
  <c r="F80" i="7"/>
  <c r="F72" i="7"/>
  <c r="F29" i="7"/>
  <c r="I703" i="1"/>
  <c r="F703" i="7"/>
  <c r="F704" i="7"/>
  <c r="N829" i="7"/>
  <c r="F728" i="7"/>
  <c r="N791" i="7"/>
  <c r="I739" i="1"/>
  <c r="F81" i="7"/>
  <c r="I656" i="1"/>
  <c r="G659" i="7"/>
  <c r="F721" i="7"/>
  <c r="I855" i="1"/>
  <c r="I895" i="1"/>
  <c r="I933" i="1"/>
  <c r="F935" i="7"/>
  <c r="F936" i="7"/>
  <c r="Y858" i="7"/>
  <c r="Y834" i="7"/>
  <c r="I654" i="1"/>
  <c r="I852" i="1"/>
  <c r="F368" i="7"/>
  <c r="I790" i="1"/>
  <c r="I795" i="1"/>
  <c r="F469" i="7"/>
  <c r="I902" i="1"/>
  <c r="F903" i="7"/>
  <c r="V583" i="7"/>
  <c r="F440" i="7"/>
  <c r="F374" i="7"/>
  <c r="F913" i="7"/>
  <c r="F805" i="7"/>
  <c r="T945" i="7"/>
  <c r="T696" i="7"/>
  <c r="I883" i="1"/>
  <c r="I1010" i="1"/>
  <c r="F1010" i="7"/>
  <c r="T992" i="7"/>
  <c r="I960" i="1"/>
  <c r="N1012" i="7"/>
  <c r="T1011" i="7"/>
  <c r="Y896" i="7"/>
  <c r="S968" i="7"/>
  <c r="N1020" i="7"/>
  <c r="I968" i="1"/>
  <c r="O1020" i="7"/>
  <c r="N1010" i="7"/>
  <c r="N1018" i="7"/>
  <c r="S1018" i="7"/>
  <c r="F1012" i="7"/>
  <c r="I959" i="1"/>
  <c r="T1015" i="7"/>
  <c r="T1019" i="7"/>
  <c r="F197" i="7"/>
  <c r="I776" i="1"/>
  <c r="N984" i="7"/>
  <c r="T808" i="7"/>
  <c r="T861" i="7"/>
  <c r="S876" i="7"/>
  <c r="S719" i="7"/>
  <c r="U817" i="7"/>
  <c r="U843" i="7"/>
  <c r="U957" i="7"/>
  <c r="U907" i="7"/>
  <c r="U959" i="7"/>
  <c r="U962" i="7"/>
  <c r="U910" i="7"/>
  <c r="U864" i="7"/>
  <c r="U876" i="7"/>
  <c r="U931" i="7"/>
  <c r="U983" i="7"/>
  <c r="U934" i="7"/>
  <c r="U986" i="7"/>
  <c r="U990" i="7"/>
  <c r="U943" i="7"/>
  <c r="F839" i="7"/>
  <c r="I846" i="1"/>
  <c r="N1002" i="7"/>
  <c r="F846" i="7"/>
  <c r="N950" i="7"/>
  <c r="T914" i="7"/>
  <c r="T966" i="7"/>
  <c r="T1018" i="7"/>
  <c r="I814" i="1"/>
  <c r="F824" i="7"/>
  <c r="T651" i="7"/>
  <c r="T759" i="7"/>
  <c r="T655" i="7"/>
  <c r="T739" i="7"/>
  <c r="U688" i="7"/>
  <c r="T747" i="7"/>
  <c r="U696" i="7"/>
  <c r="S859" i="7"/>
  <c r="S806" i="7"/>
  <c r="S702" i="7"/>
  <c r="U885" i="7"/>
  <c r="T787" i="7"/>
  <c r="V740" i="7"/>
  <c r="V741" i="7"/>
  <c r="V748" i="7"/>
  <c r="V749" i="7"/>
  <c r="V750" i="7"/>
  <c r="V768" i="7"/>
  <c r="V789" i="7"/>
  <c r="V790" i="7"/>
  <c r="V876" i="7"/>
  <c r="U924" i="7"/>
  <c r="U1015" i="7"/>
  <c r="Y1022" i="7"/>
  <c r="Y1014" i="7"/>
  <c r="Y1006" i="7"/>
  <c r="Y987" i="7"/>
  <c r="U853" i="7"/>
  <c r="Y976" i="7"/>
  <c r="V728" i="7"/>
  <c r="N1022" i="7"/>
  <c r="N621" i="7"/>
  <c r="N673" i="7"/>
  <c r="I745" i="1"/>
  <c r="F748" i="7"/>
  <c r="S687" i="7"/>
  <c r="T853" i="7"/>
  <c r="U792" i="7"/>
  <c r="U813" i="7"/>
  <c r="U846" i="7"/>
  <c r="U954" i="7"/>
  <c r="U902" i="7"/>
  <c r="U862" i="7"/>
  <c r="U1019" i="7"/>
  <c r="U1022" i="7"/>
  <c r="U865" i="7"/>
  <c r="U921" i="7"/>
  <c r="U978" i="7"/>
  <c r="U933" i="7"/>
  <c r="U881" i="7"/>
  <c r="U944" i="7"/>
  <c r="U894" i="7"/>
  <c r="S898" i="7"/>
  <c r="S950" i="7"/>
  <c r="T917" i="7"/>
  <c r="T969" i="7"/>
  <c r="T927" i="7"/>
  <c r="T979" i="7"/>
  <c r="I976" i="1"/>
  <c r="F978" i="7"/>
  <c r="W1030" i="7"/>
  <c r="T1021" i="7"/>
  <c r="Y979" i="7"/>
  <c r="U855" i="7"/>
  <c r="N675" i="7"/>
  <c r="F511" i="7"/>
  <c r="N584" i="7"/>
  <c r="F26" i="7"/>
  <c r="F28" i="7"/>
  <c r="N671" i="7"/>
  <c r="F622" i="7"/>
  <c r="I619" i="1"/>
  <c r="I549" i="1"/>
  <c r="F722" i="7"/>
  <c r="I722" i="1"/>
  <c r="N774" i="7"/>
  <c r="I730" i="1"/>
  <c r="N886" i="7"/>
  <c r="F771" i="7"/>
  <c r="F873" i="7"/>
  <c r="V899" i="7"/>
  <c r="T792" i="7"/>
  <c r="T845" i="7"/>
  <c r="S695" i="7"/>
  <c r="S799" i="7"/>
  <c r="T869" i="7"/>
  <c r="T816" i="7"/>
  <c r="U789" i="7"/>
  <c r="U794" i="7"/>
  <c r="U809" i="7"/>
  <c r="U845" i="7"/>
  <c r="U856" i="7"/>
  <c r="U963" i="7"/>
  <c r="U911" i="7"/>
  <c r="U863" i="7"/>
  <c r="U915" i="7"/>
  <c r="U871" i="7"/>
  <c r="U878" i="7"/>
  <c r="U989" i="7"/>
  <c r="U889" i="7"/>
  <c r="U895" i="7"/>
  <c r="S1001" i="7"/>
  <c r="S897" i="7"/>
  <c r="S1004" i="7"/>
  <c r="S952" i="7"/>
  <c r="T964" i="7"/>
  <c r="T912" i="7"/>
  <c r="U982" i="7"/>
  <c r="U930" i="7"/>
  <c r="O938" i="7"/>
  <c r="I836" i="1"/>
  <c r="O940" i="7"/>
  <c r="N940" i="7"/>
  <c r="N888" i="7"/>
  <c r="S711" i="7"/>
  <c r="S892" i="7"/>
  <c r="S735" i="7"/>
  <c r="U741" i="7"/>
  <c r="U757" i="7"/>
  <c r="U784" i="7"/>
  <c r="U793" i="7"/>
  <c r="U818" i="7"/>
  <c r="U824" i="7"/>
  <c r="U847" i="7"/>
  <c r="U861" i="7"/>
  <c r="U913" i="7"/>
  <c r="U919" i="7"/>
  <c r="U870" i="7"/>
  <c r="U880" i="7"/>
  <c r="U935" i="7"/>
  <c r="U987" i="7"/>
  <c r="U939" i="7"/>
  <c r="U942" i="7"/>
  <c r="U948" i="7"/>
  <c r="U896" i="7"/>
  <c r="S899" i="7"/>
  <c r="S951" i="7"/>
  <c r="S1003" i="7"/>
  <c r="T968" i="7"/>
  <c r="T1020" i="7"/>
  <c r="T916" i="7"/>
  <c r="T920" i="7"/>
  <c r="T972" i="7"/>
  <c r="U965" i="7"/>
  <c r="V797" i="7"/>
  <c r="V960" i="7"/>
  <c r="V982" i="7"/>
  <c r="V938" i="7"/>
  <c r="V941" i="7"/>
  <c r="F847" i="7"/>
  <c r="N914" i="7"/>
  <c r="I706" i="1"/>
  <c r="U690" i="7"/>
  <c r="U658" i="7"/>
  <c r="U707" i="7"/>
  <c r="S823" i="7"/>
  <c r="U900" i="7"/>
  <c r="N952" i="7"/>
  <c r="F851" i="7"/>
  <c r="V906" i="7"/>
  <c r="F940" i="7"/>
  <c r="I946" i="1"/>
  <c r="F946" i="7"/>
  <c r="F948" i="7"/>
  <c r="N998" i="7"/>
  <c r="F949" i="7"/>
  <c r="Y917" i="7"/>
  <c r="Y878" i="7"/>
  <c r="Y930" i="7"/>
  <c r="Y986" i="7"/>
  <c r="F954" i="7"/>
  <c r="I831" i="1"/>
  <c r="F834" i="7"/>
  <c r="T625" i="7"/>
  <c r="V672" i="7"/>
  <c r="T791" i="7"/>
  <c r="T807" i="7"/>
  <c r="T650" i="7"/>
  <c r="V655" i="7"/>
  <c r="T666" i="7"/>
  <c r="T777" i="7"/>
  <c r="V953" i="7"/>
  <c r="I931" i="1"/>
  <c r="F931" i="7"/>
  <c r="F932" i="7"/>
  <c r="Y924" i="7"/>
  <c r="F1013" i="7"/>
  <c r="I938" i="1"/>
  <c r="Y910" i="7"/>
  <c r="N987" i="7"/>
  <c r="F955" i="7"/>
  <c r="I755" i="1"/>
  <c r="O807" i="7"/>
  <c r="I807" i="1"/>
  <c r="F41" i="7"/>
  <c r="I778" i="1"/>
  <c r="F780" i="7"/>
  <c r="V696" i="7"/>
  <c r="U815" i="7"/>
  <c r="T734" i="7"/>
  <c r="U950" i="7"/>
  <c r="V904" i="7"/>
  <c r="S978" i="7"/>
  <c r="S926" i="7"/>
  <c r="Y925" i="7"/>
  <c r="Y977" i="7"/>
  <c r="N784" i="7"/>
  <c r="N836" i="7"/>
  <c r="I732" i="1"/>
  <c r="N948" i="7"/>
  <c r="I740" i="1"/>
  <c r="O896" i="7"/>
  <c r="N844" i="7"/>
  <c r="N949" i="7"/>
  <c r="F793" i="7"/>
  <c r="F796" i="7"/>
  <c r="I823" i="1"/>
  <c r="O927" i="7"/>
  <c r="N875" i="7"/>
  <c r="T597" i="7"/>
  <c r="V632" i="7"/>
  <c r="T690" i="7"/>
  <c r="T758" i="7"/>
  <c r="T706" i="7"/>
  <c r="T811" i="7"/>
  <c r="V659" i="7"/>
  <c r="T738" i="7"/>
  <c r="S804" i="7"/>
  <c r="S865" i="7"/>
  <c r="S812" i="7"/>
  <c r="U955" i="7"/>
  <c r="F950" i="7"/>
  <c r="I947" i="1"/>
  <c r="T1016" i="7"/>
  <c r="F941" i="7"/>
  <c r="V620" i="7"/>
  <c r="F963" i="7"/>
  <c r="I659" i="1"/>
  <c r="I596" i="1"/>
  <c r="F599" i="7"/>
  <c r="V819" i="7"/>
  <c r="V913" i="7"/>
  <c r="V866" i="7"/>
  <c r="V978" i="7"/>
  <c r="V885" i="7"/>
  <c r="V994" i="7"/>
  <c r="U916" i="7"/>
  <c r="U920" i="7"/>
  <c r="F962" i="7"/>
  <c r="F961" i="7"/>
  <c r="Y966" i="7"/>
  <c r="Y1018" i="7"/>
  <c r="F1050" i="7"/>
  <c r="I1049" i="1"/>
  <c r="F1049" i="7"/>
  <c r="S929" i="7"/>
  <c r="U808" i="7"/>
  <c r="S686" i="7"/>
  <c r="V712" i="7"/>
  <c r="U1003" i="7"/>
  <c r="Y1013" i="7"/>
  <c r="Y909" i="7"/>
  <c r="Y961" i="7"/>
  <c r="F947" i="7"/>
  <c r="V586" i="7"/>
  <c r="V628" i="7"/>
  <c r="V647" i="7"/>
  <c r="T769" i="7"/>
  <c r="U908" i="7"/>
  <c r="U993" i="7"/>
  <c r="I971" i="1"/>
  <c r="F974" i="7"/>
  <c r="I982" i="1"/>
  <c r="F984" i="7"/>
  <c r="F982" i="7"/>
  <c r="N956" i="7"/>
  <c r="F933" i="7"/>
  <c r="F787" i="7"/>
  <c r="Y994" i="7"/>
  <c r="I629" i="1"/>
  <c r="G632" i="7"/>
  <c r="F632" i="7"/>
  <c r="N785" i="7"/>
  <c r="N837" i="7"/>
  <c r="G624" i="7"/>
  <c r="I614" i="1"/>
  <c r="G617" i="7"/>
  <c r="F617" i="7"/>
  <c r="F615" i="7"/>
  <c r="N718" i="7"/>
  <c r="I544" i="1"/>
  <c r="N694" i="7"/>
  <c r="I634" i="1"/>
  <c r="F637" i="7"/>
  <c r="N686" i="7"/>
  <c r="V821" i="7"/>
  <c r="V845" i="7"/>
  <c r="V957" i="7"/>
  <c r="V971" i="7"/>
  <c r="V894" i="7"/>
  <c r="U1016" i="7"/>
  <c r="U964" i="7"/>
  <c r="U917" i="7"/>
  <c r="U976" i="7"/>
  <c r="I874" i="1"/>
  <c r="F875" i="7"/>
  <c r="F970" i="7"/>
  <c r="F971" i="7"/>
  <c r="I969" i="1"/>
  <c r="U674" i="7"/>
  <c r="U635" i="7"/>
  <c r="S714" i="7"/>
  <c r="S831" i="7"/>
  <c r="T726" i="7"/>
  <c r="V736" i="7"/>
  <c r="V916" i="7"/>
  <c r="U1000" i="7"/>
  <c r="T799" i="7"/>
  <c r="T698" i="7"/>
  <c r="T658" i="7"/>
  <c r="V679" i="7"/>
  <c r="U1009" i="7"/>
  <c r="Y916" i="7"/>
  <c r="Y877" i="7"/>
  <c r="Y929" i="7"/>
  <c r="F742" i="7"/>
  <c r="F934" i="7"/>
  <c r="N942" i="7"/>
  <c r="F326" i="7"/>
  <c r="I786" i="1"/>
  <c r="F972" i="7"/>
  <c r="T890" i="7"/>
  <c r="N669" i="7"/>
  <c r="N617" i="7"/>
  <c r="F284" i="7"/>
  <c r="F260" i="7"/>
  <c r="F252" i="7"/>
  <c r="F244" i="7"/>
  <c r="F236" i="7"/>
  <c r="F229" i="7"/>
  <c r="F220" i="7"/>
  <c r="F212" i="7"/>
  <c r="F206" i="7"/>
  <c r="F198" i="7"/>
  <c r="F189" i="7"/>
  <c r="F117" i="7"/>
  <c r="F93" i="7"/>
  <c r="F30" i="7"/>
  <c r="I537" i="1"/>
  <c r="F531" i="7"/>
  <c r="N685" i="7"/>
  <c r="I633" i="1"/>
  <c r="N737" i="7"/>
  <c r="I671" i="1"/>
  <c r="N723" i="7"/>
  <c r="N835" i="7"/>
  <c r="N731" i="7"/>
  <c r="I679" i="1"/>
  <c r="F681" i="7"/>
  <c r="F130" i="7"/>
  <c r="U946" i="7"/>
  <c r="S984" i="7"/>
  <c r="T993" i="7"/>
  <c r="U994" i="7"/>
  <c r="F1021" i="7"/>
  <c r="I917" i="1"/>
  <c r="F920" i="7"/>
  <c r="U979" i="7"/>
  <c r="G1035" i="7"/>
  <c r="N600" i="7"/>
  <c r="I667" i="1"/>
  <c r="O719" i="7"/>
  <c r="N771" i="7"/>
  <c r="I652" i="1"/>
  <c r="F655" i="7"/>
  <c r="F677" i="7"/>
  <c r="N885" i="7"/>
  <c r="F741" i="7"/>
  <c r="W897" i="7"/>
  <c r="N856" i="7"/>
  <c r="V980" i="7"/>
  <c r="F882" i="7"/>
  <c r="Y938" i="7"/>
  <c r="T604" i="7"/>
  <c r="T612" i="7"/>
  <c r="T620" i="7"/>
  <c r="U665" i="7"/>
  <c r="T684" i="7"/>
  <c r="S765" i="7"/>
  <c r="U666" i="7"/>
  <c r="U682" i="7"/>
  <c r="U858" i="7"/>
  <c r="U981" i="7"/>
  <c r="U988" i="7"/>
  <c r="T995" i="7"/>
  <c r="U1006" i="7"/>
  <c r="S1010" i="7"/>
  <c r="U1011" i="7"/>
  <c r="S1025" i="7"/>
  <c r="U1036" i="7"/>
  <c r="Y1035" i="7"/>
  <c r="Y1027" i="7"/>
  <c r="Y923" i="7"/>
  <c r="F1041" i="7"/>
  <c r="V585" i="7"/>
  <c r="V593" i="7"/>
  <c r="V617" i="7"/>
  <c r="V605" i="7"/>
  <c r="U660" i="7"/>
  <c r="V629" i="7"/>
  <c r="T593" i="7"/>
  <c r="V693" i="7"/>
  <c r="S937" i="7"/>
  <c r="F896" i="7"/>
  <c r="S1002" i="7"/>
  <c r="S987" i="7"/>
  <c r="S995" i="7"/>
  <c r="U1050" i="7"/>
  <c r="F953" i="7"/>
  <c r="F977" i="7"/>
  <c r="T1036" i="7"/>
  <c r="Y978" i="7"/>
  <c r="Y950" i="7"/>
  <c r="N733" i="7"/>
  <c r="F519" i="7"/>
  <c r="F441" i="7"/>
  <c r="F393" i="7"/>
  <c r="F359" i="7"/>
  <c r="F64" i="7"/>
  <c r="F618" i="7"/>
  <c r="F593" i="7"/>
  <c r="V587" i="7"/>
  <c r="V599" i="7"/>
  <c r="V607" i="7"/>
  <c r="V619" i="7"/>
  <c r="T606" i="7"/>
  <c r="T614" i="7"/>
  <c r="U740" i="7"/>
  <c r="U639" i="7"/>
  <c r="S844" i="7"/>
  <c r="S860" i="7"/>
  <c r="S868" i="7"/>
  <c r="S986" i="7"/>
  <c r="T937" i="7"/>
  <c r="F890" i="7"/>
  <c r="S975" i="7"/>
  <c r="Y985" i="7"/>
  <c r="Y969" i="7"/>
  <c r="F592" i="7"/>
  <c r="T925" i="7"/>
  <c r="T928" i="7"/>
  <c r="S939" i="7"/>
  <c r="S996" i="7"/>
  <c r="T957" i="7"/>
  <c r="U877" i="7"/>
  <c r="U736" i="7"/>
  <c r="U840" i="7"/>
  <c r="U788" i="7"/>
  <c r="U893" i="7"/>
  <c r="V791" i="7"/>
  <c r="V795" i="7"/>
  <c r="V800" i="7"/>
  <c r="V810" i="7"/>
  <c r="V836" i="7"/>
  <c r="V842" i="7"/>
  <c r="V848" i="7"/>
  <c r="V955" i="7"/>
  <c r="V851" i="7"/>
  <c r="V903" i="7"/>
  <c r="V864" i="7"/>
  <c r="V870" i="7"/>
  <c r="V976" i="7"/>
  <c r="V872" i="7"/>
  <c r="V924" i="7"/>
  <c r="V931" i="7"/>
  <c r="V879" i="7"/>
  <c r="V990" i="7"/>
  <c r="V886" i="7"/>
  <c r="V947" i="7"/>
  <c r="W961" i="7"/>
  <c r="I699" i="1"/>
  <c r="N803" i="7"/>
  <c r="F775" i="7"/>
  <c r="I774" i="1"/>
  <c r="G774" i="7"/>
  <c r="N826" i="7"/>
  <c r="T694" i="7"/>
  <c r="T746" i="7"/>
  <c r="T851" i="7"/>
  <c r="T702" i="7"/>
  <c r="T806" i="7"/>
  <c r="S761" i="7"/>
  <c r="S813" i="7"/>
  <c r="U735" i="7"/>
  <c r="U839" i="7"/>
  <c r="U787" i="7"/>
  <c r="U892" i="7"/>
  <c r="U1021" i="7"/>
  <c r="U969" i="7"/>
  <c r="F521" i="7"/>
  <c r="F475" i="7"/>
  <c r="N681" i="7"/>
  <c r="F506" i="7"/>
  <c r="F507" i="7"/>
  <c r="I677" i="1"/>
  <c r="F680" i="7"/>
  <c r="I696" i="1"/>
  <c r="N904" i="7"/>
  <c r="T766" i="7"/>
  <c r="T819" i="7"/>
  <c r="V667" i="7"/>
  <c r="V695" i="7"/>
  <c r="V719" i="7"/>
  <c r="F852" i="7"/>
  <c r="N953" i="7"/>
  <c r="G854" i="7"/>
  <c r="T919" i="7"/>
  <c r="T971" i="7"/>
  <c r="T678" i="7"/>
  <c r="V639" i="7"/>
  <c r="N810" i="7"/>
  <c r="F228" i="7"/>
  <c r="F508" i="7"/>
  <c r="Y1005" i="7"/>
  <c r="V732" i="7"/>
  <c r="V853" i="7"/>
  <c r="V918" i="7"/>
  <c r="T891" i="7"/>
  <c r="N790" i="7"/>
  <c r="S913" i="7"/>
  <c r="S922" i="7"/>
  <c r="V660" i="7"/>
  <c r="T785" i="7"/>
  <c r="V694" i="7"/>
  <c r="I641" i="1"/>
  <c r="I603" i="1"/>
  <c r="N707" i="7"/>
  <c r="I595" i="1"/>
  <c r="F598" i="7"/>
  <c r="N769" i="7"/>
  <c r="F563" i="7"/>
  <c r="I670" i="1"/>
  <c r="G673" i="7"/>
  <c r="F673" i="7"/>
  <c r="F688" i="7"/>
  <c r="I685" i="1"/>
  <c r="I695" i="1"/>
  <c r="F698" i="7"/>
  <c r="N753" i="7"/>
  <c r="I701" i="1"/>
  <c r="I716" i="1"/>
  <c r="N981" i="7"/>
  <c r="N929" i="7"/>
  <c r="N877" i="7"/>
  <c r="T636" i="7"/>
  <c r="T584" i="7"/>
  <c r="T592" i="7"/>
  <c r="T644" i="7"/>
  <c r="T616" i="7"/>
  <c r="T668" i="7"/>
  <c r="T624" i="7"/>
  <c r="T729" i="7"/>
  <c r="S780" i="7"/>
  <c r="U746" i="7"/>
  <c r="V801" i="7"/>
  <c r="V809" i="7"/>
  <c r="V815" i="7"/>
  <c r="V820" i="7"/>
  <c r="V826" i="7"/>
  <c r="V849" i="7"/>
  <c r="V854" i="7"/>
  <c r="V1014" i="7"/>
  <c r="V857" i="7"/>
  <c r="V909" i="7"/>
  <c r="V863" i="7"/>
  <c r="V915" i="7"/>
  <c r="V871" i="7"/>
  <c r="V975" i="7"/>
  <c r="V875" i="7"/>
  <c r="V979" i="7"/>
  <c r="V927" i="7"/>
  <c r="V933" i="7"/>
  <c r="V989" i="7"/>
  <c r="V937" i="7"/>
  <c r="V940" i="7"/>
  <c r="V946" i="7"/>
  <c r="V1000" i="7"/>
  <c r="V948" i="7"/>
  <c r="V896" i="7"/>
  <c r="T899" i="7"/>
  <c r="T1003" i="7"/>
  <c r="S1007" i="7"/>
  <c r="S955" i="7"/>
  <c r="S903" i="7"/>
  <c r="V928" i="7"/>
  <c r="F84" i="7"/>
  <c r="I729" i="1"/>
  <c r="G732" i="7"/>
  <c r="N804" i="7"/>
  <c r="I752" i="1"/>
  <c r="F754" i="7"/>
  <c r="N960" i="7"/>
  <c r="V1010" i="7"/>
  <c r="V912" i="7"/>
  <c r="V917" i="7"/>
  <c r="F998" i="7"/>
  <c r="F1000" i="7"/>
  <c r="W1052" i="7"/>
  <c r="U832" i="7"/>
  <c r="F483" i="7"/>
  <c r="F482" i="7"/>
  <c r="F346" i="7"/>
  <c r="F347" i="7"/>
  <c r="I669" i="1"/>
  <c r="O877" i="7"/>
  <c r="N825" i="7"/>
  <c r="T670" i="7"/>
  <c r="T827" i="7"/>
  <c r="T722" i="7"/>
  <c r="V687" i="7"/>
  <c r="T797" i="7"/>
  <c r="T745" i="7"/>
  <c r="T753" i="7"/>
  <c r="T805" i="7"/>
  <c r="T858" i="7"/>
  <c r="T701" i="7"/>
  <c r="T761" i="7"/>
  <c r="T866" i="7"/>
  <c r="U718" i="7"/>
  <c r="U778" i="7"/>
  <c r="U883" i="7"/>
  <c r="V1004" i="7"/>
  <c r="S1009" i="7"/>
  <c r="S957" i="7"/>
  <c r="N969" i="7"/>
  <c r="F867" i="7"/>
  <c r="U922" i="7"/>
  <c r="U974" i="7"/>
  <c r="Y840" i="7"/>
  <c r="Y944" i="7"/>
  <c r="Y892" i="7"/>
  <c r="U1012" i="7"/>
  <c r="S1017" i="7"/>
  <c r="S709" i="7"/>
  <c r="S866" i="7"/>
  <c r="T859" i="7"/>
  <c r="F509" i="7"/>
  <c r="V952" i="7"/>
  <c r="U711" i="7"/>
  <c r="U972" i="7"/>
  <c r="V972" i="7"/>
  <c r="V905" i="7"/>
  <c r="V707" i="7"/>
  <c r="V860" i="7"/>
  <c r="F267" i="7"/>
  <c r="F991" i="7"/>
  <c r="F988" i="7"/>
  <c r="F990" i="7"/>
  <c r="T823" i="7"/>
  <c r="T876" i="7"/>
  <c r="S734" i="7"/>
  <c r="V793" i="7"/>
  <c r="V802" i="7"/>
  <c r="V807" i="7"/>
  <c r="V812" i="7"/>
  <c r="V823" i="7"/>
  <c r="V832" i="7"/>
  <c r="V844" i="7"/>
  <c r="V847" i="7"/>
  <c r="V852" i="7"/>
  <c r="V959" i="7"/>
  <c r="V907" i="7"/>
  <c r="V1012" i="7"/>
  <c r="V911" i="7"/>
  <c r="V963" i="7"/>
  <c r="V859" i="7"/>
  <c r="V865" i="7"/>
  <c r="V973" i="7"/>
  <c r="V874" i="7"/>
  <c r="V926" i="7"/>
  <c r="V929" i="7"/>
  <c r="V877" i="7"/>
  <c r="V981" i="7"/>
  <c r="V988" i="7"/>
  <c r="V936" i="7"/>
  <c r="V991" i="7"/>
  <c r="V939" i="7"/>
  <c r="V887" i="7"/>
  <c r="V945" i="7"/>
  <c r="V893" i="7"/>
  <c r="F843" i="7"/>
  <c r="U956" i="7"/>
  <c r="U904" i="7"/>
  <c r="U1008" i="7"/>
  <c r="Y842" i="7"/>
  <c r="Y894" i="7"/>
  <c r="Y999" i="7"/>
  <c r="F992" i="7"/>
  <c r="I989" i="1"/>
  <c r="G989" i="7"/>
  <c r="V925" i="7"/>
  <c r="V855" i="7"/>
  <c r="F132" i="7"/>
  <c r="F134" i="7"/>
  <c r="F760" i="7"/>
  <c r="W864" i="7"/>
  <c r="F761" i="7"/>
  <c r="I759" i="1"/>
  <c r="S807" i="7"/>
  <c r="U767" i="7"/>
  <c r="U715" i="7"/>
  <c r="U663" i="7"/>
  <c r="U844" i="7"/>
  <c r="U791" i="7"/>
  <c r="U799" i="7"/>
  <c r="U695" i="7"/>
  <c r="U852" i="7"/>
  <c r="U747" i="7"/>
  <c r="S821" i="7"/>
  <c r="V956" i="7"/>
  <c r="V968" i="7"/>
  <c r="Y841" i="7"/>
  <c r="Y945" i="7"/>
  <c r="N908" i="7"/>
  <c r="F467" i="7"/>
  <c r="F466" i="7"/>
  <c r="F708" i="7"/>
  <c r="F707" i="7"/>
  <c r="V666" i="7"/>
  <c r="T686" i="7"/>
  <c r="T790" i="7"/>
  <c r="U859" i="7"/>
  <c r="U702" i="7"/>
  <c r="U762" i="7"/>
  <c r="U710" i="7"/>
  <c r="U814" i="7"/>
  <c r="S776" i="7"/>
  <c r="S881" i="7"/>
  <c r="S889" i="7"/>
  <c r="S732" i="7"/>
  <c r="S836" i="7"/>
  <c r="U734" i="7"/>
  <c r="U786" i="7"/>
  <c r="U838" i="7"/>
  <c r="U891" i="7"/>
  <c r="V898" i="7"/>
  <c r="V950" i="7"/>
  <c r="Y833" i="7"/>
  <c r="Y885" i="7"/>
  <c r="Y990" i="7"/>
  <c r="F1004" i="7"/>
  <c r="V1020" i="7"/>
  <c r="O810" i="7"/>
  <c r="U699" i="7"/>
  <c r="N721" i="7"/>
  <c r="T821" i="7"/>
  <c r="F752" i="7"/>
  <c r="V967" i="7"/>
  <c r="N701" i="7"/>
  <c r="V921" i="7"/>
  <c r="T883" i="7"/>
  <c r="O846" i="7"/>
  <c r="F286" i="7"/>
  <c r="V652" i="7"/>
  <c r="I825" i="1"/>
  <c r="V642" i="7"/>
  <c r="U712" i="7"/>
  <c r="U764" i="7"/>
  <c r="S770" i="7"/>
  <c r="S822" i="7"/>
  <c r="T839" i="7"/>
  <c r="T892" i="7"/>
  <c r="V792" i="7"/>
  <c r="V799" i="7"/>
  <c r="V803" i="7"/>
  <c r="V811" i="7"/>
  <c r="V824" i="7"/>
  <c r="V834" i="7"/>
  <c r="V841" i="7"/>
  <c r="V846" i="7"/>
  <c r="V954" i="7"/>
  <c r="V902" i="7"/>
  <c r="V908" i="7"/>
  <c r="V861" i="7"/>
  <c r="V867" i="7"/>
  <c r="V873" i="7"/>
  <c r="V930" i="7"/>
  <c r="V934" i="7"/>
  <c r="V986" i="7"/>
  <c r="V993" i="7"/>
  <c r="V892" i="7"/>
  <c r="V944" i="7"/>
  <c r="U958" i="7"/>
  <c r="U1010" i="7"/>
  <c r="U906" i="7"/>
  <c r="S909" i="7"/>
  <c r="S1013" i="7"/>
  <c r="S961" i="7"/>
  <c r="U966" i="7"/>
  <c r="U914" i="7"/>
  <c r="U1018" i="7"/>
  <c r="I867" i="1"/>
  <c r="S979" i="7"/>
  <c r="S927" i="7"/>
  <c r="I1000" i="1"/>
  <c r="F1002" i="7"/>
  <c r="F1001" i="7"/>
  <c r="F685" i="7"/>
  <c r="F686" i="7"/>
  <c r="I766" i="1"/>
  <c r="G766" i="7"/>
  <c r="F768" i="7"/>
  <c r="F767" i="7"/>
  <c r="F766" i="7"/>
  <c r="U836" i="7"/>
  <c r="U679" i="7"/>
  <c r="S850" i="7"/>
  <c r="S693" i="7"/>
  <c r="S858" i="7"/>
  <c r="U755" i="7"/>
  <c r="U860" i="7"/>
  <c r="U807" i="7"/>
  <c r="T867" i="7"/>
  <c r="T710" i="7"/>
  <c r="T875" i="7"/>
  <c r="T822" i="7"/>
  <c r="S882" i="7"/>
  <c r="S829" i="7"/>
  <c r="U884" i="7"/>
  <c r="U779" i="7"/>
  <c r="U831" i="7"/>
  <c r="F841" i="7"/>
  <c r="N911" i="7"/>
  <c r="F862" i="7"/>
  <c r="Y849" i="7"/>
  <c r="Y901" i="7"/>
  <c r="N951" i="7"/>
  <c r="F317" i="7"/>
  <c r="F306" i="7"/>
  <c r="I684" i="1"/>
  <c r="N788" i="7"/>
  <c r="N752" i="7"/>
  <c r="I700" i="1"/>
  <c r="O752" i="7"/>
  <c r="I714" i="1"/>
  <c r="F716" i="7"/>
  <c r="F714" i="7"/>
  <c r="F717" i="7"/>
  <c r="F740" i="7"/>
  <c r="I737" i="1"/>
  <c r="G739" i="7"/>
  <c r="N789" i="7"/>
  <c r="V636" i="7"/>
  <c r="V584" i="7"/>
  <c r="V640" i="7"/>
  <c r="V588" i="7"/>
  <c r="V644" i="7"/>
  <c r="V592" i="7"/>
  <c r="V596" i="7"/>
  <c r="V706" i="7"/>
  <c r="V654" i="7"/>
  <c r="V662" i="7"/>
  <c r="V714" i="7"/>
  <c r="V675" i="7"/>
  <c r="U694" i="7"/>
  <c r="U851" i="7"/>
  <c r="U798" i="7"/>
  <c r="V951" i="7"/>
  <c r="V1003" i="7"/>
  <c r="F869" i="7"/>
  <c r="Y960" i="7"/>
  <c r="Y856" i="7"/>
  <c r="Y908" i="7"/>
  <c r="Y991" i="7"/>
  <c r="F614" i="7"/>
  <c r="N907" i="7"/>
  <c r="V895" i="7"/>
  <c r="V900" i="7"/>
  <c r="N767" i="7"/>
  <c r="V856" i="7"/>
  <c r="V862" i="7"/>
  <c r="F684" i="7"/>
  <c r="V919" i="7"/>
  <c r="U751" i="7"/>
  <c r="U726" i="7"/>
  <c r="G933" i="7"/>
  <c r="G960" i="7"/>
  <c r="F283" i="7"/>
  <c r="F275" i="7"/>
  <c r="F274" i="7"/>
  <c r="F259" i="7"/>
  <c r="F171" i="7"/>
  <c r="F115" i="7"/>
  <c r="F107" i="7"/>
  <c r="F67" i="7"/>
  <c r="F68" i="7"/>
  <c r="F50" i="7"/>
  <c r="F52" i="7"/>
  <c r="N631" i="7"/>
  <c r="I579" i="1"/>
  <c r="N683" i="7"/>
  <c r="I640" i="1"/>
  <c r="N744" i="7"/>
  <c r="F665" i="7"/>
  <c r="N746" i="7"/>
  <c r="F697" i="7"/>
  <c r="I694" i="1"/>
  <c r="I791" i="1"/>
  <c r="F794" i="7"/>
  <c r="W846" i="7"/>
  <c r="N848" i="7"/>
  <c r="F799" i="7"/>
  <c r="F797" i="7"/>
  <c r="I803" i="1"/>
  <c r="G803" i="7"/>
  <c r="F804" i="7"/>
  <c r="N863" i="7"/>
  <c r="I826" i="1"/>
  <c r="N878" i="7"/>
  <c r="F836" i="7"/>
  <c r="N989" i="7"/>
  <c r="N937" i="7"/>
  <c r="V633" i="7"/>
  <c r="V581" i="7"/>
  <c r="V613" i="7"/>
  <c r="V665" i="7"/>
  <c r="T740" i="7"/>
  <c r="T583" i="7"/>
  <c r="T587" i="7"/>
  <c r="T595" i="7"/>
  <c r="T599" i="7"/>
  <c r="T663" i="7"/>
  <c r="T611" i="7"/>
  <c r="T621" i="7"/>
  <c r="T689" i="7"/>
  <c r="T637" i="7"/>
  <c r="V690" i="7"/>
  <c r="U706" i="7"/>
  <c r="U811" i="7"/>
  <c r="U662" i="7"/>
  <c r="U670" i="7"/>
  <c r="U774" i="7"/>
  <c r="S781" i="7"/>
  <c r="S834" i="7"/>
  <c r="U730" i="7"/>
  <c r="U835" i="7"/>
  <c r="U678" i="7"/>
  <c r="S795" i="7"/>
  <c r="S743" i="7"/>
  <c r="S848" i="7"/>
  <c r="U850" i="7"/>
  <c r="U745" i="7"/>
  <c r="V702" i="7"/>
  <c r="S811" i="7"/>
  <c r="U866" i="7"/>
  <c r="V814" i="7"/>
  <c r="U717" i="7"/>
  <c r="V822" i="7"/>
  <c r="V883" i="7"/>
  <c r="S835" i="7"/>
  <c r="S888" i="7"/>
  <c r="S731" i="7"/>
  <c r="T732" i="7"/>
  <c r="V1008" i="7"/>
  <c r="F966" i="7"/>
  <c r="F967" i="7"/>
  <c r="I973" i="1"/>
  <c r="F973" i="7"/>
  <c r="F976" i="7"/>
  <c r="I979" i="1"/>
  <c r="G981" i="7"/>
  <c r="F979" i="7"/>
  <c r="Y899" i="7"/>
  <c r="Y951" i="7"/>
  <c r="Y876" i="7"/>
  <c r="Y928" i="7"/>
  <c r="Y870" i="7"/>
  <c r="Y922" i="7"/>
  <c r="N1011" i="7"/>
  <c r="N959" i="7"/>
  <c r="F251" i="7"/>
  <c r="F12" i="7"/>
  <c r="T804" i="7"/>
  <c r="N624" i="7"/>
  <c r="N967" i="7"/>
  <c r="F298" i="7"/>
  <c r="F144" i="7"/>
  <c r="F112" i="7"/>
  <c r="G573" i="7"/>
  <c r="V698" i="7"/>
  <c r="G941" i="7"/>
  <c r="T687" i="7"/>
  <c r="F650" i="7"/>
  <c r="F266" i="7"/>
  <c r="N999" i="7"/>
  <c r="F131" i="7"/>
  <c r="F243" i="7"/>
  <c r="F88" i="7"/>
  <c r="S737" i="7"/>
  <c r="N796" i="7"/>
  <c r="F272" i="7"/>
  <c r="S691" i="7"/>
  <c r="N855" i="7"/>
  <c r="N947" i="7"/>
  <c r="T607" i="7"/>
  <c r="F91" i="7"/>
  <c r="F812" i="7"/>
  <c r="N902" i="7"/>
  <c r="O992" i="7"/>
  <c r="F504" i="7"/>
  <c r="U713" i="7"/>
  <c r="T703" i="7"/>
  <c r="T647" i="7"/>
  <c r="F582" i="7"/>
  <c r="G919" i="7"/>
  <c r="F489" i="7"/>
  <c r="N642" i="7"/>
  <c r="N710" i="7"/>
  <c r="F779" i="7"/>
  <c r="I777" i="1"/>
  <c r="O933" i="7"/>
  <c r="I784" i="1"/>
  <c r="N992" i="7"/>
  <c r="T802" i="7"/>
  <c r="T749" i="7"/>
  <c r="V650" i="7"/>
  <c r="T810" i="7"/>
  <c r="T653" i="7"/>
  <c r="T657" i="7"/>
  <c r="V774" i="7"/>
  <c r="T725" i="7"/>
  <c r="T838" i="7"/>
  <c r="V839" i="7"/>
  <c r="V843" i="7"/>
  <c r="S794" i="7"/>
  <c r="S742" i="7"/>
  <c r="U692" i="7"/>
  <c r="V942" i="7"/>
  <c r="V949" i="7"/>
  <c r="F928" i="7"/>
  <c r="F929" i="7"/>
  <c r="W1033" i="7"/>
  <c r="U996" i="7"/>
  <c r="F983" i="7"/>
  <c r="I980" i="1"/>
  <c r="F619" i="7"/>
  <c r="N864" i="7"/>
  <c r="N645" i="7"/>
  <c r="F146" i="7"/>
  <c r="N587" i="7"/>
  <c r="N916" i="7"/>
  <c r="F604" i="7"/>
  <c r="F329" i="7"/>
  <c r="F312" i="7"/>
  <c r="F313" i="7"/>
  <c r="F304" i="7"/>
  <c r="F305" i="7"/>
  <c r="F297" i="7"/>
  <c r="F135" i="7"/>
  <c r="F501" i="7"/>
  <c r="N881" i="7"/>
  <c r="F528" i="7"/>
  <c r="N727" i="7"/>
  <c r="G934" i="7"/>
  <c r="F642" i="7"/>
  <c r="F439" i="7"/>
  <c r="F573" i="7"/>
  <c r="N705" i="7"/>
  <c r="T645" i="7"/>
  <c r="F375" i="7"/>
  <c r="F334" i="7"/>
  <c r="F319" i="7"/>
  <c r="F287" i="7"/>
  <c r="F518" i="7"/>
  <c r="F415" i="7"/>
  <c r="F126" i="7"/>
  <c r="F561" i="7"/>
  <c r="F807" i="7"/>
  <c r="N857" i="7"/>
  <c r="N917" i="7"/>
  <c r="V684" i="7"/>
  <c r="V987" i="7"/>
  <c r="U940" i="7"/>
  <c r="I899" i="1"/>
  <c r="G902" i="7"/>
  <c r="F902" i="7"/>
  <c r="W1006" i="7"/>
  <c r="G978" i="7"/>
  <c r="Y965" i="7"/>
  <c r="Y905" i="7"/>
  <c r="Y941" i="7"/>
  <c r="Y889" i="7"/>
  <c r="I592" i="1"/>
  <c r="F292" i="7"/>
  <c r="F277" i="7"/>
  <c r="F256" i="7"/>
  <c r="F207" i="7"/>
  <c r="F183" i="7"/>
  <c r="F176" i="7"/>
  <c r="F143" i="7"/>
  <c r="F56" i="7"/>
  <c r="F578" i="7"/>
  <c r="F534" i="7"/>
  <c r="N605" i="7"/>
  <c r="N831" i="7"/>
  <c r="U937" i="7"/>
  <c r="V995" i="7"/>
  <c r="T1001" i="7"/>
  <c r="U991" i="7"/>
  <c r="Y980" i="7"/>
  <c r="Y880" i="7"/>
  <c r="Y932" i="7"/>
  <c r="N898" i="7"/>
  <c r="F649" i="7"/>
  <c r="G722" i="7"/>
  <c r="U905" i="7"/>
  <c r="U945" i="7"/>
  <c r="S976" i="7"/>
  <c r="F881" i="7"/>
  <c r="N1028" i="7"/>
  <c r="F372" i="7"/>
  <c r="F333" i="7"/>
  <c r="F316" i="7"/>
  <c r="F310" i="7"/>
  <c r="F497" i="7"/>
  <c r="I583" i="1"/>
  <c r="I558" i="1"/>
  <c r="F734" i="7"/>
  <c r="V780" i="7"/>
  <c r="V731" i="7"/>
  <c r="V631" i="7"/>
  <c r="T692" i="7"/>
  <c r="V798" i="7"/>
  <c r="S700" i="7"/>
  <c r="U806" i="7"/>
  <c r="U810" i="7"/>
  <c r="S708" i="7"/>
  <c r="U657" i="7"/>
  <c r="S712" i="7"/>
  <c r="U661" i="7"/>
  <c r="S768" i="7"/>
  <c r="U830" i="7"/>
  <c r="U681" i="7"/>
  <c r="S736" i="7"/>
  <c r="U842" i="7"/>
  <c r="S697" i="7"/>
  <c r="T750" i="7"/>
  <c r="S705" i="7"/>
  <c r="U760" i="7"/>
  <c r="V813" i="7"/>
  <c r="V769" i="7"/>
  <c r="S826" i="7"/>
  <c r="V829" i="7"/>
  <c r="T783" i="7"/>
  <c r="Y995" i="7"/>
  <c r="Y1031" i="7"/>
  <c r="Y1023" i="7"/>
  <c r="Y955" i="7"/>
  <c r="F994" i="7"/>
  <c r="F23" i="7"/>
  <c r="N730" i="7"/>
  <c r="N775" i="7"/>
  <c r="N792" i="7"/>
  <c r="N860" i="7"/>
  <c r="U738" i="7"/>
  <c r="S692" i="7"/>
  <c r="S785" i="7"/>
  <c r="U636" i="7"/>
  <c r="V697" i="7"/>
  <c r="V806" i="7"/>
  <c r="V653" i="7"/>
  <c r="T656" i="7"/>
  <c r="V773" i="7"/>
  <c r="S713" i="7"/>
  <c r="S721" i="7"/>
  <c r="U827" i="7"/>
  <c r="V889" i="7"/>
  <c r="S798" i="7"/>
  <c r="S820" i="7"/>
  <c r="S874" i="7"/>
  <c r="S875" i="7"/>
  <c r="S830" i="7"/>
  <c r="T1000" i="7"/>
  <c r="Y946" i="7"/>
  <c r="N735" i="7"/>
  <c r="F62" i="7"/>
  <c r="F19" i="7"/>
  <c r="N732" i="7"/>
  <c r="N799" i="7"/>
  <c r="N738" i="7"/>
  <c r="V589" i="7"/>
  <c r="V624" i="7"/>
  <c r="U659" i="7"/>
  <c r="T674" i="7"/>
  <c r="U644" i="7"/>
  <c r="S699" i="7"/>
  <c r="S703" i="7"/>
  <c r="U714" i="7"/>
  <c r="T849" i="7"/>
  <c r="T852" i="7"/>
  <c r="U985" i="7"/>
  <c r="T997" i="7"/>
  <c r="F129" i="7"/>
  <c r="F122" i="7"/>
  <c r="F116" i="7"/>
  <c r="F108" i="7"/>
  <c r="F77" i="7"/>
  <c r="F69" i="7"/>
  <c r="F529" i="7"/>
  <c r="N729" i="7"/>
  <c r="U683" i="7"/>
  <c r="U642" i="7"/>
  <c r="T990" i="7"/>
  <c r="T1009" i="7"/>
  <c r="S1016" i="7"/>
  <c r="S1024" i="7"/>
  <c r="F980" i="7"/>
  <c r="T1042" i="7"/>
  <c r="Y1004" i="7"/>
  <c r="F897" i="7"/>
  <c r="F1019" i="7"/>
  <c r="I1016" i="1"/>
  <c r="F1018" i="7"/>
  <c r="F1017" i="7"/>
  <c r="I552" i="1"/>
  <c r="F554" i="7"/>
  <c r="N760" i="7"/>
  <c r="N656" i="7"/>
  <c r="N850" i="7"/>
  <c r="I798" i="1"/>
  <c r="N1006" i="7"/>
  <c r="F801" i="7"/>
  <c r="W957" i="7"/>
  <c r="I819" i="1"/>
  <c r="O1027" i="7"/>
  <c r="F819" i="7"/>
  <c r="W923" i="7"/>
  <c r="F821" i="7"/>
  <c r="N975" i="7"/>
  <c r="F820" i="7"/>
  <c r="U980" i="7"/>
  <c r="I884" i="1"/>
  <c r="F886" i="7"/>
  <c r="G936" i="7"/>
  <c r="T1012" i="7"/>
  <c r="N935" i="7"/>
  <c r="O950" i="7"/>
  <c r="U951" i="7"/>
  <c r="F246" i="7"/>
  <c r="I540" i="1"/>
  <c r="G541" i="7"/>
  <c r="N592" i="7"/>
  <c r="N748" i="7"/>
  <c r="N1014" i="7"/>
  <c r="F809" i="7"/>
  <c r="F838" i="7"/>
  <c r="F837" i="7"/>
  <c r="I835" i="1"/>
  <c r="O887" i="7"/>
  <c r="T848" i="7"/>
  <c r="T795" i="7"/>
  <c r="T691" i="7"/>
  <c r="T856" i="7"/>
  <c r="T699" i="7"/>
  <c r="U857" i="7"/>
  <c r="U804" i="7"/>
  <c r="U700" i="7"/>
  <c r="T865" i="7"/>
  <c r="T812" i="7"/>
  <c r="S819" i="7"/>
  <c r="S715" i="7"/>
  <c r="S911" i="7"/>
  <c r="S1015" i="7"/>
  <c r="N912" i="7"/>
  <c r="I860" i="1"/>
  <c r="I861" i="1"/>
  <c r="O965" i="7"/>
  <c r="N1017" i="7"/>
  <c r="N913" i="7"/>
  <c r="N965" i="7"/>
  <c r="G969" i="7"/>
  <c r="G796" i="7"/>
  <c r="G759" i="7"/>
  <c r="G937" i="7"/>
  <c r="I533" i="1"/>
  <c r="N921" i="7"/>
  <c r="F844" i="7"/>
  <c r="N659" i="7"/>
  <c r="V710" i="7"/>
  <c r="V935" i="7"/>
  <c r="V1002" i="7"/>
  <c r="G630" i="7"/>
  <c r="V850" i="7"/>
  <c r="N991" i="7"/>
  <c r="U952" i="7"/>
  <c r="U899" i="7"/>
  <c r="I887" i="1"/>
  <c r="F864" i="7"/>
  <c r="T751" i="7"/>
  <c r="S872" i="7"/>
  <c r="T960" i="7"/>
  <c r="F348" i="7"/>
  <c r="F339" i="7"/>
  <c r="F342" i="7"/>
  <c r="I545" i="1"/>
  <c r="N643" i="7"/>
  <c r="N747" i="7"/>
  <c r="N591" i="7"/>
  <c r="N688" i="7"/>
  <c r="F535" i="7"/>
  <c r="N636" i="7"/>
  <c r="N740" i="7"/>
  <c r="N709" i="7"/>
  <c r="F659" i="7"/>
  <c r="U947" i="7"/>
  <c r="U999" i="7"/>
  <c r="G631" i="7"/>
  <c r="G755" i="7"/>
  <c r="F806" i="7"/>
  <c r="I805" i="1"/>
  <c r="N1013" i="7"/>
  <c r="U1001" i="7"/>
  <c r="U949" i="7"/>
  <c r="U897" i="7"/>
  <c r="U953" i="7"/>
  <c r="U901" i="7"/>
  <c r="N979" i="7"/>
  <c r="F876" i="7"/>
  <c r="F877" i="7"/>
  <c r="F880" i="7"/>
  <c r="N930" i="7"/>
  <c r="N982" i="7"/>
  <c r="F879" i="7"/>
  <c r="I1008" i="1"/>
  <c r="G1010" i="7"/>
  <c r="F1009" i="7"/>
  <c r="G793" i="7"/>
  <c r="F1011" i="7"/>
  <c r="U1002" i="7"/>
  <c r="G756" i="7"/>
  <c r="F888" i="7"/>
  <c r="O759" i="7"/>
  <c r="F263" i="7"/>
  <c r="F264" i="7"/>
  <c r="F261" i="7"/>
  <c r="F168" i="7"/>
  <c r="F166" i="7"/>
  <c r="F551" i="7"/>
  <c r="W760" i="7"/>
  <c r="I550" i="1"/>
  <c r="F552" i="7"/>
  <c r="N758" i="7"/>
  <c r="N903" i="7"/>
  <c r="N851" i="7"/>
  <c r="F802" i="7"/>
  <c r="N1007" i="7"/>
  <c r="I799" i="1"/>
  <c r="O955" i="7"/>
  <c r="I828" i="1"/>
  <c r="O1036" i="7"/>
  <c r="N880" i="7"/>
  <c r="V782" i="7"/>
  <c r="V678" i="7"/>
  <c r="V835" i="7"/>
  <c r="V805" i="7"/>
  <c r="V753" i="7"/>
  <c r="V858" i="7"/>
  <c r="S863" i="7"/>
  <c r="S810" i="7"/>
  <c r="V891" i="7"/>
  <c r="V734" i="7"/>
  <c r="F1048" i="7"/>
  <c r="F1045" i="7"/>
  <c r="F1046" i="7"/>
  <c r="O811" i="7"/>
  <c r="G795" i="7"/>
  <c r="F870" i="7"/>
  <c r="U849" i="7"/>
  <c r="N910" i="7"/>
  <c r="T673" i="7"/>
  <c r="T974" i="7"/>
  <c r="F541" i="7"/>
  <c r="U992" i="7"/>
  <c r="N988" i="7"/>
  <c r="U898" i="7"/>
  <c r="N964" i="7"/>
  <c r="S944" i="7"/>
  <c r="S905" i="7"/>
  <c r="O705" i="7"/>
  <c r="N668" i="7"/>
  <c r="F512" i="7"/>
  <c r="F513" i="7"/>
  <c r="N697" i="7"/>
  <c r="F468" i="7"/>
  <c r="F465" i="7"/>
  <c r="F445" i="7"/>
  <c r="F443" i="7"/>
  <c r="F442" i="7"/>
  <c r="N590" i="7"/>
  <c r="F435" i="7"/>
  <c r="F434" i="7"/>
  <c r="F410" i="7"/>
  <c r="F413" i="7"/>
  <c r="N610" i="7"/>
  <c r="F402" i="7"/>
  <c r="F395" i="7"/>
  <c r="F397" i="7"/>
  <c r="G657" i="7"/>
  <c r="N839" i="7"/>
  <c r="F735" i="7"/>
  <c r="I735" i="1"/>
  <c r="G738" i="7"/>
  <c r="F738" i="7"/>
  <c r="F657" i="7"/>
  <c r="O862" i="7"/>
  <c r="G761" i="7"/>
  <c r="I554" i="1"/>
  <c r="F557" i="7"/>
  <c r="F828" i="7"/>
  <c r="I827" i="1"/>
  <c r="N983" i="7"/>
  <c r="T1007" i="7"/>
  <c r="T955" i="7"/>
  <c r="T909" i="7"/>
  <c r="T1013" i="7"/>
  <c r="V1018" i="7"/>
  <c r="V966" i="7"/>
  <c r="U1029" i="7"/>
  <c r="U977" i="7"/>
  <c r="T983" i="7"/>
  <c r="T931" i="7"/>
  <c r="I1013" i="1"/>
  <c r="F1015" i="7"/>
  <c r="F1016" i="7"/>
  <c r="F271" i="7"/>
  <c r="F270" i="7"/>
  <c r="F269" i="7"/>
  <c r="F237" i="7"/>
  <c r="F221" i="7"/>
  <c r="F215" i="7"/>
  <c r="F213" i="7"/>
  <c r="F190" i="7"/>
  <c r="F191" i="7"/>
  <c r="I546" i="1"/>
  <c r="O702" i="7"/>
  <c r="N650" i="7"/>
  <c r="T842" i="7"/>
  <c r="T789" i="7"/>
  <c r="U882" i="7"/>
  <c r="U725" i="7"/>
  <c r="U733" i="7"/>
  <c r="U785" i="7"/>
  <c r="U890" i="7"/>
  <c r="U837" i="7"/>
  <c r="I842" i="1"/>
  <c r="O894" i="7"/>
  <c r="F845" i="7"/>
  <c r="S915" i="7"/>
  <c r="S967" i="7"/>
  <c r="I865" i="1"/>
  <c r="F868" i="7"/>
  <c r="N1021" i="7"/>
  <c r="I1045" i="1"/>
  <c r="G1045" i="7"/>
  <c r="O733" i="7"/>
  <c r="G917" i="7"/>
  <c r="U796" i="7"/>
  <c r="G935" i="7"/>
  <c r="N761" i="7"/>
  <c r="F737" i="7"/>
  <c r="F182" i="7"/>
  <c r="U960" i="7"/>
  <c r="G952" i="7"/>
  <c r="G951" i="7"/>
  <c r="T677" i="7"/>
  <c r="V770" i="7"/>
  <c r="I806" i="1"/>
  <c r="O962" i="7"/>
  <c r="N932" i="7"/>
  <c r="U1005" i="7"/>
  <c r="V914" i="7"/>
  <c r="F540" i="7"/>
  <c r="I1020" i="1"/>
  <c r="G1023" i="7"/>
  <c r="N706" i="7"/>
  <c r="T989" i="7"/>
  <c r="F658" i="7"/>
  <c r="T743" i="7"/>
  <c r="I727" i="1"/>
  <c r="O935" i="7"/>
  <c r="N883" i="7"/>
  <c r="N779" i="7"/>
  <c r="F727" i="7"/>
  <c r="I894" i="1"/>
  <c r="N946" i="7"/>
  <c r="N813" i="7"/>
  <c r="F814" i="7"/>
  <c r="W1023" i="7"/>
  <c r="F813" i="7"/>
  <c r="I848" i="1"/>
  <c r="N900" i="7"/>
  <c r="F850" i="7"/>
  <c r="I859" i="1"/>
  <c r="F861" i="7"/>
  <c r="W965" i="7"/>
  <c r="S919" i="7"/>
  <c r="S971" i="7"/>
  <c r="T986" i="7"/>
  <c r="T934" i="7"/>
  <c r="F1007" i="7"/>
  <c r="I1004" i="1"/>
  <c r="F878" i="7"/>
  <c r="N939" i="7"/>
  <c r="S991" i="7"/>
  <c r="U1004" i="7"/>
  <c r="F295" i="7"/>
  <c r="F255" i="7"/>
  <c r="F254" i="7"/>
  <c r="T716" i="7"/>
  <c r="T820" i="7"/>
  <c r="T828" i="7"/>
  <c r="T881" i="7"/>
  <c r="V1001" i="7"/>
  <c r="V897" i="7"/>
  <c r="V901" i="7"/>
  <c r="V1005" i="7"/>
  <c r="U909" i="7"/>
  <c r="U1013" i="7"/>
  <c r="F1027" i="7"/>
  <c r="G903" i="7"/>
  <c r="N1015" i="7"/>
  <c r="U744" i="7"/>
  <c r="N894" i="7"/>
  <c r="G920" i="7"/>
  <c r="G706" i="7"/>
  <c r="N865" i="7"/>
  <c r="N598" i="7"/>
  <c r="N702" i="7"/>
  <c r="F181" i="7"/>
  <c r="N604" i="7"/>
  <c r="N1004" i="7"/>
  <c r="S783" i="7"/>
  <c r="N871" i="7"/>
  <c r="F159" i="7"/>
  <c r="F279" i="7"/>
  <c r="N858" i="7"/>
  <c r="F822" i="7"/>
  <c r="T681" i="7"/>
  <c r="F815" i="7"/>
  <c r="F736" i="7"/>
  <c r="F262" i="7"/>
  <c r="F553" i="7"/>
  <c r="S767" i="7"/>
  <c r="F871" i="7"/>
  <c r="I815" i="1"/>
  <c r="G817" i="7"/>
  <c r="F817" i="7"/>
  <c r="N867" i="7"/>
  <c r="F818" i="7"/>
  <c r="I821" i="1"/>
  <c r="F823" i="7"/>
  <c r="V794" i="7"/>
  <c r="V689" i="7"/>
  <c r="U721" i="7"/>
  <c r="U773" i="7"/>
  <c r="U781" i="7"/>
  <c r="U729" i="7"/>
  <c r="T742" i="7"/>
  <c r="T847" i="7"/>
  <c r="U795" i="7"/>
  <c r="U848" i="7"/>
  <c r="U691" i="7"/>
  <c r="S730" i="7"/>
  <c r="S887" i="7"/>
  <c r="V964" i="7"/>
  <c r="F985" i="7"/>
  <c r="I985" i="1"/>
  <c r="O1037" i="7"/>
  <c r="F987" i="7"/>
  <c r="W1039" i="7"/>
  <c r="I1005" i="1"/>
  <c r="G1008" i="7"/>
  <c r="F1008" i="7"/>
  <c r="G622" i="7"/>
  <c r="N977" i="7"/>
  <c r="F803" i="7"/>
  <c r="U653" i="7"/>
  <c r="F476" i="7"/>
  <c r="N616" i="7"/>
  <c r="N736" i="7"/>
  <c r="F580" i="7"/>
  <c r="N684" i="7"/>
  <c r="I718" i="1"/>
  <c r="F719" i="7"/>
  <c r="N872" i="7"/>
  <c r="I768" i="1"/>
  <c r="O976" i="7"/>
  <c r="N820" i="7"/>
  <c r="N874" i="7"/>
  <c r="I822" i="1"/>
  <c r="S696" i="7"/>
  <c r="T756" i="7"/>
  <c r="T652" i="7"/>
  <c r="T724" i="7"/>
  <c r="V677" i="7"/>
  <c r="V781" i="7"/>
  <c r="V681" i="7"/>
  <c r="T788" i="7"/>
  <c r="T841" i="7"/>
  <c r="T697" i="7"/>
  <c r="T801" i="7"/>
  <c r="T854" i="7"/>
  <c r="U802" i="7"/>
  <c r="T809" i="7"/>
  <c r="V708" i="7"/>
  <c r="V760" i="7"/>
  <c r="V724" i="7"/>
  <c r="V881" i="7"/>
  <c r="T730" i="7"/>
  <c r="T887" i="7"/>
  <c r="S789" i="7"/>
  <c r="S790" i="7"/>
  <c r="S738" i="7"/>
  <c r="S791" i="7"/>
  <c r="S843" i="7"/>
  <c r="S845" i="7"/>
  <c r="S847" i="7"/>
  <c r="S796" i="7"/>
  <c r="S797" i="7"/>
  <c r="S902" i="7"/>
  <c r="S745" i="7"/>
  <c r="S852" i="7"/>
  <c r="S800" i="7"/>
  <c r="S803" i="7"/>
  <c r="S855" i="7"/>
  <c r="S752" i="7"/>
  <c r="S753" i="7"/>
  <c r="S755" i="7"/>
  <c r="S912" i="7"/>
  <c r="S809" i="7"/>
  <c r="S914" i="7"/>
  <c r="S760" i="7"/>
  <c r="S923" i="7"/>
  <c r="S818" i="7"/>
  <c r="S871" i="7"/>
  <c r="S825" i="7"/>
  <c r="S774" i="7"/>
  <c r="S827" i="7"/>
  <c r="S880" i="7"/>
  <c r="G623" i="7"/>
  <c r="O1011" i="7"/>
  <c r="F574" i="7"/>
  <c r="F20" i="7"/>
  <c r="F75" i="7"/>
  <c r="F66" i="7"/>
  <c r="F76" i="7"/>
  <c r="F114" i="7"/>
  <c r="F328" i="7"/>
  <c r="V784" i="7"/>
  <c r="T835" i="7"/>
  <c r="O861" i="7"/>
  <c r="T704" i="7"/>
  <c r="U753" i="7"/>
  <c r="T829" i="7"/>
  <c r="S757" i="7"/>
  <c r="V882" i="7"/>
  <c r="U685" i="7"/>
  <c r="F470" i="7"/>
  <c r="F396" i="7"/>
  <c r="F320" i="7"/>
  <c r="I635" i="1"/>
  <c r="F635" i="7"/>
  <c r="F636" i="7"/>
  <c r="I605" i="1"/>
  <c r="N657" i="7"/>
  <c r="F608" i="7"/>
  <c r="I597" i="1"/>
  <c r="N649" i="7"/>
  <c r="I589" i="1"/>
  <c r="G591" i="7"/>
  <c r="F616" i="7"/>
  <c r="N882" i="7"/>
  <c r="N778" i="7"/>
  <c r="N830" i="7"/>
  <c r="I674" i="1"/>
  <c r="G707" i="7"/>
  <c r="F715" i="7"/>
  <c r="I712" i="1"/>
  <c r="N859" i="7"/>
  <c r="F755" i="7"/>
  <c r="F756" i="7"/>
  <c r="I762" i="1"/>
  <c r="G763" i="7"/>
  <c r="F765" i="7"/>
  <c r="N814" i="7"/>
  <c r="G855" i="7"/>
  <c r="F74" i="7"/>
  <c r="N873" i="7"/>
  <c r="F720" i="7"/>
  <c r="N679" i="7"/>
  <c r="N971" i="7"/>
  <c r="I808" i="1"/>
  <c r="T757" i="7"/>
  <c r="S900" i="7"/>
  <c r="S901" i="7"/>
  <c r="F718" i="7"/>
  <c r="S744" i="7"/>
  <c r="T888" i="7"/>
  <c r="F308" i="7"/>
  <c r="F161" i="7"/>
  <c r="F73" i="7"/>
  <c r="F71" i="7"/>
  <c r="F65" i="7"/>
  <c r="F57" i="7"/>
  <c r="F18" i="7"/>
  <c r="F652" i="7"/>
  <c r="N754" i="7"/>
  <c r="I642" i="1"/>
  <c r="F643" i="7"/>
  <c r="N716" i="7"/>
  <c r="F522" i="7"/>
  <c r="F444" i="7"/>
  <c r="W653" i="7"/>
  <c r="F436" i="7"/>
  <c r="W645" i="7"/>
  <c r="F341" i="7"/>
  <c r="F278" i="7"/>
  <c r="F175" i="7"/>
  <c r="F167" i="7"/>
  <c r="F94" i="7"/>
  <c r="F86" i="7"/>
  <c r="F772" i="7"/>
  <c r="W928" i="7"/>
  <c r="N821" i="7"/>
  <c r="V722" i="7"/>
  <c r="U680" i="7"/>
  <c r="T736" i="7"/>
  <c r="T648" i="7"/>
  <c r="U752" i="7"/>
  <c r="U805" i="7"/>
  <c r="U704" i="7"/>
  <c r="S707" i="7"/>
  <c r="S787" i="7"/>
  <c r="U801" i="7"/>
  <c r="F996" i="7"/>
  <c r="I993" i="1"/>
  <c r="Y1048" i="7"/>
  <c r="F95" i="7"/>
  <c r="N757" i="7"/>
  <c r="F656" i="7"/>
  <c r="F584" i="7"/>
  <c r="I584" i="1"/>
  <c r="I702" i="1"/>
  <c r="N806" i="7"/>
  <c r="F702" i="7"/>
  <c r="I708" i="1"/>
  <c r="N812" i="7"/>
  <c r="Y952" i="7"/>
  <c r="Y900" i="7"/>
  <c r="I994" i="1"/>
  <c r="F997" i="7"/>
  <c r="I769" i="1"/>
  <c r="F565" i="7"/>
  <c r="W774" i="7"/>
  <c r="N853" i="7"/>
  <c r="F457" i="7"/>
  <c r="I680" i="1"/>
  <c r="O836" i="7"/>
  <c r="F683" i="7"/>
  <c r="W735" i="7"/>
  <c r="N807" i="7"/>
  <c r="F759" i="7"/>
  <c r="V958" i="7"/>
  <c r="Y920" i="7"/>
  <c r="N1048" i="7"/>
  <c r="F999" i="7"/>
  <c r="I996" i="1"/>
  <c r="G999" i="7"/>
  <c r="F723" i="7"/>
  <c r="I785" i="1"/>
  <c r="N889" i="7"/>
  <c r="S908" i="7"/>
  <c r="U961" i="7"/>
  <c r="V1024" i="7"/>
  <c r="S747" i="7"/>
  <c r="S772" i="7"/>
  <c r="T773" i="7"/>
  <c r="T826" i="7"/>
  <c r="T776" i="7"/>
  <c r="T779" i="7"/>
  <c r="S886" i="7"/>
  <c r="N985" i="7"/>
  <c r="Y1037" i="7"/>
  <c r="Y1049" i="7"/>
  <c r="Y981" i="7"/>
  <c r="Y957" i="7"/>
  <c r="Y886" i="7"/>
  <c r="F490" i="7"/>
  <c r="F379" i="7"/>
  <c r="F307" i="7"/>
  <c r="F222" i="7"/>
  <c r="F214" i="7"/>
  <c r="F204" i="7"/>
  <c r="F196" i="7"/>
  <c r="F92" i="7"/>
  <c r="F575" i="7"/>
  <c r="N811" i="7"/>
  <c r="T634" i="7"/>
  <c r="S690" i="7"/>
  <c r="S746" i="7"/>
  <c r="T643" i="7"/>
  <c r="V700" i="7"/>
  <c r="T1010" i="7"/>
  <c r="V1011" i="7"/>
  <c r="Y996" i="7"/>
  <c r="Y1001" i="7"/>
  <c r="N613" i="7"/>
  <c r="T1040" i="7"/>
  <c r="Y948" i="7"/>
  <c r="Y968" i="7"/>
  <c r="Y864" i="7"/>
  <c r="F1034" i="7"/>
  <c r="F377" i="7"/>
  <c r="F330" i="7"/>
  <c r="F290" i="7"/>
  <c r="F282" i="7"/>
  <c r="F276" i="7"/>
  <c r="F133" i="7"/>
  <c r="F125" i="7"/>
  <c r="F577" i="7"/>
  <c r="F709" i="7"/>
  <c r="T904" i="7"/>
  <c r="T976" i="7"/>
  <c r="U1048" i="7"/>
  <c r="F960" i="7"/>
  <c r="S1040" i="7"/>
  <c r="Y1034" i="7"/>
  <c r="F354" i="7"/>
  <c r="F268" i="7"/>
  <c r="F253" i="7"/>
  <c r="F194" i="7"/>
  <c r="F109" i="7"/>
  <c r="F605" i="7"/>
  <c r="F674" i="7"/>
  <c r="U737" i="7"/>
  <c r="S748" i="7"/>
  <c r="S750" i="7"/>
  <c r="V726" i="7"/>
  <c r="T727" i="7"/>
  <c r="U748" i="7"/>
  <c r="U765" i="7"/>
  <c r="U819" i="7"/>
  <c r="U769" i="7"/>
  <c r="U770" i="7"/>
  <c r="U777" i="7"/>
  <c r="S793" i="7"/>
  <c r="U1042" i="7"/>
  <c r="Y1017" i="7"/>
  <c r="T600" i="7"/>
  <c r="T642" i="7"/>
  <c r="T764" i="7"/>
  <c r="T715" i="7"/>
  <c r="V804" i="7"/>
  <c r="V711" i="7"/>
  <c r="V762" i="7"/>
  <c r="T961" i="7"/>
  <c r="T864" i="7"/>
  <c r="S935" i="7"/>
  <c r="T1045" i="7"/>
  <c r="S1034" i="7"/>
  <c r="Y1032" i="7"/>
  <c r="Y1024" i="7"/>
  <c r="T794" i="7"/>
  <c r="V735" i="7"/>
  <c r="U912" i="7"/>
  <c r="T910" i="7"/>
  <c r="U1031" i="7"/>
  <c r="U1044" i="7"/>
  <c r="T1030" i="7"/>
  <c r="Y1003" i="7"/>
  <c r="N927" i="7"/>
  <c r="T589" i="7"/>
  <c r="T609" i="7"/>
  <c r="U709" i="7"/>
  <c r="V609" i="7"/>
  <c r="U664" i="7"/>
  <c r="T720" i="7"/>
  <c r="T628" i="7"/>
  <c r="T661" i="7"/>
  <c r="V718" i="7"/>
  <c r="S733" i="7"/>
  <c r="V828" i="7"/>
  <c r="V830" i="7"/>
  <c r="V831" i="7"/>
  <c r="V833" i="7"/>
  <c r="V838" i="7"/>
  <c r="V1042" i="7"/>
  <c r="V1044" i="7"/>
  <c r="U984" i="7"/>
  <c r="S1030" i="7"/>
  <c r="U1045" i="7"/>
  <c r="Y1038" i="7"/>
  <c r="Y975" i="7"/>
  <c r="Y914" i="7"/>
  <c r="F1047" i="7"/>
  <c r="O789" i="7"/>
  <c r="G731" i="7"/>
  <c r="O886" i="7"/>
  <c r="O1000" i="7"/>
  <c r="G1048" i="7"/>
  <c r="G1047" i="7"/>
  <c r="G949" i="7"/>
  <c r="G658" i="7"/>
  <c r="G651" i="7"/>
  <c r="G649" i="7"/>
  <c r="G650" i="7"/>
  <c r="O829" i="7"/>
  <c r="O881" i="7"/>
  <c r="O725" i="7"/>
  <c r="O777" i="7"/>
  <c r="O987" i="7"/>
  <c r="U923" i="7"/>
  <c r="U975" i="7"/>
  <c r="O979" i="7"/>
  <c r="G877" i="7"/>
  <c r="G878" i="7"/>
  <c r="S983" i="7"/>
  <c r="S931" i="7"/>
  <c r="V984" i="7"/>
  <c r="V932" i="7"/>
  <c r="G908" i="7"/>
  <c r="O1009" i="7"/>
  <c r="G907" i="7"/>
  <c r="G955" i="7"/>
  <c r="O959" i="7"/>
  <c r="O907" i="7"/>
  <c r="F405" i="7"/>
  <c r="F404" i="7"/>
  <c r="F389" i="7"/>
  <c r="F390" i="7"/>
  <c r="F387" i="7"/>
  <c r="N595" i="7"/>
  <c r="O1022" i="7"/>
  <c r="N1025" i="7"/>
  <c r="I921" i="1"/>
  <c r="F923" i="7"/>
  <c r="F924" i="7"/>
  <c r="N973" i="7"/>
  <c r="F921" i="7"/>
  <c r="F922" i="7"/>
  <c r="G930" i="7"/>
  <c r="G931" i="7"/>
  <c r="T1032" i="7"/>
  <c r="T980" i="7"/>
  <c r="U1047" i="7"/>
  <c r="U995" i="7"/>
  <c r="F956" i="7"/>
  <c r="E14" i="6"/>
  <c r="F957" i="7"/>
  <c r="F958" i="7"/>
  <c r="W1010" i="7"/>
  <c r="N1008" i="7"/>
  <c r="I956" i="1"/>
  <c r="F959" i="7"/>
  <c r="W1011" i="7"/>
  <c r="N1016" i="7"/>
  <c r="I964" i="1"/>
  <c r="Y869" i="7"/>
  <c r="Y921" i="7"/>
  <c r="Y915" i="7"/>
  <c r="Y1020" i="7"/>
  <c r="Y863" i="7"/>
  <c r="Y967" i="7"/>
  <c r="G953" i="7"/>
  <c r="G910" i="7"/>
  <c r="G909" i="7"/>
  <c r="G880" i="7"/>
  <c r="O823" i="7"/>
  <c r="G932" i="7"/>
  <c r="O981" i="7"/>
  <c r="G879" i="7"/>
  <c r="G576" i="7"/>
  <c r="G961" i="7"/>
  <c r="G962" i="7"/>
  <c r="N658" i="7"/>
  <c r="F450" i="7"/>
  <c r="F452" i="7"/>
  <c r="F451" i="7"/>
  <c r="N606" i="7"/>
  <c r="F453" i="7"/>
  <c r="N608" i="7"/>
  <c r="F455" i="7"/>
  <c r="F454" i="7"/>
  <c r="N646" i="7"/>
  <c r="F597" i="7"/>
  <c r="F595" i="7"/>
  <c r="I594" i="1"/>
  <c r="G594" i="7"/>
  <c r="F596" i="7"/>
  <c r="F594" i="7"/>
  <c r="N698" i="7"/>
  <c r="N639" i="7"/>
  <c r="N691" i="7"/>
  <c r="F590" i="7"/>
  <c r="I587" i="1"/>
  <c r="G589" i="7"/>
  <c r="I661" i="1"/>
  <c r="N713" i="7"/>
  <c r="N817" i="7"/>
  <c r="N765" i="7"/>
  <c r="N869" i="7"/>
  <c r="N720" i="7"/>
  <c r="I668" i="1"/>
  <c r="O824" i="7"/>
  <c r="F668" i="7"/>
  <c r="F670" i="7"/>
  <c r="N772" i="7"/>
  <c r="N824" i="7"/>
  <c r="F669" i="7"/>
  <c r="F671" i="7"/>
  <c r="I676" i="1"/>
  <c r="F679" i="7"/>
  <c r="N884" i="7"/>
  <c r="N728" i="7"/>
  <c r="N780" i="7"/>
  <c r="F678" i="7"/>
  <c r="F676" i="7"/>
  <c r="N762" i="7"/>
  <c r="N866" i="7"/>
  <c r="F712" i="7"/>
  <c r="F710" i="7"/>
  <c r="F711" i="7"/>
  <c r="F713" i="7"/>
  <c r="I710" i="1"/>
  <c r="O918" i="7"/>
  <c r="N918" i="7"/>
  <c r="I891" i="1"/>
  <c r="N995" i="7"/>
  <c r="F894" i="7"/>
  <c r="N943" i="7"/>
  <c r="F893" i="7"/>
  <c r="F891" i="7"/>
  <c r="W943" i="7"/>
  <c r="T996" i="7"/>
  <c r="T944" i="7"/>
  <c r="I897" i="1"/>
  <c r="F900" i="7"/>
  <c r="F899" i="7"/>
  <c r="N1001" i="7"/>
  <c r="F898" i="7"/>
  <c r="W950" i="7"/>
  <c r="T950" i="7"/>
  <c r="T1002" i="7"/>
  <c r="G906" i="7"/>
  <c r="G905" i="7"/>
  <c r="G904" i="7"/>
  <c r="S959" i="7"/>
  <c r="S1011" i="7"/>
  <c r="V1013" i="7"/>
  <c r="V961" i="7"/>
  <c r="G915" i="7"/>
  <c r="U1020" i="7"/>
  <c r="U968" i="7"/>
  <c r="V969" i="7"/>
  <c r="V1021" i="7"/>
  <c r="V970" i="7"/>
  <c r="V1022" i="7"/>
  <c r="T977" i="7"/>
  <c r="F944" i="7"/>
  <c r="I942" i="1"/>
  <c r="F943" i="7"/>
  <c r="N994" i="7"/>
  <c r="F942" i="7"/>
  <c r="S1046" i="7"/>
  <c r="S994" i="7"/>
  <c r="I568" i="1"/>
  <c r="O776" i="7"/>
  <c r="N620" i="7"/>
  <c r="F571" i="7"/>
  <c r="F446" i="7"/>
  <c r="N602" i="7"/>
  <c r="N654" i="7"/>
  <c r="F449" i="7"/>
  <c r="F448" i="7"/>
  <c r="F447" i="7"/>
  <c r="I608" i="1"/>
  <c r="F611" i="7"/>
  <c r="I586" i="1"/>
  <c r="O690" i="7"/>
  <c r="F587" i="7"/>
  <c r="F589" i="7"/>
  <c r="N638" i="7"/>
  <c r="F588" i="7"/>
  <c r="F586" i="7"/>
  <c r="F613" i="7"/>
  <c r="N818" i="7"/>
  <c r="N662" i="7"/>
  <c r="N766" i="7"/>
  <c r="F746" i="7"/>
  <c r="N847" i="7"/>
  <c r="N795" i="7"/>
  <c r="I743" i="1"/>
  <c r="N899" i="7"/>
  <c r="N854" i="7"/>
  <c r="F750" i="7"/>
  <c r="F751" i="7"/>
  <c r="N802" i="7"/>
  <c r="G853" i="7"/>
  <c r="F726" i="7"/>
  <c r="N714" i="7"/>
  <c r="F609" i="7"/>
  <c r="F612" i="7"/>
  <c r="F753" i="7"/>
  <c r="O1039" i="7"/>
  <c r="I750" i="1"/>
  <c r="F121" i="7"/>
  <c r="F120" i="7"/>
  <c r="F118" i="7"/>
  <c r="F111" i="7"/>
  <c r="F110" i="7"/>
  <c r="F621" i="7"/>
  <c r="N724" i="7"/>
  <c r="N672" i="7"/>
  <c r="N828" i="7"/>
  <c r="F623" i="7"/>
  <c r="F620" i="7"/>
  <c r="N619" i="7"/>
  <c r="I567" i="1"/>
  <c r="G567" i="7"/>
  <c r="F567" i="7"/>
  <c r="I547" i="1"/>
  <c r="O703" i="7"/>
  <c r="N599" i="7"/>
  <c r="F547" i="7"/>
  <c r="N703" i="7"/>
  <c r="F549" i="7"/>
  <c r="F550" i="7"/>
  <c r="W654" i="7"/>
  <c r="N651" i="7"/>
  <c r="N755" i="7"/>
  <c r="I644" i="1"/>
  <c r="O852" i="7"/>
  <c r="N696" i="7"/>
  <c r="F647" i="7"/>
  <c r="N800" i="7"/>
  <c r="F645" i="7"/>
  <c r="W854" i="7"/>
  <c r="N852" i="7"/>
  <c r="F646" i="7"/>
  <c r="N845" i="7"/>
  <c r="F638" i="7"/>
  <c r="N689" i="7"/>
  <c r="F640" i="7"/>
  <c r="F607" i="7"/>
  <c r="F610" i="7"/>
  <c r="N612" i="7"/>
  <c r="N664" i="7"/>
  <c r="I691" i="1"/>
  <c r="F691" i="7"/>
  <c r="N743" i="7"/>
  <c r="I698" i="1"/>
  <c r="N750" i="7"/>
  <c r="F699" i="7"/>
  <c r="F701" i="7"/>
  <c r="N926" i="7"/>
  <c r="I770" i="1"/>
  <c r="F773" i="7"/>
  <c r="N822" i="7"/>
  <c r="F785" i="7"/>
  <c r="W994" i="7"/>
  <c r="I783" i="1"/>
  <c r="F784" i="7"/>
  <c r="F786" i="7"/>
  <c r="N887" i="7"/>
  <c r="T762" i="7"/>
  <c r="T605" i="7"/>
  <c r="T717" i="7"/>
  <c r="T770" i="7"/>
  <c r="T613" i="7"/>
  <c r="T665" i="7"/>
  <c r="T615" i="7"/>
  <c r="T772" i="7"/>
  <c r="T774" i="7"/>
  <c r="T617" i="7"/>
  <c r="T669" i="7"/>
  <c r="T721" i="7"/>
  <c r="S725" i="7"/>
  <c r="S778" i="7"/>
  <c r="S814" i="7"/>
  <c r="S867" i="7"/>
  <c r="S762" i="7"/>
  <c r="S710" i="7"/>
  <c r="T815" i="7"/>
  <c r="T711" i="7"/>
  <c r="T763" i="7"/>
  <c r="U869" i="7"/>
  <c r="U816" i="7"/>
  <c r="V713" i="7"/>
  <c r="V817" i="7"/>
  <c r="I1003" i="1"/>
  <c r="F1006" i="7"/>
  <c r="F1005" i="7"/>
  <c r="F1003" i="7"/>
  <c r="G758" i="7"/>
  <c r="G757" i="7"/>
  <c r="F420" i="7"/>
  <c r="F419" i="7"/>
  <c r="N626" i="7"/>
  <c r="I600" i="1"/>
  <c r="F601" i="7"/>
  <c r="F603" i="7"/>
  <c r="W812" i="7"/>
  <c r="N756" i="7"/>
  <c r="F602" i="7"/>
  <c r="F725" i="7"/>
  <c r="N931" i="7"/>
  <c r="I723" i="1"/>
  <c r="F724" i="7"/>
  <c r="N879" i="7"/>
  <c r="N827" i="7"/>
  <c r="I789" i="1"/>
  <c r="O841" i="7"/>
  <c r="N893" i="7"/>
  <c r="N997" i="7"/>
  <c r="F790" i="7"/>
  <c r="N841" i="7"/>
  <c r="I1030" i="1"/>
  <c r="G1033" i="7"/>
  <c r="F1033" i="7"/>
  <c r="G779" i="7"/>
  <c r="F744" i="7"/>
  <c r="F792" i="7"/>
  <c r="G991" i="7"/>
  <c r="O968" i="7"/>
  <c r="F174" i="7"/>
  <c r="F151" i="7"/>
  <c r="F51" i="7"/>
  <c r="F49" i="7"/>
  <c r="F48" i="7"/>
  <c r="F42" i="7"/>
  <c r="F40" i="7"/>
  <c r="F33" i="7"/>
  <c r="F34" i="7"/>
  <c r="F27" i="7"/>
  <c r="N678" i="7"/>
  <c r="F628" i="7"/>
  <c r="F629" i="7"/>
  <c r="F627" i="7"/>
  <c r="I626" i="1"/>
  <c r="U649" i="7"/>
  <c r="U701" i="7"/>
  <c r="U756" i="7"/>
  <c r="U651" i="7"/>
  <c r="U703" i="7"/>
  <c r="U705" i="7"/>
  <c r="U758" i="7"/>
  <c r="T627" i="7"/>
  <c r="T731" i="7"/>
  <c r="T679" i="7"/>
  <c r="T786" i="7"/>
  <c r="T733" i="7"/>
  <c r="T629" i="7"/>
  <c r="T683" i="7"/>
  <c r="T631" i="7"/>
  <c r="T735" i="7"/>
  <c r="T633" i="7"/>
  <c r="T685" i="7"/>
  <c r="T737" i="7"/>
  <c r="V686" i="7"/>
  <c r="V738" i="7"/>
  <c r="V638" i="7"/>
  <c r="V742" i="7"/>
  <c r="T798" i="7"/>
  <c r="T641" i="7"/>
  <c r="S749" i="7"/>
  <c r="S802" i="7"/>
  <c r="U750" i="7"/>
  <c r="U698" i="7"/>
  <c r="F411" i="7"/>
  <c r="F412" i="7"/>
  <c r="N618" i="7"/>
  <c r="F106" i="7"/>
  <c r="F103" i="7"/>
  <c r="F104" i="7"/>
  <c r="N594" i="7"/>
  <c r="F542" i="7"/>
  <c r="N690" i="7"/>
  <c r="N742" i="7"/>
  <c r="F641" i="7"/>
  <c r="N794" i="7"/>
  <c r="F564" i="7"/>
  <c r="I561" i="1"/>
  <c r="F562" i="7"/>
  <c r="F733" i="7"/>
  <c r="W942" i="7"/>
  <c r="F731" i="7"/>
  <c r="F730" i="7"/>
  <c r="N834" i="7"/>
  <c r="N938" i="7"/>
  <c r="N782" i="7"/>
  <c r="G760" i="7"/>
  <c r="O956" i="7"/>
  <c r="N776" i="7"/>
  <c r="F153" i="7"/>
  <c r="F568" i="7"/>
  <c r="I610" i="1"/>
  <c r="N808" i="7"/>
  <c r="G804" i="7"/>
  <c r="F832" i="7"/>
  <c r="W988" i="7"/>
  <c r="F831" i="7"/>
  <c r="W1040" i="7"/>
  <c r="I830" i="1"/>
  <c r="G831" i="7"/>
  <c r="F833" i="7"/>
  <c r="U669" i="7"/>
  <c r="U722" i="7"/>
  <c r="V727" i="7"/>
  <c r="V622" i="7"/>
  <c r="V674" i="7"/>
  <c r="T581" i="7"/>
  <c r="V752" i="7"/>
  <c r="V699" i="7"/>
  <c r="V595" i="7"/>
  <c r="V649" i="7"/>
  <c r="V597" i="7"/>
  <c r="V701" i="7"/>
  <c r="V756" i="7"/>
  <c r="V601" i="7"/>
  <c r="V705" i="7"/>
  <c r="V758" i="7"/>
  <c r="U727" i="7"/>
  <c r="U675" i="7"/>
  <c r="U677" i="7"/>
  <c r="U782" i="7"/>
  <c r="V1051" i="7"/>
  <c r="F428" i="7"/>
  <c r="F427" i="7"/>
  <c r="N582" i="7"/>
  <c r="F429" i="7"/>
  <c r="F426" i="7"/>
  <c r="N770" i="7"/>
  <c r="I562" i="1"/>
  <c r="N666" i="7"/>
  <c r="I645" i="1"/>
  <c r="G647" i="7"/>
  <c r="F648" i="7"/>
  <c r="W857" i="7"/>
  <c r="N749" i="7"/>
  <c r="N801" i="7"/>
  <c r="F743" i="7"/>
  <c r="F569" i="7"/>
  <c r="N945" i="7"/>
  <c r="G778" i="7"/>
  <c r="N816" i="7"/>
  <c r="N660" i="7"/>
  <c r="N846" i="7"/>
  <c r="F152" i="7"/>
  <c r="F745" i="7"/>
  <c r="N958" i="7"/>
  <c r="F798" i="7"/>
  <c r="F800" i="7"/>
  <c r="W956" i="7"/>
  <c r="I797" i="1"/>
  <c r="I824" i="1"/>
  <c r="O928" i="7"/>
  <c r="N876" i="7"/>
  <c r="N928" i="7"/>
  <c r="F826" i="7"/>
  <c r="W1035" i="7"/>
  <c r="F827" i="7"/>
  <c r="W1036" i="7"/>
  <c r="N980" i="7"/>
  <c r="T602" i="7"/>
  <c r="T707" i="7"/>
  <c r="V656" i="7"/>
  <c r="V604" i="7"/>
  <c r="V709" i="7"/>
  <c r="V664" i="7"/>
  <c r="V612" i="7"/>
  <c r="V717" i="7"/>
  <c r="T728" i="7"/>
  <c r="T675" i="7"/>
  <c r="V730" i="7"/>
  <c r="V625" i="7"/>
  <c r="S751" i="7"/>
  <c r="S698" i="7"/>
  <c r="S769" i="7"/>
  <c r="S716" i="7"/>
  <c r="V671" i="7"/>
  <c r="V776" i="7"/>
  <c r="V778" i="7"/>
  <c r="V725" i="7"/>
  <c r="V673" i="7"/>
  <c r="V621" i="7"/>
  <c r="F860" i="7"/>
  <c r="I857" i="1"/>
  <c r="G860" i="7"/>
  <c r="F859" i="7"/>
  <c r="N961" i="7"/>
  <c r="N909" i="7"/>
  <c r="V910" i="7"/>
  <c r="V962" i="7"/>
  <c r="W1038" i="7"/>
  <c r="F363" i="7"/>
  <c r="F362" i="7"/>
  <c r="F205" i="7"/>
  <c r="F102" i="7"/>
  <c r="F100" i="7"/>
  <c r="F78" i="7"/>
  <c r="F79" i="7"/>
  <c r="V680" i="7"/>
  <c r="V627" i="7"/>
  <c r="V733" i="7"/>
  <c r="V785" i="7"/>
  <c r="V837" i="7"/>
  <c r="I841" i="1"/>
  <c r="O893" i="7"/>
  <c r="F842" i="7"/>
  <c r="T900" i="7"/>
  <c r="T1004" i="7"/>
  <c r="T1005" i="7"/>
  <c r="T901" i="7"/>
  <c r="T953" i="7"/>
  <c r="N1003" i="7"/>
  <c r="I847" i="1"/>
  <c r="O951" i="7"/>
  <c r="F849" i="7"/>
  <c r="W1005" i="7"/>
  <c r="F848" i="7"/>
  <c r="F369" i="7"/>
  <c r="F370" i="7"/>
  <c r="F235" i="7"/>
  <c r="N922" i="7"/>
  <c r="I818" i="1"/>
  <c r="N974" i="7"/>
  <c r="N870" i="7"/>
  <c r="S756" i="7"/>
  <c r="S861" i="7"/>
  <c r="S704" i="7"/>
  <c r="S729" i="7"/>
  <c r="S833" i="7"/>
  <c r="U888" i="7"/>
  <c r="U783" i="7"/>
  <c r="G982" i="7"/>
  <c r="G584" i="7"/>
  <c r="F360" i="7"/>
  <c r="F361" i="7"/>
  <c r="F258" i="7"/>
  <c r="F257" i="7"/>
  <c r="V723" i="7"/>
  <c r="S832" i="7"/>
  <c r="S885" i="7"/>
  <c r="S728" i="7"/>
  <c r="T778" i="7"/>
  <c r="T830" i="7"/>
  <c r="T882" i="7"/>
  <c r="T780" i="7"/>
  <c r="T832" i="7"/>
  <c r="T884" i="7"/>
  <c r="N1005" i="7"/>
  <c r="I849" i="1"/>
  <c r="G851" i="7"/>
  <c r="U903" i="7"/>
  <c r="U1007" i="7"/>
  <c r="I869" i="1"/>
  <c r="G870" i="7"/>
  <c r="F872" i="7"/>
  <c r="T833" i="7"/>
  <c r="F380" i="7"/>
  <c r="F381" i="7"/>
  <c r="N588" i="7"/>
  <c r="F538" i="7"/>
  <c r="N581" i="7"/>
  <c r="F532" i="7"/>
  <c r="F500" i="7"/>
  <c r="N653" i="7"/>
  <c r="N611" i="7"/>
  <c r="F510" i="7"/>
  <c r="W666" i="7"/>
  <c r="N793" i="7"/>
  <c r="F689" i="7"/>
  <c r="N741" i="7"/>
  <c r="F692" i="7"/>
  <c r="F781" i="7"/>
  <c r="I780" i="1"/>
  <c r="N832" i="7"/>
  <c r="N936" i="7"/>
  <c r="F783" i="7"/>
  <c r="U763" i="7"/>
  <c r="U867" i="7"/>
  <c r="U766" i="7"/>
  <c r="U775" i="7"/>
  <c r="U879" i="7"/>
  <c r="U828" i="7"/>
  <c r="U776" i="7"/>
  <c r="I882" i="1"/>
  <c r="O934" i="7"/>
  <c r="N986" i="7"/>
  <c r="Y1041" i="7"/>
  <c r="Y989" i="7"/>
  <c r="Y937" i="7"/>
  <c r="Y992" i="7"/>
  <c r="Y887" i="7"/>
  <c r="F281" i="7"/>
  <c r="N781" i="7"/>
  <c r="N677" i="7"/>
  <c r="F682" i="7"/>
  <c r="N862" i="7"/>
  <c r="N966" i="7"/>
  <c r="I813" i="1"/>
  <c r="F816" i="7"/>
  <c r="W1025" i="7"/>
  <c r="U673" i="7"/>
  <c r="U754" i="7"/>
  <c r="F892" i="7"/>
  <c r="N941" i="7"/>
  <c r="N993" i="7"/>
  <c r="V943" i="7"/>
  <c r="V1007" i="7"/>
  <c r="N962" i="7"/>
  <c r="N1047" i="7"/>
  <c r="I943" i="1"/>
  <c r="G943" i="7"/>
  <c r="X995" i="7"/>
  <c r="U1049" i="7"/>
  <c r="U997" i="7"/>
  <c r="S1039" i="7"/>
  <c r="G1015" i="7"/>
  <c r="F350" i="7"/>
  <c r="F232" i="7"/>
  <c r="F230" i="7"/>
  <c r="F101" i="7"/>
  <c r="F25" i="7"/>
  <c r="F17" i="7"/>
  <c r="I618" i="1"/>
  <c r="G618" i="7"/>
  <c r="N722" i="7"/>
  <c r="F456" i="7"/>
  <c r="N842" i="7"/>
  <c r="U656" i="7"/>
  <c r="T796" i="7"/>
  <c r="T744" i="7"/>
  <c r="F866" i="7"/>
  <c r="I863" i="1"/>
  <c r="I893" i="1"/>
  <c r="F895" i="7"/>
  <c r="W1051" i="7"/>
  <c r="I911" i="1"/>
  <c r="G912" i="7"/>
  <c r="N963" i="7"/>
  <c r="U971" i="7"/>
  <c r="F403" i="7"/>
  <c r="N717" i="7"/>
  <c r="I665" i="1"/>
  <c r="N805" i="7"/>
  <c r="V827" i="7"/>
  <c r="V840" i="7"/>
  <c r="V880" i="7"/>
  <c r="V884" i="7"/>
  <c r="V992" i="7"/>
  <c r="V890" i="7"/>
  <c r="V997" i="7"/>
  <c r="V999" i="7"/>
  <c r="I839" i="1"/>
  <c r="N891" i="7"/>
  <c r="I856" i="1"/>
  <c r="F856" i="7"/>
  <c r="F858" i="7"/>
  <c r="F937" i="7"/>
  <c r="W1041" i="7"/>
  <c r="F938" i="7"/>
  <c r="U1030" i="7"/>
  <c r="Y831" i="7"/>
  <c r="Y988" i="7"/>
  <c r="G954" i="7"/>
  <c r="F394" i="7"/>
  <c r="F371" i="7"/>
  <c r="F356" i="7"/>
  <c r="F332" i="7"/>
  <c r="F324" i="7"/>
  <c r="F301" i="7"/>
  <c r="F123" i="7"/>
  <c r="F14" i="7"/>
  <c r="F533" i="7"/>
  <c r="I530" i="1"/>
  <c r="O686" i="7"/>
  <c r="N759" i="7"/>
  <c r="N603" i="7"/>
  <c r="I557" i="1"/>
  <c r="G559" i="7"/>
  <c r="N661" i="7"/>
  <c r="I613" i="1"/>
  <c r="N665" i="7"/>
  <c r="N798" i="7"/>
  <c r="V682" i="7"/>
  <c r="S766" i="7"/>
  <c r="T680" i="7"/>
  <c r="T784" i="7"/>
  <c r="T793" i="7"/>
  <c r="T741" i="7"/>
  <c r="V1006" i="7"/>
  <c r="I885" i="1"/>
  <c r="F887" i="7"/>
  <c r="W1043" i="7"/>
  <c r="Y907" i="7"/>
  <c r="Y959" i="7"/>
  <c r="Y883" i="7"/>
  <c r="Y859" i="7"/>
  <c r="Y911" i="7"/>
  <c r="Y963" i="7"/>
  <c r="Y893" i="7"/>
  <c r="Y998" i="7"/>
  <c r="F581" i="7"/>
  <c r="F830" i="7"/>
  <c r="N933" i="7"/>
  <c r="S763" i="7"/>
  <c r="T768" i="7"/>
  <c r="T952" i="7"/>
  <c r="V985" i="7"/>
  <c r="V996" i="7"/>
  <c r="V1048" i="7"/>
  <c r="V998" i="7"/>
  <c r="I965" i="1"/>
  <c r="G967" i="7"/>
  <c r="F968" i="7"/>
  <c r="W1020" i="7"/>
  <c r="V1034" i="7"/>
  <c r="V1035" i="7"/>
  <c r="V1038" i="7"/>
  <c r="U1037" i="7"/>
  <c r="S1042" i="7"/>
  <c r="Y973" i="7"/>
  <c r="I1051" i="1"/>
  <c r="F432" i="7"/>
  <c r="F505" i="7"/>
  <c r="F651" i="7"/>
  <c r="F606" i="7"/>
  <c r="W710" i="7"/>
  <c r="N923" i="7"/>
  <c r="F825" i="7"/>
  <c r="W929" i="7"/>
  <c r="V754" i="7"/>
  <c r="V745" i="7"/>
  <c r="U1043" i="7"/>
  <c r="U1051" i="7"/>
  <c r="F388" i="7"/>
  <c r="T585" i="7"/>
  <c r="S764" i="7"/>
  <c r="V751" i="7"/>
  <c r="I926" i="1"/>
  <c r="G926" i="7"/>
  <c r="N978" i="7"/>
  <c r="T991" i="7"/>
  <c r="I945" i="1"/>
  <c r="N1049" i="7"/>
  <c r="S1050" i="7"/>
  <c r="V1023" i="7"/>
  <c r="O1028" i="7"/>
  <c r="T1029" i="7"/>
  <c r="T1028" i="7"/>
  <c r="S1035" i="7"/>
  <c r="Y1040" i="7"/>
  <c r="V1050" i="7"/>
  <c r="F386" i="7"/>
  <c r="F322" i="7"/>
  <c r="F706" i="7"/>
  <c r="F245" i="7"/>
  <c r="N655" i="7"/>
  <c r="V657" i="7"/>
  <c r="U687" i="7"/>
  <c r="V688" i="7"/>
  <c r="T760" i="7"/>
  <c r="T708" i="7"/>
  <c r="U797" i="7"/>
  <c r="U800" i="7"/>
  <c r="U854" i="7"/>
  <c r="U803" i="7"/>
  <c r="N1043" i="7"/>
  <c r="V1046" i="7"/>
  <c r="N1036" i="7"/>
  <c r="I1041" i="1"/>
  <c r="F1043" i="7"/>
  <c r="F1044" i="7"/>
  <c r="T623" i="7"/>
  <c r="T803" i="7"/>
  <c r="S924" i="7"/>
  <c r="S953" i="7"/>
  <c r="T958" i="7"/>
  <c r="N1037" i="7"/>
  <c r="U1038" i="7"/>
  <c r="V1030" i="7"/>
  <c r="N1045" i="7"/>
  <c r="T1046" i="7"/>
  <c r="V788" i="7"/>
  <c r="V983" i="7"/>
  <c r="F964" i="7"/>
  <c r="U1023" i="7"/>
  <c r="S1029" i="7"/>
  <c r="S1028" i="7"/>
  <c r="V1031" i="7"/>
  <c r="N1035" i="7"/>
  <c r="I983" i="1"/>
  <c r="F14" i="6"/>
  <c r="N1039" i="7"/>
  <c r="F989" i="7"/>
  <c r="S1047" i="7"/>
  <c r="T1048" i="7"/>
  <c r="F667" i="7"/>
  <c r="U667" i="7"/>
  <c r="V646" i="7"/>
  <c r="S759" i="7"/>
  <c r="T834" i="7"/>
  <c r="T836" i="7"/>
  <c r="T938" i="7"/>
  <c r="T889" i="7"/>
  <c r="T893" i="7"/>
  <c r="F840" i="7"/>
  <c r="U1040" i="7"/>
  <c r="S1044" i="7"/>
  <c r="T1023" i="7"/>
  <c r="U1024" i="7"/>
  <c r="V1025" i="7"/>
  <c r="Y947" i="7"/>
  <c r="F1039" i="7"/>
  <c r="F1036" i="7"/>
  <c r="I1036" i="1"/>
  <c r="F32" i="7"/>
  <c r="F672" i="7"/>
  <c r="U637" i="7"/>
  <c r="V641" i="7"/>
  <c r="T754" i="7"/>
  <c r="S896" i="7"/>
  <c r="I963" i="1"/>
  <c r="G966" i="7"/>
  <c r="F965" i="7"/>
  <c r="N1023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F1042" i="7"/>
  <c r="I1039" i="1"/>
  <c r="F1040" i="7"/>
  <c r="U1039" i="7"/>
  <c r="N1024" i="7"/>
  <c r="I972" i="1"/>
  <c r="T1025" i="7"/>
  <c r="U1026" i="7"/>
  <c r="V1027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N1032" i="7"/>
  <c r="U1034" i="7"/>
  <c r="U1035" i="7"/>
  <c r="V1039" i="7"/>
  <c r="T1038" i="7"/>
  <c r="T1037" i="7"/>
  <c r="Y1026" i="7"/>
  <c r="N1044" i="7"/>
  <c r="I992" i="1"/>
  <c r="Y1043" i="7"/>
  <c r="E13" i="6"/>
  <c r="N1050" i="7"/>
  <c r="T1050" i="7"/>
  <c r="F1032" i="7"/>
  <c r="F1051" i="7"/>
  <c r="N1027" i="7"/>
  <c r="S1027" i="7"/>
  <c r="U1028" i="7"/>
  <c r="N1033" i="7"/>
  <c r="T1034" i="7"/>
  <c r="T1035" i="7"/>
  <c r="T1039" i="7"/>
  <c r="S1038" i="7"/>
  <c r="S1037" i="7"/>
  <c r="S1036" i="7"/>
  <c r="Y1033" i="7"/>
  <c r="Y1045" i="7"/>
  <c r="Y971" i="7"/>
  <c r="Y1016" i="7"/>
  <c r="Y964" i="7"/>
  <c r="T1044" i="7"/>
  <c r="S1045" i="7"/>
  <c r="V1047" i="7"/>
  <c r="Y1042" i="7"/>
  <c r="V1049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38" i="7"/>
  <c r="N1046" i="7"/>
  <c r="T1047" i="7"/>
  <c r="T1049" i="7"/>
  <c r="F1022" i="7"/>
  <c r="I1019" i="1"/>
  <c r="F1026" i="7"/>
  <c r="I1024" i="1"/>
  <c r="G1026" i="7"/>
  <c r="G1032" i="7"/>
  <c r="N1030" i="7"/>
  <c r="S1031" i="7"/>
  <c r="T1033" i="7"/>
  <c r="V1041" i="7"/>
  <c r="Y1039" i="7"/>
  <c r="N1040" i="7"/>
  <c r="V1043" i="7"/>
  <c r="S1048" i="7"/>
  <c r="F1037" i="7"/>
  <c r="F1038" i="7"/>
  <c r="T1026" i="7"/>
  <c r="U1027" i="7"/>
  <c r="N1031" i="7"/>
  <c r="S1033" i="7"/>
  <c r="S1032" i="7"/>
  <c r="N1034" i="7"/>
  <c r="T1041" i="7"/>
  <c r="Y1030" i="7"/>
  <c r="N1041" i="7"/>
  <c r="Y1046" i="7"/>
  <c r="S1051" i="7"/>
  <c r="T1043" i="7"/>
  <c r="Y1047" i="7"/>
  <c r="N1051" i="7"/>
  <c r="T1051" i="7"/>
  <c r="F1020" i="7"/>
  <c r="F1028" i="7"/>
  <c r="I1025" i="1"/>
  <c r="V1045" i="7"/>
  <c r="Y1044" i="7"/>
  <c r="S1049" i="7"/>
  <c r="F1035" i="7"/>
  <c r="O1042" i="7"/>
  <c r="G697" i="7"/>
  <c r="O924" i="7"/>
  <c r="G740" i="7"/>
  <c r="G990" i="7"/>
  <c r="G741" i="7"/>
  <c r="G742" i="7"/>
  <c r="G822" i="7"/>
  <c r="O1031" i="7"/>
  <c r="W744" i="7"/>
  <c r="G652" i="7"/>
  <c r="O844" i="7"/>
  <c r="O982" i="7"/>
  <c r="O856" i="7"/>
  <c r="O948" i="7"/>
  <c r="G996" i="7"/>
  <c r="W859" i="7"/>
  <c r="W1024" i="7"/>
  <c r="W613" i="7"/>
  <c r="O842" i="7"/>
  <c r="O990" i="7"/>
  <c r="G672" i="7"/>
  <c r="G702" i="7"/>
  <c r="G681" i="7"/>
  <c r="O932" i="7"/>
  <c r="G654" i="7"/>
  <c r="W907" i="7"/>
  <c r="W951" i="7"/>
  <c r="G539" i="7"/>
  <c r="O910" i="7"/>
  <c r="W916" i="7"/>
  <c r="O904" i="7"/>
  <c r="W1018" i="7"/>
  <c r="G1049" i="7"/>
  <c r="O800" i="7"/>
  <c r="G845" i="7"/>
  <c r="W908" i="7"/>
  <c r="O1033" i="7"/>
  <c r="O970" i="7"/>
  <c r="G970" i="7"/>
  <c r="G950" i="7"/>
  <c r="G794" i="7"/>
  <c r="W949" i="7"/>
  <c r="G940" i="7"/>
  <c r="W831" i="7"/>
  <c r="O804" i="7"/>
  <c r="O1041" i="7"/>
  <c r="G939" i="7"/>
  <c r="W808" i="7"/>
  <c r="G1046" i="7"/>
  <c r="O685" i="7"/>
  <c r="W1031" i="7"/>
  <c r="W963" i="7"/>
  <c r="O929" i="7"/>
  <c r="G733" i="7"/>
  <c r="W788" i="7"/>
  <c r="W836" i="7"/>
  <c r="W1028" i="7"/>
  <c r="G680" i="7"/>
  <c r="W761" i="7"/>
  <c r="O878" i="7"/>
  <c r="G730" i="7"/>
  <c r="W980" i="7"/>
  <c r="W1045" i="7"/>
  <c r="O1047" i="7"/>
  <c r="O784" i="7"/>
  <c r="G569" i="7"/>
  <c r="G777" i="7"/>
  <c r="W623" i="7"/>
  <c r="G775" i="7"/>
  <c r="O692" i="7"/>
  <c r="G540" i="7"/>
  <c r="O883" i="7"/>
  <c r="O998" i="7"/>
  <c r="G767" i="7"/>
  <c r="W858" i="7"/>
  <c r="G579" i="7"/>
  <c r="G641" i="7"/>
  <c r="G687" i="7"/>
  <c r="G998" i="7"/>
  <c r="W927" i="7"/>
  <c r="O857" i="7"/>
  <c r="W606" i="7"/>
  <c r="G776" i="7"/>
  <c r="O744" i="7"/>
  <c r="W955" i="7"/>
  <c r="G1000" i="7"/>
  <c r="G703" i="7"/>
  <c r="G824" i="7"/>
  <c r="O825" i="7"/>
  <c r="G717" i="7"/>
  <c r="O1048" i="7"/>
  <c r="G928" i="7"/>
  <c r="G806" i="7"/>
  <c r="G542" i="7"/>
  <c r="G771" i="7"/>
  <c r="G568" i="7"/>
  <c r="X724" i="7"/>
  <c r="O803" i="7"/>
  <c r="G704" i="7"/>
  <c r="O688" i="7"/>
  <c r="O737" i="7"/>
  <c r="G688" i="7"/>
  <c r="X897" i="7"/>
  <c r="G686" i="7"/>
  <c r="O735" i="7"/>
  <c r="G685" i="7"/>
  <c r="G1006" i="7"/>
  <c r="W740" i="7"/>
  <c r="O773" i="7"/>
  <c r="O721" i="7"/>
  <c r="O1025" i="7"/>
  <c r="W900" i="7"/>
  <c r="W1008" i="7"/>
  <c r="O930" i="7"/>
  <c r="O985" i="7"/>
  <c r="G901" i="7"/>
  <c r="G674" i="7"/>
  <c r="X778" i="7"/>
  <c r="O830" i="7"/>
  <c r="G675" i="7"/>
  <c r="O778" i="7"/>
  <c r="G534" i="7"/>
  <c r="G764" i="7"/>
  <c r="G642" i="7"/>
  <c r="O820" i="7"/>
  <c r="W911" i="7"/>
  <c r="W1047" i="7"/>
  <c r="G677" i="7"/>
  <c r="W603" i="7"/>
  <c r="W1003" i="7"/>
  <c r="W940" i="7"/>
  <c r="W813" i="7"/>
  <c r="G1007" i="7"/>
  <c r="O740" i="7"/>
  <c r="G598" i="7"/>
  <c r="O710" i="7"/>
  <c r="W825" i="7"/>
  <c r="G765" i="7"/>
  <c r="O1013" i="7"/>
  <c r="O1006" i="7"/>
  <c r="G837" i="7"/>
  <c r="G838" i="7"/>
  <c r="G552" i="7"/>
  <c r="O1007" i="7"/>
  <c r="G862" i="7"/>
  <c r="O911" i="7"/>
  <c r="G768" i="7"/>
  <c r="G1009" i="7"/>
  <c r="G801" i="7"/>
  <c r="G897" i="7"/>
  <c r="X949" i="7"/>
  <c r="W731" i="7"/>
  <c r="W823" i="7"/>
  <c r="G807" i="7"/>
  <c r="O837" i="7"/>
  <c r="O993" i="7"/>
  <c r="O880" i="7"/>
  <c r="O920" i="7"/>
  <c r="W791" i="7"/>
  <c r="O1014" i="7"/>
  <c r="G1016" i="7"/>
  <c r="O787" i="7"/>
  <c r="O706" i="7"/>
  <c r="O923" i="7"/>
  <c r="O975" i="7"/>
  <c r="O871" i="7"/>
  <c r="G1018" i="7"/>
  <c r="G1017" i="7"/>
  <c r="W604" i="7"/>
  <c r="O984" i="7"/>
  <c r="O983" i="7"/>
  <c r="G828" i="7"/>
  <c r="G890" i="7"/>
  <c r="X942" i="7"/>
  <c r="G889" i="7"/>
  <c r="O864" i="7"/>
  <c r="G709" i="7"/>
  <c r="O1049" i="7"/>
  <c r="W1042" i="7"/>
  <c r="O1038" i="7"/>
  <c r="W924" i="7"/>
  <c r="G610" i="7"/>
  <c r="W605" i="7"/>
  <c r="O946" i="7"/>
  <c r="O813" i="7"/>
  <c r="O694" i="7"/>
  <c r="G805" i="7"/>
  <c r="O754" i="7"/>
  <c r="G705" i="7"/>
  <c r="O806" i="7"/>
  <c r="G762" i="7"/>
  <c r="G592" i="7"/>
  <c r="O693" i="7"/>
  <c r="O687" i="7"/>
  <c r="G635" i="7"/>
  <c r="G720" i="7"/>
  <c r="G718" i="7"/>
  <c r="G721" i="7"/>
  <c r="G988" i="7"/>
  <c r="G987" i="7"/>
  <c r="O1004" i="7"/>
  <c r="O900" i="7"/>
  <c r="O952" i="7"/>
  <c r="W787" i="7"/>
  <c r="O758" i="7"/>
  <c r="W1032" i="7"/>
  <c r="O726" i="7"/>
  <c r="O903" i="7"/>
  <c r="G802" i="7"/>
  <c r="W960" i="7"/>
  <c r="O1045" i="7"/>
  <c r="O913" i="7"/>
  <c r="W684" i="7"/>
  <c r="O746" i="7"/>
  <c r="O732" i="7"/>
  <c r="O888" i="7"/>
  <c r="G997" i="7"/>
  <c r="O977" i="7"/>
  <c r="G823" i="7"/>
  <c r="O925" i="7"/>
  <c r="O831" i="7"/>
  <c r="G729" i="7"/>
  <c r="G727" i="7"/>
  <c r="X831" i="7"/>
  <c r="G728" i="7"/>
  <c r="O779" i="7"/>
  <c r="G769" i="7"/>
  <c r="W954" i="7"/>
  <c r="G830" i="7"/>
  <c r="O882" i="7"/>
  <c r="G562" i="7"/>
  <c r="G563" i="7"/>
  <c r="G564" i="7"/>
  <c r="W906" i="7"/>
  <c r="W802" i="7"/>
  <c r="W952" i="7"/>
  <c r="W1004" i="7"/>
  <c r="W763" i="7"/>
  <c r="O1008" i="7"/>
  <c r="G616" i="7"/>
  <c r="G615" i="7"/>
  <c r="G842" i="7"/>
  <c r="G841" i="7"/>
  <c r="O891" i="7"/>
  <c r="G839" i="7"/>
  <c r="G840" i="7"/>
  <c r="W901" i="7"/>
  <c r="W883" i="7"/>
  <c r="W935" i="7"/>
  <c r="W844" i="7"/>
  <c r="W896" i="7"/>
  <c r="W948" i="7"/>
  <c r="W996" i="7"/>
  <c r="W720" i="7"/>
  <c r="W826" i="7"/>
  <c r="G1036" i="7"/>
  <c r="G629" i="7"/>
  <c r="O730" i="7"/>
  <c r="W796" i="7"/>
  <c r="W777" i="7"/>
  <c r="O755" i="7"/>
  <c r="W675" i="7"/>
  <c r="W727" i="7"/>
  <c r="W665" i="7"/>
  <c r="W717" i="7"/>
  <c r="W946" i="7"/>
  <c r="G670" i="7"/>
  <c r="X774" i="7"/>
  <c r="O720" i="7"/>
  <c r="O772" i="7"/>
  <c r="G671" i="7"/>
  <c r="G664" i="7"/>
  <c r="G663" i="7"/>
  <c r="O817" i="7"/>
  <c r="O765" i="7"/>
  <c r="O869" i="7"/>
  <c r="W876" i="7"/>
  <c r="W959" i="7"/>
  <c r="G958" i="7"/>
  <c r="X1010" i="7"/>
  <c r="O834" i="7"/>
  <c r="G1027" i="7"/>
  <c r="G1025" i="7"/>
  <c r="O1044" i="7"/>
  <c r="G995" i="7"/>
  <c r="X1047" i="7"/>
  <c r="G993" i="7"/>
  <c r="G992" i="7"/>
  <c r="G1040" i="7"/>
  <c r="G1042" i="7"/>
  <c r="O769" i="7"/>
  <c r="G560" i="7"/>
  <c r="O717" i="7"/>
  <c r="O821" i="7"/>
  <c r="O873" i="7"/>
  <c r="W741" i="7"/>
  <c r="W793" i="7"/>
  <c r="W898" i="7"/>
  <c r="W845" i="7"/>
  <c r="G994" i="7"/>
  <c r="X1046" i="7"/>
  <c r="O909" i="7"/>
  <c r="W1048" i="7"/>
  <c r="G792" i="7"/>
  <c r="W890" i="7"/>
  <c r="W838" i="7"/>
  <c r="W778" i="7"/>
  <c r="G744" i="7"/>
  <c r="G743" i="7"/>
  <c r="O847" i="7"/>
  <c r="G745" i="7"/>
  <c r="G608" i="7"/>
  <c r="G609" i="7"/>
  <c r="G679" i="7"/>
  <c r="O780" i="7"/>
  <c r="G676" i="7"/>
  <c r="O728" i="7"/>
  <c r="G678" i="7"/>
  <c r="O961" i="7"/>
  <c r="W1009" i="7"/>
  <c r="W953" i="7"/>
  <c r="O866" i="7"/>
  <c r="G957" i="7"/>
  <c r="G945" i="7"/>
  <c r="O994" i="7"/>
  <c r="G944" i="7"/>
  <c r="G942" i="7"/>
  <c r="O953" i="7"/>
  <c r="G852" i="7"/>
  <c r="W749" i="7"/>
  <c r="W762" i="7"/>
  <c r="W884" i="7"/>
  <c r="W936" i="7"/>
  <c r="O876" i="7"/>
  <c r="G825" i="7"/>
  <c r="X929" i="7"/>
  <c r="O980" i="7"/>
  <c r="O943" i="7"/>
  <c r="G893" i="7"/>
  <c r="X1049" i="7"/>
  <c r="G892" i="7"/>
  <c r="G891" i="7"/>
  <c r="O794" i="7"/>
  <c r="W1016" i="7"/>
  <c r="O1030" i="7"/>
  <c r="O978" i="7"/>
  <c r="G929" i="7"/>
  <c r="X981" i="7"/>
  <c r="G927" i="7"/>
  <c r="O1046" i="7"/>
  <c r="W658" i="7"/>
  <c r="O1032" i="7"/>
  <c r="W1050" i="7"/>
  <c r="W910" i="7"/>
  <c r="W962" i="7"/>
  <c r="G914" i="7"/>
  <c r="O963" i="7"/>
  <c r="G913" i="7"/>
  <c r="W734" i="7"/>
  <c r="W786" i="7"/>
  <c r="W1026" i="7"/>
  <c r="W783" i="7"/>
  <c r="G561" i="7"/>
  <c r="G785" i="7"/>
  <c r="O835" i="7"/>
  <c r="O991" i="7"/>
  <c r="G786" i="7"/>
  <c r="G691" i="7"/>
  <c r="G692" i="7"/>
  <c r="W742" i="7"/>
  <c r="O696" i="7"/>
  <c r="O748" i="7"/>
  <c r="W661" i="7"/>
  <c r="W794" i="7"/>
  <c r="W1002" i="7"/>
  <c r="W832" i="7"/>
  <c r="W780" i="7"/>
  <c r="W806" i="7"/>
  <c r="W888" i="7"/>
  <c r="W1007" i="7"/>
  <c r="G911" i="7"/>
  <c r="O742" i="7"/>
  <c r="G865" i="7"/>
  <c r="G866" i="7"/>
  <c r="G863" i="7"/>
  <c r="G619" i="7"/>
  <c r="O722" i="7"/>
  <c r="O774" i="7"/>
  <c r="G620" i="7"/>
  <c r="G621" i="7"/>
  <c r="O826" i="7"/>
  <c r="W879" i="7"/>
  <c r="W656" i="7"/>
  <c r="O714" i="7"/>
  <c r="O818" i="7"/>
  <c r="O766" i="7"/>
  <c r="G724" i="7"/>
  <c r="G726" i="7"/>
  <c r="X830" i="7"/>
  <c r="G723" i="7"/>
  <c r="X827" i="7"/>
  <c r="O827" i="7"/>
  <c r="O931" i="7"/>
  <c r="O879" i="7"/>
  <c r="G725" i="7"/>
  <c r="O775" i="7"/>
  <c r="G701" i="7"/>
  <c r="G698" i="7"/>
  <c r="G699" i="7"/>
  <c r="G700" i="7"/>
  <c r="O906" i="7"/>
  <c r="G753" i="7"/>
  <c r="W709" i="7"/>
  <c r="W878" i="7"/>
  <c r="W930" i="7"/>
  <c r="W668" i="7"/>
  <c r="G601" i="7"/>
  <c r="G603" i="7"/>
  <c r="G600" i="7"/>
  <c r="X809" i="7"/>
  <c r="O808" i="7"/>
  <c r="G602" i="7"/>
  <c r="O973" i="7"/>
  <c r="G921" i="7"/>
  <c r="W758" i="7"/>
  <c r="G947" i="7"/>
  <c r="O997" i="7"/>
  <c r="G948" i="7"/>
  <c r="O1017" i="7"/>
  <c r="G968" i="7"/>
  <c r="O865" i="7"/>
  <c r="O969" i="7"/>
  <c r="O917" i="7"/>
  <c r="O1021" i="7"/>
  <c r="G843" i="7"/>
  <c r="W899" i="7"/>
  <c r="W847" i="7"/>
  <c r="O986" i="7"/>
  <c r="G883" i="7"/>
  <c r="G884" i="7"/>
  <c r="G547" i="7"/>
  <c r="W805" i="7"/>
  <c r="W909" i="7"/>
  <c r="O1015" i="7"/>
  <c r="G965" i="7"/>
  <c r="G964" i="7"/>
  <c r="X1016" i="7"/>
  <c r="G974" i="7"/>
  <c r="G973" i="7"/>
  <c r="G972" i="7"/>
  <c r="G532" i="7"/>
  <c r="W999" i="7"/>
  <c r="O921" i="7"/>
  <c r="G872" i="7"/>
  <c r="G871" i="7"/>
  <c r="G869" i="7"/>
  <c r="G797" i="7"/>
  <c r="G800" i="7"/>
  <c r="G799" i="7"/>
  <c r="W707" i="7"/>
  <c r="W655" i="7"/>
  <c r="W837" i="7"/>
  <c r="O814" i="7"/>
  <c r="G710" i="7"/>
  <c r="O762" i="7"/>
  <c r="W827" i="7"/>
  <c r="O1005" i="7"/>
  <c r="G977" i="7"/>
  <c r="G976" i="7"/>
  <c r="G1011" i="7"/>
  <c r="G1012" i="7"/>
  <c r="G1014" i="7"/>
  <c r="W970" i="7"/>
  <c r="O822" i="7"/>
  <c r="O926" i="7"/>
  <c r="G772" i="7"/>
  <c r="G770" i="7"/>
  <c r="G773" i="7"/>
  <c r="O874" i="7"/>
  <c r="G899" i="7"/>
  <c r="X951" i="7"/>
  <c r="G900" i="7"/>
  <c r="X1004" i="7"/>
  <c r="O1001" i="7"/>
  <c r="G1029" i="7"/>
  <c r="G1031" i="7"/>
  <c r="W990" i="7"/>
  <c r="G849" i="7"/>
  <c r="X1005" i="7"/>
  <c r="G848" i="7"/>
  <c r="X900" i="7"/>
  <c r="O1003" i="7"/>
  <c r="G850" i="7"/>
  <c r="G847" i="7"/>
  <c r="O899" i="7"/>
  <c r="W992" i="7"/>
  <c r="W912" i="7"/>
  <c r="W964" i="7"/>
  <c r="G648" i="7"/>
  <c r="O697" i="7"/>
  <c r="G571" i="7"/>
  <c r="O724" i="7"/>
  <c r="G1020" i="7"/>
  <c r="G1019" i="7"/>
  <c r="G985" i="7"/>
  <c r="X1037" i="7"/>
  <c r="G1044" i="7"/>
  <c r="G1043" i="7"/>
  <c r="W807" i="7"/>
  <c r="W860" i="7"/>
  <c r="G887" i="7"/>
  <c r="G888" i="7"/>
  <c r="G886" i="7"/>
  <c r="O1012" i="7"/>
  <c r="G857" i="7"/>
  <c r="X909" i="7"/>
  <c r="O960" i="7"/>
  <c r="G856" i="7"/>
  <c r="X1012" i="7"/>
  <c r="O908" i="7"/>
  <c r="G858" i="7"/>
  <c r="G895" i="7"/>
  <c r="G896" i="7"/>
  <c r="O995" i="7"/>
  <c r="G946" i="7"/>
  <c r="O832" i="7"/>
  <c r="G780" i="7"/>
  <c r="O870" i="7"/>
  <c r="G819" i="7"/>
  <c r="O922" i="7"/>
  <c r="G821" i="7"/>
  <c r="X873" i="7"/>
  <c r="G820" i="7"/>
  <c r="G798" i="7"/>
  <c r="G1005" i="7"/>
  <c r="G565" i="7"/>
  <c r="O718" i="7"/>
  <c r="O770" i="7"/>
  <c r="W885" i="7"/>
  <c r="W937" i="7"/>
  <c r="W776" i="7"/>
  <c r="W705" i="7"/>
  <c r="X810" i="7"/>
  <c r="W698" i="7"/>
  <c r="W750" i="7"/>
  <c r="G570" i="7"/>
  <c r="X779" i="7"/>
  <c r="O723" i="7"/>
  <c r="W1014" i="7"/>
  <c r="W803" i="7"/>
  <c r="W855" i="7"/>
  <c r="W995" i="7"/>
  <c r="W922" i="7"/>
  <c r="G963" i="7"/>
  <c r="O782" i="7"/>
  <c r="W1001" i="7"/>
  <c r="W976" i="7"/>
  <c r="W856" i="7"/>
  <c r="G826" i="7"/>
  <c r="W772" i="7"/>
  <c r="X859" i="7"/>
  <c r="W1012" i="7"/>
  <c r="W756" i="7"/>
  <c r="G898" i="7"/>
  <c r="W1015" i="7"/>
  <c r="W784" i="7"/>
  <c r="X828" i="7"/>
  <c r="X1006" i="7"/>
  <c r="X727" i="7"/>
  <c r="X844" i="7"/>
  <c r="X807" i="7"/>
  <c r="X725" i="7"/>
  <c r="X878" i="7"/>
  <c r="X723" i="7"/>
  <c r="X728" i="7"/>
  <c r="X780" i="7"/>
  <c r="X857" i="7"/>
  <c r="X1001" i="7"/>
  <c r="X721" i="7"/>
  <c r="X935" i="7"/>
  <c r="X1039" i="7"/>
  <c r="X825" i="7"/>
  <c r="X930" i="7"/>
  <c r="X776" i="7"/>
  <c r="X941" i="7"/>
  <c r="X880" i="7"/>
  <c r="X826" i="7"/>
  <c r="X1051" i="7"/>
  <c r="X952" i="7"/>
  <c r="X982" i="7"/>
  <c r="X953" i="7"/>
  <c r="X726" i="7"/>
  <c r="X1014" i="7"/>
  <c r="X829" i="7"/>
  <c r="X1034" i="7"/>
  <c r="X1013" i="7"/>
  <c r="G1050" i="7"/>
  <c r="X899" i="7"/>
  <c r="X1045" i="7"/>
  <c r="X973" i="7"/>
  <c r="W699" i="7"/>
  <c r="X1018" i="7"/>
  <c r="X733" i="7"/>
  <c r="X777" i="7"/>
  <c r="X994" i="7"/>
  <c r="O1035" i="7"/>
  <c r="G590" i="7"/>
  <c r="W751" i="7"/>
  <c r="O802" i="7"/>
  <c r="O760" i="7"/>
  <c r="O812" i="7"/>
  <c r="G708" i="7"/>
  <c r="O916" i="7"/>
  <c r="W971" i="7"/>
  <c r="G660" i="7"/>
  <c r="O764" i="7"/>
  <c r="O712" i="7"/>
  <c r="O868" i="7"/>
  <c r="G662" i="7"/>
  <c r="O816" i="7"/>
  <c r="W1019" i="7"/>
  <c r="T765" i="7"/>
  <c r="T608" i="7"/>
  <c r="T660" i="7"/>
  <c r="T767" i="7"/>
  <c r="T714" i="7"/>
  <c r="T662" i="7"/>
  <c r="S718" i="7"/>
  <c r="S771" i="7"/>
  <c r="S777" i="7"/>
  <c r="S724" i="7"/>
  <c r="X1009" i="7"/>
  <c r="W602" i="7"/>
  <c r="W638" i="7"/>
  <c r="F187" i="7"/>
  <c r="X883" i="7"/>
  <c r="F216" i="7"/>
  <c r="F139" i="7"/>
  <c r="F140" i="7"/>
  <c r="F142" i="7"/>
  <c r="F141" i="7"/>
  <c r="F22" i="7"/>
  <c r="F24" i="7"/>
  <c r="F21" i="7"/>
  <c r="F16" i="7"/>
  <c r="F15" i="7"/>
  <c r="F13" i="7"/>
  <c r="X1033" i="7"/>
  <c r="W877" i="7"/>
  <c r="T712" i="7"/>
  <c r="W915" i="7"/>
  <c r="W968" i="7"/>
  <c r="W811" i="7"/>
  <c r="G811" i="7"/>
  <c r="X915" i="7"/>
  <c r="G809" i="7"/>
  <c r="X861" i="7"/>
  <c r="O860" i="7"/>
  <c r="O964" i="7"/>
  <c r="W974" i="7"/>
  <c r="O701" i="7"/>
  <c r="G599" i="7"/>
  <c r="O753" i="7"/>
  <c r="O805" i="7"/>
  <c r="S722" i="7"/>
  <c r="G983" i="7"/>
  <c r="X1035" i="7"/>
  <c r="G986" i="7"/>
  <c r="X1015" i="7"/>
  <c r="G816" i="7"/>
  <c r="G595" i="7"/>
  <c r="W981" i="7"/>
  <c r="G808" i="7"/>
  <c r="X889" i="7"/>
  <c r="W863" i="7"/>
  <c r="G810" i="7"/>
  <c r="X914" i="7"/>
  <c r="G1037" i="7"/>
  <c r="G1038" i="7"/>
  <c r="G1039" i="7"/>
  <c r="O854" i="7"/>
  <c r="O958" i="7"/>
  <c r="W1027" i="7"/>
  <c r="W975" i="7"/>
  <c r="W719" i="7"/>
  <c r="W667" i="7"/>
  <c r="W759" i="7"/>
  <c r="W1049" i="7"/>
  <c r="G661" i="7"/>
  <c r="W989" i="7"/>
  <c r="X932" i="7"/>
  <c r="X901" i="7"/>
  <c r="W804" i="7"/>
  <c r="O795" i="7"/>
  <c r="W921" i="7"/>
  <c r="W894" i="7"/>
  <c r="W1034" i="7"/>
  <c r="W982" i="7"/>
  <c r="W941" i="7"/>
  <c r="W889" i="7"/>
  <c r="W993" i="7"/>
  <c r="W1046" i="7"/>
  <c r="O1034" i="7"/>
  <c r="G829" i="7"/>
  <c r="G827" i="7"/>
  <c r="G716" i="7"/>
  <c r="G715" i="7"/>
  <c r="W818" i="7"/>
  <c r="G689" i="7"/>
  <c r="O792" i="7"/>
  <c r="G690" i="7"/>
  <c r="I693" i="1"/>
  <c r="N745" i="7"/>
  <c r="F696" i="7"/>
  <c r="N849" i="7"/>
  <c r="F693" i="7"/>
  <c r="F694" i="7"/>
  <c r="F695" i="7"/>
  <c r="N797" i="7"/>
  <c r="N901" i="7"/>
  <c r="N892" i="7"/>
  <c r="N944" i="7"/>
  <c r="F788" i="7"/>
  <c r="I788" i="1"/>
  <c r="G788" i="7"/>
  <c r="N840" i="7"/>
  <c r="F789" i="7"/>
  <c r="F791" i="7"/>
  <c r="N996" i="7"/>
  <c r="G597" i="7"/>
  <c r="O698" i="7"/>
  <c r="G818" i="7"/>
  <c r="O1023" i="7"/>
  <c r="O971" i="7"/>
  <c r="F338" i="7"/>
  <c r="F337" i="7"/>
  <c r="F335" i="7"/>
  <c r="F336" i="7"/>
  <c r="F211" i="7"/>
  <c r="F209" i="7"/>
  <c r="F203" i="7"/>
  <c r="F200" i="7"/>
  <c r="F180" i="7"/>
  <c r="F178" i="7"/>
  <c r="F179" i="7"/>
  <c r="F177" i="7"/>
  <c r="X1040" i="7"/>
  <c r="X1003" i="7"/>
  <c r="X756" i="7"/>
  <c r="W824" i="7"/>
  <c r="X1007" i="7"/>
  <c r="X962" i="7"/>
  <c r="G984" i="7"/>
  <c r="X1036" i="7"/>
  <c r="O1016" i="7"/>
  <c r="G596" i="7"/>
  <c r="G668" i="7"/>
  <c r="G666" i="7"/>
  <c r="G667" i="7"/>
  <c r="X719" i="7"/>
  <c r="G665" i="7"/>
  <c r="O1019" i="7"/>
  <c r="O967" i="7"/>
  <c r="G864" i="7"/>
  <c r="S720" i="7"/>
  <c r="T610" i="7"/>
  <c r="O1043" i="7"/>
  <c r="O939" i="7"/>
  <c r="W644" i="7"/>
  <c r="W753" i="7"/>
  <c r="W754" i="7"/>
  <c r="G636" i="7"/>
  <c r="O843" i="7"/>
  <c r="O791" i="7"/>
  <c r="O739" i="7"/>
  <c r="G867" i="7"/>
  <c r="G868" i="7"/>
  <c r="W984" i="7"/>
  <c r="W1037" i="7"/>
  <c r="W891" i="7"/>
  <c r="W839" i="7"/>
  <c r="X954" i="7"/>
  <c r="G846" i="7"/>
  <c r="O895" i="7"/>
  <c r="O1051" i="7"/>
  <c r="O947" i="7"/>
  <c r="G844" i="7"/>
  <c r="X948" i="7"/>
  <c r="N692" i="7"/>
  <c r="G607" i="7"/>
  <c r="G606" i="7"/>
  <c r="G604" i="7"/>
  <c r="X813" i="7"/>
  <c r="O708" i="7"/>
  <c r="G605" i="7"/>
  <c r="O734" i="7"/>
  <c r="G684" i="7"/>
  <c r="G682" i="7"/>
  <c r="X734" i="7"/>
  <c r="G683" i="7"/>
  <c r="X735" i="7"/>
  <c r="O845" i="7"/>
  <c r="G695" i="7"/>
  <c r="O796" i="7"/>
  <c r="O848" i="7"/>
  <c r="W1017" i="7"/>
  <c r="G959" i="7"/>
  <c r="X1011" i="7"/>
  <c r="G956" i="7"/>
  <c r="X1008" i="7"/>
  <c r="X987" i="7"/>
  <c r="F546" i="7"/>
  <c r="I543" i="1"/>
  <c r="O699" i="7"/>
  <c r="N751" i="7"/>
  <c r="N699" i="7"/>
  <c r="F545" i="7"/>
  <c r="F544" i="7"/>
  <c r="F543" i="7"/>
  <c r="N647" i="7"/>
  <c r="I548" i="1"/>
  <c r="F548" i="7"/>
  <c r="N704" i="7"/>
  <c r="N652" i="7"/>
  <c r="I555" i="1"/>
  <c r="F558" i="7"/>
  <c r="N711" i="7"/>
  <c r="N607" i="7"/>
  <c r="N868" i="7"/>
  <c r="F660" i="7"/>
  <c r="W869" i="7"/>
  <c r="F661" i="7"/>
  <c r="N712" i="7"/>
  <c r="F663" i="7"/>
  <c r="F662" i="7"/>
  <c r="N764" i="7"/>
  <c r="X832" i="7"/>
  <c r="X882" i="7"/>
  <c r="X875" i="7"/>
  <c r="G789" i="7"/>
  <c r="X1048" i="7"/>
  <c r="G975" i="7"/>
  <c r="O1024" i="7"/>
  <c r="W601" i="7"/>
  <c r="W721" i="7"/>
  <c r="W773" i="7"/>
  <c r="O771" i="7"/>
  <c r="O875" i="7"/>
  <c r="O889" i="7"/>
  <c r="G787" i="7"/>
  <c r="O941" i="7"/>
  <c r="W865" i="7"/>
  <c r="W1022" i="7"/>
  <c r="G1021" i="7"/>
  <c r="G1022" i="7"/>
  <c r="W983" i="7"/>
  <c r="W931" i="7"/>
  <c r="O999" i="7"/>
  <c r="F433" i="7"/>
  <c r="W642" i="7"/>
  <c r="N586" i="7"/>
  <c r="N630" i="7"/>
  <c r="F425" i="7"/>
  <c r="F414" i="7"/>
  <c r="F416" i="7"/>
  <c r="F417" i="7"/>
  <c r="W625" i="7"/>
  <c r="F408" i="7"/>
  <c r="F409" i="7"/>
  <c r="N614" i="7"/>
  <c r="F406" i="7"/>
  <c r="F250" i="7"/>
  <c r="F247" i="7"/>
  <c r="F242" i="7"/>
  <c r="F239" i="7"/>
  <c r="F233" i="7"/>
  <c r="F234" i="7"/>
  <c r="F224" i="7"/>
  <c r="F225" i="7"/>
  <c r="F226" i="7"/>
  <c r="F223" i="7"/>
  <c r="F218" i="7"/>
  <c r="F217" i="7"/>
  <c r="F210" i="7"/>
  <c r="F208" i="7"/>
  <c r="F202" i="7"/>
  <c r="F199" i="7"/>
  <c r="F201" i="7"/>
  <c r="F195" i="7"/>
  <c r="F192" i="7"/>
  <c r="F184" i="7"/>
  <c r="F186" i="7"/>
  <c r="F185" i="7"/>
  <c r="F173" i="7"/>
  <c r="F172" i="7"/>
  <c r="F162" i="7"/>
  <c r="F163" i="7"/>
  <c r="F165" i="7"/>
  <c r="F164" i="7"/>
  <c r="F155" i="7"/>
  <c r="F157" i="7"/>
  <c r="F154" i="7"/>
  <c r="F156" i="7"/>
  <c r="F147" i="7"/>
  <c r="F148" i="7"/>
  <c r="F149" i="7"/>
  <c r="F61" i="7"/>
  <c r="F60" i="7"/>
  <c r="F58" i="7"/>
  <c r="F59" i="7"/>
  <c r="F45" i="7"/>
  <c r="F46" i="7"/>
  <c r="F43" i="7"/>
  <c r="F37" i="7"/>
  <c r="F38" i="7"/>
  <c r="F35" i="7"/>
  <c r="X1052" i="7"/>
  <c r="X785" i="7"/>
  <c r="X912" i="7"/>
  <c r="W730" i="7"/>
  <c r="X984" i="7"/>
  <c r="W657" i="7"/>
  <c r="G873" i="7"/>
  <c r="X925" i="7"/>
  <c r="O1029" i="7"/>
  <c r="G875" i="7"/>
  <c r="G876" i="7"/>
  <c r="G874" i="7"/>
  <c r="X926" i="7"/>
  <c r="W706" i="7"/>
  <c r="F495" i="7"/>
  <c r="N700" i="7"/>
  <c r="N596" i="7"/>
  <c r="F486" i="7"/>
  <c r="F484" i="7"/>
  <c r="F487" i="7"/>
  <c r="F431" i="7"/>
  <c r="W587" i="7"/>
  <c r="F430" i="7"/>
  <c r="W639" i="7"/>
  <c r="N585" i="7"/>
  <c r="F422" i="7"/>
  <c r="N629" i="7"/>
  <c r="F424" i="7"/>
  <c r="W632" i="7"/>
  <c r="F421" i="7"/>
  <c r="F423" i="7"/>
  <c r="F248" i="7"/>
  <c r="X773" i="7"/>
  <c r="W771" i="7"/>
  <c r="O945" i="7"/>
  <c r="G894" i="7"/>
  <c r="G815" i="7"/>
  <c r="O750" i="7"/>
  <c r="G861" i="7"/>
  <c r="O912" i="7"/>
  <c r="O768" i="7"/>
  <c r="O872" i="7"/>
  <c r="G719" i="7"/>
  <c r="G575" i="7"/>
  <c r="G577" i="7"/>
  <c r="O731" i="7"/>
  <c r="O966" i="7"/>
  <c r="O914" i="7"/>
  <c r="O1018" i="7"/>
  <c r="O897" i="7"/>
  <c r="O949" i="7"/>
  <c r="G754" i="7"/>
  <c r="O855" i="7"/>
  <c r="W781" i="7"/>
  <c r="W833" i="7"/>
  <c r="N670" i="7"/>
  <c r="F517" i="7"/>
  <c r="F516" i="7"/>
  <c r="F494" i="7"/>
  <c r="W703" i="7"/>
  <c r="F492" i="7"/>
  <c r="F493" i="7"/>
  <c r="F491" i="7"/>
  <c r="S758" i="7"/>
  <c r="S706" i="7"/>
  <c r="U812" i="7"/>
  <c r="U655" i="7"/>
  <c r="U825" i="7"/>
  <c r="U668" i="7"/>
  <c r="U720" i="7"/>
  <c r="U772" i="7"/>
  <c r="S723" i="7"/>
  <c r="S828" i="7"/>
  <c r="U724" i="7"/>
  <c r="U672" i="7"/>
  <c r="U829" i="7"/>
  <c r="S727" i="7"/>
  <c r="S779" i="7"/>
  <c r="U676" i="7"/>
  <c r="U728" i="7"/>
  <c r="U780" i="7"/>
  <c r="V763" i="7"/>
  <c r="V920" i="7"/>
  <c r="V868" i="7"/>
  <c r="V816" i="7"/>
  <c r="V764" i="7"/>
  <c r="V922" i="7"/>
  <c r="V765" i="7"/>
  <c r="V869" i="7"/>
  <c r="V818" i="7"/>
  <c r="V923" i="7"/>
  <c r="V766" i="7"/>
  <c r="U768" i="7"/>
  <c r="U820" i="7"/>
  <c r="U872" i="7"/>
  <c r="U925" i="7"/>
  <c r="U821" i="7"/>
  <c r="U926" i="7"/>
  <c r="U873" i="7"/>
  <c r="U927" i="7"/>
  <c r="U822" i="7"/>
  <c r="U874" i="7"/>
  <c r="U823" i="7"/>
  <c r="U875" i="7"/>
  <c r="U771" i="7"/>
  <c r="U928" i="7"/>
  <c r="G836" i="7"/>
  <c r="V635" i="7"/>
  <c r="V582" i="7"/>
  <c r="V634" i="7"/>
  <c r="V590" i="7"/>
  <c r="V643" i="7"/>
  <c r="T649" i="7"/>
  <c r="T596" i="7"/>
  <c r="V808" i="7"/>
  <c r="V703" i="7"/>
  <c r="V651" i="7"/>
  <c r="T667" i="7"/>
  <c r="T771" i="7"/>
  <c r="T719" i="7"/>
  <c r="T671" i="7"/>
  <c r="T723" i="7"/>
  <c r="G533" i="7"/>
  <c r="G885" i="7"/>
  <c r="G1041" i="7"/>
  <c r="G1024" i="7"/>
  <c r="O713" i="7"/>
  <c r="O1002" i="7"/>
  <c r="O898" i="7"/>
  <c r="F401" i="7"/>
  <c r="W609" i="7"/>
  <c r="N583" i="7"/>
  <c r="N635" i="7"/>
  <c r="F472" i="7"/>
  <c r="W681" i="7"/>
  <c r="F473" i="7"/>
  <c r="F474" i="7"/>
  <c r="W630" i="7"/>
  <c r="F471" i="7"/>
  <c r="F302" i="7"/>
  <c r="F300" i="7"/>
  <c r="F576" i="7"/>
  <c r="N783" i="7"/>
  <c r="I643" i="1"/>
  <c r="N695" i="7"/>
  <c r="F644" i="7"/>
  <c r="T591" i="7"/>
  <c r="T695" i="7"/>
  <c r="T748" i="7"/>
  <c r="T752" i="7"/>
  <c r="T700" i="7"/>
  <c r="T857" i="7"/>
  <c r="G882" i="7"/>
  <c r="O858" i="7"/>
  <c r="G980" i="7"/>
  <c r="G979" i="7"/>
  <c r="N627" i="7"/>
  <c r="N687" i="7"/>
  <c r="O783" i="7"/>
  <c r="G633" i="7"/>
  <c r="F479" i="7"/>
  <c r="N634" i="7"/>
  <c r="F480" i="7"/>
  <c r="F481" i="7"/>
  <c r="F478" i="7"/>
  <c r="F385" i="7"/>
  <c r="F321" i="7"/>
  <c r="F323" i="7"/>
  <c r="F128" i="7"/>
  <c r="F127" i="7"/>
  <c r="I625" i="1"/>
  <c r="F626" i="7"/>
  <c r="I580" i="1"/>
  <c r="N632" i="7"/>
  <c r="F583" i="7"/>
  <c r="T672" i="7"/>
  <c r="T619" i="7"/>
  <c r="T635" i="7"/>
  <c r="T640" i="7"/>
  <c r="T588" i="7"/>
  <c r="T693" i="7"/>
  <c r="V663" i="7"/>
  <c r="V716" i="7"/>
  <c r="V611" i="7"/>
  <c r="S784" i="7"/>
  <c r="S941" i="7"/>
  <c r="S942" i="7"/>
  <c r="S837" i="7"/>
  <c r="S890" i="7"/>
  <c r="S838" i="7"/>
  <c r="S786" i="7"/>
  <c r="S943" i="7"/>
  <c r="S891" i="7"/>
  <c r="S839" i="7"/>
  <c r="O711" i="7"/>
  <c r="N589" i="7"/>
  <c r="N693" i="7"/>
  <c r="N641" i="7"/>
  <c r="F488" i="7"/>
  <c r="F418" i="7"/>
  <c r="W626" i="7"/>
  <c r="N623" i="7"/>
  <c r="F391" i="7"/>
  <c r="F392" i="7"/>
  <c r="F633" i="7"/>
  <c r="W842" i="7"/>
  <c r="F634" i="7"/>
  <c r="W686" i="7"/>
  <c r="G655" i="7"/>
  <c r="G656" i="7"/>
  <c r="O707" i="7"/>
  <c r="N763" i="7"/>
  <c r="N919" i="7"/>
  <c r="N815" i="7"/>
  <c r="I711" i="1"/>
  <c r="O919" i="7"/>
  <c r="N915" i="7"/>
  <c r="N1019" i="7"/>
  <c r="I811" i="1"/>
  <c r="F835" i="7"/>
  <c r="W1044" i="7"/>
  <c r="I832" i="1"/>
  <c r="T582" i="7"/>
  <c r="T654" i="7"/>
  <c r="T601" i="7"/>
  <c r="V692" i="7"/>
  <c r="V796" i="7"/>
  <c r="V744" i="7"/>
  <c r="S801" i="7"/>
  <c r="T929" i="7"/>
  <c r="T824" i="7"/>
  <c r="T877" i="7"/>
  <c r="T825" i="7"/>
  <c r="T930" i="7"/>
  <c r="W726" i="7"/>
  <c r="W1053" i="7"/>
  <c r="O1050" i="7"/>
  <c r="W800" i="7"/>
  <c r="F524" i="7"/>
  <c r="W733" i="7"/>
  <c r="N625" i="7"/>
  <c r="F515" i="7"/>
  <c r="F485" i="7"/>
  <c r="W694" i="7"/>
  <c r="F407" i="7"/>
  <c r="W615" i="7"/>
  <c r="F352" i="7"/>
  <c r="F349" i="7"/>
  <c r="F351" i="7"/>
  <c r="F343" i="7"/>
  <c r="F344" i="7"/>
  <c r="F249" i="7"/>
  <c r="F238" i="7"/>
  <c r="F240" i="7"/>
  <c r="F241" i="7"/>
  <c r="F231" i="7"/>
  <c r="F82" i="7"/>
  <c r="F83" i="7"/>
  <c r="I535" i="1"/>
  <c r="O743" i="7"/>
  <c r="F537" i="7"/>
  <c r="W641" i="7"/>
  <c r="F536" i="7"/>
  <c r="I553" i="1"/>
  <c r="F555" i="7"/>
  <c r="F556" i="7"/>
  <c r="O809" i="7"/>
  <c r="O757" i="7"/>
  <c r="F762" i="7"/>
  <c r="W918" i="7"/>
  <c r="N970" i="7"/>
  <c r="F764" i="7"/>
  <c r="W868" i="7"/>
  <c r="F769" i="7"/>
  <c r="F770" i="7"/>
  <c r="W979" i="7"/>
  <c r="N976" i="7"/>
  <c r="N924" i="7"/>
  <c r="I781" i="1"/>
  <c r="O989" i="7"/>
  <c r="N833" i="7"/>
  <c r="F782" i="7"/>
  <c r="U654" i="7"/>
  <c r="U761" i="7"/>
  <c r="U708" i="7"/>
  <c r="T626" i="7"/>
  <c r="T630" i="7"/>
  <c r="U645" i="7"/>
  <c r="U749" i="7"/>
  <c r="T894" i="7"/>
  <c r="T946" i="7"/>
  <c r="T999" i="7"/>
  <c r="T843" i="7"/>
  <c r="T947" i="7"/>
  <c r="T895" i="7"/>
  <c r="T844" i="7"/>
  <c r="T948" i="7"/>
  <c r="T949" i="7"/>
  <c r="T897" i="7"/>
  <c r="T898" i="7"/>
  <c r="T846" i="7"/>
  <c r="T902" i="7"/>
  <c r="T850" i="7"/>
  <c r="T954" i="7"/>
  <c r="T903" i="7"/>
  <c r="T1008" i="7"/>
  <c r="S958" i="7"/>
  <c r="S906" i="7"/>
  <c r="S854" i="7"/>
  <c r="S856" i="7"/>
  <c r="S960" i="7"/>
  <c r="G859" i="7"/>
  <c r="O749" i="7"/>
  <c r="G1030" i="7"/>
  <c r="G971" i="7"/>
  <c r="O859" i="7"/>
  <c r="F566" i="7"/>
  <c r="O790" i="7"/>
  <c r="G916" i="7"/>
  <c r="G918" i="7"/>
  <c r="F523" i="7"/>
  <c r="F520" i="7"/>
  <c r="N676" i="7"/>
  <c r="N593" i="7"/>
  <c r="F460" i="7"/>
  <c r="F461" i="7"/>
  <c r="W617" i="7"/>
  <c r="F437" i="7"/>
  <c r="F438" i="7"/>
  <c r="W594" i="7"/>
  <c r="F358" i="7"/>
  <c r="F357" i="7"/>
  <c r="F285" i="7"/>
  <c r="F288" i="7"/>
  <c r="F280" i="7"/>
  <c r="F90" i="7"/>
  <c r="F89" i="7"/>
  <c r="F36" i="7"/>
  <c r="G566" i="7"/>
  <c r="X722" i="7"/>
  <c r="F757" i="7"/>
  <c r="F758" i="7"/>
  <c r="W810" i="7"/>
  <c r="N925" i="7"/>
  <c r="F778" i="7"/>
  <c r="F776" i="7"/>
  <c r="F777" i="7"/>
  <c r="V594" i="7"/>
  <c r="V648" i="7"/>
  <c r="V598" i="7"/>
  <c r="V704" i="7"/>
  <c r="V757" i="7"/>
  <c r="V600" i="7"/>
  <c r="V721" i="7"/>
  <c r="V878" i="7"/>
  <c r="V825" i="7"/>
  <c r="U887" i="7"/>
  <c r="U834" i="7"/>
  <c r="V783" i="7"/>
  <c r="V888" i="7"/>
  <c r="S842" i="7"/>
  <c r="S895" i="7"/>
  <c r="O1052" i="7"/>
  <c r="W985" i="7"/>
  <c r="F514" i="7"/>
  <c r="W723" i="7"/>
  <c r="F366" i="7"/>
  <c r="F365" i="7"/>
  <c r="F364" i="7"/>
  <c r="F97" i="7"/>
  <c r="F98" i="7"/>
  <c r="F96" i="7"/>
  <c r="F572" i="7"/>
  <c r="N622" i="7"/>
  <c r="N726" i="7"/>
  <c r="F570" i="7"/>
  <c r="I637" i="1"/>
  <c r="F639" i="7"/>
  <c r="I585" i="1"/>
  <c r="N637" i="7"/>
  <c r="F458" i="7"/>
  <c r="W614" i="7"/>
  <c r="N663" i="7"/>
  <c r="N768" i="7"/>
  <c r="F560" i="7"/>
  <c r="N787" i="7"/>
  <c r="I749" i="1"/>
  <c r="N957" i="7"/>
  <c r="N905" i="7"/>
  <c r="U719" i="7"/>
  <c r="V772" i="7"/>
  <c r="V720" i="7"/>
  <c r="U886" i="7"/>
  <c r="U833" i="7"/>
  <c r="N680" i="7"/>
  <c r="N674" i="7"/>
  <c r="F625" i="7"/>
  <c r="F749" i="7"/>
  <c r="T590" i="7"/>
  <c r="F462" i="7"/>
  <c r="F160" i="7"/>
  <c r="F138" i="7"/>
  <c r="N648" i="7"/>
  <c r="I611" i="1"/>
  <c r="I734" i="1"/>
  <c r="T598" i="7"/>
  <c r="V743" i="7"/>
  <c r="U759" i="7"/>
  <c r="I922" i="1"/>
  <c r="F925" i="7"/>
  <c r="V729" i="7"/>
  <c r="V747" i="7"/>
  <c r="V755" i="7"/>
  <c r="F294" i="7"/>
  <c r="F666" i="7"/>
  <c r="F664" i="7"/>
  <c r="V661" i="7"/>
  <c r="U732" i="7"/>
  <c r="V691" i="7"/>
  <c r="T885" i="7"/>
  <c r="T886" i="7"/>
  <c r="S1012" i="7"/>
  <c r="V1019" i="7"/>
  <c r="F527" i="7"/>
  <c r="N640" i="7"/>
  <c r="N819" i="7"/>
  <c r="I746" i="1"/>
  <c r="F44" i="7"/>
  <c r="N601" i="7"/>
  <c r="N823" i="7"/>
  <c r="N895" i="7"/>
  <c r="N843" i="7"/>
  <c r="T632" i="7"/>
  <c r="U684" i="7"/>
  <c r="U697" i="7"/>
  <c r="U938" i="7"/>
  <c r="U841" i="7"/>
  <c r="U998" i="7"/>
  <c r="V737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B12" i="6"/>
  <c r="S930" i="7"/>
  <c r="T1017" i="7"/>
  <c r="S1052" i="7"/>
  <c r="T922" i="7"/>
  <c r="S990" i="7"/>
  <c r="Y953" i="7"/>
  <c r="T984" i="7"/>
  <c r="S1014" i="7"/>
  <c r="T1014" i="7"/>
  <c r="Y1019" i="7"/>
  <c r="V1052" i="7"/>
  <c r="V977" i="7"/>
  <c r="T1052" i="7"/>
  <c r="T1022" i="7"/>
  <c r="S1022" i="7"/>
  <c r="Y934" i="7"/>
  <c r="Y1010" i="7"/>
  <c r="T988" i="7"/>
  <c r="U1053" i="7"/>
  <c r="S1053" i="7"/>
  <c r="S999" i="7"/>
  <c r="Y940" i="7"/>
  <c r="I1052" i="1"/>
  <c r="I1001" i="1"/>
  <c r="G1002" i="7"/>
  <c r="N1053" i="7"/>
  <c r="T1053" i="7"/>
  <c r="G1051" i="7"/>
  <c r="H11" i="6"/>
  <c r="U1052" i="7"/>
  <c r="I1053" i="1"/>
  <c r="Y1053" i="7"/>
  <c r="H12" i="6"/>
  <c r="N1052" i="7"/>
  <c r="V1053" i="7"/>
  <c r="F1053" i="7"/>
  <c r="F1052" i="7"/>
  <c r="X792" i="7"/>
  <c r="X997" i="7"/>
  <c r="X944" i="7"/>
  <c r="G1052" i="7"/>
  <c r="W770" i="7"/>
  <c r="W718" i="7"/>
  <c r="W875" i="7"/>
  <c r="X893" i="7"/>
  <c r="W853" i="7"/>
  <c r="W905" i="7"/>
  <c r="W801" i="7"/>
  <c r="X980" i="7"/>
  <c r="X928" i="7"/>
  <c r="W797" i="7"/>
  <c r="W902" i="7"/>
  <c r="W849" i="7"/>
  <c r="W745" i="7"/>
  <c r="W600" i="7"/>
  <c r="W757" i="7"/>
  <c r="W652" i="7"/>
  <c r="W704" i="7"/>
  <c r="X971" i="7"/>
  <c r="X919" i="7"/>
  <c r="W840" i="7"/>
  <c r="W944" i="7"/>
  <c r="W867" i="7"/>
  <c r="W815" i="7"/>
  <c r="W919" i="7"/>
  <c r="W977" i="7"/>
  <c r="W1029" i="7"/>
  <c r="G640" i="7"/>
  <c r="G638" i="7"/>
  <c r="O741" i="7"/>
  <c r="G637" i="7"/>
  <c r="G639" i="7"/>
  <c r="O689" i="7"/>
  <c r="W933" i="7"/>
  <c r="W881" i="7"/>
  <c r="W829" i="7"/>
  <c r="W986" i="7"/>
  <c r="W593" i="7"/>
  <c r="W646" i="7"/>
  <c r="X968" i="7"/>
  <c r="O936" i="7"/>
  <c r="G834" i="7"/>
  <c r="G833" i="7"/>
  <c r="O1040" i="7"/>
  <c r="G835" i="7"/>
  <c r="G832" i="7"/>
  <c r="O884" i="7"/>
  <c r="O988" i="7"/>
  <c r="O781" i="7"/>
  <c r="G625" i="7"/>
  <c r="O729" i="7"/>
  <c r="G626" i="7"/>
  <c r="G627" i="7"/>
  <c r="G628" i="7"/>
  <c r="W584" i="7"/>
  <c r="W636" i="7"/>
  <c r="X1032" i="7"/>
  <c r="W621" i="7"/>
  <c r="W673" i="7"/>
  <c r="X1030" i="7"/>
  <c r="W595" i="7"/>
  <c r="W752" i="7"/>
  <c r="O797" i="7"/>
  <c r="O901" i="7"/>
  <c r="G696" i="7"/>
  <c r="X748" i="7"/>
  <c r="G694" i="7"/>
  <c r="O849" i="7"/>
  <c r="G693" i="7"/>
  <c r="O745" i="7"/>
  <c r="X985" i="7"/>
  <c r="X933" i="7"/>
  <c r="X881" i="7"/>
  <c r="X860" i="7"/>
  <c r="X964" i="7"/>
  <c r="W914" i="7"/>
  <c r="O695" i="7"/>
  <c r="O747" i="7"/>
  <c r="O799" i="7"/>
  <c r="G646" i="7"/>
  <c r="O851" i="7"/>
  <c r="G645" i="7"/>
  <c r="G643" i="7"/>
  <c r="X695" i="7"/>
  <c r="G644" i="7"/>
  <c r="X696" i="7"/>
  <c r="X845" i="7"/>
  <c r="X793" i="7"/>
  <c r="W676" i="7"/>
  <c r="W624" i="7"/>
  <c r="W728" i="7"/>
  <c r="X747" i="7"/>
  <c r="X972" i="7"/>
  <c r="X805" i="7"/>
  <c r="X701" i="7"/>
  <c r="W809" i="7"/>
  <c r="W861" i="7"/>
  <c r="W913" i="7"/>
  <c r="X806" i="7"/>
  <c r="X819" i="7"/>
  <c r="W611" i="7"/>
  <c r="W663" i="7"/>
  <c r="G925" i="7"/>
  <c r="O974" i="7"/>
  <c r="G924" i="7"/>
  <c r="G923" i="7"/>
  <c r="X975" i="7"/>
  <c r="O1026" i="7"/>
  <c r="G922" i="7"/>
  <c r="W664" i="7"/>
  <c r="W769" i="7"/>
  <c r="W612" i="7"/>
  <c r="W622" i="7"/>
  <c r="W674" i="7"/>
  <c r="W779" i="7"/>
  <c r="W880" i="7"/>
  <c r="W828" i="7"/>
  <c r="W608" i="7"/>
  <c r="W660" i="7"/>
  <c r="W991" i="7"/>
  <c r="W887" i="7"/>
  <c r="W939" i="7"/>
  <c r="W696" i="7"/>
  <c r="W599" i="7"/>
  <c r="W651" i="7"/>
  <c r="W738" i="7"/>
  <c r="W972" i="7"/>
  <c r="W581" i="7"/>
  <c r="W633" i="7"/>
  <c r="X1027" i="7"/>
  <c r="W766" i="7"/>
  <c r="W871" i="7"/>
  <c r="W714" i="7"/>
  <c r="W610" i="7"/>
  <c r="W662" i="7"/>
  <c r="W648" i="7"/>
  <c r="W596" i="7"/>
  <c r="W700" i="7"/>
  <c r="X896" i="7"/>
  <c r="X824" i="7"/>
  <c r="X720" i="7"/>
  <c r="X772" i="7"/>
  <c r="X877" i="7"/>
  <c r="X910" i="7"/>
  <c r="W1000" i="7"/>
  <c r="W947" i="7"/>
  <c r="W895" i="7"/>
  <c r="W843" i="7"/>
  <c r="X846" i="7"/>
  <c r="X876" i="7"/>
  <c r="G554" i="7"/>
  <c r="G553" i="7"/>
  <c r="X709" i="7"/>
  <c r="O761" i="7"/>
  <c r="O709" i="7"/>
  <c r="G556" i="7"/>
  <c r="G555" i="7"/>
  <c r="X711" i="7"/>
  <c r="X814" i="7"/>
  <c r="W850" i="7"/>
  <c r="W746" i="7"/>
  <c r="W798" i="7"/>
  <c r="W903" i="7"/>
  <c r="W588" i="7"/>
  <c r="W692" i="7"/>
  <c r="W640" i="7"/>
  <c r="W792" i="7"/>
  <c r="W635" i="7"/>
  <c r="W765" i="7"/>
  <c r="W870" i="7"/>
  <c r="W817" i="7"/>
  <c r="W713" i="7"/>
  <c r="X868" i="7"/>
  <c r="X1025" i="7"/>
  <c r="O786" i="7"/>
  <c r="G734" i="7"/>
  <c r="G735" i="7"/>
  <c r="X787" i="7"/>
  <c r="O942" i="7"/>
  <c r="G737" i="7"/>
  <c r="G736" i="7"/>
  <c r="X788" i="7"/>
  <c r="O890" i="7"/>
  <c r="O838" i="7"/>
  <c r="W732" i="7"/>
  <c r="W628" i="7"/>
  <c r="W785" i="7"/>
  <c r="W680" i="7"/>
  <c r="O1053" i="7"/>
  <c r="G1001" i="7"/>
  <c r="X1053" i="7"/>
  <c r="G1004" i="7"/>
  <c r="F13" i="6"/>
  <c r="G1003" i="7"/>
  <c r="W631" i="7"/>
  <c r="W736" i="7"/>
  <c r="W683" i="7"/>
  <c r="W820" i="7"/>
  <c r="W716" i="7"/>
  <c r="W768" i="7"/>
  <c r="W882" i="7"/>
  <c r="W934" i="7"/>
  <c r="W830" i="7"/>
  <c r="W987" i="7"/>
  <c r="W616" i="7"/>
  <c r="W618" i="7"/>
  <c r="W775" i="7"/>
  <c r="W722" i="7"/>
  <c r="W926" i="7"/>
  <c r="W874" i="7"/>
  <c r="W822" i="7"/>
  <c r="W659" i="7"/>
  <c r="W607" i="7"/>
  <c r="O863" i="7"/>
  <c r="G814" i="7"/>
  <c r="G812" i="7"/>
  <c r="O915" i="7"/>
  <c r="G813" i="7"/>
  <c r="X708" i="7"/>
  <c r="W697" i="7"/>
  <c r="W592" i="7"/>
  <c r="W583" i="7"/>
  <c r="W688" i="7"/>
  <c r="X934" i="7"/>
  <c r="X986" i="7"/>
  <c r="W629" i="7"/>
  <c r="X1017" i="7"/>
  <c r="X913" i="7"/>
  <c r="W790" i="7"/>
  <c r="W872" i="7"/>
  <c r="W767" i="7"/>
  <c r="W819" i="7"/>
  <c r="W715" i="7"/>
  <c r="G557" i="7"/>
  <c r="X713" i="7"/>
  <c r="G558" i="7"/>
  <c r="X714" i="7"/>
  <c r="W597" i="7"/>
  <c r="W701" i="7"/>
  <c r="W649" i="7"/>
  <c r="W932" i="7"/>
  <c r="X688" i="7"/>
  <c r="X740" i="7"/>
  <c r="X761" i="7"/>
  <c r="W998" i="7"/>
  <c r="W841" i="7"/>
  <c r="W893" i="7"/>
  <c r="W799" i="7"/>
  <c r="W851" i="7"/>
  <c r="W747" i="7"/>
  <c r="W904" i="7"/>
  <c r="W892" i="7"/>
  <c r="X751" i="7"/>
  <c r="X699" i="7"/>
  <c r="X945" i="7"/>
  <c r="W647" i="7"/>
  <c r="X1020" i="7"/>
  <c r="X822" i="7"/>
  <c r="X996" i="7"/>
  <c r="X1024" i="7"/>
  <c r="X916" i="7"/>
  <c r="X1023" i="7"/>
  <c r="O996" i="7"/>
  <c r="O840" i="7"/>
  <c r="O944" i="7"/>
  <c r="G791" i="7"/>
  <c r="O892" i="7"/>
  <c r="G790" i="7"/>
  <c r="X946" i="7"/>
  <c r="W834" i="7"/>
  <c r="W938" i="7"/>
  <c r="W886" i="7"/>
  <c r="W671" i="7"/>
  <c r="W724" i="7"/>
  <c r="W619" i="7"/>
  <c r="W685" i="7"/>
  <c r="W737" i="7"/>
  <c r="W789" i="7"/>
  <c r="X937" i="7"/>
  <c r="X1041" i="7"/>
  <c r="X989" i="7"/>
  <c r="W764" i="7"/>
  <c r="W712" i="7"/>
  <c r="G545" i="7"/>
  <c r="X754" i="7"/>
  <c r="G544" i="7"/>
  <c r="X753" i="7"/>
  <c r="O751" i="7"/>
  <c r="G546" i="7"/>
  <c r="X702" i="7"/>
  <c r="G543" i="7"/>
  <c r="X752" i="7"/>
  <c r="X950" i="7"/>
  <c r="X898" i="7"/>
  <c r="X863" i="7"/>
  <c r="X967" i="7"/>
  <c r="O767" i="7"/>
  <c r="O819" i="7"/>
  <c r="G612" i="7"/>
  <c r="X716" i="7"/>
  <c r="G613" i="7"/>
  <c r="X769" i="7"/>
  <c r="O715" i="7"/>
  <c r="G614" i="7"/>
  <c r="X770" i="7"/>
  <c r="G611" i="7"/>
  <c r="X715" i="7"/>
  <c r="G585" i="7"/>
  <c r="X741" i="7"/>
  <c r="G588" i="7"/>
  <c r="G586" i="7"/>
  <c r="G587" i="7"/>
  <c r="W670" i="7"/>
  <c r="W679" i="7"/>
  <c r="W627" i="7"/>
  <c r="W866" i="7"/>
  <c r="W814" i="7"/>
  <c r="G538" i="7"/>
  <c r="G536" i="7"/>
  <c r="G535" i="7"/>
  <c r="G537" i="7"/>
  <c r="X693" i="7"/>
  <c r="O691" i="7"/>
  <c r="W682" i="7"/>
  <c r="G583" i="7"/>
  <c r="G580" i="7"/>
  <c r="X736" i="7"/>
  <c r="G581" i="7"/>
  <c r="X790" i="7"/>
  <c r="G582" i="7"/>
  <c r="O788" i="7"/>
  <c r="O736" i="7"/>
  <c r="W634" i="7"/>
  <c r="W582" i="7"/>
  <c r="W967" i="7"/>
  <c r="X771" i="7"/>
  <c r="X823" i="7"/>
  <c r="W590" i="7"/>
  <c r="W695" i="7"/>
  <c r="W711" i="7"/>
  <c r="W669" i="7"/>
  <c r="X965" i="7"/>
  <c r="G551" i="7"/>
  <c r="X707" i="7"/>
  <c r="G548" i="7"/>
  <c r="O704" i="7"/>
  <c r="G550" i="7"/>
  <c r="X706" i="7"/>
  <c r="O756" i="7"/>
  <c r="G549" i="7"/>
  <c r="W598" i="7"/>
  <c r="W650" i="7"/>
  <c r="W755" i="7"/>
  <c r="W702" i="7"/>
  <c r="W689" i="7"/>
  <c r="O793" i="7"/>
  <c r="X710" i="7"/>
  <c r="X762" i="7"/>
  <c r="W958" i="7"/>
  <c r="X717" i="7"/>
  <c r="X874" i="7"/>
  <c r="W862" i="7"/>
  <c r="X775" i="7"/>
  <c r="W748" i="7"/>
  <c r="W852" i="7"/>
  <c r="X872" i="7"/>
  <c r="X1050" i="7"/>
  <c r="X871" i="7"/>
  <c r="X1038" i="7"/>
  <c r="X703" i="7"/>
  <c r="X808" i="7"/>
  <c r="W966" i="7"/>
  <c r="X712" i="7"/>
  <c r="X924" i="7"/>
  <c r="X1002" i="7"/>
  <c r="W925" i="7"/>
  <c r="W873" i="7"/>
  <c r="W821" i="7"/>
  <c r="X811" i="7"/>
  <c r="X759" i="7"/>
  <c r="X685" i="7"/>
  <c r="X737" i="7"/>
  <c r="W973" i="7"/>
  <c r="W816" i="7"/>
  <c r="W920" i="7"/>
  <c r="W643" i="7"/>
  <c r="W591" i="7"/>
  <c r="X862" i="7"/>
  <c r="X966" i="7"/>
  <c r="X1019" i="7"/>
  <c r="W687" i="7"/>
  <c r="W729" i="7"/>
  <c r="W677" i="7"/>
  <c r="W693" i="7"/>
  <c r="W589" i="7"/>
  <c r="G714" i="7"/>
  <c r="X870" i="7"/>
  <c r="G713" i="7"/>
  <c r="O815" i="7"/>
  <c r="G711" i="7"/>
  <c r="G712" i="7"/>
  <c r="O763" i="7"/>
  <c r="O867" i="7"/>
  <c r="X927" i="7"/>
  <c r="X979" i="7"/>
  <c r="W978" i="7"/>
  <c r="X858" i="7"/>
  <c r="W739" i="7"/>
  <c r="X694" i="7"/>
  <c r="W917" i="7"/>
  <c r="W1021" i="7"/>
  <c r="W969" i="7"/>
  <c r="O798" i="7"/>
  <c r="O954" i="7"/>
  <c r="G748" i="7"/>
  <c r="G749" i="7"/>
  <c r="G747" i="7"/>
  <c r="O902" i="7"/>
  <c r="G746" i="7"/>
  <c r="O850" i="7"/>
  <c r="O957" i="7"/>
  <c r="G752" i="7"/>
  <c r="G750" i="7"/>
  <c r="G751" i="7"/>
  <c r="O853" i="7"/>
  <c r="O905" i="7"/>
  <c r="O801" i="7"/>
  <c r="W691" i="7"/>
  <c r="W848" i="7"/>
  <c r="W743" i="7"/>
  <c r="W795" i="7"/>
  <c r="X1022" i="7"/>
  <c r="X963" i="7"/>
  <c r="X911" i="7"/>
  <c r="O833" i="7"/>
  <c r="G781" i="7"/>
  <c r="X833" i="7"/>
  <c r="G784" i="7"/>
  <c r="G783" i="7"/>
  <c r="X835" i="7"/>
  <c r="O937" i="7"/>
  <c r="G782" i="7"/>
  <c r="X834" i="7"/>
  <c r="W678" i="7"/>
  <c r="W835" i="7"/>
  <c r="W782" i="7"/>
  <c r="W690" i="7"/>
  <c r="W585" i="7"/>
  <c r="X1031" i="7"/>
  <c r="O885" i="7"/>
  <c r="W620" i="7"/>
  <c r="W725" i="7"/>
  <c r="X978" i="7"/>
  <c r="W637" i="7"/>
  <c r="W672" i="7"/>
  <c r="W945" i="7"/>
  <c r="X931" i="7"/>
  <c r="X983" i="7"/>
  <c r="X879" i="7"/>
  <c r="W997" i="7"/>
  <c r="W586" i="7"/>
  <c r="X812" i="7"/>
  <c r="X998" i="7"/>
  <c r="X704" i="7"/>
  <c r="X757" i="7"/>
  <c r="X843" i="7"/>
  <c r="X895" i="7"/>
  <c r="X947" i="7"/>
  <c r="X767" i="7"/>
  <c r="X783" i="7"/>
  <c r="X731" i="7"/>
  <c r="X1044" i="7"/>
  <c r="X887" i="7"/>
  <c r="X939" i="7"/>
  <c r="X991" i="7"/>
  <c r="X690" i="7"/>
  <c r="X847" i="7"/>
  <c r="X760" i="7"/>
  <c r="X865" i="7"/>
  <c r="X917" i="7"/>
  <c r="X969" i="7"/>
  <c r="X786" i="7"/>
  <c r="X838" i="7"/>
  <c r="X890" i="7"/>
  <c r="X698" i="7"/>
  <c r="X750" i="7"/>
  <c r="X782" i="7"/>
  <c r="X730" i="7"/>
  <c r="X692" i="7"/>
  <c r="X744" i="7"/>
  <c r="X796" i="7"/>
  <c r="X766" i="7"/>
  <c r="X923" i="7"/>
  <c r="X818" i="7"/>
  <c r="X836" i="7"/>
  <c r="X993" i="7"/>
  <c r="X856" i="7"/>
  <c r="X804" i="7"/>
  <c r="X908" i="7"/>
  <c r="X961" i="7"/>
  <c r="X816" i="7"/>
  <c r="X764" i="7"/>
  <c r="X921" i="7"/>
  <c r="X705" i="7"/>
  <c r="X758" i="7"/>
  <c r="X687" i="7"/>
  <c r="X739" i="7"/>
  <c r="X1000" i="7"/>
  <c r="X974" i="7"/>
  <c r="X1026" i="7"/>
  <c r="X839" i="7"/>
  <c r="X763" i="7"/>
  <c r="X815" i="7"/>
  <c r="X700" i="7"/>
  <c r="X885" i="7"/>
  <c r="X1042" i="7"/>
  <c r="X755" i="7"/>
  <c r="X820" i="7"/>
  <c r="X798" i="7"/>
  <c r="X902" i="7"/>
  <c r="X850" i="7"/>
  <c r="X955" i="7"/>
  <c r="X765" i="7"/>
  <c r="X817" i="7"/>
  <c r="X869" i="7"/>
  <c r="X821" i="7"/>
  <c r="X1021" i="7"/>
  <c r="X864" i="7"/>
  <c r="X1028" i="7"/>
  <c r="X976" i="7"/>
  <c r="X920" i="7"/>
  <c r="X718" i="7"/>
  <c r="X729" i="7"/>
  <c r="X781" i="7"/>
  <c r="X886" i="7"/>
  <c r="X938" i="7"/>
  <c r="X990" i="7"/>
  <c r="X1043" i="7"/>
  <c r="X866" i="7"/>
  <c r="X918" i="7"/>
  <c r="X768" i="7"/>
  <c r="X794" i="7"/>
  <c r="X848" i="7"/>
  <c r="X691" i="7"/>
  <c r="X795" i="7"/>
  <c r="X743" i="7"/>
  <c r="X970" i="7"/>
  <c r="X907" i="7"/>
  <c r="X803" i="7"/>
  <c r="X855" i="7"/>
  <c r="X960" i="7"/>
  <c r="X853" i="7"/>
  <c r="X801" i="7"/>
  <c r="X958" i="7"/>
  <c r="X905" i="7"/>
  <c r="X940" i="7"/>
  <c r="X894" i="7"/>
  <c r="X842" i="7"/>
  <c r="X999" i="7"/>
  <c r="X789" i="7"/>
  <c r="X742" i="7"/>
  <c r="X867" i="7"/>
  <c r="X891" i="7"/>
  <c r="X689" i="7"/>
  <c r="X841" i="7"/>
  <c r="X840" i="7"/>
  <c r="X851" i="7"/>
  <c r="X956" i="7"/>
  <c r="X799" i="7"/>
  <c r="X903" i="7"/>
  <c r="X888" i="7"/>
  <c r="X791" i="7"/>
  <c r="X686" i="7"/>
  <c r="X738" i="7"/>
  <c r="X1029" i="7"/>
  <c r="X977" i="7"/>
  <c r="X745" i="7"/>
  <c r="X797" i="7"/>
  <c r="X849" i="7"/>
  <c r="X854" i="7"/>
  <c r="X959" i="7"/>
  <c r="X802" i="7"/>
  <c r="X906" i="7"/>
  <c r="X800" i="7"/>
  <c r="X957" i="7"/>
  <c r="X852" i="7"/>
  <c r="X904" i="7"/>
  <c r="X992" i="7"/>
  <c r="X922" i="7"/>
  <c r="X697" i="7"/>
  <c r="X749" i="7"/>
  <c r="X746" i="7"/>
  <c r="X943" i="7"/>
  <c r="X837" i="7"/>
  <c r="X784" i="7"/>
  <c r="X732" i="7"/>
  <c r="X988" i="7"/>
  <c r="X884" i="7"/>
  <c r="X936" i="7"/>
  <c r="X892" i="7"/>
  <c r="G1053" i="7"/>
  <c r="G1054" i="7"/>
  <c r="I1056" i="1"/>
  <c r="G1055" i="7"/>
  <c r="E11" i="6"/>
  <c r="E12" i="6"/>
  <c r="G1056" i="7"/>
  <c r="F8" i="6"/>
  <c r="F10" i="6"/>
  <c r="G1057" i="7"/>
  <c r="J10" i="8"/>
  <c r="J12" i="8" s="1"/>
  <c r="N6" i="8" l="1"/>
  <c r="C12" i="6" s="1"/>
  <c r="J4" i="8"/>
  <c r="N4" i="8"/>
  <c r="G1058" i="7"/>
  <c r="S5" i="8" l="1"/>
  <c r="F11" i="6" s="1"/>
  <c r="S6" i="8"/>
  <c r="F12" i="6" s="1"/>
  <c r="S4" i="8"/>
</calcChain>
</file>

<file path=xl/sharedStrings.xml><?xml version="1.0" encoding="utf-8"?>
<sst xmlns="http://schemas.openxmlformats.org/spreadsheetml/2006/main" count="814" uniqueCount="81">
  <si>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</si>
  <si>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</si>
  <si>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</si>
  <si>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</si>
  <si>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</si>
  <si>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</si>
  <si>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</si>
  <si>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</si>
  <si>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</si>
  <si>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</si>
  <si>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</si>
  <si>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</si>
  <si>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</si>
  <si>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</si>
  <si>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</si>
  <si>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</si>
  <si>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</si>
  <si>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</si>
  <si>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</si>
  <si>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</si>
  <si>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</si>
  <si>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</si>
  <si>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</si>
  <si>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</si>
  <si>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</si>
  <si>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</si>
  <si>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</si>
  <si>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</si>
  <si>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</si>
  <si>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</si>
  <si>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</si>
  <si>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</si>
  <si>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</si>
  <si>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</si>
  <si>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</si>
  <si>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</si>
  <si>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</si>
  <si>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</si>
  <si>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</si>
  <si>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</si>
  <si>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</si>
  <si>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</si>
  <si>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</si>
  <si>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</si>
  <si>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</si>
  <si>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</si>
  <si>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</si>
  <si>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</si>
  <si>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</si>
  <si>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</si>
  <si>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</si>
  <si>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</si>
  <si>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</si>
  <si>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</si>
  <si>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</si>
  <si>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</si>
  <si>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</si>
  <si>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</si>
  <si>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</si>
  <si>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</si>
  <si>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</si>
  <si>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</si>
  <si>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</si>
  <si>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</si>
  <si>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</si>
  <si>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</si>
  <si>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</si>
  <si>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</si>
  <si>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</si>
  <si>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</si>
  <si>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</si>
  <si>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</si>
  <si>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</si>
  <si>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</si>
  <si>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</si>
  <si>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</si>
  <si>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</si>
  <si>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1st Quarter 2014</t>
  </si>
  <si>
    <t>1st Quarter 2013</t>
  </si>
  <si>
    <r>
      <t>2/26/2014</t>
    </r>
    <r>
      <rPr>
        <vertAlign val="superscript"/>
        <sz val="9"/>
        <color indexed="8"/>
        <rFont val="Times New Roman"/>
        <family val="1"/>
      </rPr>
      <t>p</t>
    </r>
  </si>
  <si>
    <r>
      <t>2/19/2014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</si>
</sst>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8" formatCode="0;[Red]0"/>
  </numFmts>
  <fonts count="58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0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4" fillId="0" borderId="5" xfId="0" applyFont="1" applyFill="1" applyBorder="1" applyAlignment="1">
      <alignment horizontal="center"/>
    </xf>
    <xf numFmtId="0" fontId="54" fillId="0" borderId="5" xfId="0" applyFont="1" applyFill="1" applyBorder="1"/>
    <xf numFmtId="0" fontId="55" fillId="0" borderId="0" xfId="0" applyFont="1" applyFill="1"/>
    <xf numFmtId="0" fontId="54" fillId="0" borderId="7" xfId="0" applyFont="1" applyFill="1" applyBorder="1" applyAlignment="1">
      <alignment horizontal="center"/>
    </xf>
    <xf numFmtId="0" fontId="56" fillId="0" borderId="7" xfId="0" applyFont="1" applyFill="1" applyBorder="1" applyAlignment="1">
      <alignment horizontal="center"/>
    </xf>
    <xf numFmtId="0" fontId="54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7" fillId="0" borderId="0" xfId="0" applyNumberFormat="1" applyFont="1" applyFill="1" applyAlignment="1" applyProtection="1">
      <alignment horizontal="center"/>
    </xf>
    <xf numFmtId="37" fontId="57" fillId="0" borderId="0" xfId="0" applyNumberFormat="1" applyFont="1" applyAlignment="1" applyProtection="1">
      <alignment horizontal="center"/>
    </xf>
    <xf numFmtId="169" fontId="54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4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4" fillId="10" borderId="0" xfId="0" applyNumberFormat="1" applyFont="1" applyFill="1" applyAlignment="1">
      <alignment horizontal="center"/>
    </xf>
    <xf numFmtId="170" fontId="54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164" fontId="11" fillId="11" borderId="15" xfId="0" applyNumberFormat="1" applyFont="1" applyFill="1" applyBorder="1" applyAlignment="1" applyProtection="1">
      <alignment horizontal="left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4" fillId="10" borderId="0" xfId="1" applyNumberFormat="1" applyFont="1" applyFill="1" applyAlignment="1">
      <alignment horizontal="center"/>
    </xf>
    <xf numFmtId="178" fontId="0" fillId="10" borderId="0" xfId="0" applyNumberForma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Averages'!$L$894:$L$945</c:f>
              <c:numCache>
                <c:formatCode>#,##0_);\(#,##0\)</c:formatCode>
                <c:ptCount val="52"/>
                <c:pt idx="0">
                  <c:v>780</c:v>
                </c:pt>
                <c:pt idx="1">
                  <c:v>489.25</c:v>
                </c:pt>
                <c:pt idx="2">
                  <c:v>740.5</c:v>
                </c:pt>
                <c:pt idx="3">
                  <c:v>665.25</c:v>
                </c:pt>
                <c:pt idx="4">
                  <c:v>565</c:v>
                </c:pt>
                <c:pt idx="5">
                  <c:v>905.75</c:v>
                </c:pt>
                <c:pt idx="6">
                  <c:v>582.5</c:v>
                </c:pt>
                <c:pt idx="7">
                  <c:v>1004.5</c:v>
                </c:pt>
                <c:pt idx="8">
                  <c:v>909.5</c:v>
                </c:pt>
                <c:pt idx="9">
                  <c:v>974.5</c:v>
                </c:pt>
                <c:pt idx="10">
                  <c:v>682.25</c:v>
                </c:pt>
                <c:pt idx="11">
                  <c:v>938.75</c:v>
                </c:pt>
                <c:pt idx="12">
                  <c:v>703.5</c:v>
                </c:pt>
                <c:pt idx="13">
                  <c:v>843.75</c:v>
                </c:pt>
                <c:pt idx="14">
                  <c:v>907.25</c:v>
                </c:pt>
                <c:pt idx="15">
                  <c:v>1036.25</c:v>
                </c:pt>
                <c:pt idx="16">
                  <c:v>871.75</c:v>
                </c:pt>
                <c:pt idx="17">
                  <c:v>734</c:v>
                </c:pt>
                <c:pt idx="18">
                  <c:v>1049.75</c:v>
                </c:pt>
                <c:pt idx="19">
                  <c:v>969</c:v>
                </c:pt>
                <c:pt idx="20">
                  <c:v>902.25</c:v>
                </c:pt>
                <c:pt idx="21">
                  <c:v>857.5</c:v>
                </c:pt>
                <c:pt idx="22">
                  <c:v>519.25</c:v>
                </c:pt>
                <c:pt idx="23">
                  <c:v>827.25</c:v>
                </c:pt>
                <c:pt idx="24">
                  <c:v>691.25</c:v>
                </c:pt>
                <c:pt idx="25">
                  <c:v>728</c:v>
                </c:pt>
                <c:pt idx="26">
                  <c:v>675.25</c:v>
                </c:pt>
                <c:pt idx="27">
                  <c:v>650.5</c:v>
                </c:pt>
                <c:pt idx="28">
                  <c:v>590.75</c:v>
                </c:pt>
                <c:pt idx="29">
                  <c:v>719.5</c:v>
                </c:pt>
                <c:pt idx="30">
                  <c:v>688.25</c:v>
                </c:pt>
                <c:pt idx="31">
                  <c:v>688.75</c:v>
                </c:pt>
                <c:pt idx="32">
                  <c:v>634.75</c:v>
                </c:pt>
                <c:pt idx="33">
                  <c:v>690</c:v>
                </c:pt>
                <c:pt idx="34">
                  <c:v>542</c:v>
                </c:pt>
                <c:pt idx="35">
                  <c:v>497.5</c:v>
                </c:pt>
                <c:pt idx="36">
                  <c:v>709.25</c:v>
                </c:pt>
                <c:pt idx="37">
                  <c:v>867.25</c:v>
                </c:pt>
                <c:pt idx="38">
                  <c:v>717.25</c:v>
                </c:pt>
                <c:pt idx="39">
                  <c:v>529</c:v>
                </c:pt>
                <c:pt idx="40">
                  <c:v>861</c:v>
                </c:pt>
                <c:pt idx="41">
                  <c:v>688.25</c:v>
                </c:pt>
                <c:pt idx="42">
                  <c:v>1068.5</c:v>
                </c:pt>
                <c:pt idx="43">
                  <c:v>1114.75</c:v>
                </c:pt>
                <c:pt idx="44">
                  <c:v>839.25</c:v>
                </c:pt>
                <c:pt idx="45">
                  <c:v>741.75</c:v>
                </c:pt>
                <c:pt idx="46">
                  <c:v>886.25</c:v>
                </c:pt>
                <c:pt idx="47">
                  <c:v>704</c:v>
                </c:pt>
                <c:pt idx="48">
                  <c:v>820.75</c:v>
                </c:pt>
                <c:pt idx="49">
                  <c:v>429</c:v>
                </c:pt>
                <c:pt idx="50">
                  <c:v>763.25</c:v>
                </c:pt>
                <c:pt idx="51">
                  <c:v>389.75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Averages'!$U$894:$U$945</c:f>
              <c:numCache>
                <c:formatCode>#,##0</c:formatCode>
                <c:ptCount val="52"/>
                <c:pt idx="0">
                  <c:v>669.625</c:v>
                </c:pt>
                <c:pt idx="1">
                  <c:v>630.8125</c:v>
                </c:pt>
                <c:pt idx="2">
                  <c:v>577</c:v>
                </c:pt>
                <c:pt idx="3">
                  <c:v>654.125</c:v>
                </c:pt>
                <c:pt idx="4">
                  <c:v>599.8125</c:v>
                </c:pt>
                <c:pt idx="5">
                  <c:v>669.0625</c:v>
                </c:pt>
                <c:pt idx="6">
                  <c:v>726.9375</c:v>
                </c:pt>
                <c:pt idx="7">
                  <c:v>737.6875</c:v>
                </c:pt>
                <c:pt idx="8">
                  <c:v>812.5625</c:v>
                </c:pt>
                <c:pt idx="9">
                  <c:v>898</c:v>
                </c:pt>
                <c:pt idx="10">
                  <c:v>838.4375</c:v>
                </c:pt>
                <c:pt idx="11">
                  <c:v>887.1875</c:v>
                </c:pt>
                <c:pt idx="12">
                  <c:v>834.125</c:v>
                </c:pt>
                <c:pt idx="13">
                  <c:v>794</c:v>
                </c:pt>
                <c:pt idx="14">
                  <c:v>846.125</c:v>
                </c:pt>
                <c:pt idx="15">
                  <c:v>845.5</c:v>
                </c:pt>
                <c:pt idx="16">
                  <c:v>904.4375</c:v>
                </c:pt>
                <c:pt idx="17">
                  <c:v>870</c:v>
                </c:pt>
                <c:pt idx="18">
                  <c:v>923.8125</c:v>
                </c:pt>
                <c:pt idx="19">
                  <c:v>898.9375</c:v>
                </c:pt>
                <c:pt idx="20">
                  <c:v>914.25</c:v>
                </c:pt>
                <c:pt idx="21">
                  <c:v>932.6875</c:v>
                </c:pt>
                <c:pt idx="22">
                  <c:v>874.0625</c:v>
                </c:pt>
                <c:pt idx="23">
                  <c:v>799.875</c:v>
                </c:pt>
                <c:pt idx="24">
                  <c:v>768.875</c:v>
                </c:pt>
                <c:pt idx="25">
                  <c:v>713.3125</c:v>
                </c:pt>
                <c:pt idx="26">
                  <c:v>667.6875</c:v>
                </c:pt>
                <c:pt idx="27">
                  <c:v>725.8125</c:v>
                </c:pt>
                <c:pt idx="28">
                  <c:v>643.625</c:v>
                </c:pt>
                <c:pt idx="29">
                  <c:v>682.6875</c:v>
                </c:pt>
                <c:pt idx="30">
                  <c:v>681.875</c:v>
                </c:pt>
                <c:pt idx="31">
                  <c:v>663.5625</c:v>
                </c:pt>
                <c:pt idx="32">
                  <c:v>699</c:v>
                </c:pt>
                <c:pt idx="33">
                  <c:v>659.75</c:v>
                </c:pt>
                <c:pt idx="34">
                  <c:v>638.25</c:v>
                </c:pt>
                <c:pt idx="35">
                  <c:v>598.375</c:v>
                </c:pt>
                <c:pt idx="36">
                  <c:v>563.9375</c:v>
                </c:pt>
                <c:pt idx="37">
                  <c:v>627.375</c:v>
                </c:pt>
                <c:pt idx="38">
                  <c:v>697.25</c:v>
                </c:pt>
                <c:pt idx="39">
                  <c:v>724.25</c:v>
                </c:pt>
                <c:pt idx="40">
                  <c:v>743.5625</c:v>
                </c:pt>
                <c:pt idx="41">
                  <c:v>722.625</c:v>
                </c:pt>
                <c:pt idx="42">
                  <c:v>777.25</c:v>
                </c:pt>
                <c:pt idx="43">
                  <c:v>879.1875</c:v>
                </c:pt>
                <c:pt idx="44">
                  <c:v>955.875</c:v>
                </c:pt>
                <c:pt idx="45">
                  <c:v>945.9375</c:v>
                </c:pt>
                <c:pt idx="46">
                  <c:v>916.125</c:v>
                </c:pt>
                <c:pt idx="47">
                  <c:v>827.125</c:v>
                </c:pt>
                <c:pt idx="48">
                  <c:v>809.5625</c:v>
                </c:pt>
                <c:pt idx="49">
                  <c:v>740.9375</c:v>
                </c:pt>
                <c:pt idx="50">
                  <c:v>684.25</c:v>
                </c:pt>
                <c:pt idx="51">
                  <c:v>618.5625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Data'!$F$894:$F$943</c:f>
              <c:numCache>
                <c:formatCode>#,##0</c:formatCode>
                <c:ptCount val="50"/>
                <c:pt idx="0">
                  <c:v>468</c:v>
                </c:pt>
                <c:pt idx="1">
                  <c:v>450</c:v>
                </c:pt>
                <c:pt idx="2">
                  <c:v>599</c:v>
                </c:pt>
                <c:pt idx="3">
                  <c:v>460</c:v>
                </c:pt>
                <c:pt idx="4">
                  <c:v>755</c:v>
                </c:pt>
                <c:pt idx="5">
                  <c:v>1023</c:v>
                </c:pt>
                <c:pt idx="6">
                  <c:v>285</c:v>
                </c:pt>
                <c:pt idx="7">
                  <c:v>558</c:v>
                </c:pt>
                <c:pt idx="8">
                  <c:v>374</c:v>
                </c:pt>
                <c:pt idx="9">
                  <c:v>969</c:v>
                </c:pt>
                <c:pt idx="10">
                  <c:v>671</c:v>
                </c:pt>
                <c:pt idx="11">
                  <c:v>881</c:v>
                </c:pt>
                <c:pt idx="12">
                  <c:v>1318</c:v>
                </c:pt>
                <c:pt idx="13">
                  <c:v>1557</c:v>
                </c:pt>
                <c:pt idx="14">
                  <c:v>1116</c:v>
                </c:pt>
                <c:pt idx="15">
                  <c:v>1390</c:v>
                </c:pt>
                <c:pt idx="16">
                  <c:v>1188</c:v>
                </c:pt>
                <c:pt idx="17">
                  <c:v>1090</c:v>
                </c:pt>
                <c:pt idx="18">
                  <c:v>1095</c:v>
                </c:pt>
                <c:pt idx="19">
                  <c:v>1152</c:v>
                </c:pt>
                <c:pt idx="20" formatCode="#,##0_);\(#,##0\)">
                  <c:v>1338</c:v>
                </c:pt>
                <c:pt idx="21">
                  <c:v>1427</c:v>
                </c:pt>
                <c:pt idx="22">
                  <c:v>1117</c:v>
                </c:pt>
                <c:pt idx="23">
                  <c:v>322</c:v>
                </c:pt>
                <c:pt idx="24">
                  <c:v>1016</c:v>
                </c:pt>
                <c:pt idx="25">
                  <c:v>664</c:v>
                </c:pt>
                <c:pt idx="26">
                  <c:v>1467</c:v>
                </c:pt>
                <c:pt idx="27">
                  <c:v>988</c:v>
                </c:pt>
                <c:pt idx="28">
                  <c:v>1381</c:v>
                </c:pt>
                <c:pt idx="29">
                  <c:v>901</c:v>
                </c:pt>
                <c:pt idx="30">
                  <c:v>833</c:v>
                </c:pt>
                <c:pt idx="31">
                  <c:v>1161</c:v>
                </c:pt>
                <c:pt idx="32">
                  <c:v>798</c:v>
                </c:pt>
                <c:pt idx="33">
                  <c:v>651</c:v>
                </c:pt>
                <c:pt idx="34">
                  <c:v>601</c:v>
                </c:pt>
                <c:pt idx="35">
                  <c:v>624</c:v>
                </c:pt>
                <c:pt idx="36">
                  <c:v>1270</c:v>
                </c:pt>
                <c:pt idx="37">
                  <c:v>748</c:v>
                </c:pt>
                <c:pt idx="38">
                  <c:v>662</c:v>
                </c:pt>
                <c:pt idx="39">
                  <c:v>512</c:v>
                </c:pt>
                <c:pt idx="40">
                  <c:v>615</c:v>
                </c:pt>
                <c:pt idx="41">
                  <c:v>1553</c:v>
                </c:pt>
                <c:pt idx="42">
                  <c:v>1898</c:v>
                </c:pt>
                <c:pt idx="43">
                  <c:v>1221</c:v>
                </c:pt>
                <c:pt idx="44">
                  <c:v>1031</c:v>
                </c:pt>
                <c:pt idx="45">
                  <c:v>1298</c:v>
                </c:pt>
                <c:pt idx="46">
                  <c:v>862</c:v>
                </c:pt>
                <c:pt idx="47">
                  <c:v>768</c:v>
                </c:pt>
                <c:pt idx="48">
                  <c:v>778</c:v>
                </c:pt>
                <c:pt idx="49">
                  <c:v>1197</c:v>
                </c:pt>
              </c:numCache>
            </c:numRef>
          </c:val>
          <c:smooth val="0"/>
        </c:ser>
        <c:ser>
          <c:idx val="3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Data'!$F$946:$F$997</c:f>
              <c:numCache>
                <c:formatCode>#,##0</c:formatCode>
                <c:ptCount val="52"/>
                <c:pt idx="0">
                  <c:v>793</c:v>
                </c:pt>
                <c:pt idx="1">
                  <c:v>918</c:v>
                </c:pt>
                <c:pt idx="2">
                  <c:v>951</c:v>
                </c:pt>
                <c:pt idx="3">
                  <c:v>1480</c:v>
                </c:pt>
                <c:pt idx="4">
                  <c:v>603</c:v>
                </c:pt>
                <c:pt idx="5">
                  <c:v>1184</c:v>
                </c:pt>
                <c:pt idx="6">
                  <c:v>930</c:v>
                </c:pt>
                <c:pt idx="7">
                  <c:v>1504</c:v>
                </c:pt>
                <c:pt idx="8">
                  <c:v>1317</c:v>
                </c:pt>
                <c:pt idx="9">
                  <c:v>1164</c:v>
                </c:pt>
                <c:pt idx="10">
                  <c:v>1403</c:v>
                </c:pt>
                <c:pt idx="11">
                  <c:v>1197</c:v>
                </c:pt>
                <c:pt idx="12">
                  <c:v>1494</c:v>
                </c:pt>
                <c:pt idx="13">
                  <c:v>2194</c:v>
                </c:pt>
                <c:pt idx="14">
                  <c:v>1021</c:v>
                </c:pt>
                <c:pt idx="15">
                  <c:v>1577</c:v>
                </c:pt>
                <c:pt idx="16">
                  <c:v>1039</c:v>
                </c:pt>
                <c:pt idx="17">
                  <c:v>1761</c:v>
                </c:pt>
                <c:pt idx="18">
                  <c:v>1376</c:v>
                </c:pt>
                <c:pt idx="19">
                  <c:v>1160</c:v>
                </c:pt>
                <c:pt idx="20">
                  <c:v>1070</c:v>
                </c:pt>
                <c:pt idx="21">
                  <c:v>1246</c:v>
                </c:pt>
                <c:pt idx="22">
                  <c:v>1073</c:v>
                </c:pt>
                <c:pt idx="23" formatCode="#,##0;[Red]#,##0">
                  <c:v>1021</c:v>
                </c:pt>
                <c:pt idx="24" formatCode="#,##0;[Red]#,##0">
                  <c:v>641</c:v>
                </c:pt>
                <c:pt idx="25" formatCode="#,##0;[Red]#,##0">
                  <c:v>762</c:v>
                </c:pt>
                <c:pt idx="26" formatCode="#,##0;[Red]#,##0">
                  <c:v>713</c:v>
                </c:pt>
                <c:pt idx="27" formatCode="#,##0;[Red]#,##0">
                  <c:v>650</c:v>
                </c:pt>
                <c:pt idx="28" formatCode="#,##0;[Red]#,##0">
                  <c:v>1200</c:v>
                </c:pt>
                <c:pt idx="29" formatCode="#,##0;[Red]#,##0">
                  <c:v>662</c:v>
                </c:pt>
                <c:pt idx="30" formatCode="#,##0;[Red]#,##0">
                  <c:v>952</c:v>
                </c:pt>
                <c:pt idx="31" formatCode="#,##0;[Red]#,##0">
                  <c:v>492</c:v>
                </c:pt>
                <c:pt idx="32" formatCode="#,##0;[Red]#,##0">
                  <c:v>662</c:v>
                </c:pt>
                <c:pt idx="33" formatCode="#,##0;[Red]#,##0">
                  <c:v>558</c:v>
                </c:pt>
                <c:pt idx="34" formatCode="#,##0;[Red]#,##0">
                  <c:v>560</c:v>
                </c:pt>
                <c:pt idx="35" formatCode="#,##0;[Red]#,##0">
                  <c:v>277</c:v>
                </c:pt>
                <c:pt idx="36" formatCode="#,##0;[Red]#,##0">
                  <c:v>818</c:v>
                </c:pt>
                <c:pt idx="37" formatCode="#,##0;[Red]#,##0">
                  <c:v>660</c:v>
                </c:pt>
                <c:pt idx="38" formatCode="#,##0;[Red]#,##0">
                  <c:v>374</c:v>
                </c:pt>
                <c:pt idx="39" formatCode="#,##0;[Red]#,##0">
                  <c:v>677</c:v>
                </c:pt>
                <c:pt idx="40" formatCode="#,##0;[Red]#,##0">
                  <c:v>432</c:v>
                </c:pt>
                <c:pt idx="41" formatCode="#,##0;[Red]#,##0">
                  <c:v>102</c:v>
                </c:pt>
                <c:pt idx="42" formatCode="#,##0_);\(#,##0\)">
                  <c:v>93</c:v>
                </c:pt>
                <c:pt idx="43" formatCode="#,##0_);\(#,##0\)">
                  <c:v>319</c:v>
                </c:pt>
                <c:pt idx="44" formatCode="#,##0_);\(#,##0\)">
                  <c:v>180</c:v>
                </c:pt>
                <c:pt idx="45" formatCode="#,##0;[Red]#,##0">
                  <c:v>0</c:v>
                </c:pt>
                <c:pt idx="46" formatCode="#,##0;[Red]#,##0">
                  <c:v>0</c:v>
                </c:pt>
                <c:pt idx="47" formatCode="#,##0;[Red]#,##0">
                  <c:v>0</c:v>
                </c:pt>
                <c:pt idx="48" formatCode="#,##0;[Red]#,##0">
                  <c:v>0</c:v>
                </c:pt>
                <c:pt idx="49" formatCode="#,##0;[Red]#,##0">
                  <c:v>0</c:v>
                </c:pt>
                <c:pt idx="50" formatCode="#,##0;[Red]#,##0">
                  <c:v>0</c:v>
                </c:pt>
                <c:pt idx="51" formatCode="#,##0;[Red]#,##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25920"/>
        <c:axId val="31827840"/>
      </c:lineChart>
      <c:dateAx>
        <c:axId val="31825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278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82784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25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971474670118291"/>
          <c:y val="0.889181932615566"/>
          <c:w val="0.84549131701003133"/>
          <c:h val="8.982738764797260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Averages'!$M$842:$M$893</c:f>
              <c:numCache>
                <c:formatCode>#,##0_);\(#,##0\)</c:formatCode>
                <c:ptCount val="52"/>
                <c:pt idx="0">
                  <c:v>3958.75</c:v>
                </c:pt>
                <c:pt idx="1">
                  <c:v>4229.25</c:v>
                </c:pt>
                <c:pt idx="2">
                  <c:v>4716</c:v>
                </c:pt>
                <c:pt idx="3">
                  <c:v>4361.5</c:v>
                </c:pt>
                <c:pt idx="4">
                  <c:v>4366.25</c:v>
                </c:pt>
                <c:pt idx="5">
                  <c:v>4680</c:v>
                </c:pt>
                <c:pt idx="6">
                  <c:v>3965</c:v>
                </c:pt>
                <c:pt idx="7">
                  <c:v>4757</c:v>
                </c:pt>
                <c:pt idx="8">
                  <c:v>4753.75</c:v>
                </c:pt>
                <c:pt idx="9">
                  <c:v>4741.5</c:v>
                </c:pt>
                <c:pt idx="10">
                  <c:v>4485.5</c:v>
                </c:pt>
                <c:pt idx="11">
                  <c:v>5071.75</c:v>
                </c:pt>
                <c:pt idx="12">
                  <c:v>4503</c:v>
                </c:pt>
                <c:pt idx="13">
                  <c:v>4382.75</c:v>
                </c:pt>
                <c:pt idx="14">
                  <c:v>4731.5</c:v>
                </c:pt>
                <c:pt idx="15">
                  <c:v>4438.5</c:v>
                </c:pt>
                <c:pt idx="16">
                  <c:v>4362.75</c:v>
                </c:pt>
                <c:pt idx="17">
                  <c:v>4244.25</c:v>
                </c:pt>
                <c:pt idx="18">
                  <c:v>3722.5</c:v>
                </c:pt>
                <c:pt idx="19">
                  <c:v>3976.25</c:v>
                </c:pt>
                <c:pt idx="20">
                  <c:v>3990.25</c:v>
                </c:pt>
                <c:pt idx="21">
                  <c:v>3621.5</c:v>
                </c:pt>
                <c:pt idx="22">
                  <c:v>3531.5</c:v>
                </c:pt>
                <c:pt idx="23">
                  <c:v>3546.5</c:v>
                </c:pt>
                <c:pt idx="24">
                  <c:v>4197.75</c:v>
                </c:pt>
                <c:pt idx="25">
                  <c:v>3350.25</c:v>
                </c:pt>
                <c:pt idx="26">
                  <c:v>3712</c:v>
                </c:pt>
                <c:pt idx="27">
                  <c:v>3717.25</c:v>
                </c:pt>
                <c:pt idx="28">
                  <c:v>3843.75</c:v>
                </c:pt>
                <c:pt idx="29">
                  <c:v>4099.75</c:v>
                </c:pt>
                <c:pt idx="30">
                  <c:v>3521.5</c:v>
                </c:pt>
                <c:pt idx="31">
                  <c:v>3891</c:v>
                </c:pt>
                <c:pt idx="32">
                  <c:v>3651</c:v>
                </c:pt>
                <c:pt idx="33">
                  <c:v>3656.25</c:v>
                </c:pt>
                <c:pt idx="34">
                  <c:v>3434.75</c:v>
                </c:pt>
                <c:pt idx="35">
                  <c:v>3489.75</c:v>
                </c:pt>
                <c:pt idx="36">
                  <c:v>3851</c:v>
                </c:pt>
                <c:pt idx="37">
                  <c:v>3437.5</c:v>
                </c:pt>
                <c:pt idx="38">
                  <c:v>3751.5</c:v>
                </c:pt>
                <c:pt idx="39">
                  <c:v>4485</c:v>
                </c:pt>
                <c:pt idx="40">
                  <c:v>5673.25</c:v>
                </c:pt>
                <c:pt idx="41">
                  <c:v>5191.25</c:v>
                </c:pt>
                <c:pt idx="42">
                  <c:v>5230.5</c:v>
                </c:pt>
                <c:pt idx="43">
                  <c:v>4919.75</c:v>
                </c:pt>
                <c:pt idx="44">
                  <c:v>4005.5</c:v>
                </c:pt>
                <c:pt idx="45">
                  <c:v>4841.75</c:v>
                </c:pt>
                <c:pt idx="46">
                  <c:v>3884.25</c:v>
                </c:pt>
                <c:pt idx="47">
                  <c:v>4448.75</c:v>
                </c:pt>
                <c:pt idx="48">
                  <c:v>4943.5</c:v>
                </c:pt>
                <c:pt idx="49">
                  <c:v>4108.25</c:v>
                </c:pt>
                <c:pt idx="50">
                  <c:v>3548</c:v>
                </c:pt>
                <c:pt idx="51">
                  <c:v>3311.5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Data'!$G$1050:$G$1053</c:f>
              <c:numCache>
                <c:formatCode>#,##0_);\(#,##0\)</c:formatCode>
                <c:ptCount val="4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57664"/>
        <c:axId val="31868032"/>
      </c:lineChart>
      <c:dateAx>
        <c:axId val="3185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680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8680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8576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518150167837578"/>
          <c:y val="0.88287889885857285"/>
          <c:w val="0.76819925045027049"/>
          <c:h val="9.41503387657938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Averages'!$M$894:$M$945</c:f>
              <c:numCache>
                <c:formatCode>#,##0_);\(#,##0\)</c:formatCode>
                <c:ptCount val="52"/>
                <c:pt idx="0">
                  <c:v>3656.5</c:v>
                </c:pt>
                <c:pt idx="1">
                  <c:v>3917.5</c:v>
                </c:pt>
                <c:pt idx="2">
                  <c:v>4516.25</c:v>
                </c:pt>
                <c:pt idx="3">
                  <c:v>4274.75</c:v>
                </c:pt>
                <c:pt idx="4">
                  <c:v>4066</c:v>
                </c:pt>
                <c:pt idx="5">
                  <c:v>4396.5</c:v>
                </c:pt>
                <c:pt idx="6">
                  <c:v>3834.25</c:v>
                </c:pt>
                <c:pt idx="7">
                  <c:v>4606</c:v>
                </c:pt>
                <c:pt idx="8">
                  <c:v>4617.75</c:v>
                </c:pt>
                <c:pt idx="9">
                  <c:v>4505.75</c:v>
                </c:pt>
                <c:pt idx="10">
                  <c:v>4177.5</c:v>
                </c:pt>
                <c:pt idx="11">
                  <c:v>5109.5</c:v>
                </c:pt>
                <c:pt idx="12">
                  <c:v>4171.5</c:v>
                </c:pt>
                <c:pt idx="13">
                  <c:v>4421.5</c:v>
                </c:pt>
                <c:pt idx="14">
                  <c:v>4502</c:v>
                </c:pt>
                <c:pt idx="15">
                  <c:v>4302.25</c:v>
                </c:pt>
                <c:pt idx="16">
                  <c:v>4211.5</c:v>
                </c:pt>
                <c:pt idx="17">
                  <c:v>4365</c:v>
                </c:pt>
                <c:pt idx="18">
                  <c:v>3395.25</c:v>
                </c:pt>
                <c:pt idx="19">
                  <c:v>3752</c:v>
                </c:pt>
                <c:pt idx="20">
                  <c:v>3713.5</c:v>
                </c:pt>
                <c:pt idx="21">
                  <c:v>3422.5</c:v>
                </c:pt>
                <c:pt idx="22">
                  <c:v>3449.75</c:v>
                </c:pt>
                <c:pt idx="23">
                  <c:v>3108</c:v>
                </c:pt>
                <c:pt idx="24">
                  <c:v>3796</c:v>
                </c:pt>
                <c:pt idx="25">
                  <c:v>3403</c:v>
                </c:pt>
                <c:pt idx="26">
                  <c:v>3197.25</c:v>
                </c:pt>
                <c:pt idx="27">
                  <c:v>3743.75</c:v>
                </c:pt>
                <c:pt idx="28">
                  <c:v>4009</c:v>
                </c:pt>
                <c:pt idx="29">
                  <c:v>3959.25</c:v>
                </c:pt>
                <c:pt idx="30">
                  <c:v>3315.25</c:v>
                </c:pt>
                <c:pt idx="31">
                  <c:v>3788.75</c:v>
                </c:pt>
                <c:pt idx="32">
                  <c:v>3452.5</c:v>
                </c:pt>
                <c:pt idx="33">
                  <c:v>3505.25</c:v>
                </c:pt>
                <c:pt idx="34">
                  <c:v>3154.75</c:v>
                </c:pt>
                <c:pt idx="35">
                  <c:v>3347.25</c:v>
                </c:pt>
                <c:pt idx="36">
                  <c:v>3215.5</c:v>
                </c:pt>
                <c:pt idx="37">
                  <c:v>2824</c:v>
                </c:pt>
                <c:pt idx="38">
                  <c:v>3371.25</c:v>
                </c:pt>
                <c:pt idx="39">
                  <c:v>3928</c:v>
                </c:pt>
                <c:pt idx="40">
                  <c:v>5779.5</c:v>
                </c:pt>
                <c:pt idx="41">
                  <c:v>5187</c:v>
                </c:pt>
                <c:pt idx="42">
                  <c:v>5050</c:v>
                </c:pt>
                <c:pt idx="43">
                  <c:v>5172.75</c:v>
                </c:pt>
                <c:pt idx="44">
                  <c:v>4203</c:v>
                </c:pt>
                <c:pt idx="45">
                  <c:v>4683</c:v>
                </c:pt>
                <c:pt idx="46">
                  <c:v>3972.5</c:v>
                </c:pt>
                <c:pt idx="47">
                  <c:v>4256.5</c:v>
                </c:pt>
                <c:pt idx="48">
                  <c:v>4953.75</c:v>
                </c:pt>
                <c:pt idx="49">
                  <c:v>3911.5</c:v>
                </c:pt>
                <c:pt idx="50">
                  <c:v>3641.25</c:v>
                </c:pt>
                <c:pt idx="51">
                  <c:v>3021.25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Averages'!$V$894:$V$945</c:f>
              <c:numCache>
                <c:formatCode>#,##0</c:formatCode>
                <c:ptCount val="52"/>
                <c:pt idx="0">
                  <c:v>3636.125</c:v>
                </c:pt>
                <c:pt idx="1">
                  <c:v>3620.4375</c:v>
                </c:pt>
                <c:pt idx="2">
                  <c:v>3729.1875</c:v>
                </c:pt>
                <c:pt idx="3">
                  <c:v>4057.875</c:v>
                </c:pt>
                <c:pt idx="4">
                  <c:v>4248.1875</c:v>
                </c:pt>
                <c:pt idx="5">
                  <c:v>4245.6875</c:v>
                </c:pt>
                <c:pt idx="6">
                  <c:v>4263.625</c:v>
                </c:pt>
                <c:pt idx="7">
                  <c:v>4227.8125</c:v>
                </c:pt>
                <c:pt idx="8">
                  <c:v>4363.5625</c:v>
                </c:pt>
                <c:pt idx="9">
                  <c:v>4461.5625</c:v>
                </c:pt>
                <c:pt idx="10">
                  <c:v>4401.5625</c:v>
                </c:pt>
                <c:pt idx="11">
                  <c:v>4534.125</c:v>
                </c:pt>
                <c:pt idx="12">
                  <c:v>4466.75</c:v>
                </c:pt>
                <c:pt idx="13">
                  <c:v>4462.875</c:v>
                </c:pt>
                <c:pt idx="14">
                  <c:v>4570.625</c:v>
                </c:pt>
                <c:pt idx="15">
                  <c:v>4430.6875</c:v>
                </c:pt>
                <c:pt idx="16">
                  <c:v>4397.0625</c:v>
                </c:pt>
                <c:pt idx="17">
                  <c:v>4338.9375</c:v>
                </c:pt>
                <c:pt idx="18">
                  <c:v>4141.4375</c:v>
                </c:pt>
                <c:pt idx="19">
                  <c:v>3974.6875</c:v>
                </c:pt>
                <c:pt idx="20">
                  <c:v>3842.4375</c:v>
                </c:pt>
                <c:pt idx="21">
                  <c:v>3654.5625</c:v>
                </c:pt>
                <c:pt idx="22">
                  <c:v>3558.0625</c:v>
                </c:pt>
                <c:pt idx="23">
                  <c:v>3464.1875</c:v>
                </c:pt>
                <c:pt idx="24">
                  <c:v>3419.4375</c:v>
                </c:pt>
                <c:pt idx="25">
                  <c:v>3478.125</c:v>
                </c:pt>
                <c:pt idx="26">
                  <c:v>3398</c:v>
                </c:pt>
                <c:pt idx="27">
                  <c:v>3569.875</c:v>
                </c:pt>
                <c:pt idx="28">
                  <c:v>3670.3125</c:v>
                </c:pt>
                <c:pt idx="29">
                  <c:v>3691.1875</c:v>
                </c:pt>
                <c:pt idx="30">
                  <c:v>3714.875</c:v>
                </c:pt>
                <c:pt idx="31">
                  <c:v>3672.125</c:v>
                </c:pt>
                <c:pt idx="32">
                  <c:v>3421.75</c:v>
                </c:pt>
                <c:pt idx="33">
                  <c:v>3476.8125</c:v>
                </c:pt>
                <c:pt idx="34">
                  <c:v>3525.5</c:v>
                </c:pt>
                <c:pt idx="35">
                  <c:v>3474.3125</c:v>
                </c:pt>
                <c:pt idx="36">
                  <c:v>3457.5625</c:v>
                </c:pt>
                <c:pt idx="37">
                  <c:v>3202</c:v>
                </c:pt>
                <c:pt idx="38">
                  <c:v>3114.9375</c:v>
                </c:pt>
                <c:pt idx="39">
                  <c:v>3179.375</c:v>
                </c:pt>
                <c:pt idx="40">
                  <c:v>3780.5625</c:v>
                </c:pt>
                <c:pt idx="41">
                  <c:v>4406.3125</c:v>
                </c:pt>
                <c:pt idx="42">
                  <c:v>4832.8125</c:v>
                </c:pt>
                <c:pt idx="43">
                  <c:v>5237.875</c:v>
                </c:pt>
                <c:pt idx="44">
                  <c:v>4991.125</c:v>
                </c:pt>
                <c:pt idx="45">
                  <c:v>4736.625</c:v>
                </c:pt>
                <c:pt idx="46">
                  <c:v>4617.375</c:v>
                </c:pt>
                <c:pt idx="47">
                  <c:v>4377.75</c:v>
                </c:pt>
                <c:pt idx="48">
                  <c:v>4371.875</c:v>
                </c:pt>
                <c:pt idx="49">
                  <c:v>4322.8125</c:v>
                </c:pt>
                <c:pt idx="50">
                  <c:v>4237.5</c:v>
                </c:pt>
                <c:pt idx="51">
                  <c:v>3895.5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val>
            <c:numRef>
              <c:f>'Weekly Data'!$G$894:$G$943</c:f>
              <c:numCache>
                <c:formatCode>#,##0</c:formatCode>
                <c:ptCount val="50"/>
                <c:pt idx="0">
                  <c:v>3421</c:v>
                </c:pt>
                <c:pt idx="1">
                  <c:v>3575</c:v>
                </c:pt>
                <c:pt idx="2">
                  <c:v>3739</c:v>
                </c:pt>
                <c:pt idx="3">
                  <c:v>4716</c:v>
                </c:pt>
                <c:pt idx="4">
                  <c:v>4575</c:v>
                </c:pt>
                <c:pt idx="5">
                  <c:v>3628</c:v>
                </c:pt>
                <c:pt idx="6">
                  <c:v>4110</c:v>
                </c:pt>
                <c:pt idx="7">
                  <c:v>4176</c:v>
                </c:pt>
                <c:pt idx="8">
                  <c:v>3054</c:v>
                </c:pt>
                <c:pt idx="9">
                  <c:v>3614</c:v>
                </c:pt>
                <c:pt idx="10">
                  <c:v>3840</c:v>
                </c:pt>
                <c:pt idx="11">
                  <c:v>4731</c:v>
                </c:pt>
                <c:pt idx="12">
                  <c:v>4923</c:v>
                </c:pt>
                <c:pt idx="13">
                  <c:v>3868</c:v>
                </c:pt>
                <c:pt idx="14">
                  <c:v>3990</c:v>
                </c:pt>
                <c:pt idx="15">
                  <c:v>4116</c:v>
                </c:pt>
                <c:pt idx="16">
                  <c:v>3936</c:v>
                </c:pt>
                <c:pt idx="17">
                  <c:v>3219</c:v>
                </c:pt>
                <c:pt idx="18">
                  <c:v>3979</c:v>
                </c:pt>
                <c:pt idx="19">
                  <c:v>3797</c:v>
                </c:pt>
                <c:pt idx="20" formatCode="#,##0_);\(#,##0\)">
                  <c:v>4341</c:v>
                </c:pt>
                <c:pt idx="21">
                  <c:v>3225</c:v>
                </c:pt>
                <c:pt idx="22">
                  <c:v>3684</c:v>
                </c:pt>
                <c:pt idx="23">
                  <c:v>3251</c:v>
                </c:pt>
                <c:pt idx="24">
                  <c:v>3771</c:v>
                </c:pt>
                <c:pt idx="25">
                  <c:v>3221</c:v>
                </c:pt>
                <c:pt idx="26">
                  <c:v>2316</c:v>
                </c:pt>
                <c:pt idx="27">
                  <c:v>3756</c:v>
                </c:pt>
                <c:pt idx="28">
                  <c:v>3653</c:v>
                </c:pt>
                <c:pt idx="29">
                  <c:v>3562</c:v>
                </c:pt>
                <c:pt idx="30">
                  <c:v>3932</c:v>
                </c:pt>
                <c:pt idx="31">
                  <c:v>2281</c:v>
                </c:pt>
                <c:pt idx="32">
                  <c:v>2068</c:v>
                </c:pt>
                <c:pt idx="33">
                  <c:v>3092</c:v>
                </c:pt>
                <c:pt idx="34">
                  <c:v>3056</c:v>
                </c:pt>
                <c:pt idx="35">
                  <c:v>2777</c:v>
                </c:pt>
                <c:pt idx="36">
                  <c:v>1986</c:v>
                </c:pt>
                <c:pt idx="37">
                  <c:v>2399</c:v>
                </c:pt>
                <c:pt idx="38">
                  <c:v>1707</c:v>
                </c:pt>
                <c:pt idx="39">
                  <c:v>2136</c:v>
                </c:pt>
                <c:pt idx="40">
                  <c:v>3997</c:v>
                </c:pt>
                <c:pt idx="41">
                  <c:v>4277</c:v>
                </c:pt>
                <c:pt idx="42">
                  <c:v>4247</c:v>
                </c:pt>
                <c:pt idx="43">
                  <c:v>4027</c:v>
                </c:pt>
                <c:pt idx="44">
                  <c:v>4041</c:v>
                </c:pt>
                <c:pt idx="45">
                  <c:v>3623</c:v>
                </c:pt>
                <c:pt idx="46">
                  <c:v>3507</c:v>
                </c:pt>
                <c:pt idx="47">
                  <c:v>3991</c:v>
                </c:pt>
                <c:pt idx="48">
                  <c:v>4152</c:v>
                </c:pt>
                <c:pt idx="49">
                  <c:v>6272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6688"/>
        <c:axId val="47668608"/>
      </c:lineChart>
      <c:dateAx>
        <c:axId val="47666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66860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4766860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6666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545993411897336"/>
          <c:y val="0.89114954813473801"/>
          <c:w val="0.83103784635980904"/>
          <c:h val="0.1088504518652619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Averages'!$N$894:$N$945</c:f>
              <c:numCache>
                <c:formatCode>#,##0_);\(#,##0\)</c:formatCode>
                <c:ptCount val="52"/>
                <c:pt idx="0">
                  <c:v>910</c:v>
                </c:pt>
                <c:pt idx="1">
                  <c:v>969</c:v>
                </c:pt>
                <c:pt idx="2">
                  <c:v>843.25</c:v>
                </c:pt>
                <c:pt idx="3">
                  <c:v>1038.5</c:v>
                </c:pt>
                <c:pt idx="4">
                  <c:v>832.75</c:v>
                </c:pt>
                <c:pt idx="5">
                  <c:v>837.25</c:v>
                </c:pt>
                <c:pt idx="6">
                  <c:v>736.5</c:v>
                </c:pt>
                <c:pt idx="7">
                  <c:v>867.5</c:v>
                </c:pt>
                <c:pt idx="8">
                  <c:v>884.25</c:v>
                </c:pt>
                <c:pt idx="9">
                  <c:v>791.75</c:v>
                </c:pt>
                <c:pt idx="10">
                  <c:v>705.25</c:v>
                </c:pt>
                <c:pt idx="11">
                  <c:v>815.25</c:v>
                </c:pt>
                <c:pt idx="12">
                  <c:v>605.25</c:v>
                </c:pt>
                <c:pt idx="13">
                  <c:v>563</c:v>
                </c:pt>
                <c:pt idx="14">
                  <c:v>508.5</c:v>
                </c:pt>
                <c:pt idx="15">
                  <c:v>404.75</c:v>
                </c:pt>
                <c:pt idx="16">
                  <c:v>390.5</c:v>
                </c:pt>
                <c:pt idx="17">
                  <c:v>540.25</c:v>
                </c:pt>
                <c:pt idx="18">
                  <c:v>342.75</c:v>
                </c:pt>
                <c:pt idx="19">
                  <c:v>255.25</c:v>
                </c:pt>
                <c:pt idx="20">
                  <c:v>280.75</c:v>
                </c:pt>
                <c:pt idx="21">
                  <c:v>243</c:v>
                </c:pt>
                <c:pt idx="22">
                  <c:v>267.25</c:v>
                </c:pt>
                <c:pt idx="23">
                  <c:v>225.75</c:v>
                </c:pt>
                <c:pt idx="24">
                  <c:v>223</c:v>
                </c:pt>
                <c:pt idx="25">
                  <c:v>289</c:v>
                </c:pt>
                <c:pt idx="26">
                  <c:v>274</c:v>
                </c:pt>
                <c:pt idx="27">
                  <c:v>409.25</c:v>
                </c:pt>
                <c:pt idx="28">
                  <c:v>332.25</c:v>
                </c:pt>
                <c:pt idx="29">
                  <c:v>94.5</c:v>
                </c:pt>
                <c:pt idx="30">
                  <c:v>221.5</c:v>
                </c:pt>
                <c:pt idx="31">
                  <c:v>205.5</c:v>
                </c:pt>
                <c:pt idx="32">
                  <c:v>222</c:v>
                </c:pt>
                <c:pt idx="33">
                  <c:v>393.5</c:v>
                </c:pt>
                <c:pt idx="34">
                  <c:v>291.25</c:v>
                </c:pt>
                <c:pt idx="35">
                  <c:v>413</c:v>
                </c:pt>
                <c:pt idx="36">
                  <c:v>335.5</c:v>
                </c:pt>
                <c:pt idx="37">
                  <c:v>521.5</c:v>
                </c:pt>
                <c:pt idx="38">
                  <c:v>620</c:v>
                </c:pt>
                <c:pt idx="39">
                  <c:v>659</c:v>
                </c:pt>
                <c:pt idx="40">
                  <c:v>863.75</c:v>
                </c:pt>
                <c:pt idx="41">
                  <c:v>978.25</c:v>
                </c:pt>
                <c:pt idx="42">
                  <c:v>911.25</c:v>
                </c:pt>
                <c:pt idx="43">
                  <c:v>1008.25</c:v>
                </c:pt>
                <c:pt idx="44">
                  <c:v>980.5</c:v>
                </c:pt>
                <c:pt idx="45">
                  <c:v>1327</c:v>
                </c:pt>
                <c:pt idx="46">
                  <c:v>1108.25</c:v>
                </c:pt>
                <c:pt idx="47">
                  <c:v>953.25</c:v>
                </c:pt>
                <c:pt idx="48">
                  <c:v>1007.25</c:v>
                </c:pt>
                <c:pt idx="49">
                  <c:v>720.25</c:v>
                </c:pt>
                <c:pt idx="50">
                  <c:v>934.5</c:v>
                </c:pt>
                <c:pt idx="51">
                  <c:v>569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Averages'!$W$894:$W$945</c:f>
              <c:numCache>
                <c:formatCode>#,##0_);\(#,##0\)</c:formatCode>
                <c:ptCount val="52"/>
                <c:pt idx="0">
                  <c:v>734.25</c:v>
                </c:pt>
                <c:pt idx="1">
                  <c:v>826</c:v>
                </c:pt>
                <c:pt idx="2">
                  <c:v>823.625</c:v>
                </c:pt>
                <c:pt idx="3">
                  <c:v>920.875</c:v>
                </c:pt>
                <c:pt idx="4">
                  <c:v>961.6875</c:v>
                </c:pt>
                <c:pt idx="5">
                  <c:v>869.625</c:v>
                </c:pt>
                <c:pt idx="6">
                  <c:v>875.375</c:v>
                </c:pt>
                <c:pt idx="7">
                  <c:v>841.8125</c:v>
                </c:pt>
                <c:pt idx="8">
                  <c:v>823.6875</c:v>
                </c:pt>
                <c:pt idx="9">
                  <c:v>840.8125</c:v>
                </c:pt>
                <c:pt idx="10">
                  <c:v>813.125</c:v>
                </c:pt>
                <c:pt idx="11">
                  <c:v>805.1875</c:v>
                </c:pt>
                <c:pt idx="12">
                  <c:v>728.625</c:v>
                </c:pt>
                <c:pt idx="13">
                  <c:v>663.5</c:v>
                </c:pt>
                <c:pt idx="14">
                  <c:v>617.6875</c:v>
                </c:pt>
                <c:pt idx="15">
                  <c:v>522.5</c:v>
                </c:pt>
                <c:pt idx="16">
                  <c:v>470.8125</c:v>
                </c:pt>
                <c:pt idx="17">
                  <c:v>474.5625</c:v>
                </c:pt>
                <c:pt idx="18">
                  <c:v>428.5625</c:v>
                </c:pt>
                <c:pt idx="19">
                  <c:v>390.75</c:v>
                </c:pt>
                <c:pt idx="20">
                  <c:v>360.5</c:v>
                </c:pt>
                <c:pt idx="21">
                  <c:v>291.3125</c:v>
                </c:pt>
                <c:pt idx="22">
                  <c:v>257.8125</c:v>
                </c:pt>
                <c:pt idx="23">
                  <c:v>251.875</c:v>
                </c:pt>
                <c:pt idx="24">
                  <c:v>236.3125</c:v>
                </c:pt>
                <c:pt idx="25">
                  <c:v>244.6875</c:v>
                </c:pt>
                <c:pt idx="26">
                  <c:v>262.6875</c:v>
                </c:pt>
                <c:pt idx="27">
                  <c:v>300.4375</c:v>
                </c:pt>
                <c:pt idx="28">
                  <c:v>322.75</c:v>
                </c:pt>
                <c:pt idx="29">
                  <c:v>282.125</c:v>
                </c:pt>
                <c:pt idx="30">
                  <c:v>251.3125</c:v>
                </c:pt>
                <c:pt idx="31">
                  <c:v>202.3125</c:v>
                </c:pt>
                <c:pt idx="32">
                  <c:v>185.1875</c:v>
                </c:pt>
                <c:pt idx="33">
                  <c:v>209.6875</c:v>
                </c:pt>
                <c:pt idx="34">
                  <c:v>275.875</c:v>
                </c:pt>
                <c:pt idx="35">
                  <c:v>319.6875</c:v>
                </c:pt>
                <c:pt idx="36">
                  <c:v>349.5625</c:v>
                </c:pt>
                <c:pt idx="37">
                  <c:v>389.25</c:v>
                </c:pt>
                <c:pt idx="38">
                  <c:v>426.75</c:v>
                </c:pt>
                <c:pt idx="39">
                  <c:v>510.5625</c:v>
                </c:pt>
                <c:pt idx="40">
                  <c:v>639.5</c:v>
                </c:pt>
                <c:pt idx="41">
                  <c:v>776.125</c:v>
                </c:pt>
                <c:pt idx="42">
                  <c:v>859.5</c:v>
                </c:pt>
                <c:pt idx="43">
                  <c:v>938.5</c:v>
                </c:pt>
                <c:pt idx="44">
                  <c:v>941.1875</c:v>
                </c:pt>
                <c:pt idx="45">
                  <c:v>1018.6875</c:v>
                </c:pt>
                <c:pt idx="46">
                  <c:v>1101.25</c:v>
                </c:pt>
                <c:pt idx="47">
                  <c:v>1069.9375</c:v>
                </c:pt>
                <c:pt idx="48">
                  <c:v>1119.3125</c:v>
                </c:pt>
                <c:pt idx="49">
                  <c:v>1027.375</c:v>
                </c:pt>
                <c:pt idx="50">
                  <c:v>911.625</c:v>
                </c:pt>
                <c:pt idx="51">
                  <c:v>838.8125</c:v>
                </c:pt>
              </c:numCache>
            </c:numRef>
          </c:val>
          <c:smooth val="0"/>
        </c:ser>
        <c:ser>
          <c:idx val="3"/>
          <c:order val="2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2"/>
          <c:order val="3"/>
          <c:tx>
            <c:v>2011</c:v>
          </c:tx>
          <c:spPr>
            <a:ln>
              <a:solidFill>
                <a:srgbClr val="FF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4"/>
          <c:order val="4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3504"/>
        <c:axId val="22140416"/>
      </c:lineChart>
      <c:dateAx>
        <c:axId val="3333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214041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214041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335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152208538035308"/>
          <c:y val="0.90497750281214839"/>
          <c:w val="0.82105457971599705"/>
          <c:h val="9.50224971878514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4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Averages'!$J$842:$J$893</c:f>
              <c:numCache>
                <c:formatCode>#,##0_);\(#,##0\)</c:formatCode>
                <c:ptCount val="52"/>
                <c:pt idx="0">
                  <c:v>1424.5</c:v>
                </c:pt>
                <c:pt idx="1">
                  <c:v>1814</c:v>
                </c:pt>
                <c:pt idx="2">
                  <c:v>1753.5</c:v>
                </c:pt>
                <c:pt idx="3">
                  <c:v>1571.5</c:v>
                </c:pt>
                <c:pt idx="4">
                  <c:v>1615</c:v>
                </c:pt>
                <c:pt idx="5">
                  <c:v>1697</c:v>
                </c:pt>
                <c:pt idx="6">
                  <c:v>1693</c:v>
                </c:pt>
                <c:pt idx="7">
                  <c:v>1353</c:v>
                </c:pt>
                <c:pt idx="8">
                  <c:v>1820.5</c:v>
                </c:pt>
                <c:pt idx="9">
                  <c:v>1528.25</c:v>
                </c:pt>
                <c:pt idx="10">
                  <c:v>1207.75</c:v>
                </c:pt>
                <c:pt idx="11">
                  <c:v>843.25</c:v>
                </c:pt>
                <c:pt idx="12">
                  <c:v>1006.5</c:v>
                </c:pt>
                <c:pt idx="13">
                  <c:v>848.25</c:v>
                </c:pt>
                <c:pt idx="14">
                  <c:v>900.75</c:v>
                </c:pt>
                <c:pt idx="15">
                  <c:v>762.25</c:v>
                </c:pt>
                <c:pt idx="16">
                  <c:v>650.25</c:v>
                </c:pt>
                <c:pt idx="17">
                  <c:v>564.75</c:v>
                </c:pt>
                <c:pt idx="18">
                  <c:v>636.75</c:v>
                </c:pt>
                <c:pt idx="19">
                  <c:v>501.75</c:v>
                </c:pt>
                <c:pt idx="20">
                  <c:v>592.75</c:v>
                </c:pt>
                <c:pt idx="21">
                  <c:v>593.5</c:v>
                </c:pt>
                <c:pt idx="22">
                  <c:v>386.75</c:v>
                </c:pt>
                <c:pt idx="23">
                  <c:v>454.5</c:v>
                </c:pt>
                <c:pt idx="24">
                  <c:v>634.25</c:v>
                </c:pt>
                <c:pt idx="25">
                  <c:v>773.25</c:v>
                </c:pt>
                <c:pt idx="26">
                  <c:v>786.5</c:v>
                </c:pt>
                <c:pt idx="27">
                  <c:v>939.25</c:v>
                </c:pt>
                <c:pt idx="28">
                  <c:v>1123.5</c:v>
                </c:pt>
                <c:pt idx="29">
                  <c:v>888</c:v>
                </c:pt>
                <c:pt idx="30">
                  <c:v>1036.75</c:v>
                </c:pt>
                <c:pt idx="31">
                  <c:v>1043</c:v>
                </c:pt>
                <c:pt idx="32">
                  <c:v>1064.5</c:v>
                </c:pt>
                <c:pt idx="33">
                  <c:v>1254</c:v>
                </c:pt>
                <c:pt idx="34">
                  <c:v>1159</c:v>
                </c:pt>
                <c:pt idx="35">
                  <c:v>1254</c:v>
                </c:pt>
                <c:pt idx="36">
                  <c:v>1355.25</c:v>
                </c:pt>
                <c:pt idx="37">
                  <c:v>1403</c:v>
                </c:pt>
                <c:pt idx="38">
                  <c:v>1738.25</c:v>
                </c:pt>
                <c:pt idx="39">
                  <c:v>2075.5</c:v>
                </c:pt>
                <c:pt idx="40">
                  <c:v>2510.5</c:v>
                </c:pt>
                <c:pt idx="41">
                  <c:v>2162.75</c:v>
                </c:pt>
                <c:pt idx="42">
                  <c:v>2217.25</c:v>
                </c:pt>
                <c:pt idx="43">
                  <c:v>1818</c:v>
                </c:pt>
                <c:pt idx="44">
                  <c:v>1914.25</c:v>
                </c:pt>
                <c:pt idx="45">
                  <c:v>1483.5</c:v>
                </c:pt>
                <c:pt idx="46">
                  <c:v>1668.5</c:v>
                </c:pt>
                <c:pt idx="47">
                  <c:v>1689.25</c:v>
                </c:pt>
                <c:pt idx="48">
                  <c:v>1483</c:v>
                </c:pt>
                <c:pt idx="49">
                  <c:v>1213.5</c:v>
                </c:pt>
                <c:pt idx="50">
                  <c:v>1150.75</c:v>
                </c:pt>
                <c:pt idx="51">
                  <c:v>851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Data'!$D$1050:$D$1053</c:f>
              <c:numCache>
                <c:formatCode>#,##0;[Red]#,##0</c:formatCode>
                <c:ptCount val="4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85312"/>
        <c:axId val="60416384"/>
      </c:lineChart>
      <c:dateAx>
        <c:axId val="2948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0416384"/>
        <c:crosses val="autoZero"/>
        <c:auto val="1"/>
        <c:lblOffset val="100"/>
        <c:baseTimeUnit val="days"/>
        <c:minorUnit val="7"/>
        <c:minorTimeUnit val="days"/>
      </c:dateAx>
      <c:valAx>
        <c:axId val="6041638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4853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9800683615528453"/>
          <c:y val="0.87429049817048732"/>
          <c:w val="0.65546056130238628"/>
          <c:h val="0.10948890009438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46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Averages'!$K$842:$K$893</c:f>
              <c:numCache>
                <c:formatCode>#,##0_);\(#,##0\)</c:formatCode>
                <c:ptCount val="52"/>
                <c:pt idx="0">
                  <c:v>1986.25</c:v>
                </c:pt>
                <c:pt idx="1">
                  <c:v>1618.25</c:v>
                </c:pt>
                <c:pt idx="2">
                  <c:v>1831</c:v>
                </c:pt>
                <c:pt idx="3">
                  <c:v>1905.75</c:v>
                </c:pt>
                <c:pt idx="4">
                  <c:v>1812.75</c:v>
                </c:pt>
                <c:pt idx="5">
                  <c:v>2153.5</c:v>
                </c:pt>
                <c:pt idx="6">
                  <c:v>2052.25</c:v>
                </c:pt>
                <c:pt idx="7">
                  <c:v>1690.75</c:v>
                </c:pt>
                <c:pt idx="8">
                  <c:v>2007.75</c:v>
                </c:pt>
                <c:pt idx="9">
                  <c:v>1960.5</c:v>
                </c:pt>
                <c:pt idx="10">
                  <c:v>1886</c:v>
                </c:pt>
                <c:pt idx="11">
                  <c:v>1614.25</c:v>
                </c:pt>
                <c:pt idx="12">
                  <c:v>1802.5</c:v>
                </c:pt>
                <c:pt idx="13">
                  <c:v>1608</c:v>
                </c:pt>
                <c:pt idx="14">
                  <c:v>1756.25</c:v>
                </c:pt>
                <c:pt idx="15">
                  <c:v>1502</c:v>
                </c:pt>
                <c:pt idx="16">
                  <c:v>1659</c:v>
                </c:pt>
                <c:pt idx="17">
                  <c:v>1690</c:v>
                </c:pt>
                <c:pt idx="18">
                  <c:v>1192.5</c:v>
                </c:pt>
                <c:pt idx="19">
                  <c:v>1327.75</c:v>
                </c:pt>
                <c:pt idx="20">
                  <c:v>1145.75</c:v>
                </c:pt>
                <c:pt idx="21">
                  <c:v>1455</c:v>
                </c:pt>
                <c:pt idx="22">
                  <c:v>1963.75</c:v>
                </c:pt>
                <c:pt idx="23">
                  <c:v>1320.75</c:v>
                </c:pt>
                <c:pt idx="24">
                  <c:v>1712</c:v>
                </c:pt>
                <c:pt idx="25">
                  <c:v>1413.75</c:v>
                </c:pt>
                <c:pt idx="26">
                  <c:v>1996.5</c:v>
                </c:pt>
                <c:pt idx="27">
                  <c:v>1738</c:v>
                </c:pt>
                <c:pt idx="28">
                  <c:v>1619.25</c:v>
                </c:pt>
                <c:pt idx="29">
                  <c:v>1782.5</c:v>
                </c:pt>
                <c:pt idx="30">
                  <c:v>1822.5</c:v>
                </c:pt>
                <c:pt idx="31">
                  <c:v>2276</c:v>
                </c:pt>
                <c:pt idx="32">
                  <c:v>2240.25</c:v>
                </c:pt>
                <c:pt idx="33">
                  <c:v>2029.5</c:v>
                </c:pt>
                <c:pt idx="34">
                  <c:v>1940.25</c:v>
                </c:pt>
                <c:pt idx="35">
                  <c:v>2163.5</c:v>
                </c:pt>
                <c:pt idx="36">
                  <c:v>1934</c:v>
                </c:pt>
                <c:pt idx="37">
                  <c:v>2305.75</c:v>
                </c:pt>
                <c:pt idx="38">
                  <c:v>1762.5</c:v>
                </c:pt>
                <c:pt idx="39">
                  <c:v>2142</c:v>
                </c:pt>
                <c:pt idx="40">
                  <c:v>1932.5</c:v>
                </c:pt>
                <c:pt idx="41">
                  <c:v>1752.25</c:v>
                </c:pt>
                <c:pt idx="42">
                  <c:v>2045.25</c:v>
                </c:pt>
                <c:pt idx="43">
                  <c:v>2155</c:v>
                </c:pt>
                <c:pt idx="44">
                  <c:v>2253</c:v>
                </c:pt>
                <c:pt idx="45">
                  <c:v>2172.5</c:v>
                </c:pt>
                <c:pt idx="46">
                  <c:v>2129.75</c:v>
                </c:pt>
                <c:pt idx="47">
                  <c:v>1672.5</c:v>
                </c:pt>
                <c:pt idx="48">
                  <c:v>1606.75</c:v>
                </c:pt>
                <c:pt idx="49">
                  <c:v>1637.25</c:v>
                </c:pt>
                <c:pt idx="50">
                  <c:v>1306.25</c:v>
                </c:pt>
                <c:pt idx="51">
                  <c:v>1603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Data'!$E$1050:$E$1053</c:f>
              <c:numCache>
                <c:formatCode>#,##0;[Red]#,##0</c:formatCode>
                <c:ptCount val="4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92256"/>
        <c:axId val="72994176"/>
      </c:lineChart>
      <c:dateAx>
        <c:axId val="7299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99417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2994176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99225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140720414998631"/>
          <c:y val="0.86209609564354683"/>
          <c:w val="0.7864765326051415"/>
          <c:h val="0.1103231862763566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Averages'!$L$842:$L$893</c:f>
              <c:numCache>
                <c:formatCode>#,##0_);\(#,##0\)</c:formatCode>
                <c:ptCount val="52"/>
                <c:pt idx="0">
                  <c:v>634.25</c:v>
                </c:pt>
                <c:pt idx="1">
                  <c:v>602.5</c:v>
                </c:pt>
                <c:pt idx="2">
                  <c:v>749.5</c:v>
                </c:pt>
                <c:pt idx="3">
                  <c:v>634.25</c:v>
                </c:pt>
                <c:pt idx="4">
                  <c:v>484.75</c:v>
                </c:pt>
                <c:pt idx="5">
                  <c:v>878.75</c:v>
                </c:pt>
                <c:pt idx="6">
                  <c:v>503.5</c:v>
                </c:pt>
                <c:pt idx="7">
                  <c:v>1030.5</c:v>
                </c:pt>
                <c:pt idx="8">
                  <c:v>902</c:v>
                </c:pt>
                <c:pt idx="9">
                  <c:v>941.75</c:v>
                </c:pt>
                <c:pt idx="10">
                  <c:v>701.75</c:v>
                </c:pt>
                <c:pt idx="11">
                  <c:v>876</c:v>
                </c:pt>
                <c:pt idx="12">
                  <c:v>946.5</c:v>
                </c:pt>
                <c:pt idx="13">
                  <c:v>894.75</c:v>
                </c:pt>
                <c:pt idx="14">
                  <c:v>760.25</c:v>
                </c:pt>
                <c:pt idx="15">
                  <c:v>973</c:v>
                </c:pt>
                <c:pt idx="16">
                  <c:v>1116.5</c:v>
                </c:pt>
                <c:pt idx="17">
                  <c:v>714.75</c:v>
                </c:pt>
                <c:pt idx="18">
                  <c:v>1025.5</c:v>
                </c:pt>
                <c:pt idx="19">
                  <c:v>908.25</c:v>
                </c:pt>
                <c:pt idx="20">
                  <c:v>933.5</c:v>
                </c:pt>
                <c:pt idx="21">
                  <c:v>914.25</c:v>
                </c:pt>
                <c:pt idx="22">
                  <c:v>455</c:v>
                </c:pt>
                <c:pt idx="23">
                  <c:v>716.5</c:v>
                </c:pt>
                <c:pt idx="24">
                  <c:v>593.5</c:v>
                </c:pt>
                <c:pt idx="25">
                  <c:v>642.75</c:v>
                </c:pt>
                <c:pt idx="26">
                  <c:v>869.5</c:v>
                </c:pt>
                <c:pt idx="27">
                  <c:v>467</c:v>
                </c:pt>
                <c:pt idx="28">
                  <c:v>700</c:v>
                </c:pt>
                <c:pt idx="29">
                  <c:v>421</c:v>
                </c:pt>
                <c:pt idx="30">
                  <c:v>705.5</c:v>
                </c:pt>
                <c:pt idx="31">
                  <c:v>630.75</c:v>
                </c:pt>
                <c:pt idx="32">
                  <c:v>785.5</c:v>
                </c:pt>
                <c:pt idx="33">
                  <c:v>664.75</c:v>
                </c:pt>
                <c:pt idx="34">
                  <c:v>682</c:v>
                </c:pt>
                <c:pt idx="35">
                  <c:v>626.25</c:v>
                </c:pt>
                <c:pt idx="36">
                  <c:v>765.25</c:v>
                </c:pt>
                <c:pt idx="37">
                  <c:v>1007</c:v>
                </c:pt>
                <c:pt idx="38">
                  <c:v>893</c:v>
                </c:pt>
                <c:pt idx="39">
                  <c:v>731</c:v>
                </c:pt>
                <c:pt idx="40">
                  <c:v>1053</c:v>
                </c:pt>
                <c:pt idx="41">
                  <c:v>645.75</c:v>
                </c:pt>
                <c:pt idx="42">
                  <c:v>979.5</c:v>
                </c:pt>
                <c:pt idx="43">
                  <c:v>1199</c:v>
                </c:pt>
                <c:pt idx="44">
                  <c:v>839.25</c:v>
                </c:pt>
                <c:pt idx="45">
                  <c:v>727.25</c:v>
                </c:pt>
                <c:pt idx="46">
                  <c:v>732.25</c:v>
                </c:pt>
                <c:pt idx="47">
                  <c:v>796</c:v>
                </c:pt>
                <c:pt idx="48">
                  <c:v>938.75</c:v>
                </c:pt>
                <c:pt idx="49">
                  <c:v>518.5</c:v>
                </c:pt>
                <c:pt idx="50">
                  <c:v>779.5</c:v>
                </c:pt>
                <c:pt idx="51">
                  <c:v>357.5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Data'!$J$842:$J$893</c:f>
              <c:numCache>
                <c:formatCode>#,##0</c:formatCode>
                <c:ptCount val="52"/>
                <c:pt idx="0">
                  <c:v>1346.4380603787686</c:v>
                </c:pt>
                <c:pt idx="1">
                  <c:v>2038.9540536641664</c:v>
                </c:pt>
                <c:pt idx="2">
                  <c:v>1205.6808568955569</c:v>
                </c:pt>
                <c:pt idx="3">
                  <c:v>2065.4914166185808</c:v>
                </c:pt>
                <c:pt idx="4">
                  <c:v>1293.2541546451243</c:v>
                </c:pt>
                <c:pt idx="5">
                  <c:v>1653.2777120600115</c:v>
                </c:pt>
                <c:pt idx="6">
                  <c:v>1939.8812319676863</c:v>
                </c:pt>
                <c:pt idx="7">
                  <c:v>1249.9097951529141</c:v>
                </c:pt>
                <c:pt idx="8">
                  <c:v>1892.1139786497404</c:v>
                </c:pt>
                <c:pt idx="9">
                  <c:v>2154.8338718984423</c:v>
                </c:pt>
                <c:pt idx="10">
                  <c:v>2375.9785631852283</c:v>
                </c:pt>
                <c:pt idx="11">
                  <c:v>2100.8745672244663</c:v>
                </c:pt>
                <c:pt idx="12">
                  <c:v>2475.9359636468557</c:v>
                </c:pt>
                <c:pt idx="13">
                  <c:v>2030.1082660126949</c:v>
                </c:pt>
                <c:pt idx="14">
                  <c:v>1954.0344922100405</c:v>
                </c:pt>
                <c:pt idx="15">
                  <c:v>2096.4516733987307</c:v>
                </c:pt>
                <c:pt idx="16">
                  <c:v>2782.0002163877671</c:v>
                </c:pt>
                <c:pt idx="17">
                  <c:v>2059.2993652625505</c:v>
                </c:pt>
                <c:pt idx="18">
                  <c:v>2029.2236872475478</c:v>
                </c:pt>
                <c:pt idx="19">
                  <c:v>2061.0685227928452</c:v>
                </c:pt>
                <c:pt idx="20">
                  <c:v>2295.481895556838</c:v>
                </c:pt>
                <c:pt idx="21">
                  <c:v>2083.1829919215238</c:v>
                </c:pt>
                <c:pt idx="22">
                  <c:v>2410.4771350259666</c:v>
                </c:pt>
                <c:pt idx="23" formatCode="#,##0;[Red]#,##0">
                  <c:v>2163.6796595499136</c:v>
                </c:pt>
                <c:pt idx="24" formatCode="#,##0;[Red]#,##0">
                  <c:v>1720.5056982111946</c:v>
                </c:pt>
                <c:pt idx="25" formatCode="#,##0;[Red]#,##0">
                  <c:v>2306.9814195037507</c:v>
                </c:pt>
                <c:pt idx="26" formatCode="#,##0;[Red]#,##0">
                  <c:v>1330.4064627813041</c:v>
                </c:pt>
                <c:pt idx="27" formatCode="#,##0;[Red]#,##0">
                  <c:v>1233.1027986151182</c:v>
                </c:pt>
                <c:pt idx="28" formatCode="#,##0;[Red]#,##0">
                  <c:v>1350.7517743796886</c:v>
                </c:pt>
                <c:pt idx="29" formatCode="#,##0;[Red]#,##0">
                  <c:v>1638.2398730525103</c:v>
                </c:pt>
                <c:pt idx="30" formatCode="#,##0;[Red]#,##0">
                  <c:v>2374.209405654934</c:v>
                </c:pt>
                <c:pt idx="31" formatCode="#,##0;[Red]#,##0">
                  <c:v>1095.1085112521639</c:v>
                </c:pt>
                <c:pt idx="32" formatCode="#,##0;[Red]#,##0">
                  <c:v>1375.5199798038086</c:v>
                </c:pt>
                <c:pt idx="33" formatCode="#,##0;[Red]#,##0">
                  <c:v>1709.8907530294289</c:v>
                </c:pt>
                <c:pt idx="34" formatCode="#,##0;[Red]#,##0">
                  <c:v>1034.0725764570111</c:v>
                </c:pt>
                <c:pt idx="35" formatCode="#,##0;[Red]#,##0">
                  <c:v>2053.1073139065206</c:v>
                </c:pt>
                <c:pt idx="36">
                  <c:v>948.268436237738</c:v>
                </c:pt>
                <c:pt idx="37" formatCode="#,##0;[Red]#,##0">
                  <c:v>1770.9266878245819</c:v>
                </c:pt>
                <c:pt idx="38" formatCode="#,##0;[Red]#,##0">
                  <c:v>1210.1037507212927</c:v>
                </c:pt>
                <c:pt idx="39">
                  <c:v>1392.3269763416042</c:v>
                </c:pt>
                <c:pt idx="40">
                  <c:v>1644.4319244085402</c:v>
                </c:pt>
                <c:pt idx="41">
                  <c:v>1681.5842325447202</c:v>
                </c:pt>
                <c:pt idx="42">
                  <c:v>1823.1168349682632</c:v>
                </c:pt>
                <c:pt idx="43">
                  <c:v>1943.419547028275</c:v>
                </c:pt>
                <c:pt idx="44">
                  <c:v>1582.5114108482401</c:v>
                </c:pt>
                <c:pt idx="45">
                  <c:v>1360.482140796307</c:v>
                </c:pt>
                <c:pt idx="46">
                  <c:v>1488.746061742643</c:v>
                </c:pt>
                <c:pt idx="47">
                  <c:v>1372.8662435083672</c:v>
                </c:pt>
                <c:pt idx="48">
                  <c:v>1156.1444460473169</c:v>
                </c:pt>
                <c:pt idx="49">
                  <c:v>1780.6570542412003</c:v>
                </c:pt>
                <c:pt idx="50">
                  <c:v>1184.4509665320254</c:v>
                </c:pt>
                <c:pt idx="51">
                  <c:v>1270.2551067512984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Data'!$J$894:$J$945</c:f>
              <c:numCache>
                <c:formatCode>#,##0</c:formatCode>
                <c:ptCount val="52"/>
                <c:pt idx="0">
                  <c:v>931.46143969994239</c:v>
                </c:pt>
                <c:pt idx="1">
                  <c:v>1430.6980186743169</c:v>
                </c:pt>
                <c:pt idx="2">
                  <c:v>1480.3688736313918</c:v>
                </c:pt>
                <c:pt idx="3">
                  <c:v>1564.631931147858</c:v>
                </c:pt>
                <c:pt idx="4">
                  <c:v>1429.8110391215121</c:v>
                </c:pt>
                <c:pt idx="5">
                  <c:v>1143.3166435655266</c:v>
                </c:pt>
                <c:pt idx="6">
                  <c:v>869.23996174881006</c:v>
                </c:pt>
                <c:pt idx="7">
                  <c:v>1730.4971075223759</c:v>
                </c:pt>
                <c:pt idx="8">
                  <c:v>1294.9901470951661</c:v>
                </c:pt>
                <c:pt idx="9">
                  <c:v>1124.6900729566237</c:v>
                </c:pt>
                <c:pt idx="10">
                  <c:v>2244.0582685964177</c:v>
                </c:pt>
                <c:pt idx="11">
                  <c:v>1528.265769482857</c:v>
                </c:pt>
                <c:pt idx="12">
                  <c:v>2275.9895324973945</c:v>
                </c:pt>
                <c:pt idx="13">
                  <c:v>1790.8117171131096</c:v>
                </c:pt>
                <c:pt idx="14">
                  <c:v>3952.380887298671</c:v>
                </c:pt>
                <c:pt idx="15">
                  <c:v>2763.8282865400943</c:v>
                </c:pt>
                <c:pt idx="16">
                  <c:v>2627.2334354081381</c:v>
                </c:pt>
                <c:pt idx="17">
                  <c:v>2400.1666698900817</c:v>
                </c:pt>
                <c:pt idx="18">
                  <c:v>2620.1375989856992</c:v>
                </c:pt>
                <c:pt idx="19">
                  <c:v>1298.5380653063855</c:v>
                </c:pt>
                <c:pt idx="20">
                  <c:v>2380.6531197283739</c:v>
                </c:pt>
                <c:pt idx="21">
                  <c:v>2103.0285197004373</c:v>
                </c:pt>
                <c:pt idx="22">
                  <c:v>1577.0496448871268</c:v>
                </c:pt>
                <c:pt idx="23">
                  <c:v>2460.4812794808158</c:v>
                </c:pt>
                <c:pt idx="24">
                  <c:v>1577.9366244399316</c:v>
                </c:pt>
                <c:pt idx="25">
                  <c:v>2746.9756750368006</c:v>
                </c:pt>
                <c:pt idx="26">
                  <c:v>2379.7661401755686</c:v>
                </c:pt>
                <c:pt idx="27">
                  <c:v>1954.0159548292129</c:v>
                </c:pt>
                <c:pt idx="28">
                  <c:v>2024.0873395008007</c:v>
                </c:pt>
                <c:pt idx="29">
                  <c:v>1504.3173215571244</c:v>
                </c:pt>
                <c:pt idx="30">
                  <c:v>1946.9201184067736</c:v>
                </c:pt>
                <c:pt idx="31">
                  <c:v>1728.723148416766</c:v>
                </c:pt>
                <c:pt idx="32">
                  <c:v>1342.0000633938262</c:v>
                </c:pt>
                <c:pt idx="33">
                  <c:v>1663.9736410620078</c:v>
                </c:pt>
                <c:pt idx="34">
                  <c:v>1771.2981669514018</c:v>
                </c:pt>
                <c:pt idx="35">
                  <c:v>1302.0859835176052</c:v>
                </c:pt>
                <c:pt idx="36">
                  <c:v>1754.4455554481085</c:v>
                </c:pt>
                <c:pt idx="37">
                  <c:v>2130.5248858373898</c:v>
                </c:pt>
                <c:pt idx="38">
                  <c:v>1231.1276192932125</c:v>
                </c:pt>
                <c:pt idx="39">
                  <c:v>1653.3298864283488</c:v>
                </c:pt>
                <c:pt idx="40">
                  <c:v>2056.0186034017775</c:v>
                </c:pt>
                <c:pt idx="41">
                  <c:v>1076.7931771051585</c:v>
                </c:pt>
                <c:pt idx="42">
                  <c:v>2381.5400992811788</c:v>
                </c:pt>
                <c:pt idx="43">
                  <c:v>1962.8857503572619</c:v>
                </c:pt>
                <c:pt idx="44">
                  <c:v>2228.9796161987342</c:v>
                </c:pt>
                <c:pt idx="45">
                  <c:v>1907.0060385305528</c:v>
                </c:pt>
                <c:pt idx="46">
                  <c:v>1834.2737152005502</c:v>
                </c:pt>
                <c:pt idx="47">
                  <c:v>1569.9538084646877</c:v>
                </c:pt>
                <c:pt idx="48">
                  <c:v>1812.0992263804276</c:v>
                </c:pt>
                <c:pt idx="49">
                  <c:v>1247.980230796506</c:v>
                </c:pt>
                <c:pt idx="50">
                  <c:v>1532.7006672468815</c:v>
                </c:pt>
                <c:pt idx="51">
                  <c:v>3069.8362322577873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Data'!$J$1050:$J$1053</c:f>
              <c:numCache>
                <c:formatCode>#,##0</c:formatCode>
                <c:ptCount val="4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79968"/>
        <c:axId val="28981888"/>
      </c:lineChart>
      <c:dateAx>
        <c:axId val="2897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98188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2898188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97996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619141511759137"/>
          <c:y val="0.91490587486088037"/>
          <c:w val="0.81822136318627392"/>
          <c:h val="4.753780777402827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7678846716"/>
          <c:y val="3.58451235811882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3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Data'!$I$1050:$I$1053</c:f>
              <c:numCache>
                <c:formatCode>#,##0</c:formatCode>
                <c:ptCount val="4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79552"/>
        <c:axId val="73881472"/>
      </c:lineChart>
      <c:dateAx>
        <c:axId val="7387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375189579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388147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73881472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38795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354230263646328"/>
          <c:y val="0.86617462724811112"/>
          <c:w val="0.69007275712832061"/>
          <c:h val="0.107829001585883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377338558109253"/>
          <c:y val="4.05807086614173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Averages'!$N$842:$N$893</c:f>
              <c:numCache>
                <c:formatCode>#,##0_);\(#,##0\)</c:formatCode>
                <c:ptCount val="52"/>
                <c:pt idx="0">
                  <c:v>827.25</c:v>
                </c:pt>
                <c:pt idx="1">
                  <c:v>591.75</c:v>
                </c:pt>
                <c:pt idx="2">
                  <c:v>719.5</c:v>
                </c:pt>
                <c:pt idx="3">
                  <c:v>894</c:v>
                </c:pt>
                <c:pt idx="4">
                  <c:v>590.75</c:v>
                </c:pt>
                <c:pt idx="5">
                  <c:v>713</c:v>
                </c:pt>
                <c:pt idx="6">
                  <c:v>631.75</c:v>
                </c:pt>
                <c:pt idx="7">
                  <c:v>766.25</c:v>
                </c:pt>
                <c:pt idx="8">
                  <c:v>730.75</c:v>
                </c:pt>
                <c:pt idx="9">
                  <c:v>689</c:v>
                </c:pt>
                <c:pt idx="10">
                  <c:v>664.5</c:v>
                </c:pt>
                <c:pt idx="11">
                  <c:v>684.75</c:v>
                </c:pt>
                <c:pt idx="12">
                  <c:v>614.25</c:v>
                </c:pt>
                <c:pt idx="13">
                  <c:v>477.75</c:v>
                </c:pt>
                <c:pt idx="14">
                  <c:v>451.25</c:v>
                </c:pt>
                <c:pt idx="15">
                  <c:v>395.75</c:v>
                </c:pt>
                <c:pt idx="16">
                  <c:v>438</c:v>
                </c:pt>
                <c:pt idx="17">
                  <c:v>590.25</c:v>
                </c:pt>
                <c:pt idx="18">
                  <c:v>334</c:v>
                </c:pt>
                <c:pt idx="19">
                  <c:v>330</c:v>
                </c:pt>
                <c:pt idx="20">
                  <c:v>320.25</c:v>
                </c:pt>
                <c:pt idx="21">
                  <c:v>237.75</c:v>
                </c:pt>
                <c:pt idx="22">
                  <c:v>310</c:v>
                </c:pt>
                <c:pt idx="23">
                  <c:v>279.25</c:v>
                </c:pt>
                <c:pt idx="24">
                  <c:v>241.75</c:v>
                </c:pt>
                <c:pt idx="25">
                  <c:v>353</c:v>
                </c:pt>
                <c:pt idx="26">
                  <c:v>353.5</c:v>
                </c:pt>
                <c:pt idx="27">
                  <c:v>463.75</c:v>
                </c:pt>
                <c:pt idx="28">
                  <c:v>359.5</c:v>
                </c:pt>
                <c:pt idx="29">
                  <c:v>197.25</c:v>
                </c:pt>
                <c:pt idx="30">
                  <c:v>352.75</c:v>
                </c:pt>
                <c:pt idx="31">
                  <c:v>326</c:v>
                </c:pt>
                <c:pt idx="32">
                  <c:v>265</c:v>
                </c:pt>
                <c:pt idx="33">
                  <c:v>564.5</c:v>
                </c:pt>
                <c:pt idx="34">
                  <c:v>378.75</c:v>
                </c:pt>
                <c:pt idx="35">
                  <c:v>557.5</c:v>
                </c:pt>
                <c:pt idx="36">
                  <c:v>463.75</c:v>
                </c:pt>
                <c:pt idx="37">
                  <c:v>585.5</c:v>
                </c:pt>
                <c:pt idx="38">
                  <c:v>624.25</c:v>
                </c:pt>
                <c:pt idx="39">
                  <c:v>684.75</c:v>
                </c:pt>
                <c:pt idx="40">
                  <c:v>895.25</c:v>
                </c:pt>
                <c:pt idx="41">
                  <c:v>993</c:v>
                </c:pt>
                <c:pt idx="42">
                  <c:v>924</c:v>
                </c:pt>
                <c:pt idx="43">
                  <c:v>998</c:v>
                </c:pt>
                <c:pt idx="44">
                  <c:v>974</c:v>
                </c:pt>
                <c:pt idx="45">
                  <c:v>1087.25</c:v>
                </c:pt>
                <c:pt idx="46">
                  <c:v>967</c:v>
                </c:pt>
                <c:pt idx="47">
                  <c:v>937.25</c:v>
                </c:pt>
                <c:pt idx="48">
                  <c:v>969.75</c:v>
                </c:pt>
                <c:pt idx="49">
                  <c:v>674</c:v>
                </c:pt>
                <c:pt idx="50">
                  <c:v>800.25</c:v>
                </c:pt>
                <c:pt idx="51">
                  <c:v>611.75</c:v>
                </c:pt>
              </c:numCache>
            </c:numRef>
          </c:val>
          <c:smooth val="0"/>
        </c:ser>
        <c:ser>
          <c:idx val="4"/>
          <c:order val="1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Data'!$H$894:$H$943</c:f>
              <c:numCache>
                <c:formatCode>#,##0</c:formatCode>
                <c:ptCount val="50"/>
                <c:pt idx="0">
                  <c:v>761</c:v>
                </c:pt>
                <c:pt idx="1">
                  <c:v>841</c:v>
                </c:pt>
                <c:pt idx="2">
                  <c:v>1007</c:v>
                </c:pt>
                <c:pt idx="3">
                  <c:v>792</c:v>
                </c:pt>
                <c:pt idx="4">
                  <c:v>608</c:v>
                </c:pt>
                <c:pt idx="5">
                  <c:v>795</c:v>
                </c:pt>
                <c:pt idx="6">
                  <c:v>496</c:v>
                </c:pt>
                <c:pt idx="7">
                  <c:v>810</c:v>
                </c:pt>
                <c:pt idx="8">
                  <c:v>822</c:v>
                </c:pt>
                <c:pt idx="9">
                  <c:v>748</c:v>
                </c:pt>
                <c:pt idx="10">
                  <c:v>635</c:v>
                </c:pt>
                <c:pt idx="11">
                  <c:v>837</c:v>
                </c:pt>
                <c:pt idx="12">
                  <c:v>727</c:v>
                </c:pt>
                <c:pt idx="13">
                  <c:v>600</c:v>
                </c:pt>
                <c:pt idx="14">
                  <c:v>539</c:v>
                </c:pt>
                <c:pt idx="15">
                  <c:v>564</c:v>
                </c:pt>
                <c:pt idx="16">
                  <c:v>626</c:v>
                </c:pt>
                <c:pt idx="17">
                  <c:v>391</c:v>
                </c:pt>
                <c:pt idx="18">
                  <c:v>629</c:v>
                </c:pt>
                <c:pt idx="19">
                  <c:v>410</c:v>
                </c:pt>
                <c:pt idx="20">
                  <c:v>433</c:v>
                </c:pt>
                <c:pt idx="21">
                  <c:v>169</c:v>
                </c:pt>
                <c:pt idx="22">
                  <c:v>82</c:v>
                </c:pt>
                <c:pt idx="23">
                  <c:v>274</c:v>
                </c:pt>
                <c:pt idx="24">
                  <c:v>401</c:v>
                </c:pt>
                <c:pt idx="25">
                  <c:v>198</c:v>
                </c:pt>
                <c:pt idx="26">
                  <c:v>182</c:v>
                </c:pt>
                <c:pt idx="27">
                  <c:v>283</c:v>
                </c:pt>
                <c:pt idx="28">
                  <c:v>177</c:v>
                </c:pt>
                <c:pt idx="29">
                  <c:v>255</c:v>
                </c:pt>
                <c:pt idx="30">
                  <c:v>195</c:v>
                </c:pt>
                <c:pt idx="31">
                  <c:v>332</c:v>
                </c:pt>
                <c:pt idx="32">
                  <c:v>168</c:v>
                </c:pt>
                <c:pt idx="33">
                  <c:v>95</c:v>
                </c:pt>
                <c:pt idx="34">
                  <c:v>0</c:v>
                </c:pt>
                <c:pt idx="35">
                  <c:v>34</c:v>
                </c:pt>
                <c:pt idx="36">
                  <c:v>32</c:v>
                </c:pt>
                <c:pt idx="37">
                  <c:v>82</c:v>
                </c:pt>
                <c:pt idx="38">
                  <c:v>194</c:v>
                </c:pt>
                <c:pt idx="39">
                  <c:v>170</c:v>
                </c:pt>
                <c:pt idx="40">
                  <c:v>213</c:v>
                </c:pt>
                <c:pt idx="41">
                  <c:v>420</c:v>
                </c:pt>
                <c:pt idx="42">
                  <c:v>719</c:v>
                </c:pt>
                <c:pt idx="43">
                  <c:v>548</c:v>
                </c:pt>
                <c:pt idx="44">
                  <c:v>857</c:v>
                </c:pt>
                <c:pt idx="45">
                  <c:v>732</c:v>
                </c:pt>
                <c:pt idx="46">
                  <c:v>693</c:v>
                </c:pt>
                <c:pt idx="47">
                  <c:v>394</c:v>
                </c:pt>
                <c:pt idx="48">
                  <c:v>589</c:v>
                </c:pt>
                <c:pt idx="49">
                  <c:v>578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3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5"/>
          <c:tx>
            <c:v>2014</c:v>
          </c:tx>
          <c:marker>
            <c:symbol val="none"/>
          </c:marker>
          <c:val>
            <c:numRef>
              <c:f>'Weekly Data'!$H$1050:$H$1053</c:f>
              <c:numCache>
                <c:formatCode>#,##0_);\(#,##0\)</c:formatCode>
                <c:ptCount val="4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98080"/>
        <c:axId val="31600000"/>
      </c:lineChart>
      <c:dateAx>
        <c:axId val="31598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6000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600000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598080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832520544916284"/>
          <c:y val="0.88888877952755907"/>
          <c:w val="0.67821174264293393"/>
          <c:h val="0.111111220472440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3"/>
          <c:order val="0"/>
          <c:tx>
            <c:v>2010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Data'!$I$842:$I$893</c:f>
              <c:numCache>
                <c:formatCode>#,##0</c:formatCode>
                <c:ptCount val="52"/>
                <c:pt idx="0">
                  <c:v>5690</c:v>
                </c:pt>
                <c:pt idx="1">
                  <c:v>5745</c:v>
                </c:pt>
                <c:pt idx="2">
                  <c:v>6595</c:v>
                </c:pt>
                <c:pt idx="3">
                  <c:v>7611</c:v>
                </c:pt>
                <c:pt idx="4">
                  <c:v>6584</c:v>
                </c:pt>
                <c:pt idx="5">
                  <c:v>7469</c:v>
                </c:pt>
                <c:pt idx="6">
                  <c:v>6389</c:v>
                </c:pt>
                <c:pt idx="7">
                  <c:v>6348</c:v>
                </c:pt>
                <c:pt idx="8">
                  <c:v>6651</c:v>
                </c:pt>
                <c:pt idx="9">
                  <c:v>7831</c:v>
                </c:pt>
                <c:pt idx="10">
                  <c:v>5793</c:v>
                </c:pt>
                <c:pt idx="11">
                  <c:v>7014</c:v>
                </c:pt>
                <c:pt idx="12">
                  <c:v>5217</c:v>
                </c:pt>
                <c:pt idx="13">
                  <c:v>6166</c:v>
                </c:pt>
                <c:pt idx="14">
                  <c:v>4857</c:v>
                </c:pt>
                <c:pt idx="15">
                  <c:v>5131</c:v>
                </c:pt>
                <c:pt idx="16">
                  <c:v>4409</c:v>
                </c:pt>
                <c:pt idx="17">
                  <c:v>5285</c:v>
                </c:pt>
                <c:pt idx="18">
                  <c:v>4207</c:v>
                </c:pt>
                <c:pt idx="19">
                  <c:v>4901</c:v>
                </c:pt>
                <c:pt idx="20">
                  <c:v>4337</c:v>
                </c:pt>
                <c:pt idx="21">
                  <c:v>4329</c:v>
                </c:pt>
                <c:pt idx="22">
                  <c:v>4314</c:v>
                </c:pt>
                <c:pt idx="23">
                  <c:v>3917</c:v>
                </c:pt>
                <c:pt idx="24">
                  <c:v>3872</c:v>
                </c:pt>
                <c:pt idx="25">
                  <c:v>4448</c:v>
                </c:pt>
                <c:pt idx="26">
                  <c:v>4084</c:v>
                </c:pt>
                <c:pt idx="27">
                  <c:v>5575</c:v>
                </c:pt>
                <c:pt idx="28">
                  <c:v>5788</c:v>
                </c:pt>
                <c:pt idx="29">
                  <c:v>6304</c:v>
                </c:pt>
                <c:pt idx="30">
                  <c:v>4744</c:v>
                </c:pt>
                <c:pt idx="31">
                  <c:v>5342</c:v>
                </c:pt>
                <c:pt idx="32">
                  <c:v>5071</c:v>
                </c:pt>
                <c:pt idx="33">
                  <c:v>5881</c:v>
                </c:pt>
                <c:pt idx="34">
                  <c:v>5098</c:v>
                </c:pt>
                <c:pt idx="35">
                  <c:v>6334</c:v>
                </c:pt>
                <c:pt idx="36">
                  <c:v>5136</c:v>
                </c:pt>
                <c:pt idx="37">
                  <c:v>4620</c:v>
                </c:pt>
                <c:pt idx="38">
                  <c:v>5683</c:v>
                </c:pt>
                <c:pt idx="39">
                  <c:v>6733</c:v>
                </c:pt>
                <c:pt idx="40">
                  <c:v>10520</c:v>
                </c:pt>
                <c:pt idx="41">
                  <c:v>10143</c:v>
                </c:pt>
                <c:pt idx="42">
                  <c:v>9191</c:v>
                </c:pt>
                <c:pt idx="43">
                  <c:v>9733</c:v>
                </c:pt>
                <c:pt idx="44">
                  <c:v>9825</c:v>
                </c:pt>
                <c:pt idx="45">
                  <c:v>10496</c:v>
                </c:pt>
                <c:pt idx="46">
                  <c:v>8133</c:v>
                </c:pt>
                <c:pt idx="47">
                  <c:v>7660</c:v>
                </c:pt>
                <c:pt idx="48">
                  <c:v>9036</c:v>
                </c:pt>
                <c:pt idx="49">
                  <c:v>7476</c:v>
                </c:pt>
                <c:pt idx="50">
                  <c:v>8090</c:v>
                </c:pt>
                <c:pt idx="51">
                  <c:v>6333</c:v>
                </c:pt>
              </c:numCache>
            </c:numRef>
          </c:val>
          <c:smooth val="0"/>
        </c:ser>
        <c:ser>
          <c:idx val="2"/>
          <c:order val="1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0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Data'!$I$894:$I$943</c:f>
              <c:numCache>
                <c:formatCode>#,##0</c:formatCode>
                <c:ptCount val="50"/>
                <c:pt idx="0">
                  <c:v>6960</c:v>
                </c:pt>
                <c:pt idx="1">
                  <c:v>7460</c:v>
                </c:pt>
                <c:pt idx="2">
                  <c:v>8753</c:v>
                </c:pt>
                <c:pt idx="3">
                  <c:v>8555</c:v>
                </c:pt>
                <c:pt idx="4">
                  <c:v>8426</c:v>
                </c:pt>
                <c:pt idx="5">
                  <c:v>7137</c:v>
                </c:pt>
                <c:pt idx="6">
                  <c:v>8298</c:v>
                </c:pt>
                <c:pt idx="7">
                  <c:v>8076</c:v>
                </c:pt>
                <c:pt idx="8">
                  <c:v>7109</c:v>
                </c:pt>
                <c:pt idx="9">
                  <c:v>8341</c:v>
                </c:pt>
                <c:pt idx="10">
                  <c:v>7862</c:v>
                </c:pt>
                <c:pt idx="11">
                  <c:v>9641</c:v>
                </c:pt>
                <c:pt idx="12">
                  <c:v>9339</c:v>
                </c:pt>
                <c:pt idx="13">
                  <c:v>8537</c:v>
                </c:pt>
                <c:pt idx="14">
                  <c:v>7886</c:v>
                </c:pt>
                <c:pt idx="15">
                  <c:v>7121</c:v>
                </c:pt>
                <c:pt idx="16">
                  <c:v>7536</c:v>
                </c:pt>
                <c:pt idx="17">
                  <c:v>6522</c:v>
                </c:pt>
                <c:pt idx="18">
                  <c:v>7485</c:v>
                </c:pt>
                <c:pt idx="19">
                  <c:v>6340</c:v>
                </c:pt>
                <c:pt idx="20">
                  <c:v>7182</c:v>
                </c:pt>
                <c:pt idx="21">
                  <c:v>6152</c:v>
                </c:pt>
                <c:pt idx="22">
                  <c:v>5775</c:v>
                </c:pt>
                <c:pt idx="23">
                  <c:v>4879</c:v>
                </c:pt>
                <c:pt idx="24">
                  <c:v>5687</c:v>
                </c:pt>
                <c:pt idx="25">
                  <c:v>4595</c:v>
                </c:pt>
                <c:pt idx="26">
                  <c:v>3761</c:v>
                </c:pt>
                <c:pt idx="27">
                  <c:v>5504</c:v>
                </c:pt>
                <c:pt idx="28">
                  <c:v>4460</c:v>
                </c:pt>
                <c:pt idx="29">
                  <c:v>4581</c:v>
                </c:pt>
                <c:pt idx="30">
                  <c:v>5505</c:v>
                </c:pt>
                <c:pt idx="31">
                  <c:v>3384</c:v>
                </c:pt>
                <c:pt idx="32">
                  <c:v>3855</c:v>
                </c:pt>
                <c:pt idx="33">
                  <c:v>4192</c:v>
                </c:pt>
                <c:pt idx="34">
                  <c:v>3757</c:v>
                </c:pt>
                <c:pt idx="35">
                  <c:v>3770</c:v>
                </c:pt>
                <c:pt idx="36">
                  <c:v>3782</c:v>
                </c:pt>
                <c:pt idx="37">
                  <c:v>4051</c:v>
                </c:pt>
                <c:pt idx="38">
                  <c:v>4026</c:v>
                </c:pt>
                <c:pt idx="39">
                  <c:v>3763</c:v>
                </c:pt>
                <c:pt idx="40">
                  <c:v>5549</c:v>
                </c:pt>
                <c:pt idx="41">
                  <c:v>6055</c:v>
                </c:pt>
                <c:pt idx="42">
                  <c:v>6316</c:v>
                </c:pt>
                <c:pt idx="43">
                  <c:v>5229</c:v>
                </c:pt>
                <c:pt idx="44">
                  <c:v>5732</c:v>
                </c:pt>
                <c:pt idx="45">
                  <c:v>5075</c:v>
                </c:pt>
                <c:pt idx="46">
                  <c:v>5696</c:v>
                </c:pt>
                <c:pt idx="47">
                  <c:v>5502</c:v>
                </c:pt>
                <c:pt idx="48">
                  <c:v>5486</c:v>
                </c:pt>
                <c:pt idx="49">
                  <c:v>7757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217024"/>
        <c:axId val="81218944"/>
      </c:lineChart>
      <c:dateAx>
        <c:axId val="81217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21894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1218944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2170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517003117898852"/>
          <c:y val="0.87748411571504392"/>
          <c:w val="0.56704473392168264"/>
          <c:h val="0.1204817635500480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21562482981675"/>
          <c:y val="0.137820944201172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Averages'!$W$633:$W$684</c:f>
              <c:numCache>
                <c:formatCode>#,##0_);\(#,##0\)</c:formatCode>
                <c:ptCount val="52"/>
                <c:pt idx="0">
                  <c:v>552.75</c:v>
                </c:pt>
                <c:pt idx="1">
                  <c:v>585.75</c:v>
                </c:pt>
                <c:pt idx="2">
                  <c:v>597.0625</c:v>
                </c:pt>
                <c:pt idx="3">
                  <c:v>633.1875</c:v>
                </c:pt>
                <c:pt idx="4">
                  <c:v>659.25</c:v>
                </c:pt>
                <c:pt idx="5">
                  <c:v>650.8125</c:v>
                </c:pt>
                <c:pt idx="6">
                  <c:v>581.9375</c:v>
                </c:pt>
                <c:pt idx="7">
                  <c:v>569.1875</c:v>
                </c:pt>
                <c:pt idx="8">
                  <c:v>534.9375</c:v>
                </c:pt>
                <c:pt idx="9">
                  <c:v>455.8125</c:v>
                </c:pt>
                <c:pt idx="10">
                  <c:v>445.375</c:v>
                </c:pt>
                <c:pt idx="11">
                  <c:v>368.625</c:v>
                </c:pt>
                <c:pt idx="12">
                  <c:v>304.125</c:v>
                </c:pt>
                <c:pt idx="13">
                  <c:v>293.8125</c:v>
                </c:pt>
                <c:pt idx="14">
                  <c:v>216.25</c:v>
                </c:pt>
                <c:pt idx="15">
                  <c:v>179.8125</c:v>
                </c:pt>
                <c:pt idx="16">
                  <c:v>158.6875</c:v>
                </c:pt>
                <c:pt idx="17">
                  <c:v>151.625</c:v>
                </c:pt>
                <c:pt idx="18">
                  <c:v>133.25</c:v>
                </c:pt>
                <c:pt idx="19">
                  <c:v>151.625</c:v>
                </c:pt>
                <c:pt idx="20">
                  <c:v>154.1875</c:v>
                </c:pt>
                <c:pt idx="21">
                  <c:v>135.3125</c:v>
                </c:pt>
                <c:pt idx="22">
                  <c:v>149.4375</c:v>
                </c:pt>
                <c:pt idx="23">
                  <c:v>146.5</c:v>
                </c:pt>
                <c:pt idx="24">
                  <c:v>146.8125</c:v>
                </c:pt>
                <c:pt idx="25">
                  <c:v>169.25</c:v>
                </c:pt>
                <c:pt idx="26">
                  <c:v>197.9375</c:v>
                </c:pt>
                <c:pt idx="27">
                  <c:v>190.375</c:v>
                </c:pt>
                <c:pt idx="28">
                  <c:v>185.5</c:v>
                </c:pt>
                <c:pt idx="29">
                  <c:v>168.125</c:v>
                </c:pt>
                <c:pt idx="30">
                  <c:v>154</c:v>
                </c:pt>
                <c:pt idx="31">
                  <c:v>152.75</c:v>
                </c:pt>
                <c:pt idx="32">
                  <c:v>165.3125</c:v>
                </c:pt>
                <c:pt idx="33">
                  <c:v>163.75</c:v>
                </c:pt>
                <c:pt idx="34">
                  <c:v>120.5625</c:v>
                </c:pt>
                <c:pt idx="35">
                  <c:v>101.8125</c:v>
                </c:pt>
                <c:pt idx="36">
                  <c:v>85.8125</c:v>
                </c:pt>
                <c:pt idx="37">
                  <c:v>74.5</c:v>
                </c:pt>
                <c:pt idx="38">
                  <c:v>103.375</c:v>
                </c:pt>
                <c:pt idx="39">
                  <c:v>133.5</c:v>
                </c:pt>
                <c:pt idx="40">
                  <c:v>190.75</c:v>
                </c:pt>
                <c:pt idx="41">
                  <c:v>273.6875</c:v>
                </c:pt>
                <c:pt idx="42">
                  <c:v>404.3125</c:v>
                </c:pt>
                <c:pt idx="43">
                  <c:v>563.375</c:v>
                </c:pt>
                <c:pt idx="44">
                  <c:v>685.9375</c:v>
                </c:pt>
                <c:pt idx="45">
                  <c:v>721.625</c:v>
                </c:pt>
                <c:pt idx="46">
                  <c:v>707.1875</c:v>
                </c:pt>
                <c:pt idx="47">
                  <c:v>615.5625</c:v>
                </c:pt>
                <c:pt idx="48">
                  <c:v>510.1875</c:v>
                </c:pt>
                <c:pt idx="49">
                  <c:v>468.625</c:v>
                </c:pt>
                <c:pt idx="50">
                  <c:v>442.5</c:v>
                </c:pt>
                <c:pt idx="51">
                  <c:v>425.0625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name>4-week moving avg.(2006)</c:nam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Data'!$H$842:$H$893</c:f>
              <c:numCache>
                <c:formatCode>#,##0</c:formatCode>
                <c:ptCount val="52"/>
                <c:pt idx="0">
                  <c:v>999</c:v>
                </c:pt>
                <c:pt idx="1">
                  <c:v>1718</c:v>
                </c:pt>
                <c:pt idx="2">
                  <c:v>1139</c:v>
                </c:pt>
                <c:pt idx="3">
                  <c:v>1113</c:v>
                </c:pt>
                <c:pt idx="4">
                  <c:v>1246</c:v>
                </c:pt>
                <c:pt idx="5">
                  <c:v>1062</c:v>
                </c:pt>
                <c:pt idx="6">
                  <c:v>979</c:v>
                </c:pt>
                <c:pt idx="7">
                  <c:v>1034</c:v>
                </c:pt>
                <c:pt idx="8">
                  <c:v>1336</c:v>
                </c:pt>
                <c:pt idx="9">
                  <c:v>930</c:v>
                </c:pt>
                <c:pt idx="10">
                  <c:v>757</c:v>
                </c:pt>
                <c:pt idx="11">
                  <c:v>1104</c:v>
                </c:pt>
                <c:pt idx="12">
                  <c:v>507</c:v>
                </c:pt>
                <c:pt idx="13">
                  <c:v>626</c:v>
                </c:pt>
                <c:pt idx="14">
                  <c:v>444</c:v>
                </c:pt>
                <c:pt idx="15">
                  <c:v>454</c:v>
                </c:pt>
                <c:pt idx="16">
                  <c:v>270</c:v>
                </c:pt>
                <c:pt idx="17">
                  <c:v>291</c:v>
                </c:pt>
                <c:pt idx="18">
                  <c:v>410</c:v>
                </c:pt>
                <c:pt idx="19">
                  <c:v>127</c:v>
                </c:pt>
                <c:pt idx="20">
                  <c:v>136</c:v>
                </c:pt>
                <c:pt idx="21">
                  <c:v>252</c:v>
                </c:pt>
                <c:pt idx="22">
                  <c:v>136</c:v>
                </c:pt>
                <c:pt idx="23" formatCode="#,##0;[Red]#,##0">
                  <c:v>103</c:v>
                </c:pt>
                <c:pt idx="24" formatCode="#,##0;[Red]#,##0">
                  <c:v>39</c:v>
                </c:pt>
                <c:pt idx="25">
                  <c:v>185</c:v>
                </c:pt>
                <c:pt idx="26">
                  <c:v>93</c:v>
                </c:pt>
                <c:pt idx="27">
                  <c:v>194</c:v>
                </c:pt>
                <c:pt idx="28">
                  <c:v>193</c:v>
                </c:pt>
                <c:pt idx="29">
                  <c:v>60</c:v>
                </c:pt>
                <c:pt idx="30">
                  <c:v>99</c:v>
                </c:pt>
                <c:pt idx="31">
                  <c:v>65</c:v>
                </c:pt>
                <c:pt idx="32">
                  <c:v>177</c:v>
                </c:pt>
                <c:pt idx="33">
                  <c:v>170</c:v>
                </c:pt>
                <c:pt idx="34">
                  <c:v>137</c:v>
                </c:pt>
                <c:pt idx="35">
                  <c:v>254</c:v>
                </c:pt>
                <c:pt idx="36">
                  <c:v>174</c:v>
                </c:pt>
                <c:pt idx="37">
                  <c:v>409</c:v>
                </c:pt>
                <c:pt idx="38">
                  <c:v>823</c:v>
                </c:pt>
                <c:pt idx="39">
                  <c:v>736</c:v>
                </c:pt>
                <c:pt idx="40">
                  <c:v>926</c:v>
                </c:pt>
                <c:pt idx="41">
                  <c:v>1121</c:v>
                </c:pt>
                <c:pt idx="42">
                  <c:v>1093</c:v>
                </c:pt>
                <c:pt idx="43">
                  <c:v>1133</c:v>
                </c:pt>
                <c:pt idx="44">
                  <c:v>947</c:v>
                </c:pt>
                <c:pt idx="45">
                  <c:v>1427</c:v>
                </c:pt>
                <c:pt idx="46">
                  <c:v>1393</c:v>
                </c:pt>
                <c:pt idx="47">
                  <c:v>873</c:v>
                </c:pt>
                <c:pt idx="48">
                  <c:v>876</c:v>
                </c:pt>
                <c:pt idx="49">
                  <c:v>596</c:v>
                </c:pt>
                <c:pt idx="50">
                  <c:v>978</c:v>
                </c:pt>
                <c:pt idx="51">
                  <c:v>436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81440"/>
        <c:axId val="31265536"/>
      </c:lineChart>
      <c:dateAx>
        <c:axId val="3118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2655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265536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18144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4517031524905554E-3"/>
          <c:y val="0.86858974358974361"/>
          <c:w val="0.97731574761945972"/>
          <c:h val="0.1057692307692307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0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4792194842765607"/>
          <c:y val="4.361649915711755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98785425397"/>
          <c:y val="9.6774569845436226E-2"/>
          <c:w val="0.81506529606406164"/>
          <c:h val="0.49098447439832804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movingAvg"/>
            <c:period val="4"/>
            <c:dispRSqr val="0"/>
            <c:dispEq val="0"/>
          </c:trendline>
          <c:cat>
            <c:numRef>
              <c:f>'Weekly Data'!$A$842:$A$893</c:f>
              <c:numCache>
                <c:formatCode>mm/dd/yy_)</c:formatCode>
                <c:ptCount val="52"/>
                <c:pt idx="0">
                  <c:v>40184</c:v>
                </c:pt>
                <c:pt idx="1">
                  <c:v>40191</c:v>
                </c:pt>
                <c:pt idx="2">
                  <c:v>40198</c:v>
                </c:pt>
                <c:pt idx="3">
                  <c:v>40205</c:v>
                </c:pt>
                <c:pt idx="4">
                  <c:v>40212</c:v>
                </c:pt>
                <c:pt idx="5">
                  <c:v>40219</c:v>
                </c:pt>
                <c:pt idx="6">
                  <c:v>40226</c:v>
                </c:pt>
                <c:pt idx="7">
                  <c:v>40233</c:v>
                </c:pt>
                <c:pt idx="8">
                  <c:v>40240</c:v>
                </c:pt>
                <c:pt idx="9">
                  <c:v>40247</c:v>
                </c:pt>
                <c:pt idx="10">
                  <c:v>40254</c:v>
                </c:pt>
                <c:pt idx="11">
                  <c:v>40261</c:v>
                </c:pt>
                <c:pt idx="12">
                  <c:v>40268</c:v>
                </c:pt>
                <c:pt idx="13">
                  <c:v>40275</c:v>
                </c:pt>
                <c:pt idx="14">
                  <c:v>40282</c:v>
                </c:pt>
                <c:pt idx="15">
                  <c:v>40289</c:v>
                </c:pt>
                <c:pt idx="16">
                  <c:v>40296</c:v>
                </c:pt>
                <c:pt idx="17">
                  <c:v>40303</c:v>
                </c:pt>
                <c:pt idx="18">
                  <c:v>40310</c:v>
                </c:pt>
                <c:pt idx="19">
                  <c:v>40317</c:v>
                </c:pt>
                <c:pt idx="20">
                  <c:v>40324</c:v>
                </c:pt>
                <c:pt idx="21">
                  <c:v>40331</c:v>
                </c:pt>
                <c:pt idx="22">
                  <c:v>40338</c:v>
                </c:pt>
                <c:pt idx="23">
                  <c:v>40345</c:v>
                </c:pt>
                <c:pt idx="24">
                  <c:v>40352</c:v>
                </c:pt>
                <c:pt idx="25">
                  <c:v>40359</c:v>
                </c:pt>
                <c:pt idx="26">
                  <c:v>40366</c:v>
                </c:pt>
                <c:pt idx="27">
                  <c:v>40373</c:v>
                </c:pt>
                <c:pt idx="28">
                  <c:v>40380</c:v>
                </c:pt>
                <c:pt idx="29">
                  <c:v>40387</c:v>
                </c:pt>
                <c:pt idx="30">
                  <c:v>40394</c:v>
                </c:pt>
                <c:pt idx="31">
                  <c:v>40401</c:v>
                </c:pt>
                <c:pt idx="32">
                  <c:v>40408</c:v>
                </c:pt>
                <c:pt idx="33">
                  <c:v>40415</c:v>
                </c:pt>
                <c:pt idx="34">
                  <c:v>40422</c:v>
                </c:pt>
                <c:pt idx="35">
                  <c:v>40429</c:v>
                </c:pt>
                <c:pt idx="36">
                  <c:v>40436</c:v>
                </c:pt>
                <c:pt idx="37">
                  <c:v>40443</c:v>
                </c:pt>
                <c:pt idx="38">
                  <c:v>40450</c:v>
                </c:pt>
                <c:pt idx="39">
                  <c:v>40457</c:v>
                </c:pt>
                <c:pt idx="40">
                  <c:v>40464</c:v>
                </c:pt>
                <c:pt idx="41">
                  <c:v>40471</c:v>
                </c:pt>
                <c:pt idx="42">
                  <c:v>40478</c:v>
                </c:pt>
                <c:pt idx="43">
                  <c:v>40485</c:v>
                </c:pt>
                <c:pt idx="44">
                  <c:v>40492</c:v>
                </c:pt>
                <c:pt idx="45">
                  <c:v>40499</c:v>
                </c:pt>
                <c:pt idx="46">
                  <c:v>40506</c:v>
                </c:pt>
                <c:pt idx="47">
                  <c:v>40513</c:v>
                </c:pt>
                <c:pt idx="48">
                  <c:v>40520</c:v>
                </c:pt>
                <c:pt idx="49">
                  <c:v>40527</c:v>
                </c:pt>
                <c:pt idx="50">
                  <c:v>40534</c:v>
                </c:pt>
                <c:pt idx="51">
                  <c:v>40541</c:v>
                </c:pt>
              </c:numCache>
            </c:numRef>
          </c:cat>
          <c:val>
            <c:numRef>
              <c:f>'Weekly Data'!$G$842:$G$893</c:f>
              <c:numCache>
                <c:formatCode>#,##0</c:formatCode>
                <c:ptCount val="52"/>
                <c:pt idx="0">
                  <c:v>2772</c:v>
                </c:pt>
                <c:pt idx="1">
                  <c:v>2661</c:v>
                </c:pt>
                <c:pt idx="2">
                  <c:v>3748</c:v>
                </c:pt>
                <c:pt idx="3">
                  <c:v>3975</c:v>
                </c:pt>
                <c:pt idx="4">
                  <c:v>2627</c:v>
                </c:pt>
                <c:pt idx="5">
                  <c:v>3481</c:v>
                </c:pt>
                <c:pt idx="6">
                  <c:v>3387</c:v>
                </c:pt>
                <c:pt idx="7">
                  <c:v>3665</c:v>
                </c:pt>
                <c:pt idx="8">
                  <c:v>3721</c:v>
                </c:pt>
                <c:pt idx="9">
                  <c:v>4125</c:v>
                </c:pt>
                <c:pt idx="10">
                  <c:v>3230</c:v>
                </c:pt>
                <c:pt idx="11">
                  <c:v>4147</c:v>
                </c:pt>
                <c:pt idx="12">
                  <c:v>2804</c:v>
                </c:pt>
                <c:pt idx="13">
                  <c:v>3724</c:v>
                </c:pt>
                <c:pt idx="14">
                  <c:v>3263</c:v>
                </c:pt>
                <c:pt idx="15">
                  <c:v>3429</c:v>
                </c:pt>
                <c:pt idx="16">
                  <c:v>2908</c:v>
                </c:pt>
                <c:pt idx="17">
                  <c:v>3697</c:v>
                </c:pt>
                <c:pt idx="18">
                  <c:v>2727</c:v>
                </c:pt>
                <c:pt idx="19">
                  <c:v>3521</c:v>
                </c:pt>
                <c:pt idx="20">
                  <c:v>3216</c:v>
                </c:pt>
                <c:pt idx="21">
                  <c:v>3154</c:v>
                </c:pt>
                <c:pt idx="22">
                  <c:v>3147</c:v>
                </c:pt>
                <c:pt idx="23" formatCode="#,##0;[Red]#,##0">
                  <c:v>2528</c:v>
                </c:pt>
                <c:pt idx="24">
                  <c:v>2614</c:v>
                </c:pt>
                <c:pt idx="25">
                  <c:v>3031</c:v>
                </c:pt>
                <c:pt idx="26">
                  <c:v>2541</c:v>
                </c:pt>
                <c:pt idx="27">
                  <c:v>3875</c:v>
                </c:pt>
                <c:pt idx="28">
                  <c:v>4315</c:v>
                </c:pt>
                <c:pt idx="29">
                  <c:v>4041</c:v>
                </c:pt>
                <c:pt idx="30">
                  <c:v>3245</c:v>
                </c:pt>
                <c:pt idx="31">
                  <c:v>3587</c:v>
                </c:pt>
                <c:pt idx="32">
                  <c:v>2891</c:v>
                </c:pt>
                <c:pt idx="33">
                  <c:v>3677</c:v>
                </c:pt>
                <c:pt idx="34">
                  <c:v>2664</c:v>
                </c:pt>
                <c:pt idx="35">
                  <c:v>2823</c:v>
                </c:pt>
                <c:pt idx="36">
                  <c:v>1305</c:v>
                </c:pt>
                <c:pt idx="37">
                  <c:v>1155</c:v>
                </c:pt>
                <c:pt idx="38">
                  <c:v>2082</c:v>
                </c:pt>
                <c:pt idx="39">
                  <c:v>2746</c:v>
                </c:pt>
                <c:pt idx="40">
                  <c:v>5633</c:v>
                </c:pt>
                <c:pt idx="41">
                  <c:v>4667</c:v>
                </c:pt>
                <c:pt idx="42">
                  <c:v>4566</c:v>
                </c:pt>
                <c:pt idx="43">
                  <c:v>4794</c:v>
                </c:pt>
                <c:pt idx="44">
                  <c:v>4574</c:v>
                </c:pt>
                <c:pt idx="45">
                  <c:v>4821</c:v>
                </c:pt>
                <c:pt idx="46">
                  <c:v>3196</c:v>
                </c:pt>
                <c:pt idx="47">
                  <c:v>3663</c:v>
                </c:pt>
                <c:pt idx="48">
                  <c:v>4788</c:v>
                </c:pt>
                <c:pt idx="49">
                  <c:v>3894</c:v>
                </c:pt>
                <c:pt idx="50">
                  <c:v>3872</c:v>
                </c:pt>
                <c:pt idx="51">
                  <c:v>3179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37728"/>
        <c:axId val="81348096"/>
      </c:lineChart>
      <c:dateAx>
        <c:axId val="8133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3480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1348096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3377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21530805242191E-2"/>
          <c:y val="0.89247345098122888"/>
          <c:w val="0.97166002673856577"/>
          <c:h val="8.602131034433702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02877215962371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2"/>
          <c:order val="1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Data'!$A$635:$A$684</c:f>
              <c:numCache>
                <c:formatCode>mm/dd/yy_)</c:formatCode>
                <c:ptCount val="50"/>
                <c:pt idx="0">
                  <c:v>38735</c:v>
                </c:pt>
                <c:pt idx="1">
                  <c:v>38742</c:v>
                </c:pt>
                <c:pt idx="2">
                  <c:v>38749</c:v>
                </c:pt>
                <c:pt idx="3">
                  <c:v>38756</c:v>
                </c:pt>
                <c:pt idx="4">
                  <c:v>38763</c:v>
                </c:pt>
                <c:pt idx="5">
                  <c:v>38770</c:v>
                </c:pt>
                <c:pt idx="6">
                  <c:v>38777</c:v>
                </c:pt>
                <c:pt idx="7">
                  <c:v>38784</c:v>
                </c:pt>
                <c:pt idx="8">
                  <c:v>38791</c:v>
                </c:pt>
                <c:pt idx="9">
                  <c:v>38798</c:v>
                </c:pt>
                <c:pt idx="10">
                  <c:v>38805</c:v>
                </c:pt>
                <c:pt idx="11">
                  <c:v>38812</c:v>
                </c:pt>
                <c:pt idx="12">
                  <c:v>38819</c:v>
                </c:pt>
                <c:pt idx="13">
                  <c:v>38826</c:v>
                </c:pt>
                <c:pt idx="14">
                  <c:v>38833</c:v>
                </c:pt>
                <c:pt idx="15">
                  <c:v>38840</c:v>
                </c:pt>
                <c:pt idx="16">
                  <c:v>38847</c:v>
                </c:pt>
                <c:pt idx="17">
                  <c:v>38854</c:v>
                </c:pt>
                <c:pt idx="18">
                  <c:v>38861</c:v>
                </c:pt>
                <c:pt idx="19">
                  <c:v>38868</c:v>
                </c:pt>
                <c:pt idx="20">
                  <c:v>38875</c:v>
                </c:pt>
                <c:pt idx="21">
                  <c:v>38882</c:v>
                </c:pt>
                <c:pt idx="22">
                  <c:v>38889</c:v>
                </c:pt>
                <c:pt idx="23">
                  <c:v>38896</c:v>
                </c:pt>
                <c:pt idx="24">
                  <c:v>38903</c:v>
                </c:pt>
                <c:pt idx="25">
                  <c:v>38910</c:v>
                </c:pt>
                <c:pt idx="26">
                  <c:v>38917</c:v>
                </c:pt>
                <c:pt idx="27">
                  <c:v>38924</c:v>
                </c:pt>
                <c:pt idx="28">
                  <c:v>38931</c:v>
                </c:pt>
                <c:pt idx="29">
                  <c:v>38938</c:v>
                </c:pt>
                <c:pt idx="30">
                  <c:v>38945</c:v>
                </c:pt>
                <c:pt idx="31">
                  <c:v>38952</c:v>
                </c:pt>
                <c:pt idx="32">
                  <c:v>38959</c:v>
                </c:pt>
                <c:pt idx="33">
                  <c:v>38966</c:v>
                </c:pt>
                <c:pt idx="34">
                  <c:v>38973</c:v>
                </c:pt>
                <c:pt idx="35">
                  <c:v>38980</c:v>
                </c:pt>
                <c:pt idx="36">
                  <c:v>38987</c:v>
                </c:pt>
                <c:pt idx="37">
                  <c:v>38994</c:v>
                </c:pt>
                <c:pt idx="38">
                  <c:v>39001</c:v>
                </c:pt>
                <c:pt idx="39">
                  <c:v>39008</c:v>
                </c:pt>
                <c:pt idx="40">
                  <c:v>39015</c:v>
                </c:pt>
                <c:pt idx="41">
                  <c:v>39022</c:v>
                </c:pt>
                <c:pt idx="42">
                  <c:v>39029</c:v>
                </c:pt>
                <c:pt idx="43">
                  <c:v>39036</c:v>
                </c:pt>
                <c:pt idx="44">
                  <c:v>39043</c:v>
                </c:pt>
                <c:pt idx="45">
                  <c:v>39050</c:v>
                </c:pt>
                <c:pt idx="46">
                  <c:v>39057</c:v>
                </c:pt>
                <c:pt idx="47">
                  <c:v>39064</c:v>
                </c:pt>
                <c:pt idx="48">
                  <c:v>39071</c:v>
                </c:pt>
                <c:pt idx="49">
                  <c:v>39078</c:v>
                </c:pt>
              </c:numCache>
            </c:numRef>
          </c:cat>
          <c:val>
            <c:numRef>
              <c:f>'Weekly Data'!$F$842:$F$893</c:f>
              <c:numCache>
                <c:formatCode>#,##0</c:formatCode>
                <c:ptCount val="52"/>
                <c:pt idx="0">
                  <c:v>829</c:v>
                </c:pt>
                <c:pt idx="1">
                  <c:v>535</c:v>
                </c:pt>
                <c:pt idx="2">
                  <c:v>688</c:v>
                </c:pt>
                <c:pt idx="3">
                  <c:v>442</c:v>
                </c:pt>
                <c:pt idx="4">
                  <c:v>672</c:v>
                </c:pt>
                <c:pt idx="5">
                  <c:v>949</c:v>
                </c:pt>
                <c:pt idx="6">
                  <c:v>962</c:v>
                </c:pt>
                <c:pt idx="7">
                  <c:v>1172</c:v>
                </c:pt>
                <c:pt idx="8">
                  <c:v>1150</c:v>
                </c:pt>
                <c:pt idx="9">
                  <c:v>1160</c:v>
                </c:pt>
                <c:pt idx="10">
                  <c:v>1165</c:v>
                </c:pt>
                <c:pt idx="11">
                  <c:v>1117</c:v>
                </c:pt>
                <c:pt idx="12">
                  <c:v>552</c:v>
                </c:pt>
                <c:pt idx="13">
                  <c:v>865</c:v>
                </c:pt>
                <c:pt idx="14">
                  <c:v>1305</c:v>
                </c:pt>
                <c:pt idx="15">
                  <c:v>1248</c:v>
                </c:pt>
                <c:pt idx="16">
                  <c:v>891</c:v>
                </c:pt>
                <c:pt idx="17">
                  <c:v>884</c:v>
                </c:pt>
                <c:pt idx="18">
                  <c:v>1036</c:v>
                </c:pt>
                <c:pt idx="19">
                  <c:v>1129</c:v>
                </c:pt>
                <c:pt idx="20">
                  <c:v>979</c:v>
                </c:pt>
                <c:pt idx="21">
                  <c:v>616</c:v>
                </c:pt>
                <c:pt idx="22">
                  <c:v>930</c:v>
                </c:pt>
                <c:pt idx="23" formatCode="#,##0;[Red]#,##0">
                  <c:v>984</c:v>
                </c:pt>
                <c:pt idx="24">
                  <c:v>1041</c:v>
                </c:pt>
                <c:pt idx="25">
                  <c:v>809</c:v>
                </c:pt>
                <c:pt idx="26">
                  <c:v>394</c:v>
                </c:pt>
                <c:pt idx="27">
                  <c:v>1406</c:v>
                </c:pt>
                <c:pt idx="28">
                  <c:v>209</c:v>
                </c:pt>
                <c:pt idx="29">
                  <c:v>1532</c:v>
                </c:pt>
                <c:pt idx="30">
                  <c:v>421</c:v>
                </c:pt>
                <c:pt idx="31">
                  <c:v>1001</c:v>
                </c:pt>
                <c:pt idx="32">
                  <c:v>586</c:v>
                </c:pt>
                <c:pt idx="33">
                  <c:v>725</c:v>
                </c:pt>
                <c:pt idx="34">
                  <c:v>565</c:v>
                </c:pt>
                <c:pt idx="35">
                  <c:v>544</c:v>
                </c:pt>
                <c:pt idx="36">
                  <c:v>964</c:v>
                </c:pt>
                <c:pt idx="37">
                  <c:v>522</c:v>
                </c:pt>
                <c:pt idx="38">
                  <c:v>828</c:v>
                </c:pt>
                <c:pt idx="39">
                  <c:v>464</c:v>
                </c:pt>
                <c:pt idx="40">
                  <c:v>501</c:v>
                </c:pt>
                <c:pt idx="41">
                  <c:v>678</c:v>
                </c:pt>
                <c:pt idx="42">
                  <c:v>1091</c:v>
                </c:pt>
                <c:pt idx="43">
                  <c:v>615</c:v>
                </c:pt>
                <c:pt idx="44">
                  <c:v>782</c:v>
                </c:pt>
                <c:pt idx="45">
                  <c:v>562</c:v>
                </c:pt>
                <c:pt idx="46">
                  <c:v>1104</c:v>
                </c:pt>
                <c:pt idx="47">
                  <c:v>629</c:v>
                </c:pt>
                <c:pt idx="48">
                  <c:v>809</c:v>
                </c:pt>
                <c:pt idx="49">
                  <c:v>500</c:v>
                </c:pt>
                <c:pt idx="50">
                  <c:v>678</c:v>
                </c:pt>
                <c:pt idx="51">
                  <c:v>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300608"/>
        <c:axId val="31311360"/>
      </c:lineChart>
      <c:dateAx>
        <c:axId val="3130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31136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1311360"/>
        <c:scaling>
          <c:orientation val="minMax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3006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1.0142007164644961E-2"/>
          <c:y val="0.892086387908408"/>
          <c:w val="0.97971620734908138"/>
          <c:h val="8.633096509488036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3280132913"/>
          <c:y val="0.14212195106817319"/>
          <c:w val="0.79461958293909785"/>
          <c:h val="0.5022323000764134"/>
        </c:manualLayout>
      </c:layout>
      <c:lineChart>
        <c:grouping val="standard"/>
        <c:varyColors val="0"/>
        <c:ser>
          <c:idx val="3"/>
          <c:order val="0"/>
          <c:tx>
            <c:v>4-yr (4 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Averages'!$T$894:$T$945</c:f>
              <c:numCache>
                <c:formatCode>_(* #,##0_);_(* \(#,##0\);_(* "-"??_);_(@_)</c:formatCode>
                <c:ptCount val="52"/>
                <c:pt idx="0">
                  <c:v>1620.6875</c:v>
                </c:pt>
                <c:pt idx="1">
                  <c:v>1580.4375</c:v>
                </c:pt>
                <c:pt idx="2">
                  <c:v>1575.875</c:v>
                </c:pt>
                <c:pt idx="3">
                  <c:v>1639.3125</c:v>
                </c:pt>
                <c:pt idx="4">
                  <c:v>1615.0625</c:v>
                </c:pt>
                <c:pt idx="5">
                  <c:v>1714.3125</c:v>
                </c:pt>
                <c:pt idx="6">
                  <c:v>1831.75</c:v>
                </c:pt>
                <c:pt idx="7">
                  <c:v>1769.9375</c:v>
                </c:pt>
                <c:pt idx="8">
                  <c:v>1784.8125</c:v>
                </c:pt>
                <c:pt idx="9">
                  <c:v>1767.125</c:v>
                </c:pt>
                <c:pt idx="10">
                  <c:v>1748.75</c:v>
                </c:pt>
                <c:pt idx="11">
                  <c:v>1712.5</c:v>
                </c:pt>
                <c:pt idx="12">
                  <c:v>1682.5</c:v>
                </c:pt>
                <c:pt idx="13">
                  <c:v>1578.5625</c:v>
                </c:pt>
                <c:pt idx="14">
                  <c:v>1492.375</c:v>
                </c:pt>
                <c:pt idx="15">
                  <c:v>1480.375</c:v>
                </c:pt>
                <c:pt idx="16">
                  <c:v>1348.125</c:v>
                </c:pt>
                <c:pt idx="17">
                  <c:v>1383.125</c:v>
                </c:pt>
                <c:pt idx="18">
                  <c:v>1253.375</c:v>
                </c:pt>
                <c:pt idx="19">
                  <c:v>1188.875</c:v>
                </c:pt>
                <c:pt idx="20">
                  <c:v>1165</c:v>
                </c:pt>
                <c:pt idx="21">
                  <c:v>1058.375</c:v>
                </c:pt>
                <c:pt idx="22">
                  <c:v>1119.6875</c:v>
                </c:pt>
                <c:pt idx="23">
                  <c:v>1225.875</c:v>
                </c:pt>
                <c:pt idx="24">
                  <c:v>1274.875</c:v>
                </c:pt>
                <c:pt idx="25">
                  <c:v>1366.1875</c:v>
                </c:pt>
                <c:pt idx="26">
                  <c:v>1526.375</c:v>
                </c:pt>
                <c:pt idx="27">
                  <c:v>1625.4375</c:v>
                </c:pt>
                <c:pt idx="28">
                  <c:v>1718.5</c:v>
                </c:pt>
                <c:pt idx="29">
                  <c:v>1747.75</c:v>
                </c:pt>
                <c:pt idx="30">
                  <c:v>1747.5</c:v>
                </c:pt>
                <c:pt idx="31">
                  <c:v>1796.375</c:v>
                </c:pt>
                <c:pt idx="32">
                  <c:v>1902.75</c:v>
                </c:pt>
                <c:pt idx="33">
                  <c:v>1982.125</c:v>
                </c:pt>
                <c:pt idx="34">
                  <c:v>2006.625</c:v>
                </c:pt>
                <c:pt idx="35">
                  <c:v>2059.1875</c:v>
                </c:pt>
                <c:pt idx="36">
                  <c:v>2061.8125</c:v>
                </c:pt>
                <c:pt idx="37">
                  <c:v>2131.625</c:v>
                </c:pt>
                <c:pt idx="38">
                  <c:v>2216.3125</c:v>
                </c:pt>
                <c:pt idx="39">
                  <c:v>2166</c:v>
                </c:pt>
                <c:pt idx="40">
                  <c:v>2182.5625</c:v>
                </c:pt>
                <c:pt idx="41">
                  <c:v>2101.125</c:v>
                </c:pt>
                <c:pt idx="42">
                  <c:v>2016.1875</c:v>
                </c:pt>
                <c:pt idx="43">
                  <c:v>2091.6875</c:v>
                </c:pt>
                <c:pt idx="44">
                  <c:v>2165.6875</c:v>
                </c:pt>
                <c:pt idx="45">
                  <c:v>2308.3125</c:v>
                </c:pt>
                <c:pt idx="46">
                  <c:v>2404.6875</c:v>
                </c:pt>
                <c:pt idx="47">
                  <c:v>2237.4375</c:v>
                </c:pt>
                <c:pt idx="48">
                  <c:v>2012.75</c:v>
                </c:pt>
                <c:pt idx="49">
                  <c:v>1772.5</c:v>
                </c:pt>
                <c:pt idx="50">
                  <c:v>1594.875</c:v>
                </c:pt>
                <c:pt idx="51">
                  <c:v>1528.4375</c:v>
                </c:pt>
              </c:numCache>
            </c:numRef>
          </c:val>
          <c:smooth val="0"/>
        </c:ser>
        <c:ser>
          <c:idx val="2"/>
          <c:order val="1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Averages'!$K$894:$K$945</c:f>
              <c:numCache>
                <c:formatCode>#,##0_);\(#,##0\)</c:formatCode>
                <c:ptCount val="52"/>
                <c:pt idx="0">
                  <c:v>1732.5</c:v>
                </c:pt>
                <c:pt idx="1">
                  <c:v>1383.75</c:v>
                </c:pt>
                <c:pt idx="2">
                  <c:v>1649.25</c:v>
                </c:pt>
                <c:pt idx="3">
                  <c:v>1642</c:v>
                </c:pt>
                <c:pt idx="4">
                  <c:v>1734.5</c:v>
                </c:pt>
                <c:pt idx="5">
                  <c:v>2013</c:v>
                </c:pt>
                <c:pt idx="6">
                  <c:v>1836.75</c:v>
                </c:pt>
                <c:pt idx="7">
                  <c:v>1638.5</c:v>
                </c:pt>
                <c:pt idx="8">
                  <c:v>1741.5</c:v>
                </c:pt>
                <c:pt idx="9">
                  <c:v>2007</c:v>
                </c:pt>
                <c:pt idx="10">
                  <c:v>1626.25</c:v>
                </c:pt>
                <c:pt idx="11">
                  <c:v>1262</c:v>
                </c:pt>
                <c:pt idx="12">
                  <c:v>1702.25</c:v>
                </c:pt>
                <c:pt idx="13">
                  <c:v>1619.25</c:v>
                </c:pt>
                <c:pt idx="14">
                  <c:v>1452.5</c:v>
                </c:pt>
                <c:pt idx="15">
                  <c:v>1093.75</c:v>
                </c:pt>
                <c:pt idx="16">
                  <c:v>1329.5</c:v>
                </c:pt>
                <c:pt idx="17">
                  <c:v>1499</c:v>
                </c:pt>
                <c:pt idx="18">
                  <c:v>987.75</c:v>
                </c:pt>
                <c:pt idx="19">
                  <c:v>1058.5</c:v>
                </c:pt>
                <c:pt idx="20">
                  <c:v>818</c:v>
                </c:pt>
                <c:pt idx="21">
                  <c:v>1334.5</c:v>
                </c:pt>
                <c:pt idx="22">
                  <c:v>1543</c:v>
                </c:pt>
                <c:pt idx="23">
                  <c:v>1220.75</c:v>
                </c:pt>
                <c:pt idx="24">
                  <c:v>1519.5</c:v>
                </c:pt>
                <c:pt idx="25">
                  <c:v>1341.5</c:v>
                </c:pt>
                <c:pt idx="26">
                  <c:v>1922.25</c:v>
                </c:pt>
                <c:pt idx="27">
                  <c:v>1757.75</c:v>
                </c:pt>
                <c:pt idx="28">
                  <c:v>1562.75</c:v>
                </c:pt>
                <c:pt idx="29">
                  <c:v>1977.25</c:v>
                </c:pt>
                <c:pt idx="30">
                  <c:v>1800.75</c:v>
                </c:pt>
                <c:pt idx="31">
                  <c:v>2119</c:v>
                </c:pt>
                <c:pt idx="32">
                  <c:v>2107.75</c:v>
                </c:pt>
                <c:pt idx="33">
                  <c:v>2095.25</c:v>
                </c:pt>
                <c:pt idx="34">
                  <c:v>1986.5</c:v>
                </c:pt>
                <c:pt idx="35">
                  <c:v>2357.25</c:v>
                </c:pt>
                <c:pt idx="36">
                  <c:v>2144.75</c:v>
                </c:pt>
                <c:pt idx="37">
                  <c:v>2317.5</c:v>
                </c:pt>
                <c:pt idx="38">
                  <c:v>1914.5</c:v>
                </c:pt>
                <c:pt idx="39">
                  <c:v>2044.25</c:v>
                </c:pt>
                <c:pt idx="40">
                  <c:v>2205.5</c:v>
                </c:pt>
                <c:pt idx="41">
                  <c:v>1946.25</c:v>
                </c:pt>
                <c:pt idx="42">
                  <c:v>2194.75</c:v>
                </c:pt>
                <c:pt idx="43">
                  <c:v>2136.5</c:v>
                </c:pt>
                <c:pt idx="44">
                  <c:v>2455.75</c:v>
                </c:pt>
                <c:pt idx="45">
                  <c:v>2330.25</c:v>
                </c:pt>
                <c:pt idx="46">
                  <c:v>2175.25</c:v>
                </c:pt>
                <c:pt idx="47">
                  <c:v>1734.25</c:v>
                </c:pt>
                <c:pt idx="48">
                  <c:v>1435.75</c:v>
                </c:pt>
                <c:pt idx="49">
                  <c:v>1627.25</c:v>
                </c:pt>
                <c:pt idx="50">
                  <c:v>1457.25</c:v>
                </c:pt>
                <c:pt idx="51">
                  <c:v>1467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Data'!$E$842:$E$893</c:f>
              <c:numCache>
                <c:formatCode>#,##0</c:formatCode>
                <c:ptCount val="52"/>
                <c:pt idx="0">
                  <c:v>1429</c:v>
                </c:pt>
                <c:pt idx="1">
                  <c:v>1088</c:v>
                </c:pt>
                <c:pt idx="2">
                  <c:v>1138</c:v>
                </c:pt>
                <c:pt idx="3">
                  <c:v>1807</c:v>
                </c:pt>
                <c:pt idx="4">
                  <c:v>2122</c:v>
                </c:pt>
                <c:pt idx="5">
                  <c:v>2143</c:v>
                </c:pt>
                <c:pt idx="6">
                  <c:v>1656</c:v>
                </c:pt>
                <c:pt idx="7">
                  <c:v>1419</c:v>
                </c:pt>
                <c:pt idx="8">
                  <c:v>1090</c:v>
                </c:pt>
                <c:pt idx="9">
                  <c:v>2221</c:v>
                </c:pt>
                <c:pt idx="10">
                  <c:v>1580</c:v>
                </c:pt>
                <c:pt idx="11">
                  <c:v>1169</c:v>
                </c:pt>
                <c:pt idx="12">
                  <c:v>1822</c:v>
                </c:pt>
                <c:pt idx="13">
                  <c:v>1616</c:v>
                </c:pt>
                <c:pt idx="14">
                  <c:v>928</c:v>
                </c:pt>
                <c:pt idx="15">
                  <c:v>1148</c:v>
                </c:pt>
                <c:pt idx="16">
                  <c:v>1033</c:v>
                </c:pt>
                <c:pt idx="17">
                  <c:v>1190</c:v>
                </c:pt>
                <c:pt idx="18">
                  <c:v>962</c:v>
                </c:pt>
                <c:pt idx="19">
                  <c:v>1055</c:v>
                </c:pt>
                <c:pt idx="20">
                  <c:v>784</c:v>
                </c:pt>
                <c:pt idx="21">
                  <c:v>715</c:v>
                </c:pt>
                <c:pt idx="22">
                  <c:v>1031</c:v>
                </c:pt>
                <c:pt idx="23" formatCode="#,##0;[Red]#,##0">
                  <c:v>856</c:v>
                </c:pt>
                <c:pt idx="24">
                  <c:v>1061</c:v>
                </c:pt>
                <c:pt idx="25">
                  <c:v>1018</c:v>
                </c:pt>
                <c:pt idx="26">
                  <c:v>1445</c:v>
                </c:pt>
                <c:pt idx="27">
                  <c:v>1401</c:v>
                </c:pt>
                <c:pt idx="28">
                  <c:v>1049</c:v>
                </c:pt>
                <c:pt idx="29">
                  <c:v>1761</c:v>
                </c:pt>
                <c:pt idx="30">
                  <c:v>1299</c:v>
                </c:pt>
                <c:pt idx="31">
                  <c:v>1428</c:v>
                </c:pt>
                <c:pt idx="32">
                  <c:v>1610</c:v>
                </c:pt>
                <c:pt idx="33">
                  <c:v>1540</c:v>
                </c:pt>
                <c:pt idx="34">
                  <c:v>1925</c:v>
                </c:pt>
                <c:pt idx="35">
                  <c:v>2500</c:v>
                </c:pt>
                <c:pt idx="36">
                  <c:v>2773</c:v>
                </c:pt>
                <c:pt idx="37">
                  <c:v>1768</c:v>
                </c:pt>
                <c:pt idx="38">
                  <c:v>1929</c:v>
                </c:pt>
                <c:pt idx="39">
                  <c:v>1793</c:v>
                </c:pt>
                <c:pt idx="40">
                  <c:v>2413</c:v>
                </c:pt>
                <c:pt idx="41">
                  <c:v>2261</c:v>
                </c:pt>
                <c:pt idx="42">
                  <c:v>1949</c:v>
                </c:pt>
                <c:pt idx="43">
                  <c:v>1902</c:v>
                </c:pt>
                <c:pt idx="44">
                  <c:v>2528</c:v>
                </c:pt>
                <c:pt idx="45">
                  <c:v>2604</c:v>
                </c:pt>
                <c:pt idx="46">
                  <c:v>2421</c:v>
                </c:pt>
                <c:pt idx="47">
                  <c:v>1808</c:v>
                </c:pt>
                <c:pt idx="48">
                  <c:v>1637</c:v>
                </c:pt>
                <c:pt idx="49">
                  <c:v>1911</c:v>
                </c:pt>
                <c:pt idx="50">
                  <c:v>2130</c:v>
                </c:pt>
                <c:pt idx="51">
                  <c:v>1626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Data'!$E$894:$E$943</c:f>
              <c:numCache>
                <c:formatCode>#,##0</c:formatCode>
                <c:ptCount val="50"/>
                <c:pt idx="0">
                  <c:v>1678</c:v>
                </c:pt>
                <c:pt idx="1">
                  <c:v>2191</c:v>
                </c:pt>
                <c:pt idx="2">
                  <c:v>2604</c:v>
                </c:pt>
                <c:pt idx="3">
                  <c:v>1847</c:v>
                </c:pt>
                <c:pt idx="4">
                  <c:v>2303</c:v>
                </c:pt>
                <c:pt idx="5">
                  <c:v>1986</c:v>
                </c:pt>
                <c:pt idx="6">
                  <c:v>2484</c:v>
                </c:pt>
                <c:pt idx="7">
                  <c:v>2054</c:v>
                </c:pt>
                <c:pt idx="8">
                  <c:v>2086</c:v>
                </c:pt>
                <c:pt idx="9" formatCode="General">
                  <c:v>2866</c:v>
                </c:pt>
                <c:pt idx="10">
                  <c:v>2276</c:v>
                </c:pt>
                <c:pt idx="11">
                  <c:v>2367</c:v>
                </c:pt>
                <c:pt idx="12">
                  <c:v>2407</c:v>
                </c:pt>
                <c:pt idx="13">
                  <c:v>2965</c:v>
                </c:pt>
                <c:pt idx="14">
                  <c:v>2654</c:v>
                </c:pt>
                <c:pt idx="15">
                  <c:v>2213</c:v>
                </c:pt>
                <c:pt idx="16">
                  <c:v>2492</c:v>
                </c:pt>
                <c:pt idx="17">
                  <c:v>2508</c:v>
                </c:pt>
                <c:pt idx="18">
                  <c:v>2099</c:v>
                </c:pt>
                <c:pt idx="19">
                  <c:v>1596</c:v>
                </c:pt>
                <c:pt idx="20" formatCode="#,##0_);\(#,##0\)">
                  <c:v>1854</c:v>
                </c:pt>
                <c:pt idx="21">
                  <c:v>2323</c:v>
                </c:pt>
                <c:pt idx="22">
                  <c:v>1636</c:v>
                </c:pt>
                <c:pt idx="23">
                  <c:v>1198</c:v>
                </c:pt>
                <c:pt idx="24">
                  <c:v>1284</c:v>
                </c:pt>
                <c:pt idx="25">
                  <c:v>958</c:v>
                </c:pt>
                <c:pt idx="26">
                  <c:v>1054</c:v>
                </c:pt>
                <c:pt idx="27">
                  <c:v>1298</c:v>
                </c:pt>
                <c:pt idx="28">
                  <c:v>627</c:v>
                </c:pt>
                <c:pt idx="29">
                  <c:v>653</c:v>
                </c:pt>
                <c:pt idx="30">
                  <c:v>1172</c:v>
                </c:pt>
                <c:pt idx="31">
                  <c:v>771</c:v>
                </c:pt>
                <c:pt idx="32">
                  <c:v>1491</c:v>
                </c:pt>
                <c:pt idx="33">
                  <c:v>897</c:v>
                </c:pt>
                <c:pt idx="34">
                  <c:v>700</c:v>
                </c:pt>
                <c:pt idx="35">
                  <c:v>839</c:v>
                </c:pt>
                <c:pt idx="36">
                  <c:v>1654</c:v>
                </c:pt>
                <c:pt idx="37">
                  <c:v>1421</c:v>
                </c:pt>
                <c:pt idx="38">
                  <c:v>1508</c:v>
                </c:pt>
                <c:pt idx="39">
                  <c:v>978</c:v>
                </c:pt>
                <c:pt idx="40">
                  <c:v>1060</c:v>
                </c:pt>
                <c:pt idx="41">
                  <c:v>567</c:v>
                </c:pt>
                <c:pt idx="42">
                  <c:v>459</c:v>
                </c:pt>
                <c:pt idx="43">
                  <c:v>121</c:v>
                </c:pt>
                <c:pt idx="44">
                  <c:v>302</c:v>
                </c:pt>
                <c:pt idx="45">
                  <c:v>644</c:v>
                </c:pt>
                <c:pt idx="46">
                  <c:v>1091</c:v>
                </c:pt>
                <c:pt idx="47">
                  <c:v>992</c:v>
                </c:pt>
                <c:pt idx="48">
                  <c:v>634</c:v>
                </c:pt>
                <c:pt idx="49">
                  <c:v>790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Data'!$E$946:$E$997</c:f>
              <c:numCache>
                <c:formatCode>#,##0</c:formatCode>
                <c:ptCount val="52"/>
                <c:pt idx="0">
                  <c:v>995</c:v>
                </c:pt>
                <c:pt idx="1">
                  <c:v>616</c:v>
                </c:pt>
                <c:pt idx="2">
                  <c:v>697</c:v>
                </c:pt>
                <c:pt idx="3">
                  <c:v>755</c:v>
                </c:pt>
                <c:pt idx="4">
                  <c:v>800</c:v>
                </c:pt>
                <c:pt idx="5">
                  <c:v>706</c:v>
                </c:pt>
                <c:pt idx="6">
                  <c:v>662</c:v>
                </c:pt>
                <c:pt idx="7">
                  <c:v>251</c:v>
                </c:pt>
                <c:pt idx="8">
                  <c:v>575</c:v>
                </c:pt>
                <c:pt idx="9">
                  <c:v>848</c:v>
                </c:pt>
                <c:pt idx="10">
                  <c:v>687</c:v>
                </c:pt>
                <c:pt idx="11">
                  <c:v>668</c:v>
                </c:pt>
                <c:pt idx="12">
                  <c:v>980</c:v>
                </c:pt>
                <c:pt idx="13">
                  <c:v>580</c:v>
                </c:pt>
                <c:pt idx="14">
                  <c:v>542</c:v>
                </c:pt>
                <c:pt idx="15">
                  <c:v>864</c:v>
                </c:pt>
                <c:pt idx="16">
                  <c:v>535</c:v>
                </c:pt>
                <c:pt idx="17">
                  <c:v>641</c:v>
                </c:pt>
                <c:pt idx="18">
                  <c:v>82</c:v>
                </c:pt>
                <c:pt idx="19">
                  <c:v>409</c:v>
                </c:pt>
                <c:pt idx="20">
                  <c:v>1015</c:v>
                </c:pt>
                <c:pt idx="21">
                  <c:v>1684</c:v>
                </c:pt>
                <c:pt idx="22" formatCode="General">
                  <c:v>1562</c:v>
                </c:pt>
                <c:pt idx="23" formatCode="General">
                  <c:v>921</c:v>
                </c:pt>
                <c:pt idx="24" formatCode="General">
                  <c:v>792</c:v>
                </c:pt>
                <c:pt idx="25" formatCode="General">
                  <c:v>1147</c:v>
                </c:pt>
                <c:pt idx="26" formatCode="#,##0;[Red]#,##0">
                  <c:v>587</c:v>
                </c:pt>
                <c:pt idx="27" formatCode="#,##0;[Red]#,##0">
                  <c:v>661</c:v>
                </c:pt>
                <c:pt idx="28" formatCode="#,##0;[Red]#,##0">
                  <c:v>445</c:v>
                </c:pt>
                <c:pt idx="29" formatCode="#,##0;[Red]#,##0">
                  <c:v>979</c:v>
                </c:pt>
                <c:pt idx="30" formatCode="#,##0;[Red]#,##0">
                  <c:v>367</c:v>
                </c:pt>
                <c:pt idx="31" formatCode="#,##0;[Red]#,##0">
                  <c:v>770</c:v>
                </c:pt>
                <c:pt idx="32" formatCode="#,##0;[Red]#,##0">
                  <c:v>660</c:v>
                </c:pt>
                <c:pt idx="33" formatCode="#,##0;[Red]#,##0">
                  <c:v>578</c:v>
                </c:pt>
                <c:pt idx="34" formatCode="#,##0;[Red]#,##0">
                  <c:v>1072</c:v>
                </c:pt>
                <c:pt idx="35" formatCode="#,##0;[Red]#,##0">
                  <c:v>796</c:v>
                </c:pt>
                <c:pt idx="36" formatCode="#,##0;[Red]#,##0">
                  <c:v>1330</c:v>
                </c:pt>
                <c:pt idx="37" formatCode="#,##0;[Red]#,##0">
                  <c:v>1328</c:v>
                </c:pt>
                <c:pt idx="38" formatCode="#,##0;[Red]#,##0">
                  <c:v>1521</c:v>
                </c:pt>
                <c:pt idx="39" formatCode="#,##0;[Red]#,##0">
                  <c:v>958</c:v>
                </c:pt>
                <c:pt idx="40" formatCode="#,##0;[Red]#,##0">
                  <c:v>740</c:v>
                </c:pt>
                <c:pt idx="41" formatCode="#,##0;[Red]#,##0">
                  <c:v>737</c:v>
                </c:pt>
                <c:pt idx="42" formatCode="#,##0_);\(#,##0\)">
                  <c:v>638</c:v>
                </c:pt>
                <c:pt idx="43" formatCode="#,##0_);\(#,##0\)">
                  <c:v>920</c:v>
                </c:pt>
                <c:pt idx="44" formatCode="#,##0_);\(#,##0\)">
                  <c:v>761</c:v>
                </c:pt>
                <c:pt idx="45" formatCode="0_);\(0\)">
                  <c:v>572</c:v>
                </c:pt>
                <c:pt idx="46" formatCode="0_);\(0\)">
                  <c:v>569</c:v>
                </c:pt>
                <c:pt idx="47" formatCode="0_);\(0\)">
                  <c:v>842</c:v>
                </c:pt>
                <c:pt idx="48" formatCode="0_);\(0\)">
                  <c:v>928</c:v>
                </c:pt>
                <c:pt idx="49" formatCode="0_);\(0\)">
                  <c:v>620</c:v>
                </c:pt>
                <c:pt idx="50" formatCode="0_);\(0\)">
                  <c:v>877</c:v>
                </c:pt>
                <c:pt idx="51" formatCode="0_);\(0\)">
                  <c:v>510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74208"/>
        <c:axId val="81388672"/>
      </c:lineChart>
      <c:catAx>
        <c:axId val="813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8327273983096610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388672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81388672"/>
        <c:scaling>
          <c:orientation val="minMax"/>
          <c:max val="4500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374208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5457218731496949"/>
          <c:y val="0.90149725602481501"/>
          <c:w val="0.75841861307740588"/>
          <c:h val="9.850274397518488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1405314531761962"/>
          <c:y val="1.81160544587099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3"/>
          <c:order val="0"/>
          <c:tx>
            <c:v>4-yr avg (4-week avg)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'Weekly Averages'!$S$894:$S$945</c:f>
              <c:numCache>
                <c:formatCode>_(* #,##0_);_(* \(#,##0\);_(* "-"??_);_(@_)</c:formatCode>
                <c:ptCount val="52"/>
                <c:pt idx="0">
                  <c:v>1112.0625</c:v>
                </c:pt>
                <c:pt idx="1">
                  <c:v>1129.75</c:v>
                </c:pt>
                <c:pt idx="2">
                  <c:v>1181.75</c:v>
                </c:pt>
                <c:pt idx="3">
                  <c:v>1269.125</c:v>
                </c:pt>
                <c:pt idx="4">
                  <c:v>1306.9375</c:v>
                </c:pt>
                <c:pt idx="5">
                  <c:v>1284.0625</c:v>
                </c:pt>
                <c:pt idx="6">
                  <c:v>1253.5</c:v>
                </c:pt>
                <c:pt idx="7">
                  <c:v>1130.9375</c:v>
                </c:pt>
                <c:pt idx="8">
                  <c:v>1131.0625</c:v>
                </c:pt>
                <c:pt idx="9">
                  <c:v>1097.6875</c:v>
                </c:pt>
                <c:pt idx="10">
                  <c:v>991</c:v>
                </c:pt>
                <c:pt idx="11">
                  <c:v>1002.125</c:v>
                </c:pt>
                <c:pt idx="12">
                  <c:v>848.9375</c:v>
                </c:pt>
                <c:pt idx="13">
                  <c:v>731</c:v>
                </c:pt>
                <c:pt idx="14">
                  <c:v>713.125</c:v>
                </c:pt>
                <c:pt idx="15">
                  <c:v>649.75</c:v>
                </c:pt>
                <c:pt idx="16">
                  <c:v>600.875</c:v>
                </c:pt>
                <c:pt idx="17">
                  <c:v>552.625</c:v>
                </c:pt>
                <c:pt idx="18">
                  <c:v>477</c:v>
                </c:pt>
                <c:pt idx="19">
                  <c:v>449.3125</c:v>
                </c:pt>
                <c:pt idx="20">
                  <c:v>429.625</c:v>
                </c:pt>
                <c:pt idx="21">
                  <c:v>401.0625</c:v>
                </c:pt>
                <c:pt idx="22">
                  <c:v>344.5</c:v>
                </c:pt>
                <c:pt idx="23">
                  <c:v>314.8125</c:v>
                </c:pt>
                <c:pt idx="24">
                  <c:v>324</c:v>
                </c:pt>
                <c:pt idx="25">
                  <c:v>370.5</c:v>
                </c:pt>
                <c:pt idx="26">
                  <c:v>406.5625</c:v>
                </c:pt>
                <c:pt idx="27">
                  <c:v>452.375</c:v>
                </c:pt>
                <c:pt idx="28">
                  <c:v>520.8125</c:v>
                </c:pt>
                <c:pt idx="29">
                  <c:v>560.75</c:v>
                </c:pt>
                <c:pt idx="30">
                  <c:v>561</c:v>
                </c:pt>
                <c:pt idx="31">
                  <c:v>607.4375</c:v>
                </c:pt>
                <c:pt idx="32">
                  <c:v>573.1875</c:v>
                </c:pt>
                <c:pt idx="33">
                  <c:v>587.625</c:v>
                </c:pt>
                <c:pt idx="34">
                  <c:v>704.25</c:v>
                </c:pt>
                <c:pt idx="35">
                  <c:v>722.1875</c:v>
                </c:pt>
                <c:pt idx="36">
                  <c:v>794.0625</c:v>
                </c:pt>
                <c:pt idx="37">
                  <c:v>878.8125</c:v>
                </c:pt>
                <c:pt idx="38">
                  <c:v>940.3125</c:v>
                </c:pt>
                <c:pt idx="39">
                  <c:v>1140.625</c:v>
                </c:pt>
                <c:pt idx="40">
                  <c:v>1450.875</c:v>
                </c:pt>
                <c:pt idx="41">
                  <c:v>1753.3125</c:v>
                </c:pt>
                <c:pt idx="42">
                  <c:v>1995.9375</c:v>
                </c:pt>
                <c:pt idx="43">
                  <c:v>2050.4375</c:v>
                </c:pt>
                <c:pt idx="44">
                  <c:v>1938.875</c:v>
                </c:pt>
                <c:pt idx="45">
                  <c:v>1733.125</c:v>
                </c:pt>
                <c:pt idx="46">
                  <c:v>1550.9375</c:v>
                </c:pt>
                <c:pt idx="47">
                  <c:v>1474.6875</c:v>
                </c:pt>
                <c:pt idx="48">
                  <c:v>1417.625</c:v>
                </c:pt>
                <c:pt idx="49">
                  <c:v>1334.1875</c:v>
                </c:pt>
                <c:pt idx="50">
                  <c:v>1218.1875</c:v>
                </c:pt>
                <c:pt idx="51">
                  <c:v>1079.125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Averages'!$J$894:$J$945</c:f>
              <c:numCache>
                <c:formatCode>#,##0_);\(#,##0\)</c:formatCode>
                <c:ptCount val="52"/>
                <c:pt idx="0">
                  <c:v>1237.5</c:v>
                </c:pt>
                <c:pt idx="1">
                  <c:v>1359.25</c:v>
                </c:pt>
                <c:pt idx="2">
                  <c:v>1250.75</c:v>
                </c:pt>
                <c:pt idx="3">
                  <c:v>1316.5</c:v>
                </c:pt>
                <c:pt idx="4">
                  <c:v>1106.75</c:v>
                </c:pt>
                <c:pt idx="5">
                  <c:v>1289.25</c:v>
                </c:pt>
                <c:pt idx="6">
                  <c:v>1159.75</c:v>
                </c:pt>
                <c:pt idx="7">
                  <c:v>834.25</c:v>
                </c:pt>
                <c:pt idx="8">
                  <c:v>1207.5</c:v>
                </c:pt>
                <c:pt idx="9">
                  <c:v>1111.5</c:v>
                </c:pt>
                <c:pt idx="10">
                  <c:v>812.75</c:v>
                </c:pt>
                <c:pt idx="11">
                  <c:v>710.5</c:v>
                </c:pt>
                <c:pt idx="12">
                  <c:v>617.75</c:v>
                </c:pt>
                <c:pt idx="13">
                  <c:v>581.5</c:v>
                </c:pt>
                <c:pt idx="14">
                  <c:v>830.75</c:v>
                </c:pt>
                <c:pt idx="15">
                  <c:v>508.75</c:v>
                </c:pt>
                <c:pt idx="16">
                  <c:v>492.75</c:v>
                </c:pt>
                <c:pt idx="17">
                  <c:v>374.5</c:v>
                </c:pt>
                <c:pt idx="18">
                  <c:v>481.5</c:v>
                </c:pt>
                <c:pt idx="19">
                  <c:v>359.25</c:v>
                </c:pt>
                <c:pt idx="20">
                  <c:v>362.5</c:v>
                </c:pt>
                <c:pt idx="21">
                  <c:v>461.25</c:v>
                </c:pt>
                <c:pt idx="22">
                  <c:v>148.75</c:v>
                </c:pt>
                <c:pt idx="23">
                  <c:v>319.75</c:v>
                </c:pt>
                <c:pt idx="24">
                  <c:v>367</c:v>
                </c:pt>
                <c:pt idx="25">
                  <c:v>513.75</c:v>
                </c:pt>
                <c:pt idx="26">
                  <c:v>422</c:v>
                </c:pt>
                <c:pt idx="27">
                  <c:v>554</c:v>
                </c:pt>
                <c:pt idx="28">
                  <c:v>731.5</c:v>
                </c:pt>
                <c:pt idx="29">
                  <c:v>614</c:v>
                </c:pt>
                <c:pt idx="30">
                  <c:v>450.5</c:v>
                </c:pt>
                <c:pt idx="31">
                  <c:v>700.75</c:v>
                </c:pt>
                <c:pt idx="32">
                  <c:v>569.75</c:v>
                </c:pt>
                <c:pt idx="33">
                  <c:v>832.5</c:v>
                </c:pt>
                <c:pt idx="34">
                  <c:v>874</c:v>
                </c:pt>
                <c:pt idx="35">
                  <c:v>767.5</c:v>
                </c:pt>
                <c:pt idx="36">
                  <c:v>879.75</c:v>
                </c:pt>
                <c:pt idx="37">
                  <c:v>1191.75</c:v>
                </c:pt>
                <c:pt idx="38">
                  <c:v>1154</c:v>
                </c:pt>
                <c:pt idx="39">
                  <c:v>1646</c:v>
                </c:pt>
                <c:pt idx="40">
                  <c:v>2160.75</c:v>
                </c:pt>
                <c:pt idx="41">
                  <c:v>2063</c:v>
                </c:pt>
                <c:pt idx="42">
                  <c:v>2038.75</c:v>
                </c:pt>
                <c:pt idx="43">
                  <c:v>1666.75</c:v>
                </c:pt>
                <c:pt idx="44">
                  <c:v>1625.75</c:v>
                </c:pt>
                <c:pt idx="45">
                  <c:v>1381.25</c:v>
                </c:pt>
                <c:pt idx="46">
                  <c:v>1530.75</c:v>
                </c:pt>
                <c:pt idx="47">
                  <c:v>1426.75</c:v>
                </c:pt>
                <c:pt idx="48">
                  <c:v>1387</c:v>
                </c:pt>
                <c:pt idx="49">
                  <c:v>981.75</c:v>
                </c:pt>
                <c:pt idx="50">
                  <c:v>992.25</c:v>
                </c:pt>
                <c:pt idx="51">
                  <c:v>710</c:v>
                </c:pt>
              </c:numCache>
            </c:numRef>
          </c:val>
          <c:smooth val="0"/>
        </c:ser>
        <c:ser>
          <c:idx val="4"/>
          <c:order val="2"/>
          <c:tx>
            <c:v>2010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Data'!$D$842:$D$893</c:f>
              <c:numCache>
                <c:formatCode>#,##0</c:formatCode>
                <c:ptCount val="52"/>
                <c:pt idx="0">
                  <c:v>490</c:v>
                </c:pt>
                <c:pt idx="1">
                  <c:v>278</c:v>
                </c:pt>
                <c:pt idx="2">
                  <c:v>570</c:v>
                </c:pt>
                <c:pt idx="3">
                  <c:v>716</c:v>
                </c:pt>
                <c:pt idx="4">
                  <c:v>589</c:v>
                </c:pt>
                <c:pt idx="5">
                  <c:v>783</c:v>
                </c:pt>
                <c:pt idx="6">
                  <c:v>367</c:v>
                </c:pt>
                <c:pt idx="7">
                  <c:v>230</c:v>
                </c:pt>
                <c:pt idx="8">
                  <c:v>504</c:v>
                </c:pt>
                <c:pt idx="9">
                  <c:v>555</c:v>
                </c:pt>
                <c:pt idx="10">
                  <c:v>226</c:v>
                </c:pt>
                <c:pt idx="11">
                  <c:v>594</c:v>
                </c:pt>
                <c:pt idx="12">
                  <c:v>84</c:v>
                </c:pt>
                <c:pt idx="13">
                  <c:v>200</c:v>
                </c:pt>
                <c:pt idx="14">
                  <c:v>222</c:v>
                </c:pt>
                <c:pt idx="15">
                  <c:v>100</c:v>
                </c:pt>
                <c:pt idx="16">
                  <c:v>198</c:v>
                </c:pt>
                <c:pt idx="17">
                  <c:v>107</c:v>
                </c:pt>
                <c:pt idx="18">
                  <c:v>108</c:v>
                </c:pt>
                <c:pt idx="19">
                  <c:v>198</c:v>
                </c:pt>
                <c:pt idx="20">
                  <c:v>201</c:v>
                </c:pt>
                <c:pt idx="21">
                  <c:v>208</c:v>
                </c:pt>
                <c:pt idx="22">
                  <c:v>0</c:v>
                </c:pt>
                <c:pt idx="23" formatCode="#,##0;[Red]#,##0">
                  <c:v>430</c:v>
                </c:pt>
                <c:pt idx="24">
                  <c:v>158</c:v>
                </c:pt>
                <c:pt idx="25">
                  <c:v>214</c:v>
                </c:pt>
                <c:pt idx="26">
                  <c:v>5</c:v>
                </c:pt>
                <c:pt idx="27">
                  <c:v>105</c:v>
                </c:pt>
                <c:pt idx="28">
                  <c:v>231</c:v>
                </c:pt>
                <c:pt idx="29">
                  <c:v>442</c:v>
                </c:pt>
                <c:pt idx="30">
                  <c:v>101</c:v>
                </c:pt>
                <c:pt idx="31">
                  <c:v>262</c:v>
                </c:pt>
                <c:pt idx="32">
                  <c:v>393</c:v>
                </c:pt>
                <c:pt idx="33">
                  <c:v>494</c:v>
                </c:pt>
                <c:pt idx="34">
                  <c:v>372</c:v>
                </c:pt>
                <c:pt idx="35">
                  <c:v>757</c:v>
                </c:pt>
                <c:pt idx="36">
                  <c:v>884</c:v>
                </c:pt>
                <c:pt idx="37">
                  <c:v>1288</c:v>
                </c:pt>
                <c:pt idx="38">
                  <c:v>849</c:v>
                </c:pt>
                <c:pt idx="39">
                  <c:v>1458</c:v>
                </c:pt>
                <c:pt idx="40">
                  <c:v>1548</c:v>
                </c:pt>
                <c:pt idx="41">
                  <c:v>2094</c:v>
                </c:pt>
                <c:pt idx="42">
                  <c:v>1583</c:v>
                </c:pt>
                <c:pt idx="43">
                  <c:v>1904</c:v>
                </c:pt>
                <c:pt idx="44">
                  <c:v>1776</c:v>
                </c:pt>
                <c:pt idx="45">
                  <c:v>1644</c:v>
                </c:pt>
                <c:pt idx="46">
                  <c:v>1123</c:v>
                </c:pt>
                <c:pt idx="47">
                  <c:v>1316</c:v>
                </c:pt>
                <c:pt idx="48">
                  <c:v>1735</c:v>
                </c:pt>
                <c:pt idx="49">
                  <c:v>1075</c:v>
                </c:pt>
                <c:pt idx="50">
                  <c:v>1110</c:v>
                </c:pt>
                <c:pt idx="51">
                  <c:v>1092</c:v>
                </c:pt>
              </c:numCache>
            </c:numRef>
          </c:val>
          <c:smooth val="0"/>
        </c:ser>
        <c:ser>
          <c:idx val="0"/>
          <c:order val="3"/>
          <c:tx>
            <c:v>2011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Data'!$D$894:$D$943</c:f>
              <c:numCache>
                <c:formatCode>#,##0</c:formatCode>
                <c:ptCount val="50"/>
                <c:pt idx="0">
                  <c:v>1100</c:v>
                </c:pt>
                <c:pt idx="1">
                  <c:v>853</c:v>
                </c:pt>
                <c:pt idx="2">
                  <c:v>1403</c:v>
                </c:pt>
                <c:pt idx="3">
                  <c:v>1200</c:v>
                </c:pt>
                <c:pt idx="4">
                  <c:v>940</c:v>
                </c:pt>
                <c:pt idx="5">
                  <c:v>728</c:v>
                </c:pt>
                <c:pt idx="6">
                  <c:v>1208</c:v>
                </c:pt>
                <c:pt idx="7">
                  <c:v>1036</c:v>
                </c:pt>
                <c:pt idx="8">
                  <c:v>1147</c:v>
                </c:pt>
                <c:pt idx="9" formatCode="General">
                  <c:v>1113</c:v>
                </c:pt>
                <c:pt idx="10">
                  <c:v>1111</c:v>
                </c:pt>
                <c:pt idx="11">
                  <c:v>1706</c:v>
                </c:pt>
                <c:pt idx="12">
                  <c:v>1282</c:v>
                </c:pt>
                <c:pt idx="13">
                  <c:v>1104</c:v>
                </c:pt>
                <c:pt idx="14">
                  <c:v>703</c:v>
                </c:pt>
                <c:pt idx="15">
                  <c:v>228</c:v>
                </c:pt>
                <c:pt idx="16">
                  <c:v>482</c:v>
                </c:pt>
                <c:pt idx="17">
                  <c:v>404</c:v>
                </c:pt>
                <c:pt idx="18">
                  <c:v>778</c:v>
                </c:pt>
                <c:pt idx="19">
                  <c:v>537</c:v>
                </c:pt>
                <c:pt idx="20" formatCode="General">
                  <c:v>554</c:v>
                </c:pt>
                <c:pt idx="21">
                  <c:v>435</c:v>
                </c:pt>
                <c:pt idx="22">
                  <c:v>373</c:v>
                </c:pt>
                <c:pt idx="23">
                  <c:v>156</c:v>
                </c:pt>
                <c:pt idx="24">
                  <c:v>231</c:v>
                </c:pt>
                <c:pt idx="25">
                  <c:v>218</c:v>
                </c:pt>
                <c:pt idx="26">
                  <c:v>209</c:v>
                </c:pt>
                <c:pt idx="27">
                  <c:v>167</c:v>
                </c:pt>
                <c:pt idx="28">
                  <c:v>3</c:v>
                </c:pt>
                <c:pt idx="29">
                  <c:v>111</c:v>
                </c:pt>
                <c:pt idx="30">
                  <c:v>206</c:v>
                </c:pt>
                <c:pt idx="31">
                  <c:v>0</c:v>
                </c:pt>
                <c:pt idx="32">
                  <c:v>128</c:v>
                </c:pt>
                <c:pt idx="33">
                  <c:v>108</c:v>
                </c:pt>
                <c:pt idx="34">
                  <c:v>1</c:v>
                </c:pt>
                <c:pt idx="35">
                  <c:v>120</c:v>
                </c:pt>
                <c:pt idx="36">
                  <c:v>110</c:v>
                </c:pt>
                <c:pt idx="37">
                  <c:v>149</c:v>
                </c:pt>
                <c:pt idx="38">
                  <c:v>617</c:v>
                </c:pt>
                <c:pt idx="39">
                  <c:v>479</c:v>
                </c:pt>
                <c:pt idx="40">
                  <c:v>279</c:v>
                </c:pt>
                <c:pt idx="41">
                  <c:v>791</c:v>
                </c:pt>
                <c:pt idx="42">
                  <c:v>891</c:v>
                </c:pt>
                <c:pt idx="43">
                  <c:v>533</c:v>
                </c:pt>
                <c:pt idx="44">
                  <c:v>532</c:v>
                </c:pt>
                <c:pt idx="45">
                  <c:v>76</c:v>
                </c:pt>
                <c:pt idx="46">
                  <c:v>405</c:v>
                </c:pt>
                <c:pt idx="47">
                  <c:v>125</c:v>
                </c:pt>
                <c:pt idx="48">
                  <c:v>111</c:v>
                </c:pt>
                <c:pt idx="49">
                  <c:v>117</c:v>
                </c:pt>
              </c:numCache>
            </c:numRef>
          </c:val>
          <c:smooth val="0"/>
        </c:ser>
        <c:ser>
          <c:idx val="1"/>
          <c:order val="4"/>
          <c:tx>
            <c:v>2012</c:v>
          </c:tx>
          <c:spPr>
            <a:ln>
              <a:solidFill>
                <a:srgbClr val="FF33CC"/>
              </a:solidFill>
            </a:ln>
          </c:spPr>
          <c:marker>
            <c:symbol val="none"/>
          </c:marker>
          <c:cat>
            <c:numRef>
              <c:f>'Weekly Data'!$A$946:$A$997</c:f>
              <c:numCache>
                <c:formatCode>mm/dd/yy_)</c:formatCode>
                <c:ptCount val="52"/>
                <c:pt idx="0">
                  <c:v>40912</c:v>
                </c:pt>
                <c:pt idx="1">
                  <c:v>40919</c:v>
                </c:pt>
                <c:pt idx="2">
                  <c:v>40926</c:v>
                </c:pt>
                <c:pt idx="3">
                  <c:v>40933</c:v>
                </c:pt>
                <c:pt idx="4">
                  <c:v>40940</c:v>
                </c:pt>
                <c:pt idx="5">
                  <c:v>40947</c:v>
                </c:pt>
                <c:pt idx="6">
                  <c:v>40954</c:v>
                </c:pt>
                <c:pt idx="7">
                  <c:v>40961</c:v>
                </c:pt>
                <c:pt idx="8">
                  <c:v>40968</c:v>
                </c:pt>
                <c:pt idx="9">
                  <c:v>40975</c:v>
                </c:pt>
                <c:pt idx="10">
                  <c:v>40982</c:v>
                </c:pt>
                <c:pt idx="11">
                  <c:v>40989</c:v>
                </c:pt>
                <c:pt idx="12">
                  <c:v>40996</c:v>
                </c:pt>
                <c:pt idx="13">
                  <c:v>41003</c:v>
                </c:pt>
                <c:pt idx="14">
                  <c:v>41010</c:v>
                </c:pt>
                <c:pt idx="15">
                  <c:v>41017</c:v>
                </c:pt>
                <c:pt idx="16">
                  <c:v>41024</c:v>
                </c:pt>
                <c:pt idx="17">
                  <c:v>41031</c:v>
                </c:pt>
                <c:pt idx="18">
                  <c:v>41038</c:v>
                </c:pt>
                <c:pt idx="19">
                  <c:v>41045</c:v>
                </c:pt>
                <c:pt idx="20">
                  <c:v>41052</c:v>
                </c:pt>
                <c:pt idx="21">
                  <c:v>41059</c:v>
                </c:pt>
                <c:pt idx="22">
                  <c:v>41066</c:v>
                </c:pt>
                <c:pt idx="23">
                  <c:v>41073</c:v>
                </c:pt>
                <c:pt idx="24">
                  <c:v>41080</c:v>
                </c:pt>
                <c:pt idx="25">
                  <c:v>41087</c:v>
                </c:pt>
                <c:pt idx="26">
                  <c:v>41094</c:v>
                </c:pt>
                <c:pt idx="27">
                  <c:v>41101</c:v>
                </c:pt>
                <c:pt idx="28">
                  <c:v>41108</c:v>
                </c:pt>
                <c:pt idx="29">
                  <c:v>41115</c:v>
                </c:pt>
                <c:pt idx="30">
                  <c:v>41122</c:v>
                </c:pt>
                <c:pt idx="31">
                  <c:v>41129</c:v>
                </c:pt>
                <c:pt idx="32">
                  <c:v>41136</c:v>
                </c:pt>
                <c:pt idx="33">
                  <c:v>41143</c:v>
                </c:pt>
                <c:pt idx="34">
                  <c:v>41150</c:v>
                </c:pt>
                <c:pt idx="35">
                  <c:v>41157</c:v>
                </c:pt>
                <c:pt idx="36">
                  <c:v>41164</c:v>
                </c:pt>
                <c:pt idx="37">
                  <c:v>41171</c:v>
                </c:pt>
                <c:pt idx="38">
                  <c:v>41178</c:v>
                </c:pt>
                <c:pt idx="39">
                  <c:v>41185</c:v>
                </c:pt>
                <c:pt idx="40">
                  <c:v>41192</c:v>
                </c:pt>
                <c:pt idx="41">
                  <c:v>41199</c:v>
                </c:pt>
                <c:pt idx="42">
                  <c:v>41206</c:v>
                </c:pt>
                <c:pt idx="43">
                  <c:v>41213</c:v>
                </c:pt>
                <c:pt idx="44">
                  <c:v>41220</c:v>
                </c:pt>
                <c:pt idx="45">
                  <c:v>41227</c:v>
                </c:pt>
                <c:pt idx="46">
                  <c:v>41234</c:v>
                </c:pt>
                <c:pt idx="47">
                  <c:v>41241</c:v>
                </c:pt>
                <c:pt idx="48">
                  <c:v>41248</c:v>
                </c:pt>
                <c:pt idx="49">
                  <c:v>41255</c:v>
                </c:pt>
                <c:pt idx="50">
                  <c:v>41262</c:v>
                </c:pt>
                <c:pt idx="51">
                  <c:v>41269</c:v>
                </c:pt>
              </c:numCache>
            </c:numRef>
          </c:cat>
          <c:val>
            <c:numRef>
              <c:f>'Weekly Data'!$D$946:$D$997</c:f>
              <c:numCache>
                <c:formatCode>#,##0</c:formatCode>
                <c:ptCount val="52"/>
                <c:pt idx="0">
                  <c:v>25</c:v>
                </c:pt>
                <c:pt idx="1">
                  <c:v>148</c:v>
                </c:pt>
                <c:pt idx="2">
                  <c:v>0</c:v>
                </c:pt>
                <c:pt idx="3">
                  <c:v>25</c:v>
                </c:pt>
                <c:pt idx="4">
                  <c:v>449</c:v>
                </c:pt>
                <c:pt idx="5">
                  <c:v>144</c:v>
                </c:pt>
                <c:pt idx="6">
                  <c:v>630</c:v>
                </c:pt>
                <c:pt idx="7">
                  <c:v>567</c:v>
                </c:pt>
                <c:pt idx="8">
                  <c:v>433</c:v>
                </c:pt>
                <c:pt idx="9">
                  <c:v>359</c:v>
                </c:pt>
                <c:pt idx="10">
                  <c:v>328</c:v>
                </c:pt>
                <c:pt idx="11">
                  <c:v>68</c:v>
                </c:pt>
                <c:pt idx="12">
                  <c:v>6</c:v>
                </c:pt>
                <c:pt idx="13">
                  <c:v>235</c:v>
                </c:pt>
                <c:pt idx="14">
                  <c:v>71</c:v>
                </c:pt>
                <c:pt idx="15">
                  <c:v>0</c:v>
                </c:pt>
                <c:pt idx="16">
                  <c:v>52</c:v>
                </c:pt>
                <c:pt idx="17">
                  <c:v>25</c:v>
                </c:pt>
                <c:pt idx="18">
                  <c:v>20</c:v>
                </c:pt>
                <c:pt idx="19">
                  <c:v>0</c:v>
                </c:pt>
                <c:pt idx="20">
                  <c:v>0</c:v>
                </c:pt>
                <c:pt idx="21">
                  <c:v>19</c:v>
                </c:pt>
                <c:pt idx="22" formatCode="General">
                  <c:v>215</c:v>
                </c:pt>
                <c:pt idx="23" formatCode="General">
                  <c:v>110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110</c:v>
                </c:pt>
                <c:pt idx="27" formatCode="General">
                  <c:v>0</c:v>
                </c:pt>
                <c:pt idx="28" formatCode="General">
                  <c:v>504</c:v>
                </c:pt>
                <c:pt idx="29" formatCode="General">
                  <c:v>280</c:v>
                </c:pt>
                <c:pt idx="30" formatCode="#,##0_);\(#,##0\)">
                  <c:v>393</c:v>
                </c:pt>
                <c:pt idx="31" formatCode="#,##0_);\(#,##0\)">
                  <c:v>791</c:v>
                </c:pt>
                <c:pt idx="32" formatCode="#,##0_);\(#,##0\)">
                  <c:v>257</c:v>
                </c:pt>
                <c:pt idx="33" formatCode="#,##0_);\(#,##0\)">
                  <c:v>629</c:v>
                </c:pt>
                <c:pt idx="34" formatCode="#,##0_);\(#,##0\)">
                  <c:v>1</c:v>
                </c:pt>
                <c:pt idx="35" formatCode="#,##0_);\(#,##0\)">
                  <c:v>74</c:v>
                </c:pt>
                <c:pt idx="36" formatCode="#,##0_);\(#,##0\)">
                  <c:v>50</c:v>
                </c:pt>
                <c:pt idx="37" formatCode="#,##0_);\(#,##0\)">
                  <c:v>333</c:v>
                </c:pt>
                <c:pt idx="38" formatCode="#,##0_);\(#,##0\)">
                  <c:v>506</c:v>
                </c:pt>
                <c:pt idx="39" formatCode="#,##0_);\(#,##0\)">
                  <c:v>1218</c:v>
                </c:pt>
                <c:pt idx="40" formatCode="#,##0_);\(#,##0\)">
                  <c:v>1439</c:v>
                </c:pt>
                <c:pt idx="41" formatCode="#,##0_);\(#,##0\)">
                  <c:v>1905</c:v>
                </c:pt>
                <c:pt idx="42" formatCode="#,##0_);\(#,##0\)">
                  <c:v>631</c:v>
                </c:pt>
                <c:pt idx="43" formatCode="#,##0_);\(#,##0\)">
                  <c:v>539</c:v>
                </c:pt>
                <c:pt idx="44" formatCode="#,##0_);\(#,##0\)">
                  <c:v>694</c:v>
                </c:pt>
                <c:pt idx="45" formatCode="#,##0_);\(#,##0\)">
                  <c:v>641</c:v>
                </c:pt>
                <c:pt idx="46" formatCode="#,##0_);\(#,##0\)">
                  <c:v>1127</c:v>
                </c:pt>
                <c:pt idx="47" formatCode="#,##0_);\(#,##0\)">
                  <c:v>1311</c:v>
                </c:pt>
                <c:pt idx="48" formatCode="#,##0_);\(#,##0\)">
                  <c:v>1365</c:v>
                </c:pt>
                <c:pt idx="49" formatCode="#,##0_);\(#,##0\)">
                  <c:v>1027</c:v>
                </c:pt>
                <c:pt idx="50" formatCode="#,##0_);\(#,##0\)">
                  <c:v>1448</c:v>
                </c:pt>
                <c:pt idx="51" formatCode="#,##0_);\(#,##0\)">
                  <c:v>1402</c:v>
                </c:pt>
              </c:numCache>
            </c:numRef>
          </c:val>
          <c:smooth val="0"/>
        </c:ser>
        <c:ser>
          <c:idx val="5"/>
          <c:order val="5"/>
          <c:tx>
            <c:v>2013</c:v>
          </c:tx>
          <c:marker>
            <c:symbol val="none"/>
          </c:marker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14400"/>
        <c:axId val="81420672"/>
      </c:lineChart>
      <c:catAx>
        <c:axId val="8141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42067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81420672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14144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086086665637383"/>
          <c:y val="0.8986214007731792"/>
          <c:w val="0.85080477072718852"/>
          <c:h val="0.10137859922682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Averages'!$H$842:$H$893</c:f>
              <c:numCache>
                <c:formatCode>#,##0_);\(#,##0\)</c:formatCode>
                <c:ptCount val="52"/>
                <c:pt idx="0">
                  <c:v>1541.5161885902278</c:v>
                </c:pt>
                <c:pt idx="1">
                  <c:v>1554.4249373686887</c:v>
                </c:pt>
                <c:pt idx="2">
                  <c:v>1516.9257770680408</c:v>
                </c:pt>
                <c:pt idx="3">
                  <c:v>1664.1410968892681</c:v>
                </c:pt>
                <c:pt idx="4">
                  <c:v>1650.8451204558573</c:v>
                </c:pt>
                <c:pt idx="5">
                  <c:v>1554.4260350548184</c:v>
                </c:pt>
                <c:pt idx="6">
                  <c:v>1737.9761288228508</c:v>
                </c:pt>
                <c:pt idx="7">
                  <c:v>1534.080723456434</c:v>
                </c:pt>
                <c:pt idx="8">
                  <c:v>1683.795679457588</c:v>
                </c:pt>
                <c:pt idx="9">
                  <c:v>1809.1847194171958</c:v>
                </c:pt>
                <c:pt idx="10">
                  <c:v>1918.2090522215813</c:v>
                </c:pt>
                <c:pt idx="11">
                  <c:v>2130.9502452394695</c:v>
                </c:pt>
                <c:pt idx="12">
                  <c:v>2276.9057414887484</c:v>
                </c:pt>
                <c:pt idx="13">
                  <c:v>2245.7243400173111</c:v>
                </c:pt>
                <c:pt idx="14">
                  <c:v>2140.2383222735143</c:v>
                </c:pt>
                <c:pt idx="15">
                  <c:v>2139.1325988170802</c:v>
                </c:pt>
                <c:pt idx="16">
                  <c:v>2215.6486620023084</c:v>
                </c:pt>
                <c:pt idx="17">
                  <c:v>2222.9464368147724</c:v>
                </c:pt>
                <c:pt idx="18">
                  <c:v>2241.743735574149</c:v>
                </c:pt>
                <c:pt idx="19">
                  <c:v>2232.8979479226773</c:v>
                </c:pt>
                <c:pt idx="20">
                  <c:v>2111.2683677149453</c:v>
                </c:pt>
                <c:pt idx="21">
                  <c:v>2117.2392743796886</c:v>
                </c:pt>
                <c:pt idx="22">
                  <c:v>2212.5526363242934</c:v>
                </c:pt>
                <c:pt idx="23">
                  <c:v>2238.205420513561</c:v>
                </c:pt>
                <c:pt idx="24">
                  <c:v>2094.4613711771499</c:v>
                </c:pt>
                <c:pt idx="25">
                  <c:v>2150.4109780727063</c:v>
                </c:pt>
                <c:pt idx="26">
                  <c:v>1880.3933100115407</c:v>
                </c:pt>
                <c:pt idx="27">
                  <c:v>1647.7490947778419</c:v>
                </c:pt>
                <c:pt idx="28">
                  <c:v>1555.3106138199655</c:v>
                </c:pt>
                <c:pt idx="29">
                  <c:v>1388.1252272071554</c:v>
                </c:pt>
                <c:pt idx="30">
                  <c:v>1649.0759629255629</c:v>
                </c:pt>
                <c:pt idx="31">
                  <c:v>1614.5773910848243</c:v>
                </c:pt>
                <c:pt idx="32">
                  <c:v>1620.7694424408542</c:v>
                </c:pt>
                <c:pt idx="33">
                  <c:v>1638.6821624350839</c:v>
                </c:pt>
                <c:pt idx="34">
                  <c:v>1303.6479551356033</c:v>
                </c:pt>
                <c:pt idx="35">
                  <c:v>1543.1476557991923</c:v>
                </c:pt>
                <c:pt idx="36">
                  <c:v>1436.3347699076746</c:v>
                </c:pt>
                <c:pt idx="37">
                  <c:v>1451.593753606463</c:v>
                </c:pt>
                <c:pt idx="38">
                  <c:v>1495.6015471725332</c:v>
                </c:pt>
                <c:pt idx="39">
                  <c:v>1330.4064627813041</c:v>
                </c:pt>
                <c:pt idx="40">
                  <c:v>1504.4473348240049</c:v>
                </c:pt>
                <c:pt idx="41">
                  <c:v>1482.1117210040393</c:v>
                </c:pt>
                <c:pt idx="42">
                  <c:v>1635.364992065782</c:v>
                </c:pt>
                <c:pt idx="43">
                  <c:v>1773.1381347374495</c:v>
                </c:pt>
                <c:pt idx="44">
                  <c:v>1757.6580063473746</c:v>
                </c:pt>
                <c:pt idx="45">
                  <c:v>1677.3824834102713</c:v>
                </c:pt>
                <c:pt idx="46">
                  <c:v>1593.7897901038664</c:v>
                </c:pt>
                <c:pt idx="47">
                  <c:v>1451.1514642238892</c:v>
                </c:pt>
                <c:pt idx="48">
                  <c:v>1344.5597230236585</c:v>
                </c:pt>
                <c:pt idx="49">
                  <c:v>1449.6034513848817</c:v>
                </c:pt>
                <c:pt idx="50">
                  <c:v>1373.5296775822276</c:v>
                </c:pt>
                <c:pt idx="51">
                  <c:v>1347.8768933929603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Averages'!$U$842:$U$893</c:f>
              <c:numCache>
                <c:formatCode>#,##0</c:formatCode>
                <c:ptCount val="52"/>
                <c:pt idx="0">
                  <c:v>733.9375</c:v>
                </c:pt>
                <c:pt idx="1">
                  <c:v>669.25</c:v>
                </c:pt>
                <c:pt idx="2">
                  <c:v>637.5625</c:v>
                </c:pt>
                <c:pt idx="3">
                  <c:v>679.375</c:v>
                </c:pt>
                <c:pt idx="4">
                  <c:v>611.1875</c:v>
                </c:pt>
                <c:pt idx="5">
                  <c:v>696</c:v>
                </c:pt>
                <c:pt idx="6">
                  <c:v>630.1875</c:v>
                </c:pt>
                <c:pt idx="7">
                  <c:v>664.5</c:v>
                </c:pt>
                <c:pt idx="8">
                  <c:v>780.625</c:v>
                </c:pt>
                <c:pt idx="9">
                  <c:v>832.6875</c:v>
                </c:pt>
                <c:pt idx="10">
                  <c:v>856.6875</c:v>
                </c:pt>
                <c:pt idx="11">
                  <c:v>881</c:v>
                </c:pt>
                <c:pt idx="12">
                  <c:v>841.25</c:v>
                </c:pt>
                <c:pt idx="13">
                  <c:v>852.25</c:v>
                </c:pt>
                <c:pt idx="14">
                  <c:v>902.25</c:v>
                </c:pt>
                <c:pt idx="15">
                  <c:v>885.5625</c:v>
                </c:pt>
                <c:pt idx="16">
                  <c:v>914.5</c:v>
                </c:pt>
                <c:pt idx="17">
                  <c:v>907.5</c:v>
                </c:pt>
                <c:pt idx="18">
                  <c:v>943.5625</c:v>
                </c:pt>
                <c:pt idx="19">
                  <c:v>948.0625</c:v>
                </c:pt>
                <c:pt idx="20">
                  <c:v>943.375</c:v>
                </c:pt>
                <c:pt idx="21">
                  <c:v>943.125</c:v>
                </c:pt>
                <c:pt idx="22">
                  <c:v>819.375</c:v>
                </c:pt>
                <c:pt idx="23">
                  <c:v>776.375</c:v>
                </c:pt>
                <c:pt idx="24">
                  <c:v>698.1875</c:v>
                </c:pt>
                <c:pt idx="25">
                  <c:v>625.375</c:v>
                </c:pt>
                <c:pt idx="26">
                  <c:v>674.4375</c:v>
                </c:pt>
                <c:pt idx="27">
                  <c:v>635</c:v>
                </c:pt>
                <c:pt idx="28">
                  <c:v>670.0625</c:v>
                </c:pt>
                <c:pt idx="29">
                  <c:v>622.5</c:v>
                </c:pt>
                <c:pt idx="30">
                  <c:v>615.9375</c:v>
                </c:pt>
                <c:pt idx="31">
                  <c:v>608.25</c:v>
                </c:pt>
                <c:pt idx="32">
                  <c:v>601.75</c:v>
                </c:pt>
                <c:pt idx="33">
                  <c:v>678.75</c:v>
                </c:pt>
                <c:pt idx="34">
                  <c:v>651.0625</c:v>
                </c:pt>
                <c:pt idx="35">
                  <c:v>671.5</c:v>
                </c:pt>
                <c:pt idx="36">
                  <c:v>684.625</c:v>
                </c:pt>
                <c:pt idx="37">
                  <c:v>741.5625</c:v>
                </c:pt>
                <c:pt idx="38">
                  <c:v>797.5</c:v>
                </c:pt>
                <c:pt idx="39">
                  <c:v>835.75</c:v>
                </c:pt>
                <c:pt idx="40">
                  <c:v>915.9375</c:v>
                </c:pt>
                <c:pt idx="41">
                  <c:v>866.5</c:v>
                </c:pt>
                <c:pt idx="42">
                  <c:v>902.0625</c:v>
                </c:pt>
                <c:pt idx="43">
                  <c:v>989.3125</c:v>
                </c:pt>
                <c:pt idx="44">
                  <c:v>946.3125</c:v>
                </c:pt>
                <c:pt idx="45">
                  <c:v>936.5</c:v>
                </c:pt>
                <c:pt idx="46">
                  <c:v>889.875</c:v>
                </c:pt>
                <c:pt idx="47">
                  <c:v>770.875</c:v>
                </c:pt>
                <c:pt idx="48">
                  <c:v>767.375</c:v>
                </c:pt>
                <c:pt idx="49">
                  <c:v>724.25</c:v>
                </c:pt>
                <c:pt idx="50">
                  <c:v>742.25</c:v>
                </c:pt>
                <c:pt idx="51">
                  <c:v>683.0625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Averages'!$H$894:$H$945</c:f>
              <c:numCache>
                <c:formatCode>#,##0_);\(#,##0\)</c:formatCode>
                <c:ptCount val="52"/>
                <c:pt idx="0">
                  <c:v>1291.7061418061166</c:v>
                </c:pt>
                <c:pt idx="1">
                  <c:v>1204.2163829143958</c:v>
                </c:pt>
                <c:pt idx="2">
                  <c:v>1278.1958596892373</c:v>
                </c:pt>
                <c:pt idx="3">
                  <c:v>1351.7900657883774</c:v>
                </c:pt>
                <c:pt idx="4">
                  <c:v>1476.3774656437697</c:v>
                </c:pt>
                <c:pt idx="5">
                  <c:v>1404.5321218665722</c:v>
                </c:pt>
                <c:pt idx="6">
                  <c:v>1251.7498938959266</c:v>
                </c:pt>
                <c:pt idx="7">
                  <c:v>1293.2161879895561</c:v>
                </c:pt>
                <c:pt idx="8">
                  <c:v>1259.5109649829697</c:v>
                </c:pt>
                <c:pt idx="9">
                  <c:v>1254.8543223307438</c:v>
                </c:pt>
                <c:pt idx="10">
                  <c:v>1598.5588990426459</c:v>
                </c:pt>
                <c:pt idx="11">
                  <c:v>1548.0010645327659</c:v>
                </c:pt>
                <c:pt idx="12">
                  <c:v>1793.2509108833233</c:v>
                </c:pt>
                <c:pt idx="13">
                  <c:v>1959.7813219224447</c:v>
                </c:pt>
                <c:pt idx="14">
                  <c:v>2386.8619765980084</c:v>
                </c:pt>
                <c:pt idx="15">
                  <c:v>2695.7526058623171</c:v>
                </c:pt>
                <c:pt idx="16">
                  <c:v>2783.5635815900032</c:v>
                </c:pt>
                <c:pt idx="17">
                  <c:v>2935.9023197842462</c:v>
                </c:pt>
                <c:pt idx="18">
                  <c:v>2602.8414977060033</c:v>
                </c:pt>
                <c:pt idx="19">
                  <c:v>2236.5189423975762</c:v>
                </c:pt>
                <c:pt idx="20">
                  <c:v>2174.8738634776355</c:v>
                </c:pt>
                <c:pt idx="21">
                  <c:v>2100.5893259302238</c:v>
                </c:pt>
                <c:pt idx="22">
                  <c:v>1839.8173374055809</c:v>
                </c:pt>
                <c:pt idx="23">
                  <c:v>2130.3031409491887</c:v>
                </c:pt>
                <c:pt idx="24">
                  <c:v>1929.6240171270779</c:v>
                </c:pt>
                <c:pt idx="25">
                  <c:v>2090.6108059611688</c:v>
                </c:pt>
                <c:pt idx="26">
                  <c:v>2291.2899297832791</c:v>
                </c:pt>
                <c:pt idx="27">
                  <c:v>2164.6735986203785</c:v>
                </c:pt>
                <c:pt idx="28">
                  <c:v>2276.2112773855956</c:v>
                </c:pt>
                <c:pt idx="29">
                  <c:v>1965.5466890156767</c:v>
                </c:pt>
                <c:pt idx="30">
                  <c:v>1857.3351835734777</c:v>
                </c:pt>
                <c:pt idx="31">
                  <c:v>1801.0119819703662</c:v>
                </c:pt>
                <c:pt idx="32">
                  <c:v>1630.4901629436224</c:v>
                </c:pt>
                <c:pt idx="33">
                  <c:v>1670.4042428198434</c:v>
                </c:pt>
                <c:pt idx="34">
                  <c:v>1626.4987549560005</c:v>
                </c:pt>
                <c:pt idx="35">
                  <c:v>1519.8394637312103</c:v>
                </c:pt>
                <c:pt idx="36">
                  <c:v>1622.9508367447806</c:v>
                </c:pt>
                <c:pt idx="37">
                  <c:v>1739.5886479386263</c:v>
                </c:pt>
                <c:pt idx="38">
                  <c:v>1604.546011024079</c:v>
                </c:pt>
                <c:pt idx="39">
                  <c:v>1692.3569867517649</c:v>
                </c:pt>
                <c:pt idx="40">
                  <c:v>1767.7502487401821</c:v>
                </c:pt>
                <c:pt idx="41">
                  <c:v>1504.3173215571246</c:v>
                </c:pt>
                <c:pt idx="42">
                  <c:v>1791.9204415541158</c:v>
                </c:pt>
                <c:pt idx="43">
                  <c:v>1869.3094075363442</c:v>
                </c:pt>
                <c:pt idx="44">
                  <c:v>1912.5496607355833</c:v>
                </c:pt>
                <c:pt idx="45">
                  <c:v>2120.1028760919321</c:v>
                </c:pt>
                <c:pt idx="46">
                  <c:v>1983.2862800717749</c:v>
                </c:pt>
                <c:pt idx="47">
                  <c:v>1885.0532945986313</c:v>
                </c:pt>
                <c:pt idx="48">
                  <c:v>1780.8331971440546</c:v>
                </c:pt>
                <c:pt idx="49">
                  <c:v>1616.0767452105429</c:v>
                </c:pt>
                <c:pt idx="50">
                  <c:v>1540.6834832221257</c:v>
                </c:pt>
                <c:pt idx="51">
                  <c:v>1915.6540891704008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Averages'!$H$998:$H$1021</c:f>
              <c:numCache>
                <c:formatCode>#,##0_);\(#,##0\)</c:formatCode>
                <c:ptCount val="24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515264"/>
        <c:axId val="86831872"/>
      </c:lineChart>
      <c:dateAx>
        <c:axId val="8351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351677429967031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68318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8683187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5152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9426092536395601E-2"/>
          <c:y val="0.90552289615024284"/>
          <c:w val="0.83977358305593808"/>
          <c:h val="9.44771038497571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Averages'!$E$842:$E$893</c:f>
              <c:numCache>
                <c:formatCode>#,##0_);\(#,##0\)</c:formatCode>
                <c:ptCount val="52"/>
                <c:pt idx="0">
                  <c:v>3282.5</c:v>
                </c:pt>
                <c:pt idx="1">
                  <c:v>3039.25</c:v>
                </c:pt>
                <c:pt idx="2">
                  <c:v>2894</c:v>
                </c:pt>
                <c:pt idx="3">
                  <c:v>3289</c:v>
                </c:pt>
                <c:pt idx="4">
                  <c:v>3252.75</c:v>
                </c:pt>
                <c:pt idx="5">
                  <c:v>3457.75</c:v>
                </c:pt>
                <c:pt idx="6">
                  <c:v>3367.5</c:v>
                </c:pt>
                <c:pt idx="7">
                  <c:v>3290</c:v>
                </c:pt>
                <c:pt idx="8">
                  <c:v>3563.5</c:v>
                </c:pt>
                <c:pt idx="9">
                  <c:v>3724.5</c:v>
                </c:pt>
                <c:pt idx="10">
                  <c:v>3685.25</c:v>
                </c:pt>
                <c:pt idx="11">
                  <c:v>3805.75</c:v>
                </c:pt>
                <c:pt idx="12">
                  <c:v>3576.5</c:v>
                </c:pt>
                <c:pt idx="13">
                  <c:v>3476.25</c:v>
                </c:pt>
                <c:pt idx="14">
                  <c:v>3484.5</c:v>
                </c:pt>
                <c:pt idx="15">
                  <c:v>3305</c:v>
                </c:pt>
                <c:pt idx="16">
                  <c:v>3331</c:v>
                </c:pt>
                <c:pt idx="17">
                  <c:v>3324.25</c:v>
                </c:pt>
                <c:pt idx="18">
                  <c:v>3190.25</c:v>
                </c:pt>
                <c:pt idx="19">
                  <c:v>3213.25</c:v>
                </c:pt>
                <c:pt idx="20">
                  <c:v>3290.25</c:v>
                </c:pt>
                <c:pt idx="21">
                  <c:v>3154.5</c:v>
                </c:pt>
                <c:pt idx="22">
                  <c:v>3259.5</c:v>
                </c:pt>
                <c:pt idx="23">
                  <c:v>3011.25</c:v>
                </c:pt>
                <c:pt idx="24">
                  <c:v>2860.75</c:v>
                </c:pt>
                <c:pt idx="25">
                  <c:v>2830</c:v>
                </c:pt>
                <c:pt idx="26">
                  <c:v>2678.5</c:v>
                </c:pt>
                <c:pt idx="27">
                  <c:v>3015.25</c:v>
                </c:pt>
                <c:pt idx="28">
                  <c:v>3440.5</c:v>
                </c:pt>
                <c:pt idx="29">
                  <c:v>3693</c:v>
                </c:pt>
                <c:pt idx="30">
                  <c:v>3869</c:v>
                </c:pt>
                <c:pt idx="31">
                  <c:v>3797</c:v>
                </c:pt>
                <c:pt idx="32">
                  <c:v>3441</c:v>
                </c:pt>
                <c:pt idx="33">
                  <c:v>3350</c:v>
                </c:pt>
                <c:pt idx="34">
                  <c:v>3204.75</c:v>
                </c:pt>
                <c:pt idx="35">
                  <c:v>3013.75</c:v>
                </c:pt>
                <c:pt idx="36">
                  <c:v>2617.25</c:v>
                </c:pt>
                <c:pt idx="37">
                  <c:v>1986.75</c:v>
                </c:pt>
                <c:pt idx="38">
                  <c:v>1841.25</c:v>
                </c:pt>
                <c:pt idx="39">
                  <c:v>1822</c:v>
                </c:pt>
                <c:pt idx="40">
                  <c:v>2904</c:v>
                </c:pt>
                <c:pt idx="41">
                  <c:v>3782</c:v>
                </c:pt>
                <c:pt idx="42">
                  <c:v>4403</c:v>
                </c:pt>
                <c:pt idx="43">
                  <c:v>4915</c:v>
                </c:pt>
                <c:pt idx="44">
                  <c:v>4650.25</c:v>
                </c:pt>
                <c:pt idx="45">
                  <c:v>4688.75</c:v>
                </c:pt>
                <c:pt idx="46">
                  <c:v>4346.25</c:v>
                </c:pt>
                <c:pt idx="47">
                  <c:v>4063.5</c:v>
                </c:pt>
                <c:pt idx="48">
                  <c:v>4117</c:v>
                </c:pt>
                <c:pt idx="49">
                  <c:v>3885.25</c:v>
                </c:pt>
                <c:pt idx="50">
                  <c:v>4054.25</c:v>
                </c:pt>
                <c:pt idx="51">
                  <c:v>3933.25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Averages'!$V$842:$V$893</c:f>
              <c:numCache>
                <c:formatCode>#,##0</c:formatCode>
                <c:ptCount val="52"/>
                <c:pt idx="0">
                  <c:v>3869.8125</c:v>
                </c:pt>
                <c:pt idx="1">
                  <c:v>3835.125</c:v>
                </c:pt>
                <c:pt idx="2">
                  <c:v>4075.9375</c:v>
                </c:pt>
                <c:pt idx="3">
                  <c:v>4304.625</c:v>
                </c:pt>
                <c:pt idx="4">
                  <c:v>4427.8125</c:v>
                </c:pt>
                <c:pt idx="5">
                  <c:v>4486.75</c:v>
                </c:pt>
                <c:pt idx="6">
                  <c:v>4383</c:v>
                </c:pt>
                <c:pt idx="7">
                  <c:v>4445.375</c:v>
                </c:pt>
                <c:pt idx="8">
                  <c:v>4511.625</c:v>
                </c:pt>
                <c:pt idx="9">
                  <c:v>4526</c:v>
                </c:pt>
                <c:pt idx="10">
                  <c:v>4649.9375</c:v>
                </c:pt>
                <c:pt idx="11">
                  <c:v>4780.1875</c:v>
                </c:pt>
                <c:pt idx="12">
                  <c:v>4708.875</c:v>
                </c:pt>
                <c:pt idx="13">
                  <c:v>4704.4375</c:v>
                </c:pt>
                <c:pt idx="14">
                  <c:v>4689.8125</c:v>
                </c:pt>
                <c:pt idx="15">
                  <c:v>4515.3125</c:v>
                </c:pt>
                <c:pt idx="16">
                  <c:v>4517.4375</c:v>
                </c:pt>
                <c:pt idx="17">
                  <c:v>4466.4375</c:v>
                </c:pt>
                <c:pt idx="18">
                  <c:v>4201.0625</c:v>
                </c:pt>
                <c:pt idx="19">
                  <c:v>4048.6875</c:v>
                </c:pt>
                <c:pt idx="20">
                  <c:v>3932.6875</c:v>
                </c:pt>
                <c:pt idx="21">
                  <c:v>3781.625</c:v>
                </c:pt>
                <c:pt idx="22">
                  <c:v>3815</c:v>
                </c:pt>
                <c:pt idx="23">
                  <c:v>3680.9375</c:v>
                </c:pt>
                <c:pt idx="24">
                  <c:v>3730.6875</c:v>
                </c:pt>
                <c:pt idx="25">
                  <c:v>3727.125</c:v>
                </c:pt>
                <c:pt idx="26">
                  <c:v>3631.25</c:v>
                </c:pt>
                <c:pt idx="27">
                  <c:v>3776.375</c:v>
                </c:pt>
                <c:pt idx="28">
                  <c:v>3691.25</c:v>
                </c:pt>
                <c:pt idx="29">
                  <c:v>3731.75</c:v>
                </c:pt>
                <c:pt idx="30">
                  <c:v>3828.6875</c:v>
                </c:pt>
                <c:pt idx="31">
                  <c:v>3824.8125</c:v>
                </c:pt>
                <c:pt idx="32">
                  <c:v>3788.875</c:v>
                </c:pt>
                <c:pt idx="33">
                  <c:v>3700.0625</c:v>
                </c:pt>
                <c:pt idx="34">
                  <c:v>3676.125</c:v>
                </c:pt>
                <c:pt idx="35">
                  <c:v>3595.625</c:v>
                </c:pt>
                <c:pt idx="36">
                  <c:v>3597.8125</c:v>
                </c:pt>
                <c:pt idx="37">
                  <c:v>3595.25</c:v>
                </c:pt>
                <c:pt idx="38">
                  <c:v>3643.75</c:v>
                </c:pt>
                <c:pt idx="39">
                  <c:v>3782.4375</c:v>
                </c:pt>
                <c:pt idx="40">
                  <c:v>4251.75</c:v>
                </c:pt>
                <c:pt idx="41">
                  <c:v>4708.0625</c:v>
                </c:pt>
                <c:pt idx="42">
                  <c:v>5039.6875</c:v>
                </c:pt>
                <c:pt idx="43">
                  <c:v>5328.1875</c:v>
                </c:pt>
                <c:pt idx="44">
                  <c:v>4925.75</c:v>
                </c:pt>
                <c:pt idx="45">
                  <c:v>4701.125</c:v>
                </c:pt>
                <c:pt idx="46">
                  <c:v>4565.625</c:v>
                </c:pt>
                <c:pt idx="47">
                  <c:v>4254.4375</c:v>
                </c:pt>
                <c:pt idx="48">
                  <c:v>4469.375</c:v>
                </c:pt>
                <c:pt idx="49">
                  <c:v>4394.625</c:v>
                </c:pt>
                <c:pt idx="50">
                  <c:v>4221.125</c:v>
                </c:pt>
                <c:pt idx="51">
                  <c:v>3983.5625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Averages'!$E$894:$E$945</c:f>
              <c:numCache>
                <c:formatCode>#,##0_);\(#,##0\)</c:formatCode>
                <c:ptCount val="52"/>
                <c:pt idx="0">
                  <c:v>3591.5</c:v>
                </c:pt>
                <c:pt idx="1">
                  <c:v>3511.75</c:v>
                </c:pt>
                <c:pt idx="2">
                  <c:v>3478.5</c:v>
                </c:pt>
                <c:pt idx="3">
                  <c:v>3862.75</c:v>
                </c:pt>
                <c:pt idx="4">
                  <c:v>4151.25</c:v>
                </c:pt>
                <c:pt idx="5">
                  <c:v>4164.5</c:v>
                </c:pt>
                <c:pt idx="6">
                  <c:v>4257.25</c:v>
                </c:pt>
                <c:pt idx="7">
                  <c:v>4122.25</c:v>
                </c:pt>
                <c:pt idx="8">
                  <c:v>3742</c:v>
                </c:pt>
                <c:pt idx="9">
                  <c:v>3738.5</c:v>
                </c:pt>
                <c:pt idx="10">
                  <c:v>3671</c:v>
                </c:pt>
                <c:pt idx="11">
                  <c:v>3809.75</c:v>
                </c:pt>
                <c:pt idx="12">
                  <c:v>4277</c:v>
                </c:pt>
                <c:pt idx="13">
                  <c:v>4340.5</c:v>
                </c:pt>
                <c:pt idx="14">
                  <c:v>4378</c:v>
                </c:pt>
                <c:pt idx="15">
                  <c:v>4224.25</c:v>
                </c:pt>
                <c:pt idx="16">
                  <c:v>3977.5</c:v>
                </c:pt>
                <c:pt idx="17">
                  <c:v>3815.25</c:v>
                </c:pt>
                <c:pt idx="18">
                  <c:v>3812.5</c:v>
                </c:pt>
                <c:pt idx="19">
                  <c:v>3732.75</c:v>
                </c:pt>
                <c:pt idx="20">
                  <c:v>3834</c:v>
                </c:pt>
                <c:pt idx="21">
                  <c:v>3835.5</c:v>
                </c:pt>
                <c:pt idx="22">
                  <c:v>3761.75</c:v>
                </c:pt>
                <c:pt idx="23">
                  <c:v>3625.25</c:v>
                </c:pt>
                <c:pt idx="24">
                  <c:v>3482.75</c:v>
                </c:pt>
                <c:pt idx="25">
                  <c:v>3481.75</c:v>
                </c:pt>
                <c:pt idx="26">
                  <c:v>3139.75</c:v>
                </c:pt>
                <c:pt idx="27">
                  <c:v>3266</c:v>
                </c:pt>
                <c:pt idx="28">
                  <c:v>3236.5</c:v>
                </c:pt>
                <c:pt idx="29">
                  <c:v>3321.75</c:v>
                </c:pt>
                <c:pt idx="30">
                  <c:v>3725.75</c:v>
                </c:pt>
                <c:pt idx="31">
                  <c:v>3357</c:v>
                </c:pt>
                <c:pt idx="32">
                  <c:v>2960.75</c:v>
                </c:pt>
                <c:pt idx="33">
                  <c:v>2843.25</c:v>
                </c:pt>
                <c:pt idx="34">
                  <c:v>2624.25</c:v>
                </c:pt>
                <c:pt idx="35">
                  <c:v>2748.25</c:v>
                </c:pt>
                <c:pt idx="36">
                  <c:v>2727.75</c:v>
                </c:pt>
                <c:pt idx="37">
                  <c:v>2554.5</c:v>
                </c:pt>
                <c:pt idx="38">
                  <c:v>2217.25</c:v>
                </c:pt>
                <c:pt idx="39">
                  <c:v>2057</c:v>
                </c:pt>
                <c:pt idx="40">
                  <c:v>2559.75</c:v>
                </c:pt>
                <c:pt idx="41">
                  <c:v>3029.25</c:v>
                </c:pt>
                <c:pt idx="42">
                  <c:v>3664.25</c:v>
                </c:pt>
                <c:pt idx="43">
                  <c:v>4137</c:v>
                </c:pt>
                <c:pt idx="44">
                  <c:v>4148</c:v>
                </c:pt>
                <c:pt idx="45">
                  <c:v>3984.5</c:v>
                </c:pt>
                <c:pt idx="46">
                  <c:v>3799.5</c:v>
                </c:pt>
                <c:pt idx="47">
                  <c:v>3790.5</c:v>
                </c:pt>
                <c:pt idx="48">
                  <c:v>3818.25</c:v>
                </c:pt>
                <c:pt idx="49">
                  <c:v>4480.5</c:v>
                </c:pt>
                <c:pt idx="50">
                  <c:v>5022.25</c:v>
                </c:pt>
                <c:pt idx="51">
                  <c:v>5064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350912"/>
        <c:axId val="115975680"/>
      </c:lineChart>
      <c:dateAx>
        <c:axId val="11535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97568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15975680"/>
        <c:scaling>
          <c:orientation val="minMax"/>
          <c:max val="6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988668892116E-2"/>
              <c:y val="0.1355316418780985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53509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47233052179159"/>
          <c:y val="0.8854876057159522"/>
          <c:w val="0.82392762191133873"/>
          <c:h val="8.7284631087780729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Averages'!$F$842:$F$893</c:f>
              <c:numCache>
                <c:formatCode>#,##0_);\(#,##0\)</c:formatCode>
                <c:ptCount val="52"/>
                <c:pt idx="0">
                  <c:v>1061.75</c:v>
                </c:pt>
                <c:pt idx="1">
                  <c:v>1176.25</c:v>
                </c:pt>
                <c:pt idx="2">
                  <c:v>1128.75</c:v>
                </c:pt>
                <c:pt idx="3">
                  <c:v>1242.25</c:v>
                </c:pt>
                <c:pt idx="4">
                  <c:v>1304</c:v>
                </c:pt>
                <c:pt idx="5">
                  <c:v>1140</c:v>
                </c:pt>
                <c:pt idx="6">
                  <c:v>1100</c:v>
                </c:pt>
                <c:pt idx="7">
                  <c:v>1080.25</c:v>
                </c:pt>
                <c:pt idx="8">
                  <c:v>1102.75</c:v>
                </c:pt>
                <c:pt idx="9">
                  <c:v>1069.75</c:v>
                </c:pt>
                <c:pt idx="10">
                  <c:v>1014.25</c:v>
                </c:pt>
                <c:pt idx="11">
                  <c:v>1031.75</c:v>
                </c:pt>
                <c:pt idx="12">
                  <c:v>824.5</c:v>
                </c:pt>
                <c:pt idx="13">
                  <c:v>748.5</c:v>
                </c:pt>
                <c:pt idx="14">
                  <c:v>670.25</c:v>
                </c:pt>
                <c:pt idx="15">
                  <c:v>507.75</c:v>
                </c:pt>
                <c:pt idx="16">
                  <c:v>448.5</c:v>
                </c:pt>
                <c:pt idx="17">
                  <c:v>364.75</c:v>
                </c:pt>
                <c:pt idx="18">
                  <c:v>356.25</c:v>
                </c:pt>
                <c:pt idx="19">
                  <c:v>274.5</c:v>
                </c:pt>
                <c:pt idx="20">
                  <c:v>241</c:v>
                </c:pt>
                <c:pt idx="21">
                  <c:v>231.25</c:v>
                </c:pt>
                <c:pt idx="22">
                  <c:v>162.75</c:v>
                </c:pt>
                <c:pt idx="23">
                  <c:v>156.75</c:v>
                </c:pt>
                <c:pt idx="24">
                  <c:v>132.5</c:v>
                </c:pt>
                <c:pt idx="25">
                  <c:v>115.75</c:v>
                </c:pt>
                <c:pt idx="26">
                  <c:v>105</c:v>
                </c:pt>
                <c:pt idx="27">
                  <c:v>127.75</c:v>
                </c:pt>
                <c:pt idx="28">
                  <c:v>166.25</c:v>
                </c:pt>
                <c:pt idx="29">
                  <c:v>135</c:v>
                </c:pt>
                <c:pt idx="30">
                  <c:v>136.5</c:v>
                </c:pt>
                <c:pt idx="31">
                  <c:v>104.25</c:v>
                </c:pt>
                <c:pt idx="32">
                  <c:v>100.25</c:v>
                </c:pt>
                <c:pt idx="33">
                  <c:v>127.75</c:v>
                </c:pt>
                <c:pt idx="34">
                  <c:v>137.25</c:v>
                </c:pt>
                <c:pt idx="35">
                  <c:v>184.5</c:v>
                </c:pt>
                <c:pt idx="36">
                  <c:v>183.75</c:v>
                </c:pt>
                <c:pt idx="37">
                  <c:v>243.5</c:v>
                </c:pt>
                <c:pt idx="38">
                  <c:v>415</c:v>
                </c:pt>
                <c:pt idx="39">
                  <c:v>535.5</c:v>
                </c:pt>
                <c:pt idx="40">
                  <c:v>723.5</c:v>
                </c:pt>
                <c:pt idx="41">
                  <c:v>901.5</c:v>
                </c:pt>
                <c:pt idx="42">
                  <c:v>969</c:v>
                </c:pt>
                <c:pt idx="43">
                  <c:v>1068.25</c:v>
                </c:pt>
                <c:pt idx="44">
                  <c:v>1073.5</c:v>
                </c:pt>
                <c:pt idx="45">
                  <c:v>1150</c:v>
                </c:pt>
                <c:pt idx="46">
                  <c:v>1225</c:v>
                </c:pt>
                <c:pt idx="47">
                  <c:v>1160</c:v>
                </c:pt>
                <c:pt idx="48">
                  <c:v>1142.25</c:v>
                </c:pt>
                <c:pt idx="49">
                  <c:v>934.5</c:v>
                </c:pt>
                <c:pt idx="50">
                  <c:v>830.75</c:v>
                </c:pt>
                <c:pt idx="51">
                  <c:v>721.5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Averages'!$W$842:$W$893</c:f>
              <c:numCache>
                <c:formatCode>#,##0_);\(#,##0\)</c:formatCode>
                <c:ptCount val="52"/>
                <c:pt idx="0">
                  <c:v>576.25</c:v>
                </c:pt>
                <c:pt idx="1">
                  <c:v>642.25</c:v>
                </c:pt>
                <c:pt idx="2">
                  <c:v>659.125</c:v>
                </c:pt>
                <c:pt idx="3">
                  <c:v>757.1875</c:v>
                </c:pt>
                <c:pt idx="4">
                  <c:v>723.375</c:v>
                </c:pt>
                <c:pt idx="5">
                  <c:v>707.0625</c:v>
                </c:pt>
                <c:pt idx="6">
                  <c:v>712.625</c:v>
                </c:pt>
                <c:pt idx="7">
                  <c:v>669.5625</c:v>
                </c:pt>
                <c:pt idx="8">
                  <c:v>682.6875</c:v>
                </c:pt>
                <c:pt idx="9">
                  <c:v>707.3125</c:v>
                </c:pt>
                <c:pt idx="10">
                  <c:v>710.5</c:v>
                </c:pt>
                <c:pt idx="11">
                  <c:v>695.1875</c:v>
                </c:pt>
                <c:pt idx="12">
                  <c:v>674.3125</c:v>
                </c:pt>
                <c:pt idx="13">
                  <c:v>624.9375</c:v>
                </c:pt>
                <c:pt idx="14">
                  <c:v>580.6875</c:v>
                </c:pt>
                <c:pt idx="15">
                  <c:v>495</c:v>
                </c:pt>
                <c:pt idx="16">
                  <c:v>445.875</c:v>
                </c:pt>
                <c:pt idx="17">
                  <c:v>455.9375</c:v>
                </c:pt>
                <c:pt idx="18">
                  <c:v>429.5</c:v>
                </c:pt>
                <c:pt idx="19">
                  <c:v>422.5625</c:v>
                </c:pt>
                <c:pt idx="20">
                  <c:v>404</c:v>
                </c:pt>
                <c:pt idx="21">
                  <c:v>321.75</c:v>
                </c:pt>
                <c:pt idx="22">
                  <c:v>303.75</c:v>
                </c:pt>
                <c:pt idx="23">
                  <c:v>293.625</c:v>
                </c:pt>
                <c:pt idx="24">
                  <c:v>278.4375</c:v>
                </c:pt>
                <c:pt idx="25">
                  <c:v>282.875</c:v>
                </c:pt>
                <c:pt idx="26">
                  <c:v>300.375</c:v>
                </c:pt>
                <c:pt idx="27">
                  <c:v>347.0625</c:v>
                </c:pt>
                <c:pt idx="28">
                  <c:v>370.6875</c:v>
                </c:pt>
                <c:pt idx="29">
                  <c:v>341.625</c:v>
                </c:pt>
                <c:pt idx="30">
                  <c:v>330</c:v>
                </c:pt>
                <c:pt idx="31">
                  <c:v>300.4375</c:v>
                </c:pt>
                <c:pt idx="32">
                  <c:v>282.3125</c:v>
                </c:pt>
                <c:pt idx="33">
                  <c:v>353.125</c:v>
                </c:pt>
                <c:pt idx="34">
                  <c:v>392.125</c:v>
                </c:pt>
                <c:pt idx="35">
                  <c:v>423.625</c:v>
                </c:pt>
                <c:pt idx="36">
                  <c:v>470</c:v>
                </c:pt>
                <c:pt idx="37">
                  <c:v>508.1875</c:v>
                </c:pt>
                <c:pt idx="38">
                  <c:v>535.6875</c:v>
                </c:pt>
                <c:pt idx="39">
                  <c:v>589.125</c:v>
                </c:pt>
                <c:pt idx="40">
                  <c:v>674.625</c:v>
                </c:pt>
                <c:pt idx="41">
                  <c:v>767.125</c:v>
                </c:pt>
                <c:pt idx="42">
                  <c:v>855.25</c:v>
                </c:pt>
                <c:pt idx="43">
                  <c:v>936.75</c:v>
                </c:pt>
                <c:pt idx="44">
                  <c:v>980.4375</c:v>
                </c:pt>
                <c:pt idx="45">
                  <c:v>1040.3125</c:v>
                </c:pt>
                <c:pt idx="46">
                  <c:v>1026.3125</c:v>
                </c:pt>
                <c:pt idx="47">
                  <c:v>1009.0625</c:v>
                </c:pt>
                <c:pt idx="48">
                  <c:v>1002.5</c:v>
                </c:pt>
                <c:pt idx="49">
                  <c:v>890.5625</c:v>
                </c:pt>
                <c:pt idx="50">
                  <c:v>869.5</c:v>
                </c:pt>
                <c:pt idx="51">
                  <c:v>776.5625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Averages'!$F$894:$F$945</c:f>
              <c:numCache>
                <c:formatCode>#,##0_);\(#,##0\)</c:formatCode>
                <c:ptCount val="52"/>
                <c:pt idx="0">
                  <c:v>692.75</c:v>
                </c:pt>
                <c:pt idx="1">
                  <c:v>754</c:v>
                </c:pt>
                <c:pt idx="2">
                  <c:v>761.25</c:v>
                </c:pt>
                <c:pt idx="3">
                  <c:v>850.25</c:v>
                </c:pt>
                <c:pt idx="4">
                  <c:v>812</c:v>
                </c:pt>
                <c:pt idx="5">
                  <c:v>800.5</c:v>
                </c:pt>
                <c:pt idx="6">
                  <c:v>672.75</c:v>
                </c:pt>
                <c:pt idx="7">
                  <c:v>677.25</c:v>
                </c:pt>
                <c:pt idx="8">
                  <c:v>730.75</c:v>
                </c:pt>
                <c:pt idx="9">
                  <c:v>719</c:v>
                </c:pt>
                <c:pt idx="10">
                  <c:v>753.75</c:v>
                </c:pt>
                <c:pt idx="11">
                  <c:v>760.5</c:v>
                </c:pt>
                <c:pt idx="12">
                  <c:v>736.75</c:v>
                </c:pt>
                <c:pt idx="13">
                  <c:v>699.75</c:v>
                </c:pt>
                <c:pt idx="14">
                  <c:v>675.75</c:v>
                </c:pt>
                <c:pt idx="15">
                  <c:v>607.5</c:v>
                </c:pt>
                <c:pt idx="16">
                  <c:v>582.25</c:v>
                </c:pt>
                <c:pt idx="17">
                  <c:v>530</c:v>
                </c:pt>
                <c:pt idx="18">
                  <c:v>552.5</c:v>
                </c:pt>
                <c:pt idx="19">
                  <c:v>514</c:v>
                </c:pt>
                <c:pt idx="20">
                  <c:v>465.75</c:v>
                </c:pt>
                <c:pt idx="21">
                  <c:v>410.25</c:v>
                </c:pt>
                <c:pt idx="22">
                  <c:v>273.5</c:v>
                </c:pt>
                <c:pt idx="23">
                  <c:v>239.5</c:v>
                </c:pt>
                <c:pt idx="24">
                  <c:v>231.5</c:v>
                </c:pt>
                <c:pt idx="25">
                  <c:v>238.75</c:v>
                </c:pt>
                <c:pt idx="26">
                  <c:v>263.75</c:v>
                </c:pt>
                <c:pt idx="27">
                  <c:v>266</c:v>
                </c:pt>
                <c:pt idx="28">
                  <c:v>210</c:v>
                </c:pt>
                <c:pt idx="29">
                  <c:v>224.25</c:v>
                </c:pt>
                <c:pt idx="30">
                  <c:v>227.5</c:v>
                </c:pt>
                <c:pt idx="31">
                  <c:v>239.75</c:v>
                </c:pt>
                <c:pt idx="32">
                  <c:v>237.5</c:v>
                </c:pt>
                <c:pt idx="33">
                  <c:v>197.5</c:v>
                </c:pt>
                <c:pt idx="34">
                  <c:v>148.75</c:v>
                </c:pt>
                <c:pt idx="35">
                  <c:v>74.25</c:v>
                </c:pt>
                <c:pt idx="36">
                  <c:v>40.25</c:v>
                </c:pt>
                <c:pt idx="37">
                  <c:v>37</c:v>
                </c:pt>
                <c:pt idx="38">
                  <c:v>85.5</c:v>
                </c:pt>
                <c:pt idx="39">
                  <c:v>119.5</c:v>
                </c:pt>
                <c:pt idx="40">
                  <c:v>164.75</c:v>
                </c:pt>
                <c:pt idx="41">
                  <c:v>249.25</c:v>
                </c:pt>
                <c:pt idx="42">
                  <c:v>380.5</c:v>
                </c:pt>
                <c:pt idx="43">
                  <c:v>475</c:v>
                </c:pt>
                <c:pt idx="44">
                  <c:v>636</c:v>
                </c:pt>
                <c:pt idx="45">
                  <c:v>714</c:v>
                </c:pt>
                <c:pt idx="46">
                  <c:v>707.5</c:v>
                </c:pt>
                <c:pt idx="47">
                  <c:v>669</c:v>
                </c:pt>
                <c:pt idx="48">
                  <c:v>602</c:v>
                </c:pt>
                <c:pt idx="49">
                  <c:v>563.5</c:v>
                </c:pt>
                <c:pt idx="50">
                  <c:v>515</c:v>
                </c:pt>
                <c:pt idx="51">
                  <c:v>529.5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36288"/>
        <c:axId val="154638208"/>
      </c:lineChart>
      <c:dateAx>
        <c:axId val="15463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9262200275813"/>
              <c:y val="0.8131898703397770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638208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54638208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463628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918457226744963"/>
          <c:y val="0.86995501584100354"/>
          <c:w val="0.73918190310956899"/>
          <c:h val="0.1165919314581590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33173706779"/>
          <c:y val="1.82479741052776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8025305561637012"/>
          <c:w val="0.81595254975185538"/>
          <c:h val="0.5401469479694414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Averages'!$G$842:$G$893</c:f>
              <c:numCache>
                <c:formatCode>#,##0_);\(#,##0\)</c:formatCode>
                <c:ptCount val="52"/>
                <c:pt idx="0">
                  <c:v>6204.25</c:v>
                </c:pt>
                <c:pt idx="1">
                  <c:v>5809.75</c:v>
                </c:pt>
                <c:pt idx="2">
                  <c:v>5607.25</c:v>
                </c:pt>
                <c:pt idx="3">
                  <c:v>6410.25</c:v>
                </c:pt>
                <c:pt idx="4">
                  <c:v>6633.75</c:v>
                </c:pt>
                <c:pt idx="5">
                  <c:v>7064.75</c:v>
                </c:pt>
                <c:pt idx="6">
                  <c:v>7013.25</c:v>
                </c:pt>
                <c:pt idx="7">
                  <c:v>6697.5</c:v>
                </c:pt>
                <c:pt idx="8">
                  <c:v>6714.25</c:v>
                </c:pt>
                <c:pt idx="9">
                  <c:v>6804.75</c:v>
                </c:pt>
                <c:pt idx="10">
                  <c:v>6655.75</c:v>
                </c:pt>
                <c:pt idx="11">
                  <c:v>6822.25</c:v>
                </c:pt>
                <c:pt idx="12">
                  <c:v>6463.75</c:v>
                </c:pt>
                <c:pt idx="13">
                  <c:v>6047.5</c:v>
                </c:pt>
                <c:pt idx="14">
                  <c:v>5813.5</c:v>
                </c:pt>
                <c:pt idx="15">
                  <c:v>5342.75</c:v>
                </c:pt>
                <c:pt idx="16">
                  <c:v>5140.75</c:v>
                </c:pt>
                <c:pt idx="17">
                  <c:v>4920.5</c:v>
                </c:pt>
                <c:pt idx="18">
                  <c:v>4758</c:v>
                </c:pt>
                <c:pt idx="19">
                  <c:v>4700.5</c:v>
                </c:pt>
                <c:pt idx="20">
                  <c:v>4682.5</c:v>
                </c:pt>
                <c:pt idx="21">
                  <c:v>4443.5</c:v>
                </c:pt>
                <c:pt idx="22">
                  <c:v>4470.25</c:v>
                </c:pt>
                <c:pt idx="23">
                  <c:v>4224.25</c:v>
                </c:pt>
                <c:pt idx="24">
                  <c:v>4108</c:v>
                </c:pt>
                <c:pt idx="25">
                  <c:v>4137.75</c:v>
                </c:pt>
                <c:pt idx="26">
                  <c:v>4080.25</c:v>
                </c:pt>
                <c:pt idx="27">
                  <c:v>4494.75</c:v>
                </c:pt>
                <c:pt idx="28">
                  <c:v>4973.75</c:v>
                </c:pt>
                <c:pt idx="29">
                  <c:v>5437.75</c:v>
                </c:pt>
                <c:pt idx="30">
                  <c:v>5602.75</c:v>
                </c:pt>
                <c:pt idx="31">
                  <c:v>5544.5</c:v>
                </c:pt>
                <c:pt idx="32">
                  <c:v>5365.25</c:v>
                </c:pt>
                <c:pt idx="33">
                  <c:v>5259.5</c:v>
                </c:pt>
                <c:pt idx="34">
                  <c:v>5348</c:v>
                </c:pt>
                <c:pt idx="35">
                  <c:v>5596</c:v>
                </c:pt>
                <c:pt idx="36">
                  <c:v>5612.25</c:v>
                </c:pt>
                <c:pt idx="37">
                  <c:v>5297</c:v>
                </c:pt>
                <c:pt idx="38">
                  <c:v>5443.25</c:v>
                </c:pt>
                <c:pt idx="39">
                  <c:v>5543</c:v>
                </c:pt>
                <c:pt idx="40">
                  <c:v>6889</c:v>
                </c:pt>
                <c:pt idx="41">
                  <c:v>8269.75</c:v>
                </c:pt>
                <c:pt idx="42">
                  <c:v>9146.75</c:v>
                </c:pt>
                <c:pt idx="43">
                  <c:v>9896.75</c:v>
                </c:pt>
                <c:pt idx="44">
                  <c:v>9723</c:v>
                </c:pt>
                <c:pt idx="45">
                  <c:v>9811.25</c:v>
                </c:pt>
                <c:pt idx="46">
                  <c:v>9546.75</c:v>
                </c:pt>
                <c:pt idx="47">
                  <c:v>9028.5</c:v>
                </c:pt>
                <c:pt idx="48">
                  <c:v>8831.25</c:v>
                </c:pt>
                <c:pt idx="49">
                  <c:v>8076.25</c:v>
                </c:pt>
                <c:pt idx="50">
                  <c:v>8065.5</c:v>
                </c:pt>
                <c:pt idx="51">
                  <c:v>7733.75</c:v>
                </c:pt>
              </c:numCache>
            </c:numRef>
          </c:val>
          <c:smooth val="0"/>
        </c:ser>
        <c:ser>
          <c:idx val="1"/>
          <c:order val="1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Averages'!$X$842:$X$893</c:f>
              <c:numCache>
                <c:formatCode>_(* #,##0_);_(* \(#,##0\);_(* "-"??_);_(@_)</c:formatCode>
                <c:ptCount val="52"/>
                <c:pt idx="0">
                  <c:v>7487.6875</c:v>
                </c:pt>
                <c:pt idx="1">
                  <c:v>7621.0625</c:v>
                </c:pt>
                <c:pt idx="2">
                  <c:v>8010.1875</c:v>
                </c:pt>
                <c:pt idx="3">
                  <c:v>8485</c:v>
                </c:pt>
                <c:pt idx="4">
                  <c:v>8545.6875</c:v>
                </c:pt>
                <c:pt idx="5">
                  <c:v>8716.5625</c:v>
                </c:pt>
                <c:pt idx="6">
                  <c:v>8685.0625</c:v>
                </c:pt>
                <c:pt idx="7">
                  <c:v>8673.3125</c:v>
                </c:pt>
                <c:pt idx="8">
                  <c:v>8807.875</c:v>
                </c:pt>
                <c:pt idx="9">
                  <c:v>8813.6875</c:v>
                </c:pt>
                <c:pt idx="10">
                  <c:v>8761.125</c:v>
                </c:pt>
                <c:pt idx="11">
                  <c:v>8706.8125</c:v>
                </c:pt>
                <c:pt idx="12">
                  <c:v>8423.5</c:v>
                </c:pt>
                <c:pt idx="13">
                  <c:v>8122.1875</c:v>
                </c:pt>
                <c:pt idx="14">
                  <c:v>7976.6875</c:v>
                </c:pt>
                <c:pt idx="15">
                  <c:v>7544.9375</c:v>
                </c:pt>
                <c:pt idx="16">
                  <c:v>7427.6875</c:v>
                </c:pt>
                <c:pt idx="17">
                  <c:v>7294.6875</c:v>
                </c:pt>
                <c:pt idx="18">
                  <c:v>6803.375</c:v>
                </c:pt>
                <c:pt idx="19">
                  <c:v>6589.125</c:v>
                </c:pt>
                <c:pt idx="20">
                  <c:v>6247.3125</c:v>
                </c:pt>
                <c:pt idx="21">
                  <c:v>6020.3125</c:v>
                </c:pt>
                <c:pt idx="22">
                  <c:v>6038.25</c:v>
                </c:pt>
                <c:pt idx="23">
                  <c:v>5994.9375</c:v>
                </c:pt>
                <c:pt idx="24">
                  <c:v>6149.1875</c:v>
                </c:pt>
                <c:pt idx="25">
                  <c:v>6135.6875</c:v>
                </c:pt>
                <c:pt idx="26">
                  <c:v>6233.3125</c:v>
                </c:pt>
                <c:pt idx="27">
                  <c:v>6575.375</c:v>
                </c:pt>
                <c:pt idx="28">
                  <c:v>6658.4375</c:v>
                </c:pt>
                <c:pt idx="29">
                  <c:v>6794.1875</c:v>
                </c:pt>
                <c:pt idx="30">
                  <c:v>6856.9375</c:v>
                </c:pt>
                <c:pt idx="31">
                  <c:v>6978.1875</c:v>
                </c:pt>
                <c:pt idx="32">
                  <c:v>7019.6875</c:v>
                </c:pt>
                <c:pt idx="33">
                  <c:v>7186.25</c:v>
                </c:pt>
                <c:pt idx="34">
                  <c:v>7356.125</c:v>
                </c:pt>
                <c:pt idx="35">
                  <c:v>7249.1875</c:v>
                </c:pt>
                <c:pt idx="36">
                  <c:v>7327.4375</c:v>
                </c:pt>
                <c:pt idx="37">
                  <c:v>7457.3125</c:v>
                </c:pt>
                <c:pt idx="38">
                  <c:v>7580.0625</c:v>
                </c:pt>
                <c:pt idx="39">
                  <c:v>7992.375</c:v>
                </c:pt>
                <c:pt idx="40">
                  <c:v>8921.875</c:v>
                </c:pt>
                <c:pt idx="41">
                  <c:v>9486.5</c:v>
                </c:pt>
                <c:pt idx="42">
                  <c:v>10158.125</c:v>
                </c:pt>
                <c:pt idx="43">
                  <c:v>10468</c:v>
                </c:pt>
                <c:pt idx="44">
                  <c:v>9961.9375</c:v>
                </c:pt>
                <c:pt idx="45">
                  <c:v>9753.125</c:v>
                </c:pt>
                <c:pt idx="46">
                  <c:v>9474</c:v>
                </c:pt>
                <c:pt idx="47">
                  <c:v>9044.1875</c:v>
                </c:pt>
                <c:pt idx="48">
                  <c:v>8961.25</c:v>
                </c:pt>
                <c:pt idx="49">
                  <c:v>8564.875</c:v>
                </c:pt>
                <c:pt idx="50">
                  <c:v>8070.625</c:v>
                </c:pt>
                <c:pt idx="51">
                  <c:v>7479.3125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Averages'!$G$894:$G$945</c:f>
              <c:numCache>
                <c:formatCode>#,##0_);\(#,##0\)</c:formatCode>
                <c:ptCount val="52"/>
                <c:pt idx="0">
                  <c:v>7214.75</c:v>
                </c:pt>
                <c:pt idx="1">
                  <c:v>7210.75</c:v>
                </c:pt>
                <c:pt idx="2">
                  <c:v>7376.5</c:v>
                </c:pt>
                <c:pt idx="3">
                  <c:v>7932</c:v>
                </c:pt>
                <c:pt idx="4">
                  <c:v>8298.5</c:v>
                </c:pt>
                <c:pt idx="5">
                  <c:v>8217.75</c:v>
                </c:pt>
                <c:pt idx="6">
                  <c:v>8104</c:v>
                </c:pt>
                <c:pt idx="7">
                  <c:v>7984.25</c:v>
                </c:pt>
                <c:pt idx="8">
                  <c:v>7655</c:v>
                </c:pt>
                <c:pt idx="9">
                  <c:v>7956</c:v>
                </c:pt>
                <c:pt idx="10">
                  <c:v>7847</c:v>
                </c:pt>
                <c:pt idx="11">
                  <c:v>8238.25</c:v>
                </c:pt>
                <c:pt idx="12">
                  <c:v>8795.75</c:v>
                </c:pt>
                <c:pt idx="13">
                  <c:v>8844.75</c:v>
                </c:pt>
                <c:pt idx="14">
                  <c:v>8850.75</c:v>
                </c:pt>
                <c:pt idx="15">
                  <c:v>8220.75</c:v>
                </c:pt>
                <c:pt idx="16">
                  <c:v>7770</c:v>
                </c:pt>
                <c:pt idx="17">
                  <c:v>7266.25</c:v>
                </c:pt>
                <c:pt idx="18">
                  <c:v>7166</c:v>
                </c:pt>
                <c:pt idx="19">
                  <c:v>6970.75</c:v>
                </c:pt>
                <c:pt idx="20">
                  <c:v>6882.25</c:v>
                </c:pt>
                <c:pt idx="21">
                  <c:v>6789.75</c:v>
                </c:pt>
                <c:pt idx="22">
                  <c:v>6362.25</c:v>
                </c:pt>
                <c:pt idx="23">
                  <c:v>5997</c:v>
                </c:pt>
                <c:pt idx="24">
                  <c:v>5623.25</c:v>
                </c:pt>
                <c:pt idx="25">
                  <c:v>5234</c:v>
                </c:pt>
                <c:pt idx="26">
                  <c:v>4730.5</c:v>
                </c:pt>
                <c:pt idx="27">
                  <c:v>4886.75</c:v>
                </c:pt>
                <c:pt idx="28">
                  <c:v>4580</c:v>
                </c:pt>
                <c:pt idx="29">
                  <c:v>4576.5</c:v>
                </c:pt>
                <c:pt idx="30">
                  <c:v>5012.5</c:v>
                </c:pt>
                <c:pt idx="31">
                  <c:v>4482.5</c:v>
                </c:pt>
                <c:pt idx="32">
                  <c:v>4331.25</c:v>
                </c:pt>
                <c:pt idx="33">
                  <c:v>4234</c:v>
                </c:pt>
                <c:pt idx="34">
                  <c:v>3797</c:v>
                </c:pt>
                <c:pt idx="35">
                  <c:v>3893.5</c:v>
                </c:pt>
                <c:pt idx="36">
                  <c:v>3875.25</c:v>
                </c:pt>
                <c:pt idx="37">
                  <c:v>3840</c:v>
                </c:pt>
                <c:pt idx="38">
                  <c:v>3907.25</c:v>
                </c:pt>
                <c:pt idx="39">
                  <c:v>3905.5</c:v>
                </c:pt>
                <c:pt idx="40">
                  <c:v>4347.25</c:v>
                </c:pt>
                <c:pt idx="41">
                  <c:v>4848.25</c:v>
                </c:pt>
                <c:pt idx="42">
                  <c:v>5420.75</c:v>
                </c:pt>
                <c:pt idx="43">
                  <c:v>5787.25</c:v>
                </c:pt>
                <c:pt idx="44">
                  <c:v>5833</c:v>
                </c:pt>
                <c:pt idx="45">
                  <c:v>5588</c:v>
                </c:pt>
                <c:pt idx="46">
                  <c:v>5433</c:v>
                </c:pt>
                <c:pt idx="47">
                  <c:v>5501.25</c:v>
                </c:pt>
                <c:pt idx="48">
                  <c:v>5439.75</c:v>
                </c:pt>
                <c:pt idx="49">
                  <c:v>6110.25</c:v>
                </c:pt>
                <c:pt idx="50">
                  <c:v>6400</c:v>
                </c:pt>
                <c:pt idx="51">
                  <c:v>6237.25</c:v>
                </c:pt>
              </c:numCache>
            </c:numRef>
          </c:val>
          <c:smooth val="0"/>
        </c:ser>
        <c:ser>
          <c:idx val="2"/>
          <c:order val="3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471680"/>
        <c:axId val="198473600"/>
      </c:lineChart>
      <c:dateAx>
        <c:axId val="198471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65018533671366"/>
              <c:y val="0.85129397090669789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8473600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9847360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70005857444992E-2"/>
              <c:y val="0.145985705868399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847168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4490759992309311"/>
          <c:y val="0.9172650612550981"/>
          <c:w val="0.69845426050874815"/>
          <c:h val="8.273493874490178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Averages'!$C$842:$C$893</c:f>
              <c:numCache>
                <c:formatCode>#,##0_);\(#,##0\)</c:formatCode>
                <c:ptCount val="52"/>
                <c:pt idx="0">
                  <c:v>1354</c:v>
                </c:pt>
                <c:pt idx="1">
                  <c:v>1228.75</c:v>
                </c:pt>
                <c:pt idx="2">
                  <c:v>1180.75</c:v>
                </c:pt>
                <c:pt idx="3">
                  <c:v>1365.5</c:v>
                </c:pt>
                <c:pt idx="4">
                  <c:v>1538.75</c:v>
                </c:pt>
                <c:pt idx="5">
                  <c:v>1802.5</c:v>
                </c:pt>
                <c:pt idx="6">
                  <c:v>1932</c:v>
                </c:pt>
                <c:pt idx="7">
                  <c:v>1835</c:v>
                </c:pt>
                <c:pt idx="8">
                  <c:v>1577</c:v>
                </c:pt>
                <c:pt idx="9">
                  <c:v>1596.5</c:v>
                </c:pt>
                <c:pt idx="10">
                  <c:v>1577.5</c:v>
                </c:pt>
                <c:pt idx="11">
                  <c:v>1515</c:v>
                </c:pt>
                <c:pt idx="12">
                  <c:v>1698</c:v>
                </c:pt>
                <c:pt idx="13">
                  <c:v>1546.75</c:v>
                </c:pt>
                <c:pt idx="14">
                  <c:v>1383.75</c:v>
                </c:pt>
                <c:pt idx="15">
                  <c:v>1378.5</c:v>
                </c:pt>
                <c:pt idx="16">
                  <c:v>1181.25</c:v>
                </c:pt>
                <c:pt idx="17">
                  <c:v>1074.75</c:v>
                </c:pt>
                <c:pt idx="18">
                  <c:v>1083.25</c:v>
                </c:pt>
                <c:pt idx="19">
                  <c:v>1060</c:v>
                </c:pt>
                <c:pt idx="20">
                  <c:v>997.75</c:v>
                </c:pt>
                <c:pt idx="21">
                  <c:v>879</c:v>
                </c:pt>
                <c:pt idx="22">
                  <c:v>896.25</c:v>
                </c:pt>
                <c:pt idx="23">
                  <c:v>846.5</c:v>
                </c:pt>
                <c:pt idx="24">
                  <c:v>915.75</c:v>
                </c:pt>
                <c:pt idx="25">
                  <c:v>991.5</c:v>
                </c:pt>
                <c:pt idx="26">
                  <c:v>1095</c:v>
                </c:pt>
                <c:pt idx="27">
                  <c:v>1231.25</c:v>
                </c:pt>
                <c:pt idx="28">
                  <c:v>1228.25</c:v>
                </c:pt>
                <c:pt idx="29">
                  <c:v>1414</c:v>
                </c:pt>
                <c:pt idx="30">
                  <c:v>1377.5</c:v>
                </c:pt>
                <c:pt idx="31">
                  <c:v>1384.25</c:v>
                </c:pt>
                <c:pt idx="32">
                  <c:v>1524.5</c:v>
                </c:pt>
                <c:pt idx="33">
                  <c:v>1469.25</c:v>
                </c:pt>
                <c:pt idx="34">
                  <c:v>1625.75</c:v>
                </c:pt>
                <c:pt idx="35">
                  <c:v>1893.75</c:v>
                </c:pt>
                <c:pt idx="36">
                  <c:v>2184.5</c:v>
                </c:pt>
                <c:pt idx="37">
                  <c:v>2241.5</c:v>
                </c:pt>
                <c:pt idx="38">
                  <c:v>2242.5</c:v>
                </c:pt>
                <c:pt idx="39">
                  <c:v>2065.75</c:v>
                </c:pt>
                <c:pt idx="40">
                  <c:v>1975.75</c:v>
                </c:pt>
                <c:pt idx="41">
                  <c:v>2099</c:v>
                </c:pt>
                <c:pt idx="42">
                  <c:v>2104</c:v>
                </c:pt>
                <c:pt idx="43">
                  <c:v>2131.25</c:v>
                </c:pt>
                <c:pt idx="44">
                  <c:v>2160</c:v>
                </c:pt>
                <c:pt idx="45">
                  <c:v>2245.75</c:v>
                </c:pt>
                <c:pt idx="46">
                  <c:v>2363.75</c:v>
                </c:pt>
                <c:pt idx="47">
                  <c:v>2340.25</c:v>
                </c:pt>
                <c:pt idx="48">
                  <c:v>2117.5</c:v>
                </c:pt>
                <c:pt idx="49">
                  <c:v>1944.25</c:v>
                </c:pt>
                <c:pt idx="50">
                  <c:v>1871.5</c:v>
                </c:pt>
                <c:pt idx="51">
                  <c:v>1826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Averages'!$T$842:$T$893</c:f>
              <c:numCache>
                <c:formatCode>_(* #,##0_);_(* \(#,##0\);_(* "-"??_);_(@_)</c:formatCode>
                <c:ptCount val="52"/>
                <c:pt idx="0">
                  <c:v>1741.875</c:v>
                </c:pt>
                <c:pt idx="1">
                  <c:v>1761.625</c:v>
                </c:pt>
                <c:pt idx="2">
                  <c:v>1840.625</c:v>
                </c:pt>
                <c:pt idx="3">
                  <c:v>1808.8125</c:v>
                </c:pt>
                <c:pt idx="4">
                  <c:v>1792.5</c:v>
                </c:pt>
                <c:pt idx="5">
                  <c:v>1883.3125</c:v>
                </c:pt>
                <c:pt idx="6">
                  <c:v>1940.25</c:v>
                </c:pt>
                <c:pt idx="7">
                  <c:v>2004.4375</c:v>
                </c:pt>
                <c:pt idx="8">
                  <c:v>1993.5625</c:v>
                </c:pt>
                <c:pt idx="9">
                  <c:v>1969.6875</c:v>
                </c:pt>
                <c:pt idx="10">
                  <c:v>1879.9375</c:v>
                </c:pt>
                <c:pt idx="11">
                  <c:v>1807.75</c:v>
                </c:pt>
                <c:pt idx="12">
                  <c:v>1811.5625</c:v>
                </c:pt>
                <c:pt idx="13">
                  <c:v>1756.6875</c:v>
                </c:pt>
                <c:pt idx="14">
                  <c:v>1725</c:v>
                </c:pt>
                <c:pt idx="15">
                  <c:v>1654.5</c:v>
                </c:pt>
                <c:pt idx="16">
                  <c:v>1623.3125</c:v>
                </c:pt>
                <c:pt idx="17">
                  <c:v>1627.875</c:v>
                </c:pt>
                <c:pt idx="18">
                  <c:v>1533.5</c:v>
                </c:pt>
                <c:pt idx="19">
                  <c:v>1507.875</c:v>
                </c:pt>
                <c:pt idx="20">
                  <c:v>1355</c:v>
                </c:pt>
                <c:pt idx="21">
                  <c:v>1327.5625</c:v>
                </c:pt>
                <c:pt idx="22">
                  <c:v>1414.75</c:v>
                </c:pt>
                <c:pt idx="23">
                  <c:v>1526.0625</c:v>
                </c:pt>
                <c:pt idx="24">
                  <c:v>1629.375</c:v>
                </c:pt>
                <c:pt idx="25">
                  <c:v>1595.6875</c:v>
                </c:pt>
                <c:pt idx="26">
                  <c:v>1671.5</c:v>
                </c:pt>
                <c:pt idx="27">
                  <c:v>1710.9375</c:v>
                </c:pt>
                <c:pt idx="28">
                  <c:v>1726.625</c:v>
                </c:pt>
                <c:pt idx="29">
                  <c:v>1804.375</c:v>
                </c:pt>
                <c:pt idx="30">
                  <c:v>1762.8125</c:v>
                </c:pt>
                <c:pt idx="31">
                  <c:v>1829.1875</c:v>
                </c:pt>
                <c:pt idx="32">
                  <c:v>1976.25</c:v>
                </c:pt>
                <c:pt idx="33">
                  <c:v>2073.625</c:v>
                </c:pt>
                <c:pt idx="34">
                  <c:v>2099.375</c:v>
                </c:pt>
                <c:pt idx="35">
                  <c:v>2114.0625</c:v>
                </c:pt>
                <c:pt idx="36">
                  <c:v>2029.9375</c:v>
                </c:pt>
                <c:pt idx="37">
                  <c:v>2058.125</c:v>
                </c:pt>
                <c:pt idx="38">
                  <c:v>2067.625</c:v>
                </c:pt>
                <c:pt idx="39">
                  <c:v>2007.375</c:v>
                </c:pt>
                <c:pt idx="40">
                  <c:v>2073.75</c:v>
                </c:pt>
                <c:pt idx="41">
                  <c:v>1912.0625</c:v>
                </c:pt>
                <c:pt idx="42">
                  <c:v>1966.125</c:v>
                </c:pt>
                <c:pt idx="43">
                  <c:v>1984.25</c:v>
                </c:pt>
                <c:pt idx="44">
                  <c:v>2026.625</c:v>
                </c:pt>
                <c:pt idx="45">
                  <c:v>2125.9375</c:v>
                </c:pt>
                <c:pt idx="46">
                  <c:v>2122.0625</c:v>
                </c:pt>
                <c:pt idx="47">
                  <c:v>2082.875</c:v>
                </c:pt>
                <c:pt idx="48">
                  <c:v>1857.625</c:v>
                </c:pt>
                <c:pt idx="49">
                  <c:v>1762.9375</c:v>
                </c:pt>
                <c:pt idx="50">
                  <c:v>1600.25</c:v>
                </c:pt>
                <c:pt idx="51">
                  <c:v>1500.25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Averages'!$C$894:$C$945</c:f>
              <c:numCache>
                <c:formatCode>#,##0_);\(#,##0\)</c:formatCode>
                <c:ptCount val="52"/>
                <c:pt idx="0">
                  <c:v>1836.25</c:v>
                </c:pt>
                <c:pt idx="1">
                  <c:v>1906.25</c:v>
                </c:pt>
                <c:pt idx="2">
                  <c:v>2024.75</c:v>
                </c:pt>
                <c:pt idx="3">
                  <c:v>2080</c:v>
                </c:pt>
                <c:pt idx="4">
                  <c:v>2236.25</c:v>
                </c:pt>
                <c:pt idx="5">
                  <c:v>2185</c:v>
                </c:pt>
                <c:pt idx="6">
                  <c:v>2155</c:v>
                </c:pt>
                <c:pt idx="7">
                  <c:v>2206.75</c:v>
                </c:pt>
                <c:pt idx="8">
                  <c:v>2152.5</c:v>
                </c:pt>
                <c:pt idx="9">
                  <c:v>2372.5</c:v>
                </c:pt>
                <c:pt idx="10">
                  <c:v>2320.5</c:v>
                </c:pt>
                <c:pt idx="11">
                  <c:v>2398.75</c:v>
                </c:pt>
                <c:pt idx="12">
                  <c:v>2479</c:v>
                </c:pt>
                <c:pt idx="13">
                  <c:v>2503.75</c:v>
                </c:pt>
                <c:pt idx="14">
                  <c:v>2598.25</c:v>
                </c:pt>
                <c:pt idx="15">
                  <c:v>2559.75</c:v>
                </c:pt>
                <c:pt idx="16">
                  <c:v>2581</c:v>
                </c:pt>
                <c:pt idx="17">
                  <c:v>2466.75</c:v>
                </c:pt>
                <c:pt idx="18">
                  <c:v>2328</c:v>
                </c:pt>
                <c:pt idx="19">
                  <c:v>2173.75</c:v>
                </c:pt>
                <c:pt idx="20">
                  <c:v>2014.25</c:v>
                </c:pt>
                <c:pt idx="21">
                  <c:v>1968</c:v>
                </c:pt>
                <c:pt idx="22">
                  <c:v>1852.25</c:v>
                </c:pt>
                <c:pt idx="23">
                  <c:v>1752.75</c:v>
                </c:pt>
                <c:pt idx="24">
                  <c:v>1610.25</c:v>
                </c:pt>
                <c:pt idx="25">
                  <c:v>1269</c:v>
                </c:pt>
                <c:pt idx="26">
                  <c:v>1123.5</c:v>
                </c:pt>
                <c:pt idx="27">
                  <c:v>1148.5</c:v>
                </c:pt>
                <c:pt idx="28">
                  <c:v>984.25</c:v>
                </c:pt>
                <c:pt idx="29">
                  <c:v>908</c:v>
                </c:pt>
                <c:pt idx="30">
                  <c:v>937.5</c:v>
                </c:pt>
                <c:pt idx="31">
                  <c:v>805.75</c:v>
                </c:pt>
                <c:pt idx="32">
                  <c:v>1021.75</c:v>
                </c:pt>
                <c:pt idx="33">
                  <c:v>1082.75</c:v>
                </c:pt>
                <c:pt idx="34">
                  <c:v>964.75</c:v>
                </c:pt>
                <c:pt idx="35">
                  <c:v>981.75</c:v>
                </c:pt>
                <c:pt idx="36">
                  <c:v>1022.5</c:v>
                </c:pt>
                <c:pt idx="37">
                  <c:v>1153.5</c:v>
                </c:pt>
                <c:pt idx="38">
                  <c:v>1355.5</c:v>
                </c:pt>
                <c:pt idx="39">
                  <c:v>1390.25</c:v>
                </c:pt>
                <c:pt idx="40">
                  <c:v>1241.75</c:v>
                </c:pt>
                <c:pt idx="41">
                  <c:v>1028.25</c:v>
                </c:pt>
                <c:pt idx="42">
                  <c:v>766</c:v>
                </c:pt>
                <c:pt idx="43">
                  <c:v>551.75</c:v>
                </c:pt>
                <c:pt idx="44">
                  <c:v>362.25</c:v>
                </c:pt>
                <c:pt idx="45">
                  <c:v>381.5</c:v>
                </c:pt>
                <c:pt idx="46">
                  <c:v>539.5</c:v>
                </c:pt>
                <c:pt idx="47">
                  <c:v>757.25</c:v>
                </c:pt>
                <c:pt idx="48">
                  <c:v>840.25</c:v>
                </c:pt>
                <c:pt idx="49">
                  <c:v>876.75</c:v>
                </c:pt>
                <c:pt idx="50">
                  <c:v>760.5</c:v>
                </c:pt>
                <c:pt idx="51">
                  <c:v>571.75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Averages'!$C$998:$C$1020</c:f>
              <c:numCache>
                <c:formatCode>#,##0_);\(#,##0\)</c:formatCode>
                <c:ptCount val="23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09312"/>
        <c:axId val="214953984"/>
      </c:lineChart>
      <c:dateAx>
        <c:axId val="204109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689159564446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149539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214953984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0410931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824116951056178"/>
          <c:w val="0.81181060568065933"/>
          <c:h val="8.17588304894382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Averages'!$B$842:$B$893</c:f>
              <c:numCache>
                <c:formatCode>#,##0_);\(#,##0\)</c:formatCode>
                <c:ptCount val="52"/>
                <c:pt idx="0">
                  <c:v>506</c:v>
                </c:pt>
                <c:pt idx="1">
                  <c:v>365.5</c:v>
                </c:pt>
                <c:pt idx="2">
                  <c:v>403.75</c:v>
                </c:pt>
                <c:pt idx="3">
                  <c:v>513.5</c:v>
                </c:pt>
                <c:pt idx="4">
                  <c:v>538.25</c:v>
                </c:pt>
                <c:pt idx="5">
                  <c:v>664.5</c:v>
                </c:pt>
                <c:pt idx="6">
                  <c:v>613.75</c:v>
                </c:pt>
                <c:pt idx="7">
                  <c:v>492.25</c:v>
                </c:pt>
                <c:pt idx="8">
                  <c:v>471</c:v>
                </c:pt>
                <c:pt idx="9">
                  <c:v>414</c:v>
                </c:pt>
                <c:pt idx="10">
                  <c:v>378.75</c:v>
                </c:pt>
                <c:pt idx="11">
                  <c:v>469.75</c:v>
                </c:pt>
                <c:pt idx="12">
                  <c:v>364.75</c:v>
                </c:pt>
                <c:pt idx="13">
                  <c:v>276</c:v>
                </c:pt>
                <c:pt idx="14">
                  <c:v>275</c:v>
                </c:pt>
                <c:pt idx="15">
                  <c:v>151.5</c:v>
                </c:pt>
                <c:pt idx="16">
                  <c:v>180</c:v>
                </c:pt>
                <c:pt idx="17">
                  <c:v>156.75</c:v>
                </c:pt>
                <c:pt idx="18">
                  <c:v>128.25</c:v>
                </c:pt>
                <c:pt idx="19">
                  <c:v>152.75</c:v>
                </c:pt>
                <c:pt idx="20">
                  <c:v>153.5</c:v>
                </c:pt>
                <c:pt idx="21">
                  <c:v>178.75</c:v>
                </c:pt>
                <c:pt idx="22">
                  <c:v>151.75</c:v>
                </c:pt>
                <c:pt idx="23">
                  <c:v>209.75</c:v>
                </c:pt>
                <c:pt idx="24">
                  <c:v>199</c:v>
                </c:pt>
                <c:pt idx="25">
                  <c:v>200.5</c:v>
                </c:pt>
                <c:pt idx="26">
                  <c:v>201.75</c:v>
                </c:pt>
                <c:pt idx="27">
                  <c:v>120.5</c:v>
                </c:pt>
                <c:pt idx="28">
                  <c:v>138.75</c:v>
                </c:pt>
                <c:pt idx="29">
                  <c:v>195.75</c:v>
                </c:pt>
                <c:pt idx="30">
                  <c:v>219.75</c:v>
                </c:pt>
                <c:pt idx="31">
                  <c:v>259</c:v>
                </c:pt>
                <c:pt idx="32">
                  <c:v>299.5</c:v>
                </c:pt>
                <c:pt idx="33">
                  <c:v>312.5</c:v>
                </c:pt>
                <c:pt idx="34">
                  <c:v>380.25</c:v>
                </c:pt>
                <c:pt idx="35">
                  <c:v>504</c:v>
                </c:pt>
                <c:pt idx="36">
                  <c:v>626.75</c:v>
                </c:pt>
                <c:pt idx="37">
                  <c:v>825.25</c:v>
                </c:pt>
                <c:pt idx="38">
                  <c:v>944.5</c:v>
                </c:pt>
                <c:pt idx="39">
                  <c:v>1119.75</c:v>
                </c:pt>
                <c:pt idx="40">
                  <c:v>1285.75</c:v>
                </c:pt>
                <c:pt idx="41">
                  <c:v>1487.25</c:v>
                </c:pt>
                <c:pt idx="42">
                  <c:v>1670.75</c:v>
                </c:pt>
                <c:pt idx="43">
                  <c:v>1782.25</c:v>
                </c:pt>
                <c:pt idx="44">
                  <c:v>1839.25</c:v>
                </c:pt>
                <c:pt idx="45">
                  <c:v>1726.75</c:v>
                </c:pt>
                <c:pt idx="46">
                  <c:v>1611.75</c:v>
                </c:pt>
                <c:pt idx="47">
                  <c:v>1464.75</c:v>
                </c:pt>
                <c:pt idx="48">
                  <c:v>1454.5</c:v>
                </c:pt>
                <c:pt idx="49">
                  <c:v>1312.25</c:v>
                </c:pt>
                <c:pt idx="50">
                  <c:v>1309</c:v>
                </c:pt>
                <c:pt idx="51">
                  <c:v>1253</c:v>
                </c:pt>
              </c:numCache>
            </c:numRef>
          </c:val>
          <c:smooth val="0"/>
        </c:ser>
        <c:ser>
          <c:idx val="2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Averages'!$S$842:$S$893</c:f>
              <c:numCache>
                <c:formatCode>_(* #,##0_);_(* \(#,##0\);_(* "-"??_);_(@_)</c:formatCode>
                <c:ptCount val="52"/>
                <c:pt idx="0">
                  <c:v>1299.75</c:v>
                </c:pt>
                <c:pt idx="1">
                  <c:v>1382.0625</c:v>
                </c:pt>
                <c:pt idx="2">
                  <c:v>1434.5</c:v>
                </c:pt>
                <c:pt idx="3">
                  <c:v>1614.375</c:v>
                </c:pt>
                <c:pt idx="4">
                  <c:v>1602</c:v>
                </c:pt>
                <c:pt idx="5">
                  <c:v>1639.4375</c:v>
                </c:pt>
                <c:pt idx="6">
                  <c:v>1649.1875</c:v>
                </c:pt>
                <c:pt idx="7">
                  <c:v>1553.9375</c:v>
                </c:pt>
                <c:pt idx="8">
                  <c:v>1620</c:v>
                </c:pt>
                <c:pt idx="9">
                  <c:v>1610.6875</c:v>
                </c:pt>
                <c:pt idx="10">
                  <c:v>1520.75</c:v>
                </c:pt>
                <c:pt idx="11">
                  <c:v>1423.6875</c:v>
                </c:pt>
                <c:pt idx="12">
                  <c:v>1228.75</c:v>
                </c:pt>
                <c:pt idx="13">
                  <c:v>1036.125</c:v>
                </c:pt>
                <c:pt idx="14">
                  <c:v>981.1875</c:v>
                </c:pt>
                <c:pt idx="15">
                  <c:v>880.125</c:v>
                </c:pt>
                <c:pt idx="16">
                  <c:v>841.0625</c:v>
                </c:pt>
                <c:pt idx="17">
                  <c:v>744.4375</c:v>
                </c:pt>
                <c:pt idx="18">
                  <c:v>639.3125</c:v>
                </c:pt>
                <c:pt idx="19">
                  <c:v>610</c:v>
                </c:pt>
                <c:pt idx="20">
                  <c:v>555.625</c:v>
                </c:pt>
                <c:pt idx="21">
                  <c:v>589.375</c:v>
                </c:pt>
                <c:pt idx="22">
                  <c:v>504.75</c:v>
                </c:pt>
                <c:pt idx="23">
                  <c:v>494.3125</c:v>
                </c:pt>
                <c:pt idx="24">
                  <c:v>510.6875</c:v>
                </c:pt>
                <c:pt idx="25">
                  <c:v>530</c:v>
                </c:pt>
                <c:pt idx="26">
                  <c:v>630.1875</c:v>
                </c:pt>
                <c:pt idx="27">
                  <c:v>741</c:v>
                </c:pt>
                <c:pt idx="28">
                  <c:v>869.875</c:v>
                </c:pt>
                <c:pt idx="29">
                  <c:v>916.4375</c:v>
                </c:pt>
                <c:pt idx="30">
                  <c:v>935.4375</c:v>
                </c:pt>
                <c:pt idx="31">
                  <c:v>1023.75</c:v>
                </c:pt>
                <c:pt idx="32">
                  <c:v>972.25</c:v>
                </c:pt>
                <c:pt idx="33">
                  <c:v>1059.4375</c:v>
                </c:pt>
                <c:pt idx="34">
                  <c:v>1188.5</c:v>
                </c:pt>
                <c:pt idx="35">
                  <c:v>1115.875</c:v>
                </c:pt>
                <c:pt idx="36">
                  <c:v>1229.6875</c:v>
                </c:pt>
                <c:pt idx="37">
                  <c:v>1295.75</c:v>
                </c:pt>
                <c:pt idx="38">
                  <c:v>1333</c:v>
                </c:pt>
                <c:pt idx="39">
                  <c:v>1613.4375</c:v>
                </c:pt>
                <c:pt idx="40">
                  <c:v>1921.75</c:v>
                </c:pt>
                <c:pt idx="41">
                  <c:v>2099.25</c:v>
                </c:pt>
                <c:pt idx="42">
                  <c:v>2297.0625</c:v>
                </c:pt>
                <c:pt idx="43">
                  <c:v>2218.8125</c:v>
                </c:pt>
                <c:pt idx="44">
                  <c:v>2029.125</c:v>
                </c:pt>
                <c:pt idx="45">
                  <c:v>1885.75</c:v>
                </c:pt>
                <c:pt idx="46">
                  <c:v>1760</c:v>
                </c:pt>
                <c:pt idx="47">
                  <c:v>1697.8125</c:v>
                </c:pt>
                <c:pt idx="48">
                  <c:v>1631.75</c:v>
                </c:pt>
                <c:pt idx="49">
                  <c:v>1516.75</c:v>
                </c:pt>
                <c:pt idx="50">
                  <c:v>1379.75</c:v>
                </c:pt>
                <c:pt idx="51">
                  <c:v>1218.9375</c:v>
                </c:pt>
              </c:numCache>
            </c:numRef>
          </c:val>
          <c:smooth val="0"/>
        </c:ser>
        <c:ser>
          <c:idx val="3"/>
          <c:order val="2"/>
          <c:tx>
            <c:v>2011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Averages'!$B$894:$B$945</c:f>
              <c:numCache>
                <c:formatCode>#,##0_);\(#,##0\)</c:formatCode>
                <c:ptCount val="52"/>
                <c:pt idx="0">
                  <c:v>1094.25</c:v>
                </c:pt>
                <c:pt idx="1">
                  <c:v>1038.75</c:v>
                </c:pt>
                <c:pt idx="2">
                  <c:v>1112</c:v>
                </c:pt>
                <c:pt idx="3">
                  <c:v>1139</c:v>
                </c:pt>
                <c:pt idx="4">
                  <c:v>1099</c:v>
                </c:pt>
                <c:pt idx="5">
                  <c:v>1067.75</c:v>
                </c:pt>
                <c:pt idx="6">
                  <c:v>1019</c:v>
                </c:pt>
                <c:pt idx="7">
                  <c:v>978</c:v>
                </c:pt>
                <c:pt idx="8">
                  <c:v>1029.75</c:v>
                </c:pt>
                <c:pt idx="9">
                  <c:v>1126</c:v>
                </c:pt>
                <c:pt idx="10">
                  <c:v>1101.75</c:v>
                </c:pt>
                <c:pt idx="11">
                  <c:v>1269.25</c:v>
                </c:pt>
                <c:pt idx="12">
                  <c:v>1303</c:v>
                </c:pt>
                <c:pt idx="13">
                  <c:v>1300.75</c:v>
                </c:pt>
                <c:pt idx="14">
                  <c:v>1198.75</c:v>
                </c:pt>
                <c:pt idx="15">
                  <c:v>829.25</c:v>
                </c:pt>
                <c:pt idx="16">
                  <c:v>629.25</c:v>
                </c:pt>
                <c:pt idx="17">
                  <c:v>454.25</c:v>
                </c:pt>
                <c:pt idx="18">
                  <c:v>473</c:v>
                </c:pt>
                <c:pt idx="19">
                  <c:v>550.25</c:v>
                </c:pt>
                <c:pt idx="20">
                  <c:v>568.25</c:v>
                </c:pt>
                <c:pt idx="21">
                  <c:v>576</c:v>
                </c:pt>
                <c:pt idx="22">
                  <c:v>474.75</c:v>
                </c:pt>
                <c:pt idx="23">
                  <c:v>379.5</c:v>
                </c:pt>
                <c:pt idx="24">
                  <c:v>298.75</c:v>
                </c:pt>
                <c:pt idx="25">
                  <c:v>244.5</c:v>
                </c:pt>
                <c:pt idx="26">
                  <c:v>203.5</c:v>
                </c:pt>
                <c:pt idx="27">
                  <c:v>206.25</c:v>
                </c:pt>
                <c:pt idx="28">
                  <c:v>149.25</c:v>
                </c:pt>
                <c:pt idx="29">
                  <c:v>122.5</c:v>
                </c:pt>
                <c:pt idx="30">
                  <c:v>121.75</c:v>
                </c:pt>
                <c:pt idx="31">
                  <c:v>80</c:v>
                </c:pt>
                <c:pt idx="32">
                  <c:v>111.25</c:v>
                </c:pt>
                <c:pt idx="33">
                  <c:v>110.5</c:v>
                </c:pt>
                <c:pt idx="34">
                  <c:v>59.25</c:v>
                </c:pt>
                <c:pt idx="35">
                  <c:v>89.25</c:v>
                </c:pt>
                <c:pt idx="36">
                  <c:v>84.75</c:v>
                </c:pt>
                <c:pt idx="37">
                  <c:v>95</c:v>
                </c:pt>
                <c:pt idx="38">
                  <c:v>249</c:v>
                </c:pt>
                <c:pt idx="39">
                  <c:v>338.75</c:v>
                </c:pt>
                <c:pt idx="40">
                  <c:v>381</c:v>
                </c:pt>
                <c:pt idx="41">
                  <c:v>541.5</c:v>
                </c:pt>
                <c:pt idx="42">
                  <c:v>610</c:v>
                </c:pt>
                <c:pt idx="43">
                  <c:v>623.5</c:v>
                </c:pt>
                <c:pt idx="44">
                  <c:v>686.75</c:v>
                </c:pt>
                <c:pt idx="45">
                  <c:v>508</c:v>
                </c:pt>
                <c:pt idx="46">
                  <c:v>386.5</c:v>
                </c:pt>
                <c:pt idx="47">
                  <c:v>284.5</c:v>
                </c:pt>
                <c:pt idx="48">
                  <c:v>179.25</c:v>
                </c:pt>
                <c:pt idx="49">
                  <c:v>189.5</c:v>
                </c:pt>
                <c:pt idx="50">
                  <c:v>102.25</c:v>
                </c:pt>
                <c:pt idx="51">
                  <c:v>72</c:v>
                </c:pt>
              </c:numCache>
            </c:numRef>
          </c:val>
          <c:smooth val="0"/>
        </c:ser>
        <c:ser>
          <c:idx val="1"/>
          <c:order val="3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4"/>
          <c:tx>
            <c:v>2013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Data'!$A$998:$A$1049</c:f>
              <c:numCache>
                <c:formatCode>mm/dd/yy_)</c:formatCode>
                <c:ptCount val="52"/>
                <c:pt idx="0">
                  <c:v>41276</c:v>
                </c:pt>
                <c:pt idx="1">
                  <c:v>41283</c:v>
                </c:pt>
                <c:pt idx="2">
                  <c:v>41290</c:v>
                </c:pt>
                <c:pt idx="3">
                  <c:v>41297</c:v>
                </c:pt>
                <c:pt idx="4">
                  <c:v>41304</c:v>
                </c:pt>
                <c:pt idx="5">
                  <c:v>41311</c:v>
                </c:pt>
                <c:pt idx="6">
                  <c:v>41318</c:v>
                </c:pt>
                <c:pt idx="7">
                  <c:v>41325</c:v>
                </c:pt>
                <c:pt idx="8">
                  <c:v>41332</c:v>
                </c:pt>
                <c:pt idx="9">
                  <c:v>41339</c:v>
                </c:pt>
                <c:pt idx="10">
                  <c:v>41346</c:v>
                </c:pt>
                <c:pt idx="11">
                  <c:v>41353</c:v>
                </c:pt>
                <c:pt idx="12">
                  <c:v>41360</c:v>
                </c:pt>
                <c:pt idx="13">
                  <c:v>41367</c:v>
                </c:pt>
                <c:pt idx="14">
                  <c:v>41374</c:v>
                </c:pt>
                <c:pt idx="15">
                  <c:v>41381</c:v>
                </c:pt>
                <c:pt idx="16">
                  <c:v>41388</c:v>
                </c:pt>
                <c:pt idx="17">
                  <c:v>41395</c:v>
                </c:pt>
                <c:pt idx="18">
                  <c:v>41402</c:v>
                </c:pt>
                <c:pt idx="19">
                  <c:v>41409</c:v>
                </c:pt>
                <c:pt idx="20">
                  <c:v>41416</c:v>
                </c:pt>
                <c:pt idx="21">
                  <c:v>41423</c:v>
                </c:pt>
                <c:pt idx="22">
                  <c:v>41430</c:v>
                </c:pt>
                <c:pt idx="23">
                  <c:v>41437</c:v>
                </c:pt>
                <c:pt idx="24">
                  <c:v>41444</c:v>
                </c:pt>
                <c:pt idx="25">
                  <c:v>41451</c:v>
                </c:pt>
                <c:pt idx="26">
                  <c:v>41458</c:v>
                </c:pt>
                <c:pt idx="27">
                  <c:v>41465</c:v>
                </c:pt>
                <c:pt idx="28">
                  <c:v>41472</c:v>
                </c:pt>
                <c:pt idx="29">
                  <c:v>41479</c:v>
                </c:pt>
                <c:pt idx="30">
                  <c:v>41486</c:v>
                </c:pt>
                <c:pt idx="31">
                  <c:v>41493</c:v>
                </c:pt>
                <c:pt idx="32">
                  <c:v>41500</c:v>
                </c:pt>
                <c:pt idx="33">
                  <c:v>41507</c:v>
                </c:pt>
                <c:pt idx="34">
                  <c:v>41514</c:v>
                </c:pt>
                <c:pt idx="35">
                  <c:v>41521</c:v>
                </c:pt>
                <c:pt idx="36">
                  <c:v>41528</c:v>
                </c:pt>
                <c:pt idx="37">
                  <c:v>41535</c:v>
                </c:pt>
                <c:pt idx="38">
                  <c:v>41542</c:v>
                </c:pt>
                <c:pt idx="39">
                  <c:v>41549</c:v>
                </c:pt>
                <c:pt idx="40">
                  <c:v>41556</c:v>
                </c:pt>
                <c:pt idx="41">
                  <c:v>41563</c:v>
                </c:pt>
                <c:pt idx="42">
                  <c:v>41570</c:v>
                </c:pt>
                <c:pt idx="43">
                  <c:v>41577</c:v>
                </c:pt>
                <c:pt idx="44">
                  <c:v>41584</c:v>
                </c:pt>
                <c:pt idx="45">
                  <c:v>41591</c:v>
                </c:pt>
                <c:pt idx="46">
                  <c:v>41598</c:v>
                </c:pt>
                <c:pt idx="47">
                  <c:v>41605</c:v>
                </c:pt>
                <c:pt idx="48">
                  <c:v>41612</c:v>
                </c:pt>
                <c:pt idx="49">
                  <c:v>41619</c:v>
                </c:pt>
                <c:pt idx="50">
                  <c:v>41626</c:v>
                </c:pt>
                <c:pt idx="51">
                  <c:v>41633</c:v>
                </c:pt>
              </c:numCache>
            </c:numRef>
          </c:cat>
          <c:val>
            <c:numRef>
              <c:f>'Weekly Averages'!$B$998:$B$1020</c:f>
              <c:numCache>
                <c:formatCode>#,##0_);\(#,##0\)</c:formatCode>
                <c:ptCount val="23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30752"/>
        <c:axId val="47532672"/>
      </c:lineChart>
      <c:dateAx>
        <c:axId val="47530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708170040388786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5326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4753267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75307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824117019619123"/>
          <c:w val="0.81181060568065933"/>
          <c:h val="8.175882980380877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6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36032"/>
        <c:axId val="81437824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39360"/>
        <c:axId val="81441152"/>
      </c:lineChart>
      <c:dateAx>
        <c:axId val="81436032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37824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81437824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36032"/>
        <c:crosses val="autoZero"/>
        <c:crossBetween val="between"/>
      </c:valAx>
      <c:dateAx>
        <c:axId val="81439360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81441152"/>
        <c:crosses val="autoZero"/>
        <c:auto val="1"/>
        <c:lblOffset val="100"/>
        <c:baseTimeUnit val="days"/>
      </c:dateAx>
      <c:valAx>
        <c:axId val="81441152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39360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x val="0.30650011749792311"/>
          <c:y val="7.5217735550277123E-2"/>
          <c:w val="0.36901778355889631"/>
          <c:h val="7.1587147212299182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670560</xdr:colOff>
      <xdr:row>22</xdr:row>
      <xdr:rowOff>22860</xdr:rowOff>
    </xdr:from>
    <xdr:to>
      <xdr:col>20</xdr:col>
      <xdr:colOff>731520</xdr:colOff>
      <xdr:row>37</xdr:row>
      <xdr:rowOff>144780</xdr:rowOff>
    </xdr:to>
    <xdr:graphicFrame macro="">
      <xdr:nvGraphicFramePr>
        <xdr:cNvPr id="136333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548640</xdr:colOff>
      <xdr:row>2</xdr:row>
      <xdr:rowOff>106680</xdr:rowOff>
    </xdr:from>
    <xdr:to>
      <xdr:col>28</xdr:col>
      <xdr:colOff>236220</xdr:colOff>
      <xdr:row>19</xdr:row>
      <xdr:rowOff>137160</xdr:rowOff>
    </xdr:to>
    <xdr:graphicFrame macro="">
      <xdr:nvGraphicFramePr>
        <xdr:cNvPr id="136333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563880</xdr:colOff>
      <xdr:row>22</xdr:row>
      <xdr:rowOff>60960</xdr:rowOff>
    </xdr:from>
    <xdr:to>
      <xdr:col>27</xdr:col>
      <xdr:colOff>716280</xdr:colOff>
      <xdr:row>36</xdr:row>
      <xdr:rowOff>137160</xdr:rowOff>
    </xdr:to>
    <xdr:graphicFrame macro="">
      <xdr:nvGraphicFramePr>
        <xdr:cNvPr id="136333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175260</xdr:colOff>
      <xdr:row>21</xdr:row>
      <xdr:rowOff>53340</xdr:rowOff>
    </xdr:from>
    <xdr:to>
      <xdr:col>35</xdr:col>
      <xdr:colOff>243840</xdr:colOff>
      <xdr:row>35</xdr:row>
      <xdr:rowOff>152400</xdr:rowOff>
    </xdr:to>
    <xdr:graphicFrame macro="">
      <xdr:nvGraphicFramePr>
        <xdr:cNvPr id="1363335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2</xdr:row>
      <xdr:rowOff>7620</xdr:rowOff>
    </xdr:from>
    <xdr:to>
      <xdr:col>6</xdr:col>
      <xdr:colOff>617220</xdr:colOff>
      <xdr:row>18</xdr:row>
      <xdr:rowOff>45720</xdr:rowOff>
    </xdr:to>
    <xdr:graphicFrame macro="">
      <xdr:nvGraphicFramePr>
        <xdr:cNvPr id="13633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2</xdr:row>
      <xdr:rowOff>45720</xdr:rowOff>
    </xdr:from>
    <xdr:to>
      <xdr:col>14</xdr:col>
      <xdr:colOff>152400</xdr:colOff>
      <xdr:row>18</xdr:row>
      <xdr:rowOff>175260</xdr:rowOff>
    </xdr:to>
    <xdr:graphicFrame macro="">
      <xdr:nvGraphicFramePr>
        <xdr:cNvPr id="1363337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30480</xdr:colOff>
      <xdr:row>1</xdr:row>
      <xdr:rowOff>129540</xdr:rowOff>
    </xdr:from>
    <xdr:to>
      <xdr:col>21</xdr:col>
      <xdr:colOff>266700</xdr:colOff>
      <xdr:row>19</xdr:row>
      <xdr:rowOff>53340</xdr:rowOff>
    </xdr:to>
    <xdr:graphicFrame macro="">
      <xdr:nvGraphicFramePr>
        <xdr:cNvPr id="136333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60960</xdr:colOff>
      <xdr:row>3</xdr:row>
      <xdr:rowOff>175260</xdr:rowOff>
    </xdr:from>
    <xdr:to>
      <xdr:col>42</xdr:col>
      <xdr:colOff>251460</xdr:colOff>
      <xdr:row>19</xdr:row>
      <xdr:rowOff>7620</xdr:rowOff>
    </xdr:to>
    <xdr:graphicFrame macro="">
      <xdr:nvGraphicFramePr>
        <xdr:cNvPr id="1363339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363340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363347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1" y="86"/>
            <a:ext cx="306" cy="37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363341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99060</xdr:rowOff>
    </xdr:from>
    <xdr:to>
      <xdr:col>35</xdr:col>
      <xdr:colOff>510540</xdr:colOff>
      <xdr:row>53</xdr:row>
      <xdr:rowOff>22860</xdr:rowOff>
    </xdr:to>
    <xdr:graphicFrame macro="">
      <xdr:nvGraphicFramePr>
        <xdr:cNvPr id="1363342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363343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502920</xdr:colOff>
      <xdr:row>37</xdr:row>
      <xdr:rowOff>152400</xdr:rowOff>
    </xdr:from>
    <xdr:to>
      <xdr:col>20</xdr:col>
      <xdr:colOff>624840</xdr:colOff>
      <xdr:row>51</xdr:row>
      <xdr:rowOff>137160</xdr:rowOff>
    </xdr:to>
    <xdr:graphicFrame macro="">
      <xdr:nvGraphicFramePr>
        <xdr:cNvPr id="1363344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22860</xdr:colOff>
      <xdr:row>22</xdr:row>
      <xdr:rowOff>68580</xdr:rowOff>
    </xdr:from>
    <xdr:to>
      <xdr:col>14</xdr:col>
      <xdr:colOff>160020</xdr:colOff>
      <xdr:row>39</xdr:row>
      <xdr:rowOff>7620</xdr:rowOff>
    </xdr:to>
    <xdr:graphicFrame macro="">
      <xdr:nvGraphicFramePr>
        <xdr:cNvPr id="1363345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601980</xdr:colOff>
      <xdr:row>22</xdr:row>
      <xdr:rowOff>144780</xdr:rowOff>
    </xdr:from>
    <xdr:to>
      <xdr:col>7</xdr:col>
      <xdr:colOff>144780</xdr:colOff>
      <xdr:row>38</xdr:row>
      <xdr:rowOff>182880</xdr:rowOff>
    </xdr:to>
    <xdr:graphicFrame macro="">
      <xdr:nvGraphicFramePr>
        <xdr:cNvPr id="136334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0.40066</cdr:x>
      <cdr:y>0.15331</cdr:y>
    </cdr:from>
    <cdr:to>
      <cdr:x>0.94906</cdr:x>
      <cdr:y>0.28992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82966" y="463393"/>
          <a:ext cx="2440424" cy="4129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0.18447</cdr:x>
      <cdr:y>0.12471</cdr:y>
    </cdr:from>
    <cdr:to>
      <cdr:x>0.66827</cdr:x>
      <cdr:y>0.22368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6481" y="414020"/>
          <a:ext cx="2324988" cy="3285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0.82678</cdr:y>
    </cdr:from>
    <cdr:to>
      <cdr:x>0.24722</cdr:x>
      <cdr:y>0.9003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59" y="2301633"/>
          <a:ext cx="1102409" cy="2046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0.175</cdr:x>
      <cdr:y>0.48723</cdr:y>
    </cdr:from>
    <cdr:to>
      <cdr:x>0.62065</cdr:x>
      <cdr:y>0.64964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4754" y="1356360"/>
          <a:ext cx="2023928" cy="45212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0.30576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8"/>
          <a:ext cx="2261383" cy="46488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0.00455</cdr:x>
      <cdr:y>0.80578</cdr:y>
    </cdr:from>
    <cdr:to>
      <cdr:x>0.22986</cdr:x>
      <cdr:y>0.88626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3" y="259722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0.27704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15" y="482894"/>
          <a:ext cx="2242546" cy="41006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0.20748</cdr:x>
      <cdr:y>0.12299</cdr:y>
    </cdr:from>
    <cdr:to>
      <cdr:x>0.71814</cdr:x>
      <cdr:y>0.24733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4911" y="408921"/>
          <a:ext cx="2350302" cy="41341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0.85052</cdr:y>
    </cdr:from>
    <cdr:to>
      <cdr:x>0.36299</cdr:x>
      <cdr:y>0.9148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80" y="2890520"/>
          <a:ext cx="1153160" cy="2184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0.22128</cdr:x>
      <cdr:y>0.10225</cdr:y>
    </cdr:from>
    <cdr:to>
      <cdr:x>0.77119</cdr:x>
      <cdr:y>0.20625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61" y="299710"/>
          <a:ext cx="2518379" cy="3048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</cdr:x>
      <cdr:y>0.8861</cdr:y>
    </cdr:from>
    <cdr:to>
      <cdr:x>0.25628</cdr:x>
      <cdr:y>0.97726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2382425"/>
          <a:ext cx="1115644" cy="2203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0.25411</cdr:y>
    </cdr:from>
    <cdr:to>
      <cdr:x>0.09584</cdr:x>
      <cdr:y>0.56401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0.16728</cdr:x>
      <cdr:y>0.50135</cdr:y>
    </cdr:from>
    <cdr:to>
      <cdr:x>0.63647</cdr:x>
      <cdr:y>0.62011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9705" y="1414779"/>
          <a:ext cx="2130836" cy="33513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7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0.00943</cdr:x>
      <cdr:y>0.21249</cdr:y>
    </cdr:from>
    <cdr:to>
      <cdr:x>0.07983</cdr:x>
      <cdr:y>0.58132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36673"/>
          <a:ext cx="355378" cy="10995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0.25581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88499" y="422382"/>
          <a:ext cx="2469070" cy="34344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0.0101</cdr:x>
      <cdr:y>0.79025</cdr:y>
    </cdr:from>
    <cdr:to>
      <cdr:x>0.26436</cdr:x>
      <cdr:y>0.86354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10772"/>
          <a:ext cx="1198793" cy="195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0.15176</cdr:x>
      <cdr:y>0.43993</cdr:y>
    </cdr:from>
    <cdr:to>
      <cdr:x>0.611</cdr:x>
      <cdr:y>0.56271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09733" y="1236149"/>
          <a:ext cx="2147768" cy="34500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period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0.18649</cdr:x>
      <cdr:y>0.46003</cdr:y>
    </cdr:from>
    <cdr:to>
      <cdr:x>0.79296</cdr:x>
      <cdr:y>0.58248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5724" y="1218149"/>
          <a:ext cx="2847877" cy="32424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0.12015</cdr:x>
      <cdr:y>0.84045</cdr:y>
    </cdr:from>
    <cdr:to>
      <cdr:x>0.34546</cdr:x>
      <cdr:y>0.92093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3833" y="2708989"/>
          <a:ext cx="1019816" cy="2594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0.19065</cdr:x>
      <cdr:y>0.17188</cdr:y>
    </cdr:from>
    <cdr:to>
      <cdr:x>0.6861</cdr:x>
      <cdr:y>0.2991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2938" y="547480"/>
          <a:ext cx="2242545" cy="40521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----% from last week;  up ---- from last year; and up ----- from 4-year avg.</a:t>
          </a: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0.19754</cdr:x>
      <cdr:y>0.15894</cdr:y>
    </cdr:from>
    <cdr:to>
      <cdr:x>0.68301</cdr:x>
      <cdr:y>0.30657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216" y="497771"/>
          <a:ext cx="2263944" cy="46234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week,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254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2548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2549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83820</xdr:colOff>
      <xdr:row>22</xdr:row>
      <xdr:rowOff>68580</xdr:rowOff>
    </xdr:from>
    <xdr:to>
      <xdr:col>21</xdr:col>
      <xdr:colOff>167640</xdr:colOff>
      <xdr:row>36</xdr:row>
      <xdr:rowOff>15240</xdr:rowOff>
    </xdr:to>
    <xdr:graphicFrame macro="">
      <xdr:nvGraphicFramePr>
        <xdr:cNvPr id="255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685800</xdr:colOff>
      <xdr:row>20</xdr:row>
      <xdr:rowOff>7620</xdr:rowOff>
    </xdr:from>
    <xdr:to>
      <xdr:col>7</xdr:col>
      <xdr:colOff>350520</xdr:colOff>
      <xdr:row>37</xdr:row>
      <xdr:rowOff>99060</xdr:rowOff>
    </xdr:to>
    <xdr:graphicFrame macro="">
      <xdr:nvGraphicFramePr>
        <xdr:cNvPr id="255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255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0.84084</cdr:y>
    </cdr:from>
    <cdr:to>
      <cdr:x>0.41477</cdr:x>
      <cdr:y>0.90853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7640"/>
          <a:ext cx="1842099" cy="1766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0.45115</cdr:x>
      <cdr:y>0.13279</cdr:y>
    </cdr:from>
    <cdr:to>
      <cdr:x>0.94142</cdr:x>
      <cdr:y>0.26009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842" y="376075"/>
          <a:ext cx="2200420" cy="36052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0.83144</cdr:y>
    </cdr:from>
    <cdr:to>
      <cdr:x>0.40678</cdr:x>
      <cdr:y>0.91478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4" y="2889035"/>
          <a:ext cx="1888779" cy="2895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0.17851</cdr:x>
      <cdr:y>0.22776</cdr:y>
    </cdr:from>
    <cdr:to>
      <cdr:x>0.9127</cdr:x>
      <cdr:y>0.34158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2543" y="650240"/>
          <a:ext cx="3300772" cy="3249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0.34746</cdr:x>
      <cdr:y>0.16638</cdr:y>
    </cdr:from>
    <cdr:to>
      <cdr:x>0.7568</cdr:x>
      <cdr:y>0.32091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62111" y="471205"/>
          <a:ext cx="1840310" cy="43764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0.02882</cdr:x>
      <cdr:y>0.83277</cdr:y>
    </cdr:from>
    <cdr:to>
      <cdr:x>0.35821</cdr:x>
      <cdr:y>0.90408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8903" y="2206186"/>
          <a:ext cx="1473341" cy="1889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0.20083</cdr:x>
      <cdr:y>0.17658</cdr:y>
    </cdr:from>
    <cdr:to>
      <cdr:x>0.90099</cdr:x>
      <cdr:y>0.30883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8287" y="467791"/>
          <a:ext cx="3131774" cy="35035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0.40229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361" y="2803789"/>
          <a:ext cx="1855283" cy="262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15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34" sqref="A34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53" activePane="bottomRight" state="frozen"/>
      <selection pane="topRight" activeCell="B1" sqref="B1"/>
      <selection pane="bottomLeft" activeCell="A9" sqref="A9"/>
      <selection pane="bottomRight" activeCell="F1057" sqref="F1057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2"/>
      <c r="C1" s="143"/>
      <c r="D1" s="144"/>
      <c r="E1" s="144"/>
      <c r="F1" s="144"/>
      <c r="G1" s="144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5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5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5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5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5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5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5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5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5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5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5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5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5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5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5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5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5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5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5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5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5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5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5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5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5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5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5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5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5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5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5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5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5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5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5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5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5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5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5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5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5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5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5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5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5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5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5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5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5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5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5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5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5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5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5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5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5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5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5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5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5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5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5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5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5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5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5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5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5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5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5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5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5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5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5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5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5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5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5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5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5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5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5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5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5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5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5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5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5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5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5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5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5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5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5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5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5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5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5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5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5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5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5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5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5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5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5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5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5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5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5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5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5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2">
        <v>1942</v>
      </c>
      <c r="K1054" s="47">
        <f t="shared" si="45"/>
        <v>5</v>
      </c>
      <c r="L1054" s="220">
        <f t="shared" si="48"/>
        <v>41664</v>
      </c>
    </row>
    <row r="1055" spans="1:12" x14ac:dyDescent="0.25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2">
        <v>1705</v>
      </c>
      <c r="K1055" s="47">
        <f t="shared" si="45"/>
        <v>6</v>
      </c>
      <c r="L1055" s="220">
        <f t="shared" si="48"/>
        <v>41671</v>
      </c>
    </row>
    <row r="1056" spans="1:12" x14ac:dyDescent="0.25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2">
        <v>2188</v>
      </c>
      <c r="K1056" s="47">
        <f t="shared" si="45"/>
        <v>7</v>
      </c>
      <c r="L1056" s="220">
        <f t="shared" si="48"/>
        <v>41678</v>
      </c>
    </row>
    <row r="1057" spans="1:12" x14ac:dyDescent="0.25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1173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9003</v>
      </c>
      <c r="J1057" s="252">
        <v>1295</v>
      </c>
      <c r="K1057" s="47">
        <f t="shared" si="45"/>
        <v>8</v>
      </c>
      <c r="L1057" s="220">
        <f t="shared" si="48"/>
        <v>41685</v>
      </c>
    </row>
    <row r="1058" spans="1:12" x14ac:dyDescent="0.25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1437</v>
      </c>
      <c r="F1058" s="228" t="s">
        <v>34</v>
      </c>
      <c r="G1058" s="242">
        <v>5531</v>
      </c>
      <c r="H1058" s="30">
        <f t="shared" si="43"/>
        <v>1334</v>
      </c>
      <c r="I1058" s="113">
        <f t="shared" si="47"/>
        <v>9404</v>
      </c>
      <c r="J1058" s="252">
        <v>1437</v>
      </c>
      <c r="K1058" s="47">
        <f t="shared" si="45"/>
        <v>9</v>
      </c>
      <c r="L1058" s="220">
        <f t="shared" si="48"/>
        <v>41692</v>
      </c>
    </row>
    <row r="1059" spans="1:12" x14ac:dyDescent="0.25">
      <c r="A1059" s="13">
        <f t="shared" si="46"/>
        <v>41703</v>
      </c>
      <c r="F1059" s="228" t="s">
        <v>34</v>
      </c>
      <c r="I1059" s="102"/>
      <c r="J1059" s="253"/>
      <c r="K1059" s="47">
        <f t="shared" si="45"/>
        <v>10</v>
      </c>
      <c r="L1059" s="220">
        <f t="shared" si="48"/>
        <v>41699</v>
      </c>
    </row>
    <row r="1060" spans="1:12" x14ac:dyDescent="0.25">
      <c r="A1060" s="13">
        <f t="shared" si="46"/>
        <v>41710</v>
      </c>
      <c r="F1060" s="228" t="s">
        <v>34</v>
      </c>
      <c r="I1060" s="102"/>
      <c r="J1060" s="253"/>
      <c r="K1060" s="47">
        <f t="shared" si="45"/>
        <v>11</v>
      </c>
      <c r="L1060" s="220">
        <f t="shared" si="48"/>
        <v>41706</v>
      </c>
    </row>
    <row r="1061" spans="1:12" x14ac:dyDescent="0.25">
      <c r="A1061" s="13">
        <f t="shared" si="46"/>
        <v>41717</v>
      </c>
      <c r="F1061" s="228" t="s">
        <v>34</v>
      </c>
      <c r="I1061" s="102"/>
      <c r="J1061" s="253"/>
      <c r="K1061" s="47">
        <f t="shared" si="45"/>
        <v>12</v>
      </c>
      <c r="L1061" s="220">
        <f t="shared" si="48"/>
        <v>41713</v>
      </c>
    </row>
    <row r="1062" spans="1:12" x14ac:dyDescent="0.25">
      <c r="A1062" s="13">
        <f t="shared" si="46"/>
        <v>41724</v>
      </c>
      <c r="F1062" s="228" t="s">
        <v>34</v>
      </c>
      <c r="I1062" s="102"/>
      <c r="J1062" s="253"/>
      <c r="K1062" s="47">
        <f t="shared" si="45"/>
        <v>13</v>
      </c>
      <c r="L1062" s="220">
        <f t="shared" si="48"/>
        <v>41720</v>
      </c>
    </row>
    <row r="1063" spans="1:12" x14ac:dyDescent="0.25">
      <c r="A1063" s="13">
        <f t="shared" si="46"/>
        <v>41731</v>
      </c>
      <c r="F1063" s="228" t="s">
        <v>34</v>
      </c>
      <c r="I1063" s="102"/>
      <c r="J1063" s="253"/>
      <c r="K1063" s="47">
        <f t="shared" si="45"/>
        <v>14</v>
      </c>
      <c r="L1063" s="220">
        <f t="shared" si="48"/>
        <v>41727</v>
      </c>
    </row>
    <row r="1064" spans="1:12" x14ac:dyDescent="0.25">
      <c r="A1064" s="13">
        <f t="shared" si="46"/>
        <v>41738</v>
      </c>
      <c r="F1064" s="228" t="s">
        <v>34</v>
      </c>
      <c r="I1064" s="102"/>
      <c r="J1064" s="253"/>
      <c r="K1064" s="47">
        <f t="shared" si="45"/>
        <v>15</v>
      </c>
      <c r="L1064" s="220">
        <f t="shared" si="48"/>
        <v>41734</v>
      </c>
    </row>
    <row r="1065" spans="1:12" x14ac:dyDescent="0.25">
      <c r="A1065" s="13">
        <f t="shared" si="46"/>
        <v>41745</v>
      </c>
      <c r="F1065" s="228" t="s">
        <v>34</v>
      </c>
      <c r="I1065" s="102"/>
      <c r="J1065" s="253"/>
      <c r="K1065" s="47">
        <f t="shared" si="45"/>
        <v>16</v>
      </c>
      <c r="L1065" s="220">
        <f t="shared" si="48"/>
        <v>41741</v>
      </c>
    </row>
    <row r="1066" spans="1:12" x14ac:dyDescent="0.25">
      <c r="A1066" s="13">
        <f t="shared" si="46"/>
        <v>41752</v>
      </c>
      <c r="F1066" s="228" t="s">
        <v>34</v>
      </c>
      <c r="I1066" s="102"/>
      <c r="J1066" s="253"/>
      <c r="K1066" s="47">
        <f t="shared" si="45"/>
        <v>17</v>
      </c>
      <c r="L1066" s="220">
        <f t="shared" si="48"/>
        <v>41748</v>
      </c>
    </row>
    <row r="1067" spans="1:12" x14ac:dyDescent="0.25">
      <c r="A1067" s="13">
        <f t="shared" si="46"/>
        <v>41759</v>
      </c>
      <c r="F1067" s="228" t="s">
        <v>34</v>
      </c>
      <c r="I1067" s="102"/>
      <c r="J1067" s="253"/>
      <c r="K1067" s="47">
        <f t="shared" si="45"/>
        <v>18</v>
      </c>
      <c r="L1067" s="220">
        <f t="shared" si="48"/>
        <v>41755</v>
      </c>
    </row>
    <row r="1068" spans="1:12" x14ac:dyDescent="0.25">
      <c r="A1068" s="13">
        <f t="shared" si="46"/>
        <v>41766</v>
      </c>
      <c r="F1068" s="228" t="s">
        <v>34</v>
      </c>
      <c r="I1068" s="102"/>
      <c r="J1068" s="253"/>
      <c r="K1068" s="47">
        <f t="shared" si="45"/>
        <v>19</v>
      </c>
      <c r="L1068" s="220">
        <f t="shared" si="48"/>
        <v>41762</v>
      </c>
    </row>
    <row r="1069" spans="1:12" x14ac:dyDescent="0.25">
      <c r="A1069" s="13">
        <f t="shared" si="46"/>
        <v>41773</v>
      </c>
      <c r="F1069" s="228" t="s">
        <v>34</v>
      </c>
      <c r="I1069" s="102"/>
      <c r="J1069" s="253"/>
      <c r="K1069" s="47">
        <f t="shared" si="45"/>
        <v>20</v>
      </c>
      <c r="L1069" s="220">
        <f t="shared" si="48"/>
        <v>41769</v>
      </c>
    </row>
    <row r="1070" spans="1:12" x14ac:dyDescent="0.25">
      <c r="A1070" s="13">
        <f t="shared" si="46"/>
        <v>41780</v>
      </c>
      <c r="F1070" s="228" t="s">
        <v>34</v>
      </c>
      <c r="I1070" s="102"/>
      <c r="J1070" s="253"/>
      <c r="K1070" s="47">
        <f t="shared" si="45"/>
        <v>21</v>
      </c>
      <c r="L1070" s="220">
        <f t="shared" si="48"/>
        <v>41776</v>
      </c>
    </row>
    <row r="1071" spans="1:12" x14ac:dyDescent="0.25">
      <c r="A1071" s="13">
        <f t="shared" si="46"/>
        <v>41787</v>
      </c>
      <c r="F1071" s="228" t="s">
        <v>34</v>
      </c>
      <c r="I1071" s="102"/>
      <c r="J1071" s="253"/>
      <c r="K1071" s="47">
        <f t="shared" si="45"/>
        <v>22</v>
      </c>
      <c r="L1071" s="220">
        <f t="shared" si="48"/>
        <v>41783</v>
      </c>
    </row>
    <row r="1072" spans="1:12" x14ac:dyDescent="0.25">
      <c r="A1072" s="13">
        <f t="shared" si="46"/>
        <v>41794</v>
      </c>
      <c r="F1072" s="228" t="s">
        <v>34</v>
      </c>
      <c r="I1072" s="102"/>
      <c r="J1072" s="253"/>
      <c r="K1072" s="47">
        <f t="shared" si="45"/>
        <v>23</v>
      </c>
      <c r="L1072" s="220">
        <f t="shared" si="48"/>
        <v>41790</v>
      </c>
    </row>
    <row r="1073" spans="1:12" x14ac:dyDescent="0.25">
      <c r="A1073" s="13">
        <f t="shared" si="46"/>
        <v>41801</v>
      </c>
      <c r="F1073" s="228" t="s">
        <v>34</v>
      </c>
      <c r="I1073" s="102"/>
      <c r="J1073" s="253"/>
      <c r="K1073" s="47">
        <f t="shared" si="45"/>
        <v>24</v>
      </c>
      <c r="L1073" s="220">
        <f t="shared" si="48"/>
        <v>41797</v>
      </c>
    </row>
    <row r="1074" spans="1:12" x14ac:dyDescent="0.25">
      <c r="A1074" s="13">
        <f t="shared" si="46"/>
        <v>41808</v>
      </c>
      <c r="F1074" s="228" t="s">
        <v>34</v>
      </c>
      <c r="I1074" s="102"/>
      <c r="J1074" s="253"/>
      <c r="K1074" s="47">
        <f t="shared" si="45"/>
        <v>25</v>
      </c>
      <c r="L1074" s="220">
        <f t="shared" si="48"/>
        <v>41804</v>
      </c>
    </row>
    <row r="1075" spans="1:12" x14ac:dyDescent="0.25">
      <c r="A1075" s="13">
        <f t="shared" si="46"/>
        <v>41815</v>
      </c>
      <c r="F1075" s="228" t="s">
        <v>34</v>
      </c>
      <c r="I1075" s="102"/>
      <c r="J1075" s="253"/>
      <c r="K1075" s="47">
        <f t="shared" si="45"/>
        <v>26</v>
      </c>
      <c r="L1075" s="220">
        <f t="shared" si="48"/>
        <v>41811</v>
      </c>
    </row>
    <row r="1076" spans="1:12" x14ac:dyDescent="0.25">
      <c r="A1076" s="13">
        <f t="shared" si="46"/>
        <v>41822</v>
      </c>
      <c r="F1076" s="228" t="s">
        <v>34</v>
      </c>
      <c r="I1076" s="102"/>
      <c r="J1076" s="253"/>
      <c r="K1076" s="47">
        <f t="shared" si="45"/>
        <v>27</v>
      </c>
      <c r="L1076" s="220">
        <f t="shared" si="48"/>
        <v>41818</v>
      </c>
    </row>
    <row r="1077" spans="1:12" x14ac:dyDescent="0.25">
      <c r="A1077" s="13">
        <f t="shared" si="46"/>
        <v>41829</v>
      </c>
      <c r="F1077" s="228" t="s">
        <v>34</v>
      </c>
      <c r="I1077" s="102"/>
      <c r="J1077" s="253"/>
      <c r="K1077" s="47">
        <f t="shared" si="45"/>
        <v>28</v>
      </c>
      <c r="L1077" s="220">
        <f t="shared" si="48"/>
        <v>41825</v>
      </c>
    </row>
    <row r="1078" spans="1:12" x14ac:dyDescent="0.25">
      <c r="A1078" s="13">
        <f t="shared" si="46"/>
        <v>41836</v>
      </c>
      <c r="F1078" s="228" t="s">
        <v>34</v>
      </c>
      <c r="I1078" s="102"/>
      <c r="J1078" s="253"/>
      <c r="K1078" s="47">
        <f t="shared" si="45"/>
        <v>29</v>
      </c>
      <c r="L1078" s="220">
        <f t="shared" si="48"/>
        <v>41832</v>
      </c>
    </row>
    <row r="1079" spans="1:12" x14ac:dyDescent="0.25">
      <c r="A1079" s="13">
        <f t="shared" si="46"/>
        <v>41843</v>
      </c>
      <c r="F1079" s="228" t="s">
        <v>34</v>
      </c>
      <c r="I1079" s="102"/>
      <c r="J1079" s="253"/>
      <c r="K1079" s="47">
        <f t="shared" si="45"/>
        <v>30</v>
      </c>
      <c r="L1079" s="220">
        <f t="shared" si="48"/>
        <v>41839</v>
      </c>
    </row>
    <row r="1080" spans="1:12" x14ac:dyDescent="0.25">
      <c r="A1080" s="13">
        <f t="shared" si="46"/>
        <v>41850</v>
      </c>
      <c r="F1080" s="228" t="s">
        <v>34</v>
      </c>
      <c r="I1080" s="102"/>
      <c r="J1080" s="253"/>
      <c r="K1080" s="47">
        <f t="shared" si="45"/>
        <v>31</v>
      </c>
      <c r="L1080" s="220">
        <f t="shared" si="48"/>
        <v>41846</v>
      </c>
    </row>
    <row r="1081" spans="1:12" x14ac:dyDescent="0.25">
      <c r="A1081" s="13">
        <f t="shared" si="46"/>
        <v>41857</v>
      </c>
      <c r="F1081" s="228" t="s">
        <v>34</v>
      </c>
      <c r="I1081" s="102"/>
      <c r="J1081" s="253"/>
      <c r="K1081" s="47">
        <f t="shared" si="45"/>
        <v>32</v>
      </c>
      <c r="L1081" s="220">
        <f t="shared" si="48"/>
        <v>41853</v>
      </c>
    </row>
    <row r="1082" spans="1:12" x14ac:dyDescent="0.25">
      <c r="A1082" s="13">
        <f t="shared" si="46"/>
        <v>41864</v>
      </c>
      <c r="F1082" s="228" t="s">
        <v>34</v>
      </c>
      <c r="I1082" s="102"/>
      <c r="J1082" s="253"/>
      <c r="K1082" s="47">
        <f t="shared" si="45"/>
        <v>33</v>
      </c>
      <c r="L1082" s="220">
        <f t="shared" si="48"/>
        <v>41860</v>
      </c>
    </row>
    <row r="1083" spans="1:12" x14ac:dyDescent="0.25">
      <c r="A1083" s="13">
        <f t="shared" si="46"/>
        <v>41871</v>
      </c>
      <c r="F1083" s="228" t="s">
        <v>34</v>
      </c>
      <c r="I1083" s="102"/>
      <c r="J1083" s="253"/>
      <c r="K1083" s="47">
        <f t="shared" si="45"/>
        <v>34</v>
      </c>
      <c r="L1083" s="220">
        <f t="shared" si="48"/>
        <v>41867</v>
      </c>
    </row>
    <row r="1084" spans="1:12" x14ac:dyDescent="0.25">
      <c r="A1084" s="13">
        <f t="shared" si="46"/>
        <v>41878</v>
      </c>
      <c r="F1084" s="228" t="s">
        <v>34</v>
      </c>
      <c r="I1084" s="102"/>
      <c r="J1084" s="253"/>
      <c r="K1084" s="47">
        <f t="shared" si="45"/>
        <v>35</v>
      </c>
      <c r="L1084" s="220">
        <f t="shared" si="48"/>
        <v>41874</v>
      </c>
    </row>
    <row r="1085" spans="1:12" x14ac:dyDescent="0.25">
      <c r="A1085" s="13">
        <f t="shared" si="46"/>
        <v>41885</v>
      </c>
      <c r="F1085" s="228" t="s">
        <v>34</v>
      </c>
      <c r="I1085" s="102"/>
      <c r="J1085" s="253"/>
      <c r="K1085" s="47">
        <f t="shared" si="45"/>
        <v>36</v>
      </c>
      <c r="L1085" s="220">
        <f t="shared" si="48"/>
        <v>41881</v>
      </c>
    </row>
    <row r="1086" spans="1:12" x14ac:dyDescent="0.25">
      <c r="A1086" s="13">
        <f t="shared" si="46"/>
        <v>41892</v>
      </c>
      <c r="F1086" s="228" t="s">
        <v>34</v>
      </c>
      <c r="I1086" s="102"/>
      <c r="J1086" s="253"/>
      <c r="K1086" s="47">
        <f t="shared" si="45"/>
        <v>37</v>
      </c>
      <c r="L1086" s="220">
        <f t="shared" si="48"/>
        <v>41888</v>
      </c>
    </row>
    <row r="1087" spans="1:12" x14ac:dyDescent="0.25">
      <c r="A1087" s="13">
        <f t="shared" si="46"/>
        <v>41899</v>
      </c>
      <c r="F1087" s="228" t="s">
        <v>34</v>
      </c>
      <c r="I1087" s="102"/>
      <c r="J1087" s="253"/>
      <c r="K1087" s="47">
        <f t="shared" si="45"/>
        <v>38</v>
      </c>
      <c r="L1087" s="220">
        <f t="shared" si="48"/>
        <v>41895</v>
      </c>
    </row>
    <row r="1088" spans="1:12" x14ac:dyDescent="0.25">
      <c r="A1088" s="13">
        <f t="shared" si="46"/>
        <v>41906</v>
      </c>
      <c r="F1088" s="228" t="s">
        <v>34</v>
      </c>
      <c r="I1088" s="102"/>
      <c r="J1088" s="253"/>
      <c r="K1088" s="47">
        <f t="shared" ref="K1088:K1108" si="49">K1087+1</f>
        <v>39</v>
      </c>
      <c r="L1088" s="220">
        <f t="shared" si="48"/>
        <v>41902</v>
      </c>
    </row>
    <row r="1089" spans="1:12" x14ac:dyDescent="0.25">
      <c r="A1089" s="13">
        <f t="shared" si="46"/>
        <v>41913</v>
      </c>
      <c r="F1089" s="228" t="s">
        <v>34</v>
      </c>
      <c r="I1089" s="102"/>
      <c r="J1089" s="253"/>
      <c r="K1089" s="47">
        <f t="shared" si="49"/>
        <v>40</v>
      </c>
      <c r="L1089" s="220">
        <f t="shared" si="48"/>
        <v>41909</v>
      </c>
    </row>
    <row r="1090" spans="1:12" x14ac:dyDescent="0.25">
      <c r="A1090" s="13">
        <f t="shared" si="46"/>
        <v>41920</v>
      </c>
      <c r="F1090" s="228" t="s">
        <v>34</v>
      </c>
      <c r="I1090" s="102"/>
      <c r="J1090" s="253"/>
      <c r="K1090" s="47">
        <f t="shared" si="49"/>
        <v>41</v>
      </c>
      <c r="L1090" s="220">
        <f t="shared" si="48"/>
        <v>41916</v>
      </c>
    </row>
    <row r="1091" spans="1:12" x14ac:dyDescent="0.25">
      <c r="A1091" s="13">
        <f t="shared" si="46"/>
        <v>41927</v>
      </c>
      <c r="F1091" s="228" t="s">
        <v>34</v>
      </c>
      <c r="I1091" s="102"/>
      <c r="J1091" s="253"/>
      <c r="K1091" s="47">
        <f t="shared" si="49"/>
        <v>42</v>
      </c>
      <c r="L1091" s="220">
        <f t="shared" si="48"/>
        <v>41923</v>
      </c>
    </row>
    <row r="1092" spans="1:12" x14ac:dyDescent="0.25">
      <c r="A1092" s="13">
        <f t="shared" si="46"/>
        <v>41934</v>
      </c>
      <c r="F1092" s="228" t="s">
        <v>34</v>
      </c>
      <c r="I1092" s="102"/>
      <c r="J1092" s="253"/>
      <c r="K1092" s="47">
        <f t="shared" si="49"/>
        <v>43</v>
      </c>
      <c r="L1092" s="220">
        <f t="shared" si="48"/>
        <v>41930</v>
      </c>
    </row>
    <row r="1093" spans="1:12" x14ac:dyDescent="0.25">
      <c r="A1093" s="13">
        <f t="shared" si="46"/>
        <v>41941</v>
      </c>
      <c r="F1093" s="228" t="s">
        <v>34</v>
      </c>
      <c r="I1093" s="102"/>
      <c r="J1093" s="253"/>
      <c r="K1093" s="47">
        <f t="shared" si="49"/>
        <v>44</v>
      </c>
      <c r="L1093" s="220">
        <f t="shared" si="48"/>
        <v>41937</v>
      </c>
    </row>
    <row r="1094" spans="1:12" x14ac:dyDescent="0.25">
      <c r="A1094" s="13">
        <f t="shared" si="46"/>
        <v>41948</v>
      </c>
      <c r="F1094" s="228" t="s">
        <v>34</v>
      </c>
      <c r="I1094" s="102"/>
      <c r="J1094" s="253"/>
      <c r="K1094" s="47">
        <f t="shared" si="49"/>
        <v>45</v>
      </c>
      <c r="L1094" s="220">
        <f t="shared" si="48"/>
        <v>41944</v>
      </c>
    </row>
    <row r="1095" spans="1:12" x14ac:dyDescent="0.25">
      <c r="A1095" s="13">
        <f t="shared" ref="A1095:A1108" si="50">A1094+7</f>
        <v>41955</v>
      </c>
      <c r="F1095" s="228" t="s">
        <v>34</v>
      </c>
      <c r="I1095" s="102"/>
      <c r="J1095" s="253"/>
      <c r="K1095" s="47">
        <f t="shared" si="49"/>
        <v>46</v>
      </c>
      <c r="L1095" s="220">
        <f t="shared" si="48"/>
        <v>41951</v>
      </c>
    </row>
    <row r="1096" spans="1:12" x14ac:dyDescent="0.25">
      <c r="A1096" s="13">
        <f t="shared" si="50"/>
        <v>41962</v>
      </c>
      <c r="F1096" s="228" t="s">
        <v>34</v>
      </c>
      <c r="I1096" s="102"/>
      <c r="J1096" s="253"/>
      <c r="K1096" s="47">
        <f t="shared" si="49"/>
        <v>47</v>
      </c>
      <c r="L1096" s="220">
        <f t="shared" si="48"/>
        <v>41958</v>
      </c>
    </row>
    <row r="1097" spans="1:12" x14ac:dyDescent="0.25">
      <c r="A1097" s="13">
        <f t="shared" si="50"/>
        <v>41969</v>
      </c>
      <c r="F1097" s="228" t="s">
        <v>34</v>
      </c>
      <c r="I1097" s="102"/>
      <c r="J1097" s="253"/>
      <c r="K1097" s="47">
        <f t="shared" si="49"/>
        <v>48</v>
      </c>
      <c r="L1097" s="220">
        <f t="shared" si="48"/>
        <v>41965</v>
      </c>
    </row>
    <row r="1098" spans="1:12" x14ac:dyDescent="0.25">
      <c r="A1098" s="13">
        <f t="shared" si="50"/>
        <v>41976</v>
      </c>
      <c r="F1098" s="228" t="s">
        <v>34</v>
      </c>
      <c r="I1098" s="102"/>
      <c r="J1098" s="253"/>
      <c r="K1098" s="47">
        <f t="shared" si="49"/>
        <v>49</v>
      </c>
      <c r="L1098" s="220">
        <f t="shared" si="48"/>
        <v>41972</v>
      </c>
    </row>
    <row r="1099" spans="1:12" x14ac:dyDescent="0.25">
      <c r="A1099" s="13">
        <f t="shared" si="50"/>
        <v>41983</v>
      </c>
      <c r="F1099" s="228" t="s">
        <v>34</v>
      </c>
      <c r="I1099" s="102"/>
      <c r="J1099" s="253"/>
      <c r="K1099" s="47">
        <f t="shared" si="49"/>
        <v>50</v>
      </c>
      <c r="L1099" s="220">
        <f t="shared" si="48"/>
        <v>41979</v>
      </c>
    </row>
    <row r="1100" spans="1:12" x14ac:dyDescent="0.25">
      <c r="A1100" s="13">
        <f t="shared" si="50"/>
        <v>41990</v>
      </c>
      <c r="F1100" s="228" t="s">
        <v>34</v>
      </c>
      <c r="I1100" s="102"/>
      <c r="J1100" s="253"/>
      <c r="K1100" s="47">
        <f t="shared" si="49"/>
        <v>51</v>
      </c>
      <c r="L1100" s="220">
        <f t="shared" si="48"/>
        <v>41986</v>
      </c>
    </row>
    <row r="1101" spans="1:12" x14ac:dyDescent="0.25">
      <c r="A1101" s="13">
        <f t="shared" si="50"/>
        <v>41997</v>
      </c>
      <c r="F1101" s="228" t="s">
        <v>34</v>
      </c>
      <c r="I1101" s="102"/>
      <c r="J1101" s="253"/>
      <c r="K1101" s="47">
        <f t="shared" si="49"/>
        <v>52</v>
      </c>
      <c r="L1101" s="220">
        <f t="shared" si="48"/>
        <v>41993</v>
      </c>
    </row>
    <row r="1102" spans="1:12" x14ac:dyDescent="0.25">
      <c r="A1102" s="13">
        <f t="shared" si="50"/>
        <v>42004</v>
      </c>
      <c r="F1102" s="228" t="s">
        <v>34</v>
      </c>
      <c r="I1102" s="102"/>
      <c r="J1102" s="253"/>
      <c r="K1102" s="47">
        <f t="shared" si="49"/>
        <v>53</v>
      </c>
      <c r="L1102" s="220">
        <f t="shared" si="48"/>
        <v>42000</v>
      </c>
    </row>
    <row r="1103" spans="1:12" x14ac:dyDescent="0.25">
      <c r="A1103" s="13">
        <f t="shared" si="50"/>
        <v>42011</v>
      </c>
      <c r="F1103" s="228" t="s">
        <v>34</v>
      </c>
      <c r="I1103" s="102"/>
      <c r="J1103" s="253"/>
      <c r="K1103" s="47">
        <v>1</v>
      </c>
      <c r="L1103" s="220">
        <f t="shared" si="48"/>
        <v>42007</v>
      </c>
    </row>
    <row r="1104" spans="1:12" x14ac:dyDescent="0.25">
      <c r="A1104" s="13">
        <f t="shared" si="50"/>
        <v>42018</v>
      </c>
      <c r="F1104" s="228" t="s">
        <v>34</v>
      </c>
      <c r="I1104" s="102"/>
      <c r="J1104" s="144"/>
      <c r="K1104" s="47">
        <f t="shared" si="49"/>
        <v>2</v>
      </c>
      <c r="L1104" s="220">
        <f t="shared" si="48"/>
        <v>42014</v>
      </c>
    </row>
    <row r="1105" spans="1:12" x14ac:dyDescent="0.25">
      <c r="A1105" s="13">
        <f t="shared" si="50"/>
        <v>42025</v>
      </c>
      <c r="F1105" s="228" t="s">
        <v>34</v>
      </c>
      <c r="I1105" s="102"/>
      <c r="J1105" s="144"/>
      <c r="K1105" s="47">
        <f t="shared" si="49"/>
        <v>3</v>
      </c>
      <c r="L1105" s="220">
        <f t="shared" si="48"/>
        <v>42021</v>
      </c>
    </row>
    <row r="1106" spans="1:12" x14ac:dyDescent="0.25">
      <c r="A1106" s="13">
        <f t="shared" si="50"/>
        <v>42032</v>
      </c>
      <c r="F1106" s="228" t="s">
        <v>34</v>
      </c>
      <c r="I1106" s="102"/>
      <c r="J1106" s="144"/>
      <c r="K1106" s="47">
        <f t="shared" si="49"/>
        <v>4</v>
      </c>
      <c r="L1106" s="220">
        <f t="shared" si="48"/>
        <v>42028</v>
      </c>
    </row>
    <row r="1107" spans="1:12" x14ac:dyDescent="0.25">
      <c r="A1107" s="13">
        <f t="shared" si="50"/>
        <v>42039</v>
      </c>
      <c r="F1107" s="228" t="s">
        <v>34</v>
      </c>
      <c r="I1107" s="102"/>
      <c r="J1107" s="144"/>
      <c r="K1107" s="47">
        <f t="shared" si="49"/>
        <v>5</v>
      </c>
    </row>
    <row r="1108" spans="1:12" x14ac:dyDescent="0.25">
      <c r="A1108" s="13">
        <f t="shared" si="50"/>
        <v>42046</v>
      </c>
      <c r="F1108" s="228" t="s">
        <v>34</v>
      </c>
      <c r="I1108" s="102"/>
      <c r="J1108" s="144"/>
      <c r="K1108" s="47">
        <f t="shared" si="49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097"/>
  <sheetViews>
    <sheetView workbookViewId="0">
      <pane xSplit="1" ySplit="8" topLeftCell="B1047" activePane="bottomRight" state="frozen"/>
      <selection pane="topRight" activeCell="B1" sqref="B1"/>
      <selection pane="bottomLeft" activeCell="A8" sqref="A8"/>
      <selection pane="bottomRight" activeCell="H1058" sqref="H1058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9"/>
      <c r="E4" s="9"/>
      <c r="F4" s="9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58"/>
      <c r="T4" s="258"/>
      <c r="U4" s="6"/>
      <c r="V4" s="258"/>
      <c r="W4" s="258"/>
      <c r="X4" s="258"/>
      <c r="Y4" s="258"/>
      <c r="AA4" s="258"/>
      <c r="AB4" s="258"/>
      <c r="AD4" s="258"/>
      <c r="AE4" s="258"/>
      <c r="AG4" s="258"/>
      <c r="AH4" s="258"/>
    </row>
    <row r="5" spans="1:34" ht="15.6" x14ac:dyDescent="0.3">
      <c r="A5" s="10"/>
      <c r="B5" s="53" t="s">
        <v>26</v>
      </c>
      <c r="C5" s="12"/>
      <c r="D5" s="12"/>
      <c r="E5" s="12"/>
      <c r="F5" s="6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58" t="s">
        <v>40</v>
      </c>
      <c r="K6" s="258"/>
      <c r="L6" s="258"/>
      <c r="M6" s="258"/>
      <c r="N6" s="258"/>
      <c r="O6" s="258"/>
      <c r="P6" s="187" t="s">
        <v>21</v>
      </c>
      <c r="Q6" s="6"/>
      <c r="S6" s="258" t="s">
        <v>41</v>
      </c>
      <c r="T6" s="258"/>
      <c r="U6" s="258"/>
      <c r="V6" s="258"/>
      <c r="W6" s="258"/>
      <c r="X6" s="258"/>
      <c r="Y6" s="187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5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5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5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5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5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5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5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5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5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5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5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5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5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5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5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5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5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5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5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5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5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5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5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5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5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5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5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5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5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5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5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5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5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5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5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5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5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5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5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5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5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5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5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5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5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5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5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5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5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5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5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5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5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5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5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5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5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5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5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5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5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5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5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5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5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5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5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5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5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5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5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5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5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5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5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5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5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5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5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5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5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5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5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5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5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5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5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5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5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5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5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5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5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5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5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5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5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5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5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5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5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5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5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5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5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5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5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5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5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5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5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5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5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5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5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5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65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5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5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5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5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5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5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5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5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5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5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5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5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5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5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5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5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5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5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5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5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5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5">
      <c r="A1037" s="104">
        <f t="shared" ref="A1037:A1097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5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5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5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5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5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5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5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5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5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5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5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5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5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5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5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5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5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5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5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5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1387.25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8996.25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5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1383.75</v>
      </c>
      <c r="D1058" s="90" t="s">
        <v>34</v>
      </c>
      <c r="E1058" s="90">
        <f>SUM('Weekly Data'!G1055:G1058)/4</f>
        <v>5064</v>
      </c>
      <c r="F1058" s="90">
        <f>SUM('Weekly Data'!H1055:H1058)/4</f>
        <v>1055.75</v>
      </c>
      <c r="G1058" s="90">
        <f>SUM('Weekly Data'!I1055:I1058)/4</f>
        <v>8688.25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Y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 t="shared" si="162"/>
        <v>1457.035422109851</v>
      </c>
    </row>
    <row r="1059" spans="1:25" x14ac:dyDescent="0.25">
      <c r="A1059" s="104">
        <f t="shared" si="142"/>
        <v>41703</v>
      </c>
      <c r="B1059" s="102"/>
      <c r="R1059" s="13">
        <f t="shared" si="119"/>
        <v>41703</v>
      </c>
    </row>
    <row r="1060" spans="1:25" x14ac:dyDescent="0.25">
      <c r="A1060" s="104">
        <f t="shared" si="142"/>
        <v>41710</v>
      </c>
      <c r="B1060" s="102"/>
      <c r="R1060" s="13">
        <f t="shared" si="119"/>
        <v>41710</v>
      </c>
    </row>
    <row r="1061" spans="1:25" x14ac:dyDescent="0.25">
      <c r="A1061" s="104">
        <f t="shared" si="142"/>
        <v>41717</v>
      </c>
      <c r="B1061" s="102"/>
      <c r="R1061" s="13">
        <f t="shared" si="119"/>
        <v>41717</v>
      </c>
    </row>
    <row r="1062" spans="1:25" x14ac:dyDescent="0.25">
      <c r="A1062" s="104">
        <f t="shared" si="142"/>
        <v>41724</v>
      </c>
      <c r="B1062" s="102"/>
      <c r="R1062" s="13">
        <f t="shared" si="119"/>
        <v>41724</v>
      </c>
    </row>
    <row r="1063" spans="1:25" x14ac:dyDescent="0.25">
      <c r="A1063" s="104">
        <f t="shared" si="142"/>
        <v>41731</v>
      </c>
      <c r="B1063" s="102"/>
      <c r="R1063" s="13">
        <f t="shared" si="119"/>
        <v>41731</v>
      </c>
    </row>
    <row r="1064" spans="1:25" x14ac:dyDescent="0.25">
      <c r="A1064" s="104">
        <f t="shared" si="142"/>
        <v>41738</v>
      </c>
      <c r="B1064" s="102"/>
      <c r="R1064" s="13">
        <f t="shared" si="119"/>
        <v>41738</v>
      </c>
    </row>
    <row r="1065" spans="1:25" x14ac:dyDescent="0.25">
      <c r="A1065" s="104">
        <f t="shared" si="142"/>
        <v>41745</v>
      </c>
      <c r="B1065" s="102"/>
      <c r="R1065" s="13">
        <f t="shared" si="119"/>
        <v>41745</v>
      </c>
    </row>
    <row r="1066" spans="1:25" x14ac:dyDescent="0.25">
      <c r="A1066" s="104">
        <f t="shared" si="142"/>
        <v>41752</v>
      </c>
      <c r="B1066" s="102"/>
    </row>
    <row r="1067" spans="1:25" x14ac:dyDescent="0.25">
      <c r="A1067" s="104">
        <f t="shared" si="142"/>
        <v>41759</v>
      </c>
      <c r="B1067" s="102"/>
    </row>
    <row r="1068" spans="1:25" x14ac:dyDescent="0.25">
      <c r="A1068" s="104">
        <f t="shared" si="142"/>
        <v>41766</v>
      </c>
      <c r="B1068" s="102"/>
    </row>
    <row r="1069" spans="1:25" x14ac:dyDescent="0.25">
      <c r="A1069" s="104">
        <f t="shared" si="142"/>
        <v>41773</v>
      </c>
      <c r="B1069" s="102"/>
    </row>
    <row r="1070" spans="1:25" x14ac:dyDescent="0.25">
      <c r="A1070" s="104">
        <f t="shared" si="142"/>
        <v>41780</v>
      </c>
      <c r="B1070" s="102"/>
    </row>
    <row r="1071" spans="1:25" x14ac:dyDescent="0.25">
      <c r="A1071" s="104">
        <f t="shared" si="142"/>
        <v>41787</v>
      </c>
      <c r="B1071" s="102"/>
    </row>
    <row r="1072" spans="1:25" x14ac:dyDescent="0.25">
      <c r="A1072" s="104">
        <f t="shared" si="142"/>
        <v>41794</v>
      </c>
      <c r="B1072" s="102"/>
    </row>
    <row r="1073" spans="1:2" x14ac:dyDescent="0.25">
      <c r="A1073" s="104">
        <f t="shared" si="142"/>
        <v>41801</v>
      </c>
      <c r="B1073" s="102"/>
    </row>
    <row r="1074" spans="1:2" x14ac:dyDescent="0.25">
      <c r="A1074" s="104">
        <f t="shared" si="142"/>
        <v>41808</v>
      </c>
      <c r="B1074" s="102"/>
    </row>
    <row r="1075" spans="1:2" x14ac:dyDescent="0.25">
      <c r="A1075" s="104">
        <f t="shared" si="142"/>
        <v>41815</v>
      </c>
      <c r="B1075" s="102"/>
    </row>
    <row r="1076" spans="1:2" x14ac:dyDescent="0.25">
      <c r="A1076" s="104">
        <f t="shared" si="142"/>
        <v>41822</v>
      </c>
      <c r="B1076" s="102"/>
    </row>
    <row r="1077" spans="1:2" x14ac:dyDescent="0.25">
      <c r="A1077" s="104">
        <f t="shared" si="142"/>
        <v>41829</v>
      </c>
      <c r="B1077" s="102"/>
    </row>
    <row r="1078" spans="1:2" x14ac:dyDescent="0.25">
      <c r="A1078" s="104">
        <f t="shared" si="142"/>
        <v>41836</v>
      </c>
      <c r="B1078" s="102"/>
    </row>
    <row r="1079" spans="1:2" x14ac:dyDescent="0.25">
      <c r="A1079" s="104">
        <f t="shared" si="142"/>
        <v>41843</v>
      </c>
      <c r="B1079" s="102"/>
    </row>
    <row r="1080" spans="1:2" x14ac:dyDescent="0.25">
      <c r="A1080" s="104">
        <f t="shared" si="142"/>
        <v>41850</v>
      </c>
      <c r="B1080" s="102"/>
    </row>
    <row r="1081" spans="1:2" x14ac:dyDescent="0.25">
      <c r="A1081" s="104">
        <f t="shared" si="142"/>
        <v>41857</v>
      </c>
      <c r="B1081" s="102"/>
    </row>
    <row r="1082" spans="1:2" x14ac:dyDescent="0.25">
      <c r="A1082" s="104">
        <f t="shared" si="142"/>
        <v>41864</v>
      </c>
      <c r="B1082" s="102"/>
    </row>
    <row r="1083" spans="1:2" x14ac:dyDescent="0.25">
      <c r="A1083" s="104">
        <f t="shared" si="142"/>
        <v>41871</v>
      </c>
      <c r="B1083" s="102"/>
    </row>
    <row r="1084" spans="1:2" x14ac:dyDescent="0.25">
      <c r="A1084" s="104">
        <f t="shared" si="142"/>
        <v>41878</v>
      </c>
      <c r="B1084" s="102"/>
    </row>
    <row r="1085" spans="1:2" x14ac:dyDescent="0.25">
      <c r="A1085" s="104">
        <f t="shared" si="142"/>
        <v>41885</v>
      </c>
      <c r="B1085" s="102"/>
    </row>
    <row r="1086" spans="1:2" x14ac:dyDescent="0.25">
      <c r="A1086" s="104">
        <f t="shared" si="142"/>
        <v>41892</v>
      </c>
      <c r="B1086" s="102"/>
    </row>
    <row r="1087" spans="1:2" x14ac:dyDescent="0.25">
      <c r="A1087" s="104">
        <f t="shared" si="142"/>
        <v>41899</v>
      </c>
      <c r="B1087" s="102"/>
    </row>
    <row r="1088" spans="1:2" x14ac:dyDescent="0.25">
      <c r="A1088" s="104">
        <f t="shared" si="142"/>
        <v>41906</v>
      </c>
      <c r="B1088" s="102"/>
    </row>
    <row r="1089" spans="1:2" x14ac:dyDescent="0.25">
      <c r="A1089" s="104">
        <f t="shared" si="142"/>
        <v>41913</v>
      </c>
      <c r="B1089" s="102"/>
    </row>
    <row r="1090" spans="1:2" x14ac:dyDescent="0.25">
      <c r="A1090" s="104">
        <f t="shared" si="142"/>
        <v>41920</v>
      </c>
      <c r="B1090" s="102"/>
    </row>
    <row r="1091" spans="1:2" x14ac:dyDescent="0.25">
      <c r="A1091" s="104">
        <f t="shared" si="142"/>
        <v>41927</v>
      </c>
      <c r="B1091" s="102"/>
    </row>
    <row r="1092" spans="1:2" x14ac:dyDescent="0.25">
      <c r="A1092" s="104">
        <f t="shared" si="142"/>
        <v>41934</v>
      </c>
      <c r="B1092" s="102"/>
    </row>
    <row r="1093" spans="1:2" x14ac:dyDescent="0.25">
      <c r="A1093" s="104">
        <f t="shared" si="142"/>
        <v>41941</v>
      </c>
      <c r="B1093" s="102"/>
    </row>
    <row r="1094" spans="1:2" x14ac:dyDescent="0.25">
      <c r="A1094" s="104">
        <f t="shared" si="142"/>
        <v>41948</v>
      </c>
      <c r="B1094" s="102"/>
    </row>
    <row r="1095" spans="1:2" x14ac:dyDescent="0.25">
      <c r="A1095" s="104">
        <f t="shared" si="142"/>
        <v>41955</v>
      </c>
      <c r="B1095" s="102"/>
    </row>
    <row r="1096" spans="1:2" x14ac:dyDescent="0.25">
      <c r="A1096" s="104">
        <f t="shared" si="142"/>
        <v>41962</v>
      </c>
      <c r="B1096" s="102"/>
    </row>
    <row r="1097" spans="1:2" x14ac:dyDescent="0.25">
      <c r="A1097" s="104">
        <f t="shared" si="142"/>
        <v>41969</v>
      </c>
      <c r="B1097" s="102"/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6:H1039 B1040:H1044 B1045:H1045 B1046:J1046 B1047:I1047 B1048:H1048 B1049:J1050 B1051:H1051 B1052:H1052 B1053:I1053 B1054:J1054 B1055:H1056 B1057:H1057 B1058:H1058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C1" workbookViewId="0">
      <selection activeCell="I13" sqref="I13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59" t="s">
        <v>39</v>
      </c>
      <c r="E2" s="259"/>
      <c r="F2" s="259"/>
      <c r="G2" s="259"/>
      <c r="H2" s="259"/>
      <c r="I2" s="259"/>
      <c r="J2" s="259"/>
      <c r="L2" s="86"/>
      <c r="M2" s="259" t="s">
        <v>38</v>
      </c>
      <c r="N2" s="259"/>
      <c r="O2" s="259"/>
      <c r="P2" s="259"/>
      <c r="Q2" s="259"/>
      <c r="R2" s="259"/>
      <c r="S2" s="259"/>
      <c r="T2" s="199"/>
    </row>
    <row r="3" spans="1:20" x14ac:dyDescent="0.25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5">
      <c r="A4" s="99" t="s">
        <v>28</v>
      </c>
      <c r="B4" s="99"/>
      <c r="C4" s="39"/>
      <c r="D4" s="85">
        <f>('Weekly Data'!D1058/'Weekly Data'!D1057)*100</f>
        <v>120.04357298474946</v>
      </c>
      <c r="E4" s="85">
        <f>('Weekly Data'!E1058/'Weekly Data'!E1057)*100</f>
        <v>122.50639386189259</v>
      </c>
      <c r="F4" s="85">
        <f>('Weekly Data'!J1058/'Weekly Data'!J1057)*100</f>
        <v>110.96525096525096</v>
      </c>
      <c r="G4" s="186" t="s">
        <v>34</v>
      </c>
      <c r="H4" s="85">
        <f>('Weekly Data'!G1058/'Weekly Data'!G1057)*100</f>
        <v>92.848749370488505</v>
      </c>
      <c r="I4" s="85">
        <f>('Weekly Data'!H1058/'Weekly Data'!H1057)*100</f>
        <v>139.68586387434553</v>
      </c>
      <c r="J4" s="85">
        <f>('Weekly Data'!I1058/'Weekly Data'!I1057)*100</f>
        <v>104.45407086526713</v>
      </c>
      <c r="L4" s="39" t="s">
        <v>28</v>
      </c>
      <c r="M4" s="85">
        <f>('Weekly Averages'!B1058/'Weekly Averages'!B1057)*100</f>
        <v>96.596004891969017</v>
      </c>
      <c r="N4" s="85">
        <f>('Weekly Averages'!C1058/'Weekly Averages'!C1057)*100</f>
        <v>99.747702288700665</v>
      </c>
      <c r="O4" s="85">
        <f>('Weekly Averages'!H1058/'Weekly Averages'!H1057)*100</f>
        <v>92.917251051893416</v>
      </c>
      <c r="P4" s="186" t="s">
        <v>34</v>
      </c>
      <c r="Q4" s="85">
        <f>('Weekly Averages'!E1058/'Weekly Averages'!E1057)*100</f>
        <v>92.943011838120583</v>
      </c>
      <c r="R4" s="85">
        <f>('Weekly Averages'!F1058/'Weekly Averages'!F1057)*100</f>
        <v>113.03533190578159</v>
      </c>
      <c r="S4" s="85">
        <f>('Weekly Averages'!G1058/'Weekly Averages'!G1057)*100</f>
        <v>96.576351257468389</v>
      </c>
      <c r="T4" s="171"/>
    </row>
    <row r="5" spans="1:20" x14ac:dyDescent="0.25">
      <c r="A5" s="97" t="s">
        <v>29</v>
      </c>
      <c r="B5" s="39"/>
      <c r="C5" s="39"/>
      <c r="D5" s="85">
        <f>('Weekly Data'!D1058/'Weekly Data'!D1006)*100</f>
        <v>655.95238095238096</v>
      </c>
      <c r="E5" s="85">
        <f>('Weekly Data'!E1058/'Weekly Data'!E1006)*100</f>
        <v>164.79357798165137</v>
      </c>
      <c r="F5" s="85">
        <f>('Weekly Data'!J1058/'Weekly Data'!J1006)*100</f>
        <v>120.25104602510461</v>
      </c>
      <c r="G5" s="186" t="s">
        <v>34</v>
      </c>
      <c r="H5" s="85">
        <f>('Weekly Data'!G1058/'Weekly Data'!G1006)*100</f>
        <v>149.28475033738192</v>
      </c>
      <c r="I5" s="85">
        <f>('Weekly Data'!H1058/'Weekly Data'!H1006)*100</f>
        <v>265.73705179282865</v>
      </c>
      <c r="J5" s="85">
        <f>('Weekly Data'!I1058/'Weekly Data'!I1006)*100</f>
        <v>179.22622450924337</v>
      </c>
      <c r="L5" s="39" t="s">
        <v>29</v>
      </c>
      <c r="M5" s="171">
        <f>('Weekly Averages'!B1058/'Weekly Averages'!B1006)*100</f>
        <v>221.44859813084113</v>
      </c>
      <c r="N5" s="171">
        <f>('Weekly Averages'!C1058/'Weekly Averages'!C1006)*100</f>
        <v>166.06660666066605</v>
      </c>
      <c r="O5" s="171">
        <f>('Weekly Averages'!H1058/'Weekly Averages'!H1006)*100</f>
        <v>143.58474208929346</v>
      </c>
      <c r="P5" s="186" t="s">
        <v>34</v>
      </c>
      <c r="Q5" s="171">
        <f>('Weekly Averages'!E1058/'Weekly Averages'!E1006)*100</f>
        <v>121.26436781609196</v>
      </c>
      <c r="R5" s="171">
        <f>('Weekly Averages'!F1058/'Weekly Averages'!F1006)*100</f>
        <v>138.14196925089956</v>
      </c>
      <c r="S5" s="171">
        <f>('Weekly Averages'!G1058/'Weekly Averages'!G1006)*100</f>
        <v>137.72291352936514</v>
      </c>
      <c r="T5" s="171"/>
    </row>
    <row r="6" spans="1:20" x14ac:dyDescent="0.25">
      <c r="A6" s="97" t="s">
        <v>30</v>
      </c>
      <c r="B6" s="39"/>
      <c r="C6" s="39"/>
      <c r="D6" s="85">
        <f>('Weekly Data'!D1058/'Weekly Averages'!J1058)*100</f>
        <v>195.73712255772645</v>
      </c>
      <c r="E6" s="85">
        <f>('Weekly Data'!E1058/'Weekly Averages'!K1058)*100</f>
        <v>124.33484750162232</v>
      </c>
      <c r="F6" s="85">
        <f>('Weekly Data'!J1058/'Weekly Averages'!P1058)*100</f>
        <v>90.280064321836448</v>
      </c>
      <c r="G6" s="186" t="s">
        <v>34</v>
      </c>
      <c r="H6" s="85">
        <f>('Weekly Data'!G1058/'Weekly Averages'!M1058)*100</f>
        <v>146.11980714615945</v>
      </c>
      <c r="I6" s="85">
        <f>('Weekly Data'!H1058/'Weekly Averages'!N1058)*100</f>
        <v>170.42478441392527</v>
      </c>
      <c r="J6" s="85">
        <f>('Weekly Data'!I1058/'Weekly Averages'!O1058)*100</f>
        <v>149.58444347238239</v>
      </c>
      <c r="L6" s="39" t="s">
        <v>30</v>
      </c>
      <c r="M6" s="171">
        <f>('Weekly Averages'!B1058/'Weekly Averages'!S1058)*100</f>
        <v>189.52209558088381</v>
      </c>
      <c r="N6" s="171">
        <f>('Weekly Averages'!C1058/'Weekly Averages'!T1058)*100</f>
        <v>103.08702332728035</v>
      </c>
      <c r="O6" s="171">
        <f>('Weekly Averages'!H1058/'Weekly Averages'!Y1058)*100</f>
        <v>113.67259675826395</v>
      </c>
      <c r="P6" s="186" t="s">
        <v>34</v>
      </c>
      <c r="Q6" s="171">
        <f>('Weekly Averages'!E1058/'Weekly Averages'!V1058)*100</f>
        <v>125.21287610687848</v>
      </c>
      <c r="R6" s="171">
        <f>('Weekly Averages'!F1058/'Weekly Averages'!W1058)*100</f>
        <v>133.85103011093503</v>
      </c>
      <c r="S6" s="171">
        <f>('Weekly Averages'!G1058/'Weekly Averages'!X1058)*100</f>
        <v>127.7589883096831</v>
      </c>
      <c r="T6" s="171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77</v>
      </c>
      <c r="B10" s="39"/>
      <c r="C10" s="39"/>
      <c r="D10" s="256">
        <f>SUM('Weekly Data'!D1050:D1062)</f>
        <v>11161</v>
      </c>
      <c r="E10" s="256">
        <f>SUM('Weekly Data'!E1050:E1062)</f>
        <v>13380</v>
      </c>
      <c r="F10" s="256">
        <f>SUM('Weekly Data'!J1051:J1062)</f>
        <v>13107</v>
      </c>
      <c r="G10" s="257" t="s">
        <v>34</v>
      </c>
      <c r="H10" s="256">
        <f>SUM('Weekly Data'!G1050:G1062)</f>
        <v>48824</v>
      </c>
      <c r="I10" s="256">
        <f>SUM('Weekly Data'!H1050:H1062)</f>
        <v>7958</v>
      </c>
      <c r="J10" s="256">
        <f>SUM('Weekly Data'!I1050:I1062)</f>
        <v>81323</v>
      </c>
    </row>
    <row r="11" spans="1:20" x14ac:dyDescent="0.25">
      <c r="A11" s="39" t="s">
        <v>78</v>
      </c>
      <c r="B11" s="39"/>
      <c r="C11" s="39"/>
      <c r="D11" s="254">
        <f>SUM('Weekly Data'!D998:D1010)</f>
        <v>7582</v>
      </c>
      <c r="E11" s="254">
        <f>SUM('Weekly Data'!E998:E1010)</f>
        <v>11498</v>
      </c>
      <c r="F11" s="254">
        <f>SUM('Weekly Data'!J999:J1010)</f>
        <v>13575</v>
      </c>
      <c r="G11" s="255" t="s">
        <v>34</v>
      </c>
      <c r="H11" s="254">
        <f>SUM('Weekly Data'!G998:G1010)</f>
        <v>53722</v>
      </c>
      <c r="I11" s="254">
        <f>SUM('Weekly Data'!H998:H1010)</f>
        <v>7865</v>
      </c>
      <c r="J11" s="254">
        <f>SUM('Weekly Data'!I998:I1010)</f>
        <v>80667</v>
      </c>
    </row>
    <row r="12" spans="1:20" x14ac:dyDescent="0.25">
      <c r="A12" s="39" t="s">
        <v>42</v>
      </c>
      <c r="B12" s="39"/>
      <c r="C12" s="39"/>
      <c r="D12" s="40">
        <f>(D10/D11)-1</f>
        <v>0.47203903983117912</v>
      </c>
      <c r="E12" s="40">
        <f>(E10/E11)-1</f>
        <v>0.16368064011132377</v>
      </c>
      <c r="F12" s="40">
        <f>(F10/F11)-1</f>
        <v>-3.4475138121547011E-2</v>
      </c>
      <c r="G12" s="186" t="s">
        <v>34</v>
      </c>
      <c r="H12" s="40">
        <f>(H10/H11)-1</f>
        <v>-9.1173076207140435E-2</v>
      </c>
      <c r="I12" s="40">
        <f>(I10/I11)-1</f>
        <v>1.182453909726644E-2</v>
      </c>
      <c r="J12" s="40">
        <f>(J10/J11)-1</f>
        <v>8.1321978008355167E-3</v>
      </c>
      <c r="L12" s="145"/>
    </row>
    <row r="18" spans="8:8" x14ac:dyDescent="0.25">
      <c r="H18" s="145"/>
    </row>
  </sheetData>
  <mergeCells count="2">
    <mergeCell ref="D2:J2"/>
    <mergeCell ref="M2:S2"/>
  </mergeCells>
  <pageMargins left="0.7" right="0.7" top="0.75" bottom="0.75" header="0.3" footer="0.3"/>
  <pageSetup scale="69" orientation="landscape" r:id="rId1"/>
  <ignoredErrors>
    <ignoredError sqref="H10 K11 E10 F10:F11 D10 H12 G11 D11:E11 H11" formulaRange="1"/>
    <ignoredError sqref="D12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0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5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5">
      <c r="A6" s="25" t="s">
        <v>79</v>
      </c>
      <c r="B6" s="173">
        <f>'Weekly Data'!D1058</f>
        <v>1102</v>
      </c>
      <c r="C6" s="173">
        <f>'Weekly Data'!E1058</f>
        <v>1437</v>
      </c>
      <c r="D6" s="173">
        <f>'Weekly Data'!G1058</f>
        <v>5531</v>
      </c>
      <c r="E6" s="173">
        <f>'Weekly Data'!H1058</f>
        <v>1334</v>
      </c>
      <c r="F6" s="173">
        <f>'Weekly Data'!I1058</f>
        <v>9404</v>
      </c>
      <c r="G6" s="248">
        <v>41692</v>
      </c>
      <c r="H6" s="173">
        <f>'Weekly Data'!J1058</f>
        <v>1437</v>
      </c>
      <c r="I6" s="204"/>
    </row>
    <row r="7" spans="1:12" ht="12.6" customHeight="1" x14ac:dyDescent="0.25">
      <c r="A7" s="25" t="s">
        <v>80</v>
      </c>
      <c r="B7" s="173">
        <f>'Weekly Data'!D1057</f>
        <v>918</v>
      </c>
      <c r="C7" s="173">
        <f>'Weekly Data'!E1057</f>
        <v>1173</v>
      </c>
      <c r="D7" s="173">
        <f>'Weekly Data'!G1057</f>
        <v>5957</v>
      </c>
      <c r="E7" s="173">
        <f>'Weekly Data'!H1057</f>
        <v>955</v>
      </c>
      <c r="F7" s="173">
        <f>'Weekly Data'!I1057</f>
        <v>9003</v>
      </c>
      <c r="G7" s="248">
        <v>41685</v>
      </c>
      <c r="H7" s="173">
        <f>'Weekly Data'!J1057</f>
        <v>1295</v>
      </c>
      <c r="I7" s="204"/>
    </row>
    <row r="8" spans="1:12" ht="12.6" customHeight="1" x14ac:dyDescent="0.25">
      <c r="A8" s="25" t="s">
        <v>70</v>
      </c>
      <c r="B8" s="173">
        <f>SUM('Weekly Data'!D1050:D1102)</f>
        <v>11161</v>
      </c>
      <c r="C8" s="173">
        <f>SUM('Weekly Data'!E1050:E1102)</f>
        <v>13380</v>
      </c>
      <c r="D8" s="173">
        <f>SUM('Weekly Data'!G1050:G1102)</f>
        <v>48824</v>
      </c>
      <c r="E8" s="173">
        <f>SUM('Weekly Data'!H1050:H1102)</f>
        <v>7958</v>
      </c>
      <c r="F8" s="173">
        <f>SUM('Weekly Data'!I1050:I1102)</f>
        <v>81323</v>
      </c>
      <c r="G8" s="227" t="s">
        <v>75</v>
      </c>
      <c r="H8" s="198">
        <f>SUM('Weekly Data'!J1051:J1102)</f>
        <v>13107</v>
      </c>
      <c r="I8" s="204"/>
    </row>
    <row r="9" spans="1:12" ht="12.6" customHeight="1" x14ac:dyDescent="0.25">
      <c r="A9" s="25" t="s">
        <v>61</v>
      </c>
      <c r="B9" s="166">
        <f>SUM('Weekly Data'!D998:D1006)</f>
        <v>7386</v>
      </c>
      <c r="C9" s="166">
        <f>SUM('Weekly Data'!E998:E1006)</f>
        <v>6930</v>
      </c>
      <c r="D9" s="166">
        <f>SUM('Weekly Data'!D998:G1006)</f>
        <v>52934</v>
      </c>
      <c r="E9" s="166">
        <f>SUM('Weekly Data'!E998:H1006)</f>
        <v>52278</v>
      </c>
      <c r="F9" s="166">
        <f>SUM('Weekly Data'!F998:I1006)</f>
        <v>105012</v>
      </c>
      <c r="G9" s="227" t="s">
        <v>63</v>
      </c>
      <c r="H9" s="223">
        <f>SUM('Weekly Data'!J999:J1006)</f>
        <v>8874</v>
      </c>
      <c r="I9" s="204"/>
    </row>
    <row r="10" spans="1:12" ht="12.75" customHeight="1" x14ac:dyDescent="0.25">
      <c r="A10" s="25" t="s">
        <v>71</v>
      </c>
      <c r="B10" s="173">
        <f t="shared" ref="B10:H10" si="0">B8/B9*100</f>
        <v>151.11020850257245</v>
      </c>
      <c r="C10" s="175">
        <f t="shared" si="0"/>
        <v>193.07359307359306</v>
      </c>
      <c r="D10" s="175">
        <f t="shared" si="0"/>
        <v>92.235614161030725</v>
      </c>
      <c r="E10" s="175">
        <f t="shared" si="0"/>
        <v>15.222464516622672</v>
      </c>
      <c r="F10" s="194">
        <f t="shared" si="0"/>
        <v>77.441625718965454</v>
      </c>
      <c r="G10" s="23" t="s">
        <v>56</v>
      </c>
      <c r="H10" s="198">
        <f t="shared" si="0"/>
        <v>147.70114942528735</v>
      </c>
      <c r="I10" s="205"/>
    </row>
    <row r="11" spans="1:12" ht="13.5" customHeight="1" x14ac:dyDescent="0.25">
      <c r="A11" s="87" t="s">
        <v>72</v>
      </c>
      <c r="B11" s="166">
        <f>'Weekly Changes'!M5</f>
        <v>221.44859813084113</v>
      </c>
      <c r="C11" s="29">
        <f>'Weekly Changes'!N5</f>
        <v>166.06660666066605</v>
      </c>
      <c r="D11" s="29">
        <f>'Weekly Changes'!Q5</f>
        <v>121.26436781609196</v>
      </c>
      <c r="E11" s="29">
        <f>'Weekly Changes'!R5</f>
        <v>138.14196925089956</v>
      </c>
      <c r="F11" s="194">
        <f>'Weekly Changes'!S5</f>
        <v>137.72291352936514</v>
      </c>
      <c r="G11" s="37" t="s">
        <v>76</v>
      </c>
      <c r="H11" s="198">
        <f>'Weekly Changes'!O5</f>
        <v>143.58474208929346</v>
      </c>
      <c r="I11" s="204"/>
    </row>
    <row r="12" spans="1:12" ht="13.5" customHeight="1" x14ac:dyDescent="0.25">
      <c r="A12" s="87" t="s">
        <v>47</v>
      </c>
      <c r="B12" s="166">
        <f>'Weekly Changes'!M6</f>
        <v>189.52209558088381</v>
      </c>
      <c r="C12" s="88">
        <f>'Weekly Changes'!N6</f>
        <v>103.08702332728035</v>
      </c>
      <c r="D12" s="88">
        <f>'Weekly Changes'!Q6</f>
        <v>125.21287610687848</v>
      </c>
      <c r="E12" s="88">
        <f>'Weekly Changes'!R6</f>
        <v>133.85103011093503</v>
      </c>
      <c r="F12" s="195">
        <f>'Weekly Changes'!S6</f>
        <v>127.7589883096831</v>
      </c>
      <c r="G12" s="37" t="s">
        <v>55</v>
      </c>
      <c r="H12" s="203">
        <f>'Weekly Changes'!O6</f>
        <v>113.67259675826395</v>
      </c>
      <c r="I12" s="204"/>
    </row>
    <row r="13" spans="1:12" ht="12.75" customHeight="1" x14ac:dyDescent="0.25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50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5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9">
        <f>SUM('Weekly Data'!I946:I997)</f>
        <v>287462</v>
      </c>
      <c r="G14" s="101" t="s">
        <v>62</v>
      </c>
      <c r="H14" s="251">
        <v>92008</v>
      </c>
      <c r="I14" s="204"/>
      <c r="K14" s="214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5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5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5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5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5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5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5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5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5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5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8 B14:E14 B13:D13 D8 H8:H9 C8 B9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opLeftCell="A4" zoomScale="150" zoomScaleNormal="150" workbookViewId="0">
      <selection activeCell="O2" sqref="O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5" t="s">
        <v>57</v>
      </c>
    </row>
    <row r="25" spans="2:4" x14ac:dyDescent="0.25">
      <c r="B25" s="145">
        <v>2009</v>
      </c>
      <c r="C25">
        <v>2010</v>
      </c>
      <c r="D25">
        <v>2011</v>
      </c>
    </row>
    <row r="27" spans="2:4" x14ac:dyDescent="0.25">
      <c r="B27" s="207">
        <v>1814.1448093683048</v>
      </c>
      <c r="C27" s="208">
        <v>2185.333180800244</v>
      </c>
      <c r="D27" s="208">
        <v>1739.0574148414694</v>
      </c>
    </row>
    <row r="28" spans="2:4" x14ac:dyDescent="0.25">
      <c r="B28" s="207">
        <v>1880.1930930243843</v>
      </c>
      <c r="C28" s="208">
        <v>2427.9968245384139</v>
      </c>
      <c r="D28" s="208">
        <v>2532.1406632416056</v>
      </c>
    </row>
    <row r="29" spans="2:4" x14ac:dyDescent="0.25">
      <c r="B29" s="207">
        <v>2225.0744292142467</v>
      </c>
      <c r="C29" s="208">
        <v>2537.1322392550837</v>
      </c>
      <c r="D29" s="208">
        <v>2502.7315209628996</v>
      </c>
    </row>
    <row r="30" spans="2:4" x14ac:dyDescent="0.25">
      <c r="B30" s="207">
        <v>2072.7846995444806</v>
      </c>
      <c r="C30" s="208">
        <v>2733.2895840699989</v>
      </c>
      <c r="D30" s="208">
        <v>2616.5514348510374</v>
      </c>
    </row>
    <row r="31" spans="2:4" x14ac:dyDescent="0.25">
      <c r="B31" s="207">
        <v>2622.7555795910725</v>
      </c>
      <c r="C31" s="208">
        <v>2362.666763733178</v>
      </c>
      <c r="D31" s="208">
        <v>2789.5674993586672</v>
      </c>
    </row>
    <row r="32" spans="2:4" x14ac:dyDescent="0.25">
      <c r="B32" s="207">
        <v>2440.4707725800972</v>
      </c>
      <c r="C32" s="208">
        <v>2144.2429852112236</v>
      </c>
      <c r="D32" s="208">
        <v>2294.6458112333685</v>
      </c>
    </row>
    <row r="33" spans="2:4" x14ac:dyDescent="0.25">
      <c r="B33" s="207">
        <v>1842.4063481498429</v>
      </c>
      <c r="C33" s="208">
        <v>2810.2658235746821</v>
      </c>
      <c r="D33" s="208">
        <v>3004.8830001871997</v>
      </c>
    </row>
    <row r="34" spans="2:4" x14ac:dyDescent="0.25">
      <c r="B34" s="207">
        <v>1956.0605556364444</v>
      </c>
      <c r="C34" s="208">
        <v>2691.9692021826095</v>
      </c>
      <c r="D34" s="208">
        <v>2547.7993635210182</v>
      </c>
    </row>
    <row r="35" spans="2:4" x14ac:dyDescent="0.25">
      <c r="B35" s="207">
        <v>2314.2895078034544</v>
      </c>
      <c r="C35" s="208">
        <v>2498.9138950711013</v>
      </c>
      <c r="D35" s="208">
        <v>2475.1506957588867</v>
      </c>
    </row>
    <row r="36" spans="2:4" x14ac:dyDescent="0.25">
      <c r="B36" s="207">
        <v>1840.228522301031</v>
      </c>
      <c r="C36" s="208">
        <v>2116.6360213823655</v>
      </c>
      <c r="D36" s="208">
        <v>2657.138895244434</v>
      </c>
    </row>
    <row r="37" spans="2:4" x14ac:dyDescent="0.25">
      <c r="B37" s="207">
        <v>2003.1701229278033</v>
      </c>
      <c r="C37" s="208">
        <v>2599.1251533997547</v>
      </c>
      <c r="D37" s="208">
        <v>2313.5964529123416</v>
      </c>
    </row>
    <row r="38" spans="2:4" x14ac:dyDescent="0.25">
      <c r="B38" s="207">
        <v>2103.9280043818599</v>
      </c>
      <c r="C38" s="208">
        <v>2252.3397882563386</v>
      </c>
      <c r="D38" s="208">
        <v>2721.4059390838306</v>
      </c>
    </row>
    <row r="39" spans="2:4" x14ac:dyDescent="0.25">
      <c r="B39" s="207">
        <v>2181.3280085418533</v>
      </c>
      <c r="C39" s="208">
        <v>2143.3770825966681</v>
      </c>
      <c r="D39" s="208">
        <v>2501.1451768343836</v>
      </c>
    </row>
    <row r="40" spans="2:4" x14ac:dyDescent="0.25">
      <c r="B40" s="207">
        <v>2075.9919850794904</v>
      </c>
      <c r="C40" s="208">
        <v>1853.0727790835535</v>
      </c>
      <c r="D40" s="208">
        <v>2396.8750129999789</v>
      </c>
    </row>
    <row r="41" spans="2:4" x14ac:dyDescent="0.25">
      <c r="B41" s="207">
        <v>2050.5645110967821</v>
      </c>
      <c r="C41" s="208">
        <v>1966.1176862117022</v>
      </c>
      <c r="D41" s="208">
        <v>2464.2302972315247</v>
      </c>
    </row>
    <row r="42" spans="2:4" x14ac:dyDescent="0.25">
      <c r="B42" s="207">
        <v>1469.3761396648433</v>
      </c>
      <c r="C42" s="208">
        <v>1504.5258647586165</v>
      </c>
      <c r="D42" s="208">
        <v>2018.4529678085846</v>
      </c>
    </row>
    <row r="43" spans="2:4" x14ac:dyDescent="0.25">
      <c r="B43" s="207">
        <v>1693.8516685039972</v>
      </c>
      <c r="C43" s="208">
        <v>1611.0743876143131</v>
      </c>
      <c r="D43" s="208">
        <v>2137.5877585262529</v>
      </c>
    </row>
    <row r="44" spans="2:4" x14ac:dyDescent="0.25">
      <c r="B44" s="207">
        <v>1798.172445590754</v>
      </c>
      <c r="C44" s="208">
        <v>1818.2189681829843</v>
      </c>
      <c r="D44" s="208">
        <v>1996.2810352836768</v>
      </c>
    </row>
    <row r="45" spans="2:4" x14ac:dyDescent="0.25">
      <c r="B45" s="207">
        <v>1651.0592036386074</v>
      </c>
      <c r="C45" s="208">
        <v>1600.0059626571265</v>
      </c>
      <c r="D45" s="208">
        <v>1961.3899231094563</v>
      </c>
    </row>
    <row r="46" spans="2:4" x14ac:dyDescent="0.25">
      <c r="B46" s="207">
        <v>1835.5757777454223</v>
      </c>
      <c r="C46" s="208">
        <v>1852.8412754539593</v>
      </c>
      <c r="D46" s="208">
        <v>2025.4102793435529</v>
      </c>
    </row>
    <row r="47" spans="2:4" x14ac:dyDescent="0.25">
      <c r="B47" s="207">
        <v>1379.2398998828271</v>
      </c>
      <c r="C47" s="208">
        <v>1748.3482746427605</v>
      </c>
      <c r="D47" s="208">
        <v>1935.5754310793104</v>
      </c>
    </row>
    <row r="48" spans="2:4" x14ac:dyDescent="0.25">
      <c r="B48" s="207">
        <v>1445.5651004291724</v>
      </c>
      <c r="C48" s="208">
        <v>1486.1872967669919</v>
      </c>
      <c r="D48" s="208">
        <v>1705.291580866804</v>
      </c>
    </row>
    <row r="49" spans="2:4" x14ac:dyDescent="0.25">
      <c r="B49" s="207">
        <v>1557.7910435343304</v>
      </c>
      <c r="C49" s="208">
        <v>1611.5303228848168</v>
      </c>
      <c r="D49" s="208">
        <v>1787.7993635210184</v>
      </c>
    </row>
    <row r="50" spans="2:4" x14ac:dyDescent="0.25">
      <c r="B50" s="207">
        <v>1880.147125097933</v>
      </c>
      <c r="C50" s="208">
        <v>1377.7266329707206</v>
      </c>
      <c r="D50" s="208">
        <v>1807.4267667838396</v>
      </c>
    </row>
    <row r="51" spans="2:4" x14ac:dyDescent="0.25">
      <c r="B51" s="207">
        <v>1447.6518224237507</v>
      </c>
      <c r="C51" s="208">
        <v>1635.502284529678</v>
      </c>
      <c r="D51" s="208">
        <v>1671.7222372444205</v>
      </c>
    </row>
    <row r="52" spans="2:4" x14ac:dyDescent="0.25">
      <c r="B52" s="207">
        <v>1709.7113657951481</v>
      </c>
      <c r="C52" s="208">
        <v>1634.4882168188531</v>
      </c>
      <c r="D52" s="208">
        <v>1792.4816440293694</v>
      </c>
    </row>
    <row r="53" spans="2:4" x14ac:dyDescent="0.25">
      <c r="B53" s="207">
        <v>1576.9294395795632</v>
      </c>
      <c r="C53" s="208">
        <v>1568.1873522335698</v>
      </c>
      <c r="D53" s="208">
        <v>1649.536160742143</v>
      </c>
    </row>
    <row r="54" spans="2:4" x14ac:dyDescent="0.25">
      <c r="B54" s="207">
        <v>1769.4788221672179</v>
      </c>
      <c r="C54" s="208">
        <v>1956.123371535939</v>
      </c>
      <c r="D54" s="208">
        <v>1546.5992747744938</v>
      </c>
    </row>
    <row r="55" spans="2:4" x14ac:dyDescent="0.25">
      <c r="B55" s="207">
        <v>1984.0840041322601</v>
      </c>
      <c r="C55" s="208">
        <v>1725.1133944852354</v>
      </c>
      <c r="D55" s="208">
        <v>1782.0207167668532</v>
      </c>
    </row>
    <row r="56" spans="2:4" x14ac:dyDescent="0.25">
      <c r="B56" s="207">
        <v>1766.0202730342298</v>
      </c>
      <c r="C56" s="208">
        <v>1815.5869403942288</v>
      </c>
      <c r="D56" s="208">
        <v>1567.0534073812148</v>
      </c>
    </row>
    <row r="57" spans="2:4" x14ac:dyDescent="0.25">
      <c r="B57" s="207">
        <v>1647.5187026367425</v>
      </c>
      <c r="C57" s="208">
        <v>1745.7959800597653</v>
      </c>
      <c r="D57" s="208">
        <v>1837.5643932303042</v>
      </c>
    </row>
    <row r="58" spans="2:4" x14ac:dyDescent="0.25">
      <c r="B58" s="207">
        <v>1790.5527937821967</v>
      </c>
      <c r="C58" s="208">
        <v>1891.4788083005733</v>
      </c>
      <c r="D58" s="208">
        <v>1797.9595925979852</v>
      </c>
    </row>
    <row r="59" spans="2:4" x14ac:dyDescent="0.25">
      <c r="B59" s="207">
        <v>1866.5506721855911</v>
      </c>
      <c r="C59" s="208">
        <v>2134.4636728581231</v>
      </c>
      <c r="D59" s="208">
        <v>1604.9392294305662</v>
      </c>
    </row>
    <row r="60" spans="2:4" x14ac:dyDescent="0.25">
      <c r="B60" s="207">
        <v>1874.5104727832436</v>
      </c>
      <c r="C60" s="208">
        <v>2345.9428278248088</v>
      </c>
      <c r="D60" s="208">
        <v>1648.4698157816281</v>
      </c>
    </row>
    <row r="61" spans="2:4" x14ac:dyDescent="0.25">
      <c r="B61" s="207">
        <v>2067.0375300732853</v>
      </c>
      <c r="C61" s="208">
        <v>2077.9237473220046</v>
      </c>
      <c r="D61" s="208">
        <v>1523.3883839119189</v>
      </c>
    </row>
    <row r="62" spans="2:4" x14ac:dyDescent="0.25">
      <c r="B62" s="207">
        <v>1984.782952347276</v>
      </c>
      <c r="C62" s="208">
        <v>2179.1315320562153</v>
      </c>
      <c r="D62" s="208">
        <v>1242.4751267064639</v>
      </c>
    </row>
    <row r="63" spans="2:4" x14ac:dyDescent="0.25">
      <c r="B63" s="207">
        <v>1797.5729905498818</v>
      </c>
      <c r="C63" s="208">
        <v>2176.6253440661162</v>
      </c>
      <c r="D63" s="208">
        <v>1849.9839840256254</v>
      </c>
    </row>
    <row r="64" spans="2:4" x14ac:dyDescent="0.25">
      <c r="B64" s="207">
        <v>1706.9973861375156</v>
      </c>
      <c r="C64" s="208">
        <v>2146.7286505674924</v>
      </c>
      <c r="D64" s="208">
        <v>1748.6348981841627</v>
      </c>
    </row>
    <row r="65" spans="2:4" x14ac:dyDescent="0.25">
      <c r="B65" s="207">
        <v>2148.7653139754975</v>
      </c>
      <c r="C65" s="208">
        <v>2475.9235531889817</v>
      </c>
      <c r="D65" s="208">
        <v>1656.9964154724018</v>
      </c>
    </row>
    <row r="66" spans="2:4" x14ac:dyDescent="0.25">
      <c r="B66" s="207">
        <v>1813.888761777981</v>
      </c>
      <c r="C66" s="208">
        <v>2838.857943160624</v>
      </c>
      <c r="D66" s="208">
        <v>1800.0351519437568</v>
      </c>
    </row>
    <row r="67" spans="2:4" x14ac:dyDescent="0.25">
      <c r="B67" s="207">
        <v>2406.8416637200048</v>
      </c>
      <c r="C67" s="208">
        <v>3106.7303838980524</v>
      </c>
      <c r="D67" s="208">
        <v>2228.2926000651732</v>
      </c>
    </row>
    <row r="68" spans="2:4" x14ac:dyDescent="0.25">
      <c r="B68" s="207">
        <v>2401.5894641235241</v>
      </c>
      <c r="C68" s="208">
        <v>3210.2792048866049</v>
      </c>
      <c r="D68" s="208">
        <v>2432.7040650068293</v>
      </c>
    </row>
    <row r="69" spans="2:4" x14ac:dyDescent="0.25">
      <c r="B69" s="207">
        <v>2789.216742586545</v>
      </c>
      <c r="C69" s="208">
        <v>3207.140420575327</v>
      </c>
      <c r="D69" s="208">
        <v>2712.07146868565</v>
      </c>
    </row>
    <row r="70" spans="2:4" x14ac:dyDescent="0.25">
      <c r="B70" s="207">
        <v>2899.3036171142126</v>
      </c>
      <c r="C70" s="208">
        <v>3000.1468477650433</v>
      </c>
      <c r="D70" s="208">
        <v>2332.7666035734342</v>
      </c>
    </row>
    <row r="71" spans="2:4" x14ac:dyDescent="0.25">
      <c r="B71" s="207">
        <v>2775.0131386456451</v>
      </c>
      <c r="C71" s="208">
        <v>3269.0217082319332</v>
      </c>
      <c r="D71" s="208">
        <v>2783.996228272701</v>
      </c>
    </row>
    <row r="72" spans="2:4" x14ac:dyDescent="0.25">
      <c r="B72" s="207">
        <v>3389.5098834508531</v>
      </c>
      <c r="C72" s="208">
        <v>2913.9022817563491</v>
      </c>
      <c r="D72" s="208">
        <v>2394.740797748057</v>
      </c>
    </row>
    <row r="73" spans="2:4" x14ac:dyDescent="0.25">
      <c r="B73" s="207">
        <v>2508.3852292502997</v>
      </c>
      <c r="C73" s="208">
        <v>3115.600668372264</v>
      </c>
      <c r="D73" s="208">
        <v>2507.1016633040053</v>
      </c>
    </row>
    <row r="74" spans="2:4" x14ac:dyDescent="0.25">
      <c r="B74" s="207">
        <v>2767.0493167210934</v>
      </c>
      <c r="C74" s="208">
        <v>2594.9976080038268</v>
      </c>
      <c r="D74" s="208">
        <v>2261.6517253572392</v>
      </c>
    </row>
    <row r="75" spans="2:4" x14ac:dyDescent="0.25">
      <c r="B75" s="207">
        <v>2788.9768496370407</v>
      </c>
      <c r="C75" s="208">
        <v>2706.4470190181028</v>
      </c>
      <c r="D75" s="208">
        <v>2214.8910428409981</v>
      </c>
    </row>
    <row r="76" spans="2:4" x14ac:dyDescent="0.25">
      <c r="B76" s="207">
        <v>1717.6168091464388</v>
      </c>
      <c r="C76" s="208">
        <v>3015.3919060396165</v>
      </c>
      <c r="D76" s="208">
        <v>2406.7110399290027</v>
      </c>
    </row>
    <row r="77" spans="2:4" x14ac:dyDescent="0.25">
      <c r="B77" s="207">
        <v>2771.8906476416305</v>
      </c>
      <c r="C77" s="208">
        <v>2650.2417649465096</v>
      </c>
      <c r="D77" s="208">
        <v>2560.0009706651135</v>
      </c>
    </row>
    <row r="78" spans="2:4" x14ac:dyDescent="0.25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2013-01-09T21:16:36Z</cp:lastPrinted>
  <dcterms:created xsi:type="dcterms:W3CDTF">2003-12-04T20:28:17Z</dcterms:created>
  <dcterms:modified xsi:type="dcterms:W3CDTF">2014-03-04T15:59:17Z</dcterms:modified>
</cp:coreProperties>
</file>