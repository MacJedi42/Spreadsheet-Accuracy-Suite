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0" yWindow="75" windowWidth="15210" windowHeight="8775"/>
  </bookViews>
  <sheets>
    <sheet name="Risk Assessment" sheetId="1" r:id="rId1"/>
    <sheet name="Guidance for Risk Assessment" sheetId="2" r:id="rId2"/>
  </sheets>
  <definedNames>
    <definedName name="_xlnm.Print_Area" localSheetId="1">'Guidance for Risk Assessment'!$A$1:$D$22</definedName>
  </definedNames>
  <calcPr calcId="125725"/>
</workbook>
</file>

<file path=xl/calcChain.xml><?xml version="1.0" encoding="utf-8"?>
<calcChain xmlns="http://schemas.openxmlformats.org/spreadsheetml/2006/main">
  <c r="H8" i="1"/>
  <c r="H9"/>
  <c r="H10"/>
  <c r="H11"/>
  <c r="H12"/>
  <c r="H13"/>
  <c r="H14"/>
  <c r="H15"/>
  <c r="H16"/>
  <c r="H17"/>
  <c r="H18"/>
  <c r="H19"/>
  <c r="H20"/>
  <c r="H21"/>
  <c r="H22"/>
  <c r="H23"/>
  <c r="H24"/>
  <c r="H25"/>
  <c r="H29"/>
</calcChain>
</file>

<file path=xl/sharedStrings.xml><?xml version="1.0" encoding="utf-8"?>
<sst xmlns="http://schemas.openxmlformats.org/spreadsheetml/2006/main" count="148" uniqueCount="134">
  <si>
    <t>Subrecipient Name:</t>
  </si>
  <si>
    <t>Date:</t>
  </si>
  <si>
    <t>Prime Sponsor:</t>
  </si>
  <si>
    <t>Criteria</t>
  </si>
  <si>
    <t>Higher Risk</t>
  </si>
  <si>
    <t>Lower Risk</t>
  </si>
  <si>
    <t>Weight</t>
  </si>
  <si>
    <t>Weighted Score</t>
  </si>
  <si>
    <t>Foreign or Domestic</t>
  </si>
  <si>
    <t>Foreign</t>
  </si>
  <si>
    <t>Domestic</t>
  </si>
  <si>
    <t>Maturity of Subrecipient's Organization</t>
  </si>
  <si>
    <t>Start-up</t>
  </si>
  <si>
    <t>Mature</t>
  </si>
  <si>
    <t>Organization Type</t>
  </si>
  <si>
    <t>Industry</t>
  </si>
  <si>
    <t>University or non-profit</t>
  </si>
  <si>
    <t>Award type</t>
  </si>
  <si>
    <t>Contract or Subcontract</t>
  </si>
  <si>
    <t>Grant</t>
  </si>
  <si>
    <t>Amount of Subgrant/Subcontract</t>
  </si>
  <si>
    <t>Total cost is &gt;$500K</t>
  </si>
  <si>
    <t>Total cost is &lt;$499,999</t>
  </si>
  <si>
    <t>Tot cost is &gt;49%</t>
  </si>
  <si>
    <t>Total cost is &lt;48.9%</t>
  </si>
  <si>
    <t>Accounting Systems Established</t>
  </si>
  <si>
    <t>No</t>
  </si>
  <si>
    <t>Yes</t>
  </si>
  <si>
    <t>Procurement Systems</t>
  </si>
  <si>
    <t>Not approved / ad hoc</t>
  </si>
  <si>
    <t>approved</t>
  </si>
  <si>
    <t>Negotiated Indirect Cost Rate Agreement</t>
  </si>
  <si>
    <t>Audit Report</t>
  </si>
  <si>
    <t>No Audit Report</t>
  </si>
  <si>
    <t>A-133</t>
  </si>
  <si>
    <t>New Subrecipient, or
previous negative experience</t>
  </si>
  <si>
    <t>Previous positive experience</t>
  </si>
  <si>
    <t>ITAR/EAR Type of work</t>
  </si>
  <si>
    <t>Location of Work</t>
  </si>
  <si>
    <t>At subrecipient's facility</t>
  </si>
  <si>
    <t>Government Owned &amp; Contractor Operated</t>
  </si>
  <si>
    <t>Relationship of subrecipient to PI and potential for conflict of interest</t>
  </si>
  <si>
    <t>PI's relative</t>
  </si>
  <si>
    <t>No existing or former relationship to PI</t>
  </si>
  <si>
    <t>SOW &amp; Deliverables</t>
  </si>
  <si>
    <t>Tangible products;
pivotal to success of project</t>
  </si>
  <si>
    <t>Report only</t>
  </si>
  <si>
    <t>"Advantaged" status claimed?</t>
  </si>
  <si>
    <t>Not small business, HUB zone, etc.</t>
  </si>
  <si>
    <t>Total Risk Score:</t>
  </si>
  <si>
    <r>
      <t xml:space="preserve">Assessment
</t>
    </r>
    <r>
      <rPr>
        <b/>
        <sz val="8"/>
        <rFont val="Arial"/>
        <family val="2"/>
      </rPr>
      <t>0 = low
1 = med
2 = high</t>
    </r>
  </si>
  <si>
    <t>Low = 0-40</t>
  </si>
  <si>
    <t>Medium = 41-75</t>
  </si>
  <si>
    <t>High = 76-99</t>
  </si>
  <si>
    <t>Nuclear = 100</t>
  </si>
  <si>
    <t>Subaward #:</t>
  </si>
  <si>
    <t>Risk Level Assigned:</t>
  </si>
  <si>
    <r>
      <t xml:space="preserve">Special Considerations: up to an additional </t>
    </r>
    <r>
      <rPr>
        <u/>
        <sz val="10"/>
        <rFont val="Arial"/>
        <family val="2"/>
      </rPr>
      <t>8 points</t>
    </r>
    <r>
      <rPr>
        <sz val="10"/>
        <rFont val="Arial"/>
      </rPr>
      <t>; e.g. high $</t>
    </r>
  </si>
  <si>
    <t>Compliance
(humans, animals, stem cells)</t>
  </si>
  <si>
    <t>International</t>
  </si>
  <si>
    <t xml:space="preserve"> Sponsor Type</t>
  </si>
  <si>
    <t>Private or Foundation or Other University</t>
  </si>
  <si>
    <t>NOTE: If Cost Share for sub, then higher risk rate.</t>
  </si>
  <si>
    <t>Subrecipient Risk Analysis Category Guidelines/Examples</t>
  </si>
  <si>
    <t>Category</t>
  </si>
  <si>
    <t>Score = 0 (lower risk)</t>
  </si>
  <si>
    <t>Score = 1 (medium)</t>
  </si>
  <si>
    <t>Score = 2 (higher risk)</t>
  </si>
  <si>
    <t>Foreign vs Domestic</t>
  </si>
  <si>
    <t>Domestic (US only)</t>
  </si>
  <si>
    <t>Canada, US territories</t>
  </si>
  <si>
    <t>All other foreign entities</t>
  </si>
  <si>
    <t>Maturity of Organization</t>
  </si>
  <si>
    <t>Mature but not research-oriented</t>
  </si>
  <si>
    <t>Start-up, no fiscal controls in place yet</t>
  </si>
  <si>
    <t>Subrecipient Organization Type</t>
  </si>
  <si>
    <t>University or Non-profit (Collegial T&amp;Cs)</t>
  </si>
  <si>
    <t>University or Non-profit with more restrictive T&amp;Cs (e.g. state regulations)</t>
  </si>
  <si>
    <t>Industry organization</t>
  </si>
  <si>
    <t>Award Type</t>
  </si>
  <si>
    <t>Grant from federal or non-commercial source</t>
  </si>
  <si>
    <t>Coop agreement, U grant, Grant with Special Conditions</t>
  </si>
  <si>
    <t>Contracts (includes subcontracts, CTAAs)</t>
  </si>
  <si>
    <t>Amount/Percentage</t>
  </si>
  <si>
    <t>Lower funding levels or percentage (e.g. &lt;$100K</t>
  </si>
  <si>
    <t>Funding is a large part of smaller award, needs more stringent monitoring</t>
  </si>
  <si>
    <t>Funding level &gt;$500K or &gt;49% of award</t>
  </si>
  <si>
    <t>Accounting/Procurement Systems</t>
  </si>
  <si>
    <t>Systems have been approved (existing A-133 is an indicator)</t>
  </si>
  <si>
    <t>Systems less qualified to handle large amounts of federal money (Financial audit conducted but no A-133)</t>
  </si>
  <si>
    <t>No systems are in place, or systems are new</t>
  </si>
  <si>
    <t>Has detailed negotiated rate agreement</t>
  </si>
  <si>
    <t>Has simple rate agreement</t>
  </si>
  <si>
    <t>Does not have negotiated rate agreement</t>
  </si>
  <si>
    <t>Has annual A-133 audit</t>
  </si>
  <si>
    <t>Has annual third-party financial audit</t>
  </si>
  <si>
    <t>Has not had an annual financial audit</t>
  </si>
  <si>
    <t>Prior experience</t>
  </si>
  <si>
    <t>ITAR/EAR</t>
  </si>
  <si>
    <t>No export controlled activity involved</t>
  </si>
  <si>
    <t>Collaborative agreements with potential for ITAR control needed</t>
  </si>
  <si>
    <t>Organization or project involves ITAR (e.g. satellites, biological warfare)</t>
  </si>
  <si>
    <t>Compliance (Animal/Human Subjects, DNA, stem cells)</t>
  </si>
  <si>
    <t>No compliance issues involved, or exempt per IRB</t>
  </si>
  <si>
    <t>A/S or H/S involved, but non-medical or non-invasive</t>
  </si>
  <si>
    <t>A/S, H/S, or other compliance issues involved, higher risk activities</t>
  </si>
  <si>
    <t>Non-federal organizations or routine federal award programs (NSF, NIH)</t>
  </si>
  <si>
    <t>More stringent federal programs (NASA, DOE, etc.)</t>
  </si>
  <si>
    <t>Government-Owned/Contractor Operated (e.g. national labs)</t>
  </si>
  <si>
    <t>Relationship of Subrecipient PI</t>
  </si>
  <si>
    <t>No relationship except collaborative/research-based</t>
  </si>
  <si>
    <t>Conflict of Interest involved (e.g. family relations, PI is on Board or hold stock in organization)</t>
  </si>
  <si>
    <t>Scope of Work &amp; Deliverables</t>
  </si>
  <si>
    <t>Scope of work not clearly defined, collaborative work scope</t>
  </si>
  <si>
    <t>Tangible products, deliverables necessary in order to achieve project success</t>
  </si>
  <si>
    <t>Advantaged Status</t>
  </si>
  <si>
    <t>No claimed status (small business, HUB zone, women/minority-owned, etc.)</t>
  </si>
  <si>
    <t>One claim</t>
  </si>
  <si>
    <t>Two or more claims</t>
  </si>
  <si>
    <t>Special Considerations</t>
  </si>
  <si>
    <t>Additional information which raises risk level, e.g. high funding level, risk category requiring a higher level of scrutiny</t>
  </si>
  <si>
    <t>Grant and Contracts Officer:</t>
  </si>
  <si>
    <t>Instructions to GCO:  Assign an assessment rating (0, 1 or 2) for each Criteria listed below.</t>
  </si>
  <si>
    <t>Bumped to Next Level? Yes____ or  No____  (check one)</t>
  </si>
  <si>
    <t>ASU PI's former post-doc</t>
  </si>
  <si>
    <t>NB: Risk Categories are analyzed on a sliding scale, so risk levels are based on the Grant and Contract Officer's evaluation. If the Grant and Contract Officer has concerns with the subrecipient, the Risk Analysis score can be bumped up to the next level.</t>
  </si>
  <si>
    <t>Percentage of Prime Award Subcontracted</t>
  </si>
  <si>
    <t xml:space="preserve">Prior experience working with Uniersity? </t>
  </si>
  <si>
    <t>Prime Award Sponsor Type</t>
  </si>
  <si>
    <t>Previous positive experience as University subrecipient</t>
  </si>
  <si>
    <t>Previous experience as University  subrecipient but may have some minor concerns</t>
  </si>
  <si>
    <t>New subrecipient or previous negative experience as University subrecipient</t>
  </si>
  <si>
    <t>On University campus</t>
  </si>
  <si>
    <t>Some work done at University facilities</t>
  </si>
</sst>
</file>

<file path=xl/styles.xml><?xml version="1.0" encoding="utf-8"?>
<styleSheet xmlns="http://schemas.openxmlformats.org/spreadsheetml/2006/main">
  <numFmts count="1">
    <numFmt numFmtId="164" formatCode="0.0"/>
  </numFmts>
  <fonts count="13">
    <font>
      <sz val="10"/>
      <name val="Arial"/>
    </font>
    <font>
      <sz val="10"/>
      <name val="Arial"/>
    </font>
    <font>
      <sz val="8"/>
      <name val="Arial"/>
      <family val="2"/>
    </font>
    <font>
      <b/>
      <sz val="10"/>
      <name val="Arial"/>
      <family val="2"/>
    </font>
    <font>
      <b/>
      <sz val="8"/>
      <name val="Arial"/>
      <family val="2"/>
    </font>
    <font>
      <b/>
      <sz val="10"/>
      <color indexed="12"/>
      <name val="Arial"/>
      <family val="2"/>
    </font>
    <font>
      <sz val="10"/>
      <name val="Arial"/>
      <family val="2"/>
    </font>
    <font>
      <b/>
      <sz val="10"/>
      <color indexed="12"/>
      <name val="Arial"/>
      <family val="2"/>
    </font>
    <font>
      <b/>
      <sz val="10"/>
      <name val="Arial"/>
      <family val="2"/>
    </font>
    <font>
      <b/>
      <sz val="12"/>
      <color indexed="12"/>
      <name val="Arial"/>
      <family val="2"/>
    </font>
    <font>
      <u/>
      <sz val="10"/>
      <name val="Arial"/>
      <family val="2"/>
    </font>
    <font>
      <b/>
      <sz val="14"/>
      <name val="Arial"/>
      <family val="2"/>
    </font>
    <font>
      <b/>
      <sz val="12"/>
      <name val="Arial"/>
      <family val="2"/>
    </font>
  </fonts>
  <fills count="4">
    <fill>
      <patternFill patternType="none"/>
    </fill>
    <fill>
      <patternFill patternType="gray125"/>
    </fill>
    <fill>
      <patternFill patternType="solid">
        <fgColor indexed="43"/>
        <bgColor indexed="64"/>
      </patternFill>
    </fill>
    <fill>
      <patternFill patternType="gray06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s>
  <cellStyleXfs count="1">
    <xf numFmtId="0" fontId="0" fillId="0" borderId="0"/>
  </cellStyleXfs>
  <cellXfs count="66">
    <xf numFmtId="0" fontId="0" fillId="0" borderId="0" xfId="0"/>
    <xf numFmtId="0" fontId="3" fillId="0" borderId="0" xfId="0" applyFont="1" applyAlignment="1">
      <alignment vertical="top" wrapText="1"/>
    </xf>
    <xf numFmtId="0" fontId="0" fillId="0" borderId="1" xfId="0" applyBorder="1" applyAlignment="1">
      <alignment vertical="top" wrapText="1"/>
    </xf>
    <xf numFmtId="0" fontId="0" fillId="0" borderId="0" xfId="0" applyAlignment="1">
      <alignment vertical="top" wrapText="1"/>
    </xf>
    <xf numFmtId="0" fontId="3" fillId="0" borderId="0" xfId="0" applyFont="1" applyAlignment="1">
      <alignment horizontal="right" vertical="top"/>
    </xf>
    <xf numFmtId="14" fontId="0" fillId="0" borderId="1" xfId="0" applyNumberFormat="1"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center" vertical="top" wrapText="1"/>
    </xf>
    <xf numFmtId="0" fontId="0" fillId="0" borderId="0" xfId="0" applyAlignment="1">
      <alignment horizontal="center" vertical="top" wrapText="1"/>
    </xf>
    <xf numFmtId="0" fontId="0" fillId="2" borderId="3" xfId="0" applyFill="1" applyBorder="1" applyAlignment="1">
      <alignment vertical="top" wrapText="1"/>
    </xf>
    <xf numFmtId="0" fontId="3" fillId="2" borderId="3" xfId="0" applyFont="1" applyFill="1" applyBorder="1" applyAlignment="1">
      <alignment horizontal="center" vertical="top" wrapText="1"/>
    </xf>
    <xf numFmtId="0" fontId="0" fillId="0" borderId="0" xfId="0" applyFill="1" applyBorder="1" applyAlignment="1">
      <alignment vertical="top" wrapText="1"/>
    </xf>
    <xf numFmtId="0" fontId="0" fillId="0" borderId="4" xfId="0" applyBorder="1" applyAlignment="1">
      <alignment vertical="top" wrapText="1"/>
    </xf>
    <xf numFmtId="0" fontId="0" fillId="0" borderId="4" xfId="0" applyBorder="1" applyAlignment="1">
      <alignment horizontal="center" vertical="top" wrapText="1"/>
    </xf>
    <xf numFmtId="0" fontId="5" fillId="0" borderId="4" xfId="0" applyFont="1" applyBorder="1" applyAlignment="1">
      <alignment horizontal="center" vertical="top" wrapText="1"/>
    </xf>
    <xf numFmtId="0" fontId="0" fillId="0" borderId="4" xfId="0" applyFill="1" applyBorder="1" applyAlignment="1">
      <alignment horizontal="center" vertical="top" wrapText="1"/>
    </xf>
    <xf numFmtId="0" fontId="0" fillId="0" borderId="0" xfId="0" applyBorder="1" applyAlignment="1">
      <alignment vertical="top" wrapText="1"/>
    </xf>
    <xf numFmtId="0" fontId="0" fillId="0" borderId="5" xfId="0" applyBorder="1" applyAlignment="1">
      <alignment vertical="top" wrapText="1"/>
    </xf>
    <xf numFmtId="0" fontId="0" fillId="0" borderId="5" xfId="0" applyBorder="1" applyAlignment="1">
      <alignment horizontal="center" vertical="top" wrapText="1"/>
    </xf>
    <xf numFmtId="0" fontId="5" fillId="0" borderId="5" xfId="0" applyFont="1" applyBorder="1" applyAlignment="1">
      <alignment horizontal="center" vertical="top" wrapText="1"/>
    </xf>
    <xf numFmtId="0" fontId="0" fillId="0" borderId="5" xfId="0" applyFill="1" applyBorder="1" applyAlignment="1">
      <alignment horizontal="center" vertical="top" wrapText="1"/>
    </xf>
    <xf numFmtId="0" fontId="6" fillId="0" borderId="5" xfId="0" applyFont="1" applyFill="1" applyBorder="1" applyAlignment="1">
      <alignment vertical="top" wrapText="1"/>
    </xf>
    <xf numFmtId="0" fontId="0" fillId="0" borderId="5" xfId="0" applyFill="1" applyBorder="1" applyAlignment="1">
      <alignment vertical="top" wrapText="1"/>
    </xf>
    <xf numFmtId="0" fontId="1" fillId="0" borderId="5" xfId="0" applyFont="1" applyFill="1" applyBorder="1" applyAlignment="1">
      <alignment horizontal="center" vertical="top" wrapText="1"/>
    </xf>
    <xf numFmtId="0" fontId="5" fillId="0" borderId="5" xfId="0" applyFont="1" applyFill="1" applyBorder="1" applyAlignment="1">
      <alignment horizontal="center" vertical="top" wrapTex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7" fillId="0" borderId="5" xfId="0" applyFont="1" applyBorder="1" applyAlignment="1">
      <alignment horizontal="center" vertical="top" wrapText="1"/>
    </xf>
    <xf numFmtId="0" fontId="1" fillId="0" borderId="0" xfId="0" applyFont="1" applyBorder="1" applyAlignment="1">
      <alignment vertical="top" wrapText="1"/>
    </xf>
    <xf numFmtId="0" fontId="6" fillId="0" borderId="5" xfId="0" applyFont="1" applyBorder="1" applyAlignment="1">
      <alignment vertical="top" wrapText="1"/>
    </xf>
    <xf numFmtId="0" fontId="6" fillId="0" borderId="5" xfId="0" applyFont="1" applyBorder="1" applyAlignment="1">
      <alignment horizontal="center" vertical="top" wrapText="1"/>
    </xf>
    <xf numFmtId="0" fontId="6" fillId="0" borderId="5" xfId="0" applyFont="1" applyFill="1" applyBorder="1" applyAlignment="1">
      <alignment horizontal="center" vertical="top" wrapText="1"/>
    </xf>
    <xf numFmtId="0" fontId="6" fillId="0" borderId="0" xfId="0" applyFont="1" applyBorder="1" applyAlignment="1">
      <alignment vertical="top" wrapText="1"/>
    </xf>
    <xf numFmtId="0" fontId="1" fillId="3" borderId="5" xfId="0" applyFont="1" applyFill="1" applyBorder="1" applyAlignment="1">
      <alignment vertical="top" wrapText="1"/>
    </xf>
    <xf numFmtId="0" fontId="1" fillId="3" borderId="5" xfId="0" applyFont="1" applyFill="1" applyBorder="1" applyAlignment="1">
      <alignment horizontal="center" vertical="top" wrapText="1"/>
    </xf>
    <xf numFmtId="0" fontId="8" fillId="3" borderId="5" xfId="0" applyFont="1" applyFill="1" applyBorder="1" applyAlignment="1">
      <alignment horizontal="center" vertical="top" wrapText="1"/>
    </xf>
    <xf numFmtId="0" fontId="9" fillId="0" borderId="0" xfId="0" applyFont="1" applyAlignment="1">
      <alignment horizontal="right"/>
    </xf>
    <xf numFmtId="164" fontId="9" fillId="0" borderId="0" xfId="0" applyNumberFormat="1" applyFont="1" applyAlignment="1">
      <alignment horizontal="center" vertical="top" wrapText="1"/>
    </xf>
    <xf numFmtId="0" fontId="6" fillId="0" borderId="2" xfId="0" applyFont="1" applyBorder="1" applyAlignment="1">
      <alignment horizontal="center" vertical="top" wrapText="1"/>
    </xf>
    <xf numFmtId="0" fontId="6" fillId="0" borderId="0" xfId="0" applyFont="1"/>
    <xf numFmtId="0" fontId="12" fillId="0" borderId="6" xfId="0" applyFont="1" applyBorder="1"/>
    <xf numFmtId="0" fontId="12" fillId="0" borderId="7" xfId="0" applyFont="1" applyBorder="1" applyAlignment="1">
      <alignment horizontal="center"/>
    </xf>
    <xf numFmtId="0" fontId="12" fillId="0" borderId="5" xfId="0" applyFont="1" applyBorder="1" applyAlignment="1">
      <alignment horizontal="center"/>
    </xf>
    <xf numFmtId="0" fontId="6" fillId="0" borderId="6" xfId="0" applyFont="1" applyBorder="1" applyAlignment="1">
      <alignment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wrapText="1"/>
    </xf>
    <xf numFmtId="0" fontId="0" fillId="0" borderId="0" xfId="0" applyAlignment="1">
      <alignment wrapText="1"/>
    </xf>
    <xf numFmtId="0" fontId="12" fillId="0" borderId="0" xfId="0" applyFont="1" applyAlignment="1">
      <alignment horizontal="right" vertical="top"/>
    </xf>
    <xf numFmtId="0" fontId="6" fillId="0" borderId="0" xfId="0" applyFont="1" applyAlignment="1">
      <alignment vertical="top"/>
    </xf>
    <xf numFmtId="0" fontId="12" fillId="0" borderId="0" xfId="0" applyFont="1" applyAlignment="1">
      <alignmen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1" fillId="0" borderId="4" xfId="0" applyFont="1" applyFill="1" applyBorder="1" applyAlignment="1">
      <alignment horizontal="left" vertical="top" wrapText="1"/>
    </xf>
    <xf numFmtId="0" fontId="12" fillId="0" borderId="0" xfId="0" applyFont="1" applyAlignment="1">
      <alignment horizontal="left" vertical="top" wrapText="1"/>
    </xf>
    <xf numFmtId="0" fontId="1" fillId="0" borderId="5" xfId="0" applyFont="1" applyBorder="1" applyAlignment="1">
      <alignment horizontal="left" vertical="top" wrapText="1"/>
    </xf>
    <xf numFmtId="0" fontId="1" fillId="0" borderId="8" xfId="0" applyFont="1" applyBorder="1" applyAlignment="1">
      <alignment horizontal="left" vertical="top" wrapText="1"/>
    </xf>
    <xf numFmtId="0" fontId="1" fillId="0" borderId="7" xfId="0" applyFont="1" applyBorder="1" applyAlignment="1">
      <alignment horizontal="left" vertical="top" wrapText="1"/>
    </xf>
    <xf numFmtId="0" fontId="6" fillId="0" borderId="5" xfId="0" applyFont="1" applyBorder="1" applyAlignment="1">
      <alignment horizontal="left" vertical="top" wrapText="1"/>
    </xf>
    <xf numFmtId="0" fontId="11" fillId="0" borderId="1" xfId="0" applyFont="1" applyBorder="1" applyAlignment="1">
      <alignment horizontal="center" vertical="center"/>
    </xf>
    <xf numFmtId="0" fontId="6" fillId="0" borderId="2" xfId="0" applyFont="1" applyBorder="1" applyAlignment="1">
      <alignment vertical="center" wrapText="1"/>
    </xf>
    <xf numFmtId="0" fontId="6" fillId="0" borderId="7" xfId="0" applyFont="1" applyBorder="1" applyAlignment="1">
      <alignment vertical="center" wrapText="1"/>
    </xf>
    <xf numFmtId="0" fontId="6"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H45"/>
  <sheetViews>
    <sheetView tabSelected="1" zoomScale="85" zoomScaleNormal="100" zoomScaleSheetLayoutView="75" workbookViewId="0">
      <selection activeCell="G8" sqref="G8"/>
    </sheetView>
  </sheetViews>
  <sheetFormatPr defaultRowHeight="12.75"/>
  <cols>
    <col min="1" max="1" width="19.7109375" style="3" customWidth="1"/>
    <col min="2" max="2" width="21.85546875" style="3" customWidth="1"/>
    <col min="3" max="3" width="33.42578125" style="3" customWidth="1"/>
    <col min="4" max="4" width="32.28515625" style="3" customWidth="1"/>
    <col min="5" max="5" width="9.140625" style="3" hidden="1" customWidth="1"/>
    <col min="6" max="6" width="10.85546875" customWidth="1"/>
    <col min="7" max="7" width="16" style="8" customWidth="1"/>
    <col min="8" max="8" width="24.28515625" style="8" customWidth="1"/>
    <col min="9" max="16384" width="9.140625" style="3"/>
  </cols>
  <sheetData>
    <row r="1" spans="1:8">
      <c r="A1" s="1" t="s">
        <v>0</v>
      </c>
      <c r="B1" s="2"/>
      <c r="G1" s="4" t="s">
        <v>1</v>
      </c>
      <c r="H1" s="5"/>
    </row>
    <row r="2" spans="1:8">
      <c r="A2" s="1" t="s">
        <v>2</v>
      </c>
      <c r="B2" s="6"/>
      <c r="G2" s="4" t="s">
        <v>121</v>
      </c>
      <c r="H2" s="7"/>
    </row>
    <row r="3" spans="1:8" ht="15.75">
      <c r="A3" s="1" t="s">
        <v>55</v>
      </c>
      <c r="B3" s="6"/>
      <c r="G3" s="48" t="s">
        <v>56</v>
      </c>
      <c r="H3" s="38"/>
    </row>
    <row r="5" spans="1:8">
      <c r="A5" s="49" t="s">
        <v>122</v>
      </c>
    </row>
    <row r="6" spans="1:8">
      <c r="A6" s="52"/>
      <c r="B6" s="52"/>
      <c r="C6" s="52"/>
    </row>
    <row r="7" spans="1:8" s="11" customFormat="1" ht="49.15" customHeight="1" thickBot="1">
      <c r="A7" s="53" t="s">
        <v>3</v>
      </c>
      <c r="B7" s="54"/>
      <c r="C7" s="10" t="s">
        <v>5</v>
      </c>
      <c r="D7" s="10" t="s">
        <v>4</v>
      </c>
      <c r="E7" s="9"/>
      <c r="F7" s="10" t="s">
        <v>6</v>
      </c>
      <c r="G7" s="10" t="s">
        <v>50</v>
      </c>
      <c r="H7" s="10" t="s">
        <v>7</v>
      </c>
    </row>
    <row r="8" spans="1:8" s="16" customFormat="1" ht="26.65" customHeight="1" thickTop="1">
      <c r="A8" s="55" t="s">
        <v>8</v>
      </c>
      <c r="B8" s="55"/>
      <c r="C8" s="12" t="s">
        <v>10</v>
      </c>
      <c r="D8" s="12" t="s">
        <v>9</v>
      </c>
      <c r="E8" s="12"/>
      <c r="F8" s="13">
        <v>4</v>
      </c>
      <c r="G8" s="14"/>
      <c r="H8" s="15">
        <f>F8*G8</f>
        <v>0</v>
      </c>
    </row>
    <row r="9" spans="1:8" s="16" customFormat="1" ht="26.65" customHeight="1">
      <c r="A9" s="51" t="s">
        <v>11</v>
      </c>
      <c r="B9" s="51"/>
      <c r="C9" s="17" t="s">
        <v>13</v>
      </c>
      <c r="D9" s="17" t="s">
        <v>12</v>
      </c>
      <c r="E9" s="17"/>
      <c r="F9" s="18">
        <v>4</v>
      </c>
      <c r="G9" s="19"/>
      <c r="H9" s="20">
        <f t="shared" ref="H9:H23" si="0">G9*F9</f>
        <v>0</v>
      </c>
    </row>
    <row r="10" spans="1:8" s="16" customFormat="1" ht="26.65" customHeight="1">
      <c r="A10" s="51" t="s">
        <v>14</v>
      </c>
      <c r="B10" s="51"/>
      <c r="C10" s="17" t="s">
        <v>16</v>
      </c>
      <c r="D10" s="17" t="s">
        <v>15</v>
      </c>
      <c r="E10" s="17"/>
      <c r="F10" s="18">
        <v>4</v>
      </c>
      <c r="G10" s="19"/>
      <c r="H10" s="20">
        <f t="shared" si="0"/>
        <v>0</v>
      </c>
    </row>
    <row r="11" spans="1:8" s="11" customFormat="1" ht="26.65" customHeight="1">
      <c r="A11" s="51" t="s">
        <v>17</v>
      </c>
      <c r="B11" s="51"/>
      <c r="C11" s="21" t="s">
        <v>19</v>
      </c>
      <c r="D11" s="21" t="s">
        <v>18</v>
      </c>
      <c r="E11" s="22"/>
      <c r="F11" s="23">
        <v>4</v>
      </c>
      <c r="G11" s="24"/>
      <c r="H11" s="20">
        <f t="shared" si="0"/>
        <v>0</v>
      </c>
    </row>
    <row r="12" spans="1:8" s="16" customFormat="1" ht="26.65" customHeight="1">
      <c r="A12" s="51" t="s">
        <v>20</v>
      </c>
      <c r="B12" s="51"/>
      <c r="C12" s="17" t="s">
        <v>22</v>
      </c>
      <c r="D12" s="17" t="s">
        <v>21</v>
      </c>
      <c r="E12" s="17"/>
      <c r="F12" s="18">
        <v>3</v>
      </c>
      <c r="G12" s="19"/>
      <c r="H12" s="20">
        <f t="shared" si="0"/>
        <v>0</v>
      </c>
    </row>
    <row r="13" spans="1:8" s="16" customFormat="1" ht="26.65" customHeight="1">
      <c r="A13" s="51" t="s">
        <v>126</v>
      </c>
      <c r="B13" s="51"/>
      <c r="C13" s="17" t="s">
        <v>24</v>
      </c>
      <c r="D13" s="17" t="s">
        <v>23</v>
      </c>
      <c r="E13" s="17"/>
      <c r="F13" s="18">
        <v>2</v>
      </c>
      <c r="G13" s="19"/>
      <c r="H13" s="20">
        <f t="shared" si="0"/>
        <v>0</v>
      </c>
    </row>
    <row r="14" spans="1:8" s="16" customFormat="1" ht="26.65" customHeight="1">
      <c r="A14" s="51" t="s">
        <v>25</v>
      </c>
      <c r="B14" s="51"/>
      <c r="C14" s="17" t="s">
        <v>27</v>
      </c>
      <c r="D14" s="17" t="s">
        <v>26</v>
      </c>
      <c r="E14" s="17"/>
      <c r="F14" s="18">
        <v>2</v>
      </c>
      <c r="G14" s="19"/>
      <c r="H14" s="20">
        <f t="shared" si="0"/>
        <v>0</v>
      </c>
    </row>
    <row r="15" spans="1:8" s="28" customFormat="1" ht="26.65" customHeight="1">
      <c r="A15" s="58" t="s">
        <v>28</v>
      </c>
      <c r="B15" s="59"/>
      <c r="C15" s="25" t="s">
        <v>30</v>
      </c>
      <c r="D15" s="25" t="s">
        <v>29</v>
      </c>
      <c r="E15" s="25"/>
      <c r="F15" s="26">
        <v>2</v>
      </c>
      <c r="G15" s="27"/>
      <c r="H15" s="23">
        <f t="shared" si="0"/>
        <v>0</v>
      </c>
    </row>
    <row r="16" spans="1:8" s="16" customFormat="1" ht="26.65" customHeight="1">
      <c r="A16" s="51" t="s">
        <v>31</v>
      </c>
      <c r="B16" s="51"/>
      <c r="C16" s="17" t="s">
        <v>27</v>
      </c>
      <c r="D16" s="17" t="s">
        <v>26</v>
      </c>
      <c r="E16" s="17"/>
      <c r="F16" s="18">
        <v>2</v>
      </c>
      <c r="G16" s="19"/>
      <c r="H16" s="20">
        <f t="shared" si="0"/>
        <v>0</v>
      </c>
    </row>
    <row r="17" spans="1:8" s="16" customFormat="1" ht="26.65" customHeight="1">
      <c r="A17" s="51" t="s">
        <v>32</v>
      </c>
      <c r="B17" s="51"/>
      <c r="C17" s="17" t="s">
        <v>34</v>
      </c>
      <c r="D17" s="17" t="s">
        <v>33</v>
      </c>
      <c r="E17" s="17"/>
      <c r="F17" s="18">
        <v>2</v>
      </c>
      <c r="G17" s="19"/>
      <c r="H17" s="20">
        <f t="shared" si="0"/>
        <v>0</v>
      </c>
    </row>
    <row r="18" spans="1:8" s="16" customFormat="1" ht="26.65" customHeight="1">
      <c r="A18" s="51" t="s">
        <v>127</v>
      </c>
      <c r="B18" s="51"/>
      <c r="C18" s="17" t="s">
        <v>36</v>
      </c>
      <c r="D18" s="17" t="s">
        <v>35</v>
      </c>
      <c r="E18" s="17"/>
      <c r="F18" s="18">
        <v>2</v>
      </c>
      <c r="G18" s="19"/>
      <c r="H18" s="20">
        <f t="shared" si="0"/>
        <v>0</v>
      </c>
    </row>
    <row r="19" spans="1:8" s="16" customFormat="1" ht="26.65" customHeight="1">
      <c r="A19" s="51" t="s">
        <v>37</v>
      </c>
      <c r="B19" s="51"/>
      <c r="C19" s="17" t="s">
        <v>26</v>
      </c>
      <c r="D19" s="17" t="s">
        <v>27</v>
      </c>
      <c r="E19" s="17"/>
      <c r="F19" s="18">
        <v>2</v>
      </c>
      <c r="G19" s="19"/>
      <c r="H19" s="20">
        <f t="shared" si="0"/>
        <v>0</v>
      </c>
    </row>
    <row r="20" spans="1:8" s="16" customFormat="1" ht="26.65" customHeight="1">
      <c r="A20" s="51" t="s">
        <v>58</v>
      </c>
      <c r="B20" s="51"/>
      <c r="C20" s="17" t="s">
        <v>26</v>
      </c>
      <c r="D20" s="17" t="s">
        <v>27</v>
      </c>
      <c r="E20" s="17"/>
      <c r="F20" s="18">
        <v>2</v>
      </c>
      <c r="G20" s="19"/>
      <c r="H20" s="20">
        <f t="shared" si="0"/>
        <v>0</v>
      </c>
    </row>
    <row r="21" spans="1:8" s="16" customFormat="1" ht="26.65" customHeight="1">
      <c r="A21" s="51" t="s">
        <v>38</v>
      </c>
      <c r="B21" s="51"/>
      <c r="C21" s="17" t="s">
        <v>39</v>
      </c>
      <c r="D21" s="17" t="s">
        <v>59</v>
      </c>
      <c r="E21" s="17"/>
      <c r="F21" s="18">
        <v>2</v>
      </c>
      <c r="G21" s="19"/>
      <c r="H21" s="20">
        <f t="shared" si="0"/>
        <v>0</v>
      </c>
    </row>
    <row r="22" spans="1:8" s="32" customFormat="1" ht="26.65" customHeight="1">
      <c r="A22" s="60" t="s">
        <v>60</v>
      </c>
      <c r="B22" s="60"/>
      <c r="C22" s="29" t="s">
        <v>61</v>
      </c>
      <c r="D22" s="29" t="s">
        <v>40</v>
      </c>
      <c r="E22" s="29"/>
      <c r="F22" s="30">
        <v>3</v>
      </c>
      <c r="G22" s="19"/>
      <c r="H22" s="31">
        <f t="shared" si="0"/>
        <v>0</v>
      </c>
    </row>
    <row r="23" spans="1:8" s="16" customFormat="1" ht="26.65" customHeight="1">
      <c r="A23" s="51" t="s">
        <v>41</v>
      </c>
      <c r="B23" s="51"/>
      <c r="C23" s="17" t="s">
        <v>43</v>
      </c>
      <c r="D23" s="17" t="s">
        <v>42</v>
      </c>
      <c r="E23" s="17"/>
      <c r="F23" s="18">
        <v>1</v>
      </c>
      <c r="G23" s="19"/>
      <c r="H23" s="20">
        <f t="shared" si="0"/>
        <v>0</v>
      </c>
    </row>
    <row r="24" spans="1:8" s="16" customFormat="1" ht="26.65" customHeight="1">
      <c r="A24" s="51" t="s">
        <v>44</v>
      </c>
      <c r="B24" s="51"/>
      <c r="C24" s="17" t="s">
        <v>46</v>
      </c>
      <c r="D24" s="17" t="s">
        <v>45</v>
      </c>
      <c r="E24" s="17"/>
      <c r="F24" s="26">
        <v>4</v>
      </c>
      <c r="G24" s="19"/>
      <c r="H24" s="20">
        <f>G24*F24</f>
        <v>0</v>
      </c>
    </row>
    <row r="25" spans="1:8" s="16" customFormat="1" ht="26.65" customHeight="1">
      <c r="A25" s="51" t="s">
        <v>47</v>
      </c>
      <c r="B25" s="51"/>
      <c r="C25" s="17" t="s">
        <v>48</v>
      </c>
      <c r="D25" s="17" t="s">
        <v>27</v>
      </c>
      <c r="E25" s="17"/>
      <c r="F25" s="18">
        <v>1</v>
      </c>
      <c r="G25" s="19"/>
      <c r="H25" s="20">
        <f>G25*F25</f>
        <v>0</v>
      </c>
    </row>
    <row r="26" spans="1:8" s="28" customFormat="1" ht="26.65" customHeight="1">
      <c r="A26" s="57" t="s">
        <v>57</v>
      </c>
      <c r="B26" s="57"/>
      <c r="C26" s="33"/>
      <c r="D26" s="33"/>
      <c r="E26" s="33"/>
      <c r="F26" s="34"/>
      <c r="G26" s="35"/>
      <c r="H26" s="23"/>
    </row>
    <row r="28" spans="1:8" ht="16.5" customHeight="1">
      <c r="A28" s="50" t="s">
        <v>51</v>
      </c>
      <c r="B28" s="50"/>
      <c r="C28" s="56" t="s">
        <v>123</v>
      </c>
      <c r="D28" s="56"/>
      <c r="E28" s="56"/>
      <c r="F28" s="56"/>
    </row>
    <row r="29" spans="1:8" ht="19.5" customHeight="1">
      <c r="A29" s="50" t="s">
        <v>52</v>
      </c>
      <c r="B29" s="50"/>
      <c r="C29" s="52"/>
      <c r="D29" s="52"/>
      <c r="G29" s="36" t="s">
        <v>49</v>
      </c>
      <c r="H29" s="37">
        <f>SUM(H8:H26)</f>
        <v>0</v>
      </c>
    </row>
    <row r="30" spans="1:8" ht="15.75">
      <c r="A30" s="50" t="s">
        <v>53</v>
      </c>
    </row>
    <row r="31" spans="1:8" ht="15.75">
      <c r="A31" s="50" t="s">
        <v>54</v>
      </c>
    </row>
    <row r="33" spans="1:3" ht="15.75">
      <c r="A33" s="56" t="s">
        <v>62</v>
      </c>
      <c r="B33" s="56"/>
      <c r="C33" s="56"/>
    </row>
    <row r="45" spans="1:3" ht="12.75" customHeight="1"/>
  </sheetData>
  <mergeCells count="24">
    <mergeCell ref="A33:C33"/>
    <mergeCell ref="A26:B26"/>
    <mergeCell ref="A25:B25"/>
    <mergeCell ref="A15:B15"/>
    <mergeCell ref="A19:B19"/>
    <mergeCell ref="C29:D29"/>
    <mergeCell ref="C28:F28"/>
    <mergeCell ref="A22:B22"/>
    <mergeCell ref="A23:B23"/>
    <mergeCell ref="A24:B24"/>
    <mergeCell ref="A12:B12"/>
    <mergeCell ref="A13:B13"/>
    <mergeCell ref="A6:C6"/>
    <mergeCell ref="A7:B7"/>
    <mergeCell ref="A21:B21"/>
    <mergeCell ref="A8:B8"/>
    <mergeCell ref="A9:B9"/>
    <mergeCell ref="A10:B10"/>
    <mergeCell ref="A11:B11"/>
    <mergeCell ref="A14:B14"/>
    <mergeCell ref="A17:B17"/>
    <mergeCell ref="A18:B18"/>
    <mergeCell ref="A16:B16"/>
    <mergeCell ref="A20:B20"/>
  </mergeCells>
  <phoneticPr fontId="2" type="noConversion"/>
  <pageMargins left="0.5" right="0.46" top="0.75" bottom="0.75" header="0.5" footer="0.25"/>
  <pageSetup scale="69" orientation="landscape" r:id="rId1"/>
  <headerFooter alignWithMargins="0">
    <oddHeader>&amp;C&amp;"Arial,Bold"Subrecipient Risk Analysis - High/Low Risk Entities</oddHeader>
    <oddFooter>&amp;L&amp;8&amp;Z&amp;F  (&amp;A)  &amp;D</oddFooter>
  </headerFooter>
</worksheet>
</file>

<file path=xl/worksheets/sheet2.xml><?xml version="1.0" encoding="utf-8"?>
<worksheet xmlns="http://schemas.openxmlformats.org/spreadsheetml/2006/main" xmlns:r="http://schemas.openxmlformats.org/officeDocument/2006/relationships">
  <dimension ref="A1:D33"/>
  <sheetViews>
    <sheetView workbookViewId="0">
      <selection activeCell="C14" sqref="C14"/>
    </sheetView>
  </sheetViews>
  <sheetFormatPr defaultRowHeight="12.75"/>
  <cols>
    <col min="1" max="1" width="30.7109375" customWidth="1"/>
    <col min="2" max="2" width="36.85546875" customWidth="1"/>
    <col min="3" max="3" width="34.28515625" customWidth="1"/>
    <col min="4" max="4" width="35.5703125" customWidth="1"/>
  </cols>
  <sheetData>
    <row r="1" spans="1:4" s="39" customFormat="1" ht="27" customHeight="1">
      <c r="A1" s="61" t="s">
        <v>63</v>
      </c>
      <c r="B1" s="61"/>
      <c r="C1" s="61"/>
      <c r="D1" s="61"/>
    </row>
    <row r="2" spans="1:4" s="39" customFormat="1" ht="15.75">
      <c r="A2" s="40" t="s">
        <v>64</v>
      </c>
      <c r="B2" s="41" t="s">
        <v>65</v>
      </c>
      <c r="C2" s="42" t="s">
        <v>66</v>
      </c>
      <c r="D2" s="42" t="s">
        <v>67</v>
      </c>
    </row>
    <row r="3" spans="1:4" s="46" customFormat="1" ht="24" customHeight="1">
      <c r="A3" s="43" t="s">
        <v>68</v>
      </c>
      <c r="B3" s="44" t="s">
        <v>69</v>
      </c>
      <c r="C3" s="45" t="s">
        <v>70</v>
      </c>
      <c r="D3" s="45" t="s">
        <v>71</v>
      </c>
    </row>
    <row r="4" spans="1:4" s="46" customFormat="1" ht="24" customHeight="1">
      <c r="A4" s="43" t="s">
        <v>72</v>
      </c>
      <c r="B4" s="44" t="s">
        <v>13</v>
      </c>
      <c r="C4" s="45" t="s">
        <v>73</v>
      </c>
      <c r="D4" s="45" t="s">
        <v>74</v>
      </c>
    </row>
    <row r="5" spans="1:4" s="46" customFormat="1" ht="25.5">
      <c r="A5" s="43" t="s">
        <v>75</v>
      </c>
      <c r="B5" s="44" t="s">
        <v>76</v>
      </c>
      <c r="C5" s="45" t="s">
        <v>77</v>
      </c>
      <c r="D5" s="45" t="s">
        <v>78</v>
      </c>
    </row>
    <row r="6" spans="1:4" s="46" customFormat="1" ht="25.5">
      <c r="A6" s="43" t="s">
        <v>79</v>
      </c>
      <c r="B6" s="44" t="s">
        <v>80</v>
      </c>
      <c r="C6" s="45" t="s">
        <v>81</v>
      </c>
      <c r="D6" s="45" t="s">
        <v>82</v>
      </c>
    </row>
    <row r="7" spans="1:4" s="46" customFormat="1" ht="38.25">
      <c r="A7" s="43" t="s">
        <v>83</v>
      </c>
      <c r="B7" s="44" t="s">
        <v>84</v>
      </c>
      <c r="C7" s="45" t="s">
        <v>85</v>
      </c>
      <c r="D7" s="45" t="s">
        <v>86</v>
      </c>
    </row>
    <row r="8" spans="1:4" s="46" customFormat="1" ht="38.25">
      <c r="A8" s="43" t="s">
        <v>87</v>
      </c>
      <c r="B8" s="44" t="s">
        <v>88</v>
      </c>
      <c r="C8" s="45" t="s">
        <v>89</v>
      </c>
      <c r="D8" s="45" t="s">
        <v>90</v>
      </c>
    </row>
    <row r="9" spans="1:4" s="46" customFormat="1" ht="25.5">
      <c r="A9" s="43" t="s">
        <v>31</v>
      </c>
      <c r="B9" s="44" t="s">
        <v>91</v>
      </c>
      <c r="C9" s="45" t="s">
        <v>92</v>
      </c>
      <c r="D9" s="45" t="s">
        <v>93</v>
      </c>
    </row>
    <row r="10" spans="1:4" s="46" customFormat="1" ht="24" customHeight="1">
      <c r="A10" s="43" t="s">
        <v>32</v>
      </c>
      <c r="B10" s="44" t="s">
        <v>94</v>
      </c>
      <c r="C10" s="45" t="s">
        <v>95</v>
      </c>
      <c r="D10" s="45" t="s">
        <v>96</v>
      </c>
    </row>
    <row r="11" spans="1:4" s="46" customFormat="1" ht="38.25">
      <c r="A11" s="43" t="s">
        <v>97</v>
      </c>
      <c r="B11" s="44" t="s">
        <v>129</v>
      </c>
      <c r="C11" s="45" t="s">
        <v>130</v>
      </c>
      <c r="D11" s="45" t="s">
        <v>131</v>
      </c>
    </row>
    <row r="12" spans="1:4" s="46" customFormat="1" ht="25.5">
      <c r="A12" s="43" t="s">
        <v>98</v>
      </c>
      <c r="B12" s="44" t="s">
        <v>99</v>
      </c>
      <c r="C12" s="45" t="s">
        <v>100</v>
      </c>
      <c r="D12" s="45" t="s">
        <v>101</v>
      </c>
    </row>
    <row r="13" spans="1:4" s="46" customFormat="1" ht="25.5">
      <c r="A13" s="43" t="s">
        <v>102</v>
      </c>
      <c r="B13" s="44" t="s">
        <v>103</v>
      </c>
      <c r="C13" s="45" t="s">
        <v>104</v>
      </c>
      <c r="D13" s="45" t="s">
        <v>105</v>
      </c>
    </row>
    <row r="14" spans="1:4" s="46" customFormat="1" ht="24" customHeight="1">
      <c r="A14" s="43" t="s">
        <v>38</v>
      </c>
      <c r="B14" s="44" t="s">
        <v>39</v>
      </c>
      <c r="C14" s="45" t="s">
        <v>133</v>
      </c>
      <c r="D14" s="45" t="s">
        <v>132</v>
      </c>
    </row>
    <row r="15" spans="1:4" s="46" customFormat="1" ht="25.5">
      <c r="A15" s="43" t="s">
        <v>128</v>
      </c>
      <c r="B15" s="44" t="s">
        <v>106</v>
      </c>
      <c r="C15" s="45" t="s">
        <v>107</v>
      </c>
      <c r="D15" s="45" t="s">
        <v>108</v>
      </c>
    </row>
    <row r="16" spans="1:4" s="46" customFormat="1" ht="38.25">
      <c r="A16" s="43" t="s">
        <v>109</v>
      </c>
      <c r="B16" s="44" t="s">
        <v>110</v>
      </c>
      <c r="C16" s="45" t="s">
        <v>124</v>
      </c>
      <c r="D16" s="45" t="s">
        <v>111</v>
      </c>
    </row>
    <row r="17" spans="1:4" s="46" customFormat="1" ht="38.25">
      <c r="A17" s="43" t="s">
        <v>112</v>
      </c>
      <c r="B17" s="44" t="s">
        <v>46</v>
      </c>
      <c r="C17" s="45" t="s">
        <v>113</v>
      </c>
      <c r="D17" s="45" t="s">
        <v>114</v>
      </c>
    </row>
    <row r="18" spans="1:4" s="46" customFormat="1" ht="25.5">
      <c r="A18" s="43" t="s">
        <v>115</v>
      </c>
      <c r="B18" s="44" t="s">
        <v>116</v>
      </c>
      <c r="C18" s="45" t="s">
        <v>117</v>
      </c>
      <c r="D18" s="45" t="s">
        <v>118</v>
      </c>
    </row>
    <row r="19" spans="1:4" s="46" customFormat="1" ht="24" customHeight="1">
      <c r="A19" s="43" t="s">
        <v>119</v>
      </c>
      <c r="B19" s="62" t="s">
        <v>120</v>
      </c>
      <c r="C19" s="62"/>
      <c r="D19" s="63"/>
    </row>
    <row r="20" spans="1:4" s="46" customFormat="1" ht="15.75">
      <c r="A20" s="56" t="s">
        <v>62</v>
      </c>
      <c r="B20" s="56"/>
      <c r="C20" s="56"/>
    </row>
    <row r="21" spans="1:4" s="47" customFormat="1">
      <c r="A21" s="64" t="s">
        <v>125</v>
      </c>
      <c r="B21" s="65"/>
      <c r="C21" s="65"/>
      <c r="D21" s="65"/>
    </row>
    <row r="22" spans="1:4" s="47" customFormat="1">
      <c r="A22" s="65"/>
      <c r="B22" s="65"/>
      <c r="C22" s="65"/>
      <c r="D22" s="65"/>
    </row>
    <row r="23" spans="1:4" s="47" customFormat="1"/>
    <row r="24" spans="1:4" s="47" customFormat="1"/>
    <row r="25" spans="1:4" s="47" customFormat="1"/>
    <row r="26" spans="1:4" s="47" customFormat="1"/>
    <row r="27" spans="1:4" s="47" customFormat="1"/>
    <row r="28" spans="1:4" s="47" customFormat="1"/>
    <row r="29" spans="1:4" s="47" customFormat="1"/>
    <row r="30" spans="1:4" s="47" customFormat="1"/>
    <row r="31" spans="1:4" s="47" customFormat="1"/>
    <row r="32" spans="1:4" s="47" customFormat="1"/>
    <row r="33" s="47" customFormat="1"/>
  </sheetData>
  <mergeCells count="4">
    <mergeCell ref="A1:D1"/>
    <mergeCell ref="B19:D19"/>
    <mergeCell ref="A21:D22"/>
    <mergeCell ref="A20:C20"/>
  </mergeCells>
  <pageMargins left="0.2" right="0.2" top="0.5" bottom="0.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91BB9F051DD754C87846EA80E6114ED" ma:contentTypeVersion="0" ma:contentTypeDescription="Create a new document." ma:contentTypeScope="" ma:versionID="b6b5edc013003617af9d677472710aed">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93980F0C-ECE6-4FC9-8AED-F755AB473E51}">
  <ds:schemaRefs>
    <ds:schemaRef ds:uri="http://schemas.microsoft.com/sharepoint/v3/contenttype/forms"/>
  </ds:schemaRefs>
</ds:datastoreItem>
</file>

<file path=customXml/itemProps2.xml><?xml version="1.0" encoding="utf-8"?>
<ds:datastoreItem xmlns:ds="http://schemas.openxmlformats.org/officeDocument/2006/customXml" ds:itemID="{582D91CB-3C2B-488A-BBC1-680227B5E2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BEC924E4-5082-4C7A-9A72-2D2C44F3CF0B}">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Risk Assessment</vt:lpstr>
      <vt:lpstr>Guidance for Risk Assessment</vt:lpstr>
      <vt:lpstr>'Guidance for Risk Assessment'!Print_Area</vt:lpstr>
    </vt:vector>
  </TitlesOfParts>
  <Company>Stanford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michiko pane</dc:creator>
  <cp:lastModifiedBy>UNC - General Administration</cp:lastModifiedBy>
  <cp:lastPrinted>2012-07-30T14:25:11Z</cp:lastPrinted>
  <dcterms:created xsi:type="dcterms:W3CDTF">2005-10-13T16:23:04Z</dcterms:created>
  <dcterms:modified xsi:type="dcterms:W3CDTF">2012-09-12T15:47:28Z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