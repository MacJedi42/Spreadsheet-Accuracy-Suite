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7235" windowHeight="7740" firstSheet="4" activeTab="13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</sheets>
  <calcPr calcId="145621"/>
</workbook>
</file>

<file path=xl/calcChain.xml><?xml version="1.0" encoding="utf-8"?>
<calcChain xmlns="http://schemas.openxmlformats.org/spreadsheetml/2006/main">
  <c r="D5" i="13" l="1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4" i="13"/>
  <c r="O16" i="10" l="1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5" i="10"/>
  <c r="Q16" i="10" l="1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5" i="10"/>
  <c r="K47" i="10" l="1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46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5" i="10"/>
  <c r="Q6" i="9" l="1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5" i="9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3" i="8"/>
  <c r="AE37" i="6" l="1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36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Y35" i="6" l="1"/>
  <c r="W35" i="6"/>
  <c r="Y34" i="6"/>
  <c r="W34" i="6"/>
  <c r="Y33" i="6"/>
  <c r="W33" i="6"/>
  <c r="Y32" i="6"/>
  <c r="W32" i="6"/>
  <c r="Y31" i="6"/>
  <c r="W31" i="6"/>
  <c r="Y30" i="6"/>
  <c r="W30" i="6"/>
  <c r="Y29" i="6"/>
  <c r="W29" i="6"/>
  <c r="Y28" i="6"/>
  <c r="W28" i="6"/>
  <c r="Y27" i="6"/>
  <c r="W27" i="6"/>
  <c r="Y26" i="6"/>
  <c r="W26" i="6"/>
  <c r="Y25" i="6"/>
  <c r="W25" i="6"/>
  <c r="Y24" i="6"/>
  <c r="W24" i="6"/>
  <c r="Y23" i="6"/>
  <c r="W23" i="6"/>
  <c r="Y22" i="6"/>
  <c r="W22" i="6"/>
  <c r="Y21" i="6"/>
  <c r="W21" i="6"/>
  <c r="Y20" i="6"/>
  <c r="W20" i="6"/>
  <c r="Y19" i="6"/>
  <c r="W19" i="6"/>
  <c r="Y18" i="6"/>
  <c r="W18" i="6"/>
  <c r="Y17" i="6"/>
  <c r="W17" i="6"/>
  <c r="Y16" i="6"/>
  <c r="W16" i="6"/>
  <c r="Y15" i="6"/>
  <c r="W15" i="6"/>
  <c r="Y14" i="6"/>
  <c r="W14" i="6"/>
  <c r="Y13" i="6"/>
  <c r="W13" i="6"/>
  <c r="Y12" i="6"/>
  <c r="W12" i="6"/>
  <c r="Y11" i="6"/>
  <c r="W11" i="6"/>
  <c r="Y10" i="6"/>
  <c r="W10" i="6"/>
  <c r="Y9" i="6"/>
  <c r="W9" i="6"/>
  <c r="Y8" i="6"/>
  <c r="W8" i="6"/>
  <c r="Y7" i="6"/>
  <c r="W7" i="6"/>
  <c r="Y6" i="6"/>
  <c r="W6" i="6"/>
  <c r="Y5" i="6"/>
  <c r="W5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36" i="6"/>
  <c r="I37" i="6" l="1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36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5" i="6"/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3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3" i="3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3" i="1"/>
</calcChain>
</file>

<file path=xl/sharedStrings.xml><?xml version="1.0" encoding="utf-8"?>
<sst xmlns="http://schemas.openxmlformats.org/spreadsheetml/2006/main" count="143" uniqueCount="80">
  <si>
    <t>WellID</t>
  </si>
  <si>
    <t>CmpldYear</t>
  </si>
  <si>
    <t>K(m/d)</t>
  </si>
  <si>
    <t>Sat Thick (m)</t>
  </si>
  <si>
    <r>
      <t>Trans(m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/d)</t>
    </r>
  </si>
  <si>
    <r>
      <rPr>
        <b/>
        <i/>
        <sz val="11"/>
        <color theme="1"/>
        <rFont val="Times New Roman"/>
        <family val="1"/>
      </rPr>
      <t>l</t>
    </r>
    <r>
      <rPr>
        <b/>
        <sz val="11"/>
        <color theme="1"/>
        <rFont val="Calibri"/>
        <family val="2"/>
        <scheme val="minor"/>
      </rPr>
      <t xml:space="preserve"> (m)</t>
    </r>
  </si>
  <si>
    <r>
      <rPr>
        <b/>
        <sz val="11"/>
        <color theme="1"/>
        <rFont val="Calibri"/>
        <family val="2"/>
      </rPr>
      <t>λ</t>
    </r>
    <r>
      <rPr>
        <b/>
        <sz val="11"/>
        <color theme="1"/>
        <rFont val="Calibri"/>
        <family val="2"/>
        <scheme val="minor"/>
      </rPr>
      <t xml:space="preserve"> (m/d)</t>
    </r>
  </si>
  <si>
    <t>Year</t>
  </si>
  <si>
    <r>
      <t>Total Pumping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</si>
  <si>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r>
      <t>Total Pump per well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</si>
  <si>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r>
      <t>Total Pump per well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</si>
  <si>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r>
      <t>Pumping per well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/d)</t>
    </r>
  </si>
  <si>
    <r>
      <t>FC near Imperial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/yr)</t>
    </r>
  </si>
  <si>
    <r>
      <t>FC near Imperial (km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/yr)</t>
    </r>
  </si>
  <si>
    <r>
      <t>FC at Culbertson (km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/yr)</t>
    </r>
  </si>
  <si>
    <r>
      <t>FC at Culbertson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/yr)</t>
    </r>
  </si>
  <si>
    <r>
      <t>SWC at Palisade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/yr)</t>
    </r>
  </si>
  <si>
    <r>
      <t>SWC at Palisade (km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/yr)</t>
    </r>
  </si>
  <si>
    <r>
      <t>Reservoir Evaporation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</si>
  <si>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r>
      <t>Reservoir Evaporation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</si>
  <si>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t>P (m)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</si>
  <si>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Y</t>
    </r>
  </si>
  <si>
    <t>Disturbed Conditions</t>
  </si>
  <si>
    <t>Within GW basin</t>
  </si>
  <si>
    <r>
      <t>Rangeland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</si>
  <si>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Dry Cropland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</si>
  <si>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Terraced land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</si>
  <si>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Irrigated land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</si>
  <si>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Rangeland 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</si>
  <si>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Dry Cropland 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</si>
  <si>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Terraced land 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</si>
  <si>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Irrigated land 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</si>
  <si>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Within SW basin</t>
  </si>
  <si>
    <t>Base Conditions</t>
  </si>
  <si>
    <t>DL Corn (BPA)</t>
  </si>
  <si>
    <t>DL Wheat (BPA)</t>
  </si>
  <si>
    <r>
      <t>Jenkins SDR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</si>
  <si>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r>
      <t>Jenkins SDR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</si>
  <si>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r>
      <t>Hunt SDR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</si>
  <si>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r>
      <t>Hunt SDR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</si>
  <si>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t>Overland Runoff</t>
  </si>
  <si>
    <r>
      <t>Rangeland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</si>
  <si>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Rangeland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</si>
  <si>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Dry Cropland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</si>
  <si>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Dry Cropland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</si>
  <si>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Terraced land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</si>
  <si>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Terraced land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</si>
  <si>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Returnflow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</si>
  <si>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Returnflow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</si>
  <si>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Precipitation on irrigated land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</si>
  <si>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Precipitation on irrigated land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</si>
  <si>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Irrigated land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</si>
  <si>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Irrigated land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</si>
  <si>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Stream Recharge with 10 year lag</t>
  </si>
  <si>
    <r>
      <t>Modeled Streamflow at Culbertson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</si>
  <si>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t>Modeled Streamflow at Culbertson (acre-feet/yr)</t>
  </si>
  <si>
    <t>Disturbed Conditions- Frenchman Creek</t>
  </si>
  <si>
    <t>Relative Error (%)</t>
  </si>
  <si>
    <t>Absolute Relative Error (%)</t>
  </si>
  <si>
    <t>Base Conditions- Frenchman Creek</t>
  </si>
  <si>
    <r>
      <t>Modeled Streamflow at Culbertson (km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/yr)</t>
    </r>
  </si>
  <si>
    <t>SDR (%)</t>
  </si>
  <si>
    <t xml:space="preserve"> Canals (%)</t>
  </si>
  <si>
    <t xml:space="preserve"> Land Use Change (%)</t>
  </si>
  <si>
    <r>
      <t xml:space="preserve"> Evap</t>
    </r>
    <r>
      <rPr>
        <b/>
        <vertAlign val="superscript"/>
        <sz val="11"/>
        <color theme="1"/>
        <rFont val="Calibri"/>
        <family val="2"/>
        <scheme val="minor"/>
      </rPr>
      <t xml:space="preserve">res </t>
    </r>
    <r>
      <rPr>
        <b/>
        <sz val="11"/>
        <color theme="1"/>
        <rFont val="Calibri"/>
        <family val="2"/>
        <scheme val="minor"/>
      </rPr>
      <t>(%)</t>
    </r>
  </si>
  <si>
    <t>Total (%)</t>
  </si>
  <si>
    <t>Appendix A: Well-Aquifer Database</t>
  </si>
  <si>
    <t>Appendix B: Pumping Rates and Total Pumping</t>
  </si>
  <si>
    <t>Appendix C: Streamflow Data</t>
  </si>
  <si>
    <t>Appendix D: Reservoir Evaporation Data</t>
  </si>
  <si>
    <t>Appendix E Precipitation Data</t>
  </si>
  <si>
    <t>Appendix F: Land use data</t>
  </si>
  <si>
    <t>Appendix G: Crop Yields</t>
  </si>
  <si>
    <t>Appendix H: SDR Estimates</t>
  </si>
  <si>
    <t>Appendix I: Overland Flow values for each land use</t>
  </si>
  <si>
    <t>Appendix J: SR values for each land use</t>
  </si>
  <si>
    <t>Appendix K: Modeled streamflow in disturbed conditions</t>
  </si>
  <si>
    <t>Appendix L: Relative error of disturbed conditions model</t>
  </si>
  <si>
    <t>Appendix M: Modeled streamflow in base conditions</t>
  </si>
  <si>
    <t>Appendix N: Total depletions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</si>
</sst>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65" fontId="0" fillId="0" borderId="0" xfId="0" applyNumberFormat="1"/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0" borderId="0" xfId="0" applyFont="1"/>
    <xf numFmtId="1" fontId="1" fillId="0" borderId="0" xfId="0" applyNumberFormat="1" applyFont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64" fontId="1" fillId="0" borderId="0" xfId="0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11" fontId="0" fillId="0" borderId="0" xfId="0" applyNumberFormat="1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1" fontId="0" fillId="5" borderId="0" xfId="0" applyNumberFormat="1" applyFill="1" applyAlignment="1">
      <alignment horizontal="center"/>
    </xf>
    <xf numFmtId="0" fontId="0" fillId="5" borderId="0" xfId="0" applyFill="1"/>
    <xf numFmtId="11" fontId="1" fillId="5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"/>
  <sheetViews>
    <sheetView zoomScale="80" zoomScaleNormal="80" workbookViewId="0">
      <selection activeCell="D2" sqref="D2"/>
    </sheetView>
  </sheetViews>
  <sheetFormatPr defaultRowHeight="15" x14ac:dyDescent="0.25"/>
  <cols>
    <col min="1" max="1" width="8" bestFit="1" customWidth="1"/>
    <col min="2" max="2" width="11.5703125" bestFit="1" customWidth="1"/>
    <col min="3" max="3" width="7.7109375" bestFit="1" customWidth="1"/>
    <col min="4" max="4" width="14.5703125" bestFit="1" customWidth="1"/>
    <col min="5" max="5" width="13.5703125" bestFit="1" customWidth="1"/>
    <col min="6" max="7" width="11.5703125" bestFit="1" customWidth="1"/>
  </cols>
  <sheetData>
    <row r="1" spans="1:8" s="2" customFormat="1" ht="18.75" x14ac:dyDescent="0.3">
      <c r="D1" s="13" t="s">
        <v>66</v>
      </c>
    </row>
    <row r="2" spans="1:8" ht="18.75" x14ac:dyDescent="0.35">
      <c r="A2" s="18" t="s">
        <v>0</v>
      </c>
      <c r="B2" s="18" t="s">
        <v>1</v>
      </c>
      <c r="C2" s="19" t="s">
        <v>2</v>
      </c>
      <c r="D2" s="19" t="s">
        <v>4</v>
      </c>
      <c r="E2" s="20" t="s">
        <v>3</v>
      </c>
      <c r="F2" s="21" t="s">
        <v>21</v>
      </c>
      <c r="G2" s="22" t="s">
        <v>5</v>
      </c>
      <c r="H2" s="18" t="s">
        <v>6</v>
      </c>
    </row>
    <row r="3" spans="1:8" x14ac:dyDescent="0.25">
      <c r="A3" s="23">
        <v>97299</v>
      </c>
      <c r="B3" s="23">
        <v>1928</v>
      </c>
      <c r="C3" s="24">
        <v>30.48</v>
      </c>
      <c r="D3" s="24">
        <v>331.65299999999996</v>
      </c>
      <c r="E3" s="24">
        <f>D3/C3</f>
        <v>10.881003937007872</v>
      </c>
      <c r="F3" s="25">
        <v>0.174930004</v>
      </c>
      <c r="G3" s="26">
        <v>163.65089146599999</v>
      </c>
      <c r="H3" s="23">
        <v>20</v>
      </c>
    </row>
    <row r="4" spans="1:8" x14ac:dyDescent="0.25">
      <c r="A4" s="23">
        <v>133470</v>
      </c>
      <c r="B4" s="23">
        <v>1928</v>
      </c>
      <c r="C4" s="24">
        <v>6.6446400000000008</v>
      </c>
      <c r="D4" s="24">
        <v>90.527333999999996</v>
      </c>
      <c r="E4" s="24">
        <f t="shared" ref="E4:E67" si="0">D4/C4</f>
        <v>13.624114173228344</v>
      </c>
      <c r="F4" s="25">
        <v>0.17477699999999999</v>
      </c>
      <c r="G4" s="26">
        <v>68.934816659000006</v>
      </c>
      <c r="H4" s="23">
        <v>20</v>
      </c>
    </row>
    <row r="5" spans="1:8" x14ac:dyDescent="0.25">
      <c r="A5" s="23">
        <v>66501</v>
      </c>
      <c r="B5" s="23">
        <v>1928</v>
      </c>
      <c r="C5" s="24">
        <v>30.48</v>
      </c>
      <c r="D5" s="24">
        <v>627.07499999999993</v>
      </c>
      <c r="E5" s="24">
        <f t="shared" si="0"/>
        <v>20.573326771653541</v>
      </c>
      <c r="F5" s="25">
        <v>0.224775</v>
      </c>
      <c r="G5" s="26">
        <v>89.484770045600001</v>
      </c>
      <c r="H5" s="23">
        <v>20</v>
      </c>
    </row>
    <row r="6" spans="1:8" x14ac:dyDescent="0.25">
      <c r="A6" s="23">
        <v>66502</v>
      </c>
      <c r="B6" s="23">
        <v>1928</v>
      </c>
      <c r="C6" s="24">
        <v>30.48</v>
      </c>
      <c r="D6" s="24">
        <v>616.85599999999999</v>
      </c>
      <c r="E6" s="24">
        <f t="shared" si="0"/>
        <v>20.238057742782154</v>
      </c>
      <c r="F6" s="25">
        <v>0.175296007</v>
      </c>
      <c r="G6" s="26">
        <v>143.31679995499999</v>
      </c>
      <c r="H6" s="23">
        <v>20</v>
      </c>
    </row>
    <row r="7" spans="1:8" x14ac:dyDescent="0.25">
      <c r="A7" s="23">
        <v>68741</v>
      </c>
      <c r="B7" s="23">
        <v>1928</v>
      </c>
      <c r="C7" s="24">
        <v>30.48</v>
      </c>
      <c r="D7" s="24">
        <v>616.85599999999999</v>
      </c>
      <c r="E7" s="24">
        <f t="shared" si="0"/>
        <v>20.238057742782154</v>
      </c>
      <c r="F7" s="25">
        <v>0.175296007</v>
      </c>
      <c r="G7" s="26">
        <v>181.94098277699999</v>
      </c>
      <c r="H7" s="23">
        <v>20</v>
      </c>
    </row>
    <row r="8" spans="1:8" x14ac:dyDescent="0.25">
      <c r="A8" s="23">
        <v>21179</v>
      </c>
      <c r="B8" s="23">
        <v>1928</v>
      </c>
      <c r="C8" s="24">
        <v>30.48</v>
      </c>
      <c r="D8" s="24">
        <v>426.411</v>
      </c>
      <c r="E8" s="24">
        <f t="shared" si="0"/>
        <v>13.989862204724409</v>
      </c>
      <c r="F8" s="25">
        <v>0.224910005</v>
      </c>
      <c r="G8" s="26">
        <v>177.904130708</v>
      </c>
      <c r="H8" s="23">
        <v>20</v>
      </c>
    </row>
    <row r="9" spans="1:8" x14ac:dyDescent="0.25">
      <c r="A9" s="23">
        <v>71884</v>
      </c>
      <c r="B9" s="23">
        <v>1935</v>
      </c>
      <c r="C9" s="24">
        <v>7.1018400000000002</v>
      </c>
      <c r="D9" s="24">
        <v>451.96221599999996</v>
      </c>
      <c r="E9" s="24">
        <f t="shared" si="0"/>
        <v>63.640157480314954</v>
      </c>
      <c r="F9" s="25">
        <v>0.17539199799999999</v>
      </c>
      <c r="G9" s="26">
        <v>170.19649651399999</v>
      </c>
      <c r="H9" s="23">
        <v>20</v>
      </c>
    </row>
    <row r="10" spans="1:8" x14ac:dyDescent="0.25">
      <c r="A10" s="23">
        <v>14</v>
      </c>
      <c r="B10" s="23">
        <v>1937</v>
      </c>
      <c r="C10" s="24">
        <v>30.48</v>
      </c>
      <c r="D10" s="24">
        <v>723.69099999999992</v>
      </c>
      <c r="E10" s="24">
        <f t="shared" si="0"/>
        <v>23.743143044619419</v>
      </c>
      <c r="F10" s="25">
        <v>0.17527499199999999</v>
      </c>
      <c r="G10" s="26">
        <v>88.348375420599993</v>
      </c>
      <c r="H10" s="23">
        <v>20</v>
      </c>
    </row>
    <row r="11" spans="1:8" x14ac:dyDescent="0.25">
      <c r="A11" s="23">
        <v>13</v>
      </c>
      <c r="B11" s="23">
        <v>1938</v>
      </c>
      <c r="C11" s="24">
        <v>30.48</v>
      </c>
      <c r="D11" s="24">
        <v>627.07499999999993</v>
      </c>
      <c r="E11" s="24">
        <f t="shared" si="0"/>
        <v>20.573326771653541</v>
      </c>
      <c r="F11" s="25">
        <v>0.224775</v>
      </c>
      <c r="G11" s="26">
        <v>477.358523381</v>
      </c>
      <c r="H11" s="23">
        <v>20</v>
      </c>
    </row>
    <row r="12" spans="1:8" x14ac:dyDescent="0.25">
      <c r="A12" s="23">
        <v>193</v>
      </c>
      <c r="B12" s="23">
        <v>1938</v>
      </c>
      <c r="C12" s="24">
        <v>30.48</v>
      </c>
      <c r="D12" s="24">
        <v>636.36500000000001</v>
      </c>
      <c r="E12" s="24">
        <f t="shared" si="0"/>
        <v>20.878116797900262</v>
      </c>
      <c r="F12" s="25">
        <v>0.22468000699999999</v>
      </c>
      <c r="G12" s="26">
        <v>279.61990870099999</v>
      </c>
      <c r="H12" s="23">
        <v>20</v>
      </c>
    </row>
    <row r="13" spans="1:8" x14ac:dyDescent="0.25">
      <c r="A13" s="23">
        <v>192</v>
      </c>
      <c r="B13" s="23">
        <v>1938</v>
      </c>
      <c r="C13" s="24">
        <v>30.48</v>
      </c>
      <c r="D13" s="24">
        <v>723.69099999999992</v>
      </c>
      <c r="E13" s="24">
        <f t="shared" si="0"/>
        <v>23.743143044619419</v>
      </c>
      <c r="F13" s="25">
        <v>0.17527499199999999</v>
      </c>
      <c r="G13" s="26">
        <v>375.53869295700002</v>
      </c>
      <c r="H13" s="23">
        <v>20</v>
      </c>
    </row>
    <row r="14" spans="1:8" x14ac:dyDescent="0.25">
      <c r="A14" s="23">
        <v>19036</v>
      </c>
      <c r="B14" s="23">
        <v>1938</v>
      </c>
      <c r="C14" s="24">
        <v>6.2484000000000002</v>
      </c>
      <c r="D14" s="24">
        <v>332.13607999999999</v>
      </c>
      <c r="E14" s="24">
        <f t="shared" si="0"/>
        <v>53.15538057742782</v>
      </c>
      <c r="F14" s="25">
        <v>0.1744</v>
      </c>
      <c r="G14" s="26">
        <v>137.873283243</v>
      </c>
      <c r="H14" s="23">
        <v>20</v>
      </c>
    </row>
    <row r="15" spans="1:8" x14ac:dyDescent="0.25">
      <c r="A15" s="23">
        <v>133217</v>
      </c>
      <c r="B15" s="23">
        <v>1940</v>
      </c>
      <c r="C15" s="24">
        <v>30.48</v>
      </c>
      <c r="D15" s="24">
        <v>567.61900000000003</v>
      </c>
      <c r="E15" s="24">
        <f t="shared" si="0"/>
        <v>18.622670603674543</v>
      </c>
      <c r="F15" s="25">
        <v>0.22484800599999999</v>
      </c>
      <c r="G15" s="26">
        <v>634.33721198299997</v>
      </c>
      <c r="H15" s="23">
        <v>20</v>
      </c>
    </row>
    <row r="16" spans="1:8" x14ac:dyDescent="0.25">
      <c r="A16" s="23">
        <v>763</v>
      </c>
      <c r="B16" s="23">
        <v>1941</v>
      </c>
      <c r="C16" s="24">
        <v>30.48</v>
      </c>
      <c r="D16" s="24">
        <v>330.72399999999999</v>
      </c>
      <c r="E16" s="24">
        <f t="shared" si="0"/>
        <v>10.850524934383202</v>
      </c>
      <c r="F16" s="25">
        <v>0.22499200699999999</v>
      </c>
      <c r="G16" s="26">
        <v>392.38205665599997</v>
      </c>
      <c r="H16" s="23">
        <v>20</v>
      </c>
    </row>
    <row r="17" spans="1:8" x14ac:dyDescent="0.25">
      <c r="A17" s="23">
        <v>196</v>
      </c>
      <c r="B17" s="23">
        <v>1941</v>
      </c>
      <c r="C17" s="24">
        <v>30.48</v>
      </c>
      <c r="D17" s="24">
        <v>499.80199999999996</v>
      </c>
      <c r="E17" s="24">
        <f t="shared" si="0"/>
        <v>16.39770341207349</v>
      </c>
      <c r="F17" s="25">
        <v>0.22488401099999999</v>
      </c>
      <c r="G17" s="26">
        <v>786.44315097399999</v>
      </c>
      <c r="H17" s="23">
        <v>20</v>
      </c>
    </row>
    <row r="18" spans="1:8" x14ac:dyDescent="0.25">
      <c r="A18" s="23">
        <v>24985</v>
      </c>
      <c r="B18" s="23">
        <v>1942</v>
      </c>
      <c r="C18" s="24">
        <v>30.48</v>
      </c>
      <c r="D18" s="24">
        <v>331.65299999999996</v>
      </c>
      <c r="E18" s="24">
        <f t="shared" si="0"/>
        <v>10.881003937007872</v>
      </c>
      <c r="F18" s="25">
        <v>0.174930004</v>
      </c>
      <c r="G18" s="26">
        <v>372.800611188</v>
      </c>
      <c r="H18" s="23">
        <v>20</v>
      </c>
    </row>
    <row r="19" spans="1:8" x14ac:dyDescent="0.25">
      <c r="A19" s="23">
        <v>51838</v>
      </c>
      <c r="B19" s="23">
        <v>1943</v>
      </c>
      <c r="C19" s="24">
        <v>6.6446400000000008</v>
      </c>
      <c r="D19" s="24">
        <v>90.527333999999996</v>
      </c>
      <c r="E19" s="24">
        <f t="shared" si="0"/>
        <v>13.624114173228344</v>
      </c>
      <c r="F19" s="25">
        <v>0.17477699999999999</v>
      </c>
      <c r="G19" s="26">
        <v>137.795390185</v>
      </c>
      <c r="H19" s="23">
        <v>20</v>
      </c>
    </row>
    <row r="20" spans="1:8" x14ac:dyDescent="0.25">
      <c r="A20" s="23">
        <v>2748</v>
      </c>
      <c r="B20" s="23">
        <v>1944</v>
      </c>
      <c r="C20" s="24">
        <v>30.48</v>
      </c>
      <c r="D20" s="24">
        <v>330.72399999999999</v>
      </c>
      <c r="E20" s="24">
        <f t="shared" si="0"/>
        <v>10.850524934383202</v>
      </c>
      <c r="F20" s="25">
        <v>0.22499200699999999</v>
      </c>
      <c r="G20" s="26">
        <v>887.35127435899994</v>
      </c>
      <c r="H20" s="23">
        <v>20</v>
      </c>
    </row>
    <row r="21" spans="1:8" x14ac:dyDescent="0.25">
      <c r="A21" s="23">
        <v>194</v>
      </c>
      <c r="B21" s="23">
        <v>1944</v>
      </c>
      <c r="C21" s="24">
        <v>30.48</v>
      </c>
      <c r="D21" s="24">
        <v>499.80199999999996</v>
      </c>
      <c r="E21" s="24">
        <f t="shared" si="0"/>
        <v>16.39770341207349</v>
      </c>
      <c r="F21" s="25">
        <v>0.22488401099999999</v>
      </c>
      <c r="G21" s="26">
        <v>864.914514252</v>
      </c>
      <c r="H21" s="23">
        <v>20</v>
      </c>
    </row>
    <row r="22" spans="1:8" x14ac:dyDescent="0.25">
      <c r="A22" s="23">
        <v>195</v>
      </c>
      <c r="B22" s="23">
        <v>1944</v>
      </c>
      <c r="C22" s="24">
        <v>30.48</v>
      </c>
      <c r="D22" s="24">
        <v>499.80199999999996</v>
      </c>
      <c r="E22" s="24">
        <f t="shared" si="0"/>
        <v>16.39770341207349</v>
      </c>
      <c r="F22" s="25">
        <v>0.22488401099999999</v>
      </c>
      <c r="G22" s="26">
        <v>864.914514252</v>
      </c>
      <c r="H22" s="23">
        <v>20</v>
      </c>
    </row>
    <row r="23" spans="1:8" x14ac:dyDescent="0.25">
      <c r="A23" s="23">
        <v>16816</v>
      </c>
      <c r="B23" s="23">
        <v>1946</v>
      </c>
      <c r="C23" s="24">
        <v>6.7665600000000001</v>
      </c>
      <c r="D23" s="24">
        <v>247.69183799999996</v>
      </c>
      <c r="E23" s="24">
        <f t="shared" si="0"/>
        <v>36.605282152230963</v>
      </c>
      <c r="F23" s="25">
        <v>0.175346012</v>
      </c>
      <c r="G23" s="26">
        <v>545.85190068600002</v>
      </c>
      <c r="H23" s="23">
        <v>20</v>
      </c>
    </row>
    <row r="24" spans="1:8" x14ac:dyDescent="0.25">
      <c r="A24" s="23">
        <v>12601</v>
      </c>
      <c r="B24" s="23">
        <v>1946</v>
      </c>
      <c r="C24" s="24">
        <v>8.2600800000000003</v>
      </c>
      <c r="D24" s="24">
        <v>259.31177000000002</v>
      </c>
      <c r="E24" s="24">
        <f t="shared" si="0"/>
        <v>31.393372703412076</v>
      </c>
      <c r="F24" s="25">
        <v>0.17510000000000001</v>
      </c>
      <c r="G24" s="26">
        <v>4547.7881354900001</v>
      </c>
      <c r="H24" s="23">
        <v>20</v>
      </c>
    </row>
    <row r="25" spans="1:8" x14ac:dyDescent="0.25">
      <c r="A25" s="23">
        <v>19510</v>
      </c>
      <c r="B25" s="23">
        <v>1948</v>
      </c>
      <c r="C25" s="24">
        <v>6.8884800000000004</v>
      </c>
      <c r="D25" s="24">
        <v>145.28816800000001</v>
      </c>
      <c r="E25" s="24">
        <f t="shared" si="0"/>
        <v>21.091469816272966</v>
      </c>
      <c r="F25" s="25">
        <v>0.17507599300000001</v>
      </c>
      <c r="G25" s="26">
        <v>263.49391792900002</v>
      </c>
      <c r="H25" s="23">
        <v>20</v>
      </c>
    </row>
    <row r="26" spans="1:8" x14ac:dyDescent="0.25">
      <c r="A26" s="23">
        <v>75587</v>
      </c>
      <c r="B26" s="23">
        <v>1949</v>
      </c>
      <c r="C26" s="24">
        <v>30.48</v>
      </c>
      <c r="D26" s="24">
        <v>314.93099999999998</v>
      </c>
      <c r="E26" s="24">
        <f t="shared" si="0"/>
        <v>10.332381889763779</v>
      </c>
      <c r="F26" s="25">
        <v>0.22509599299999999</v>
      </c>
      <c r="G26" s="26">
        <v>20.669773194600001</v>
      </c>
      <c r="H26" s="23">
        <v>20</v>
      </c>
    </row>
    <row r="27" spans="1:8" x14ac:dyDescent="0.25">
      <c r="A27" s="23">
        <v>63160</v>
      </c>
      <c r="B27" s="23">
        <v>1949</v>
      </c>
      <c r="C27" s="24">
        <v>30.48</v>
      </c>
      <c r="D27" s="24">
        <v>1050.6990000000001</v>
      </c>
      <c r="E27" s="24">
        <f t="shared" si="0"/>
        <v>34.471751968503938</v>
      </c>
      <c r="F27" s="25">
        <v>0.17530499999999999</v>
      </c>
      <c r="G27" s="26">
        <v>629.55001437299995</v>
      </c>
      <c r="H27" s="23">
        <v>20</v>
      </c>
    </row>
    <row r="28" spans="1:8" x14ac:dyDescent="0.25">
      <c r="A28" s="23">
        <v>7946</v>
      </c>
      <c r="B28" s="23">
        <v>1950</v>
      </c>
      <c r="C28" s="24">
        <v>6.4008000000000003</v>
      </c>
      <c r="D28" s="24">
        <v>244.44777000000002</v>
      </c>
      <c r="E28" s="24">
        <f t="shared" si="0"/>
        <v>38.190190288713914</v>
      </c>
      <c r="F28" s="25">
        <v>0.17541999999999999</v>
      </c>
      <c r="G28" s="26">
        <v>958.37301851799998</v>
      </c>
      <c r="H28" s="23">
        <v>20</v>
      </c>
    </row>
    <row r="29" spans="1:8" x14ac:dyDescent="0.25">
      <c r="A29" s="23">
        <v>1988</v>
      </c>
      <c r="B29" s="23">
        <v>1953</v>
      </c>
      <c r="C29" s="24">
        <v>5.3340000000000005</v>
      </c>
      <c r="D29" s="24">
        <v>106.48662499999999</v>
      </c>
      <c r="E29" s="24">
        <f t="shared" si="0"/>
        <v>19.963746719160103</v>
      </c>
      <c r="F29" s="25">
        <v>0.17488500700000001</v>
      </c>
      <c r="G29" s="26">
        <v>9588.2571480200004</v>
      </c>
      <c r="H29" s="23">
        <v>20</v>
      </c>
    </row>
    <row r="30" spans="1:8" x14ac:dyDescent="0.25">
      <c r="A30" s="23">
        <v>2321</v>
      </c>
      <c r="B30" s="23">
        <v>1953</v>
      </c>
      <c r="C30" s="24">
        <v>30.48</v>
      </c>
      <c r="D30" s="24">
        <v>183.01300000000001</v>
      </c>
      <c r="E30" s="24">
        <f t="shared" si="0"/>
        <v>6.0043635170603675</v>
      </c>
      <c r="F30" s="25">
        <v>0.22497400000000001</v>
      </c>
      <c r="G30" s="26">
        <v>961.62953216000005</v>
      </c>
      <c r="H30" s="23">
        <v>20</v>
      </c>
    </row>
    <row r="31" spans="1:8" x14ac:dyDescent="0.25">
      <c r="A31" s="23">
        <v>23567</v>
      </c>
      <c r="B31" s="23">
        <v>1953</v>
      </c>
      <c r="C31" s="24">
        <v>30.48</v>
      </c>
      <c r="D31" s="24">
        <v>421.76599999999996</v>
      </c>
      <c r="E31" s="24">
        <f t="shared" si="0"/>
        <v>13.837467191601048</v>
      </c>
      <c r="F31" s="25">
        <v>0.225184</v>
      </c>
      <c r="G31" s="26">
        <v>522.55836579000004</v>
      </c>
      <c r="H31" s="23">
        <v>20</v>
      </c>
    </row>
    <row r="32" spans="1:8" x14ac:dyDescent="0.25">
      <c r="A32" s="23">
        <v>2210</v>
      </c>
      <c r="B32" s="23">
        <v>1953</v>
      </c>
      <c r="C32" s="24">
        <v>30.48</v>
      </c>
      <c r="D32" s="24">
        <v>501.65999999999997</v>
      </c>
      <c r="E32" s="24">
        <f t="shared" si="0"/>
        <v>16.458661417322833</v>
      </c>
      <c r="F32" s="25">
        <v>0.22518000499999999</v>
      </c>
      <c r="G32" s="26">
        <v>889.79130030900001</v>
      </c>
      <c r="H32" s="23">
        <v>20</v>
      </c>
    </row>
    <row r="33" spans="1:8" x14ac:dyDescent="0.25">
      <c r="A33" s="23">
        <v>8642</v>
      </c>
      <c r="B33" s="23">
        <v>1953</v>
      </c>
      <c r="C33" s="24">
        <v>30.48</v>
      </c>
      <c r="D33" s="24">
        <v>567.61900000000003</v>
      </c>
      <c r="E33" s="24">
        <f t="shared" si="0"/>
        <v>18.622670603674543</v>
      </c>
      <c r="F33" s="25">
        <v>0.22484800599999999</v>
      </c>
      <c r="G33" s="26">
        <v>608.37768948200005</v>
      </c>
      <c r="H33" s="23">
        <v>20</v>
      </c>
    </row>
    <row r="34" spans="1:8" x14ac:dyDescent="0.25">
      <c r="A34" s="23">
        <v>26722</v>
      </c>
      <c r="B34" s="23">
        <v>1953</v>
      </c>
      <c r="C34" s="24">
        <v>30.48</v>
      </c>
      <c r="D34" s="24">
        <v>510.95</v>
      </c>
      <c r="E34" s="24">
        <f t="shared" si="0"/>
        <v>16.763451443569554</v>
      </c>
      <c r="F34" s="25">
        <v>0.22494999500000001</v>
      </c>
      <c r="G34" s="26">
        <v>399.03262435800002</v>
      </c>
      <c r="H34" s="23">
        <v>20</v>
      </c>
    </row>
    <row r="35" spans="1:8" x14ac:dyDescent="0.25">
      <c r="A35" s="23">
        <v>2115</v>
      </c>
      <c r="B35" s="23">
        <v>1953</v>
      </c>
      <c r="C35" s="24">
        <v>10.576560000000001</v>
      </c>
      <c r="D35" s="24">
        <v>655.36397899999997</v>
      </c>
      <c r="E35" s="24">
        <f t="shared" si="0"/>
        <v>61.963812335957996</v>
      </c>
      <c r="F35" s="25">
        <v>0.174837994</v>
      </c>
      <c r="G35" s="26">
        <v>546.63152821799997</v>
      </c>
      <c r="H35" s="23">
        <v>20</v>
      </c>
    </row>
    <row r="36" spans="1:8" x14ac:dyDescent="0.25">
      <c r="A36" s="23">
        <v>1766</v>
      </c>
      <c r="B36" s="23">
        <v>1953</v>
      </c>
      <c r="C36" s="24">
        <v>8.4124800000000004</v>
      </c>
      <c r="D36" s="24">
        <v>563.06318399999998</v>
      </c>
      <c r="E36" s="24">
        <f t="shared" si="0"/>
        <v>66.931889763779523</v>
      </c>
      <c r="F36" s="25">
        <v>0.175679996</v>
      </c>
      <c r="G36" s="26">
        <v>2277.2414366500002</v>
      </c>
      <c r="H36" s="23">
        <v>20</v>
      </c>
    </row>
    <row r="37" spans="1:8" x14ac:dyDescent="0.25">
      <c r="A37" s="23">
        <v>23594</v>
      </c>
      <c r="B37" s="23">
        <v>1954</v>
      </c>
      <c r="C37" s="24">
        <v>30.48</v>
      </c>
      <c r="D37" s="24">
        <v>314.93099999999998</v>
      </c>
      <c r="E37" s="24">
        <f t="shared" si="0"/>
        <v>10.332381889763779</v>
      </c>
      <c r="F37" s="25">
        <v>0.22509599299999999</v>
      </c>
      <c r="G37" s="26">
        <v>483.23944256800002</v>
      </c>
      <c r="H37" s="23">
        <v>20</v>
      </c>
    </row>
    <row r="38" spans="1:8" x14ac:dyDescent="0.25">
      <c r="A38" s="23">
        <v>1935</v>
      </c>
      <c r="B38" s="23">
        <v>1954</v>
      </c>
      <c r="C38" s="24">
        <v>30.48</v>
      </c>
      <c r="D38" s="24">
        <v>183.01300000000001</v>
      </c>
      <c r="E38" s="24">
        <f t="shared" si="0"/>
        <v>6.0043635170603675</v>
      </c>
      <c r="F38" s="25">
        <v>0.22497400000000001</v>
      </c>
      <c r="G38" s="26">
        <v>836.62977727800001</v>
      </c>
      <c r="H38" s="23">
        <v>20</v>
      </c>
    </row>
    <row r="39" spans="1:8" x14ac:dyDescent="0.25">
      <c r="A39" s="23">
        <v>24982</v>
      </c>
      <c r="B39" s="23">
        <v>1954</v>
      </c>
      <c r="C39" s="24">
        <v>6.7665600000000001</v>
      </c>
      <c r="D39" s="24">
        <v>92.394623999999993</v>
      </c>
      <c r="E39" s="24">
        <f t="shared" si="0"/>
        <v>13.654593175853018</v>
      </c>
      <c r="F39" s="25">
        <v>0.17516799999999999</v>
      </c>
      <c r="G39" s="26">
        <v>529.90469512799996</v>
      </c>
      <c r="H39" s="23">
        <v>20</v>
      </c>
    </row>
    <row r="40" spans="1:8" x14ac:dyDescent="0.25">
      <c r="A40" s="23">
        <v>10503</v>
      </c>
      <c r="B40" s="23">
        <v>1954</v>
      </c>
      <c r="C40" s="24">
        <v>30.48</v>
      </c>
      <c r="D40" s="24">
        <v>421.76599999999996</v>
      </c>
      <c r="E40" s="24">
        <f t="shared" si="0"/>
        <v>13.837467191601048</v>
      </c>
      <c r="F40" s="25">
        <v>0.225184</v>
      </c>
      <c r="G40" s="26">
        <v>541.30381925899997</v>
      </c>
      <c r="H40" s="23">
        <v>20</v>
      </c>
    </row>
    <row r="41" spans="1:8" x14ac:dyDescent="0.25">
      <c r="A41" s="23">
        <v>23586</v>
      </c>
      <c r="B41" s="23">
        <v>1954</v>
      </c>
      <c r="C41" s="24">
        <v>7.2847200000000001</v>
      </c>
      <c r="D41" s="24">
        <v>110.571438</v>
      </c>
      <c r="E41" s="24">
        <f t="shared" si="0"/>
        <v>15.178543307086613</v>
      </c>
      <c r="F41" s="25">
        <v>0.17479800000000001</v>
      </c>
      <c r="G41" s="26">
        <v>665.27754493899999</v>
      </c>
      <c r="H41" s="23">
        <v>20</v>
      </c>
    </row>
    <row r="42" spans="1:8" x14ac:dyDescent="0.25">
      <c r="A42" s="23">
        <v>25343</v>
      </c>
      <c r="B42" s="23">
        <v>1954</v>
      </c>
      <c r="C42" s="24">
        <v>6.7665600000000001</v>
      </c>
      <c r="D42" s="24">
        <v>95.900669999999991</v>
      </c>
      <c r="E42" s="24">
        <f t="shared" si="0"/>
        <v>14.172736220472439</v>
      </c>
      <c r="F42" s="25">
        <v>0.17484</v>
      </c>
      <c r="G42" s="26">
        <v>383.356873839</v>
      </c>
      <c r="H42" s="23">
        <v>20</v>
      </c>
    </row>
    <row r="43" spans="1:8" x14ac:dyDescent="0.25">
      <c r="A43" s="23">
        <v>1817</v>
      </c>
      <c r="B43" s="23">
        <v>1954</v>
      </c>
      <c r="C43" s="24">
        <v>6.7665600000000001</v>
      </c>
      <c r="D43" s="24">
        <v>95.900669999999991</v>
      </c>
      <c r="E43" s="24">
        <f t="shared" si="0"/>
        <v>14.172736220472439</v>
      </c>
      <c r="F43" s="25">
        <v>0.17484</v>
      </c>
      <c r="G43" s="26">
        <v>483.57176509300001</v>
      </c>
      <c r="H43" s="23">
        <v>20</v>
      </c>
    </row>
    <row r="44" spans="1:8" x14ac:dyDescent="0.25">
      <c r="A44" s="23">
        <v>2248</v>
      </c>
      <c r="B44" s="23">
        <v>1954</v>
      </c>
      <c r="C44" s="24">
        <v>10.546080000000002</v>
      </c>
      <c r="D44" s="24">
        <v>398.23442999999997</v>
      </c>
      <c r="E44" s="24">
        <f t="shared" si="0"/>
        <v>37.76137010149742</v>
      </c>
      <c r="F44" s="25">
        <v>0.17449200000000001</v>
      </c>
      <c r="G44" s="26">
        <v>14304.1980551</v>
      </c>
      <c r="H44" s="23">
        <v>20</v>
      </c>
    </row>
    <row r="45" spans="1:8" x14ac:dyDescent="0.25">
      <c r="A45" s="23">
        <v>2163</v>
      </c>
      <c r="B45" s="23">
        <v>1954</v>
      </c>
      <c r="C45" s="24">
        <v>30.48</v>
      </c>
      <c r="D45" s="24">
        <v>510.02099999999996</v>
      </c>
      <c r="E45" s="24">
        <f t="shared" si="0"/>
        <v>16.732972440944881</v>
      </c>
      <c r="F45" s="25">
        <v>0.22509000000000001</v>
      </c>
      <c r="G45" s="26">
        <v>216.278352224</v>
      </c>
      <c r="H45" s="23">
        <v>20</v>
      </c>
    </row>
    <row r="46" spans="1:8" x14ac:dyDescent="0.25">
      <c r="A46" s="23">
        <v>17091</v>
      </c>
      <c r="B46" s="23">
        <v>1954</v>
      </c>
      <c r="C46" s="24">
        <v>30.48</v>
      </c>
      <c r="D46" s="24">
        <v>712.54300000000001</v>
      </c>
      <c r="E46" s="24">
        <f t="shared" si="0"/>
        <v>23.377395013123358</v>
      </c>
      <c r="F46" s="25">
        <v>0.17487599200000001</v>
      </c>
      <c r="G46" s="26">
        <v>444.31980153799998</v>
      </c>
      <c r="H46" s="23">
        <v>20</v>
      </c>
    </row>
    <row r="47" spans="1:8" x14ac:dyDescent="0.25">
      <c r="A47" s="23">
        <v>26096</v>
      </c>
      <c r="B47" s="23">
        <v>1954</v>
      </c>
      <c r="C47" s="24">
        <v>6.7665600000000001</v>
      </c>
      <c r="D47" s="24">
        <v>247.69183799999996</v>
      </c>
      <c r="E47" s="24">
        <f t="shared" si="0"/>
        <v>36.605282152230963</v>
      </c>
      <c r="F47" s="25">
        <v>0.175346012</v>
      </c>
      <c r="G47" s="26">
        <v>395.27244917600001</v>
      </c>
      <c r="H47" s="23">
        <v>20</v>
      </c>
    </row>
    <row r="48" spans="1:8" x14ac:dyDescent="0.25">
      <c r="A48" s="23">
        <v>13558</v>
      </c>
      <c r="B48" s="23">
        <v>1955</v>
      </c>
      <c r="C48" s="24">
        <v>30.48</v>
      </c>
      <c r="D48" s="24">
        <v>294.49299999999999</v>
      </c>
      <c r="E48" s="24">
        <f t="shared" si="0"/>
        <v>9.6618438320209972</v>
      </c>
      <c r="F48" s="25">
        <v>0.22506999999999999</v>
      </c>
      <c r="G48" s="26">
        <v>383.75897478600001</v>
      </c>
      <c r="H48" s="23">
        <v>20</v>
      </c>
    </row>
    <row r="49" spans="1:8" x14ac:dyDescent="0.25">
      <c r="A49" s="23">
        <v>2354</v>
      </c>
      <c r="B49" s="23">
        <v>1955</v>
      </c>
      <c r="C49" s="24">
        <v>30.48</v>
      </c>
      <c r="D49" s="24">
        <v>314.93099999999998</v>
      </c>
      <c r="E49" s="24">
        <f t="shared" si="0"/>
        <v>10.332381889763779</v>
      </c>
      <c r="F49" s="25">
        <v>0.22509599299999999</v>
      </c>
      <c r="G49" s="26">
        <v>215.623234005</v>
      </c>
      <c r="H49" s="23">
        <v>20</v>
      </c>
    </row>
    <row r="50" spans="1:8" x14ac:dyDescent="0.25">
      <c r="A50" s="23">
        <v>3977</v>
      </c>
      <c r="B50" s="23">
        <v>1955</v>
      </c>
      <c r="C50" s="24">
        <v>30.48</v>
      </c>
      <c r="D50" s="24">
        <v>421.76599999999996</v>
      </c>
      <c r="E50" s="24">
        <f t="shared" si="0"/>
        <v>13.837467191601048</v>
      </c>
      <c r="F50" s="25">
        <v>0.225184</v>
      </c>
      <c r="G50" s="26">
        <v>123.009233894</v>
      </c>
      <c r="H50" s="23">
        <v>20</v>
      </c>
    </row>
    <row r="51" spans="1:8" x14ac:dyDescent="0.25">
      <c r="A51" s="23">
        <v>17027</v>
      </c>
      <c r="B51" s="23">
        <v>1955</v>
      </c>
      <c r="C51" s="24">
        <v>30.48</v>
      </c>
      <c r="D51" s="24">
        <v>636.36500000000001</v>
      </c>
      <c r="E51" s="24">
        <f t="shared" si="0"/>
        <v>20.878116797900262</v>
      </c>
      <c r="F51" s="25">
        <v>0.22468000699999999</v>
      </c>
      <c r="G51" s="26">
        <v>378.34198681499998</v>
      </c>
      <c r="H51" s="23">
        <v>20</v>
      </c>
    </row>
    <row r="52" spans="1:8" x14ac:dyDescent="0.25">
      <c r="A52" s="23">
        <v>5328</v>
      </c>
      <c r="B52" s="23">
        <v>1955</v>
      </c>
      <c r="C52" s="24">
        <v>30.48</v>
      </c>
      <c r="D52" s="24">
        <v>636.36500000000001</v>
      </c>
      <c r="E52" s="24">
        <f t="shared" si="0"/>
        <v>20.878116797900262</v>
      </c>
      <c r="F52" s="25">
        <v>0.22468000699999999</v>
      </c>
      <c r="G52" s="26">
        <v>586.18685818400002</v>
      </c>
      <c r="H52" s="23">
        <v>20</v>
      </c>
    </row>
    <row r="53" spans="1:8" x14ac:dyDescent="0.25">
      <c r="A53" s="23">
        <v>12</v>
      </c>
      <c r="B53" s="23">
        <v>1955</v>
      </c>
      <c r="C53" s="24">
        <v>30.48</v>
      </c>
      <c r="D53" s="24">
        <v>636.36500000000001</v>
      </c>
      <c r="E53" s="24">
        <f t="shared" si="0"/>
        <v>20.878116797900262</v>
      </c>
      <c r="F53" s="25">
        <v>0.22468000699999999</v>
      </c>
      <c r="G53" s="26">
        <v>506.82240512499999</v>
      </c>
      <c r="H53" s="23">
        <v>20</v>
      </c>
    </row>
    <row r="54" spans="1:8" x14ac:dyDescent="0.25">
      <c r="A54" s="23">
        <v>5192</v>
      </c>
      <c r="B54" s="23">
        <v>1955</v>
      </c>
      <c r="C54" s="24">
        <v>9.4488000000000003</v>
      </c>
      <c r="D54" s="24">
        <v>663.81695000000002</v>
      </c>
      <c r="E54" s="24">
        <f t="shared" si="0"/>
        <v>70.254101049868765</v>
      </c>
      <c r="F54" s="25">
        <v>0.175180005</v>
      </c>
      <c r="G54" s="26">
        <v>8592.0496206600001</v>
      </c>
      <c r="H54" s="23">
        <v>20</v>
      </c>
    </row>
    <row r="55" spans="1:8" x14ac:dyDescent="0.25">
      <c r="A55" s="23">
        <v>4375</v>
      </c>
      <c r="B55" s="23">
        <v>1956</v>
      </c>
      <c r="C55" s="24">
        <v>30.48</v>
      </c>
      <c r="D55" s="24">
        <v>317.71799999999996</v>
      </c>
      <c r="E55" s="24">
        <f t="shared" si="0"/>
        <v>10.423818897637794</v>
      </c>
      <c r="F55" s="25">
        <v>0.22503599299999999</v>
      </c>
      <c r="G55" s="26">
        <v>629.75173832500002</v>
      </c>
      <c r="H55" s="23">
        <v>20</v>
      </c>
    </row>
    <row r="56" spans="1:8" x14ac:dyDescent="0.25">
      <c r="A56" s="23">
        <v>4596</v>
      </c>
      <c r="B56" s="23">
        <v>1956</v>
      </c>
      <c r="C56" s="24">
        <v>7.3761600000000005</v>
      </c>
      <c r="D56" s="24">
        <v>107.013368</v>
      </c>
      <c r="E56" s="24">
        <f t="shared" si="0"/>
        <v>14.508005249343832</v>
      </c>
      <c r="F56" s="25">
        <v>0.17516800499999999</v>
      </c>
      <c r="G56" s="26">
        <v>1113.50004704</v>
      </c>
      <c r="H56" s="23">
        <v>20</v>
      </c>
    </row>
    <row r="57" spans="1:8" x14ac:dyDescent="0.25">
      <c r="A57" s="23">
        <v>24986</v>
      </c>
      <c r="B57" s="23">
        <v>1956</v>
      </c>
      <c r="C57" s="24">
        <v>7.0104000000000006</v>
      </c>
      <c r="D57" s="24">
        <v>34.614539999999998</v>
      </c>
      <c r="E57" s="24">
        <f t="shared" si="0"/>
        <v>4.9375984251968497</v>
      </c>
      <c r="F57" s="25">
        <v>0.17496</v>
      </c>
      <c r="G57" s="26">
        <v>262.22128738800001</v>
      </c>
      <c r="H57" s="23">
        <v>20</v>
      </c>
    </row>
    <row r="58" spans="1:8" x14ac:dyDescent="0.25">
      <c r="A58" s="23">
        <v>4389</v>
      </c>
      <c r="B58" s="23">
        <v>1956</v>
      </c>
      <c r="C58" s="24">
        <v>5.2120800000000003</v>
      </c>
      <c r="D58" s="24">
        <v>94.679963999999998</v>
      </c>
      <c r="E58" s="24">
        <f t="shared" si="0"/>
        <v>18.165485564304461</v>
      </c>
      <c r="F58" s="25">
        <v>0.17522399999999999</v>
      </c>
      <c r="G58" s="26">
        <v>10453.491549099999</v>
      </c>
      <c r="H58" s="23">
        <v>20</v>
      </c>
    </row>
    <row r="59" spans="1:8" x14ac:dyDescent="0.25">
      <c r="A59" s="23">
        <v>5862</v>
      </c>
      <c r="B59" s="23">
        <v>1956</v>
      </c>
      <c r="C59" s="24">
        <v>30.48</v>
      </c>
      <c r="D59" s="24">
        <v>294.49299999999999</v>
      </c>
      <c r="E59" s="24">
        <f t="shared" si="0"/>
        <v>9.6618438320209972</v>
      </c>
      <c r="F59" s="25">
        <v>0.22506999999999999</v>
      </c>
      <c r="G59" s="26">
        <v>317.62684824000002</v>
      </c>
      <c r="H59" s="23">
        <v>20</v>
      </c>
    </row>
    <row r="60" spans="1:8" x14ac:dyDescent="0.25">
      <c r="A60" s="23">
        <v>26126</v>
      </c>
      <c r="B60" s="23">
        <v>1956</v>
      </c>
      <c r="C60" s="24">
        <v>30.48</v>
      </c>
      <c r="D60" s="24">
        <v>411.54699999999997</v>
      </c>
      <c r="E60" s="24">
        <f t="shared" si="0"/>
        <v>13.502198162729657</v>
      </c>
      <c r="F60" s="25">
        <v>0.17498499100000001</v>
      </c>
      <c r="G60" s="26">
        <v>504.70664966599998</v>
      </c>
      <c r="H60" s="23">
        <v>20</v>
      </c>
    </row>
    <row r="61" spans="1:8" x14ac:dyDescent="0.25">
      <c r="A61" s="23">
        <v>26970</v>
      </c>
      <c r="B61" s="23">
        <v>1956</v>
      </c>
      <c r="C61" s="24">
        <v>6.7665600000000001</v>
      </c>
      <c r="D61" s="24">
        <v>99.819192000000001</v>
      </c>
      <c r="E61" s="24">
        <f t="shared" si="0"/>
        <v>14.751837270341207</v>
      </c>
      <c r="F61" s="25">
        <v>0.175208005</v>
      </c>
      <c r="G61" s="26">
        <v>46.241707413299999</v>
      </c>
      <c r="H61" s="23">
        <v>20</v>
      </c>
    </row>
    <row r="62" spans="1:8" x14ac:dyDescent="0.25">
      <c r="A62" s="23">
        <v>5329</v>
      </c>
      <c r="B62" s="23">
        <v>1956</v>
      </c>
      <c r="C62" s="24">
        <v>30.48</v>
      </c>
      <c r="D62" s="24">
        <v>557.4</v>
      </c>
      <c r="E62" s="24">
        <f t="shared" si="0"/>
        <v>18.287401574803148</v>
      </c>
      <c r="F62" s="25">
        <v>0.17520000599999999</v>
      </c>
      <c r="G62" s="26">
        <v>321.78960462999999</v>
      </c>
      <c r="H62" s="23">
        <v>20</v>
      </c>
    </row>
    <row r="63" spans="1:8" x14ac:dyDescent="0.25">
      <c r="A63" s="23">
        <v>27272</v>
      </c>
      <c r="B63" s="23">
        <v>1956</v>
      </c>
      <c r="C63" s="24">
        <v>6.5227199999999996</v>
      </c>
      <c r="D63" s="24">
        <v>258.05018799999999</v>
      </c>
      <c r="E63" s="24">
        <f t="shared" si="0"/>
        <v>39.561745406824151</v>
      </c>
      <c r="F63" s="25">
        <v>0.17523</v>
      </c>
      <c r="G63" s="26">
        <v>233.80438100800001</v>
      </c>
      <c r="H63" s="23">
        <v>20</v>
      </c>
    </row>
    <row r="64" spans="1:8" x14ac:dyDescent="0.25">
      <c r="A64" s="23">
        <v>25147</v>
      </c>
      <c r="B64" s="23">
        <v>1956</v>
      </c>
      <c r="C64" s="24">
        <v>7.6809599999999998</v>
      </c>
      <c r="D64" s="24">
        <v>522.76316399999996</v>
      </c>
      <c r="E64" s="24">
        <f t="shared" si="0"/>
        <v>68.059612860892386</v>
      </c>
      <c r="F64" s="25">
        <v>0.174174</v>
      </c>
      <c r="G64" s="26">
        <v>2780.6565779799998</v>
      </c>
      <c r="H64" s="23">
        <v>20</v>
      </c>
    </row>
    <row r="65" spans="1:8" x14ac:dyDescent="0.25">
      <c r="A65" s="23">
        <v>25229</v>
      </c>
      <c r="B65" s="23">
        <v>1957</v>
      </c>
      <c r="C65" s="24">
        <v>7.0713600000000003</v>
      </c>
      <c r="D65" s="24">
        <v>54.95964</v>
      </c>
      <c r="E65" s="24">
        <f t="shared" si="0"/>
        <v>7.772145669291338</v>
      </c>
      <c r="F65" s="25">
        <v>0.174930003</v>
      </c>
      <c r="G65" s="26">
        <v>614.76745783000001</v>
      </c>
      <c r="H65" s="23">
        <v>20</v>
      </c>
    </row>
    <row r="66" spans="1:8" x14ac:dyDescent="0.25">
      <c r="A66" s="23">
        <v>10506</v>
      </c>
      <c r="B66" s="23">
        <v>1957</v>
      </c>
      <c r="C66" s="24">
        <v>30.48</v>
      </c>
      <c r="D66" s="24">
        <v>421.76599999999996</v>
      </c>
      <c r="E66" s="24">
        <f t="shared" si="0"/>
        <v>13.837467191601048</v>
      </c>
      <c r="F66" s="25">
        <v>0.225184</v>
      </c>
      <c r="G66" s="26">
        <v>611.13830123599996</v>
      </c>
      <c r="H66" s="23">
        <v>20</v>
      </c>
    </row>
    <row r="67" spans="1:8" x14ac:dyDescent="0.25">
      <c r="A67" s="23">
        <v>19986</v>
      </c>
      <c r="B67" s="23">
        <v>1957</v>
      </c>
      <c r="C67" s="24">
        <v>30.48</v>
      </c>
      <c r="D67" s="24">
        <v>499.80199999999996</v>
      </c>
      <c r="E67" s="24">
        <f t="shared" si="0"/>
        <v>16.39770341207349</v>
      </c>
      <c r="F67" s="25">
        <v>0.22488401099999999</v>
      </c>
      <c r="G67" s="26">
        <v>642.424091288</v>
      </c>
      <c r="H67" s="23">
        <v>20</v>
      </c>
    </row>
    <row r="68" spans="1:8" x14ac:dyDescent="0.25">
      <c r="A68" s="23">
        <v>8272</v>
      </c>
      <c r="B68" s="23">
        <v>1957</v>
      </c>
      <c r="C68" s="24">
        <v>30.48</v>
      </c>
      <c r="D68" s="24">
        <v>499.80199999999996</v>
      </c>
      <c r="E68" s="24">
        <f t="shared" ref="E68:E130" si="1">D68/C68</f>
        <v>16.39770341207349</v>
      </c>
      <c r="F68" s="25">
        <v>0.22488401099999999</v>
      </c>
      <c r="G68" s="26">
        <v>308.15665614099998</v>
      </c>
      <c r="H68" s="23">
        <v>20</v>
      </c>
    </row>
    <row r="69" spans="1:8" x14ac:dyDescent="0.25">
      <c r="A69" s="23">
        <v>9369</v>
      </c>
      <c r="B69" s="23">
        <v>1957</v>
      </c>
      <c r="C69" s="24">
        <v>30.48</v>
      </c>
      <c r="D69" s="24">
        <v>510.02099999999996</v>
      </c>
      <c r="E69" s="24">
        <f t="shared" si="1"/>
        <v>16.732972440944881</v>
      </c>
      <c r="F69" s="25">
        <v>0.22509000000000001</v>
      </c>
      <c r="G69" s="26">
        <v>277.24549616000002</v>
      </c>
      <c r="H69" s="23">
        <v>20</v>
      </c>
    </row>
    <row r="70" spans="1:8" x14ac:dyDescent="0.25">
      <c r="A70" s="23">
        <v>20122</v>
      </c>
      <c r="B70" s="23">
        <v>1957</v>
      </c>
      <c r="C70" s="24">
        <v>8.9611199999999993</v>
      </c>
      <c r="D70" s="24">
        <v>344.95813799999996</v>
      </c>
      <c r="E70" s="24">
        <f t="shared" si="1"/>
        <v>38.494980314960628</v>
      </c>
      <c r="F70" s="25">
        <v>0.17555699999999999</v>
      </c>
      <c r="G70" s="26">
        <v>6151.9430818999999</v>
      </c>
      <c r="H70" s="23">
        <v>20</v>
      </c>
    </row>
    <row r="71" spans="1:8" x14ac:dyDescent="0.25">
      <c r="A71" s="23">
        <v>9245</v>
      </c>
      <c r="B71" s="23">
        <v>1957</v>
      </c>
      <c r="C71" s="24">
        <v>9.5402400000000007</v>
      </c>
      <c r="D71" s="24">
        <v>726.07016899999996</v>
      </c>
      <c r="E71" s="24">
        <f t="shared" si="1"/>
        <v>76.106069553805767</v>
      </c>
      <c r="F71" s="25">
        <v>0.174789995</v>
      </c>
      <c r="G71" s="26">
        <v>7295.2316529700001</v>
      </c>
      <c r="H71" s="23">
        <v>20</v>
      </c>
    </row>
    <row r="72" spans="1:8" x14ac:dyDescent="0.25">
      <c r="A72" s="23">
        <v>22005</v>
      </c>
      <c r="B72" s="23">
        <v>1958</v>
      </c>
      <c r="C72" s="24">
        <v>30.48</v>
      </c>
      <c r="D72" s="24">
        <v>845.39</v>
      </c>
      <c r="E72" s="24">
        <f t="shared" si="1"/>
        <v>27.735892388451443</v>
      </c>
      <c r="F72" s="25">
        <v>0.224769991</v>
      </c>
      <c r="G72" s="26">
        <v>636.78690883199999</v>
      </c>
      <c r="H72" s="23">
        <v>20</v>
      </c>
    </row>
    <row r="73" spans="1:8" x14ac:dyDescent="0.25">
      <c r="A73" s="23">
        <v>32723</v>
      </c>
      <c r="B73" s="23">
        <v>1959</v>
      </c>
      <c r="C73" s="24">
        <v>30.48</v>
      </c>
      <c r="D73" s="24">
        <v>317.71799999999996</v>
      </c>
      <c r="E73" s="24">
        <f t="shared" si="1"/>
        <v>10.423818897637794</v>
      </c>
      <c r="F73" s="25">
        <v>0.22503599299999999</v>
      </c>
      <c r="G73" s="26">
        <v>513.45924588399998</v>
      </c>
      <c r="H73" s="23">
        <v>20</v>
      </c>
    </row>
    <row r="74" spans="1:8" x14ac:dyDescent="0.25">
      <c r="A74" s="23">
        <v>26845</v>
      </c>
      <c r="B74" s="23">
        <v>1959</v>
      </c>
      <c r="C74" s="24">
        <v>6.3093599999999999</v>
      </c>
      <c r="D74" s="24">
        <v>370.76018399999998</v>
      </c>
      <c r="E74" s="24">
        <f t="shared" si="1"/>
        <v>58.763517060367455</v>
      </c>
      <c r="F74" s="25">
        <v>0.200512</v>
      </c>
      <c r="G74" s="26">
        <v>621.54320741100003</v>
      </c>
      <c r="H74" s="23">
        <v>20</v>
      </c>
    </row>
    <row r="75" spans="1:8" x14ac:dyDescent="0.25">
      <c r="A75" s="23">
        <v>27239</v>
      </c>
      <c r="B75" s="23">
        <v>1960</v>
      </c>
      <c r="C75" s="24">
        <v>8.8087199999999992</v>
      </c>
      <c r="D75" s="24">
        <v>587.70490899999993</v>
      </c>
      <c r="E75" s="24">
        <f t="shared" si="1"/>
        <v>66.718536745406823</v>
      </c>
      <c r="F75" s="25">
        <v>0.175119996</v>
      </c>
      <c r="G75" s="26">
        <v>3121.8460300199999</v>
      </c>
      <c r="H75" s="23">
        <v>20</v>
      </c>
    </row>
    <row r="76" spans="1:8" x14ac:dyDescent="0.25">
      <c r="A76" s="23">
        <v>27939</v>
      </c>
      <c r="B76" s="23">
        <v>1961</v>
      </c>
      <c r="C76" s="24">
        <v>30.48</v>
      </c>
      <c r="D76" s="24">
        <v>330.72399999999999</v>
      </c>
      <c r="E76" s="24">
        <f t="shared" si="1"/>
        <v>10.850524934383202</v>
      </c>
      <c r="F76" s="25">
        <v>0.22499200699999999</v>
      </c>
      <c r="G76" s="26">
        <v>392.38205665599997</v>
      </c>
      <c r="H76" s="23">
        <v>20</v>
      </c>
    </row>
    <row r="77" spans="1:8" x14ac:dyDescent="0.25">
      <c r="A77" s="23">
        <v>28036</v>
      </c>
      <c r="B77" s="23">
        <v>1961</v>
      </c>
      <c r="C77" s="24">
        <v>5.5473600000000003</v>
      </c>
      <c r="D77" s="24">
        <v>96.712615999999997</v>
      </c>
      <c r="E77" s="24">
        <f t="shared" si="1"/>
        <v>17.433989501312336</v>
      </c>
      <c r="F77" s="25">
        <v>0.17503199999999999</v>
      </c>
      <c r="G77" s="26">
        <v>7673.3503074800001</v>
      </c>
      <c r="H77" s="23">
        <v>20</v>
      </c>
    </row>
    <row r="78" spans="1:8" x14ac:dyDescent="0.25">
      <c r="A78" s="23">
        <v>48045</v>
      </c>
      <c r="B78" s="23">
        <v>1961</v>
      </c>
      <c r="C78" s="24">
        <v>30.48</v>
      </c>
      <c r="D78" s="24">
        <v>723.69099999999992</v>
      </c>
      <c r="E78" s="24">
        <f t="shared" si="1"/>
        <v>23.743143044619419</v>
      </c>
      <c r="F78" s="25">
        <v>0.17527499199999999</v>
      </c>
      <c r="G78" s="26">
        <v>274.44530272600002</v>
      </c>
      <c r="H78" s="23">
        <v>20</v>
      </c>
    </row>
    <row r="79" spans="1:8" x14ac:dyDescent="0.25">
      <c r="A79" s="23">
        <v>27711</v>
      </c>
      <c r="B79" s="23">
        <v>1961</v>
      </c>
      <c r="C79" s="24">
        <v>6.3093599999999999</v>
      </c>
      <c r="D79" s="24">
        <v>289.99292399999996</v>
      </c>
      <c r="E79" s="24">
        <f t="shared" si="1"/>
        <v>45.962335958005241</v>
      </c>
      <c r="F79" s="25">
        <v>0.20056399999999999</v>
      </c>
      <c r="G79" s="26">
        <v>66.791734754999993</v>
      </c>
      <c r="H79" s="23">
        <v>20</v>
      </c>
    </row>
    <row r="80" spans="1:8" x14ac:dyDescent="0.25">
      <c r="A80" s="23">
        <v>28187</v>
      </c>
      <c r="B80" s="23">
        <v>1962</v>
      </c>
      <c r="C80" s="24">
        <v>6.7665600000000001</v>
      </c>
      <c r="D80" s="24">
        <v>247.69183799999996</v>
      </c>
      <c r="E80" s="24">
        <f t="shared" si="1"/>
        <v>36.605282152230963</v>
      </c>
      <c r="F80" s="25">
        <v>0.175346012</v>
      </c>
      <c r="G80" s="26">
        <v>381.75080334500001</v>
      </c>
      <c r="H80" s="23">
        <v>20</v>
      </c>
    </row>
    <row r="81" spans="1:8" x14ac:dyDescent="0.25">
      <c r="A81" s="23">
        <v>28445</v>
      </c>
      <c r="B81" s="23">
        <v>1962</v>
      </c>
      <c r="C81" s="24">
        <v>30.48</v>
      </c>
      <c r="D81" s="24">
        <v>1115.729</v>
      </c>
      <c r="E81" s="24">
        <f t="shared" si="1"/>
        <v>36.60528215223097</v>
      </c>
      <c r="F81" s="25">
        <v>0.175346012</v>
      </c>
      <c r="G81" s="26">
        <v>23.8594546307</v>
      </c>
      <c r="H81" s="23">
        <v>20</v>
      </c>
    </row>
    <row r="82" spans="1:8" x14ac:dyDescent="0.25">
      <c r="A82" s="23">
        <v>28667</v>
      </c>
      <c r="B82" s="23">
        <v>1962</v>
      </c>
      <c r="C82" s="24">
        <v>6.3703199999999995</v>
      </c>
      <c r="D82" s="24">
        <v>346.96570699999995</v>
      </c>
      <c r="E82" s="24">
        <f t="shared" si="1"/>
        <v>54.46597769028871</v>
      </c>
      <c r="F82" s="25">
        <v>0.175126002</v>
      </c>
      <c r="G82" s="26">
        <v>1618.99479621</v>
      </c>
      <c r="H82" s="23">
        <v>20</v>
      </c>
    </row>
    <row r="83" spans="1:8" x14ac:dyDescent="0.25">
      <c r="A83" s="23">
        <v>28229</v>
      </c>
      <c r="B83" s="23">
        <v>1962</v>
      </c>
      <c r="C83" s="24">
        <v>6.2484000000000002</v>
      </c>
      <c r="D83" s="24">
        <v>388.31735499999996</v>
      </c>
      <c r="E83" s="24">
        <f t="shared" si="1"/>
        <v>62.14668635170603</v>
      </c>
      <c r="F83" s="25">
        <v>0.17535399400000001</v>
      </c>
      <c r="G83" s="26">
        <v>212.92853676999999</v>
      </c>
      <c r="H83" s="23">
        <v>20</v>
      </c>
    </row>
    <row r="84" spans="1:8" x14ac:dyDescent="0.25">
      <c r="A84" s="23">
        <v>28517</v>
      </c>
      <c r="B84" s="23">
        <v>1963</v>
      </c>
      <c r="C84" s="24">
        <v>30.48</v>
      </c>
      <c r="D84" s="24">
        <v>474.71899999999999</v>
      </c>
      <c r="E84" s="24">
        <f t="shared" si="1"/>
        <v>15.574770341207349</v>
      </c>
      <c r="F84" s="25">
        <v>0.22484000000000001</v>
      </c>
      <c r="G84" s="26">
        <v>94.121198270700006</v>
      </c>
      <c r="H84" s="23">
        <v>20</v>
      </c>
    </row>
    <row r="85" spans="1:8" x14ac:dyDescent="0.25">
      <c r="A85" s="23">
        <v>53151</v>
      </c>
      <c r="B85" s="23">
        <v>1963</v>
      </c>
      <c r="C85" s="24">
        <v>9.8145600000000019</v>
      </c>
      <c r="D85" s="24">
        <v>527.38029399999994</v>
      </c>
      <c r="E85" s="24">
        <f t="shared" si="1"/>
        <v>53.734481627296567</v>
      </c>
      <c r="F85" s="25">
        <v>0.174536995</v>
      </c>
      <c r="G85" s="26">
        <v>14172.6255606</v>
      </c>
      <c r="H85" s="23">
        <v>20</v>
      </c>
    </row>
    <row r="86" spans="1:8" x14ac:dyDescent="0.25">
      <c r="A86" s="23">
        <v>28577</v>
      </c>
      <c r="B86" s="23">
        <v>1963</v>
      </c>
      <c r="C86" s="24">
        <v>30.48</v>
      </c>
      <c r="D86" s="24">
        <v>636.36500000000001</v>
      </c>
      <c r="E86" s="24">
        <f t="shared" si="1"/>
        <v>20.878116797900262</v>
      </c>
      <c r="F86" s="25">
        <v>0.22468000699999999</v>
      </c>
      <c r="G86" s="26">
        <v>263.89888660600002</v>
      </c>
      <c r="H86" s="23">
        <v>20</v>
      </c>
    </row>
    <row r="87" spans="1:8" x14ac:dyDescent="0.25">
      <c r="A87" s="23">
        <v>28840</v>
      </c>
      <c r="B87" s="23">
        <v>1963</v>
      </c>
      <c r="C87" s="24">
        <v>6.3093599999999999</v>
      </c>
      <c r="D87" s="24">
        <v>289.99292399999996</v>
      </c>
      <c r="E87" s="24">
        <f t="shared" si="1"/>
        <v>45.962335958005241</v>
      </c>
      <c r="F87" s="25">
        <v>0.20056399999999999</v>
      </c>
      <c r="G87" s="26">
        <v>92.776867726199995</v>
      </c>
      <c r="H87" s="23">
        <v>20</v>
      </c>
    </row>
    <row r="88" spans="1:8" x14ac:dyDescent="0.25">
      <c r="A88" s="23">
        <v>29298</v>
      </c>
      <c r="B88" s="23">
        <v>1963</v>
      </c>
      <c r="C88" s="24">
        <v>6.61416</v>
      </c>
      <c r="D88" s="24">
        <v>435.642473</v>
      </c>
      <c r="E88" s="24">
        <f t="shared" si="1"/>
        <v>65.865124671916007</v>
      </c>
      <c r="F88" s="25">
        <v>0.175041</v>
      </c>
      <c r="G88" s="26">
        <v>482.63708960100001</v>
      </c>
      <c r="H88" s="23">
        <v>20</v>
      </c>
    </row>
    <row r="89" spans="1:8" x14ac:dyDescent="0.25">
      <c r="A89" s="23">
        <v>29624</v>
      </c>
      <c r="B89" s="23">
        <v>1964</v>
      </c>
      <c r="C89" s="24">
        <v>8.2295999999999996</v>
      </c>
      <c r="D89" s="24">
        <v>461.77802999999994</v>
      </c>
      <c r="E89" s="24">
        <f t="shared" si="1"/>
        <v>56.111843832020995</v>
      </c>
      <c r="F89" s="25">
        <v>0.17489500399999999</v>
      </c>
      <c r="G89" s="26">
        <v>9230.1791955799999</v>
      </c>
      <c r="H89" s="23">
        <v>20</v>
      </c>
    </row>
    <row r="90" spans="1:8" x14ac:dyDescent="0.25">
      <c r="A90" s="23">
        <v>39521</v>
      </c>
      <c r="B90" s="23">
        <v>1964</v>
      </c>
      <c r="C90" s="24">
        <v>30.48</v>
      </c>
      <c r="D90" s="24">
        <v>1050.6990000000001</v>
      </c>
      <c r="E90" s="24">
        <f t="shared" si="1"/>
        <v>34.471751968503938</v>
      </c>
      <c r="F90" s="25">
        <v>0.17530499999999999</v>
      </c>
      <c r="G90" s="26">
        <v>318.38577465399999</v>
      </c>
      <c r="H90" s="23">
        <v>20</v>
      </c>
    </row>
    <row r="91" spans="1:8" x14ac:dyDescent="0.25">
      <c r="A91" s="23">
        <v>29631</v>
      </c>
      <c r="B91" s="23">
        <v>1964</v>
      </c>
      <c r="C91" s="24">
        <v>6.4008000000000003</v>
      </c>
      <c r="D91" s="24">
        <v>254.20227</v>
      </c>
      <c r="E91" s="24">
        <f t="shared" si="1"/>
        <v>39.714140419947505</v>
      </c>
      <c r="F91" s="25">
        <v>0.17541999999999999</v>
      </c>
      <c r="G91" s="26">
        <v>69.161692795899995</v>
      </c>
      <c r="H91" s="23">
        <v>20</v>
      </c>
    </row>
    <row r="92" spans="1:8" x14ac:dyDescent="0.25">
      <c r="A92" s="23">
        <v>29583</v>
      </c>
      <c r="B92" s="23">
        <v>1964</v>
      </c>
      <c r="C92" s="24">
        <v>6.3093599999999999</v>
      </c>
      <c r="D92" s="24">
        <v>264.22432199999997</v>
      </c>
      <c r="E92" s="24">
        <f t="shared" si="1"/>
        <v>41.87814960629921</v>
      </c>
      <c r="F92" s="25">
        <v>0.17449799999999999</v>
      </c>
      <c r="G92" s="26">
        <v>50.687250203700003</v>
      </c>
      <c r="H92" s="23">
        <v>20</v>
      </c>
    </row>
    <row r="93" spans="1:8" x14ac:dyDescent="0.25">
      <c r="A93" s="23">
        <v>29714</v>
      </c>
      <c r="B93" s="23">
        <v>1964</v>
      </c>
      <c r="C93" s="24">
        <v>7.2847200000000001</v>
      </c>
      <c r="D93" s="24">
        <v>469.81759599999998</v>
      </c>
      <c r="E93" s="24">
        <f t="shared" si="1"/>
        <v>64.49356955380577</v>
      </c>
      <c r="F93" s="25">
        <v>0.17562799600000001</v>
      </c>
      <c r="G93" s="26">
        <v>370.29823752099998</v>
      </c>
      <c r="H93" s="23">
        <v>20</v>
      </c>
    </row>
    <row r="94" spans="1:8" x14ac:dyDescent="0.25">
      <c r="A94" s="23">
        <v>37546</v>
      </c>
      <c r="B94" s="23">
        <v>1964</v>
      </c>
      <c r="C94" s="24">
        <v>8.1076800000000002</v>
      </c>
      <c r="D94" s="24">
        <v>612.10137799999995</v>
      </c>
      <c r="E94" s="24">
        <f t="shared" si="1"/>
        <v>75.496489501312325</v>
      </c>
      <c r="F94" s="25">
        <v>0.175866998</v>
      </c>
      <c r="G94" s="26">
        <v>5762.8477777899998</v>
      </c>
      <c r="H94" s="23">
        <v>20</v>
      </c>
    </row>
    <row r="95" spans="1:8" x14ac:dyDescent="0.25">
      <c r="A95" s="23">
        <v>30914</v>
      </c>
      <c r="B95" s="23">
        <v>1965</v>
      </c>
      <c r="C95" s="24">
        <v>10.058400000000001</v>
      </c>
      <c r="D95" s="24">
        <v>398.23442999999997</v>
      </c>
      <c r="E95" s="24">
        <f t="shared" si="1"/>
        <v>39.592224409448811</v>
      </c>
      <c r="F95" s="25">
        <v>0.17536499999999999</v>
      </c>
      <c r="G95" s="26">
        <v>14954.884020400001</v>
      </c>
      <c r="H95" s="23">
        <v>20</v>
      </c>
    </row>
    <row r="96" spans="1:8" x14ac:dyDescent="0.25">
      <c r="A96" s="23">
        <v>31086</v>
      </c>
      <c r="B96" s="23">
        <v>1965</v>
      </c>
      <c r="C96" s="24">
        <v>9.3878400000000006</v>
      </c>
      <c r="D96" s="24">
        <v>480.41562799999997</v>
      </c>
      <c r="E96" s="24">
        <f t="shared" si="1"/>
        <v>51.174245406824141</v>
      </c>
      <c r="F96" s="25">
        <v>0.17461599999999999</v>
      </c>
      <c r="G96" s="26">
        <v>13539.0152984</v>
      </c>
      <c r="H96" s="23">
        <v>20</v>
      </c>
    </row>
    <row r="97" spans="1:8" x14ac:dyDescent="0.25">
      <c r="A97" s="23">
        <v>31085</v>
      </c>
      <c r="B97" s="23">
        <v>1965</v>
      </c>
      <c r="C97" s="24">
        <v>11.795760000000001</v>
      </c>
      <c r="D97" s="24">
        <v>871.12422900000001</v>
      </c>
      <c r="E97" s="24">
        <f t="shared" si="1"/>
        <v>73.850623359580041</v>
      </c>
      <c r="F97" s="25">
        <v>0.174456002</v>
      </c>
      <c r="G97" s="26">
        <v>10597.7872852</v>
      </c>
      <c r="H97" s="23">
        <v>20</v>
      </c>
    </row>
    <row r="98" spans="1:8" x14ac:dyDescent="0.25">
      <c r="A98" s="23">
        <v>31760</v>
      </c>
      <c r="B98" s="23">
        <v>1965</v>
      </c>
      <c r="C98" s="24">
        <v>8.0162399999999998</v>
      </c>
      <c r="D98" s="24">
        <v>438.42482799999993</v>
      </c>
      <c r="E98" s="24">
        <f t="shared" si="1"/>
        <v>54.692078580481613</v>
      </c>
      <c r="F98" s="25">
        <v>0.17502799999999999</v>
      </c>
      <c r="G98" s="26">
        <v>8508.6975526499991</v>
      </c>
      <c r="H98" s="23">
        <v>20</v>
      </c>
    </row>
    <row r="99" spans="1:8" x14ac:dyDescent="0.25">
      <c r="A99" s="23">
        <v>30332</v>
      </c>
      <c r="B99" s="23">
        <v>1965</v>
      </c>
      <c r="C99" s="24">
        <v>11.46048</v>
      </c>
      <c r="D99" s="24">
        <v>832.74073599999997</v>
      </c>
      <c r="E99" s="24">
        <f t="shared" si="1"/>
        <v>72.661942257217845</v>
      </c>
      <c r="F99" s="25">
        <v>0.17403200699999999</v>
      </c>
      <c r="G99" s="26">
        <v>9036.7342775699999</v>
      </c>
      <c r="H99" s="23">
        <v>20</v>
      </c>
    </row>
    <row r="100" spans="1:8" x14ac:dyDescent="0.25">
      <c r="A100" s="23">
        <v>30328</v>
      </c>
      <c r="B100" s="23">
        <v>1965</v>
      </c>
      <c r="C100" s="24">
        <v>10.210800000000001</v>
      </c>
      <c r="D100" s="24">
        <v>676.89262499999995</v>
      </c>
      <c r="E100" s="24">
        <f t="shared" si="1"/>
        <v>66.291830708661408</v>
      </c>
      <c r="F100" s="25">
        <v>0.17399999599999999</v>
      </c>
      <c r="G100" s="26">
        <v>5384.6965147700002</v>
      </c>
      <c r="H100" s="23">
        <v>20</v>
      </c>
    </row>
    <row r="101" spans="1:8" x14ac:dyDescent="0.25">
      <c r="A101" s="23">
        <v>30991</v>
      </c>
      <c r="B101" s="23">
        <v>1965</v>
      </c>
      <c r="C101" s="24">
        <v>6.3093599999999999</v>
      </c>
      <c r="D101" s="24">
        <v>289.99292399999996</v>
      </c>
      <c r="E101" s="24">
        <f t="shared" si="1"/>
        <v>45.962335958005241</v>
      </c>
      <c r="F101" s="25">
        <v>0.19922599999999999</v>
      </c>
      <c r="G101" s="26">
        <v>29.344284510400001</v>
      </c>
      <c r="H101" s="23">
        <v>20</v>
      </c>
    </row>
    <row r="102" spans="1:8" x14ac:dyDescent="0.25">
      <c r="A102" s="23">
        <v>53370</v>
      </c>
      <c r="B102" s="23">
        <v>1966</v>
      </c>
      <c r="C102" s="24">
        <v>6.7665600000000001</v>
      </c>
      <c r="D102" s="24">
        <v>92.394623999999993</v>
      </c>
      <c r="E102" s="24">
        <f t="shared" si="1"/>
        <v>13.654593175853018</v>
      </c>
      <c r="F102" s="25">
        <v>0.17516799999999999</v>
      </c>
      <c r="G102" s="26">
        <v>613.61000741299995</v>
      </c>
      <c r="H102" s="23">
        <v>20</v>
      </c>
    </row>
    <row r="103" spans="1:8" x14ac:dyDescent="0.25">
      <c r="A103" s="23">
        <v>32970</v>
      </c>
      <c r="B103" s="23">
        <v>1966</v>
      </c>
      <c r="C103" s="24">
        <v>8.6867999999999999</v>
      </c>
      <c r="D103" s="24">
        <v>492.727665</v>
      </c>
      <c r="E103" s="24">
        <f t="shared" si="1"/>
        <v>56.721423884514437</v>
      </c>
      <c r="F103" s="25">
        <v>0.17493400000000001</v>
      </c>
      <c r="G103" s="26">
        <v>16543.730814499999</v>
      </c>
      <c r="H103" s="23">
        <v>20</v>
      </c>
    </row>
    <row r="104" spans="1:8" x14ac:dyDescent="0.25">
      <c r="A104" s="23">
        <v>32321</v>
      </c>
      <c r="B104" s="23">
        <v>1966</v>
      </c>
      <c r="C104" s="24">
        <v>30.48</v>
      </c>
      <c r="D104" s="24">
        <v>845.39</v>
      </c>
      <c r="E104" s="24">
        <f t="shared" si="1"/>
        <v>27.735892388451443</v>
      </c>
      <c r="F104" s="25">
        <v>0.224769991</v>
      </c>
      <c r="G104" s="26">
        <v>184.88454273599999</v>
      </c>
      <c r="H104" s="23">
        <v>20</v>
      </c>
    </row>
    <row r="105" spans="1:8" x14ac:dyDescent="0.25">
      <c r="A105" s="23">
        <v>32907</v>
      </c>
      <c r="B105" s="23">
        <v>1966</v>
      </c>
      <c r="C105" s="24">
        <v>9.5402400000000007</v>
      </c>
      <c r="D105" s="24">
        <v>726.07016899999996</v>
      </c>
      <c r="E105" s="24">
        <f t="shared" si="1"/>
        <v>76.106069553805767</v>
      </c>
      <c r="F105" s="25">
        <v>0.174789995</v>
      </c>
      <c r="G105" s="26">
        <v>8153.6804567600002</v>
      </c>
      <c r="H105" s="23">
        <v>20</v>
      </c>
    </row>
    <row r="106" spans="1:8" x14ac:dyDescent="0.25">
      <c r="A106" s="23">
        <v>34449</v>
      </c>
      <c r="B106" s="23">
        <v>1967</v>
      </c>
      <c r="C106" s="24">
        <v>8.9306400000000004</v>
      </c>
      <c r="D106" s="24">
        <v>550.92672799999991</v>
      </c>
      <c r="E106" s="24">
        <f t="shared" si="1"/>
        <v>61.689501312335949</v>
      </c>
      <c r="F106" s="25">
        <v>0.174063994</v>
      </c>
      <c r="G106" s="26">
        <v>5792.29811445</v>
      </c>
      <c r="H106" s="23">
        <v>20</v>
      </c>
    </row>
    <row r="107" spans="1:8" x14ac:dyDescent="0.25">
      <c r="A107" s="23">
        <v>34738</v>
      </c>
      <c r="B107" s="23">
        <v>1967</v>
      </c>
      <c r="C107" s="24">
        <v>8.6563199999999991</v>
      </c>
      <c r="D107" s="24">
        <v>613.68253600000003</v>
      </c>
      <c r="E107" s="24">
        <f t="shared" si="1"/>
        <v>70.894160104986881</v>
      </c>
      <c r="F107" s="25">
        <v>0.17445000199999999</v>
      </c>
      <c r="G107" s="26">
        <v>3937.4272540400002</v>
      </c>
      <c r="H107" s="23">
        <v>20</v>
      </c>
    </row>
    <row r="108" spans="1:8" x14ac:dyDescent="0.25">
      <c r="A108" s="23">
        <v>34589</v>
      </c>
      <c r="B108" s="23">
        <v>1967</v>
      </c>
      <c r="C108" s="24">
        <v>9.0525599999999997</v>
      </c>
      <c r="D108" s="24">
        <v>644.25685499999997</v>
      </c>
      <c r="E108" s="24">
        <f t="shared" si="1"/>
        <v>71.168471128608928</v>
      </c>
      <c r="F108" s="25">
        <v>0.175125002</v>
      </c>
      <c r="G108" s="26">
        <v>4107.4202897799996</v>
      </c>
      <c r="H108" s="23">
        <v>20</v>
      </c>
    </row>
    <row r="109" spans="1:8" x14ac:dyDescent="0.25">
      <c r="A109" s="23">
        <v>37567</v>
      </c>
      <c r="B109" s="23">
        <v>1968</v>
      </c>
      <c r="C109" s="24">
        <v>30.48</v>
      </c>
      <c r="D109" s="24">
        <v>330.72399999999999</v>
      </c>
      <c r="E109" s="24">
        <f t="shared" si="1"/>
        <v>10.850524934383202</v>
      </c>
      <c r="F109" s="25">
        <v>0.22499200699999999</v>
      </c>
      <c r="G109" s="26">
        <v>417.32700929700002</v>
      </c>
      <c r="H109" s="23">
        <v>20</v>
      </c>
    </row>
    <row r="110" spans="1:8" x14ac:dyDescent="0.25">
      <c r="A110" s="23">
        <v>36358</v>
      </c>
      <c r="B110" s="23">
        <v>1968</v>
      </c>
      <c r="C110" s="24">
        <v>5.8521600000000005</v>
      </c>
      <c r="D110" s="24">
        <v>127.88985600000001</v>
      </c>
      <c r="E110" s="24">
        <f t="shared" si="1"/>
        <v>21.853444881889764</v>
      </c>
      <c r="F110" s="25">
        <v>0.17494799999999999</v>
      </c>
      <c r="G110" s="26">
        <v>5855.8793255099999</v>
      </c>
      <c r="H110" s="23">
        <v>20</v>
      </c>
    </row>
    <row r="111" spans="1:8" x14ac:dyDescent="0.25">
      <c r="A111" s="23">
        <v>38302</v>
      </c>
      <c r="B111" s="23">
        <v>1968</v>
      </c>
      <c r="C111" s="24">
        <v>7.8638400000000006</v>
      </c>
      <c r="D111" s="24">
        <v>393.79752599999995</v>
      </c>
      <c r="E111" s="24">
        <f t="shared" si="1"/>
        <v>50.077001312335945</v>
      </c>
      <c r="F111" s="25">
        <v>0.17580100000000001</v>
      </c>
      <c r="G111" s="26">
        <v>15590.438437000001</v>
      </c>
      <c r="H111" s="23">
        <v>20</v>
      </c>
    </row>
    <row r="112" spans="1:8" x14ac:dyDescent="0.25">
      <c r="A112" s="23">
        <v>36249</v>
      </c>
      <c r="B112" s="23">
        <v>1968</v>
      </c>
      <c r="C112" s="24">
        <v>30.48</v>
      </c>
      <c r="D112" s="24">
        <v>501.65999999999997</v>
      </c>
      <c r="E112" s="24">
        <f t="shared" si="1"/>
        <v>16.458661417322833</v>
      </c>
      <c r="F112" s="25">
        <v>0.22518000499999999</v>
      </c>
      <c r="G112" s="26">
        <v>1205.5386096499999</v>
      </c>
      <c r="H112" s="23">
        <v>20</v>
      </c>
    </row>
    <row r="113" spans="1:8" x14ac:dyDescent="0.25">
      <c r="A113" s="23">
        <v>37749</v>
      </c>
      <c r="B113" s="23">
        <v>1968</v>
      </c>
      <c r="C113" s="24">
        <v>12.100560000000002</v>
      </c>
      <c r="D113" s="24">
        <v>827.61637199999996</v>
      </c>
      <c r="E113" s="24">
        <f t="shared" si="1"/>
        <v>68.394881889763766</v>
      </c>
      <c r="F113" s="25">
        <v>0.17503199999999999</v>
      </c>
      <c r="G113" s="26">
        <v>14969.5801818</v>
      </c>
      <c r="H113" s="23">
        <v>20</v>
      </c>
    </row>
    <row r="114" spans="1:8" x14ac:dyDescent="0.25">
      <c r="A114" s="23">
        <v>37748</v>
      </c>
      <c r="B114" s="23">
        <v>1968</v>
      </c>
      <c r="C114" s="24">
        <v>11.551920000000001</v>
      </c>
      <c r="D114" s="24">
        <v>755.58728599999995</v>
      </c>
      <c r="E114" s="24">
        <f t="shared" si="1"/>
        <v>65.407939632545919</v>
      </c>
      <c r="F114" s="25">
        <v>0.17597200399999999</v>
      </c>
      <c r="G114" s="26">
        <v>14760.4285691</v>
      </c>
      <c r="H114" s="23">
        <v>20</v>
      </c>
    </row>
    <row r="115" spans="1:8" x14ac:dyDescent="0.25">
      <c r="A115" s="23">
        <v>37750</v>
      </c>
      <c r="B115" s="23">
        <v>1968</v>
      </c>
      <c r="C115" s="24">
        <v>11.948160000000001</v>
      </c>
      <c r="D115" s="24">
        <v>861.25731999999994</v>
      </c>
      <c r="E115" s="24">
        <f t="shared" si="1"/>
        <v>72.082841207349063</v>
      </c>
      <c r="F115" s="25">
        <v>0.175009998</v>
      </c>
      <c r="G115" s="26">
        <v>12528.6464634</v>
      </c>
      <c r="H115" s="23">
        <v>20</v>
      </c>
    </row>
    <row r="116" spans="1:8" x14ac:dyDescent="0.25">
      <c r="A116" s="23">
        <v>39788</v>
      </c>
      <c r="B116" s="23">
        <v>1968</v>
      </c>
      <c r="C116" s="24">
        <v>30.48</v>
      </c>
      <c r="D116" s="24">
        <v>627.07499999999993</v>
      </c>
      <c r="E116" s="24">
        <f t="shared" si="1"/>
        <v>20.573326771653541</v>
      </c>
      <c r="F116" s="25">
        <v>0.224775</v>
      </c>
      <c r="G116" s="26">
        <v>615.73906228800001</v>
      </c>
      <c r="H116" s="23">
        <v>20</v>
      </c>
    </row>
    <row r="117" spans="1:8" x14ac:dyDescent="0.25">
      <c r="A117" s="23">
        <v>48046</v>
      </c>
      <c r="B117" s="23">
        <v>1968</v>
      </c>
      <c r="C117" s="24">
        <v>6.5836800000000011</v>
      </c>
      <c r="D117" s="24">
        <v>140.26413599999998</v>
      </c>
      <c r="E117" s="24">
        <f t="shared" si="1"/>
        <v>21.304822834645663</v>
      </c>
      <c r="F117" s="25">
        <v>0.17474999299999999</v>
      </c>
      <c r="G117" s="26">
        <v>282.922308789</v>
      </c>
      <c r="H117" s="23">
        <v>20</v>
      </c>
    </row>
    <row r="118" spans="1:8" x14ac:dyDescent="0.25">
      <c r="A118" s="23">
        <v>37489</v>
      </c>
      <c r="B118" s="23">
        <v>1968</v>
      </c>
      <c r="C118" s="24">
        <v>9.6012000000000004</v>
      </c>
      <c r="D118" s="24">
        <v>614.24086499999999</v>
      </c>
      <c r="E118" s="24">
        <f t="shared" si="1"/>
        <v>63.975426509186349</v>
      </c>
      <c r="F118" s="25">
        <v>0.17421699600000001</v>
      </c>
      <c r="G118" s="26">
        <v>7319.1844861199997</v>
      </c>
      <c r="H118" s="23">
        <v>20</v>
      </c>
    </row>
    <row r="119" spans="1:8" x14ac:dyDescent="0.25">
      <c r="A119" s="23">
        <v>37549</v>
      </c>
      <c r="B119" s="23">
        <v>1968</v>
      </c>
      <c r="C119" s="24">
        <v>7.8943199999999996</v>
      </c>
      <c r="D119" s="24">
        <v>456.19845600000002</v>
      </c>
      <c r="E119" s="24">
        <f t="shared" si="1"/>
        <v>57.78818897637796</v>
      </c>
      <c r="F119" s="25">
        <v>0.174432004</v>
      </c>
      <c r="G119" s="26">
        <v>5694.3434600099999</v>
      </c>
      <c r="H119" s="23">
        <v>20</v>
      </c>
    </row>
    <row r="120" spans="1:8" x14ac:dyDescent="0.25">
      <c r="A120" s="23">
        <v>37025</v>
      </c>
      <c r="B120" s="23">
        <v>1968</v>
      </c>
      <c r="C120" s="24">
        <v>6.4617599999999999</v>
      </c>
      <c r="D120" s="24">
        <v>236.92844400000001</v>
      </c>
      <c r="E120" s="24">
        <f t="shared" si="1"/>
        <v>36.666240157480317</v>
      </c>
      <c r="F120" s="25">
        <v>0.17443500000000001</v>
      </c>
      <c r="G120" s="26">
        <v>618.67388354000002</v>
      </c>
      <c r="H120" s="23">
        <v>20</v>
      </c>
    </row>
    <row r="121" spans="1:8" x14ac:dyDescent="0.25">
      <c r="A121" s="23">
        <v>36752</v>
      </c>
      <c r="B121" s="23">
        <v>1968</v>
      </c>
      <c r="C121" s="24">
        <v>6.3703199999999995</v>
      </c>
      <c r="D121" s="24">
        <v>346.96570699999995</v>
      </c>
      <c r="E121" s="24">
        <f t="shared" si="1"/>
        <v>54.46597769028871</v>
      </c>
      <c r="F121" s="25">
        <v>0.175126002</v>
      </c>
      <c r="G121" s="26">
        <v>138.665069598</v>
      </c>
      <c r="H121" s="23">
        <v>20</v>
      </c>
    </row>
    <row r="122" spans="1:8" x14ac:dyDescent="0.25">
      <c r="A122" s="23">
        <v>36751</v>
      </c>
      <c r="B122" s="23">
        <v>1968</v>
      </c>
      <c r="C122" s="24">
        <v>6.3703199999999995</v>
      </c>
      <c r="D122" s="24">
        <v>346.96570699999995</v>
      </c>
      <c r="E122" s="24">
        <f t="shared" si="1"/>
        <v>54.46597769028871</v>
      </c>
      <c r="F122" s="25">
        <v>0.175126002</v>
      </c>
      <c r="G122" s="26">
        <v>152.63885855800001</v>
      </c>
      <c r="H122" s="23">
        <v>20</v>
      </c>
    </row>
    <row r="123" spans="1:8" x14ac:dyDescent="0.25">
      <c r="A123" s="23">
        <v>37339</v>
      </c>
      <c r="B123" s="23">
        <v>1968</v>
      </c>
      <c r="C123" s="24">
        <v>6.2484000000000002</v>
      </c>
      <c r="D123" s="24">
        <v>332.13607999999999</v>
      </c>
      <c r="E123" s="24">
        <f t="shared" si="1"/>
        <v>53.15538057742782</v>
      </c>
      <c r="F123" s="25">
        <v>0.1744</v>
      </c>
      <c r="G123" s="26">
        <v>1.81916901001</v>
      </c>
      <c r="H123" s="23">
        <v>20</v>
      </c>
    </row>
    <row r="124" spans="1:8" x14ac:dyDescent="0.25">
      <c r="A124" s="23">
        <v>35862</v>
      </c>
      <c r="B124" s="23">
        <v>1968</v>
      </c>
      <c r="C124" s="24">
        <v>10.149839999999999</v>
      </c>
      <c r="D124" s="24">
        <v>666.35497799999996</v>
      </c>
      <c r="E124" s="24">
        <f t="shared" si="1"/>
        <v>65.651771653543307</v>
      </c>
      <c r="F124" s="25">
        <v>0.17447399999999999</v>
      </c>
      <c r="G124" s="26">
        <v>1352.0848726300001</v>
      </c>
      <c r="H124" s="23">
        <v>20</v>
      </c>
    </row>
    <row r="125" spans="1:8" x14ac:dyDescent="0.25">
      <c r="A125" s="23">
        <v>37577</v>
      </c>
      <c r="B125" s="23">
        <v>1968</v>
      </c>
      <c r="C125" s="24">
        <v>6.7360800000000012</v>
      </c>
      <c r="D125" s="24">
        <v>446.95769300000001</v>
      </c>
      <c r="E125" s="24">
        <f t="shared" si="1"/>
        <v>66.352788713910755</v>
      </c>
      <c r="F125" s="25">
        <v>0.17415999600000001</v>
      </c>
      <c r="G125" s="26">
        <v>2871.9295285399999</v>
      </c>
      <c r="H125" s="23">
        <v>20</v>
      </c>
    </row>
    <row r="126" spans="1:8" x14ac:dyDescent="0.25">
      <c r="A126" s="23">
        <v>35861</v>
      </c>
      <c r="B126" s="23">
        <v>1968</v>
      </c>
      <c r="C126" s="24">
        <v>10.149839999999999</v>
      </c>
      <c r="D126" s="24">
        <v>666.35497799999996</v>
      </c>
      <c r="E126" s="24">
        <f t="shared" si="1"/>
        <v>65.651771653543307</v>
      </c>
      <c r="F126" s="25">
        <v>0.17447399999999999</v>
      </c>
      <c r="G126" s="26">
        <v>1705.4168252899999</v>
      </c>
      <c r="H126" s="23">
        <v>20</v>
      </c>
    </row>
    <row r="127" spans="1:8" x14ac:dyDescent="0.25">
      <c r="A127" s="23">
        <v>36161</v>
      </c>
      <c r="B127" s="23">
        <v>1968</v>
      </c>
      <c r="C127" s="24">
        <v>8.2295999999999996</v>
      </c>
      <c r="D127" s="24">
        <v>584.68472999999994</v>
      </c>
      <c r="E127" s="24">
        <f t="shared" si="1"/>
        <v>71.046555118110234</v>
      </c>
      <c r="F127" s="25">
        <v>0.17482500200000001</v>
      </c>
      <c r="G127" s="26">
        <v>4716.7277667500002</v>
      </c>
      <c r="H127" s="23">
        <v>20</v>
      </c>
    </row>
    <row r="128" spans="1:8" x14ac:dyDescent="0.25">
      <c r="A128" s="23">
        <v>36943</v>
      </c>
      <c r="B128" s="23">
        <v>1968</v>
      </c>
      <c r="C128" s="24">
        <v>6.7360800000000012</v>
      </c>
      <c r="D128" s="24">
        <v>535.44587200000001</v>
      </c>
      <c r="E128" s="24">
        <f t="shared" si="1"/>
        <v>79.489238845144342</v>
      </c>
      <c r="F128" s="25">
        <v>0.17473599500000001</v>
      </c>
      <c r="G128" s="26">
        <v>5877.0816054699999</v>
      </c>
      <c r="H128" s="23">
        <v>20</v>
      </c>
    </row>
    <row r="129" spans="1:8" x14ac:dyDescent="0.25">
      <c r="A129" s="23">
        <v>37547</v>
      </c>
      <c r="B129" s="23">
        <v>1968</v>
      </c>
      <c r="C129" s="24">
        <v>8.1076800000000002</v>
      </c>
      <c r="D129" s="24">
        <v>612.10137799999995</v>
      </c>
      <c r="E129" s="24">
        <f t="shared" si="1"/>
        <v>75.496489501312325</v>
      </c>
      <c r="F129" s="25">
        <v>0.175866998</v>
      </c>
      <c r="G129" s="26">
        <v>5248.4148828099997</v>
      </c>
      <c r="H129" s="23">
        <v>20</v>
      </c>
    </row>
    <row r="130" spans="1:8" x14ac:dyDescent="0.25">
      <c r="A130" s="23">
        <v>36683</v>
      </c>
      <c r="B130" s="23">
        <v>1968</v>
      </c>
      <c r="C130" s="24">
        <v>8.3515200000000007</v>
      </c>
      <c r="D130" s="24">
        <v>668.43779599999993</v>
      </c>
      <c r="E130" s="24">
        <f t="shared" si="1"/>
        <v>80.037860892388437</v>
      </c>
      <c r="F130" s="25">
        <v>0.17594199499999999</v>
      </c>
      <c r="G130" s="26">
        <v>7060.98779208</v>
      </c>
      <c r="H130" s="23">
        <v>20</v>
      </c>
    </row>
    <row r="131" spans="1:8" x14ac:dyDescent="0.25">
      <c r="A131" s="23">
        <v>36414</v>
      </c>
      <c r="B131" s="23">
        <v>1968</v>
      </c>
      <c r="C131" s="24">
        <v>7.8333599999999999</v>
      </c>
      <c r="D131" s="24">
        <v>608.34264399999995</v>
      </c>
      <c r="E131" s="24">
        <f t="shared" ref="E131:E192" si="2">D131/C131</f>
        <v>77.660498687664031</v>
      </c>
      <c r="F131" s="25">
        <v>0.17581200499999999</v>
      </c>
      <c r="G131" s="26">
        <v>9332.25537945</v>
      </c>
      <c r="H131" s="23">
        <v>20</v>
      </c>
    </row>
    <row r="132" spans="1:8" x14ac:dyDescent="0.25">
      <c r="A132" s="23">
        <v>35817</v>
      </c>
      <c r="B132" s="23">
        <v>1968</v>
      </c>
      <c r="C132" s="24">
        <v>8.6563199999999991</v>
      </c>
      <c r="D132" s="24">
        <v>715.25939599999992</v>
      </c>
      <c r="E132" s="24">
        <f t="shared" si="2"/>
        <v>82.628576115485558</v>
      </c>
      <c r="F132" s="25">
        <v>0.17621500000000001</v>
      </c>
      <c r="G132" s="26">
        <v>9304.5713850800003</v>
      </c>
      <c r="H132" s="23">
        <v>20</v>
      </c>
    </row>
    <row r="133" spans="1:8" x14ac:dyDescent="0.25">
      <c r="A133" s="23">
        <v>35816</v>
      </c>
      <c r="B133" s="23">
        <v>1968</v>
      </c>
      <c r="C133" s="24">
        <v>9.0830400000000004</v>
      </c>
      <c r="D133" s="24">
        <v>722.55762000000004</v>
      </c>
      <c r="E133" s="24">
        <f t="shared" si="2"/>
        <v>79.550196850393704</v>
      </c>
      <c r="F133" s="25">
        <v>0.174869995</v>
      </c>
      <c r="G133" s="26">
        <v>8996.1586286799993</v>
      </c>
      <c r="H133" s="23">
        <v>20</v>
      </c>
    </row>
    <row r="134" spans="1:8" x14ac:dyDescent="0.25">
      <c r="A134" s="23">
        <v>38574</v>
      </c>
      <c r="B134" s="23">
        <v>1969</v>
      </c>
      <c r="C134" s="24">
        <v>5.4559199999999999</v>
      </c>
      <c r="D134" s="24">
        <v>112.57900699999999</v>
      </c>
      <c r="E134" s="24">
        <f t="shared" si="2"/>
        <v>20.634284776902884</v>
      </c>
      <c r="F134" s="25">
        <v>0.17466600700000001</v>
      </c>
      <c r="G134" s="26">
        <v>9811.8961684299993</v>
      </c>
      <c r="H134" s="23">
        <v>20</v>
      </c>
    </row>
    <row r="135" spans="1:8" x14ac:dyDescent="0.25">
      <c r="A135" s="23">
        <v>66495</v>
      </c>
      <c r="B135" s="23">
        <v>1969</v>
      </c>
      <c r="C135" s="24">
        <v>5.7302400000000002</v>
      </c>
      <c r="D135" s="24">
        <v>150.899328</v>
      </c>
      <c r="E135" s="24">
        <f t="shared" si="2"/>
        <v>26.333858267716533</v>
      </c>
      <c r="F135" s="25">
        <v>0.17539200899999999</v>
      </c>
      <c r="G135" s="26">
        <v>7671.6273729900004</v>
      </c>
      <c r="H135" s="23">
        <v>20</v>
      </c>
    </row>
    <row r="136" spans="1:8" x14ac:dyDescent="0.25">
      <c r="A136" s="23">
        <v>61304</v>
      </c>
      <c r="B136" s="23">
        <v>1969</v>
      </c>
      <c r="C136" s="24">
        <v>30.48</v>
      </c>
      <c r="D136" s="24">
        <v>501.65999999999997</v>
      </c>
      <c r="E136" s="24">
        <f t="shared" si="2"/>
        <v>16.458661417322833</v>
      </c>
      <c r="F136" s="25">
        <v>0.22518000499999999</v>
      </c>
      <c r="G136" s="26">
        <v>950.11191917999997</v>
      </c>
      <c r="H136" s="23">
        <v>20</v>
      </c>
    </row>
    <row r="137" spans="1:8" x14ac:dyDescent="0.25">
      <c r="A137" s="23">
        <v>38107</v>
      </c>
      <c r="B137" s="23">
        <v>1969</v>
      </c>
      <c r="C137" s="24">
        <v>9.1440000000000001</v>
      </c>
      <c r="D137" s="24">
        <v>510.02099999999996</v>
      </c>
      <c r="E137" s="24">
        <f t="shared" si="2"/>
        <v>55.7765748031496</v>
      </c>
      <c r="F137" s="25">
        <v>0.175679996</v>
      </c>
      <c r="G137" s="26">
        <v>11872.658384599999</v>
      </c>
      <c r="H137" s="23">
        <v>20</v>
      </c>
    </row>
    <row r="138" spans="1:8" x14ac:dyDescent="0.25">
      <c r="A138" s="23">
        <v>39364</v>
      </c>
      <c r="B138" s="23">
        <v>1969</v>
      </c>
      <c r="C138" s="24">
        <v>10.454639999999999</v>
      </c>
      <c r="D138" s="24">
        <v>719.18627900000001</v>
      </c>
      <c r="E138" s="24">
        <f t="shared" si="2"/>
        <v>68.791108923884522</v>
      </c>
      <c r="F138" s="25">
        <v>0.17604600000000001</v>
      </c>
      <c r="G138" s="26">
        <v>11364.8293557</v>
      </c>
      <c r="H138" s="23">
        <v>20</v>
      </c>
    </row>
    <row r="139" spans="1:8" x14ac:dyDescent="0.25">
      <c r="A139" s="23">
        <v>39195</v>
      </c>
      <c r="B139" s="23">
        <v>1969</v>
      </c>
      <c r="C139" s="24">
        <v>7.0713600000000003</v>
      </c>
      <c r="D139" s="24">
        <v>380.19139200000001</v>
      </c>
      <c r="E139" s="24">
        <f t="shared" si="2"/>
        <v>53.764960629921255</v>
      </c>
      <c r="F139" s="25">
        <v>0.17463599499999999</v>
      </c>
      <c r="G139" s="26">
        <v>8144.2970199800002</v>
      </c>
      <c r="H139" s="23">
        <v>20</v>
      </c>
    </row>
    <row r="140" spans="1:8" x14ac:dyDescent="0.25">
      <c r="A140" s="23">
        <v>39228</v>
      </c>
      <c r="B140" s="23">
        <v>1969</v>
      </c>
      <c r="C140" s="24">
        <v>11.277600000000001</v>
      </c>
      <c r="D140" s="24">
        <v>808.45295999999996</v>
      </c>
      <c r="E140" s="24">
        <f t="shared" si="2"/>
        <v>71.686614173228335</v>
      </c>
      <c r="F140" s="25">
        <v>0.17404799800000001</v>
      </c>
      <c r="G140" s="26">
        <v>8815.2984979899993</v>
      </c>
      <c r="H140" s="23">
        <v>20</v>
      </c>
    </row>
    <row r="141" spans="1:8" x14ac:dyDescent="0.25">
      <c r="A141" s="23">
        <v>38529</v>
      </c>
      <c r="B141" s="23">
        <v>1969</v>
      </c>
      <c r="C141" s="24">
        <v>8.6258400000000002</v>
      </c>
      <c r="D141" s="24">
        <v>306.54956199999998</v>
      </c>
      <c r="E141" s="24">
        <f t="shared" si="2"/>
        <v>35.538517060367454</v>
      </c>
      <c r="F141" s="25">
        <v>0.1749</v>
      </c>
      <c r="G141" s="26">
        <v>6585.97798487</v>
      </c>
      <c r="H141" s="23">
        <v>20</v>
      </c>
    </row>
    <row r="142" spans="1:8" x14ac:dyDescent="0.25">
      <c r="A142" s="23">
        <v>39217</v>
      </c>
      <c r="B142" s="23">
        <v>1969</v>
      </c>
      <c r="C142" s="24">
        <v>6.9494400000000009</v>
      </c>
      <c r="D142" s="24">
        <v>395.45300400000002</v>
      </c>
      <c r="E142" s="24">
        <f t="shared" si="2"/>
        <v>56.904297900262463</v>
      </c>
      <c r="F142" s="25">
        <v>0.17549799999999999</v>
      </c>
      <c r="G142" s="26">
        <v>5592.7088684800001</v>
      </c>
      <c r="H142" s="23">
        <v>20</v>
      </c>
    </row>
    <row r="143" spans="1:8" x14ac:dyDescent="0.25">
      <c r="A143" s="23">
        <v>39354</v>
      </c>
      <c r="B143" s="23">
        <v>1969</v>
      </c>
      <c r="C143" s="24">
        <v>6.4922400000000007</v>
      </c>
      <c r="D143" s="24">
        <v>243.190833</v>
      </c>
      <c r="E143" s="24">
        <f t="shared" si="2"/>
        <v>37.458694225721779</v>
      </c>
      <c r="F143" s="25">
        <v>0.17451800000000001</v>
      </c>
      <c r="G143" s="26">
        <v>133.754216224</v>
      </c>
      <c r="H143" s="23">
        <v>20</v>
      </c>
    </row>
    <row r="144" spans="1:8" x14ac:dyDescent="0.25">
      <c r="A144" s="23">
        <v>38235</v>
      </c>
      <c r="B144" s="23">
        <v>1969</v>
      </c>
      <c r="C144" s="24">
        <v>6.3093599999999999</v>
      </c>
      <c r="D144" s="24">
        <v>314.030799</v>
      </c>
      <c r="E144" s="24">
        <f t="shared" si="2"/>
        <v>49.772211286089238</v>
      </c>
      <c r="F144" s="25">
        <v>0.19922599999999999</v>
      </c>
      <c r="G144" s="26">
        <v>28.530397103199999</v>
      </c>
      <c r="H144" s="23">
        <v>20</v>
      </c>
    </row>
    <row r="145" spans="1:8" x14ac:dyDescent="0.25">
      <c r="A145" s="23">
        <v>38233</v>
      </c>
      <c r="B145" s="23">
        <v>1969</v>
      </c>
      <c r="C145" s="24">
        <v>6.3093599999999999</v>
      </c>
      <c r="D145" s="24">
        <v>314.030799</v>
      </c>
      <c r="E145" s="24">
        <f t="shared" si="2"/>
        <v>49.772211286089238</v>
      </c>
      <c r="F145" s="25">
        <v>0.19922599999999999</v>
      </c>
      <c r="G145" s="26">
        <v>50.7110627669</v>
      </c>
      <c r="H145" s="23">
        <v>20</v>
      </c>
    </row>
    <row r="146" spans="1:8" x14ac:dyDescent="0.25">
      <c r="A146" s="23">
        <v>38234</v>
      </c>
      <c r="B146" s="23">
        <v>1969</v>
      </c>
      <c r="C146" s="24">
        <v>6.1874400000000005</v>
      </c>
      <c r="D146" s="24">
        <v>319.089204</v>
      </c>
      <c r="E146" s="24">
        <f t="shared" si="2"/>
        <v>51.570472440944876</v>
      </c>
      <c r="F146" s="25">
        <v>0.17427599999999999</v>
      </c>
      <c r="G146" s="26">
        <v>14.118599338699999</v>
      </c>
      <c r="H146" s="23">
        <v>20</v>
      </c>
    </row>
    <row r="147" spans="1:8" x14ac:dyDescent="0.25">
      <c r="A147" s="23">
        <v>38236</v>
      </c>
      <c r="B147" s="23">
        <v>1969</v>
      </c>
      <c r="C147" s="24">
        <v>6.2484000000000002</v>
      </c>
      <c r="D147" s="24">
        <v>332.13607999999999</v>
      </c>
      <c r="E147" s="24">
        <f t="shared" si="2"/>
        <v>53.15538057742782</v>
      </c>
      <c r="F147" s="25">
        <v>0.1744</v>
      </c>
      <c r="G147" s="26">
        <v>59.6596815881</v>
      </c>
      <c r="H147" s="23">
        <v>20</v>
      </c>
    </row>
    <row r="148" spans="1:8" x14ac:dyDescent="0.25">
      <c r="A148" s="23">
        <v>39945</v>
      </c>
      <c r="B148" s="23">
        <v>1969</v>
      </c>
      <c r="C148" s="24">
        <v>7.1018400000000002</v>
      </c>
      <c r="D148" s="24">
        <v>451.96221599999996</v>
      </c>
      <c r="E148" s="24">
        <f t="shared" si="2"/>
        <v>63.640157480314954</v>
      </c>
      <c r="F148" s="25">
        <v>0.17539199799999999</v>
      </c>
      <c r="G148" s="26">
        <v>139.56771547599999</v>
      </c>
      <c r="H148" s="23">
        <v>20</v>
      </c>
    </row>
    <row r="149" spans="1:8" x14ac:dyDescent="0.25">
      <c r="A149" s="23">
        <v>39034</v>
      </c>
      <c r="B149" s="23">
        <v>1969</v>
      </c>
      <c r="C149" s="24">
        <v>7.4980800000000007</v>
      </c>
      <c r="D149" s="24">
        <v>477.17899199999994</v>
      </c>
      <c r="E149" s="24">
        <f t="shared" si="2"/>
        <v>63.640157480314947</v>
      </c>
      <c r="F149" s="25">
        <v>0.17539199799999999</v>
      </c>
      <c r="G149" s="26">
        <v>1594.49621144</v>
      </c>
      <c r="H149" s="23">
        <v>20</v>
      </c>
    </row>
    <row r="150" spans="1:8" x14ac:dyDescent="0.25">
      <c r="A150" s="23">
        <v>39032</v>
      </c>
      <c r="B150" s="23">
        <v>1969</v>
      </c>
      <c r="C150" s="24">
        <v>7.4980800000000007</v>
      </c>
      <c r="D150" s="24">
        <v>477.17899199999994</v>
      </c>
      <c r="E150" s="24">
        <f t="shared" si="2"/>
        <v>63.640157480314947</v>
      </c>
      <c r="F150" s="25">
        <v>0.17539199799999999</v>
      </c>
      <c r="G150" s="26">
        <v>2211.0105097199998</v>
      </c>
      <c r="H150" s="23">
        <v>20</v>
      </c>
    </row>
    <row r="151" spans="1:8" x14ac:dyDescent="0.25">
      <c r="A151" s="23">
        <v>39033</v>
      </c>
      <c r="B151" s="23">
        <v>1969</v>
      </c>
      <c r="C151" s="24">
        <v>7.4980800000000007</v>
      </c>
      <c r="D151" s="24">
        <v>477.17899199999994</v>
      </c>
      <c r="E151" s="24">
        <f t="shared" si="2"/>
        <v>63.640157480314947</v>
      </c>
      <c r="F151" s="25">
        <v>0.17539199799999999</v>
      </c>
      <c r="G151" s="26">
        <v>2391.97999703</v>
      </c>
      <c r="H151" s="23">
        <v>20</v>
      </c>
    </row>
    <row r="152" spans="1:8" x14ac:dyDescent="0.25">
      <c r="A152" s="23">
        <v>39031</v>
      </c>
      <c r="B152" s="23">
        <v>1969</v>
      </c>
      <c r="C152" s="24">
        <v>7.8638400000000006</v>
      </c>
      <c r="D152" s="24">
        <v>513.87820799999997</v>
      </c>
      <c r="E152" s="24">
        <f t="shared" si="2"/>
        <v>65.346981627296586</v>
      </c>
      <c r="F152" s="25">
        <v>0</v>
      </c>
      <c r="G152" s="26">
        <v>1799.6738665800001</v>
      </c>
      <c r="H152" s="23">
        <v>20</v>
      </c>
    </row>
    <row r="153" spans="1:8" x14ac:dyDescent="0.25">
      <c r="A153" s="23">
        <v>40299</v>
      </c>
      <c r="B153" s="23">
        <v>1969</v>
      </c>
      <c r="C153" s="24">
        <v>8.9001599999999996</v>
      </c>
      <c r="D153" s="24">
        <v>706.65314000000001</v>
      </c>
      <c r="E153" s="24">
        <f t="shared" si="2"/>
        <v>79.39780183727035</v>
      </c>
      <c r="F153" s="25">
        <v>0.174534995</v>
      </c>
      <c r="G153" s="26">
        <v>6124.6898656399999</v>
      </c>
      <c r="H153" s="23">
        <v>20</v>
      </c>
    </row>
    <row r="154" spans="1:8" x14ac:dyDescent="0.25">
      <c r="A154" s="23">
        <v>38299</v>
      </c>
      <c r="B154" s="23">
        <v>1969</v>
      </c>
      <c r="C154" s="24">
        <v>9.3573599999999999</v>
      </c>
      <c r="D154" s="24">
        <v>746.94665699999996</v>
      </c>
      <c r="E154" s="24">
        <f t="shared" si="2"/>
        <v>79.824507874015751</v>
      </c>
      <c r="F154" s="25">
        <v>0.17547299499999999</v>
      </c>
      <c r="G154" s="26">
        <v>5797.6925805999999</v>
      </c>
      <c r="H154" s="23">
        <v>20</v>
      </c>
    </row>
    <row r="155" spans="1:8" x14ac:dyDescent="0.25">
      <c r="A155" s="23">
        <v>38500</v>
      </c>
      <c r="B155" s="23">
        <v>1969</v>
      </c>
      <c r="C155" s="24">
        <v>8.2295999999999996</v>
      </c>
      <c r="D155" s="24">
        <v>656.42210999999998</v>
      </c>
      <c r="E155" s="24">
        <f t="shared" si="2"/>
        <v>79.763549868766404</v>
      </c>
      <c r="F155" s="25">
        <v>0.175338995</v>
      </c>
      <c r="G155" s="26">
        <v>8622.6725394000005</v>
      </c>
      <c r="H155" s="23">
        <v>20</v>
      </c>
    </row>
    <row r="156" spans="1:8" x14ac:dyDescent="0.25">
      <c r="A156" s="23">
        <v>39726</v>
      </c>
      <c r="B156" s="23">
        <v>1970</v>
      </c>
      <c r="C156" s="24">
        <v>30.48</v>
      </c>
      <c r="D156" s="24">
        <v>330.72399999999999</v>
      </c>
      <c r="E156" s="24">
        <f t="shared" si="2"/>
        <v>10.850524934383202</v>
      </c>
      <c r="F156" s="25">
        <v>0.22499200699999999</v>
      </c>
      <c r="G156" s="26">
        <v>923.85577254500004</v>
      </c>
      <c r="H156" s="23">
        <v>20</v>
      </c>
    </row>
    <row r="157" spans="1:8" x14ac:dyDescent="0.25">
      <c r="A157" s="23">
        <v>39627</v>
      </c>
      <c r="B157" s="23">
        <v>1970</v>
      </c>
      <c r="C157" s="24">
        <v>30.48</v>
      </c>
      <c r="D157" s="24">
        <v>330.72399999999999</v>
      </c>
      <c r="E157" s="24">
        <f t="shared" si="2"/>
        <v>10.850524934383202</v>
      </c>
      <c r="F157" s="25">
        <v>0.22499200699999999</v>
      </c>
      <c r="G157" s="26">
        <v>505.98067194700002</v>
      </c>
      <c r="H157" s="23">
        <v>20</v>
      </c>
    </row>
    <row r="158" spans="1:8" x14ac:dyDescent="0.25">
      <c r="A158" s="23">
        <v>40495</v>
      </c>
      <c r="B158" s="23">
        <v>1970</v>
      </c>
      <c r="C158" s="24">
        <v>6.431280000000001</v>
      </c>
      <c r="D158" s="24">
        <v>138.58543299999999</v>
      </c>
      <c r="E158" s="24">
        <f t="shared" si="2"/>
        <v>21.54865485564304</v>
      </c>
      <c r="F158" s="25">
        <v>0.17533599999999999</v>
      </c>
      <c r="G158" s="26">
        <v>3344.6669045399999</v>
      </c>
      <c r="H158" s="23">
        <v>20</v>
      </c>
    </row>
    <row r="159" spans="1:8" x14ac:dyDescent="0.25">
      <c r="A159" s="23">
        <v>40455</v>
      </c>
      <c r="B159" s="23">
        <v>1970</v>
      </c>
      <c r="C159" s="24">
        <v>30.48</v>
      </c>
      <c r="D159" s="24">
        <v>183.01300000000001</v>
      </c>
      <c r="E159" s="24">
        <f t="shared" si="2"/>
        <v>6.0043635170603675</v>
      </c>
      <c r="F159" s="25">
        <v>0.22497400000000001</v>
      </c>
      <c r="G159" s="26">
        <v>297.88139562100002</v>
      </c>
      <c r="H159" s="23">
        <v>20</v>
      </c>
    </row>
    <row r="160" spans="1:8" x14ac:dyDescent="0.25">
      <c r="A160" s="23">
        <v>40618</v>
      </c>
      <c r="B160" s="23">
        <v>1970</v>
      </c>
      <c r="C160" s="24">
        <v>30.48</v>
      </c>
      <c r="D160" s="24">
        <v>417.12099999999998</v>
      </c>
      <c r="E160" s="24">
        <f t="shared" si="2"/>
        <v>13.685072178477689</v>
      </c>
      <c r="F160" s="25">
        <v>0.22494900000000001</v>
      </c>
      <c r="G160" s="26">
        <v>67.403042783399997</v>
      </c>
      <c r="H160" s="23">
        <v>20</v>
      </c>
    </row>
    <row r="161" spans="1:8" x14ac:dyDescent="0.25">
      <c r="A161" s="23">
        <v>40757</v>
      </c>
      <c r="B161" s="23">
        <v>1970</v>
      </c>
      <c r="C161" s="24">
        <v>7.2847200000000001</v>
      </c>
      <c r="D161" s="24">
        <v>110.571438</v>
      </c>
      <c r="E161" s="24">
        <f t="shared" si="2"/>
        <v>15.178543307086613</v>
      </c>
      <c r="F161" s="25">
        <v>0.17479800000000001</v>
      </c>
      <c r="G161" s="26">
        <v>472.09316608900002</v>
      </c>
      <c r="H161" s="23">
        <v>20</v>
      </c>
    </row>
    <row r="162" spans="1:8" x14ac:dyDescent="0.25">
      <c r="A162" s="23">
        <v>39746</v>
      </c>
      <c r="B162" s="23">
        <v>1970</v>
      </c>
      <c r="C162" s="24">
        <v>6.7665600000000001</v>
      </c>
      <c r="D162" s="24">
        <v>421.76599999999996</v>
      </c>
      <c r="E162" s="24">
        <f t="shared" si="2"/>
        <v>62.330933295500216</v>
      </c>
      <c r="F162" s="25">
        <v>0.17484</v>
      </c>
      <c r="G162" s="26">
        <v>66.056714745899995</v>
      </c>
      <c r="H162" s="23">
        <v>20</v>
      </c>
    </row>
    <row r="163" spans="1:8" x14ac:dyDescent="0.25">
      <c r="A163" s="23">
        <v>42046</v>
      </c>
      <c r="B163" s="23">
        <v>1970</v>
      </c>
      <c r="C163" s="24">
        <v>7.7419200000000004</v>
      </c>
      <c r="D163" s="24">
        <v>434.64937200000003</v>
      </c>
      <c r="E163" s="24">
        <f t="shared" si="2"/>
        <v>56.142322834645668</v>
      </c>
      <c r="F163" s="25">
        <v>0.174990004</v>
      </c>
      <c r="G163" s="26">
        <v>13114.410255700001</v>
      </c>
      <c r="H163" s="23">
        <v>20</v>
      </c>
    </row>
    <row r="164" spans="1:8" x14ac:dyDescent="0.25">
      <c r="A164" s="23">
        <v>40914</v>
      </c>
      <c r="B164" s="23">
        <v>1970</v>
      </c>
      <c r="C164" s="24">
        <v>11.765280000000001</v>
      </c>
      <c r="D164" s="24">
        <v>830.50370399999997</v>
      </c>
      <c r="E164" s="24">
        <f t="shared" si="2"/>
        <v>70.589370078740146</v>
      </c>
      <c r="F164" s="25">
        <v>0.176016005</v>
      </c>
      <c r="G164" s="26">
        <v>14193.0744079</v>
      </c>
      <c r="H164" s="23">
        <v>20</v>
      </c>
    </row>
    <row r="165" spans="1:8" x14ac:dyDescent="0.25">
      <c r="A165" s="23">
        <v>41355</v>
      </c>
      <c r="B165" s="23">
        <v>1970</v>
      </c>
      <c r="C165" s="24">
        <v>6.1569599999999998</v>
      </c>
      <c r="D165" s="24">
        <v>167.01561999999998</v>
      </c>
      <c r="E165" s="24">
        <f t="shared" si="2"/>
        <v>27.126312335958005</v>
      </c>
      <c r="F165" s="25">
        <v>0.17533000900000001</v>
      </c>
      <c r="G165" s="26">
        <v>4636.8893443699999</v>
      </c>
      <c r="H165" s="23">
        <v>20</v>
      </c>
    </row>
    <row r="166" spans="1:8" x14ac:dyDescent="0.25">
      <c r="A166" s="23">
        <v>40669</v>
      </c>
      <c r="B166" s="23">
        <v>1970</v>
      </c>
      <c r="C166" s="24">
        <v>30.48</v>
      </c>
      <c r="D166" s="24">
        <v>510.02099999999996</v>
      </c>
      <c r="E166" s="24">
        <f t="shared" si="2"/>
        <v>16.732972440944881</v>
      </c>
      <c r="F166" s="25">
        <v>0.22509000000000001</v>
      </c>
      <c r="G166" s="26">
        <v>651.19983381400004</v>
      </c>
      <c r="H166" s="23">
        <v>20</v>
      </c>
    </row>
    <row r="167" spans="1:8" x14ac:dyDescent="0.25">
      <c r="A167" s="23">
        <v>133523</v>
      </c>
      <c r="B167" s="23">
        <v>1970</v>
      </c>
      <c r="C167" s="24">
        <v>6.5227199999999996</v>
      </c>
      <c r="D167" s="24">
        <v>265.20720399999999</v>
      </c>
      <c r="E167" s="24">
        <f t="shared" si="2"/>
        <v>40.658989501312334</v>
      </c>
      <c r="F167" s="25">
        <v>0.17475399999999999</v>
      </c>
      <c r="G167" s="26">
        <v>5935.2546499399996</v>
      </c>
      <c r="H167" s="23">
        <v>20</v>
      </c>
    </row>
    <row r="168" spans="1:8" x14ac:dyDescent="0.25">
      <c r="A168" s="23">
        <v>39765</v>
      </c>
      <c r="B168" s="23">
        <v>1970</v>
      </c>
      <c r="C168" s="24">
        <v>6.61416</v>
      </c>
      <c r="D168" s="24">
        <v>289.28595499999994</v>
      </c>
      <c r="E168" s="24">
        <f t="shared" si="2"/>
        <v>43.737368766404188</v>
      </c>
      <c r="F168" s="25">
        <v>0.17507</v>
      </c>
      <c r="G168" s="26">
        <v>5937.7065723599999</v>
      </c>
      <c r="H168" s="23">
        <v>20</v>
      </c>
    </row>
    <row r="169" spans="1:8" x14ac:dyDescent="0.25">
      <c r="A169" s="23">
        <v>48047</v>
      </c>
      <c r="B169" s="23">
        <v>1970</v>
      </c>
      <c r="C169" s="24">
        <v>30.48</v>
      </c>
      <c r="D169" s="24">
        <v>627.07499999999993</v>
      </c>
      <c r="E169" s="24">
        <f t="shared" si="2"/>
        <v>20.573326771653541</v>
      </c>
      <c r="F169" s="25">
        <v>0.224775</v>
      </c>
      <c r="G169" s="26">
        <v>218.73651464899999</v>
      </c>
      <c r="H169" s="23">
        <v>20</v>
      </c>
    </row>
    <row r="170" spans="1:8" x14ac:dyDescent="0.25">
      <c r="A170" s="23">
        <v>40208</v>
      </c>
      <c r="B170" s="23">
        <v>1970</v>
      </c>
      <c r="C170" s="24">
        <v>11.46048</v>
      </c>
      <c r="D170" s="24">
        <v>832.74073599999997</v>
      </c>
      <c r="E170" s="24">
        <f t="shared" si="2"/>
        <v>72.661942257217845</v>
      </c>
      <c r="F170" s="25">
        <v>0.17403200699999999</v>
      </c>
      <c r="G170" s="26">
        <v>7755.0370183000005</v>
      </c>
      <c r="H170" s="23">
        <v>20</v>
      </c>
    </row>
    <row r="171" spans="1:8" x14ac:dyDescent="0.25">
      <c r="A171" s="23">
        <v>40005</v>
      </c>
      <c r="B171" s="23">
        <v>1970</v>
      </c>
      <c r="C171" s="24">
        <v>6.61416</v>
      </c>
      <c r="D171" s="24">
        <v>435.642473</v>
      </c>
      <c r="E171" s="24">
        <f t="shared" si="2"/>
        <v>65.865124671916007</v>
      </c>
      <c r="F171" s="25">
        <v>0.175041</v>
      </c>
      <c r="G171" s="26">
        <v>10.681291785299999</v>
      </c>
      <c r="H171" s="23">
        <v>20</v>
      </c>
    </row>
    <row r="172" spans="1:8" x14ac:dyDescent="0.25">
      <c r="A172" s="23">
        <v>47263</v>
      </c>
      <c r="B172" s="23">
        <v>1970</v>
      </c>
      <c r="C172" s="24">
        <v>7.3456800000000007</v>
      </c>
      <c r="D172" s="24">
        <v>499.27247</v>
      </c>
      <c r="E172" s="24">
        <f t="shared" si="2"/>
        <v>67.968175853018366</v>
      </c>
      <c r="F172" s="25">
        <v>0.17394000000000001</v>
      </c>
      <c r="G172" s="26">
        <v>2826.31088172</v>
      </c>
      <c r="H172" s="23">
        <v>20</v>
      </c>
    </row>
    <row r="173" spans="1:8" x14ac:dyDescent="0.25">
      <c r="A173" s="23">
        <v>47264</v>
      </c>
      <c r="B173" s="23">
        <v>1970</v>
      </c>
      <c r="C173" s="24">
        <v>7.3456800000000007</v>
      </c>
      <c r="D173" s="24">
        <v>499.27247</v>
      </c>
      <c r="E173" s="24">
        <f t="shared" si="2"/>
        <v>67.968175853018366</v>
      </c>
      <c r="F173" s="25">
        <v>0.17394000000000001</v>
      </c>
      <c r="G173" s="26">
        <v>3492.0519424700001</v>
      </c>
      <c r="H173" s="23">
        <v>20</v>
      </c>
    </row>
    <row r="174" spans="1:8" x14ac:dyDescent="0.25">
      <c r="A174" s="23">
        <v>39510</v>
      </c>
      <c r="B174" s="23">
        <v>1970</v>
      </c>
      <c r="C174" s="24">
        <v>8.8087199999999992</v>
      </c>
      <c r="D174" s="24">
        <v>587.70490899999993</v>
      </c>
      <c r="E174" s="24">
        <f t="shared" si="2"/>
        <v>66.718536745406823</v>
      </c>
      <c r="F174" s="25">
        <v>0.175119996</v>
      </c>
      <c r="G174" s="26">
        <v>3212.1297705699999</v>
      </c>
      <c r="H174" s="23">
        <v>20</v>
      </c>
    </row>
    <row r="175" spans="1:8" x14ac:dyDescent="0.25">
      <c r="A175" s="23">
        <v>40881</v>
      </c>
      <c r="B175" s="23">
        <v>1970</v>
      </c>
      <c r="C175" s="24">
        <v>7.4980800000000007</v>
      </c>
      <c r="D175" s="24">
        <v>550.08133799999996</v>
      </c>
      <c r="E175" s="24">
        <f t="shared" si="2"/>
        <v>73.362959317585293</v>
      </c>
      <c r="F175" s="25">
        <v>0.175711007</v>
      </c>
      <c r="G175" s="26">
        <v>4578.8115185500001</v>
      </c>
      <c r="H175" s="23">
        <v>20</v>
      </c>
    </row>
    <row r="176" spans="1:8" x14ac:dyDescent="0.25">
      <c r="A176" s="23">
        <v>40296</v>
      </c>
      <c r="B176" s="23">
        <v>1970</v>
      </c>
      <c r="C176" s="24">
        <v>8.5039200000000008</v>
      </c>
      <c r="D176" s="24">
        <v>651.08779199999992</v>
      </c>
      <c r="E176" s="24">
        <f t="shared" si="2"/>
        <v>76.563254593175841</v>
      </c>
      <c r="F176" s="25">
        <v>0.175839995</v>
      </c>
      <c r="G176" s="26">
        <v>5356.5585613200001</v>
      </c>
      <c r="H176" s="23">
        <v>20</v>
      </c>
    </row>
    <row r="177" spans="1:8" x14ac:dyDescent="0.25">
      <c r="A177" s="23">
        <v>39787</v>
      </c>
      <c r="B177" s="23">
        <v>1970</v>
      </c>
      <c r="C177" s="24">
        <v>8.6563199999999991</v>
      </c>
      <c r="D177" s="24">
        <v>715.25939599999992</v>
      </c>
      <c r="E177" s="24">
        <f t="shared" si="2"/>
        <v>82.628576115485558</v>
      </c>
      <c r="F177" s="25">
        <v>0.17621500000000001</v>
      </c>
      <c r="G177" s="26">
        <v>8494.77370539</v>
      </c>
      <c r="H177" s="23">
        <v>20</v>
      </c>
    </row>
    <row r="178" spans="1:8" x14ac:dyDescent="0.25">
      <c r="A178" s="23">
        <v>40533</v>
      </c>
      <c r="B178" s="23">
        <v>1970</v>
      </c>
      <c r="C178" s="24">
        <v>8.6563199999999991</v>
      </c>
      <c r="D178" s="24">
        <v>715.25939599999992</v>
      </c>
      <c r="E178" s="24">
        <f t="shared" si="2"/>
        <v>82.628576115485558</v>
      </c>
      <c r="F178" s="25">
        <v>0.17621500000000001</v>
      </c>
      <c r="G178" s="26">
        <v>9301.5294429599999</v>
      </c>
      <c r="H178" s="23">
        <v>20</v>
      </c>
    </row>
    <row r="179" spans="1:8" x14ac:dyDescent="0.25">
      <c r="A179" s="23">
        <v>40905</v>
      </c>
      <c r="B179" s="23">
        <v>1970</v>
      </c>
      <c r="C179" s="24">
        <v>9.0830400000000004</v>
      </c>
      <c r="D179" s="24">
        <v>722.55762000000004</v>
      </c>
      <c r="E179" s="24">
        <f t="shared" si="2"/>
        <v>79.550196850393704</v>
      </c>
      <c r="F179" s="25">
        <v>0.174869995</v>
      </c>
      <c r="G179" s="26">
        <v>8396.86628905</v>
      </c>
      <c r="H179" s="23">
        <v>20</v>
      </c>
    </row>
    <row r="180" spans="1:8" x14ac:dyDescent="0.25">
      <c r="A180" s="23">
        <v>40945</v>
      </c>
      <c r="B180" s="23">
        <v>1970</v>
      </c>
      <c r="C180" s="24">
        <v>8.9916</v>
      </c>
      <c r="D180" s="24">
        <v>657.73199999999997</v>
      </c>
      <c r="E180" s="24">
        <f t="shared" si="2"/>
        <v>73.149606299212593</v>
      </c>
      <c r="F180" s="25">
        <v>0.17520000699999999</v>
      </c>
      <c r="G180" s="26">
        <v>9072.5796675500005</v>
      </c>
      <c r="H180" s="23">
        <v>20</v>
      </c>
    </row>
    <row r="181" spans="1:8" x14ac:dyDescent="0.25">
      <c r="A181" s="23">
        <v>44778</v>
      </c>
      <c r="B181" s="23">
        <v>1971</v>
      </c>
      <c r="C181" s="24">
        <v>6.61416</v>
      </c>
      <c r="D181" s="24">
        <v>338.87783300000001</v>
      </c>
      <c r="E181" s="24">
        <f t="shared" si="2"/>
        <v>51.235203412073488</v>
      </c>
      <c r="F181" s="25">
        <v>0.17482400000000001</v>
      </c>
      <c r="G181" s="26">
        <v>11503.2096919</v>
      </c>
      <c r="H181" s="23">
        <v>20</v>
      </c>
    </row>
    <row r="182" spans="1:8" x14ac:dyDescent="0.25">
      <c r="A182" s="23">
        <v>45376</v>
      </c>
      <c r="B182" s="23">
        <v>1971</v>
      </c>
      <c r="C182" s="24">
        <v>7.7419200000000004</v>
      </c>
      <c r="D182" s="24">
        <v>189.95263</v>
      </c>
      <c r="E182" s="24">
        <f t="shared" si="2"/>
        <v>24.535597112860891</v>
      </c>
      <c r="F182" s="25">
        <v>0.17468500000000001</v>
      </c>
      <c r="G182" s="26">
        <v>2566.9016285600001</v>
      </c>
      <c r="H182" s="23">
        <v>20</v>
      </c>
    </row>
    <row r="183" spans="1:8" x14ac:dyDescent="0.25">
      <c r="A183" s="23">
        <v>41901</v>
      </c>
      <c r="B183" s="23">
        <v>1971</v>
      </c>
      <c r="C183" s="24">
        <v>9.3878400000000006</v>
      </c>
      <c r="D183" s="24">
        <v>480.41562799999997</v>
      </c>
      <c r="E183" s="24">
        <f t="shared" si="2"/>
        <v>51.174245406824141</v>
      </c>
      <c r="F183" s="25">
        <v>0.17461599999999999</v>
      </c>
      <c r="G183" s="26">
        <v>13451.5005473</v>
      </c>
      <c r="H183" s="23">
        <v>20</v>
      </c>
    </row>
    <row r="184" spans="1:8" x14ac:dyDescent="0.25">
      <c r="A184" s="23">
        <v>42009</v>
      </c>
      <c r="B184" s="23">
        <v>1971</v>
      </c>
      <c r="C184" s="24">
        <v>30.48</v>
      </c>
      <c r="D184" s="24">
        <v>473.78999999999996</v>
      </c>
      <c r="E184" s="24">
        <f t="shared" si="2"/>
        <v>15.544291338582676</v>
      </c>
      <c r="F184" s="25">
        <v>0.17493</v>
      </c>
      <c r="G184" s="26">
        <v>554.190786968</v>
      </c>
      <c r="H184" s="23">
        <v>20</v>
      </c>
    </row>
    <row r="185" spans="1:8" x14ac:dyDescent="0.25">
      <c r="A185" s="23">
        <v>41336</v>
      </c>
      <c r="B185" s="23">
        <v>1971</v>
      </c>
      <c r="C185" s="24">
        <v>30.48</v>
      </c>
      <c r="D185" s="24">
        <v>567.61900000000003</v>
      </c>
      <c r="E185" s="24">
        <f t="shared" si="2"/>
        <v>18.622670603674543</v>
      </c>
      <c r="F185" s="25">
        <v>0.22484800599999999</v>
      </c>
      <c r="G185" s="26">
        <v>355.79615651500001</v>
      </c>
      <c r="H185" s="23">
        <v>20</v>
      </c>
    </row>
    <row r="186" spans="1:8" x14ac:dyDescent="0.25">
      <c r="A186" s="23">
        <v>42856</v>
      </c>
      <c r="B186" s="23">
        <v>1971</v>
      </c>
      <c r="C186" s="24">
        <v>10.48512</v>
      </c>
      <c r="D186" s="24">
        <v>713.61320799999999</v>
      </c>
      <c r="E186" s="24">
        <f t="shared" si="2"/>
        <v>68.059612860892386</v>
      </c>
      <c r="F186" s="25">
        <v>0.174174</v>
      </c>
      <c r="G186" s="26">
        <v>7341.5890373399998</v>
      </c>
      <c r="H186" s="23">
        <v>20</v>
      </c>
    </row>
    <row r="187" spans="1:8" x14ac:dyDescent="0.25">
      <c r="A187" s="23">
        <v>42519</v>
      </c>
      <c r="B187" s="23">
        <v>1971</v>
      </c>
      <c r="C187" s="24">
        <v>8.8087199999999992</v>
      </c>
      <c r="D187" s="24">
        <v>325.66745300000002</v>
      </c>
      <c r="E187" s="24">
        <f t="shared" si="2"/>
        <v>36.971030183727038</v>
      </c>
      <c r="F187" s="25">
        <v>0.17467199999999999</v>
      </c>
      <c r="G187" s="26">
        <v>8221.3257686100005</v>
      </c>
      <c r="H187" s="23">
        <v>20</v>
      </c>
    </row>
    <row r="188" spans="1:8" x14ac:dyDescent="0.25">
      <c r="A188" s="23">
        <v>42418</v>
      </c>
      <c r="B188" s="23">
        <v>1971</v>
      </c>
      <c r="C188" s="24">
        <v>7.13232</v>
      </c>
      <c r="D188" s="24">
        <v>415.20725999999996</v>
      </c>
      <c r="E188" s="24">
        <f t="shared" si="2"/>
        <v>58.214895013123353</v>
      </c>
      <c r="F188" s="25">
        <v>0.17572000400000001</v>
      </c>
      <c r="G188" s="26">
        <v>4932.3582614500001</v>
      </c>
      <c r="H188" s="23">
        <v>20</v>
      </c>
    </row>
    <row r="189" spans="1:8" x14ac:dyDescent="0.25">
      <c r="A189" s="23">
        <v>41687</v>
      </c>
      <c r="B189" s="23">
        <v>1971</v>
      </c>
      <c r="C189" s="24">
        <v>6.5227199999999996</v>
      </c>
      <c r="D189" s="24">
        <v>258.05018799999999</v>
      </c>
      <c r="E189" s="24">
        <f t="shared" si="2"/>
        <v>39.561745406824151</v>
      </c>
      <c r="F189" s="25">
        <v>0.17523</v>
      </c>
      <c r="G189" s="26">
        <v>513.53026171700003</v>
      </c>
      <c r="H189" s="23">
        <v>20</v>
      </c>
    </row>
    <row r="190" spans="1:8" x14ac:dyDescent="0.25">
      <c r="A190" s="23">
        <v>41688</v>
      </c>
      <c r="B190" s="23">
        <v>1971</v>
      </c>
      <c r="C190" s="24">
        <v>6.5227199999999996</v>
      </c>
      <c r="D190" s="24">
        <v>258.05018799999999</v>
      </c>
      <c r="E190" s="24">
        <f t="shared" si="2"/>
        <v>39.561745406824151</v>
      </c>
      <c r="F190" s="25">
        <v>0.17523</v>
      </c>
      <c r="G190" s="26">
        <v>941.48907601500002</v>
      </c>
      <c r="H190" s="23">
        <v>20</v>
      </c>
    </row>
    <row r="191" spans="1:8" x14ac:dyDescent="0.25">
      <c r="A191" s="23">
        <v>41783</v>
      </c>
      <c r="B191" s="23">
        <v>1971</v>
      </c>
      <c r="C191" s="24">
        <v>8.7782400000000003</v>
      </c>
      <c r="D191" s="24">
        <v>721.32019199999991</v>
      </c>
      <c r="E191" s="24">
        <f t="shared" si="2"/>
        <v>82.171391076115469</v>
      </c>
      <c r="F191" s="25">
        <v>0.17524000000000001</v>
      </c>
      <c r="G191" s="26">
        <v>7679.25493482</v>
      </c>
      <c r="H191" s="23">
        <v>20</v>
      </c>
    </row>
    <row r="192" spans="1:8" x14ac:dyDescent="0.25">
      <c r="A192" s="23">
        <v>41685</v>
      </c>
      <c r="B192" s="23">
        <v>1971</v>
      </c>
      <c r="C192" s="24">
        <v>7.8333599999999999</v>
      </c>
      <c r="D192" s="24">
        <v>608.34264399999995</v>
      </c>
      <c r="E192" s="24">
        <f t="shared" si="2"/>
        <v>77.660498687664031</v>
      </c>
      <c r="F192" s="25">
        <v>0.17581200499999999</v>
      </c>
      <c r="G192" s="26">
        <v>9238.94905913</v>
      </c>
      <c r="H192" s="23">
        <v>20</v>
      </c>
    </row>
    <row r="193" spans="1:8" x14ac:dyDescent="0.25">
      <c r="A193" s="23">
        <v>42080</v>
      </c>
      <c r="B193" s="23">
        <v>1971</v>
      </c>
      <c r="C193" s="24">
        <v>8.5648800000000005</v>
      </c>
      <c r="D193" s="24">
        <v>648.44571599999995</v>
      </c>
      <c r="E193" s="24">
        <f t="shared" ref="E193:E256" si="3">D193/C193</f>
        <v>75.709842519685026</v>
      </c>
      <c r="F193" s="25">
        <v>0.17387999500000001</v>
      </c>
      <c r="G193" s="26">
        <v>10212.1546941</v>
      </c>
      <c r="H193" s="23">
        <v>20</v>
      </c>
    </row>
    <row r="194" spans="1:8" x14ac:dyDescent="0.25">
      <c r="A194" s="23">
        <v>41636</v>
      </c>
      <c r="B194" s="23">
        <v>1971</v>
      </c>
      <c r="C194" s="24">
        <v>9.3878400000000006</v>
      </c>
      <c r="D194" s="24">
        <v>579.98956399999997</v>
      </c>
      <c r="E194" s="24">
        <f t="shared" si="3"/>
        <v>61.78093832020997</v>
      </c>
      <c r="F194" s="25">
        <v>0.17432199400000001</v>
      </c>
      <c r="G194" s="26">
        <v>9810.7717728900006</v>
      </c>
      <c r="H194" s="23">
        <v>20</v>
      </c>
    </row>
    <row r="195" spans="1:8" x14ac:dyDescent="0.25">
      <c r="A195" s="23">
        <v>43954</v>
      </c>
      <c r="B195" s="23">
        <v>1972</v>
      </c>
      <c r="C195" s="24">
        <v>30.48</v>
      </c>
      <c r="D195" s="24">
        <v>294.49299999999999</v>
      </c>
      <c r="E195" s="24">
        <f t="shared" si="3"/>
        <v>9.6618438320209972</v>
      </c>
      <c r="F195" s="25">
        <v>0.22506999999999999</v>
      </c>
      <c r="G195" s="26">
        <v>370.74168477699999</v>
      </c>
      <c r="H195" s="23">
        <v>20</v>
      </c>
    </row>
    <row r="196" spans="1:8" x14ac:dyDescent="0.25">
      <c r="A196" s="23">
        <v>66340</v>
      </c>
      <c r="B196" s="23">
        <v>1972</v>
      </c>
      <c r="C196" s="24">
        <v>30.48</v>
      </c>
      <c r="D196" s="24">
        <v>294.49299999999999</v>
      </c>
      <c r="E196" s="24">
        <f t="shared" si="3"/>
        <v>9.6618438320209972</v>
      </c>
      <c r="F196" s="25">
        <v>0.22506999999999999</v>
      </c>
      <c r="G196" s="26">
        <v>29.5762094201</v>
      </c>
      <c r="H196" s="23">
        <v>20</v>
      </c>
    </row>
    <row r="197" spans="1:8" x14ac:dyDescent="0.25">
      <c r="A197" s="23">
        <v>124882</v>
      </c>
      <c r="B197" s="23">
        <v>1972</v>
      </c>
      <c r="C197" s="24">
        <v>30.48</v>
      </c>
      <c r="D197" s="24">
        <v>517.45299999999997</v>
      </c>
      <c r="E197" s="24">
        <f t="shared" si="3"/>
        <v>16.976804461942255</v>
      </c>
      <c r="F197" s="25">
        <v>0.174897994</v>
      </c>
      <c r="G197" s="26">
        <v>45.953529560500002</v>
      </c>
      <c r="H197" s="23">
        <v>20</v>
      </c>
    </row>
    <row r="198" spans="1:8" x14ac:dyDescent="0.25">
      <c r="A198" s="23">
        <v>45377</v>
      </c>
      <c r="B198" s="23">
        <v>1972</v>
      </c>
      <c r="C198" s="24">
        <v>7.7419200000000004</v>
      </c>
      <c r="D198" s="24">
        <v>189.95263</v>
      </c>
      <c r="E198" s="24">
        <f t="shared" si="3"/>
        <v>24.535597112860891</v>
      </c>
      <c r="F198" s="25">
        <v>0.17468500000000001</v>
      </c>
      <c r="G198" s="26">
        <v>2626.6931582299999</v>
      </c>
      <c r="H198" s="23">
        <v>20</v>
      </c>
    </row>
    <row r="199" spans="1:8" x14ac:dyDescent="0.25">
      <c r="A199" s="23">
        <v>44503</v>
      </c>
      <c r="B199" s="23">
        <v>1972</v>
      </c>
      <c r="C199" s="24">
        <v>8.1991200000000006</v>
      </c>
      <c r="D199" s="24">
        <v>243.90337600000001</v>
      </c>
      <c r="E199" s="24">
        <f t="shared" si="3"/>
        <v>29.747506561679788</v>
      </c>
      <c r="F199" s="25">
        <v>0.174704</v>
      </c>
      <c r="G199" s="26">
        <v>5995.4347058699996</v>
      </c>
      <c r="H199" s="23">
        <v>20</v>
      </c>
    </row>
    <row r="200" spans="1:8" x14ac:dyDescent="0.25">
      <c r="A200" s="23">
        <v>43968</v>
      </c>
      <c r="B200" s="23">
        <v>1972</v>
      </c>
      <c r="C200" s="24">
        <v>30.48</v>
      </c>
      <c r="D200" s="24">
        <v>636.36500000000001</v>
      </c>
      <c r="E200" s="24">
        <f t="shared" si="3"/>
        <v>20.878116797900262</v>
      </c>
      <c r="F200" s="25">
        <v>0.22468000699999999</v>
      </c>
      <c r="G200" s="26">
        <v>676.89725457400004</v>
      </c>
      <c r="H200" s="23">
        <v>20</v>
      </c>
    </row>
    <row r="201" spans="1:8" x14ac:dyDescent="0.25">
      <c r="A201" s="23">
        <v>43846</v>
      </c>
      <c r="B201" s="23">
        <v>1972</v>
      </c>
      <c r="C201" s="24">
        <v>30.48</v>
      </c>
      <c r="D201" s="24">
        <v>620.572</v>
      </c>
      <c r="E201" s="24">
        <f t="shared" si="3"/>
        <v>20.35997375328084</v>
      </c>
      <c r="F201" s="25">
        <v>0.22511600000000001</v>
      </c>
      <c r="G201" s="26">
        <v>123.899449406</v>
      </c>
      <c r="H201" s="23">
        <v>20</v>
      </c>
    </row>
    <row r="202" spans="1:8" x14ac:dyDescent="0.25">
      <c r="A202" s="23">
        <v>53064</v>
      </c>
      <c r="B202" s="23">
        <v>1972</v>
      </c>
      <c r="C202" s="24">
        <v>30.48</v>
      </c>
      <c r="D202" s="24">
        <v>723.69099999999992</v>
      </c>
      <c r="E202" s="24">
        <f t="shared" si="3"/>
        <v>23.743143044619419</v>
      </c>
      <c r="F202" s="25">
        <v>0.17527499199999999</v>
      </c>
      <c r="G202" s="26">
        <v>69.732016222400006</v>
      </c>
      <c r="H202" s="23">
        <v>20</v>
      </c>
    </row>
    <row r="203" spans="1:8" x14ac:dyDescent="0.25">
      <c r="A203" s="23">
        <v>53065</v>
      </c>
      <c r="B203" s="23">
        <v>1972</v>
      </c>
      <c r="C203" s="24">
        <v>30.48</v>
      </c>
      <c r="D203" s="24">
        <v>723.69099999999992</v>
      </c>
      <c r="E203" s="24">
        <f t="shared" si="3"/>
        <v>23.743143044619419</v>
      </c>
      <c r="F203" s="25">
        <v>0.224769991</v>
      </c>
      <c r="G203" s="26">
        <v>87.807914120999996</v>
      </c>
      <c r="H203" s="23">
        <v>20</v>
      </c>
    </row>
    <row r="204" spans="1:8" x14ac:dyDescent="0.25">
      <c r="A204" s="23">
        <v>43709</v>
      </c>
      <c r="B204" s="23">
        <v>1972</v>
      </c>
      <c r="C204" s="24">
        <v>10.02792</v>
      </c>
      <c r="D204" s="24">
        <v>662.32404699999995</v>
      </c>
      <c r="E204" s="24">
        <f t="shared" si="3"/>
        <v>66.047998687664034</v>
      </c>
      <c r="F204" s="25">
        <v>0.17552699999999999</v>
      </c>
      <c r="G204" s="26">
        <v>7536.8512477499999</v>
      </c>
      <c r="H204" s="23">
        <v>20</v>
      </c>
    </row>
    <row r="205" spans="1:8" x14ac:dyDescent="0.25">
      <c r="A205" s="23">
        <v>43388</v>
      </c>
      <c r="B205" s="23">
        <v>1972</v>
      </c>
      <c r="C205" s="24">
        <v>7.8943199999999996</v>
      </c>
      <c r="D205" s="24">
        <v>546.18696999999997</v>
      </c>
      <c r="E205" s="24">
        <f t="shared" si="3"/>
        <v>69.187335958005249</v>
      </c>
      <c r="F205" s="25">
        <v>0.174789995</v>
      </c>
      <c r="G205" s="26">
        <v>186.28701715099999</v>
      </c>
      <c r="H205" s="23">
        <v>20</v>
      </c>
    </row>
    <row r="206" spans="1:8" x14ac:dyDescent="0.25">
      <c r="A206" s="23">
        <v>45864</v>
      </c>
      <c r="B206" s="23">
        <v>1972</v>
      </c>
      <c r="C206" s="24">
        <v>7.7114400000000005</v>
      </c>
      <c r="D206" s="24">
        <v>470.779111</v>
      </c>
      <c r="E206" s="24">
        <f t="shared" si="3"/>
        <v>61.049442257217841</v>
      </c>
      <c r="F206" s="25">
        <v>0.174260998</v>
      </c>
      <c r="G206" s="26">
        <v>1201.1021564800001</v>
      </c>
      <c r="H206" s="23">
        <v>20</v>
      </c>
    </row>
    <row r="207" spans="1:8" x14ac:dyDescent="0.25">
      <c r="A207" s="23">
        <v>44198</v>
      </c>
      <c r="B207" s="23">
        <v>1972</v>
      </c>
      <c r="C207" s="24">
        <v>7.4980800000000007</v>
      </c>
      <c r="D207" s="24">
        <v>477.17899199999994</v>
      </c>
      <c r="E207" s="24">
        <f t="shared" si="3"/>
        <v>63.640157480314947</v>
      </c>
      <c r="F207" s="25">
        <v>0.17539199799999999</v>
      </c>
      <c r="G207" s="26">
        <v>1232.1284742299999</v>
      </c>
      <c r="H207" s="23">
        <v>20</v>
      </c>
    </row>
    <row r="208" spans="1:8" x14ac:dyDescent="0.25">
      <c r="A208" s="23">
        <v>45613</v>
      </c>
      <c r="B208" s="23">
        <v>1972</v>
      </c>
      <c r="C208" s="24">
        <v>7.1932800000000006</v>
      </c>
      <c r="D208" s="24">
        <v>540.65570400000001</v>
      </c>
      <c r="E208" s="24">
        <f t="shared" si="3"/>
        <v>75.161220472440945</v>
      </c>
      <c r="F208" s="25">
        <v>0.17508599799999999</v>
      </c>
      <c r="G208" s="26">
        <v>5315.5490836299996</v>
      </c>
      <c r="H208" s="23">
        <v>20</v>
      </c>
    </row>
    <row r="209" spans="1:8" x14ac:dyDescent="0.25">
      <c r="A209" s="23">
        <v>68990</v>
      </c>
      <c r="B209" s="23">
        <v>1973</v>
      </c>
      <c r="C209" s="24">
        <v>30.48</v>
      </c>
      <c r="D209" s="24">
        <v>308.428</v>
      </c>
      <c r="E209" s="24">
        <f t="shared" si="3"/>
        <v>10.119028871391077</v>
      </c>
      <c r="F209" s="25">
        <v>0.22509599699999999</v>
      </c>
      <c r="G209" s="26">
        <v>97.968393251799995</v>
      </c>
      <c r="H209" s="23">
        <v>20</v>
      </c>
    </row>
    <row r="210" spans="1:8" x14ac:dyDescent="0.25">
      <c r="A210" s="23">
        <v>47344</v>
      </c>
      <c r="B210" s="23">
        <v>1973</v>
      </c>
      <c r="C210" s="24">
        <v>30.48</v>
      </c>
      <c r="D210" s="24">
        <v>331.65299999999996</v>
      </c>
      <c r="E210" s="24">
        <f t="shared" si="3"/>
        <v>10.881003937007872</v>
      </c>
      <c r="F210" s="25">
        <v>0.174930004</v>
      </c>
      <c r="G210" s="26">
        <v>1104.68823954</v>
      </c>
      <c r="H210" s="23">
        <v>20</v>
      </c>
    </row>
    <row r="211" spans="1:8" x14ac:dyDescent="0.25">
      <c r="A211" s="23">
        <v>46630</v>
      </c>
      <c r="B211" s="23">
        <v>1973</v>
      </c>
      <c r="C211" s="24">
        <v>6.9494400000000009</v>
      </c>
      <c r="D211" s="24">
        <v>40.456091999999998</v>
      </c>
      <c r="E211" s="24">
        <f t="shared" si="3"/>
        <v>5.8214895013123353</v>
      </c>
      <c r="F211" s="25">
        <v>0.174955998</v>
      </c>
      <c r="G211" s="26">
        <v>246.81377291199999</v>
      </c>
      <c r="H211" s="23">
        <v>20</v>
      </c>
    </row>
    <row r="212" spans="1:8" x14ac:dyDescent="0.25">
      <c r="A212" s="23">
        <v>46405</v>
      </c>
      <c r="B212" s="23">
        <v>1973</v>
      </c>
      <c r="C212" s="24">
        <v>6.4617599999999999</v>
      </c>
      <c r="D212" s="24">
        <v>278.87836800000002</v>
      </c>
      <c r="E212" s="24">
        <f t="shared" si="3"/>
        <v>43.158267716535434</v>
      </c>
      <c r="F212" s="25">
        <v>0.17558399999999999</v>
      </c>
      <c r="G212" s="26">
        <v>12007.428205599999</v>
      </c>
      <c r="H212" s="23">
        <v>20</v>
      </c>
    </row>
    <row r="213" spans="1:8" x14ac:dyDescent="0.25">
      <c r="A213" s="23">
        <v>47776</v>
      </c>
      <c r="B213" s="23">
        <v>1973</v>
      </c>
      <c r="C213" s="24">
        <v>11.643360000000001</v>
      </c>
      <c r="D213" s="24">
        <v>649.0718619999999</v>
      </c>
      <c r="E213" s="24">
        <f t="shared" si="3"/>
        <v>55.74609580052492</v>
      </c>
      <c r="F213" s="25">
        <v>0.17558399599999999</v>
      </c>
      <c r="G213" s="26">
        <v>17972.073298200001</v>
      </c>
      <c r="H213" s="23">
        <v>20</v>
      </c>
    </row>
    <row r="214" spans="1:8" x14ac:dyDescent="0.25">
      <c r="A214" s="23">
        <v>49041</v>
      </c>
      <c r="B214" s="23">
        <v>1973</v>
      </c>
      <c r="C214" s="24">
        <v>11.8872</v>
      </c>
      <c r="D214" s="24">
        <v>735.85160999999994</v>
      </c>
      <c r="E214" s="24">
        <f t="shared" si="3"/>
        <v>61.902854330708657</v>
      </c>
      <c r="F214" s="25">
        <v>0.17466599399999999</v>
      </c>
      <c r="G214" s="26">
        <v>17446.2412277</v>
      </c>
      <c r="H214" s="23">
        <v>20</v>
      </c>
    </row>
    <row r="215" spans="1:8" x14ac:dyDescent="0.25">
      <c r="A215" s="23">
        <v>48446</v>
      </c>
      <c r="B215" s="23">
        <v>1973</v>
      </c>
      <c r="C215" s="24">
        <v>6.2788800000000009</v>
      </c>
      <c r="D215" s="24">
        <v>272.89932399999998</v>
      </c>
      <c r="E215" s="24">
        <f t="shared" si="3"/>
        <v>43.463057742782141</v>
      </c>
      <c r="F215" s="25">
        <v>0.17539801399999999</v>
      </c>
      <c r="G215" s="26">
        <v>10996.6960506</v>
      </c>
      <c r="H215" s="23">
        <v>20</v>
      </c>
    </row>
    <row r="216" spans="1:8" x14ac:dyDescent="0.25">
      <c r="A216" s="23">
        <v>52490</v>
      </c>
      <c r="B216" s="23">
        <v>1973</v>
      </c>
      <c r="C216" s="24">
        <v>9.0525599999999997</v>
      </c>
      <c r="D216" s="24">
        <v>482.84774999999996</v>
      </c>
      <c r="E216" s="24">
        <f t="shared" si="3"/>
        <v>53.338254593175847</v>
      </c>
      <c r="F216" s="25">
        <v>0.17499999999999999</v>
      </c>
      <c r="G216" s="26">
        <v>15678.9167669</v>
      </c>
      <c r="H216" s="23">
        <v>20</v>
      </c>
    </row>
    <row r="217" spans="1:8" x14ac:dyDescent="0.25">
      <c r="A217" s="23">
        <v>45733</v>
      </c>
      <c r="B217" s="23">
        <v>1973</v>
      </c>
      <c r="C217" s="24">
        <v>12.100560000000002</v>
      </c>
      <c r="D217" s="24">
        <v>827.61637199999996</v>
      </c>
      <c r="E217" s="24">
        <f t="shared" si="3"/>
        <v>68.394881889763766</v>
      </c>
      <c r="F217" s="25">
        <v>0.17503199999999999</v>
      </c>
      <c r="G217" s="26">
        <v>15749.811109</v>
      </c>
      <c r="H217" s="23">
        <v>20</v>
      </c>
    </row>
    <row r="218" spans="1:8" x14ac:dyDescent="0.25">
      <c r="A218" s="23">
        <v>47613</v>
      </c>
      <c r="B218" s="23">
        <v>1973</v>
      </c>
      <c r="C218" s="24">
        <v>30.48</v>
      </c>
      <c r="D218" s="24">
        <v>452.423</v>
      </c>
      <c r="E218" s="24">
        <f t="shared" si="3"/>
        <v>14.843274278215222</v>
      </c>
      <c r="F218" s="25">
        <v>0.22499399</v>
      </c>
      <c r="G218" s="26">
        <v>178.026442852</v>
      </c>
      <c r="H218" s="23">
        <v>20</v>
      </c>
    </row>
    <row r="219" spans="1:8" x14ac:dyDescent="0.25">
      <c r="A219" s="23">
        <v>47466</v>
      </c>
      <c r="B219" s="23">
        <v>1973</v>
      </c>
      <c r="C219" s="24">
        <v>8.1991200000000006</v>
      </c>
      <c r="D219" s="24">
        <v>243.90337600000001</v>
      </c>
      <c r="E219" s="24">
        <f t="shared" si="3"/>
        <v>29.747506561679788</v>
      </c>
      <c r="F219" s="25">
        <v>0.174704</v>
      </c>
      <c r="G219" s="26">
        <v>5710.4539690600004</v>
      </c>
      <c r="H219" s="23">
        <v>20</v>
      </c>
    </row>
    <row r="220" spans="1:8" x14ac:dyDescent="0.25">
      <c r="A220" s="23">
        <v>47511</v>
      </c>
      <c r="B220" s="23">
        <v>1973</v>
      </c>
      <c r="C220" s="24">
        <v>8.3515200000000007</v>
      </c>
      <c r="D220" s="24">
        <v>259.63692000000003</v>
      </c>
      <c r="E220" s="24">
        <f t="shared" si="3"/>
        <v>31.088582677165356</v>
      </c>
      <c r="F220" s="25">
        <v>0.17543998999999999</v>
      </c>
      <c r="G220" s="26">
        <v>6206.3555507199999</v>
      </c>
      <c r="H220" s="23">
        <v>20</v>
      </c>
    </row>
    <row r="221" spans="1:8" x14ac:dyDescent="0.25">
      <c r="A221" s="23">
        <v>46806</v>
      </c>
      <c r="B221" s="23">
        <v>1973</v>
      </c>
      <c r="C221" s="24">
        <v>30.48</v>
      </c>
      <c r="D221" s="24">
        <v>510.95</v>
      </c>
      <c r="E221" s="24">
        <f t="shared" si="3"/>
        <v>16.763451443569554</v>
      </c>
      <c r="F221" s="25">
        <v>0.22494999500000001</v>
      </c>
      <c r="G221" s="26">
        <v>405.264121864</v>
      </c>
      <c r="H221" s="23">
        <v>20</v>
      </c>
    </row>
    <row r="222" spans="1:8" x14ac:dyDescent="0.25">
      <c r="A222" s="23">
        <v>46645</v>
      </c>
      <c r="B222" s="23">
        <v>1973</v>
      </c>
      <c r="C222" s="24">
        <v>30.48</v>
      </c>
      <c r="D222" s="24">
        <v>557.4</v>
      </c>
      <c r="E222" s="24">
        <f t="shared" si="3"/>
        <v>18.287401574803148</v>
      </c>
      <c r="F222" s="25">
        <v>0.17520000599999999</v>
      </c>
      <c r="G222" s="26">
        <v>545.92009449600005</v>
      </c>
      <c r="H222" s="23">
        <v>20</v>
      </c>
    </row>
    <row r="223" spans="1:8" x14ac:dyDescent="0.25">
      <c r="A223" s="23">
        <v>50083</v>
      </c>
      <c r="B223" s="23">
        <v>1973</v>
      </c>
      <c r="C223" s="24">
        <v>30.48</v>
      </c>
      <c r="D223" s="24">
        <v>636.36500000000001</v>
      </c>
      <c r="E223" s="24">
        <f t="shared" si="3"/>
        <v>20.878116797900262</v>
      </c>
      <c r="F223" s="25">
        <v>0.22468000699999999</v>
      </c>
      <c r="G223" s="26">
        <v>1149.07770781</v>
      </c>
      <c r="H223" s="23">
        <v>20</v>
      </c>
    </row>
    <row r="224" spans="1:8" x14ac:dyDescent="0.25">
      <c r="A224" s="23">
        <v>50082</v>
      </c>
      <c r="B224" s="23">
        <v>1973</v>
      </c>
      <c r="C224" s="24">
        <v>30.48</v>
      </c>
      <c r="D224" s="24">
        <v>636.36500000000001</v>
      </c>
      <c r="E224" s="24">
        <f t="shared" si="3"/>
        <v>20.878116797900262</v>
      </c>
      <c r="F224" s="25">
        <v>0.22468000699999999</v>
      </c>
      <c r="G224" s="26">
        <v>842.62619442799996</v>
      </c>
      <c r="H224" s="23">
        <v>20</v>
      </c>
    </row>
    <row r="225" spans="1:8" x14ac:dyDescent="0.25">
      <c r="A225" s="23">
        <v>45620</v>
      </c>
      <c r="B225" s="23">
        <v>1973</v>
      </c>
      <c r="C225" s="24">
        <v>30.48</v>
      </c>
      <c r="D225" s="24">
        <v>845.39</v>
      </c>
      <c r="E225" s="24">
        <f t="shared" si="3"/>
        <v>27.735892388451443</v>
      </c>
      <c r="F225" s="25">
        <v>0.224769991</v>
      </c>
      <c r="G225" s="26">
        <v>257.32648114300002</v>
      </c>
      <c r="H225" s="23">
        <v>20</v>
      </c>
    </row>
    <row r="226" spans="1:8" x14ac:dyDescent="0.25">
      <c r="A226" s="23">
        <v>28224</v>
      </c>
      <c r="B226" s="23">
        <v>1973</v>
      </c>
      <c r="C226" s="24">
        <v>6.7665600000000001</v>
      </c>
      <c r="D226" s="24">
        <v>247.69183799999996</v>
      </c>
      <c r="E226" s="24">
        <f t="shared" si="3"/>
        <v>36.605282152230963</v>
      </c>
      <c r="F226" s="25">
        <v>0.175346012</v>
      </c>
      <c r="G226" s="26">
        <v>573.71434186299996</v>
      </c>
      <c r="H226" s="23">
        <v>20</v>
      </c>
    </row>
    <row r="227" spans="1:8" x14ac:dyDescent="0.25">
      <c r="A227" s="23">
        <v>46828</v>
      </c>
      <c r="B227" s="23">
        <v>1973</v>
      </c>
      <c r="C227" s="24">
        <v>8.9306400000000004</v>
      </c>
      <c r="D227" s="24">
        <v>550.92672799999991</v>
      </c>
      <c r="E227" s="24">
        <f t="shared" si="3"/>
        <v>61.689501312335949</v>
      </c>
      <c r="F227" s="25">
        <v>0.174063994</v>
      </c>
      <c r="G227" s="26">
        <v>4838.1172075300001</v>
      </c>
      <c r="H227" s="23">
        <v>20</v>
      </c>
    </row>
    <row r="228" spans="1:8" x14ac:dyDescent="0.25">
      <c r="A228" s="23">
        <v>47349</v>
      </c>
      <c r="B228" s="23">
        <v>1973</v>
      </c>
      <c r="C228" s="24">
        <v>10.393680000000002</v>
      </c>
      <c r="D228" s="24">
        <v>690.60001999999997</v>
      </c>
      <c r="E228" s="24">
        <f t="shared" si="3"/>
        <v>66.444225721784761</v>
      </c>
      <c r="F228" s="25">
        <v>0.174399996</v>
      </c>
      <c r="G228" s="26">
        <v>4767.0871571099997</v>
      </c>
      <c r="H228" s="23">
        <v>20</v>
      </c>
    </row>
    <row r="229" spans="1:8" x14ac:dyDescent="0.25">
      <c r="A229" s="23">
        <v>47500</v>
      </c>
      <c r="B229" s="23">
        <v>1973</v>
      </c>
      <c r="C229" s="24">
        <v>7.6809599999999998</v>
      </c>
      <c r="D229" s="24">
        <v>522.76316399999996</v>
      </c>
      <c r="E229" s="24">
        <f t="shared" si="3"/>
        <v>68.059612860892386</v>
      </c>
      <c r="F229" s="25">
        <v>0.174174</v>
      </c>
      <c r="G229" s="26">
        <v>2375.03904706</v>
      </c>
      <c r="H229" s="23">
        <v>20</v>
      </c>
    </row>
    <row r="230" spans="1:8" x14ac:dyDescent="0.25">
      <c r="A230" s="23">
        <v>47501</v>
      </c>
      <c r="B230" s="23">
        <v>1973</v>
      </c>
      <c r="C230" s="24">
        <v>7.6809599999999998</v>
      </c>
      <c r="D230" s="24">
        <v>522.76316399999996</v>
      </c>
      <c r="E230" s="24">
        <f t="shared" si="3"/>
        <v>68.059612860892386</v>
      </c>
      <c r="F230" s="25">
        <v>0.174174</v>
      </c>
      <c r="G230" s="26">
        <v>3096.6700393800002</v>
      </c>
      <c r="H230" s="23">
        <v>20</v>
      </c>
    </row>
    <row r="231" spans="1:8" x14ac:dyDescent="0.25">
      <c r="A231" s="23">
        <v>46418</v>
      </c>
      <c r="B231" s="23">
        <v>1973</v>
      </c>
      <c r="C231" s="24">
        <v>7.8638400000000006</v>
      </c>
      <c r="D231" s="24">
        <v>564.930474</v>
      </c>
      <c r="E231" s="24">
        <f t="shared" si="3"/>
        <v>71.839009186351703</v>
      </c>
      <c r="F231" s="25">
        <v>0.17441799799999999</v>
      </c>
      <c r="G231" s="26">
        <v>3516.9660620499999</v>
      </c>
      <c r="H231" s="23">
        <v>20</v>
      </c>
    </row>
    <row r="232" spans="1:8" x14ac:dyDescent="0.25">
      <c r="A232" s="23">
        <v>45732</v>
      </c>
      <c r="B232" s="23">
        <v>1973</v>
      </c>
      <c r="C232" s="24">
        <v>8.5039200000000008</v>
      </c>
      <c r="D232" s="24">
        <v>651.08779199999992</v>
      </c>
      <c r="E232" s="24">
        <f t="shared" si="3"/>
        <v>76.563254593175841</v>
      </c>
      <c r="F232" s="25">
        <v>0.175839995</v>
      </c>
      <c r="G232" s="26">
        <v>6287.6730040100001</v>
      </c>
      <c r="H232" s="23">
        <v>20</v>
      </c>
    </row>
    <row r="233" spans="1:8" x14ac:dyDescent="0.25">
      <c r="A233" s="23">
        <v>47731</v>
      </c>
      <c r="B233" s="23">
        <v>1973</v>
      </c>
      <c r="C233" s="24">
        <v>9.3878400000000006</v>
      </c>
      <c r="D233" s="24">
        <v>579.98956399999997</v>
      </c>
      <c r="E233" s="24">
        <f t="shared" si="3"/>
        <v>61.78093832020997</v>
      </c>
      <c r="F233" s="25">
        <v>0.17432199400000001</v>
      </c>
      <c r="G233" s="26">
        <v>10642.584769900001</v>
      </c>
      <c r="H233" s="23">
        <v>20</v>
      </c>
    </row>
    <row r="234" spans="1:8" x14ac:dyDescent="0.25">
      <c r="A234" s="23">
        <v>57769</v>
      </c>
      <c r="B234" s="23">
        <v>1974</v>
      </c>
      <c r="C234" s="24">
        <v>30.48</v>
      </c>
      <c r="D234" s="24">
        <v>308.428</v>
      </c>
      <c r="E234" s="24">
        <f t="shared" si="3"/>
        <v>10.119028871391077</v>
      </c>
      <c r="F234" s="25">
        <v>0.22509599699999999</v>
      </c>
      <c r="G234" s="26">
        <v>559.10746974300002</v>
      </c>
      <c r="H234" s="23">
        <v>20</v>
      </c>
    </row>
    <row r="235" spans="1:8" x14ac:dyDescent="0.25">
      <c r="A235" s="23">
        <v>51042</v>
      </c>
      <c r="B235" s="23">
        <v>1974</v>
      </c>
      <c r="C235" s="24">
        <v>5.8521600000000005</v>
      </c>
      <c r="D235" s="24">
        <v>127.88985600000001</v>
      </c>
      <c r="E235" s="24">
        <f t="shared" si="3"/>
        <v>21.853444881889764</v>
      </c>
      <c r="F235" s="25">
        <v>0.17494799999999999</v>
      </c>
      <c r="G235" s="26">
        <v>5646.1725897599999</v>
      </c>
      <c r="H235" s="23">
        <v>20</v>
      </c>
    </row>
    <row r="236" spans="1:8" x14ac:dyDescent="0.25">
      <c r="A236" s="23">
        <v>70168</v>
      </c>
      <c r="B236" s="23">
        <v>1974</v>
      </c>
      <c r="C236" s="24">
        <v>7.0104000000000006</v>
      </c>
      <c r="D236" s="24">
        <v>383.32397999999995</v>
      </c>
      <c r="E236" s="24">
        <f t="shared" si="3"/>
        <v>54.679330708661404</v>
      </c>
      <c r="F236" s="25">
        <v>0.175812002</v>
      </c>
      <c r="G236" s="26">
        <v>12037.9225542</v>
      </c>
      <c r="H236" s="23">
        <v>20</v>
      </c>
    </row>
    <row r="237" spans="1:8" x14ac:dyDescent="0.25">
      <c r="A237" s="23">
        <v>51883</v>
      </c>
      <c r="B237" s="23">
        <v>1974</v>
      </c>
      <c r="C237" s="24">
        <v>6.61416</v>
      </c>
      <c r="D237" s="24">
        <v>338.87783300000001</v>
      </c>
      <c r="E237" s="24">
        <f t="shared" si="3"/>
        <v>51.235203412073488</v>
      </c>
      <c r="F237" s="25">
        <v>0.17482400000000001</v>
      </c>
      <c r="G237" s="26">
        <v>11275.747995199999</v>
      </c>
      <c r="H237" s="23">
        <v>20</v>
      </c>
    </row>
    <row r="238" spans="1:8" x14ac:dyDescent="0.25">
      <c r="A238" s="23">
        <v>10505</v>
      </c>
      <c r="B238" s="23">
        <v>1974</v>
      </c>
      <c r="C238" s="24">
        <v>6.7665600000000001</v>
      </c>
      <c r="D238" s="24">
        <v>95.900669999999991</v>
      </c>
      <c r="E238" s="24">
        <f t="shared" si="3"/>
        <v>14.172736220472439</v>
      </c>
      <c r="F238" s="25">
        <v>0.17484</v>
      </c>
      <c r="G238" s="26">
        <v>681.46395069000005</v>
      </c>
      <c r="H238" s="23">
        <v>20</v>
      </c>
    </row>
    <row r="239" spans="1:8" x14ac:dyDescent="0.25">
      <c r="A239" s="23">
        <v>50330</v>
      </c>
      <c r="B239" s="23">
        <v>1974</v>
      </c>
      <c r="C239" s="24">
        <v>6.9494400000000009</v>
      </c>
      <c r="D239" s="24">
        <v>379.77891599999998</v>
      </c>
      <c r="E239" s="24">
        <f t="shared" si="3"/>
        <v>54.648851706036737</v>
      </c>
      <c r="F239" s="25">
        <v>0.17571400200000001</v>
      </c>
      <c r="G239" s="26">
        <v>10998.264448100001</v>
      </c>
      <c r="H239" s="23">
        <v>20</v>
      </c>
    </row>
    <row r="240" spans="1:8" x14ac:dyDescent="0.25">
      <c r="A240" s="23">
        <v>7513</v>
      </c>
      <c r="B240" s="23">
        <v>1974</v>
      </c>
      <c r="C240" s="24">
        <v>30.48</v>
      </c>
      <c r="D240" s="24">
        <v>499.80199999999996</v>
      </c>
      <c r="E240" s="24">
        <f t="shared" si="3"/>
        <v>16.39770341207349</v>
      </c>
      <c r="F240" s="25">
        <v>0.22488401099999999</v>
      </c>
      <c r="G240" s="26">
        <v>377.04084152899998</v>
      </c>
      <c r="H240" s="23">
        <v>20</v>
      </c>
    </row>
    <row r="241" spans="1:8" x14ac:dyDescent="0.25">
      <c r="A241" s="23">
        <v>51576</v>
      </c>
      <c r="B241" s="23">
        <v>1974</v>
      </c>
      <c r="C241" s="24">
        <v>9.2354400000000005</v>
      </c>
      <c r="D241" s="24">
        <v>460.79421899999994</v>
      </c>
      <c r="E241" s="24">
        <f t="shared" si="3"/>
        <v>49.894127296587918</v>
      </c>
      <c r="F241" s="25">
        <v>0.17515900000000001</v>
      </c>
      <c r="G241" s="26">
        <v>14546.8488497</v>
      </c>
      <c r="H241" s="23">
        <v>20</v>
      </c>
    </row>
    <row r="242" spans="1:8" x14ac:dyDescent="0.25">
      <c r="A242" s="23">
        <v>47999</v>
      </c>
      <c r="B242" s="23">
        <v>1974</v>
      </c>
      <c r="C242" s="24">
        <v>30.48</v>
      </c>
      <c r="D242" s="24">
        <v>510.02099999999996</v>
      </c>
      <c r="E242" s="24">
        <f t="shared" si="3"/>
        <v>16.732972440944881</v>
      </c>
      <c r="F242" s="25">
        <v>0.22509000000000001</v>
      </c>
      <c r="G242" s="26">
        <v>194.925687229</v>
      </c>
      <c r="H242" s="23">
        <v>20</v>
      </c>
    </row>
    <row r="243" spans="1:8" x14ac:dyDescent="0.25">
      <c r="A243" s="23">
        <v>47998</v>
      </c>
      <c r="B243" s="23">
        <v>1974</v>
      </c>
      <c r="C243" s="24">
        <v>30.48</v>
      </c>
      <c r="D243" s="24">
        <v>567.61900000000003</v>
      </c>
      <c r="E243" s="24">
        <f t="shared" si="3"/>
        <v>18.622670603674543</v>
      </c>
      <c r="F243" s="25">
        <v>0.22484800599999999</v>
      </c>
      <c r="G243" s="26">
        <v>199.158852067</v>
      </c>
      <c r="H243" s="23">
        <v>20</v>
      </c>
    </row>
    <row r="244" spans="1:8" x14ac:dyDescent="0.25">
      <c r="A244" s="23">
        <v>50325</v>
      </c>
      <c r="B244" s="23">
        <v>1974</v>
      </c>
      <c r="C244" s="24">
        <v>7.9248000000000003</v>
      </c>
      <c r="D244" s="24">
        <v>446.12437999999997</v>
      </c>
      <c r="E244" s="24">
        <f t="shared" si="3"/>
        <v>56.294717847769022</v>
      </c>
      <c r="F244" s="25">
        <v>0.17546500400000001</v>
      </c>
      <c r="G244" s="26">
        <v>9368.98585705</v>
      </c>
      <c r="H244" s="23">
        <v>20</v>
      </c>
    </row>
    <row r="245" spans="1:8" x14ac:dyDescent="0.25">
      <c r="A245" s="23">
        <v>50324</v>
      </c>
      <c r="B245" s="23">
        <v>1974</v>
      </c>
      <c r="C245" s="24">
        <v>7.7419200000000004</v>
      </c>
      <c r="D245" s="24">
        <v>438.42482799999993</v>
      </c>
      <c r="E245" s="24">
        <f t="shared" si="3"/>
        <v>56.629986876640409</v>
      </c>
      <c r="F245" s="25">
        <v>0.174652</v>
      </c>
      <c r="G245" s="26">
        <v>7917.5619312700001</v>
      </c>
      <c r="H245" s="23">
        <v>20</v>
      </c>
    </row>
    <row r="246" spans="1:8" x14ac:dyDescent="0.25">
      <c r="A246" s="23">
        <v>90559</v>
      </c>
      <c r="B246" s="23">
        <v>1974</v>
      </c>
      <c r="C246" s="24">
        <v>8.8087199999999992</v>
      </c>
      <c r="D246" s="24">
        <v>535.619595</v>
      </c>
      <c r="E246" s="24">
        <f t="shared" si="3"/>
        <v>60.805610236220481</v>
      </c>
      <c r="F246" s="25">
        <v>0.17556000199999999</v>
      </c>
      <c r="G246" s="26">
        <v>6940.3015765299997</v>
      </c>
      <c r="H246" s="23">
        <v>20</v>
      </c>
    </row>
    <row r="247" spans="1:8" x14ac:dyDescent="0.25">
      <c r="A247" s="23">
        <v>49649</v>
      </c>
      <c r="B247" s="23">
        <v>1974</v>
      </c>
      <c r="C247" s="24">
        <v>10.668000000000001</v>
      </c>
      <c r="D247" s="24">
        <v>726.38509999999997</v>
      </c>
      <c r="E247" s="24">
        <f t="shared" si="3"/>
        <v>68.090091863517046</v>
      </c>
      <c r="F247" s="25">
        <v>0.17425199999999999</v>
      </c>
      <c r="G247" s="26">
        <v>5659.9262096000002</v>
      </c>
      <c r="H247" s="23">
        <v>20</v>
      </c>
    </row>
    <row r="248" spans="1:8" x14ac:dyDescent="0.25">
      <c r="A248" s="23">
        <v>48882</v>
      </c>
      <c r="B248" s="23">
        <v>1974</v>
      </c>
      <c r="C248" s="24">
        <v>7.3761600000000005</v>
      </c>
      <c r="D248" s="24">
        <v>446.71336600000001</v>
      </c>
      <c r="E248" s="24">
        <f t="shared" si="3"/>
        <v>60.561778215223093</v>
      </c>
      <c r="F248" s="25">
        <v>0.17485600200000001</v>
      </c>
      <c r="G248" s="26">
        <v>32.452421733400001</v>
      </c>
      <c r="H248" s="23">
        <v>20</v>
      </c>
    </row>
    <row r="249" spans="1:8" x14ac:dyDescent="0.25">
      <c r="A249" s="23">
        <v>47920</v>
      </c>
      <c r="B249" s="23">
        <v>1974</v>
      </c>
      <c r="C249" s="24">
        <v>7.8638400000000006</v>
      </c>
      <c r="D249" s="24">
        <v>564.930474</v>
      </c>
      <c r="E249" s="24">
        <f t="shared" si="3"/>
        <v>71.839009186351703</v>
      </c>
      <c r="F249" s="25">
        <v>0.17441799799999999</v>
      </c>
      <c r="G249" s="26">
        <v>3278.9543017400001</v>
      </c>
      <c r="H249" s="23">
        <v>20</v>
      </c>
    </row>
    <row r="250" spans="1:8" x14ac:dyDescent="0.25">
      <c r="A250" s="23">
        <v>48830</v>
      </c>
      <c r="B250" s="23">
        <v>1974</v>
      </c>
      <c r="C250" s="24">
        <v>8.5039200000000008</v>
      </c>
      <c r="D250" s="24">
        <v>651.08779199999992</v>
      </c>
      <c r="E250" s="24">
        <f t="shared" si="3"/>
        <v>76.563254593175841</v>
      </c>
      <c r="F250" s="25">
        <v>0.175839995</v>
      </c>
      <c r="G250" s="26">
        <v>5504.8482295399999</v>
      </c>
      <c r="H250" s="23">
        <v>20</v>
      </c>
    </row>
    <row r="251" spans="1:8" x14ac:dyDescent="0.25">
      <c r="A251" s="23">
        <v>50218</v>
      </c>
      <c r="B251" s="23">
        <v>1974</v>
      </c>
      <c r="C251" s="24">
        <v>9.2049599999999998</v>
      </c>
      <c r="D251" s="24">
        <v>749.08985999999993</v>
      </c>
      <c r="E251" s="24">
        <f t="shared" si="3"/>
        <v>81.378937007874015</v>
      </c>
      <c r="F251" s="25">
        <v>0.17622000500000001</v>
      </c>
      <c r="G251" s="26">
        <v>6953.9712028499998</v>
      </c>
      <c r="H251" s="23">
        <v>20</v>
      </c>
    </row>
    <row r="252" spans="1:8" x14ac:dyDescent="0.25">
      <c r="A252" s="23">
        <v>48240</v>
      </c>
      <c r="B252" s="23">
        <v>1974</v>
      </c>
      <c r="C252" s="24">
        <v>9.2049599999999998</v>
      </c>
      <c r="D252" s="24">
        <v>749.08985999999993</v>
      </c>
      <c r="E252" s="24">
        <f t="shared" si="3"/>
        <v>81.378937007874015</v>
      </c>
      <c r="F252" s="25">
        <v>0.17622000500000001</v>
      </c>
      <c r="G252" s="26">
        <v>7632.2552525800002</v>
      </c>
      <c r="H252" s="23">
        <v>20</v>
      </c>
    </row>
    <row r="253" spans="1:8" x14ac:dyDescent="0.25">
      <c r="A253" s="23">
        <v>50157</v>
      </c>
      <c r="B253" s="23">
        <v>1974</v>
      </c>
      <c r="C253" s="24">
        <v>8.9916</v>
      </c>
      <c r="D253" s="24">
        <v>657.73199999999997</v>
      </c>
      <c r="E253" s="24">
        <f t="shared" si="3"/>
        <v>73.149606299212593</v>
      </c>
      <c r="F253" s="25">
        <v>0.17520000699999999</v>
      </c>
      <c r="G253" s="26">
        <v>9589.3237281799993</v>
      </c>
      <c r="H253" s="23">
        <v>20</v>
      </c>
    </row>
    <row r="254" spans="1:8" x14ac:dyDescent="0.25">
      <c r="A254" s="23">
        <v>55337</v>
      </c>
      <c r="B254" s="23">
        <v>1975</v>
      </c>
      <c r="C254" s="24">
        <v>30.48</v>
      </c>
      <c r="D254" s="24">
        <v>308.428</v>
      </c>
      <c r="E254" s="24">
        <f t="shared" si="3"/>
        <v>10.119028871391077</v>
      </c>
      <c r="F254" s="25">
        <v>0.22509599699999999</v>
      </c>
      <c r="G254" s="26">
        <v>471.66390172299998</v>
      </c>
      <c r="H254" s="23">
        <v>20</v>
      </c>
    </row>
    <row r="255" spans="1:8" x14ac:dyDescent="0.25">
      <c r="A255" s="23">
        <v>53401</v>
      </c>
      <c r="B255" s="23">
        <v>1975</v>
      </c>
      <c r="C255" s="24">
        <v>30.48</v>
      </c>
      <c r="D255" s="24">
        <v>330.72399999999999</v>
      </c>
      <c r="E255" s="24">
        <f t="shared" si="3"/>
        <v>10.850524934383202</v>
      </c>
      <c r="F255" s="25">
        <v>0.22499200699999999</v>
      </c>
      <c r="G255" s="26">
        <v>414.73783707600001</v>
      </c>
      <c r="H255" s="23">
        <v>20</v>
      </c>
    </row>
    <row r="256" spans="1:8" x14ac:dyDescent="0.25">
      <c r="A256" s="23">
        <v>53400</v>
      </c>
      <c r="B256" s="23">
        <v>1975</v>
      </c>
      <c r="C256" s="24">
        <v>7.0104000000000006</v>
      </c>
      <c r="D256" s="24">
        <v>34.614539999999998</v>
      </c>
      <c r="E256" s="24">
        <f t="shared" si="3"/>
        <v>4.9375984251968497</v>
      </c>
      <c r="F256" s="25">
        <v>0.17496</v>
      </c>
      <c r="G256" s="26">
        <v>262.435541366</v>
      </c>
      <c r="H256" s="23">
        <v>20</v>
      </c>
    </row>
    <row r="257" spans="1:8" x14ac:dyDescent="0.25">
      <c r="A257" s="23">
        <v>53210</v>
      </c>
      <c r="B257" s="23">
        <v>1975</v>
      </c>
      <c r="C257" s="24">
        <v>7.3456800000000007</v>
      </c>
      <c r="D257" s="24">
        <v>112.168389</v>
      </c>
      <c r="E257" s="24">
        <f t="shared" ref="E257:E320" si="4">D257/C257</f>
        <v>15.269980314960629</v>
      </c>
      <c r="F257" s="25">
        <v>0.174849</v>
      </c>
      <c r="G257" s="26">
        <v>1324.33018427</v>
      </c>
      <c r="H257" s="23">
        <v>20</v>
      </c>
    </row>
    <row r="258" spans="1:8" x14ac:dyDescent="0.25">
      <c r="A258" s="23">
        <v>52216</v>
      </c>
      <c r="B258" s="23">
        <v>1975</v>
      </c>
      <c r="C258" s="24">
        <v>30.48</v>
      </c>
      <c r="D258" s="24">
        <v>314.93099999999998</v>
      </c>
      <c r="E258" s="24">
        <f t="shared" si="4"/>
        <v>10.332381889763779</v>
      </c>
      <c r="F258" s="25">
        <v>0.22509599299999999</v>
      </c>
      <c r="G258" s="26">
        <v>242.00035490799999</v>
      </c>
      <c r="H258" s="23">
        <v>20</v>
      </c>
    </row>
    <row r="259" spans="1:8" x14ac:dyDescent="0.25">
      <c r="A259" s="23">
        <v>51935</v>
      </c>
      <c r="B259" s="23">
        <v>1975</v>
      </c>
      <c r="C259" s="24">
        <v>6.9494400000000009</v>
      </c>
      <c r="D259" s="24">
        <v>379.77891599999998</v>
      </c>
      <c r="E259" s="24">
        <f t="shared" si="4"/>
        <v>54.648851706036737</v>
      </c>
      <c r="F259" s="25">
        <v>0.17571400200000001</v>
      </c>
      <c r="G259" s="26">
        <v>11386.936456699999</v>
      </c>
      <c r="H259" s="23">
        <v>20</v>
      </c>
    </row>
    <row r="260" spans="1:8" x14ac:dyDescent="0.25">
      <c r="A260" s="23">
        <v>56928</v>
      </c>
      <c r="B260" s="23">
        <v>1975</v>
      </c>
      <c r="C260" s="24">
        <v>8.7782400000000003</v>
      </c>
      <c r="D260" s="24">
        <v>482.66380800000002</v>
      </c>
      <c r="E260" s="24">
        <f t="shared" si="4"/>
        <v>54.984120734908139</v>
      </c>
      <c r="F260" s="25">
        <v>0.17498799800000001</v>
      </c>
      <c r="G260" s="26">
        <v>11870.5653843</v>
      </c>
      <c r="H260" s="23">
        <v>20</v>
      </c>
    </row>
    <row r="261" spans="1:8" x14ac:dyDescent="0.25">
      <c r="A261" s="23">
        <v>55847</v>
      </c>
      <c r="B261" s="23">
        <v>1975</v>
      </c>
      <c r="C261" s="24">
        <v>8.1991200000000006</v>
      </c>
      <c r="D261" s="24">
        <v>243.90337600000001</v>
      </c>
      <c r="E261" s="24">
        <f t="shared" si="4"/>
        <v>29.747506561679788</v>
      </c>
      <c r="F261" s="25">
        <v>0.174704</v>
      </c>
      <c r="G261" s="26">
        <v>5421.0597911699997</v>
      </c>
      <c r="H261" s="23">
        <v>20</v>
      </c>
    </row>
    <row r="262" spans="1:8" x14ac:dyDescent="0.25">
      <c r="A262" s="23">
        <v>52016</v>
      </c>
      <c r="B262" s="23">
        <v>1975</v>
      </c>
      <c r="C262" s="24">
        <v>9.6012000000000004</v>
      </c>
      <c r="D262" s="24">
        <v>614.24086499999999</v>
      </c>
      <c r="E262" s="24">
        <f t="shared" si="4"/>
        <v>63.975426509186349</v>
      </c>
      <c r="F262" s="25">
        <v>0.17421699600000001</v>
      </c>
      <c r="G262" s="26">
        <v>7462.7555275799996</v>
      </c>
      <c r="H262" s="23">
        <v>20</v>
      </c>
    </row>
    <row r="263" spans="1:8" x14ac:dyDescent="0.25">
      <c r="A263" s="23">
        <v>55983</v>
      </c>
      <c r="B263" s="23">
        <v>1975</v>
      </c>
      <c r="C263" s="24">
        <v>8.8087199999999992</v>
      </c>
      <c r="D263" s="24">
        <v>325.66745300000002</v>
      </c>
      <c r="E263" s="24">
        <f t="shared" si="4"/>
        <v>36.971030183727038</v>
      </c>
      <c r="F263" s="25">
        <v>0.17467199999999999</v>
      </c>
      <c r="G263" s="26">
        <v>7868.8321405400002</v>
      </c>
      <c r="H263" s="23">
        <v>20</v>
      </c>
    </row>
    <row r="264" spans="1:8" x14ac:dyDescent="0.25">
      <c r="A264" s="23">
        <v>55984</v>
      </c>
      <c r="B264" s="23">
        <v>1975</v>
      </c>
      <c r="C264" s="24">
        <v>8.6258400000000002</v>
      </c>
      <c r="D264" s="24">
        <v>306.54956199999998</v>
      </c>
      <c r="E264" s="24">
        <f t="shared" si="4"/>
        <v>35.538517060367454</v>
      </c>
      <c r="F264" s="25">
        <v>0.1749</v>
      </c>
      <c r="G264" s="26">
        <v>6809.3700056199996</v>
      </c>
      <c r="H264" s="23">
        <v>20</v>
      </c>
    </row>
    <row r="265" spans="1:8" x14ac:dyDescent="0.25">
      <c r="A265" s="23">
        <v>50473</v>
      </c>
      <c r="B265" s="23">
        <v>1975</v>
      </c>
      <c r="C265" s="24">
        <v>7.5590400000000004</v>
      </c>
      <c r="D265" s="24">
        <v>432.67617599999994</v>
      </c>
      <c r="E265" s="24">
        <f t="shared" si="4"/>
        <v>57.239566929133851</v>
      </c>
      <c r="F265" s="25">
        <v>0.17465399600000001</v>
      </c>
      <c r="G265" s="26">
        <v>6637.4830920000004</v>
      </c>
      <c r="H265" s="23">
        <v>20</v>
      </c>
    </row>
    <row r="266" spans="1:8" x14ac:dyDescent="0.25">
      <c r="A266" s="23">
        <v>51970</v>
      </c>
      <c r="B266" s="23">
        <v>1975</v>
      </c>
      <c r="C266" s="24">
        <v>10.119360000000002</v>
      </c>
      <c r="D266" s="24">
        <v>666.51290800000004</v>
      </c>
      <c r="E266" s="24">
        <f t="shared" si="4"/>
        <v>65.865124671916007</v>
      </c>
      <c r="F266" s="25">
        <v>0.175041</v>
      </c>
      <c r="G266" s="26">
        <v>2792.940814</v>
      </c>
      <c r="H266" s="23">
        <v>20</v>
      </c>
    </row>
    <row r="267" spans="1:8" x14ac:dyDescent="0.25">
      <c r="A267" s="23">
        <v>51647</v>
      </c>
      <c r="B267" s="23">
        <v>1975</v>
      </c>
      <c r="C267" s="24">
        <v>7.1932800000000006</v>
      </c>
      <c r="D267" s="24">
        <v>451.42339599999997</v>
      </c>
      <c r="E267" s="24">
        <f t="shared" si="4"/>
        <v>62.756266404199465</v>
      </c>
      <c r="F267" s="25">
        <v>0.175015002</v>
      </c>
      <c r="G267" s="26">
        <v>1279.3848967900001</v>
      </c>
      <c r="H267" s="23">
        <v>20</v>
      </c>
    </row>
    <row r="268" spans="1:8" x14ac:dyDescent="0.25">
      <c r="A268" s="23">
        <v>55020</v>
      </c>
      <c r="B268" s="23">
        <v>1975</v>
      </c>
      <c r="C268" s="24">
        <v>8.9001599999999996</v>
      </c>
      <c r="D268" s="24">
        <v>706.65314000000001</v>
      </c>
      <c r="E268" s="24">
        <f t="shared" si="4"/>
        <v>79.39780183727035</v>
      </c>
      <c r="F268" s="25">
        <v>0.174534995</v>
      </c>
      <c r="G268" s="26">
        <v>5258.5551031799996</v>
      </c>
      <c r="H268" s="23">
        <v>20</v>
      </c>
    </row>
    <row r="269" spans="1:8" x14ac:dyDescent="0.25">
      <c r="A269" s="23">
        <v>53901</v>
      </c>
      <c r="B269" s="23">
        <v>1975</v>
      </c>
      <c r="C269" s="24">
        <v>9.6621600000000001</v>
      </c>
      <c r="D269" s="24">
        <v>758.02498199999991</v>
      </c>
      <c r="E269" s="24">
        <f t="shared" si="4"/>
        <v>78.4529527559055</v>
      </c>
      <c r="F269" s="25">
        <v>0.17503199999999999</v>
      </c>
      <c r="G269" s="26">
        <v>6585.4335718399998</v>
      </c>
      <c r="H269" s="23">
        <v>20</v>
      </c>
    </row>
    <row r="270" spans="1:8" x14ac:dyDescent="0.25">
      <c r="A270" s="23">
        <v>51844</v>
      </c>
      <c r="B270" s="23">
        <v>1975</v>
      </c>
      <c r="C270" s="24">
        <v>8.2295999999999996</v>
      </c>
      <c r="D270" s="24">
        <v>656.42210999999998</v>
      </c>
      <c r="E270" s="24">
        <f t="shared" si="4"/>
        <v>79.763549868766404</v>
      </c>
      <c r="F270" s="25">
        <v>0.175338995</v>
      </c>
      <c r="G270" s="26">
        <v>9462.1081334400005</v>
      </c>
      <c r="H270" s="23">
        <v>20</v>
      </c>
    </row>
    <row r="271" spans="1:8" x14ac:dyDescent="0.25">
      <c r="A271" s="23">
        <v>51845</v>
      </c>
      <c r="B271" s="23">
        <v>1975</v>
      </c>
      <c r="C271" s="24">
        <v>8.2295999999999996</v>
      </c>
      <c r="D271" s="24">
        <v>656.42210999999998</v>
      </c>
      <c r="E271" s="24">
        <f t="shared" si="4"/>
        <v>79.763549868766404</v>
      </c>
      <c r="F271" s="25">
        <v>0.175338995</v>
      </c>
      <c r="G271" s="26">
        <v>9375.3737468300005</v>
      </c>
      <c r="H271" s="23">
        <v>20</v>
      </c>
    </row>
    <row r="272" spans="1:8" x14ac:dyDescent="0.25">
      <c r="A272" s="23">
        <v>59917</v>
      </c>
      <c r="B272" s="23">
        <v>1976</v>
      </c>
      <c r="C272" s="24">
        <v>6.431280000000001</v>
      </c>
      <c r="D272" s="24">
        <v>138.58543299999999</v>
      </c>
      <c r="E272" s="24">
        <f t="shared" si="4"/>
        <v>21.54865485564304</v>
      </c>
      <c r="F272" s="25">
        <v>0.17533599999999999</v>
      </c>
      <c r="G272" s="26">
        <v>3483.8112144900001</v>
      </c>
      <c r="H272" s="23">
        <v>20</v>
      </c>
    </row>
    <row r="273" spans="1:8" x14ac:dyDescent="0.25">
      <c r="A273" s="23">
        <v>61248</v>
      </c>
      <c r="B273" s="23">
        <v>1976</v>
      </c>
      <c r="C273" s="24">
        <v>6.9494400000000009</v>
      </c>
      <c r="D273" s="24">
        <v>40.456091999999998</v>
      </c>
      <c r="E273" s="24">
        <f t="shared" si="4"/>
        <v>5.8214895013123353</v>
      </c>
      <c r="F273" s="25">
        <v>0.174955998</v>
      </c>
      <c r="G273" s="26">
        <v>496.05582229700002</v>
      </c>
      <c r="H273" s="23">
        <v>20</v>
      </c>
    </row>
    <row r="274" spans="1:8" x14ac:dyDescent="0.25">
      <c r="A274" s="23">
        <v>60251</v>
      </c>
      <c r="B274" s="23">
        <v>1976</v>
      </c>
      <c r="C274" s="24">
        <v>5.5778400000000001</v>
      </c>
      <c r="D274" s="24">
        <v>138.21569099999999</v>
      </c>
      <c r="E274" s="24">
        <f t="shared" si="4"/>
        <v>24.779429133858265</v>
      </c>
      <c r="F274" s="25">
        <v>0.174795008</v>
      </c>
      <c r="G274" s="26">
        <v>9442.22740849</v>
      </c>
      <c r="H274" s="23">
        <v>20</v>
      </c>
    </row>
    <row r="275" spans="1:8" x14ac:dyDescent="0.25">
      <c r="A275" s="23">
        <v>56238</v>
      </c>
      <c r="B275" s="23">
        <v>1976</v>
      </c>
      <c r="C275" s="24">
        <v>30.48</v>
      </c>
      <c r="D275" s="24">
        <v>474.71899999999999</v>
      </c>
      <c r="E275" s="24">
        <f t="shared" si="4"/>
        <v>15.574770341207349</v>
      </c>
      <c r="F275" s="25">
        <v>0.22484000000000001</v>
      </c>
      <c r="G275" s="26">
        <v>324.58092328100003</v>
      </c>
      <c r="H275" s="23">
        <v>20</v>
      </c>
    </row>
    <row r="276" spans="1:8" x14ac:dyDescent="0.25">
      <c r="A276" s="23">
        <v>63980</v>
      </c>
      <c r="B276" s="23">
        <v>1976</v>
      </c>
      <c r="C276" s="24">
        <v>6.1264800000000008</v>
      </c>
      <c r="D276" s="24">
        <v>254.32489799999999</v>
      </c>
      <c r="E276" s="24">
        <f t="shared" si="4"/>
        <v>41.512401574803143</v>
      </c>
      <c r="F276" s="25">
        <v>0.17433599999999999</v>
      </c>
      <c r="G276" s="26">
        <v>5524.0190249799998</v>
      </c>
      <c r="H276" s="23">
        <v>20</v>
      </c>
    </row>
    <row r="277" spans="1:8" x14ac:dyDescent="0.25">
      <c r="A277" s="23">
        <v>61846</v>
      </c>
      <c r="B277" s="23">
        <v>1976</v>
      </c>
      <c r="C277" s="24">
        <v>7.13232</v>
      </c>
      <c r="D277" s="24">
        <v>128.69251199999999</v>
      </c>
      <c r="E277" s="24">
        <f t="shared" si="4"/>
        <v>18.043569553805774</v>
      </c>
      <c r="F277" s="25">
        <v>0.175232</v>
      </c>
      <c r="G277" s="26">
        <v>569.61319991100004</v>
      </c>
      <c r="H277" s="23">
        <v>20</v>
      </c>
    </row>
    <row r="278" spans="1:8" x14ac:dyDescent="0.25">
      <c r="A278" s="23">
        <v>56748</v>
      </c>
      <c r="B278" s="23">
        <v>1976</v>
      </c>
      <c r="C278" s="24">
        <v>7.13232</v>
      </c>
      <c r="D278" s="24">
        <v>128.69251199999999</v>
      </c>
      <c r="E278" s="24">
        <f t="shared" si="4"/>
        <v>18.043569553805774</v>
      </c>
      <c r="F278" s="25">
        <v>0.175232</v>
      </c>
      <c r="G278" s="26">
        <v>243.65866479300001</v>
      </c>
      <c r="H278" s="23">
        <v>20</v>
      </c>
    </row>
    <row r="279" spans="1:8" x14ac:dyDescent="0.25">
      <c r="A279" s="23">
        <v>56694</v>
      </c>
      <c r="B279" s="23">
        <v>1976</v>
      </c>
      <c r="C279" s="24">
        <v>9.9974399999999992</v>
      </c>
      <c r="D279" s="24">
        <v>655.13080000000002</v>
      </c>
      <c r="E279" s="24">
        <f t="shared" si="4"/>
        <v>65.529855643044627</v>
      </c>
      <c r="F279" s="25">
        <v>0.17415</v>
      </c>
      <c r="G279" s="26">
        <v>11846.4627232</v>
      </c>
      <c r="H279" s="23">
        <v>20</v>
      </c>
    </row>
    <row r="280" spans="1:8" x14ac:dyDescent="0.25">
      <c r="A280" s="23">
        <v>60955</v>
      </c>
      <c r="B280" s="23">
        <v>1976</v>
      </c>
      <c r="C280" s="24">
        <v>6.61416</v>
      </c>
      <c r="D280" s="24">
        <v>289.28595499999994</v>
      </c>
      <c r="E280" s="24">
        <f t="shared" si="4"/>
        <v>43.737368766404188</v>
      </c>
      <c r="F280" s="25">
        <v>0.17507</v>
      </c>
      <c r="G280" s="26">
        <v>6662.1712001899996</v>
      </c>
      <c r="H280" s="23">
        <v>20</v>
      </c>
    </row>
    <row r="281" spans="1:8" x14ac:dyDescent="0.25">
      <c r="A281" s="23">
        <v>57724</v>
      </c>
      <c r="B281" s="23">
        <v>1976</v>
      </c>
      <c r="C281" s="24">
        <v>30.48</v>
      </c>
      <c r="D281" s="24">
        <v>510.95</v>
      </c>
      <c r="E281" s="24">
        <f t="shared" si="4"/>
        <v>16.763451443569554</v>
      </c>
      <c r="F281" s="25">
        <v>0.22494999500000001</v>
      </c>
      <c r="G281" s="26">
        <v>268.64688296499997</v>
      </c>
      <c r="H281" s="23">
        <v>20</v>
      </c>
    </row>
    <row r="282" spans="1:8" x14ac:dyDescent="0.25">
      <c r="A282" s="23">
        <v>64092</v>
      </c>
      <c r="B282" s="23">
        <v>1976</v>
      </c>
      <c r="C282" s="24">
        <v>8.9306400000000004</v>
      </c>
      <c r="D282" s="24">
        <v>517.99089100000003</v>
      </c>
      <c r="E282" s="24">
        <f t="shared" si="4"/>
        <v>58.00154199475066</v>
      </c>
      <c r="F282" s="25">
        <v>0.17507600400000001</v>
      </c>
      <c r="G282" s="26">
        <v>9846.1196419600001</v>
      </c>
      <c r="H282" s="23">
        <v>20</v>
      </c>
    </row>
    <row r="283" spans="1:8" x14ac:dyDescent="0.25">
      <c r="A283" s="23">
        <v>61136</v>
      </c>
      <c r="B283" s="23">
        <v>1976</v>
      </c>
      <c r="C283" s="24">
        <v>30.48</v>
      </c>
      <c r="D283" s="24">
        <v>567.61900000000003</v>
      </c>
      <c r="E283" s="24">
        <f t="shared" si="4"/>
        <v>18.622670603674543</v>
      </c>
      <c r="F283" s="25">
        <v>0.22484800599999999</v>
      </c>
      <c r="G283" s="26">
        <v>160.09865601600001</v>
      </c>
      <c r="H283" s="23">
        <v>20</v>
      </c>
    </row>
    <row r="284" spans="1:8" x14ac:dyDescent="0.25">
      <c r="A284" s="23">
        <v>61622</v>
      </c>
      <c r="B284" s="23">
        <v>1976</v>
      </c>
      <c r="C284" s="24">
        <v>10.78992</v>
      </c>
      <c r="D284" s="24">
        <v>752.11654199999998</v>
      </c>
      <c r="E284" s="24">
        <f t="shared" si="4"/>
        <v>69.705479002624671</v>
      </c>
      <c r="F284" s="25">
        <v>0.17609899500000001</v>
      </c>
      <c r="G284" s="26">
        <v>9487.51156309</v>
      </c>
      <c r="H284" s="23">
        <v>20</v>
      </c>
    </row>
    <row r="285" spans="1:8" x14ac:dyDescent="0.25">
      <c r="A285" s="23">
        <v>59916</v>
      </c>
      <c r="B285" s="23">
        <v>1976</v>
      </c>
      <c r="C285" s="24">
        <v>8.4124800000000004</v>
      </c>
      <c r="D285" s="24">
        <v>278.71114799999998</v>
      </c>
      <c r="E285" s="24">
        <f t="shared" si="4"/>
        <v>33.130675853018367</v>
      </c>
      <c r="F285" s="25">
        <v>0.175007</v>
      </c>
      <c r="G285" s="26">
        <v>6014.5931096300001</v>
      </c>
      <c r="H285" s="23">
        <v>20</v>
      </c>
    </row>
    <row r="286" spans="1:8" x14ac:dyDescent="0.25">
      <c r="A286" s="23">
        <v>56766</v>
      </c>
      <c r="B286" s="23">
        <v>1976</v>
      </c>
      <c r="C286" s="24">
        <v>30.48</v>
      </c>
      <c r="D286" s="24">
        <v>557.4</v>
      </c>
      <c r="E286" s="24">
        <f t="shared" si="4"/>
        <v>18.287401574803148</v>
      </c>
      <c r="F286" s="25">
        <v>0.17520000599999999</v>
      </c>
      <c r="G286" s="26">
        <v>36.646942569899998</v>
      </c>
      <c r="H286" s="23">
        <v>20</v>
      </c>
    </row>
    <row r="287" spans="1:8" x14ac:dyDescent="0.25">
      <c r="A287" s="23">
        <v>59915</v>
      </c>
      <c r="B287" s="23">
        <v>1976</v>
      </c>
      <c r="C287" s="24">
        <v>8.4124800000000004</v>
      </c>
      <c r="D287" s="24">
        <v>278.71114799999998</v>
      </c>
      <c r="E287" s="24">
        <f t="shared" si="4"/>
        <v>33.130675853018367</v>
      </c>
      <c r="F287" s="25">
        <v>0.175007</v>
      </c>
      <c r="G287" s="26">
        <v>6743.4363024200002</v>
      </c>
      <c r="H287" s="23">
        <v>20</v>
      </c>
    </row>
    <row r="288" spans="1:8" x14ac:dyDescent="0.25">
      <c r="A288" s="23">
        <v>62550</v>
      </c>
      <c r="B288" s="23">
        <v>1976</v>
      </c>
      <c r="C288" s="24">
        <v>11.15568</v>
      </c>
      <c r="D288" s="24">
        <v>778.97207399999991</v>
      </c>
      <c r="E288" s="24">
        <f t="shared" si="4"/>
        <v>69.827395013123351</v>
      </c>
      <c r="F288" s="25">
        <v>0.17411600499999999</v>
      </c>
      <c r="G288" s="26">
        <v>6422.5758309399998</v>
      </c>
      <c r="H288" s="23">
        <v>20</v>
      </c>
    </row>
    <row r="289" spans="1:8" x14ac:dyDescent="0.25">
      <c r="A289" s="23">
        <v>66080</v>
      </c>
      <c r="B289" s="23">
        <v>1976</v>
      </c>
      <c r="C289" s="24">
        <v>6.4617599999999999</v>
      </c>
      <c r="D289" s="24">
        <v>250.51785599999997</v>
      </c>
      <c r="E289" s="24">
        <f t="shared" si="4"/>
        <v>38.769291338582676</v>
      </c>
      <c r="F289" s="25">
        <v>0.175536</v>
      </c>
      <c r="G289" s="26">
        <v>78.705867138100004</v>
      </c>
      <c r="H289" s="23">
        <v>20</v>
      </c>
    </row>
    <row r="290" spans="1:8" x14ac:dyDescent="0.25">
      <c r="A290" s="23">
        <v>57970</v>
      </c>
      <c r="B290" s="23">
        <v>1976</v>
      </c>
      <c r="C290" s="24">
        <v>8.3515200000000007</v>
      </c>
      <c r="D290" s="24">
        <v>668.43779599999993</v>
      </c>
      <c r="E290" s="24">
        <f t="shared" si="4"/>
        <v>80.037860892388437</v>
      </c>
      <c r="F290" s="25">
        <v>0.17594199499999999</v>
      </c>
      <c r="G290" s="26">
        <v>6960.0200617399996</v>
      </c>
      <c r="H290" s="23">
        <v>20</v>
      </c>
    </row>
    <row r="291" spans="1:8" x14ac:dyDescent="0.25">
      <c r="A291" s="23">
        <v>58094</v>
      </c>
      <c r="B291" s="23">
        <v>1976</v>
      </c>
      <c r="C291" s="24">
        <v>8.1381600000000009</v>
      </c>
      <c r="D291" s="24">
        <v>612.66620999999998</v>
      </c>
      <c r="E291" s="24">
        <f t="shared" si="4"/>
        <v>75.283136482939625</v>
      </c>
      <c r="F291" s="25">
        <v>0.175369998</v>
      </c>
      <c r="G291" s="26">
        <v>10192.712632799999</v>
      </c>
      <c r="H291" s="23">
        <v>20</v>
      </c>
    </row>
    <row r="292" spans="1:8" x14ac:dyDescent="0.25">
      <c r="A292" s="23">
        <v>66380</v>
      </c>
      <c r="B292" s="23">
        <v>1977</v>
      </c>
      <c r="C292" s="24">
        <v>30.48</v>
      </c>
      <c r="D292" s="24">
        <v>294.49299999999999</v>
      </c>
      <c r="E292" s="24">
        <f t="shared" si="4"/>
        <v>9.6618438320209972</v>
      </c>
      <c r="F292" s="25">
        <v>0.22506999999999999</v>
      </c>
      <c r="G292" s="26">
        <v>231.34415761899999</v>
      </c>
      <c r="H292" s="23">
        <v>20</v>
      </c>
    </row>
    <row r="293" spans="1:8" x14ac:dyDescent="0.25">
      <c r="A293" s="23">
        <v>62210</v>
      </c>
      <c r="B293" s="23">
        <v>1977</v>
      </c>
      <c r="C293" s="24">
        <v>7.3456800000000007</v>
      </c>
      <c r="D293" s="24">
        <v>112.168389</v>
      </c>
      <c r="E293" s="24">
        <f t="shared" si="4"/>
        <v>15.269980314960629</v>
      </c>
      <c r="F293" s="25">
        <v>0.174849</v>
      </c>
      <c r="G293" s="26">
        <v>1607.78879517</v>
      </c>
      <c r="H293" s="23">
        <v>20</v>
      </c>
    </row>
    <row r="294" spans="1:8" x14ac:dyDescent="0.25">
      <c r="A294" s="23">
        <v>75584</v>
      </c>
      <c r="B294" s="23">
        <v>1977</v>
      </c>
      <c r="C294" s="24">
        <v>6.61416</v>
      </c>
      <c r="D294" s="24">
        <v>88.700919999999996</v>
      </c>
      <c r="E294" s="24">
        <f t="shared" si="4"/>
        <v>13.410761154855642</v>
      </c>
      <c r="F294" s="25">
        <v>0.17512</v>
      </c>
      <c r="G294" s="26">
        <v>2955.67504749</v>
      </c>
      <c r="H294" s="23">
        <v>20</v>
      </c>
    </row>
    <row r="295" spans="1:8" x14ac:dyDescent="0.25">
      <c r="A295" s="23">
        <v>75585</v>
      </c>
      <c r="B295" s="23">
        <v>1977</v>
      </c>
      <c r="C295" s="24">
        <v>6.61416</v>
      </c>
      <c r="D295" s="24">
        <v>88.700919999999996</v>
      </c>
      <c r="E295" s="24">
        <f t="shared" si="4"/>
        <v>13.410761154855642</v>
      </c>
      <c r="F295" s="25">
        <v>0.17512</v>
      </c>
      <c r="G295" s="26">
        <v>2955.67504749</v>
      </c>
      <c r="H295" s="23">
        <v>20</v>
      </c>
    </row>
    <row r="296" spans="1:8" x14ac:dyDescent="0.25">
      <c r="A296" s="23">
        <v>75586</v>
      </c>
      <c r="B296" s="23">
        <v>1977</v>
      </c>
      <c r="C296" s="24">
        <v>6.61416</v>
      </c>
      <c r="D296" s="24">
        <v>88.700919999999996</v>
      </c>
      <c r="E296" s="24">
        <f t="shared" si="4"/>
        <v>13.410761154855642</v>
      </c>
      <c r="F296" s="25">
        <v>0.17512</v>
      </c>
      <c r="G296" s="26">
        <v>2955.67504749</v>
      </c>
      <c r="H296" s="23">
        <v>20</v>
      </c>
    </row>
    <row r="297" spans="1:8" x14ac:dyDescent="0.25">
      <c r="A297" s="23">
        <v>138329</v>
      </c>
      <c r="B297" s="23">
        <v>1977</v>
      </c>
      <c r="C297" s="24">
        <v>30.48</v>
      </c>
      <c r="D297" s="24">
        <v>294.49299999999999</v>
      </c>
      <c r="E297" s="24">
        <f t="shared" si="4"/>
        <v>9.6618438320209972</v>
      </c>
      <c r="F297" s="25">
        <v>0.22506999999999999</v>
      </c>
      <c r="G297" s="26">
        <v>336.18889395899998</v>
      </c>
      <c r="H297" s="23">
        <v>20</v>
      </c>
    </row>
    <row r="298" spans="1:8" x14ac:dyDescent="0.25">
      <c r="A298" s="23">
        <v>78962</v>
      </c>
      <c r="B298" s="23">
        <v>1977</v>
      </c>
      <c r="C298" s="24">
        <v>30.48</v>
      </c>
      <c r="D298" s="24">
        <v>294.49299999999999</v>
      </c>
      <c r="E298" s="24">
        <f t="shared" si="4"/>
        <v>9.6618438320209972</v>
      </c>
      <c r="F298" s="25">
        <v>0.22506999999999999</v>
      </c>
      <c r="G298" s="26">
        <v>436.60893069000002</v>
      </c>
      <c r="H298" s="23">
        <v>20</v>
      </c>
    </row>
    <row r="299" spans="1:8" x14ac:dyDescent="0.25">
      <c r="A299" s="23">
        <v>64480</v>
      </c>
      <c r="B299" s="23">
        <v>1977</v>
      </c>
      <c r="C299" s="24">
        <v>6.6446400000000008</v>
      </c>
      <c r="D299" s="24">
        <v>310.46622600000001</v>
      </c>
      <c r="E299" s="24">
        <f t="shared" si="4"/>
        <v>46.724311023622043</v>
      </c>
      <c r="F299" s="25">
        <v>0.17476198500000001</v>
      </c>
      <c r="G299" s="26">
        <v>12556.8708745</v>
      </c>
      <c r="H299" s="23">
        <v>20</v>
      </c>
    </row>
    <row r="300" spans="1:8" x14ac:dyDescent="0.25">
      <c r="A300" s="23">
        <v>62766</v>
      </c>
      <c r="B300" s="23">
        <v>1977</v>
      </c>
      <c r="C300" s="24">
        <v>6.7970400000000009</v>
      </c>
      <c r="D300" s="24">
        <v>383.88045099999994</v>
      </c>
      <c r="E300" s="24">
        <f t="shared" si="4"/>
        <v>56.477591863517041</v>
      </c>
      <c r="F300" s="25">
        <v>0.174182</v>
      </c>
      <c r="G300" s="26">
        <v>11816.1957864</v>
      </c>
      <c r="H300" s="23">
        <v>20</v>
      </c>
    </row>
    <row r="301" spans="1:8" x14ac:dyDescent="0.25">
      <c r="A301" s="23">
        <v>73595</v>
      </c>
      <c r="B301" s="23">
        <v>1977</v>
      </c>
      <c r="C301" s="24">
        <v>11.8872</v>
      </c>
      <c r="D301" s="24">
        <v>735.85160999999994</v>
      </c>
      <c r="E301" s="24">
        <f t="shared" si="4"/>
        <v>61.902854330708657</v>
      </c>
      <c r="F301" s="25">
        <v>0.17466599399999999</v>
      </c>
      <c r="G301" s="26">
        <v>16609.106535700001</v>
      </c>
      <c r="H301" s="23">
        <v>20</v>
      </c>
    </row>
    <row r="302" spans="1:8" x14ac:dyDescent="0.25">
      <c r="A302" s="23">
        <v>65056</v>
      </c>
      <c r="B302" s="23">
        <v>1977</v>
      </c>
      <c r="C302" s="24">
        <v>30.48</v>
      </c>
      <c r="D302" s="24">
        <v>474.71899999999999</v>
      </c>
      <c r="E302" s="24">
        <f t="shared" si="4"/>
        <v>15.574770341207349</v>
      </c>
      <c r="F302" s="25">
        <v>0.22484000000000001</v>
      </c>
      <c r="G302" s="26">
        <v>282.08494752199999</v>
      </c>
      <c r="H302" s="23">
        <v>20</v>
      </c>
    </row>
    <row r="303" spans="1:8" x14ac:dyDescent="0.25">
      <c r="A303" s="23">
        <v>65824</v>
      </c>
      <c r="B303" s="23">
        <v>1977</v>
      </c>
      <c r="C303" s="24">
        <v>30.48</v>
      </c>
      <c r="D303" s="24">
        <v>474.71899999999999</v>
      </c>
      <c r="E303" s="24">
        <f t="shared" si="4"/>
        <v>15.574770341207349</v>
      </c>
      <c r="F303" s="25">
        <v>0.22484000000000001</v>
      </c>
      <c r="G303" s="26">
        <v>134.178770187</v>
      </c>
      <c r="H303" s="23">
        <v>20</v>
      </c>
    </row>
    <row r="304" spans="1:8" x14ac:dyDescent="0.25">
      <c r="A304" s="23">
        <v>65546</v>
      </c>
      <c r="B304" s="23">
        <v>1977</v>
      </c>
      <c r="C304" s="24">
        <v>30.48</v>
      </c>
      <c r="D304" s="24">
        <v>474.71899999999999</v>
      </c>
      <c r="E304" s="24">
        <f t="shared" si="4"/>
        <v>15.574770341207349</v>
      </c>
      <c r="F304" s="25">
        <v>0.22484000000000001</v>
      </c>
      <c r="G304" s="26">
        <v>275.159002418</v>
      </c>
      <c r="H304" s="23">
        <v>20</v>
      </c>
    </row>
    <row r="305" spans="1:8" x14ac:dyDescent="0.25">
      <c r="A305" s="23">
        <v>96730</v>
      </c>
      <c r="B305" s="23">
        <v>1977</v>
      </c>
      <c r="C305" s="24">
        <v>30.48</v>
      </c>
      <c r="D305" s="24">
        <v>452.423</v>
      </c>
      <c r="E305" s="24">
        <f t="shared" si="4"/>
        <v>14.843274278215222</v>
      </c>
      <c r="F305" s="25">
        <v>0.22499399</v>
      </c>
      <c r="G305" s="26">
        <v>563.69739842599995</v>
      </c>
      <c r="H305" s="23">
        <v>20</v>
      </c>
    </row>
    <row r="306" spans="1:8" x14ac:dyDescent="0.25">
      <c r="A306" s="23">
        <v>64098</v>
      </c>
      <c r="B306" s="23">
        <v>1977</v>
      </c>
      <c r="C306" s="24">
        <v>30.48</v>
      </c>
      <c r="D306" s="24">
        <v>473.78999999999996</v>
      </c>
      <c r="E306" s="24">
        <f t="shared" si="4"/>
        <v>15.544291338582676</v>
      </c>
      <c r="F306" s="25">
        <v>0.17493</v>
      </c>
      <c r="G306" s="26">
        <v>401.82164972499999</v>
      </c>
      <c r="H306" s="23">
        <v>20</v>
      </c>
    </row>
    <row r="307" spans="1:8" x14ac:dyDescent="0.25">
      <c r="A307" s="23">
        <v>64099</v>
      </c>
      <c r="B307" s="23">
        <v>1977</v>
      </c>
      <c r="C307" s="24">
        <v>30.48</v>
      </c>
      <c r="D307" s="24">
        <v>557.4</v>
      </c>
      <c r="E307" s="24">
        <f t="shared" si="4"/>
        <v>18.287401574803148</v>
      </c>
      <c r="F307" s="25">
        <v>0.17520000599999999</v>
      </c>
      <c r="G307" s="26">
        <v>108.241552623</v>
      </c>
      <c r="H307" s="23">
        <v>20</v>
      </c>
    </row>
    <row r="308" spans="1:8" x14ac:dyDescent="0.25">
      <c r="A308" s="23">
        <v>64977</v>
      </c>
      <c r="B308" s="23">
        <v>1977</v>
      </c>
      <c r="C308" s="24">
        <v>9.4488000000000003</v>
      </c>
      <c r="D308" s="24">
        <v>598.15522999999996</v>
      </c>
      <c r="E308" s="24">
        <f t="shared" si="4"/>
        <v>63.30488845144356</v>
      </c>
      <c r="F308" s="25">
        <v>0.17446799800000001</v>
      </c>
      <c r="G308" s="26">
        <v>8028.2590185299996</v>
      </c>
      <c r="H308" s="23">
        <v>20</v>
      </c>
    </row>
    <row r="309" spans="1:8" x14ac:dyDescent="0.25">
      <c r="A309" s="23">
        <v>65055</v>
      </c>
      <c r="B309" s="23">
        <v>1977</v>
      </c>
      <c r="C309" s="24">
        <v>6.4008000000000003</v>
      </c>
      <c r="D309" s="24">
        <v>254.20227</v>
      </c>
      <c r="E309" s="24">
        <f t="shared" si="4"/>
        <v>39.714140419947505</v>
      </c>
      <c r="F309" s="25">
        <v>0.19935900000000001</v>
      </c>
      <c r="G309" s="26">
        <v>242.589088632</v>
      </c>
      <c r="H309" s="23">
        <v>20</v>
      </c>
    </row>
    <row r="310" spans="1:8" x14ac:dyDescent="0.25">
      <c r="A310" s="23">
        <v>65111</v>
      </c>
      <c r="B310" s="23">
        <v>1977</v>
      </c>
      <c r="C310" s="24">
        <v>6.61416</v>
      </c>
      <c r="D310" s="24">
        <v>438.86796099999998</v>
      </c>
      <c r="E310" s="24">
        <f t="shared" si="4"/>
        <v>66.352788713910755</v>
      </c>
      <c r="F310" s="25">
        <v>0.17415999600000001</v>
      </c>
      <c r="G310" s="26">
        <v>26.405388226300001</v>
      </c>
      <c r="H310" s="23">
        <v>20</v>
      </c>
    </row>
    <row r="311" spans="1:8" x14ac:dyDescent="0.25">
      <c r="A311" s="23">
        <v>65798</v>
      </c>
      <c r="B311" s="23">
        <v>1977</v>
      </c>
      <c r="C311" s="24">
        <v>6.431280000000001</v>
      </c>
      <c r="D311" s="24">
        <v>396.93847499999998</v>
      </c>
      <c r="E311" s="24">
        <f t="shared" si="4"/>
        <v>61.719980314960615</v>
      </c>
      <c r="F311" s="25">
        <v>0.174149994</v>
      </c>
      <c r="G311" s="26">
        <v>156.13352881599999</v>
      </c>
      <c r="H311" s="23">
        <v>20</v>
      </c>
    </row>
    <row r="312" spans="1:8" x14ac:dyDescent="0.25">
      <c r="A312" s="23">
        <v>66361</v>
      </c>
      <c r="B312" s="23">
        <v>1977</v>
      </c>
      <c r="C312" s="24">
        <v>7.3761600000000005</v>
      </c>
      <c r="D312" s="24">
        <v>446.71336600000001</v>
      </c>
      <c r="E312" s="24">
        <f t="shared" si="4"/>
        <v>60.561778215223093</v>
      </c>
      <c r="F312" s="25">
        <v>0.17485600200000001</v>
      </c>
      <c r="G312" s="26">
        <v>346.22612776</v>
      </c>
      <c r="H312" s="23">
        <v>20</v>
      </c>
    </row>
    <row r="313" spans="1:8" x14ac:dyDescent="0.25">
      <c r="A313" s="23">
        <v>64471</v>
      </c>
      <c r="B313" s="23">
        <v>1977</v>
      </c>
      <c r="C313" s="24">
        <v>8.6563199999999991</v>
      </c>
      <c r="D313" s="24">
        <v>613.68253600000003</v>
      </c>
      <c r="E313" s="24">
        <f t="shared" si="4"/>
        <v>70.894160104986881</v>
      </c>
      <c r="F313" s="25">
        <v>0.17445000199999999</v>
      </c>
      <c r="G313" s="26">
        <v>3737.53061596</v>
      </c>
      <c r="H313" s="23">
        <v>20</v>
      </c>
    </row>
    <row r="314" spans="1:8" x14ac:dyDescent="0.25">
      <c r="A314" s="23">
        <v>63808</v>
      </c>
      <c r="B314" s="23">
        <v>1977</v>
      </c>
      <c r="C314" s="24">
        <v>9.2049599999999998</v>
      </c>
      <c r="D314" s="24">
        <v>749.08985999999993</v>
      </c>
      <c r="E314" s="24">
        <f t="shared" si="4"/>
        <v>81.378937007874015</v>
      </c>
      <c r="F314" s="25">
        <v>0.17622000500000001</v>
      </c>
      <c r="G314" s="26">
        <v>6636.1094108699999</v>
      </c>
      <c r="H314" s="23">
        <v>20</v>
      </c>
    </row>
    <row r="315" spans="1:8" x14ac:dyDescent="0.25">
      <c r="A315" s="23">
        <v>68359</v>
      </c>
      <c r="B315" s="23">
        <v>1977</v>
      </c>
      <c r="C315" s="24">
        <v>8.5648800000000005</v>
      </c>
      <c r="D315" s="24">
        <v>648.44571599999995</v>
      </c>
      <c r="E315" s="24">
        <f t="shared" si="4"/>
        <v>75.709842519685026</v>
      </c>
      <c r="F315" s="25">
        <v>0.17387999500000001</v>
      </c>
      <c r="G315" s="26">
        <v>10860.5012575</v>
      </c>
      <c r="H315" s="23">
        <v>20</v>
      </c>
    </row>
    <row r="316" spans="1:8" x14ac:dyDescent="0.25">
      <c r="A316" s="23">
        <v>68989</v>
      </c>
      <c r="B316" s="23">
        <v>1978</v>
      </c>
      <c r="C316" s="24">
        <v>30.48</v>
      </c>
      <c r="D316" s="24">
        <v>308.428</v>
      </c>
      <c r="E316" s="24">
        <f t="shared" si="4"/>
        <v>10.119028871391077</v>
      </c>
      <c r="F316" s="25">
        <v>0.22509599699999999</v>
      </c>
      <c r="G316" s="26">
        <v>137.109421349</v>
      </c>
      <c r="H316" s="23">
        <v>20</v>
      </c>
    </row>
    <row r="317" spans="1:8" x14ac:dyDescent="0.25">
      <c r="A317" s="23">
        <v>68675</v>
      </c>
      <c r="B317" s="23">
        <v>1978</v>
      </c>
      <c r="C317" s="24">
        <v>30.48</v>
      </c>
      <c r="D317" s="24">
        <v>330.72399999999999</v>
      </c>
      <c r="E317" s="24">
        <f t="shared" si="4"/>
        <v>10.850524934383202</v>
      </c>
      <c r="F317" s="25">
        <v>0.22499200699999999</v>
      </c>
      <c r="G317" s="26">
        <v>191.75001697299999</v>
      </c>
      <c r="H317" s="23">
        <v>20</v>
      </c>
    </row>
    <row r="318" spans="1:8" x14ac:dyDescent="0.25">
      <c r="A318" s="23">
        <v>76246</v>
      </c>
      <c r="B318" s="23">
        <v>1978</v>
      </c>
      <c r="C318" s="24">
        <v>5.4559199999999999</v>
      </c>
      <c r="D318" s="24">
        <v>112.57900699999999</v>
      </c>
      <c r="E318" s="24">
        <f t="shared" si="4"/>
        <v>20.634284776902884</v>
      </c>
      <c r="F318" s="25">
        <v>0.17466600700000001</v>
      </c>
      <c r="G318" s="26">
        <v>10730.759242300001</v>
      </c>
      <c r="H318" s="23">
        <v>20</v>
      </c>
    </row>
    <row r="319" spans="1:8" x14ac:dyDescent="0.25">
      <c r="A319" s="23">
        <v>78924</v>
      </c>
      <c r="B319" s="23">
        <v>1978</v>
      </c>
      <c r="C319" s="24">
        <v>30.48</v>
      </c>
      <c r="D319" s="24">
        <v>294.49299999999999</v>
      </c>
      <c r="E319" s="24">
        <f t="shared" si="4"/>
        <v>9.6618438320209972</v>
      </c>
      <c r="F319" s="25">
        <v>0.22506999999999999</v>
      </c>
      <c r="G319" s="26">
        <v>185.580886335</v>
      </c>
      <c r="H319" s="23">
        <v>20</v>
      </c>
    </row>
    <row r="320" spans="1:8" x14ac:dyDescent="0.25">
      <c r="A320" s="23">
        <v>67561</v>
      </c>
      <c r="B320" s="23">
        <v>1978</v>
      </c>
      <c r="C320" s="24">
        <v>30.48</v>
      </c>
      <c r="D320" s="24">
        <v>421.76599999999996</v>
      </c>
      <c r="E320" s="24">
        <f t="shared" si="4"/>
        <v>13.837467191601048</v>
      </c>
      <c r="F320" s="25">
        <v>0.225184</v>
      </c>
      <c r="G320" s="26">
        <v>129.201668329</v>
      </c>
      <c r="H320" s="23">
        <v>20</v>
      </c>
    </row>
    <row r="321" spans="1:8" x14ac:dyDescent="0.25">
      <c r="A321" s="23">
        <v>70860</v>
      </c>
      <c r="B321" s="23">
        <v>1978</v>
      </c>
      <c r="C321" s="24">
        <v>30.48</v>
      </c>
      <c r="D321" s="24">
        <v>452.423</v>
      </c>
      <c r="E321" s="24">
        <f t="shared" ref="E321:E384" si="5">D321/C321</f>
        <v>14.843274278215222</v>
      </c>
      <c r="F321" s="25">
        <v>0.22499399</v>
      </c>
      <c r="G321" s="26">
        <v>41.805195771000001</v>
      </c>
      <c r="H321" s="23">
        <v>20</v>
      </c>
    </row>
    <row r="322" spans="1:8" x14ac:dyDescent="0.25">
      <c r="A322" s="23">
        <v>67617</v>
      </c>
      <c r="B322" s="23">
        <v>1978</v>
      </c>
      <c r="C322" s="24">
        <v>30.48</v>
      </c>
      <c r="D322" s="24">
        <v>510.95</v>
      </c>
      <c r="E322" s="24">
        <f t="shared" si="5"/>
        <v>16.763451443569554</v>
      </c>
      <c r="F322" s="25">
        <v>0.22494999500000001</v>
      </c>
      <c r="G322" s="26">
        <v>6.9771174721099998</v>
      </c>
      <c r="H322" s="23">
        <v>20</v>
      </c>
    </row>
    <row r="323" spans="1:8" x14ac:dyDescent="0.25">
      <c r="A323" s="23">
        <v>69147</v>
      </c>
      <c r="B323" s="23">
        <v>1978</v>
      </c>
      <c r="C323" s="24">
        <v>7.6809599999999998</v>
      </c>
      <c r="D323" s="24">
        <v>431.92925999999994</v>
      </c>
      <c r="E323" s="24">
        <f t="shared" si="5"/>
        <v>56.233759842519682</v>
      </c>
      <c r="F323" s="25">
        <v>0.17527500400000001</v>
      </c>
      <c r="G323" s="26">
        <v>10272.1659208</v>
      </c>
      <c r="H323" s="23">
        <v>20</v>
      </c>
    </row>
    <row r="324" spans="1:8" x14ac:dyDescent="0.25">
      <c r="A324" s="23">
        <v>67386</v>
      </c>
      <c r="B324" s="23">
        <v>1978</v>
      </c>
      <c r="C324" s="24">
        <v>6.431280000000001</v>
      </c>
      <c r="D324" s="24">
        <v>433.59402799999998</v>
      </c>
      <c r="E324" s="24">
        <f t="shared" si="5"/>
        <v>67.419553805774271</v>
      </c>
      <c r="F324" s="25">
        <v>0.17474800400000001</v>
      </c>
      <c r="G324" s="26">
        <v>33.231384238700002</v>
      </c>
      <c r="H324" s="23">
        <v>20</v>
      </c>
    </row>
    <row r="325" spans="1:8" x14ac:dyDescent="0.25">
      <c r="A325" s="23">
        <v>68745</v>
      </c>
      <c r="B325" s="23">
        <v>1978</v>
      </c>
      <c r="C325" s="24">
        <v>7.7114400000000005</v>
      </c>
      <c r="D325" s="24">
        <v>586.88738899999998</v>
      </c>
      <c r="E325" s="24">
        <f t="shared" si="5"/>
        <v>76.106069553805767</v>
      </c>
      <c r="F325" s="25">
        <v>0.174789995</v>
      </c>
      <c r="G325" s="26">
        <v>5108.35996565</v>
      </c>
      <c r="H325" s="23">
        <v>20</v>
      </c>
    </row>
    <row r="326" spans="1:8" x14ac:dyDescent="0.25">
      <c r="A326" s="23">
        <v>67979</v>
      </c>
      <c r="B326" s="23">
        <v>1978</v>
      </c>
      <c r="C326" s="24">
        <v>8.1076800000000002</v>
      </c>
      <c r="D326" s="24">
        <v>612.10137799999995</v>
      </c>
      <c r="E326" s="24">
        <f t="shared" si="5"/>
        <v>75.496489501312325</v>
      </c>
      <c r="F326" s="25">
        <v>0.175866998</v>
      </c>
      <c r="G326" s="26">
        <v>5493.0119603399999</v>
      </c>
      <c r="H326" s="23">
        <v>20</v>
      </c>
    </row>
    <row r="327" spans="1:8" x14ac:dyDescent="0.25">
      <c r="A327" s="23">
        <v>67957</v>
      </c>
      <c r="B327" s="23">
        <v>1978</v>
      </c>
      <c r="C327" s="24">
        <v>7.5895200000000003</v>
      </c>
      <c r="D327" s="24">
        <v>590.33119199999999</v>
      </c>
      <c r="E327" s="24">
        <f t="shared" si="5"/>
        <v>77.782414698162725</v>
      </c>
      <c r="F327" s="25">
        <v>0.17608800499999999</v>
      </c>
      <c r="G327" s="26">
        <v>7547.4551569599998</v>
      </c>
      <c r="H327" s="23">
        <v>20</v>
      </c>
    </row>
    <row r="328" spans="1:8" x14ac:dyDescent="0.25">
      <c r="A328" s="23">
        <v>67956</v>
      </c>
      <c r="B328" s="23">
        <v>1978</v>
      </c>
      <c r="C328" s="24">
        <v>7.955280000000001</v>
      </c>
      <c r="D328" s="24">
        <v>621.690516</v>
      </c>
      <c r="E328" s="24">
        <f t="shared" si="5"/>
        <v>78.148162729658779</v>
      </c>
      <c r="F328" s="25">
        <v>0.17435200000000001</v>
      </c>
      <c r="G328" s="26">
        <v>7629.6724428500002</v>
      </c>
      <c r="H328" s="23">
        <v>20</v>
      </c>
    </row>
    <row r="329" spans="1:8" x14ac:dyDescent="0.25">
      <c r="A329" s="23">
        <v>67462</v>
      </c>
      <c r="B329" s="23">
        <v>1978</v>
      </c>
      <c r="C329" s="24">
        <v>8.9916</v>
      </c>
      <c r="D329" s="24">
        <v>657.73199999999997</v>
      </c>
      <c r="E329" s="24">
        <f t="shared" si="5"/>
        <v>73.149606299212593</v>
      </c>
      <c r="F329" s="25">
        <v>0.17520000699999999</v>
      </c>
      <c r="G329" s="26">
        <v>10205.7385963</v>
      </c>
      <c r="H329" s="23">
        <v>20</v>
      </c>
    </row>
    <row r="330" spans="1:8" x14ac:dyDescent="0.25">
      <c r="A330" s="23">
        <v>67461</v>
      </c>
      <c r="B330" s="23">
        <v>1978</v>
      </c>
      <c r="C330" s="24">
        <v>8.9916</v>
      </c>
      <c r="D330" s="24">
        <v>657.73199999999997</v>
      </c>
      <c r="E330" s="24">
        <f t="shared" si="5"/>
        <v>73.149606299212593</v>
      </c>
      <c r="F330" s="25">
        <v>0.17520000699999999</v>
      </c>
      <c r="G330" s="26">
        <v>9720.6333918799992</v>
      </c>
      <c r="H330" s="23">
        <v>20</v>
      </c>
    </row>
    <row r="331" spans="1:8" x14ac:dyDescent="0.25">
      <c r="A331" s="23">
        <v>67460</v>
      </c>
      <c r="B331" s="23">
        <v>1978</v>
      </c>
      <c r="C331" s="24">
        <v>8.9001599999999996</v>
      </c>
      <c r="D331" s="24">
        <v>578.07210800000007</v>
      </c>
      <c r="E331" s="24">
        <f t="shared" si="5"/>
        <v>64.950754593175859</v>
      </c>
      <c r="F331" s="25">
        <v>0.17474200400000001</v>
      </c>
      <c r="G331" s="26">
        <v>10900.1248853</v>
      </c>
      <c r="H331" s="23">
        <v>20</v>
      </c>
    </row>
    <row r="332" spans="1:8" x14ac:dyDescent="0.25">
      <c r="A332" s="23">
        <v>69629</v>
      </c>
      <c r="B332" s="23">
        <v>1979</v>
      </c>
      <c r="C332" s="24">
        <v>30.48</v>
      </c>
      <c r="D332" s="24">
        <v>317.71799999999996</v>
      </c>
      <c r="E332" s="24">
        <f t="shared" si="5"/>
        <v>10.423818897637794</v>
      </c>
      <c r="F332" s="25">
        <v>0.22503599299999999</v>
      </c>
      <c r="G332" s="26">
        <v>105.475529627</v>
      </c>
      <c r="H332" s="23">
        <v>20</v>
      </c>
    </row>
    <row r="333" spans="1:8" x14ac:dyDescent="0.25">
      <c r="A333" s="23">
        <v>69731</v>
      </c>
      <c r="B333" s="23">
        <v>1979</v>
      </c>
      <c r="C333" s="24">
        <v>7.0713600000000003</v>
      </c>
      <c r="D333" s="24">
        <v>54.95964</v>
      </c>
      <c r="E333" s="24">
        <f t="shared" si="5"/>
        <v>7.772145669291338</v>
      </c>
      <c r="F333" s="25">
        <v>0.174930003</v>
      </c>
      <c r="G333" s="26">
        <v>711.99192378800001</v>
      </c>
      <c r="H333" s="23">
        <v>20</v>
      </c>
    </row>
    <row r="334" spans="1:8" x14ac:dyDescent="0.25">
      <c r="A334" s="23">
        <v>81720</v>
      </c>
      <c r="B334" s="23">
        <v>1979</v>
      </c>
      <c r="C334" s="24">
        <v>7.0713600000000003</v>
      </c>
      <c r="D334" s="24">
        <v>54.95964</v>
      </c>
      <c r="E334" s="24">
        <f t="shared" si="5"/>
        <v>7.772145669291338</v>
      </c>
      <c r="F334" s="25">
        <v>0.174930003</v>
      </c>
      <c r="G334" s="26">
        <v>914.18414387099995</v>
      </c>
      <c r="H334" s="23">
        <v>20</v>
      </c>
    </row>
    <row r="335" spans="1:8" x14ac:dyDescent="0.25">
      <c r="A335" s="23">
        <v>69730</v>
      </c>
      <c r="B335" s="23">
        <v>1979</v>
      </c>
      <c r="C335" s="24">
        <v>30.48</v>
      </c>
      <c r="D335" s="24">
        <v>330.72399999999999</v>
      </c>
      <c r="E335" s="24">
        <f t="shared" si="5"/>
        <v>10.850524934383202</v>
      </c>
      <c r="F335" s="25">
        <v>0.22499200699999999</v>
      </c>
      <c r="G335" s="26">
        <v>753.99937051999996</v>
      </c>
      <c r="H335" s="23">
        <v>20</v>
      </c>
    </row>
    <row r="336" spans="1:8" x14ac:dyDescent="0.25">
      <c r="A336" s="23">
        <v>71293</v>
      </c>
      <c r="B336" s="23">
        <v>1979</v>
      </c>
      <c r="C336" s="24">
        <v>30.48</v>
      </c>
      <c r="D336" s="24">
        <v>330.72399999999999</v>
      </c>
      <c r="E336" s="24">
        <f t="shared" si="5"/>
        <v>10.850524934383202</v>
      </c>
      <c r="F336" s="25">
        <v>0.22499200699999999</v>
      </c>
      <c r="G336" s="26">
        <v>198.919462458</v>
      </c>
      <c r="H336" s="23">
        <v>20</v>
      </c>
    </row>
    <row r="337" spans="1:8" x14ac:dyDescent="0.25">
      <c r="A337" s="23">
        <v>71292</v>
      </c>
      <c r="B337" s="23">
        <v>1979</v>
      </c>
      <c r="C337" s="24">
        <v>30.48</v>
      </c>
      <c r="D337" s="24">
        <v>294.49299999999999</v>
      </c>
      <c r="E337" s="24">
        <f t="shared" si="5"/>
        <v>9.6618438320209972</v>
      </c>
      <c r="F337" s="25">
        <v>0.22506999999999999</v>
      </c>
      <c r="G337" s="26">
        <v>334.67526186499998</v>
      </c>
      <c r="H337" s="23">
        <v>20</v>
      </c>
    </row>
    <row r="338" spans="1:8" x14ac:dyDescent="0.25">
      <c r="A338" s="23">
        <v>70921</v>
      </c>
      <c r="B338" s="23">
        <v>1979</v>
      </c>
      <c r="C338" s="24">
        <v>7.3456800000000007</v>
      </c>
      <c r="D338" s="24">
        <v>112.168389</v>
      </c>
      <c r="E338" s="24">
        <f t="shared" si="5"/>
        <v>15.269980314960629</v>
      </c>
      <c r="F338" s="25">
        <v>0.174849</v>
      </c>
      <c r="G338" s="26">
        <v>1025.0410047400001</v>
      </c>
      <c r="H338" s="23">
        <v>20</v>
      </c>
    </row>
    <row r="339" spans="1:8" x14ac:dyDescent="0.25">
      <c r="A339" s="23">
        <v>70922</v>
      </c>
      <c r="B339" s="23">
        <v>1979</v>
      </c>
      <c r="C339" s="24">
        <v>7.3456800000000007</v>
      </c>
      <c r="D339" s="24">
        <v>112.168389</v>
      </c>
      <c r="E339" s="24">
        <f t="shared" si="5"/>
        <v>15.269980314960629</v>
      </c>
      <c r="F339" s="25">
        <v>0.174849</v>
      </c>
      <c r="G339" s="26">
        <v>1025.0410047400001</v>
      </c>
      <c r="H339" s="23">
        <v>20</v>
      </c>
    </row>
    <row r="340" spans="1:8" x14ac:dyDescent="0.25">
      <c r="A340" s="23">
        <v>71040</v>
      </c>
      <c r="B340" s="23">
        <v>1979</v>
      </c>
      <c r="C340" s="24">
        <v>7.3456800000000007</v>
      </c>
      <c r="D340" s="24">
        <v>112.168389</v>
      </c>
      <c r="E340" s="24">
        <f t="shared" si="5"/>
        <v>15.269980314960629</v>
      </c>
      <c r="F340" s="25">
        <v>0.174849</v>
      </c>
      <c r="G340" s="26">
        <v>783.32028490300002</v>
      </c>
      <c r="H340" s="23">
        <v>20</v>
      </c>
    </row>
    <row r="341" spans="1:8" x14ac:dyDescent="0.25">
      <c r="A341" s="23">
        <v>72442</v>
      </c>
      <c r="B341" s="23">
        <v>1979</v>
      </c>
      <c r="C341" s="24">
        <v>30.48</v>
      </c>
      <c r="D341" s="24">
        <v>294.49299999999999</v>
      </c>
      <c r="E341" s="24">
        <f t="shared" si="5"/>
        <v>9.6618438320209972</v>
      </c>
      <c r="F341" s="25">
        <v>0.22506999999999999</v>
      </c>
      <c r="G341" s="26">
        <v>266.16257028299998</v>
      </c>
      <c r="H341" s="23">
        <v>20</v>
      </c>
    </row>
    <row r="342" spans="1:8" x14ac:dyDescent="0.25">
      <c r="A342" s="23">
        <v>69630</v>
      </c>
      <c r="B342" s="23">
        <v>1979</v>
      </c>
      <c r="C342" s="24">
        <v>30.48</v>
      </c>
      <c r="D342" s="24">
        <v>411.54699999999997</v>
      </c>
      <c r="E342" s="24">
        <f t="shared" si="5"/>
        <v>13.502198162729657</v>
      </c>
      <c r="F342" s="25">
        <v>0.17498499100000001</v>
      </c>
      <c r="G342" s="26">
        <v>931.28019796499996</v>
      </c>
      <c r="H342" s="23">
        <v>20</v>
      </c>
    </row>
    <row r="343" spans="1:8" x14ac:dyDescent="0.25">
      <c r="A343" s="23">
        <v>70649</v>
      </c>
      <c r="B343" s="23">
        <v>1979</v>
      </c>
      <c r="C343" s="24">
        <v>30.48</v>
      </c>
      <c r="D343" s="24">
        <v>417.12099999999998</v>
      </c>
      <c r="E343" s="24">
        <f t="shared" si="5"/>
        <v>13.685072178477689</v>
      </c>
      <c r="F343" s="25">
        <v>0.22494900000000001</v>
      </c>
      <c r="G343" s="26">
        <v>113.285917684</v>
      </c>
      <c r="H343" s="23">
        <v>20</v>
      </c>
    </row>
    <row r="344" spans="1:8" x14ac:dyDescent="0.25">
      <c r="A344" s="23">
        <v>69723</v>
      </c>
      <c r="B344" s="23">
        <v>1979</v>
      </c>
      <c r="C344" s="24">
        <v>10.33272</v>
      </c>
      <c r="D344" s="24">
        <v>412.87454099999997</v>
      </c>
      <c r="E344" s="24">
        <f t="shared" si="5"/>
        <v>39.957972440944879</v>
      </c>
      <c r="F344" s="25">
        <v>0.17436299999999999</v>
      </c>
      <c r="G344" s="26">
        <v>16405.745329000001</v>
      </c>
      <c r="H344" s="23">
        <v>20</v>
      </c>
    </row>
    <row r="345" spans="1:8" x14ac:dyDescent="0.25">
      <c r="A345" s="23">
        <v>122338</v>
      </c>
      <c r="B345" s="23">
        <v>1979</v>
      </c>
      <c r="C345" s="24">
        <v>30.48</v>
      </c>
      <c r="D345" s="24">
        <v>421.76599999999996</v>
      </c>
      <c r="E345" s="24">
        <f t="shared" si="5"/>
        <v>13.837467191601048</v>
      </c>
      <c r="F345" s="25">
        <v>0.225184</v>
      </c>
      <c r="G345" s="26">
        <v>74.938177969500003</v>
      </c>
      <c r="H345" s="23">
        <v>20</v>
      </c>
    </row>
    <row r="346" spans="1:8" x14ac:dyDescent="0.25">
      <c r="A346" s="23">
        <v>70859</v>
      </c>
      <c r="B346" s="23">
        <v>1979</v>
      </c>
      <c r="C346" s="24">
        <v>7.3152000000000008</v>
      </c>
      <c r="D346" s="24">
        <v>125.52648000000001</v>
      </c>
      <c r="E346" s="24">
        <f t="shared" si="5"/>
        <v>17.159678477690289</v>
      </c>
      <c r="F346" s="25">
        <v>0.175092994</v>
      </c>
      <c r="G346" s="26">
        <v>397.57201633699998</v>
      </c>
      <c r="H346" s="23">
        <v>20</v>
      </c>
    </row>
    <row r="347" spans="1:8" x14ac:dyDescent="0.25">
      <c r="A347" s="23">
        <v>70556</v>
      </c>
      <c r="B347" s="23">
        <v>1979</v>
      </c>
      <c r="C347" s="24">
        <v>8.5039200000000008</v>
      </c>
      <c r="D347" s="24">
        <v>476.65224900000004</v>
      </c>
      <c r="E347" s="24">
        <f t="shared" si="5"/>
        <v>56.050885826771655</v>
      </c>
      <c r="F347" s="25">
        <v>0.174705004</v>
      </c>
      <c r="G347" s="26">
        <v>15179.850727200001</v>
      </c>
      <c r="H347" s="23">
        <v>20</v>
      </c>
    </row>
    <row r="348" spans="1:8" x14ac:dyDescent="0.25">
      <c r="A348" s="23">
        <v>69408</v>
      </c>
      <c r="B348" s="23">
        <v>1979</v>
      </c>
      <c r="C348" s="24">
        <v>30.48</v>
      </c>
      <c r="D348" s="24">
        <v>499.80199999999996</v>
      </c>
      <c r="E348" s="24">
        <f t="shared" si="5"/>
        <v>16.39770341207349</v>
      </c>
      <c r="F348" s="25">
        <v>0.22488401099999999</v>
      </c>
      <c r="G348" s="26">
        <v>9.3323366007399997</v>
      </c>
      <c r="H348" s="23">
        <v>20</v>
      </c>
    </row>
    <row r="349" spans="1:8" x14ac:dyDescent="0.25">
      <c r="A349" s="23">
        <v>70633</v>
      </c>
      <c r="B349" s="23">
        <v>1979</v>
      </c>
      <c r="C349" s="24">
        <v>30.48</v>
      </c>
      <c r="D349" s="24">
        <v>474.71899999999999</v>
      </c>
      <c r="E349" s="24">
        <f t="shared" si="5"/>
        <v>15.574770341207349</v>
      </c>
      <c r="F349" s="25">
        <v>0.22484000000000001</v>
      </c>
      <c r="G349" s="26">
        <v>481.008924288</v>
      </c>
      <c r="H349" s="23">
        <v>20</v>
      </c>
    </row>
    <row r="350" spans="1:8" x14ac:dyDescent="0.25">
      <c r="A350" s="23">
        <v>70648</v>
      </c>
      <c r="B350" s="23">
        <v>1979</v>
      </c>
      <c r="C350" s="24">
        <v>7.4980800000000007</v>
      </c>
      <c r="D350" s="24">
        <v>152.88924599999999</v>
      </c>
      <c r="E350" s="24">
        <f t="shared" si="5"/>
        <v>20.390452755905507</v>
      </c>
      <c r="F350" s="25">
        <v>0.17527799299999999</v>
      </c>
      <c r="G350" s="26">
        <v>1953.89394064</v>
      </c>
      <c r="H350" s="23">
        <v>20</v>
      </c>
    </row>
    <row r="351" spans="1:8" x14ac:dyDescent="0.25">
      <c r="A351" s="23">
        <v>71071</v>
      </c>
      <c r="B351" s="23">
        <v>1979</v>
      </c>
      <c r="C351" s="24">
        <v>30.48</v>
      </c>
      <c r="D351" s="24">
        <v>510.02099999999996</v>
      </c>
      <c r="E351" s="24">
        <f t="shared" si="5"/>
        <v>16.732972440944881</v>
      </c>
      <c r="F351" s="25">
        <v>0.22509000000000001</v>
      </c>
      <c r="G351" s="26">
        <v>15.5083433677</v>
      </c>
      <c r="H351" s="23">
        <v>20</v>
      </c>
    </row>
    <row r="352" spans="1:8" x14ac:dyDescent="0.25">
      <c r="A352" s="23">
        <v>69141</v>
      </c>
      <c r="B352" s="23">
        <v>1979</v>
      </c>
      <c r="C352" s="24">
        <v>30.48</v>
      </c>
      <c r="D352" s="24">
        <v>510.02099999999996</v>
      </c>
      <c r="E352" s="24">
        <f t="shared" si="5"/>
        <v>16.732972440944881</v>
      </c>
      <c r="F352" s="25">
        <v>0.22509000000000001</v>
      </c>
      <c r="G352" s="26">
        <v>573.69650130900004</v>
      </c>
      <c r="H352" s="23">
        <v>20</v>
      </c>
    </row>
    <row r="353" spans="1:8" x14ac:dyDescent="0.25">
      <c r="A353" s="23">
        <v>78613</v>
      </c>
      <c r="B353" s="23">
        <v>1979</v>
      </c>
      <c r="C353" s="24">
        <v>7.8638400000000006</v>
      </c>
      <c r="D353" s="24">
        <v>200.37415200000001</v>
      </c>
      <c r="E353" s="24">
        <f t="shared" si="5"/>
        <v>25.480446194225721</v>
      </c>
      <c r="F353" s="25">
        <v>0.17472400799999999</v>
      </c>
      <c r="G353" s="26">
        <v>4148.07805998</v>
      </c>
      <c r="H353" s="23">
        <v>20</v>
      </c>
    </row>
    <row r="354" spans="1:8" x14ac:dyDescent="0.25">
      <c r="A354" s="23">
        <v>69564</v>
      </c>
      <c r="B354" s="23">
        <v>1979</v>
      </c>
      <c r="C354" s="24">
        <v>8.1991200000000006</v>
      </c>
      <c r="D354" s="24">
        <v>243.90337600000001</v>
      </c>
      <c r="E354" s="24">
        <f t="shared" si="5"/>
        <v>29.747506561679788</v>
      </c>
      <c r="F354" s="25">
        <v>0.174704</v>
      </c>
      <c r="G354" s="26">
        <v>5131.1946567300001</v>
      </c>
      <c r="H354" s="23">
        <v>20</v>
      </c>
    </row>
    <row r="355" spans="1:8" x14ac:dyDescent="0.25">
      <c r="A355" s="23">
        <v>70823</v>
      </c>
      <c r="B355" s="23">
        <v>1979</v>
      </c>
      <c r="C355" s="24">
        <v>30.48</v>
      </c>
      <c r="D355" s="24">
        <v>627.07499999999993</v>
      </c>
      <c r="E355" s="24">
        <f t="shared" si="5"/>
        <v>20.573326771653541</v>
      </c>
      <c r="F355" s="25">
        <v>0.224775</v>
      </c>
      <c r="G355" s="26">
        <v>1188.6041085899999</v>
      </c>
      <c r="H355" s="23">
        <v>20</v>
      </c>
    </row>
    <row r="356" spans="1:8" x14ac:dyDescent="0.25">
      <c r="A356" s="23">
        <v>70579</v>
      </c>
      <c r="B356" s="23">
        <v>1979</v>
      </c>
      <c r="C356" s="24">
        <v>6.4617599999999999</v>
      </c>
      <c r="D356" s="24">
        <v>250.51785599999997</v>
      </c>
      <c r="E356" s="24">
        <f t="shared" si="5"/>
        <v>38.769291338582676</v>
      </c>
      <c r="F356" s="25">
        <v>0.175536</v>
      </c>
      <c r="G356" s="26">
        <v>12.3372821111</v>
      </c>
      <c r="H356" s="23">
        <v>20</v>
      </c>
    </row>
    <row r="357" spans="1:8" x14ac:dyDescent="0.25">
      <c r="A357" s="23">
        <v>71186</v>
      </c>
      <c r="B357" s="23">
        <v>1979</v>
      </c>
      <c r="C357" s="24">
        <v>10.393680000000002</v>
      </c>
      <c r="D357" s="24">
        <v>690.60001999999997</v>
      </c>
      <c r="E357" s="24">
        <f t="shared" si="5"/>
        <v>66.444225721784761</v>
      </c>
      <c r="F357" s="25">
        <v>0.174399996</v>
      </c>
      <c r="G357" s="26">
        <v>4733.4513528699999</v>
      </c>
      <c r="H357" s="23">
        <v>20</v>
      </c>
    </row>
    <row r="358" spans="1:8" x14ac:dyDescent="0.25">
      <c r="A358" s="23">
        <v>69582</v>
      </c>
      <c r="B358" s="23">
        <v>1979</v>
      </c>
      <c r="C358" s="24">
        <v>10.576560000000001</v>
      </c>
      <c r="D358" s="24">
        <v>708.55387400000006</v>
      </c>
      <c r="E358" s="24">
        <f t="shared" si="5"/>
        <v>66.99284776902887</v>
      </c>
      <c r="F358" s="25">
        <v>0.175839996</v>
      </c>
      <c r="G358" s="26">
        <v>2963.82600043</v>
      </c>
      <c r="H358" s="23">
        <v>20</v>
      </c>
    </row>
    <row r="359" spans="1:8" x14ac:dyDescent="0.25">
      <c r="A359" s="23">
        <v>69721</v>
      </c>
      <c r="B359" s="23">
        <v>1979</v>
      </c>
      <c r="C359" s="24">
        <v>9.8755199999999999</v>
      </c>
      <c r="D359" s="24">
        <v>636.60654</v>
      </c>
      <c r="E359" s="24">
        <f t="shared" si="5"/>
        <v>64.463090551181097</v>
      </c>
      <c r="F359" s="25">
        <v>0.17554499600000001</v>
      </c>
      <c r="G359" s="26">
        <v>1555.2157530899999</v>
      </c>
      <c r="H359" s="23">
        <v>20</v>
      </c>
    </row>
    <row r="360" spans="1:8" x14ac:dyDescent="0.25">
      <c r="A360" s="23">
        <v>70907</v>
      </c>
      <c r="B360" s="23">
        <v>1979</v>
      </c>
      <c r="C360" s="24">
        <v>8.0162399999999998</v>
      </c>
      <c r="D360" s="24">
        <v>537.03074599999991</v>
      </c>
      <c r="E360" s="24">
        <f t="shared" si="5"/>
        <v>66.992847769028856</v>
      </c>
      <c r="F360" s="25">
        <v>0.175839996</v>
      </c>
      <c r="G360" s="26">
        <v>2886.34993166</v>
      </c>
      <c r="H360" s="23">
        <v>20</v>
      </c>
    </row>
    <row r="361" spans="1:8" x14ac:dyDescent="0.25">
      <c r="A361" s="23">
        <v>70563</v>
      </c>
      <c r="B361" s="23">
        <v>1979</v>
      </c>
      <c r="C361" s="24">
        <v>8.2295999999999996</v>
      </c>
      <c r="D361" s="24">
        <v>584.68472999999994</v>
      </c>
      <c r="E361" s="24">
        <f t="shared" si="5"/>
        <v>71.046555118110234</v>
      </c>
      <c r="F361" s="25">
        <v>0.17482500200000001</v>
      </c>
      <c r="G361" s="26">
        <v>4054.45096018</v>
      </c>
      <c r="H361" s="23">
        <v>20</v>
      </c>
    </row>
    <row r="362" spans="1:8" x14ac:dyDescent="0.25">
      <c r="A362" s="23">
        <v>70855</v>
      </c>
      <c r="B362" s="23">
        <v>1979</v>
      </c>
      <c r="C362" s="24">
        <v>8.2295999999999996</v>
      </c>
      <c r="D362" s="24">
        <v>584.68472999999994</v>
      </c>
      <c r="E362" s="24">
        <f t="shared" si="5"/>
        <v>71.046555118110234</v>
      </c>
      <c r="F362" s="25">
        <v>0.17482500200000001</v>
      </c>
      <c r="G362" s="26">
        <v>3850.7987076899999</v>
      </c>
      <c r="H362" s="23">
        <v>20</v>
      </c>
    </row>
    <row r="363" spans="1:8" x14ac:dyDescent="0.25">
      <c r="A363" s="23">
        <v>71510</v>
      </c>
      <c r="B363" s="23">
        <v>1979</v>
      </c>
      <c r="C363" s="24">
        <v>8.2295999999999996</v>
      </c>
      <c r="D363" s="24">
        <v>656.42210999999998</v>
      </c>
      <c r="E363" s="24">
        <f t="shared" si="5"/>
        <v>79.763549868766404</v>
      </c>
      <c r="F363" s="25">
        <v>0.175338995</v>
      </c>
      <c r="G363" s="26">
        <v>8663.99930227</v>
      </c>
      <c r="H363" s="23">
        <v>20</v>
      </c>
    </row>
    <row r="364" spans="1:8" x14ac:dyDescent="0.25">
      <c r="A364" s="23">
        <v>71609</v>
      </c>
      <c r="B364" s="23">
        <v>1980</v>
      </c>
      <c r="C364" s="24">
        <v>10.820400000000001</v>
      </c>
      <c r="D364" s="24">
        <v>484.79865000000001</v>
      </c>
      <c r="E364" s="24">
        <f t="shared" si="5"/>
        <v>44.804133858267711</v>
      </c>
      <c r="F364" s="25">
        <v>0.17493</v>
      </c>
      <c r="G364" s="26">
        <v>15895.802805699999</v>
      </c>
      <c r="H364" s="23">
        <v>20</v>
      </c>
    </row>
    <row r="365" spans="1:8" x14ac:dyDescent="0.25">
      <c r="A365" s="23">
        <v>73082</v>
      </c>
      <c r="B365" s="23">
        <v>1980</v>
      </c>
      <c r="C365" s="24">
        <v>10.454639999999999</v>
      </c>
      <c r="D365" s="24">
        <v>719.18627900000001</v>
      </c>
      <c r="E365" s="24">
        <f t="shared" si="5"/>
        <v>68.791108923884522</v>
      </c>
      <c r="F365" s="25">
        <v>0.17604600000000001</v>
      </c>
      <c r="G365" s="26">
        <v>12075.4674474</v>
      </c>
      <c r="H365" s="23">
        <v>20</v>
      </c>
    </row>
    <row r="366" spans="1:8" x14ac:dyDescent="0.25">
      <c r="A366" s="23">
        <v>74017</v>
      </c>
      <c r="B366" s="23">
        <v>1980</v>
      </c>
      <c r="C366" s="24">
        <v>7.2237600000000004</v>
      </c>
      <c r="D366" s="24">
        <v>391.68776699999995</v>
      </c>
      <c r="E366" s="24">
        <f t="shared" si="5"/>
        <v>54.222145669291329</v>
      </c>
      <c r="F366" s="25">
        <v>0.174342002</v>
      </c>
      <c r="G366" s="26">
        <v>9563.8777189600005</v>
      </c>
      <c r="H366" s="23">
        <v>20</v>
      </c>
    </row>
    <row r="367" spans="1:8" x14ac:dyDescent="0.25">
      <c r="A367" s="23">
        <v>71513</v>
      </c>
      <c r="B367" s="23">
        <v>1980</v>
      </c>
      <c r="C367" s="24">
        <v>10.60704</v>
      </c>
      <c r="D367" s="24">
        <v>735.16600800000003</v>
      </c>
      <c r="E367" s="24">
        <f t="shared" si="5"/>
        <v>69.309251968503943</v>
      </c>
      <c r="F367" s="25">
        <v>0.17509799500000001</v>
      </c>
      <c r="G367" s="26">
        <v>10862.6563049</v>
      </c>
      <c r="H367" s="23">
        <v>20</v>
      </c>
    </row>
    <row r="368" spans="1:8" x14ac:dyDescent="0.25">
      <c r="A368" s="23">
        <v>133424</v>
      </c>
      <c r="B368" s="23">
        <v>1980</v>
      </c>
      <c r="C368" s="24">
        <v>6.8580000000000005</v>
      </c>
      <c r="D368" s="24">
        <v>341.33782500000001</v>
      </c>
      <c r="E368" s="24">
        <f t="shared" si="5"/>
        <v>49.772211286089238</v>
      </c>
      <c r="F368" s="25">
        <v>0.174731</v>
      </c>
      <c r="G368" s="26">
        <v>6928.6207862499996</v>
      </c>
      <c r="H368" s="23">
        <v>20</v>
      </c>
    </row>
    <row r="369" spans="1:8" x14ac:dyDescent="0.25">
      <c r="A369" s="23">
        <v>72551</v>
      </c>
      <c r="B369" s="23">
        <v>1980</v>
      </c>
      <c r="C369" s="24">
        <v>8.4429599999999994</v>
      </c>
      <c r="D369" s="24">
        <v>498.71135400000003</v>
      </c>
      <c r="E369" s="24">
        <f t="shared" si="5"/>
        <v>59.068307086614183</v>
      </c>
      <c r="F369" s="25">
        <v>0.17441999599999999</v>
      </c>
      <c r="G369" s="26">
        <v>7676.9772778300003</v>
      </c>
      <c r="H369" s="23">
        <v>20</v>
      </c>
    </row>
    <row r="370" spans="1:8" x14ac:dyDescent="0.25">
      <c r="A370" s="23">
        <v>71490</v>
      </c>
      <c r="B370" s="23">
        <v>1980</v>
      </c>
      <c r="C370" s="24">
        <v>8.6563199999999991</v>
      </c>
      <c r="D370" s="24">
        <v>613.68253600000003</v>
      </c>
      <c r="E370" s="24">
        <f t="shared" si="5"/>
        <v>70.894160104986881</v>
      </c>
      <c r="F370" s="25">
        <v>0.17445000199999999</v>
      </c>
      <c r="G370" s="26">
        <v>4537.9924558299999</v>
      </c>
      <c r="H370" s="23">
        <v>20</v>
      </c>
    </row>
    <row r="371" spans="1:8" x14ac:dyDescent="0.25">
      <c r="A371" s="23">
        <v>71615</v>
      </c>
      <c r="B371" s="23">
        <v>1980</v>
      </c>
      <c r="C371" s="24">
        <v>8.7782400000000003</v>
      </c>
      <c r="D371" s="24">
        <v>721.32019199999991</v>
      </c>
      <c r="E371" s="24">
        <f t="shared" si="5"/>
        <v>82.171391076115469</v>
      </c>
      <c r="F371" s="25">
        <v>0.17524000000000001</v>
      </c>
      <c r="G371" s="26">
        <v>7677.5252081400004</v>
      </c>
      <c r="H371" s="23">
        <v>20</v>
      </c>
    </row>
    <row r="372" spans="1:8" x14ac:dyDescent="0.25">
      <c r="A372" s="23">
        <v>71818</v>
      </c>
      <c r="B372" s="23">
        <v>1980</v>
      </c>
      <c r="C372" s="24">
        <v>7.8333599999999999</v>
      </c>
      <c r="D372" s="24">
        <v>608.34264399999995</v>
      </c>
      <c r="E372" s="24">
        <f t="shared" si="5"/>
        <v>77.660498687664031</v>
      </c>
      <c r="F372" s="25">
        <v>0.17581200499999999</v>
      </c>
      <c r="G372" s="26">
        <v>8563.0034561499997</v>
      </c>
      <c r="H372" s="23">
        <v>20</v>
      </c>
    </row>
    <row r="373" spans="1:8" x14ac:dyDescent="0.25">
      <c r="A373" s="23">
        <v>115579</v>
      </c>
      <c r="B373" s="23">
        <v>1981</v>
      </c>
      <c r="C373" s="24">
        <v>6.0350400000000004</v>
      </c>
      <c r="D373" s="24">
        <v>147.70542599999999</v>
      </c>
      <c r="E373" s="24">
        <f t="shared" si="5"/>
        <v>24.474639107611544</v>
      </c>
      <c r="F373" s="25">
        <v>0.17505400800000001</v>
      </c>
      <c r="G373" s="26">
        <v>5528.40404571</v>
      </c>
      <c r="H373" s="23">
        <v>20</v>
      </c>
    </row>
    <row r="374" spans="1:8" x14ac:dyDescent="0.25">
      <c r="A374" s="23">
        <v>115578</v>
      </c>
      <c r="B374" s="23">
        <v>1981</v>
      </c>
      <c r="C374" s="24">
        <v>6.0350400000000004</v>
      </c>
      <c r="D374" s="24">
        <v>147.70542599999999</v>
      </c>
      <c r="E374" s="24">
        <f t="shared" si="5"/>
        <v>24.474639107611544</v>
      </c>
      <c r="F374" s="25">
        <v>0.17505400800000001</v>
      </c>
      <c r="G374" s="26">
        <v>4709.6208231700002</v>
      </c>
      <c r="H374" s="23">
        <v>20</v>
      </c>
    </row>
    <row r="375" spans="1:8" x14ac:dyDescent="0.25">
      <c r="A375" s="23">
        <v>73630</v>
      </c>
      <c r="B375" s="23">
        <v>1981</v>
      </c>
      <c r="C375" s="24">
        <v>30.48</v>
      </c>
      <c r="D375" s="24">
        <v>411.54699999999997</v>
      </c>
      <c r="E375" s="24">
        <f t="shared" si="5"/>
        <v>13.502198162729657</v>
      </c>
      <c r="F375" s="25">
        <v>0.17498499100000001</v>
      </c>
      <c r="G375" s="26">
        <v>382.72839323599999</v>
      </c>
      <c r="H375" s="23">
        <v>20</v>
      </c>
    </row>
    <row r="376" spans="1:8" x14ac:dyDescent="0.25">
      <c r="A376" s="23">
        <v>74484</v>
      </c>
      <c r="B376" s="23">
        <v>1981</v>
      </c>
      <c r="C376" s="24">
        <v>11.8872</v>
      </c>
      <c r="D376" s="24">
        <v>735.85160999999994</v>
      </c>
      <c r="E376" s="24">
        <f t="shared" si="5"/>
        <v>61.902854330708657</v>
      </c>
      <c r="F376" s="25">
        <v>0.17466599399999999</v>
      </c>
      <c r="G376" s="26">
        <v>16245.474881300001</v>
      </c>
      <c r="H376" s="23">
        <v>20</v>
      </c>
    </row>
    <row r="377" spans="1:8" x14ac:dyDescent="0.25">
      <c r="A377" s="23">
        <v>73470</v>
      </c>
      <c r="B377" s="23">
        <v>1981</v>
      </c>
      <c r="C377" s="24">
        <v>7.1628000000000007</v>
      </c>
      <c r="D377" s="24">
        <v>106.75603500000001</v>
      </c>
      <c r="E377" s="24">
        <f t="shared" si="5"/>
        <v>14.904232283464568</v>
      </c>
      <c r="F377" s="25">
        <v>0.175062</v>
      </c>
      <c r="G377" s="26">
        <v>161.385711972</v>
      </c>
      <c r="H377" s="23">
        <v>20</v>
      </c>
    </row>
    <row r="378" spans="1:8" x14ac:dyDescent="0.25">
      <c r="A378" s="23">
        <v>73307</v>
      </c>
      <c r="B378" s="23">
        <v>1981</v>
      </c>
      <c r="C378" s="24">
        <v>11.551920000000001</v>
      </c>
      <c r="D378" s="24">
        <v>755.58728599999995</v>
      </c>
      <c r="E378" s="24">
        <f t="shared" si="5"/>
        <v>65.407939632545919</v>
      </c>
      <c r="F378" s="25">
        <v>0.17597200399999999</v>
      </c>
      <c r="G378" s="26">
        <v>15733.453749800001</v>
      </c>
      <c r="H378" s="23">
        <v>20</v>
      </c>
    </row>
    <row r="379" spans="1:8" x14ac:dyDescent="0.25">
      <c r="A379" s="23">
        <v>74590</v>
      </c>
      <c r="B379" s="23">
        <v>1981</v>
      </c>
      <c r="C379" s="24">
        <v>30.48</v>
      </c>
      <c r="D379" s="24">
        <v>1050.6990000000001</v>
      </c>
      <c r="E379" s="24">
        <f t="shared" si="5"/>
        <v>34.471751968503938</v>
      </c>
      <c r="F379" s="25">
        <v>0.17530499999999999</v>
      </c>
      <c r="G379" s="26">
        <v>510.814295888</v>
      </c>
      <c r="H379" s="23">
        <v>20</v>
      </c>
    </row>
    <row r="380" spans="1:8" x14ac:dyDescent="0.25">
      <c r="A380" s="23">
        <v>74330</v>
      </c>
      <c r="B380" s="23">
        <v>1981</v>
      </c>
      <c r="C380" s="24">
        <v>11.15568</v>
      </c>
      <c r="D380" s="24">
        <v>778.97207399999991</v>
      </c>
      <c r="E380" s="24">
        <f t="shared" si="5"/>
        <v>69.827395013123351</v>
      </c>
      <c r="F380" s="25">
        <v>0.17411600499999999</v>
      </c>
      <c r="G380" s="26">
        <v>6799.5827174899996</v>
      </c>
      <c r="H380" s="23">
        <v>20</v>
      </c>
    </row>
    <row r="381" spans="1:8" x14ac:dyDescent="0.25">
      <c r="A381" s="23">
        <v>74629</v>
      </c>
      <c r="B381" s="23">
        <v>1981</v>
      </c>
      <c r="C381" s="24">
        <v>7.98576</v>
      </c>
      <c r="D381" s="24">
        <v>233.41868199999999</v>
      </c>
      <c r="E381" s="24">
        <f t="shared" si="5"/>
        <v>29.229363517060367</v>
      </c>
      <c r="F381" s="25">
        <v>0.174538</v>
      </c>
      <c r="G381" s="26">
        <v>3743.6822490700001</v>
      </c>
      <c r="H381" s="23">
        <v>20</v>
      </c>
    </row>
    <row r="382" spans="1:8" x14ac:dyDescent="0.25">
      <c r="A382" s="23">
        <v>75776</v>
      </c>
      <c r="B382" s="23">
        <v>1981</v>
      </c>
      <c r="C382" s="24">
        <v>7.1932800000000006</v>
      </c>
      <c r="D382" s="24">
        <v>451.42339599999997</v>
      </c>
      <c r="E382" s="24">
        <f t="shared" si="5"/>
        <v>62.756266404199465</v>
      </c>
      <c r="F382" s="25">
        <v>0.175015002</v>
      </c>
      <c r="G382" s="26">
        <v>2054.3809618499999</v>
      </c>
      <c r="H382" s="23">
        <v>20</v>
      </c>
    </row>
    <row r="383" spans="1:8" x14ac:dyDescent="0.25">
      <c r="A383" s="23">
        <v>75775</v>
      </c>
      <c r="B383" s="23">
        <v>1981</v>
      </c>
      <c r="C383" s="24">
        <v>7.4980800000000007</v>
      </c>
      <c r="D383" s="24">
        <v>550.08133799999996</v>
      </c>
      <c r="E383" s="24">
        <f t="shared" si="5"/>
        <v>73.362959317585293</v>
      </c>
      <c r="F383" s="25">
        <v>0.175711007</v>
      </c>
      <c r="G383" s="26">
        <v>4368.4836503699999</v>
      </c>
      <c r="H383" s="23">
        <v>20</v>
      </c>
    </row>
    <row r="384" spans="1:8" x14ac:dyDescent="0.25">
      <c r="A384" s="23">
        <v>110479</v>
      </c>
      <c r="B384" s="23">
        <v>1982</v>
      </c>
      <c r="C384" s="24">
        <v>30.48</v>
      </c>
      <c r="D384" s="24">
        <v>331.65299999999996</v>
      </c>
      <c r="E384" s="24">
        <f t="shared" si="5"/>
        <v>10.881003937007872</v>
      </c>
      <c r="F384" s="25">
        <v>0.174930004</v>
      </c>
      <c r="G384" s="26">
        <v>26.620783716199998</v>
      </c>
      <c r="H384" s="23">
        <v>20</v>
      </c>
    </row>
    <row r="385" spans="1:8" x14ac:dyDescent="0.25">
      <c r="A385" s="23">
        <v>76596</v>
      </c>
      <c r="B385" s="23">
        <v>1982</v>
      </c>
      <c r="C385" s="24">
        <v>10.546080000000002</v>
      </c>
      <c r="D385" s="24">
        <v>505.29424799999998</v>
      </c>
      <c r="E385" s="24">
        <f t="shared" ref="E385:E448" si="6">D385/C385</f>
        <v>47.912992125984246</v>
      </c>
      <c r="F385" s="25">
        <v>0.17449200000000001</v>
      </c>
      <c r="G385" s="26">
        <v>14487.579142500001</v>
      </c>
      <c r="H385" s="23">
        <v>20</v>
      </c>
    </row>
    <row r="386" spans="1:8" x14ac:dyDescent="0.25">
      <c r="A386" s="23">
        <v>76726</v>
      </c>
      <c r="B386" s="23">
        <v>1982</v>
      </c>
      <c r="C386" s="24">
        <v>7.4371200000000002</v>
      </c>
      <c r="D386" s="24">
        <v>411.41694000000001</v>
      </c>
      <c r="E386" s="24">
        <f t="shared" si="6"/>
        <v>55.319389763779526</v>
      </c>
      <c r="F386" s="25">
        <v>0.17423999600000001</v>
      </c>
      <c r="G386" s="26">
        <v>10149.301489900001</v>
      </c>
      <c r="H386" s="23">
        <v>20</v>
      </c>
    </row>
    <row r="387" spans="1:8" x14ac:dyDescent="0.25">
      <c r="A387" s="23">
        <v>76292</v>
      </c>
      <c r="B387" s="23">
        <v>1982</v>
      </c>
      <c r="C387" s="24">
        <v>30.48</v>
      </c>
      <c r="D387" s="24">
        <v>473.78999999999996</v>
      </c>
      <c r="E387" s="24">
        <f t="shared" si="6"/>
        <v>15.544291338582676</v>
      </c>
      <c r="F387" s="25">
        <v>0.17493</v>
      </c>
      <c r="G387" s="26">
        <v>140.28984299800001</v>
      </c>
      <c r="H387" s="23">
        <v>20</v>
      </c>
    </row>
    <row r="388" spans="1:8" x14ac:dyDescent="0.25">
      <c r="A388" s="23">
        <v>76140</v>
      </c>
      <c r="B388" s="23">
        <v>1982</v>
      </c>
      <c r="C388" s="24">
        <v>6.431280000000001</v>
      </c>
      <c r="D388" s="24">
        <v>169.16439700000001</v>
      </c>
      <c r="E388" s="24">
        <f t="shared" si="6"/>
        <v>26.303379265091859</v>
      </c>
      <c r="F388" s="25">
        <v>0.17518900900000001</v>
      </c>
      <c r="G388" s="26">
        <v>2004.16385038</v>
      </c>
      <c r="H388" s="23">
        <v>20</v>
      </c>
    </row>
    <row r="389" spans="1:8" x14ac:dyDescent="0.25">
      <c r="A389" s="23">
        <v>76625</v>
      </c>
      <c r="B389" s="23">
        <v>1982</v>
      </c>
      <c r="C389" s="24">
        <v>30.48</v>
      </c>
      <c r="D389" s="24">
        <v>510.95</v>
      </c>
      <c r="E389" s="24">
        <f t="shared" si="6"/>
        <v>16.763451443569554</v>
      </c>
      <c r="F389" s="25">
        <v>0.22494999500000001</v>
      </c>
      <c r="G389" s="26">
        <v>117.449669509</v>
      </c>
      <c r="H389" s="23">
        <v>20</v>
      </c>
    </row>
    <row r="390" spans="1:8" x14ac:dyDescent="0.25">
      <c r="A390" s="23">
        <v>76783</v>
      </c>
      <c r="B390" s="23">
        <v>1982</v>
      </c>
      <c r="C390" s="24">
        <v>8.3515200000000007</v>
      </c>
      <c r="D390" s="24">
        <v>668.43779599999993</v>
      </c>
      <c r="E390" s="24">
        <f t="shared" si="6"/>
        <v>80.037860892388437</v>
      </c>
      <c r="F390" s="25">
        <v>0.17594199499999999</v>
      </c>
      <c r="G390" s="26">
        <v>7762.7491240600002</v>
      </c>
      <c r="H390" s="23">
        <v>20</v>
      </c>
    </row>
    <row r="391" spans="1:8" x14ac:dyDescent="0.25">
      <c r="A391" s="23">
        <v>77545</v>
      </c>
      <c r="B391" s="23">
        <v>1984</v>
      </c>
      <c r="C391" s="24">
        <v>9.6926400000000008</v>
      </c>
      <c r="D391" s="24">
        <v>644.61080400000003</v>
      </c>
      <c r="E391" s="24">
        <f t="shared" si="6"/>
        <v>66.505183727034122</v>
      </c>
      <c r="F391" s="25">
        <v>0.174559996</v>
      </c>
      <c r="G391" s="26">
        <v>2211.5606139400002</v>
      </c>
      <c r="H391" s="23">
        <v>20</v>
      </c>
    </row>
    <row r="392" spans="1:8" x14ac:dyDescent="0.25">
      <c r="A392" s="23">
        <v>77623</v>
      </c>
      <c r="B392" s="23">
        <v>1984</v>
      </c>
      <c r="C392" s="24">
        <v>7.1932800000000006</v>
      </c>
      <c r="D392" s="24">
        <v>540.65570400000001</v>
      </c>
      <c r="E392" s="24">
        <f t="shared" si="6"/>
        <v>75.161220472440945</v>
      </c>
      <c r="F392" s="25">
        <v>0.17508599799999999</v>
      </c>
      <c r="G392" s="26">
        <v>4192.9361980499998</v>
      </c>
      <c r="H392" s="23">
        <v>20</v>
      </c>
    </row>
    <row r="393" spans="1:8" x14ac:dyDescent="0.25">
      <c r="A393" s="23">
        <v>78127</v>
      </c>
      <c r="B393" s="23">
        <v>1985</v>
      </c>
      <c r="C393" s="24">
        <v>9.5402400000000007</v>
      </c>
      <c r="D393" s="24">
        <v>569.34136599999999</v>
      </c>
      <c r="E393" s="24">
        <f t="shared" si="6"/>
        <v>59.677887139107604</v>
      </c>
      <c r="F393" s="25">
        <v>0.174262004</v>
      </c>
      <c r="G393" s="26">
        <v>11548.331465699999</v>
      </c>
      <c r="H393" s="23">
        <v>20</v>
      </c>
    </row>
    <row r="394" spans="1:8" x14ac:dyDescent="0.25">
      <c r="A394" s="23">
        <v>115527</v>
      </c>
      <c r="B394" s="23">
        <v>1985</v>
      </c>
      <c r="C394" s="24">
        <v>30.48</v>
      </c>
      <c r="D394" s="24">
        <v>510.95</v>
      </c>
      <c r="E394" s="24">
        <f t="shared" si="6"/>
        <v>16.763451443569554</v>
      </c>
      <c r="F394" s="25">
        <v>0.22494999500000001</v>
      </c>
      <c r="G394" s="26">
        <v>168.952754459</v>
      </c>
      <c r="H394" s="23">
        <v>20</v>
      </c>
    </row>
    <row r="395" spans="1:8" x14ac:dyDescent="0.25">
      <c r="A395" s="23">
        <v>111007</v>
      </c>
      <c r="B395" s="23">
        <v>1985</v>
      </c>
      <c r="C395" s="24">
        <v>30.48</v>
      </c>
      <c r="D395" s="24">
        <v>845.39</v>
      </c>
      <c r="E395" s="24">
        <f t="shared" si="6"/>
        <v>27.735892388451443</v>
      </c>
      <c r="F395" s="25">
        <v>0.224769991</v>
      </c>
      <c r="G395" s="26">
        <v>46.360930252800003</v>
      </c>
      <c r="H395" s="23">
        <v>20</v>
      </c>
    </row>
    <row r="396" spans="1:8" x14ac:dyDescent="0.25">
      <c r="A396" s="23">
        <v>113431</v>
      </c>
      <c r="B396" s="23">
        <v>1985</v>
      </c>
      <c r="C396" s="24">
        <v>30.48</v>
      </c>
      <c r="D396" s="24">
        <v>1115.729</v>
      </c>
      <c r="E396" s="24">
        <f t="shared" si="6"/>
        <v>36.60528215223097</v>
      </c>
      <c r="F396" s="25">
        <v>0.175346012</v>
      </c>
      <c r="G396" s="26">
        <v>22.150458310200001</v>
      </c>
      <c r="H396" s="23">
        <v>20</v>
      </c>
    </row>
    <row r="397" spans="1:8" x14ac:dyDescent="0.25">
      <c r="A397" s="23">
        <v>113430</v>
      </c>
      <c r="B397" s="23">
        <v>1985</v>
      </c>
      <c r="C397" s="24">
        <v>30.48</v>
      </c>
      <c r="D397" s="24">
        <v>1115.729</v>
      </c>
      <c r="E397" s="24">
        <f t="shared" si="6"/>
        <v>36.60528215223097</v>
      </c>
      <c r="F397" s="25">
        <v>0.175346012</v>
      </c>
      <c r="G397" s="26">
        <v>77.728208199700006</v>
      </c>
      <c r="H397" s="23">
        <v>20</v>
      </c>
    </row>
    <row r="398" spans="1:8" x14ac:dyDescent="0.25">
      <c r="A398" s="23">
        <v>122956</v>
      </c>
      <c r="B398" s="23">
        <v>1986</v>
      </c>
      <c r="C398" s="24">
        <v>30.48</v>
      </c>
      <c r="D398" s="24">
        <v>317.71799999999996</v>
      </c>
      <c r="E398" s="24">
        <f t="shared" si="6"/>
        <v>10.423818897637794</v>
      </c>
      <c r="F398" s="25">
        <v>0.22503599299999999</v>
      </c>
      <c r="G398" s="26">
        <v>98.059677826599994</v>
      </c>
      <c r="H398" s="23">
        <v>20</v>
      </c>
    </row>
    <row r="399" spans="1:8" x14ac:dyDescent="0.25">
      <c r="A399" s="23">
        <v>78445</v>
      </c>
      <c r="B399" s="23">
        <v>1986</v>
      </c>
      <c r="C399" s="24">
        <v>11.338560000000001</v>
      </c>
      <c r="D399" s="24">
        <v>626.89663199999995</v>
      </c>
      <c r="E399" s="24">
        <f t="shared" si="6"/>
        <v>55.288910761154845</v>
      </c>
      <c r="F399" s="25">
        <v>0.174143996</v>
      </c>
      <c r="G399" s="26">
        <v>17369.883930600001</v>
      </c>
      <c r="H399" s="23">
        <v>20</v>
      </c>
    </row>
    <row r="400" spans="1:8" x14ac:dyDescent="0.25">
      <c r="A400" s="23">
        <v>130000</v>
      </c>
      <c r="B400" s="23">
        <v>1986</v>
      </c>
      <c r="C400" s="24">
        <v>30.48</v>
      </c>
      <c r="D400" s="24">
        <v>1115.729</v>
      </c>
      <c r="E400" s="24">
        <f t="shared" si="6"/>
        <v>36.60528215223097</v>
      </c>
      <c r="F400" s="25">
        <v>0.175346012</v>
      </c>
      <c r="G400" s="26">
        <v>20.8746878342</v>
      </c>
      <c r="H400" s="23">
        <v>20</v>
      </c>
    </row>
    <row r="401" spans="1:8" x14ac:dyDescent="0.25">
      <c r="A401" s="23">
        <v>78947</v>
      </c>
      <c r="B401" s="23">
        <v>1988</v>
      </c>
      <c r="C401" s="24">
        <v>30.48</v>
      </c>
      <c r="D401" s="24">
        <v>331.65299999999996</v>
      </c>
      <c r="E401" s="24">
        <f t="shared" si="6"/>
        <v>10.881003937007872</v>
      </c>
      <c r="F401" s="25">
        <v>0.174930004</v>
      </c>
      <c r="G401" s="26">
        <v>17.755902872899998</v>
      </c>
      <c r="H401" s="23">
        <v>20</v>
      </c>
    </row>
    <row r="402" spans="1:8" x14ac:dyDescent="0.25">
      <c r="A402" s="23">
        <v>78974</v>
      </c>
      <c r="B402" s="23">
        <v>1988</v>
      </c>
      <c r="C402" s="24">
        <v>30.48</v>
      </c>
      <c r="D402" s="24">
        <v>294.49299999999999</v>
      </c>
      <c r="E402" s="24">
        <f t="shared" si="6"/>
        <v>9.6618438320209972</v>
      </c>
      <c r="F402" s="25">
        <v>0.22506999999999999</v>
      </c>
      <c r="G402" s="26">
        <v>268.74065317899999</v>
      </c>
      <c r="H402" s="23">
        <v>20</v>
      </c>
    </row>
    <row r="403" spans="1:8" x14ac:dyDescent="0.25">
      <c r="A403" s="23">
        <v>78979</v>
      </c>
      <c r="B403" s="23">
        <v>1988</v>
      </c>
      <c r="C403" s="24">
        <v>8.1076800000000002</v>
      </c>
      <c r="D403" s="24">
        <v>612.10137799999995</v>
      </c>
      <c r="E403" s="24">
        <f t="shared" si="6"/>
        <v>75.496489501312325</v>
      </c>
      <c r="F403" s="25">
        <v>0.175866998</v>
      </c>
      <c r="G403" s="26">
        <v>6251.4394940700004</v>
      </c>
      <c r="H403" s="23">
        <v>20</v>
      </c>
    </row>
    <row r="404" spans="1:8" x14ac:dyDescent="0.25">
      <c r="A404" s="23">
        <v>78980</v>
      </c>
      <c r="B404" s="23">
        <v>1988</v>
      </c>
      <c r="C404" s="24">
        <v>8.6563199999999991</v>
      </c>
      <c r="D404" s="24">
        <v>715.25939599999992</v>
      </c>
      <c r="E404" s="24">
        <f t="shared" si="6"/>
        <v>82.628576115485558</v>
      </c>
      <c r="F404" s="25">
        <v>0.17621500000000001</v>
      </c>
      <c r="G404" s="26">
        <v>8507.2680398199991</v>
      </c>
      <c r="H404" s="23">
        <v>20</v>
      </c>
    </row>
    <row r="405" spans="1:8" x14ac:dyDescent="0.25">
      <c r="A405" s="23">
        <v>80185</v>
      </c>
      <c r="B405" s="23">
        <v>1989</v>
      </c>
      <c r="C405" s="24">
        <v>30.48</v>
      </c>
      <c r="D405" s="24">
        <v>330.72399999999999</v>
      </c>
      <c r="E405" s="24">
        <f t="shared" si="6"/>
        <v>10.850524934383202</v>
      </c>
      <c r="F405" s="25">
        <v>0.22499200699999999</v>
      </c>
      <c r="G405" s="26">
        <v>163.37774127899999</v>
      </c>
      <c r="H405" s="23">
        <v>20</v>
      </c>
    </row>
    <row r="406" spans="1:8" x14ac:dyDescent="0.25">
      <c r="A406" s="23">
        <v>79765</v>
      </c>
      <c r="B406" s="23">
        <v>1989</v>
      </c>
      <c r="C406" s="24">
        <v>30.48</v>
      </c>
      <c r="D406" s="24">
        <v>294.49299999999999</v>
      </c>
      <c r="E406" s="24">
        <f t="shared" si="6"/>
        <v>9.6618438320209972</v>
      </c>
      <c r="F406" s="25">
        <v>0.22506999999999999</v>
      </c>
      <c r="G406" s="26">
        <v>334.94218470599998</v>
      </c>
      <c r="H406" s="23">
        <v>20</v>
      </c>
    </row>
    <row r="407" spans="1:8" x14ac:dyDescent="0.25">
      <c r="A407" s="23">
        <v>80537</v>
      </c>
      <c r="B407" s="23">
        <v>1989</v>
      </c>
      <c r="C407" s="24">
        <v>7.8638400000000006</v>
      </c>
      <c r="D407" s="24">
        <v>564.930474</v>
      </c>
      <c r="E407" s="24">
        <f t="shared" si="6"/>
        <v>71.839009186351703</v>
      </c>
      <c r="F407" s="25">
        <v>0.17441799799999999</v>
      </c>
      <c r="G407" s="26">
        <v>4321.5568399800004</v>
      </c>
      <c r="H407" s="23">
        <v>20</v>
      </c>
    </row>
    <row r="408" spans="1:8" x14ac:dyDescent="0.25">
      <c r="A408" s="23">
        <v>81590</v>
      </c>
      <c r="B408" s="23">
        <v>1990</v>
      </c>
      <c r="C408" s="24">
        <v>7.0104000000000006</v>
      </c>
      <c r="D408" s="24">
        <v>34.614539999999998</v>
      </c>
      <c r="E408" s="24">
        <f t="shared" si="6"/>
        <v>4.9375984251968497</v>
      </c>
      <c r="F408" s="25">
        <v>0.17496</v>
      </c>
      <c r="G408" s="26">
        <v>43.177985919400001</v>
      </c>
      <c r="H408" s="23">
        <v>20</v>
      </c>
    </row>
    <row r="409" spans="1:8" x14ac:dyDescent="0.25">
      <c r="A409" s="23">
        <v>81347</v>
      </c>
      <c r="B409" s="23">
        <v>1990</v>
      </c>
      <c r="C409" s="24">
        <v>30.48</v>
      </c>
      <c r="D409" s="24">
        <v>421.76599999999996</v>
      </c>
      <c r="E409" s="24">
        <f t="shared" si="6"/>
        <v>13.837467191601048</v>
      </c>
      <c r="F409" s="25">
        <v>0.225184</v>
      </c>
      <c r="G409" s="26">
        <v>184.91228884200001</v>
      </c>
      <c r="H409" s="23">
        <v>20</v>
      </c>
    </row>
    <row r="410" spans="1:8" x14ac:dyDescent="0.25">
      <c r="A410" s="23">
        <v>82059</v>
      </c>
      <c r="B410" s="23">
        <v>1991</v>
      </c>
      <c r="C410" s="24">
        <v>30.48</v>
      </c>
      <c r="D410" s="24">
        <v>317.71799999999996</v>
      </c>
      <c r="E410" s="24">
        <f t="shared" si="6"/>
        <v>10.423818897637794</v>
      </c>
      <c r="F410" s="25">
        <v>0.22503599299999999</v>
      </c>
      <c r="G410" s="26">
        <v>95.759342504900005</v>
      </c>
      <c r="H410" s="23">
        <v>20</v>
      </c>
    </row>
    <row r="411" spans="1:8" x14ac:dyDescent="0.25">
      <c r="A411" s="23">
        <v>115529</v>
      </c>
      <c r="B411" s="23">
        <v>1991</v>
      </c>
      <c r="C411" s="24">
        <v>30.48</v>
      </c>
      <c r="D411" s="24">
        <v>452.423</v>
      </c>
      <c r="E411" s="24">
        <f t="shared" si="6"/>
        <v>14.843274278215222</v>
      </c>
      <c r="F411" s="25">
        <v>0.22499399</v>
      </c>
      <c r="G411" s="26">
        <v>92.508957222000006</v>
      </c>
      <c r="H411" s="23">
        <v>20</v>
      </c>
    </row>
    <row r="412" spans="1:8" x14ac:dyDescent="0.25">
      <c r="A412" s="23">
        <v>82431</v>
      </c>
      <c r="B412" s="23">
        <v>1991</v>
      </c>
      <c r="C412" s="24">
        <v>7.4980800000000007</v>
      </c>
      <c r="D412" s="24">
        <v>165.915684</v>
      </c>
      <c r="E412" s="24">
        <f t="shared" si="6"/>
        <v>22.127755905511808</v>
      </c>
      <c r="F412" s="25">
        <v>0.17496600000000001</v>
      </c>
      <c r="G412" s="26">
        <v>2942.7806763499998</v>
      </c>
      <c r="H412" s="23">
        <v>20</v>
      </c>
    </row>
    <row r="413" spans="1:8" x14ac:dyDescent="0.25">
      <c r="A413" s="23">
        <v>115528</v>
      </c>
      <c r="B413" s="23">
        <v>1991</v>
      </c>
      <c r="C413" s="24">
        <v>30.48</v>
      </c>
      <c r="D413" s="24">
        <v>510.95</v>
      </c>
      <c r="E413" s="24">
        <f t="shared" si="6"/>
        <v>16.763451443569554</v>
      </c>
      <c r="F413" s="25">
        <v>0.22494999500000001</v>
      </c>
      <c r="G413" s="26">
        <v>10.781081817</v>
      </c>
      <c r="H413" s="23">
        <v>20</v>
      </c>
    </row>
    <row r="414" spans="1:8" x14ac:dyDescent="0.25">
      <c r="A414" s="23">
        <v>81838</v>
      </c>
      <c r="B414" s="23">
        <v>1991</v>
      </c>
      <c r="C414" s="24">
        <v>7.8638400000000006</v>
      </c>
      <c r="D414" s="24">
        <v>564.930474</v>
      </c>
      <c r="E414" s="24">
        <f t="shared" si="6"/>
        <v>71.839009186351703</v>
      </c>
      <c r="F414" s="25">
        <v>0.17441799799999999</v>
      </c>
      <c r="G414" s="26">
        <v>4310.5113577900001</v>
      </c>
      <c r="H414" s="23">
        <v>20</v>
      </c>
    </row>
    <row r="415" spans="1:8" x14ac:dyDescent="0.25">
      <c r="A415" s="23">
        <v>82461</v>
      </c>
      <c r="B415" s="23">
        <v>1991</v>
      </c>
      <c r="C415" s="24">
        <v>8.6563199999999991</v>
      </c>
      <c r="D415" s="24">
        <v>613.68253600000003</v>
      </c>
      <c r="E415" s="24">
        <f t="shared" si="6"/>
        <v>70.894160104986881</v>
      </c>
      <c r="F415" s="25">
        <v>0.17445000199999999</v>
      </c>
      <c r="G415" s="26">
        <v>4707.5210417600001</v>
      </c>
      <c r="H415" s="23">
        <v>20</v>
      </c>
    </row>
    <row r="416" spans="1:8" x14ac:dyDescent="0.25">
      <c r="A416" s="23">
        <v>81985</v>
      </c>
      <c r="B416" s="23">
        <v>1991</v>
      </c>
      <c r="C416" s="24">
        <v>7.955280000000001</v>
      </c>
      <c r="D416" s="24">
        <v>621.690516</v>
      </c>
      <c r="E416" s="24">
        <f t="shared" si="6"/>
        <v>78.148162729658779</v>
      </c>
      <c r="F416" s="25">
        <v>0.17435200000000001</v>
      </c>
      <c r="G416" s="26">
        <v>7011.6652387699996</v>
      </c>
      <c r="H416" s="23">
        <v>20</v>
      </c>
    </row>
    <row r="417" spans="1:8" x14ac:dyDescent="0.25">
      <c r="A417" s="23">
        <v>81984</v>
      </c>
      <c r="B417" s="23">
        <v>1991</v>
      </c>
      <c r="C417" s="24">
        <v>7.955280000000001</v>
      </c>
      <c r="D417" s="24">
        <v>621.690516</v>
      </c>
      <c r="E417" s="24">
        <f t="shared" si="6"/>
        <v>78.148162729658779</v>
      </c>
      <c r="F417" s="25">
        <v>0.17435200000000001</v>
      </c>
      <c r="G417" s="26">
        <v>7784.8808740100003</v>
      </c>
      <c r="H417" s="23">
        <v>20</v>
      </c>
    </row>
    <row r="418" spans="1:8" x14ac:dyDescent="0.25">
      <c r="A418" s="23">
        <v>82462</v>
      </c>
      <c r="B418" s="23">
        <v>1991</v>
      </c>
      <c r="C418" s="24">
        <v>8.9001599999999996</v>
      </c>
      <c r="D418" s="24">
        <v>578.07210800000007</v>
      </c>
      <c r="E418" s="24">
        <f t="shared" si="6"/>
        <v>64.950754593175859</v>
      </c>
      <c r="F418" s="25">
        <v>0.17474200400000001</v>
      </c>
      <c r="G418" s="26">
        <v>9961.43588585</v>
      </c>
      <c r="H418" s="23">
        <v>20</v>
      </c>
    </row>
    <row r="419" spans="1:8" x14ac:dyDescent="0.25">
      <c r="A419" s="23">
        <v>83583</v>
      </c>
      <c r="B419" s="23">
        <v>1992</v>
      </c>
      <c r="C419" s="24">
        <v>30.48</v>
      </c>
      <c r="D419" s="24">
        <v>499.80199999999996</v>
      </c>
      <c r="E419" s="24">
        <f t="shared" si="6"/>
        <v>16.39770341207349</v>
      </c>
      <c r="F419" s="25">
        <v>0.22488401099999999</v>
      </c>
      <c r="G419" s="26">
        <v>643.53086107900003</v>
      </c>
      <c r="H419" s="23">
        <v>20</v>
      </c>
    </row>
    <row r="420" spans="1:8" x14ac:dyDescent="0.25">
      <c r="A420" s="23">
        <v>83497</v>
      </c>
      <c r="B420" s="23">
        <v>1992</v>
      </c>
      <c r="C420" s="24">
        <v>30.48</v>
      </c>
      <c r="D420" s="24">
        <v>517.45299999999997</v>
      </c>
      <c r="E420" s="24">
        <f t="shared" si="6"/>
        <v>16.976804461942255</v>
      </c>
      <c r="F420" s="25">
        <v>0.174897994</v>
      </c>
      <c r="G420" s="26">
        <v>50.361077271900001</v>
      </c>
      <c r="H420" s="23">
        <v>20</v>
      </c>
    </row>
    <row r="421" spans="1:8" x14ac:dyDescent="0.25">
      <c r="A421" s="23">
        <v>84212</v>
      </c>
      <c r="B421" s="23">
        <v>1992</v>
      </c>
      <c r="C421" s="24">
        <v>11.612880000000001</v>
      </c>
      <c r="D421" s="24">
        <v>838.50518099999988</v>
      </c>
      <c r="E421" s="24">
        <f t="shared" si="6"/>
        <v>72.204757217847757</v>
      </c>
      <c r="F421" s="25">
        <v>0.17530599799999999</v>
      </c>
      <c r="G421" s="26">
        <v>10715.0454842</v>
      </c>
      <c r="H421" s="23">
        <v>20</v>
      </c>
    </row>
    <row r="422" spans="1:8" x14ac:dyDescent="0.25">
      <c r="A422" s="23">
        <v>85097</v>
      </c>
      <c r="B422" s="23">
        <v>1992</v>
      </c>
      <c r="C422" s="24">
        <v>10.60704</v>
      </c>
      <c r="D422" s="24">
        <v>735.16600800000003</v>
      </c>
      <c r="E422" s="24">
        <f t="shared" si="6"/>
        <v>69.309251968503943</v>
      </c>
      <c r="F422" s="25">
        <v>0.17509799500000001</v>
      </c>
      <c r="G422" s="26">
        <v>10289.715885199999</v>
      </c>
      <c r="H422" s="23">
        <v>20</v>
      </c>
    </row>
    <row r="423" spans="1:8" x14ac:dyDescent="0.25">
      <c r="A423" s="23">
        <v>84211</v>
      </c>
      <c r="B423" s="23">
        <v>1992</v>
      </c>
      <c r="C423" s="24">
        <v>11.612880000000001</v>
      </c>
      <c r="D423" s="24">
        <v>838.50518099999988</v>
      </c>
      <c r="E423" s="24">
        <f t="shared" si="6"/>
        <v>72.204757217847757</v>
      </c>
      <c r="F423" s="25">
        <v>0.17530599799999999</v>
      </c>
      <c r="G423" s="26">
        <v>10400.3155372</v>
      </c>
      <c r="H423" s="23">
        <v>20</v>
      </c>
    </row>
    <row r="424" spans="1:8" x14ac:dyDescent="0.25">
      <c r="A424" s="23">
        <v>83639</v>
      </c>
      <c r="B424" s="23">
        <v>1992</v>
      </c>
      <c r="C424" s="24">
        <v>30.48</v>
      </c>
      <c r="D424" s="24">
        <v>557.4</v>
      </c>
      <c r="E424" s="24">
        <f t="shared" si="6"/>
        <v>18.287401574803148</v>
      </c>
      <c r="F424" s="25">
        <v>0.17520000599999999</v>
      </c>
      <c r="G424" s="26">
        <v>59.8170921854</v>
      </c>
      <c r="H424" s="23">
        <v>20</v>
      </c>
    </row>
    <row r="425" spans="1:8" x14ac:dyDescent="0.25">
      <c r="A425" s="23">
        <v>83953</v>
      </c>
      <c r="B425" s="23">
        <v>1992</v>
      </c>
      <c r="C425" s="24">
        <v>8.9001599999999996</v>
      </c>
      <c r="D425" s="24">
        <v>706.65314000000001</v>
      </c>
      <c r="E425" s="24">
        <f t="shared" si="6"/>
        <v>79.39780183727035</v>
      </c>
      <c r="F425" s="25">
        <v>0.174534995</v>
      </c>
      <c r="G425" s="26">
        <v>5830.2234365599998</v>
      </c>
      <c r="H425" s="23">
        <v>20</v>
      </c>
    </row>
    <row r="426" spans="1:8" x14ac:dyDescent="0.25">
      <c r="A426" s="23">
        <v>82796</v>
      </c>
      <c r="B426" s="23">
        <v>1992</v>
      </c>
      <c r="C426" s="24">
        <v>7.0408800000000005</v>
      </c>
      <c r="D426" s="24">
        <v>565.68296399999997</v>
      </c>
      <c r="E426" s="24">
        <f t="shared" si="6"/>
        <v>80.342650918635158</v>
      </c>
      <c r="F426" s="25">
        <v>0.17397600499999999</v>
      </c>
      <c r="G426" s="26">
        <v>6736.9503785699999</v>
      </c>
      <c r="H426" s="23">
        <v>20</v>
      </c>
    </row>
    <row r="427" spans="1:8" x14ac:dyDescent="0.25">
      <c r="A427" s="23">
        <v>88566</v>
      </c>
      <c r="B427" s="23">
        <v>1993</v>
      </c>
      <c r="C427" s="24">
        <v>7.8333599999999999</v>
      </c>
      <c r="D427" s="24">
        <v>440.49928499999993</v>
      </c>
      <c r="E427" s="24">
        <f t="shared" si="6"/>
        <v>56.233759842519675</v>
      </c>
      <c r="F427" s="25">
        <v>0.17527500400000001</v>
      </c>
      <c r="G427" s="26">
        <v>11340.291885099999</v>
      </c>
      <c r="H427" s="23">
        <v>20</v>
      </c>
    </row>
    <row r="428" spans="1:8" x14ac:dyDescent="0.25">
      <c r="A428" s="23">
        <v>65114</v>
      </c>
      <c r="B428" s="23">
        <v>1993</v>
      </c>
      <c r="C428" s="24">
        <v>6.61416</v>
      </c>
      <c r="D428" s="24">
        <v>438.86796099999998</v>
      </c>
      <c r="E428" s="24">
        <f t="shared" si="6"/>
        <v>66.352788713910755</v>
      </c>
      <c r="F428" s="25">
        <v>0.17415999600000001</v>
      </c>
      <c r="G428" s="26">
        <v>78.753759134299997</v>
      </c>
      <c r="H428" s="23">
        <v>20</v>
      </c>
    </row>
    <row r="429" spans="1:8" x14ac:dyDescent="0.25">
      <c r="A429" s="23">
        <v>92125</v>
      </c>
      <c r="B429" s="23">
        <v>1994</v>
      </c>
      <c r="C429" s="24">
        <v>30.48</v>
      </c>
      <c r="D429" s="24">
        <v>510.02099999999996</v>
      </c>
      <c r="E429" s="24">
        <f t="shared" si="6"/>
        <v>16.732972440944881</v>
      </c>
      <c r="F429" s="25">
        <v>0.22509000000000001</v>
      </c>
      <c r="G429" s="26">
        <v>248.036298155</v>
      </c>
      <c r="H429" s="23">
        <v>20</v>
      </c>
    </row>
    <row r="430" spans="1:8" x14ac:dyDescent="0.25">
      <c r="A430" s="23">
        <v>103391</v>
      </c>
      <c r="B430" s="23">
        <v>1997</v>
      </c>
      <c r="C430" s="24">
        <v>8.0162399999999998</v>
      </c>
      <c r="D430" s="24">
        <v>435.879368</v>
      </c>
      <c r="E430" s="24">
        <f t="shared" si="6"/>
        <v>54.374540682414697</v>
      </c>
      <c r="F430" s="25">
        <v>0.17483200199999999</v>
      </c>
      <c r="G430" s="26">
        <v>15463.132917000001</v>
      </c>
      <c r="H430" s="23">
        <v>20</v>
      </c>
    </row>
    <row r="431" spans="1:8" x14ac:dyDescent="0.25">
      <c r="A431" s="23">
        <v>104496</v>
      </c>
      <c r="B431" s="23">
        <v>1997</v>
      </c>
      <c r="C431" s="24">
        <v>7.2847200000000001</v>
      </c>
      <c r="D431" s="24">
        <v>402.76423399999999</v>
      </c>
      <c r="E431" s="24">
        <f t="shared" si="6"/>
        <v>55.288910761154852</v>
      </c>
      <c r="F431" s="25">
        <v>0.174143996</v>
      </c>
      <c r="G431" s="26">
        <v>9007.3686878699991</v>
      </c>
      <c r="H431" s="23">
        <v>20</v>
      </c>
    </row>
    <row r="432" spans="1:8" x14ac:dyDescent="0.25">
      <c r="A432" s="23">
        <v>104665</v>
      </c>
      <c r="B432" s="23">
        <v>1997</v>
      </c>
      <c r="C432" s="24">
        <v>7.7724000000000002</v>
      </c>
      <c r="D432" s="24">
        <v>197.09663999999998</v>
      </c>
      <c r="E432" s="24">
        <f t="shared" si="6"/>
        <v>25.35853018372703</v>
      </c>
      <c r="F432" s="25">
        <v>0.17471999199999999</v>
      </c>
      <c r="G432" s="26">
        <v>2335.2322305500002</v>
      </c>
      <c r="H432" s="23">
        <v>20</v>
      </c>
    </row>
    <row r="433" spans="1:8" x14ac:dyDescent="0.25">
      <c r="A433" s="23">
        <v>109119</v>
      </c>
      <c r="B433" s="23">
        <v>1997</v>
      </c>
      <c r="C433" s="24">
        <v>7.5590400000000004</v>
      </c>
      <c r="D433" s="24">
        <v>155.744992</v>
      </c>
      <c r="E433" s="24">
        <f t="shared" si="6"/>
        <v>20.603805774278214</v>
      </c>
      <c r="F433" s="25">
        <v>0.17508399299999999</v>
      </c>
      <c r="G433" s="26">
        <v>2215.5490928999998</v>
      </c>
      <c r="H433" s="23">
        <v>20</v>
      </c>
    </row>
    <row r="434" spans="1:8" x14ac:dyDescent="0.25">
      <c r="A434" s="23">
        <v>109118</v>
      </c>
      <c r="B434" s="23">
        <v>1997</v>
      </c>
      <c r="C434" s="24">
        <v>7.7724000000000002</v>
      </c>
      <c r="D434" s="24">
        <v>197.09663999999998</v>
      </c>
      <c r="E434" s="24">
        <f t="shared" si="6"/>
        <v>25.35853018372703</v>
      </c>
      <c r="F434" s="25">
        <v>0.17471999199999999</v>
      </c>
      <c r="G434" s="26">
        <v>3029.7211157400002</v>
      </c>
      <c r="H434" s="23">
        <v>20</v>
      </c>
    </row>
    <row r="435" spans="1:8" x14ac:dyDescent="0.25">
      <c r="A435" s="23">
        <v>110044</v>
      </c>
      <c r="B435" s="23">
        <v>1997</v>
      </c>
      <c r="C435" s="24">
        <v>30.48</v>
      </c>
      <c r="D435" s="24">
        <v>1115.729</v>
      </c>
      <c r="E435" s="24">
        <f t="shared" si="6"/>
        <v>36.60528215223097</v>
      </c>
      <c r="F435" s="25">
        <v>0.175346012</v>
      </c>
      <c r="G435" s="26">
        <v>376.00601151699999</v>
      </c>
      <c r="H435" s="23">
        <v>20</v>
      </c>
    </row>
    <row r="436" spans="1:8" x14ac:dyDescent="0.25">
      <c r="A436" s="23">
        <v>104490</v>
      </c>
      <c r="B436" s="23">
        <v>1997</v>
      </c>
      <c r="C436" s="24">
        <v>6.3093599999999999</v>
      </c>
      <c r="D436" s="24">
        <v>289.99292399999996</v>
      </c>
      <c r="E436" s="24">
        <f t="shared" si="6"/>
        <v>45.962335958005241</v>
      </c>
      <c r="F436" s="25">
        <v>0.19922599999999999</v>
      </c>
      <c r="G436" s="26">
        <v>437.859646467</v>
      </c>
      <c r="H436" s="23">
        <v>20</v>
      </c>
    </row>
    <row r="437" spans="1:8" x14ac:dyDescent="0.25">
      <c r="A437" s="23">
        <v>110408</v>
      </c>
      <c r="B437" s="23">
        <v>1998</v>
      </c>
      <c r="C437" s="24">
        <v>30.48</v>
      </c>
      <c r="D437" s="24">
        <v>183.01300000000001</v>
      </c>
      <c r="E437" s="24">
        <f t="shared" si="6"/>
        <v>6.0043635170603675</v>
      </c>
      <c r="F437" s="25">
        <v>0.22497400000000001</v>
      </c>
      <c r="G437" s="26">
        <v>312.61534348599997</v>
      </c>
      <c r="H437" s="23">
        <v>20</v>
      </c>
    </row>
    <row r="438" spans="1:8" x14ac:dyDescent="0.25">
      <c r="A438" s="23">
        <v>115597</v>
      </c>
      <c r="B438" s="23">
        <v>1998</v>
      </c>
      <c r="C438" s="24">
        <v>7.0104000000000006</v>
      </c>
      <c r="D438" s="24">
        <v>383.32397999999995</v>
      </c>
      <c r="E438" s="24">
        <f t="shared" si="6"/>
        <v>54.679330708661404</v>
      </c>
      <c r="F438" s="25">
        <v>0.175812002</v>
      </c>
      <c r="G438" s="26">
        <v>13161.976548000001</v>
      </c>
      <c r="H438" s="23">
        <v>20</v>
      </c>
    </row>
    <row r="439" spans="1:8" x14ac:dyDescent="0.25">
      <c r="A439" s="23">
        <v>113608</v>
      </c>
      <c r="B439" s="23">
        <v>1998</v>
      </c>
      <c r="C439" s="24">
        <v>6.4922400000000007</v>
      </c>
      <c r="D439" s="24">
        <v>145.439595</v>
      </c>
      <c r="E439" s="24">
        <f t="shared" si="6"/>
        <v>22.402066929133856</v>
      </c>
      <c r="F439" s="25">
        <v>0.17493</v>
      </c>
      <c r="G439" s="26">
        <v>1589.1791428399999</v>
      </c>
      <c r="H439" s="23">
        <v>20</v>
      </c>
    </row>
    <row r="440" spans="1:8" x14ac:dyDescent="0.25">
      <c r="A440" s="23">
        <v>115651</v>
      </c>
      <c r="B440" s="23">
        <v>1998</v>
      </c>
      <c r="C440" s="24">
        <v>6.61416</v>
      </c>
      <c r="D440" s="24">
        <v>438.86796099999998</v>
      </c>
      <c r="E440" s="24">
        <f t="shared" si="6"/>
        <v>66.352788713910755</v>
      </c>
      <c r="F440" s="25">
        <v>0.17415999600000001</v>
      </c>
      <c r="G440" s="26">
        <v>126.838561126</v>
      </c>
      <c r="H440" s="23">
        <v>20</v>
      </c>
    </row>
    <row r="441" spans="1:8" x14ac:dyDescent="0.25">
      <c r="A441" s="23">
        <v>118368</v>
      </c>
      <c r="B441" s="23">
        <v>1999</v>
      </c>
      <c r="C441" s="24">
        <v>6.7970400000000009</v>
      </c>
      <c r="D441" s="24">
        <v>383.88045099999994</v>
      </c>
      <c r="E441" s="24">
        <f t="shared" si="6"/>
        <v>56.477591863517041</v>
      </c>
      <c r="F441" s="25">
        <v>0.174182</v>
      </c>
      <c r="G441" s="26">
        <v>12027.908402499999</v>
      </c>
      <c r="H441" s="23">
        <v>20</v>
      </c>
    </row>
    <row r="442" spans="1:8" x14ac:dyDescent="0.25">
      <c r="A442" s="23">
        <v>119961</v>
      </c>
      <c r="B442" s="23">
        <v>1999</v>
      </c>
      <c r="C442" s="24">
        <v>9.4183199999999996</v>
      </c>
      <c r="D442" s="24">
        <v>412.79371800000001</v>
      </c>
      <c r="E442" s="24">
        <f t="shared" si="6"/>
        <v>43.828805774278216</v>
      </c>
      <c r="F442" s="25">
        <v>0.17543600000000001</v>
      </c>
      <c r="G442" s="26">
        <v>7370.9706447299995</v>
      </c>
      <c r="H442" s="23">
        <v>20</v>
      </c>
    </row>
    <row r="443" spans="1:8" x14ac:dyDescent="0.25">
      <c r="A443" s="23">
        <v>116909</v>
      </c>
      <c r="B443" s="23">
        <v>1999</v>
      </c>
      <c r="C443" s="24">
        <v>6.431280000000001</v>
      </c>
      <c r="D443" s="24">
        <v>396.93847499999998</v>
      </c>
      <c r="E443" s="24">
        <f t="shared" si="6"/>
        <v>61.719980314960615</v>
      </c>
      <c r="F443" s="25">
        <v>0.174149994</v>
      </c>
      <c r="G443" s="26">
        <v>266.85337954400001</v>
      </c>
      <c r="H443" s="23">
        <v>20</v>
      </c>
    </row>
    <row r="444" spans="1:8" x14ac:dyDescent="0.25">
      <c r="A444" s="23">
        <v>127068</v>
      </c>
      <c r="B444" s="23">
        <v>2000</v>
      </c>
      <c r="C444" s="24">
        <v>5.7607200000000001</v>
      </c>
      <c r="D444" s="24">
        <v>175.58099999999999</v>
      </c>
      <c r="E444" s="24">
        <f t="shared" si="6"/>
        <v>30.479002624671914</v>
      </c>
      <c r="F444" s="25">
        <v>0.17500001000000001</v>
      </c>
      <c r="G444" s="26">
        <v>8702.6011920799992</v>
      </c>
      <c r="H444" s="23">
        <v>20</v>
      </c>
    </row>
    <row r="445" spans="1:8" x14ac:dyDescent="0.25">
      <c r="A445" s="23">
        <v>119807</v>
      </c>
      <c r="B445" s="23">
        <v>2000</v>
      </c>
      <c r="C445" s="24">
        <v>8.6867999999999999</v>
      </c>
      <c r="D445" s="24">
        <v>492.727665</v>
      </c>
      <c r="E445" s="24">
        <f t="shared" si="6"/>
        <v>56.721423884514437</v>
      </c>
      <c r="F445" s="25">
        <v>0.17493400000000001</v>
      </c>
      <c r="G445" s="26">
        <v>16843.327085299999</v>
      </c>
      <c r="H445" s="23">
        <v>20</v>
      </c>
    </row>
    <row r="446" spans="1:8" x14ac:dyDescent="0.25">
      <c r="A446" s="23">
        <v>122461</v>
      </c>
      <c r="B446" s="23">
        <v>2000</v>
      </c>
      <c r="C446" s="24">
        <v>5.7302400000000002</v>
      </c>
      <c r="D446" s="24">
        <v>150.899328</v>
      </c>
      <c r="E446" s="24">
        <f t="shared" si="6"/>
        <v>26.333858267716533</v>
      </c>
      <c r="F446" s="25">
        <v>0.17539200899999999</v>
      </c>
      <c r="G446" s="26">
        <v>7597.66012047</v>
      </c>
      <c r="H446" s="23">
        <v>20</v>
      </c>
    </row>
    <row r="447" spans="1:8" x14ac:dyDescent="0.25">
      <c r="A447" s="23">
        <v>127122</v>
      </c>
      <c r="B447" s="23">
        <v>2000</v>
      </c>
      <c r="C447" s="24">
        <v>5.7607200000000001</v>
      </c>
      <c r="D447" s="24">
        <v>175.58099999999999</v>
      </c>
      <c r="E447" s="24">
        <f t="shared" si="6"/>
        <v>30.479002624671914</v>
      </c>
      <c r="F447" s="25">
        <v>0.17500001000000001</v>
      </c>
      <c r="G447" s="26">
        <v>7876.8860500600003</v>
      </c>
      <c r="H447" s="23">
        <v>20</v>
      </c>
    </row>
    <row r="448" spans="1:8" x14ac:dyDescent="0.25">
      <c r="A448" s="23">
        <v>122890</v>
      </c>
      <c r="B448" s="23">
        <v>2000</v>
      </c>
      <c r="C448" s="24">
        <v>30.48</v>
      </c>
      <c r="D448" s="24">
        <v>501.65999999999997</v>
      </c>
      <c r="E448" s="24">
        <f t="shared" si="6"/>
        <v>16.458661417322833</v>
      </c>
      <c r="F448" s="25">
        <v>0.22518000499999999</v>
      </c>
      <c r="G448" s="26">
        <v>476.13003698699998</v>
      </c>
      <c r="H448" s="23">
        <v>20</v>
      </c>
    </row>
    <row r="449" spans="1:8" x14ac:dyDescent="0.25">
      <c r="A449" s="23">
        <v>126002</v>
      </c>
      <c r="B449" s="23">
        <v>2000</v>
      </c>
      <c r="C449" s="24">
        <v>8.6563199999999991</v>
      </c>
      <c r="D449" s="24">
        <v>470.683424</v>
      </c>
      <c r="E449" s="24">
        <f t="shared" ref="E449:E464" si="7">D449/C449</f>
        <v>54.374540682414704</v>
      </c>
      <c r="F449" s="25">
        <v>0.17483200199999999</v>
      </c>
      <c r="G449" s="26">
        <v>13413.1046637</v>
      </c>
      <c r="H449" s="23">
        <v>20</v>
      </c>
    </row>
    <row r="450" spans="1:8" x14ac:dyDescent="0.25">
      <c r="A450" s="23">
        <v>124916</v>
      </c>
      <c r="B450" s="23">
        <v>2000</v>
      </c>
      <c r="C450" s="24">
        <v>7.5590400000000004</v>
      </c>
      <c r="D450" s="24">
        <v>155.744992</v>
      </c>
      <c r="E450" s="24">
        <f t="shared" si="7"/>
        <v>20.603805774278214</v>
      </c>
      <c r="F450" s="25">
        <v>0.17508399299999999</v>
      </c>
      <c r="G450" s="26">
        <v>2766.4511256400001</v>
      </c>
      <c r="H450" s="23">
        <v>20</v>
      </c>
    </row>
    <row r="451" spans="1:8" x14ac:dyDescent="0.25">
      <c r="A451" s="23">
        <v>123083</v>
      </c>
      <c r="B451" s="23">
        <v>2000</v>
      </c>
      <c r="C451" s="24">
        <v>8.0467200000000005</v>
      </c>
      <c r="D451" s="24">
        <v>278.36556000000002</v>
      </c>
      <c r="E451" s="24">
        <f t="shared" si="7"/>
        <v>34.593667979002625</v>
      </c>
      <c r="F451" s="25">
        <v>0.17479</v>
      </c>
      <c r="G451" s="26">
        <v>3736.1637369</v>
      </c>
      <c r="H451" s="23">
        <v>20</v>
      </c>
    </row>
    <row r="452" spans="1:8" x14ac:dyDescent="0.25">
      <c r="A452" s="23">
        <v>129428</v>
      </c>
      <c r="B452" s="23">
        <v>2001</v>
      </c>
      <c r="C452" s="24">
        <v>5.7607200000000001</v>
      </c>
      <c r="D452" s="24">
        <v>175.58099999999999</v>
      </c>
      <c r="E452" s="24">
        <f t="shared" si="7"/>
        <v>30.479002624671914</v>
      </c>
      <c r="F452" s="25">
        <v>0.17500001000000001</v>
      </c>
      <c r="G452" s="26">
        <v>7991.3324730900003</v>
      </c>
      <c r="H452" s="23">
        <v>20</v>
      </c>
    </row>
    <row r="453" spans="1:8" x14ac:dyDescent="0.25">
      <c r="A453" s="23">
        <v>130742</v>
      </c>
      <c r="B453" s="23">
        <v>2001</v>
      </c>
      <c r="C453" s="24">
        <v>6.2788800000000009</v>
      </c>
      <c r="D453" s="24">
        <v>272.89932399999998</v>
      </c>
      <c r="E453" s="24">
        <f t="shared" si="7"/>
        <v>43.463057742782141</v>
      </c>
      <c r="F453" s="25">
        <v>0.17539801399999999</v>
      </c>
      <c r="G453" s="26">
        <v>9757.1773757899991</v>
      </c>
      <c r="H453" s="23">
        <v>20</v>
      </c>
    </row>
    <row r="454" spans="1:8" x14ac:dyDescent="0.25">
      <c r="A454" s="23">
        <v>135706</v>
      </c>
      <c r="B454" s="23">
        <v>2001</v>
      </c>
      <c r="C454" s="24">
        <v>6.4922400000000007</v>
      </c>
      <c r="D454" s="24">
        <v>145.439595</v>
      </c>
      <c r="E454" s="24">
        <f t="shared" si="7"/>
        <v>22.402066929133856</v>
      </c>
      <c r="F454" s="25">
        <v>0.17493</v>
      </c>
      <c r="G454" s="26">
        <v>1486.34559582</v>
      </c>
      <c r="H454" s="23">
        <v>20</v>
      </c>
    </row>
    <row r="455" spans="1:8" x14ac:dyDescent="0.25">
      <c r="A455" s="23">
        <v>129228</v>
      </c>
      <c r="B455" s="23">
        <v>2001</v>
      </c>
      <c r="C455" s="24">
        <v>7.13232</v>
      </c>
      <c r="D455" s="24">
        <v>415.20725999999996</v>
      </c>
      <c r="E455" s="24">
        <f t="shared" si="7"/>
        <v>58.214895013123353</v>
      </c>
      <c r="F455" s="25">
        <v>0.17572000400000001</v>
      </c>
      <c r="G455" s="26">
        <v>5776.5363785299996</v>
      </c>
      <c r="H455" s="23">
        <v>20</v>
      </c>
    </row>
    <row r="456" spans="1:8" x14ac:dyDescent="0.25">
      <c r="A456" s="23">
        <v>139649</v>
      </c>
      <c r="B456" s="23">
        <v>2002</v>
      </c>
      <c r="C456" s="24">
        <v>6.7665600000000001</v>
      </c>
      <c r="D456" s="24">
        <v>368.34106800000001</v>
      </c>
      <c r="E456" s="24">
        <f t="shared" si="7"/>
        <v>54.435498687664044</v>
      </c>
      <c r="F456" s="25">
        <v>0.17502800199999999</v>
      </c>
      <c r="G456" s="26">
        <v>10702.434425699999</v>
      </c>
      <c r="H456" s="23">
        <v>20</v>
      </c>
    </row>
    <row r="457" spans="1:8" x14ac:dyDescent="0.25">
      <c r="A457" s="23">
        <v>139276</v>
      </c>
      <c r="B457" s="23">
        <v>2002</v>
      </c>
      <c r="C457" s="24">
        <v>6.4922400000000007</v>
      </c>
      <c r="D457" s="24">
        <v>145.439595</v>
      </c>
      <c r="E457" s="24">
        <f t="shared" si="7"/>
        <v>22.402066929133856</v>
      </c>
      <c r="F457" s="25">
        <v>0.17493</v>
      </c>
      <c r="G457" s="26">
        <v>1997.02616685</v>
      </c>
      <c r="H457" s="23">
        <v>20</v>
      </c>
    </row>
    <row r="458" spans="1:8" x14ac:dyDescent="0.25">
      <c r="A458" s="23">
        <v>139901</v>
      </c>
      <c r="B458" s="23">
        <v>2002</v>
      </c>
      <c r="C458" s="24">
        <v>8.4124800000000004</v>
      </c>
      <c r="D458" s="24">
        <v>278.71114799999998</v>
      </c>
      <c r="E458" s="24">
        <f t="shared" si="7"/>
        <v>33.130675853018367</v>
      </c>
      <c r="F458" s="25">
        <v>0.175007</v>
      </c>
      <c r="G458" s="26">
        <v>6159.26896184</v>
      </c>
      <c r="H458" s="23">
        <v>20</v>
      </c>
    </row>
    <row r="459" spans="1:8" x14ac:dyDescent="0.25">
      <c r="A459" s="23">
        <v>141357</v>
      </c>
      <c r="B459" s="23">
        <v>2002</v>
      </c>
      <c r="C459" s="24">
        <v>7.62</v>
      </c>
      <c r="D459" s="24">
        <v>442.20400000000001</v>
      </c>
      <c r="E459" s="24">
        <f t="shared" si="7"/>
        <v>58.032020997375326</v>
      </c>
      <c r="F459" s="25">
        <v>0.17516800399999999</v>
      </c>
      <c r="G459" s="26">
        <v>5199.4234151000001</v>
      </c>
      <c r="H459" s="23">
        <v>20</v>
      </c>
    </row>
    <row r="460" spans="1:8" x14ac:dyDescent="0.25">
      <c r="A460" s="23">
        <v>136813</v>
      </c>
      <c r="B460" s="23">
        <v>2002</v>
      </c>
      <c r="C460" s="24">
        <v>6.3703199999999995</v>
      </c>
      <c r="D460" s="24">
        <v>346.96570699999995</v>
      </c>
      <c r="E460" s="24">
        <f t="shared" si="7"/>
        <v>54.46597769028871</v>
      </c>
      <c r="F460" s="25">
        <v>0.175126002</v>
      </c>
      <c r="G460" s="26">
        <v>437.35683771999999</v>
      </c>
      <c r="H460" s="23">
        <v>20</v>
      </c>
    </row>
    <row r="461" spans="1:8" x14ac:dyDescent="0.25">
      <c r="A461" s="23">
        <v>153858</v>
      </c>
      <c r="B461" s="23">
        <v>2004</v>
      </c>
      <c r="C461" s="24">
        <v>6.3093599999999999</v>
      </c>
      <c r="D461" s="24">
        <v>314.030799</v>
      </c>
      <c r="E461" s="24">
        <f t="shared" si="7"/>
        <v>49.772211286089238</v>
      </c>
      <c r="F461" s="25">
        <v>0.19922599999999999</v>
      </c>
      <c r="G461" s="26">
        <v>205.00957865399999</v>
      </c>
      <c r="H461" s="23">
        <v>20</v>
      </c>
    </row>
    <row r="462" spans="1:8" x14ac:dyDescent="0.25">
      <c r="A462" s="23">
        <v>169436</v>
      </c>
      <c r="B462" s="23">
        <v>2005</v>
      </c>
      <c r="C462" s="24">
        <v>7.4980800000000007</v>
      </c>
      <c r="D462" s="24">
        <v>422.78789999999998</v>
      </c>
      <c r="E462" s="24">
        <f t="shared" si="7"/>
        <v>56.386154855643035</v>
      </c>
      <c r="F462" s="25">
        <v>0.17575000399999999</v>
      </c>
      <c r="G462" s="26">
        <v>8456.9791206299997</v>
      </c>
      <c r="H462" s="23">
        <v>20</v>
      </c>
    </row>
    <row r="463" spans="1:8" x14ac:dyDescent="0.25">
      <c r="A463" s="23">
        <v>192738</v>
      </c>
      <c r="B463" s="23">
        <v>2008</v>
      </c>
      <c r="C463" s="24">
        <v>6.4617599999999999</v>
      </c>
      <c r="D463" s="24">
        <v>250.51785599999997</v>
      </c>
      <c r="E463" s="24">
        <f t="shared" si="7"/>
        <v>38.769291338582676</v>
      </c>
      <c r="F463" s="25">
        <v>0.175536</v>
      </c>
      <c r="G463" s="26">
        <v>454.38323076299997</v>
      </c>
      <c r="H463" s="23">
        <v>20</v>
      </c>
    </row>
    <row r="464" spans="1:8" x14ac:dyDescent="0.25">
      <c r="A464" s="23">
        <v>199267</v>
      </c>
      <c r="B464" s="23">
        <v>2009</v>
      </c>
      <c r="C464" s="24">
        <v>7.8638400000000006</v>
      </c>
      <c r="D464" s="24">
        <v>513.87820799999997</v>
      </c>
      <c r="E464" s="24">
        <f t="shared" si="7"/>
        <v>65.346981627296586</v>
      </c>
      <c r="F464" s="25">
        <v>0</v>
      </c>
      <c r="G464" s="26">
        <v>1196.91964295</v>
      </c>
      <c r="H464" s="23">
        <v>20</v>
      </c>
    </row>
    <row r="465" spans="1:8" x14ac:dyDescent="0.25">
      <c r="A465" s="3"/>
      <c r="B465" s="3"/>
      <c r="C465" s="5"/>
      <c r="D465" s="5"/>
      <c r="E465" s="5"/>
      <c r="F465" s="4"/>
      <c r="G465" s="6"/>
      <c r="H46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="80" zoomScaleNormal="80" workbookViewId="0">
      <selection activeCell="C1" sqref="C1"/>
    </sheetView>
  </sheetViews>
  <sheetFormatPr defaultRowHeight="15" x14ac:dyDescent="0.25"/>
  <cols>
    <col min="1" max="1" width="9.140625" style="11"/>
    <col min="2" max="2" width="22.42578125" bestFit="1" customWidth="1"/>
    <col min="3" max="4" width="28.42578125" bestFit="1" customWidth="1"/>
    <col min="5" max="5" width="25.28515625" style="1" bestFit="1" customWidth="1"/>
  </cols>
  <sheetData>
    <row r="1" spans="1:5" ht="18.75" x14ac:dyDescent="0.3">
      <c r="C1" s="13" t="s">
        <v>67</v>
      </c>
    </row>
    <row r="2" spans="1:5" ht="17.25" x14ac:dyDescent="0.25">
      <c r="A2" s="12" t="s">
        <v>7</v>
      </c>
      <c r="B2" s="15" t="s">
        <v>8</v>
      </c>
      <c r="C2" s="15" t="s">
        <v>9</v>
      </c>
      <c r="D2" s="15" t="s">
        <v>10</v>
      </c>
      <c r="E2" s="10" t="s">
        <v>11</v>
      </c>
    </row>
    <row r="3" spans="1:5" x14ac:dyDescent="0.25">
      <c r="A3" s="12">
        <v>1928</v>
      </c>
      <c r="B3" s="14">
        <v>734657.39999999991</v>
      </c>
      <c r="C3" s="14">
        <v>122442.9</v>
      </c>
      <c r="D3" s="14">
        <v>7.3465739999999992E-4</v>
      </c>
      <c r="E3" s="5">
        <v>335.46</v>
      </c>
    </row>
    <row r="4" spans="1:5" x14ac:dyDescent="0.25">
      <c r="A4" s="12">
        <v>1929</v>
      </c>
      <c r="B4" s="14">
        <v>734657.39999999991</v>
      </c>
      <c r="C4" s="14">
        <v>122442.9</v>
      </c>
      <c r="D4" s="14">
        <v>7.3465739999999992E-4</v>
      </c>
      <c r="E4" s="5">
        <v>335.46</v>
      </c>
    </row>
    <row r="5" spans="1:5" x14ac:dyDescent="0.25">
      <c r="A5" s="12">
        <v>1930</v>
      </c>
      <c r="B5" s="14">
        <v>734657.39999999991</v>
      </c>
      <c r="C5" s="14">
        <v>122442.9</v>
      </c>
      <c r="D5" s="14">
        <v>7.3465739999999992E-4</v>
      </c>
      <c r="E5" s="5">
        <v>335.46</v>
      </c>
    </row>
    <row r="6" spans="1:5" x14ac:dyDescent="0.25">
      <c r="A6" s="12">
        <v>1931</v>
      </c>
      <c r="B6" s="14">
        <v>734657.39999999991</v>
      </c>
      <c r="C6" s="14">
        <v>122442.9</v>
      </c>
      <c r="D6" s="14">
        <v>7.3465739999999992E-4</v>
      </c>
      <c r="E6" s="5">
        <v>335.46</v>
      </c>
    </row>
    <row r="7" spans="1:5" x14ac:dyDescent="0.25">
      <c r="A7" s="12">
        <v>1932</v>
      </c>
      <c r="B7" s="14">
        <v>734657.39999999991</v>
      </c>
      <c r="C7" s="14">
        <v>122442.9</v>
      </c>
      <c r="D7" s="14">
        <v>7.3465739999999992E-4</v>
      </c>
      <c r="E7" s="5">
        <v>335.46</v>
      </c>
    </row>
    <row r="8" spans="1:5" x14ac:dyDescent="0.25">
      <c r="A8" s="12">
        <v>1933</v>
      </c>
      <c r="B8" s="14">
        <v>734657.39999999991</v>
      </c>
      <c r="C8" s="14">
        <v>122442.9</v>
      </c>
      <c r="D8" s="14">
        <v>7.3465739999999992E-4</v>
      </c>
      <c r="E8" s="5">
        <v>335.46</v>
      </c>
    </row>
    <row r="9" spans="1:5" x14ac:dyDescent="0.25">
      <c r="A9" s="12">
        <v>1934</v>
      </c>
      <c r="B9" s="14">
        <v>734657.39999999991</v>
      </c>
      <c r="C9" s="14">
        <v>122442.9</v>
      </c>
      <c r="D9" s="14">
        <v>7.3465739999999992E-4</v>
      </c>
      <c r="E9" s="5">
        <v>335.46</v>
      </c>
    </row>
    <row r="10" spans="1:5" x14ac:dyDescent="0.25">
      <c r="A10" s="12">
        <v>1935</v>
      </c>
      <c r="B10" s="14">
        <v>857100.29999999993</v>
      </c>
      <c r="C10" s="14">
        <v>122442.9</v>
      </c>
      <c r="D10" s="14">
        <v>8.5710029999999996E-4</v>
      </c>
      <c r="E10" s="5">
        <v>335.46</v>
      </c>
    </row>
    <row r="11" spans="1:5" x14ac:dyDescent="0.25">
      <c r="A11" s="12">
        <v>1936</v>
      </c>
      <c r="B11" s="14">
        <v>857100.29999999993</v>
      </c>
      <c r="C11" s="14">
        <v>122442.9</v>
      </c>
      <c r="D11" s="14">
        <v>8.5710029999999996E-4</v>
      </c>
      <c r="E11" s="5">
        <v>335.46</v>
      </c>
    </row>
    <row r="12" spans="1:5" x14ac:dyDescent="0.25">
      <c r="A12" s="12">
        <v>1937</v>
      </c>
      <c r="B12" s="14">
        <v>979543.2</v>
      </c>
      <c r="C12" s="14">
        <v>122442.9</v>
      </c>
      <c r="D12" s="14">
        <v>9.7954320000000011E-4</v>
      </c>
      <c r="E12" s="5">
        <v>335.46</v>
      </c>
    </row>
    <row r="13" spans="1:5" x14ac:dyDescent="0.25">
      <c r="A13" s="12">
        <v>1938</v>
      </c>
      <c r="B13" s="14">
        <v>1469314.7999999998</v>
      </c>
      <c r="C13" s="14">
        <v>122442.9</v>
      </c>
      <c r="D13" s="14">
        <v>1.4693147999999998E-3</v>
      </c>
      <c r="E13" s="5">
        <v>335.46</v>
      </c>
    </row>
    <row r="14" spans="1:5" x14ac:dyDescent="0.25">
      <c r="A14" s="12">
        <v>1939</v>
      </c>
      <c r="B14" s="14">
        <v>1469314.7999999998</v>
      </c>
      <c r="C14" s="14">
        <v>122442.9</v>
      </c>
      <c r="D14" s="14">
        <v>1.4693147999999998E-3</v>
      </c>
      <c r="E14" s="5">
        <v>335.46</v>
      </c>
    </row>
    <row r="15" spans="1:5" x14ac:dyDescent="0.25">
      <c r="A15" s="12">
        <v>1940</v>
      </c>
      <c r="B15" s="14">
        <v>1591757.7</v>
      </c>
      <c r="C15" s="14">
        <v>122442.9</v>
      </c>
      <c r="D15" s="14">
        <v>1.5917577000000001E-3</v>
      </c>
      <c r="E15" s="5">
        <v>335.46</v>
      </c>
    </row>
    <row r="16" spans="1:5" x14ac:dyDescent="0.25">
      <c r="A16" s="12">
        <v>1941</v>
      </c>
      <c r="B16" s="14">
        <v>1836639.3852000001</v>
      </c>
      <c r="C16" s="14">
        <v>122442.62568000001</v>
      </c>
      <c r="D16" s="14">
        <v>1.8366393852000003E-3</v>
      </c>
      <c r="E16" s="5">
        <v>335.45924843835621</v>
      </c>
    </row>
    <row r="17" spans="1:5" x14ac:dyDescent="0.25">
      <c r="A17" s="12">
        <v>1942</v>
      </c>
      <c r="B17" s="14">
        <v>2150708.0627999995</v>
      </c>
      <c r="C17" s="14">
        <v>134419.25392499997</v>
      </c>
      <c r="D17" s="14">
        <v>2.1507080627999994E-3</v>
      </c>
      <c r="E17" s="5">
        <v>368.27192856164373</v>
      </c>
    </row>
    <row r="18" spans="1:5" x14ac:dyDescent="0.25">
      <c r="A18" s="12">
        <v>1943</v>
      </c>
      <c r="B18" s="14">
        <v>2898048.9252000004</v>
      </c>
      <c r="C18" s="14">
        <v>170473.46618823532</v>
      </c>
      <c r="D18" s="14">
        <v>2.8980489252000007E-3</v>
      </c>
      <c r="E18" s="5">
        <v>467.05059229653511</v>
      </c>
    </row>
    <row r="19" spans="1:5" x14ac:dyDescent="0.25">
      <c r="A19" s="12">
        <v>1944</v>
      </c>
      <c r="B19" s="14">
        <v>2118563.574</v>
      </c>
      <c r="C19" s="14">
        <v>105928.1787</v>
      </c>
      <c r="D19" s="14">
        <v>2.1185635740000003E-3</v>
      </c>
      <c r="E19" s="5">
        <v>290.21418821917808</v>
      </c>
    </row>
    <row r="20" spans="1:5" x14ac:dyDescent="0.25">
      <c r="A20" s="12">
        <v>1945</v>
      </c>
      <c r="B20" s="14">
        <v>2876968.7520000008</v>
      </c>
      <c r="C20" s="14">
        <v>143848.43760000003</v>
      </c>
      <c r="D20" s="14">
        <v>2.876968752000001E-3</v>
      </c>
      <c r="E20" s="5">
        <v>394.1053084931508</v>
      </c>
    </row>
    <row r="21" spans="1:5" x14ac:dyDescent="0.25">
      <c r="A21" s="12">
        <v>1946</v>
      </c>
      <c r="B21" s="14">
        <v>2706822.5208000001</v>
      </c>
      <c r="C21" s="14">
        <v>123037.38730909092</v>
      </c>
      <c r="D21" s="14">
        <v>2.7068225208000001E-3</v>
      </c>
      <c r="E21" s="5">
        <v>337.08873235367378</v>
      </c>
    </row>
    <row r="22" spans="1:5" x14ac:dyDescent="0.25">
      <c r="A22" s="12">
        <v>1947</v>
      </c>
      <c r="B22" s="14">
        <v>4733516.5044000009</v>
      </c>
      <c r="C22" s="14">
        <v>215159.84110909095</v>
      </c>
      <c r="D22" s="14">
        <v>4.733516504400001E-3</v>
      </c>
      <c r="E22" s="5">
        <v>589.4790167372355</v>
      </c>
    </row>
    <row r="23" spans="1:5" x14ac:dyDescent="0.25">
      <c r="A23" s="12">
        <v>1948</v>
      </c>
      <c r="B23" s="14">
        <v>3820864.6524</v>
      </c>
      <c r="C23" s="14">
        <v>166124.55010434781</v>
      </c>
      <c r="D23" s="14">
        <v>3.8208646524000001E-3</v>
      </c>
      <c r="E23" s="5">
        <v>455.13575371054196</v>
      </c>
    </row>
    <row r="24" spans="1:5" x14ac:dyDescent="0.25">
      <c r="A24" s="12">
        <v>1949</v>
      </c>
      <c r="B24" s="14">
        <v>5672503.1543999994</v>
      </c>
      <c r="C24" s="14">
        <v>226900.12617599999</v>
      </c>
      <c r="D24" s="14">
        <v>5.6725031543999995E-3</v>
      </c>
      <c r="E24" s="5">
        <v>621.64418130410957</v>
      </c>
    </row>
    <row r="25" spans="1:5" x14ac:dyDescent="0.25">
      <c r="A25" s="12">
        <v>1950</v>
      </c>
      <c r="B25" s="14">
        <v>1445527.5468000001</v>
      </c>
      <c r="C25" s="14">
        <v>55597.213338461544</v>
      </c>
      <c r="D25" s="14">
        <v>1.4455275468000003E-3</v>
      </c>
      <c r="E25" s="5">
        <v>152.32113243414122</v>
      </c>
    </row>
    <row r="26" spans="1:5" x14ac:dyDescent="0.25">
      <c r="A26" s="12">
        <v>1951</v>
      </c>
      <c r="B26" s="14">
        <v>741617.51520000002</v>
      </c>
      <c r="C26" s="14">
        <v>28523.750584615387</v>
      </c>
      <c r="D26" s="14">
        <v>7.4161751520000004E-4</v>
      </c>
      <c r="E26" s="5">
        <v>78.1472618756586</v>
      </c>
    </row>
    <row r="27" spans="1:5" x14ac:dyDescent="0.25">
      <c r="A27" s="12">
        <v>1952</v>
      </c>
      <c r="B27" s="14">
        <v>1972667.5596</v>
      </c>
      <c r="C27" s="14">
        <v>75871.829215384612</v>
      </c>
      <c r="D27" s="14">
        <v>1.9726675596E-3</v>
      </c>
      <c r="E27" s="5">
        <v>207.86802524762908</v>
      </c>
    </row>
    <row r="28" spans="1:5" x14ac:dyDescent="0.25">
      <c r="A28" s="12">
        <v>1953</v>
      </c>
      <c r="B28" s="14">
        <v>2525858.6700000004</v>
      </c>
      <c r="C28" s="14">
        <v>74289.960882352956</v>
      </c>
      <c r="D28" s="14">
        <v>2.5258586700000005E-3</v>
      </c>
      <c r="E28" s="5">
        <v>203.53413940370672</v>
      </c>
    </row>
    <row r="29" spans="1:5" x14ac:dyDescent="0.25">
      <c r="A29" s="12">
        <v>1954</v>
      </c>
      <c r="B29" s="14">
        <v>3525877.9103999999</v>
      </c>
      <c r="C29" s="14">
        <v>78352.842453333331</v>
      </c>
      <c r="D29" s="14">
        <v>3.5258779104000004E-3</v>
      </c>
      <c r="E29" s="5">
        <v>214.66532178995433</v>
      </c>
    </row>
    <row r="30" spans="1:5" x14ac:dyDescent="0.25">
      <c r="A30" s="12">
        <v>1955</v>
      </c>
      <c r="B30" s="14">
        <v>6182867.8391999993</v>
      </c>
      <c r="C30" s="14">
        <v>118901.30459999999</v>
      </c>
      <c r="D30" s="14">
        <v>6.1828678391999993E-3</v>
      </c>
      <c r="E30" s="5">
        <v>325.75699890410954</v>
      </c>
    </row>
    <row r="31" spans="1:5" x14ac:dyDescent="0.25">
      <c r="A31" s="12">
        <v>1956</v>
      </c>
      <c r="B31" s="14">
        <v>7618441.2023999998</v>
      </c>
      <c r="C31" s="14">
        <v>122878.08390967741</v>
      </c>
      <c r="D31" s="14">
        <v>7.6184412024000005E-3</v>
      </c>
      <c r="E31" s="5">
        <v>336.65228468404769</v>
      </c>
    </row>
    <row r="32" spans="1:5" x14ac:dyDescent="0.25">
      <c r="A32" s="12">
        <v>1957</v>
      </c>
      <c r="B32" s="14">
        <v>5746746.3156000003</v>
      </c>
      <c r="C32" s="14">
        <v>83286.178486956531</v>
      </c>
      <c r="D32" s="14">
        <v>5.7467463156000006E-3</v>
      </c>
      <c r="E32" s="5">
        <v>228.18131092316858</v>
      </c>
    </row>
    <row r="33" spans="1:5" x14ac:dyDescent="0.25">
      <c r="A33" s="12">
        <v>1958</v>
      </c>
      <c r="B33" s="14">
        <v>5448157.8119999999</v>
      </c>
      <c r="C33" s="14">
        <v>77830.825885714279</v>
      </c>
      <c r="D33" s="14">
        <v>5.4481578120000006E-3</v>
      </c>
      <c r="E33" s="5">
        <v>213.23513941291583</v>
      </c>
    </row>
    <row r="34" spans="1:5" x14ac:dyDescent="0.25">
      <c r="A34" s="12">
        <v>1959</v>
      </c>
      <c r="B34" s="14">
        <v>11050377.276000001</v>
      </c>
      <c r="C34" s="14">
        <v>153477.46216666666</v>
      </c>
      <c r="D34" s="14">
        <v>1.1050377276000001E-2</v>
      </c>
      <c r="E34" s="5">
        <v>420.48619771689499</v>
      </c>
    </row>
    <row r="35" spans="1:5" x14ac:dyDescent="0.25">
      <c r="A35" s="12">
        <v>1960</v>
      </c>
      <c r="B35" s="14">
        <v>11189822.190000003</v>
      </c>
      <c r="C35" s="14">
        <v>153285.23547945209</v>
      </c>
      <c r="D35" s="14">
        <v>1.1189822190000004E-2</v>
      </c>
      <c r="E35" s="5">
        <v>419.95954925877288</v>
      </c>
    </row>
    <row r="36" spans="1:5" x14ac:dyDescent="0.25">
      <c r="A36" s="12">
        <v>1961</v>
      </c>
      <c r="B36" s="14">
        <v>7285043.8932000026</v>
      </c>
      <c r="C36" s="14">
        <v>94610.959651948084</v>
      </c>
      <c r="D36" s="14">
        <v>7.2850438932000033E-3</v>
      </c>
      <c r="E36" s="5">
        <v>259.20810863547422</v>
      </c>
    </row>
    <row r="37" spans="1:5" x14ac:dyDescent="0.25">
      <c r="A37" s="12">
        <v>1962</v>
      </c>
      <c r="B37" s="14">
        <v>4633246.9151999997</v>
      </c>
      <c r="C37" s="14">
        <v>57200.579199999993</v>
      </c>
      <c r="D37" s="14">
        <v>4.6332469151999997E-3</v>
      </c>
      <c r="E37" s="5">
        <v>156.71391561643833</v>
      </c>
    </row>
    <row r="38" spans="1:5" x14ac:dyDescent="0.25">
      <c r="A38" s="12">
        <v>1963</v>
      </c>
      <c r="B38" s="14">
        <v>11374375.467599997</v>
      </c>
      <c r="C38" s="14">
        <v>132260.17985581391</v>
      </c>
      <c r="D38" s="14">
        <v>1.1374375467599998E-2</v>
      </c>
      <c r="E38" s="5">
        <v>362.35665713921622</v>
      </c>
    </row>
    <row r="39" spans="1:5" x14ac:dyDescent="0.25">
      <c r="A39" s="12">
        <v>1964</v>
      </c>
      <c r="B39" s="14">
        <v>13940581.268400002</v>
      </c>
      <c r="C39" s="14">
        <v>151528.05726521742</v>
      </c>
      <c r="D39" s="14">
        <v>1.3940581268400002E-2</v>
      </c>
      <c r="E39" s="5">
        <v>415.14536237045866</v>
      </c>
    </row>
    <row r="40" spans="1:5" x14ac:dyDescent="0.25">
      <c r="A40" s="12">
        <v>1965</v>
      </c>
      <c r="B40" s="14">
        <v>13219279.1688</v>
      </c>
      <c r="C40" s="14">
        <v>133528.07241212123</v>
      </c>
      <c r="D40" s="14">
        <v>1.32192791688E-2</v>
      </c>
      <c r="E40" s="5">
        <v>365.83033537567457</v>
      </c>
    </row>
    <row r="41" spans="1:5" x14ac:dyDescent="0.25">
      <c r="A41" s="12">
        <v>1966</v>
      </c>
      <c r="B41" s="14">
        <v>14314535.399999999</v>
      </c>
      <c r="C41" s="14">
        <v>138976.07184466018</v>
      </c>
      <c r="D41" s="14">
        <v>1.43145354E-2</v>
      </c>
      <c r="E41" s="5">
        <v>380.75636121824709</v>
      </c>
    </row>
    <row r="42" spans="1:5" x14ac:dyDescent="0.25">
      <c r="A42" s="12">
        <v>1967</v>
      </c>
      <c r="B42" s="14">
        <v>17773546.359599996</v>
      </c>
      <c r="C42" s="14">
        <v>167674.96565660374</v>
      </c>
      <c r="D42" s="14">
        <v>1.7773546359599997E-2</v>
      </c>
      <c r="E42" s="5">
        <v>459.38346755233903</v>
      </c>
    </row>
    <row r="43" spans="1:5" x14ac:dyDescent="0.25">
      <c r="A43" s="12">
        <v>1968</v>
      </c>
      <c r="B43" s="14">
        <v>29506445.123999983</v>
      </c>
      <c r="C43" s="14">
        <v>223533.67518181805</v>
      </c>
      <c r="D43" s="14">
        <v>2.9506445123999987E-2</v>
      </c>
      <c r="E43" s="5">
        <v>612.42102789539194</v>
      </c>
    </row>
    <row r="44" spans="1:5" x14ac:dyDescent="0.25">
      <c r="A44" s="12">
        <v>1969</v>
      </c>
      <c r="B44" s="14">
        <v>35860618.665600009</v>
      </c>
      <c r="C44" s="14">
        <v>231358.83010064522</v>
      </c>
      <c r="D44" s="14">
        <v>3.5860618665600009E-2</v>
      </c>
      <c r="E44" s="5">
        <v>633.85980849491841</v>
      </c>
    </row>
    <row r="45" spans="1:5" x14ac:dyDescent="0.25">
      <c r="A45" s="12">
        <v>1970</v>
      </c>
      <c r="B45" s="14">
        <v>47871963.205200016</v>
      </c>
      <c r="C45" s="14">
        <v>264485.98455911613</v>
      </c>
      <c r="D45" s="14">
        <v>4.787196320520002E-2</v>
      </c>
      <c r="E45" s="5">
        <v>724.61913577840039</v>
      </c>
    </row>
    <row r="46" spans="1:5" x14ac:dyDescent="0.25">
      <c r="A46" s="12">
        <v>1971</v>
      </c>
      <c r="B46" s="14">
        <v>45373697.482800029</v>
      </c>
      <c r="C46" s="14">
        <v>232685.62811692324</v>
      </c>
      <c r="D46" s="14">
        <v>4.5373697482800034E-2</v>
      </c>
      <c r="E46" s="5">
        <v>637.49487155321435</v>
      </c>
    </row>
    <row r="47" spans="1:5" x14ac:dyDescent="0.25">
      <c r="A47" s="12">
        <v>1972</v>
      </c>
      <c r="B47" s="14">
        <v>38336558.400000013</v>
      </c>
      <c r="C47" s="14">
        <v>183428.50909090915</v>
      </c>
      <c r="D47" s="14">
        <v>3.8336558400000019E-2</v>
      </c>
      <c r="E47" s="5">
        <v>502.54386052303875</v>
      </c>
    </row>
    <row r="48" spans="1:5" x14ac:dyDescent="0.25">
      <c r="A48" s="12">
        <v>1973</v>
      </c>
      <c r="B48" s="14">
        <v>39461936.212800026</v>
      </c>
      <c r="C48" s="14">
        <v>168640.75304615396</v>
      </c>
      <c r="D48" s="14">
        <v>3.9461936212800031E-2</v>
      </c>
      <c r="E48" s="5">
        <v>462.02946040042178</v>
      </c>
    </row>
    <row r="49" spans="1:5" x14ac:dyDescent="0.25">
      <c r="A49" s="12">
        <v>1974</v>
      </c>
      <c r="B49" s="14">
        <v>52712952.822000057</v>
      </c>
      <c r="C49" s="14">
        <v>207531.31032283488</v>
      </c>
      <c r="D49" s="14">
        <v>5.2712952822000059E-2</v>
      </c>
      <c r="E49" s="5">
        <v>568.57893239132841</v>
      </c>
    </row>
    <row r="50" spans="1:5" x14ac:dyDescent="0.25">
      <c r="A50" s="12">
        <v>1975</v>
      </c>
      <c r="B50" s="14">
        <v>56701447.406399965</v>
      </c>
      <c r="C50" s="14">
        <v>208461.20369999987</v>
      </c>
      <c r="D50" s="14">
        <v>5.6701447406399971E-2</v>
      </c>
      <c r="E50" s="5">
        <v>571.12658547945171</v>
      </c>
    </row>
    <row r="51" spans="1:5" x14ac:dyDescent="0.25">
      <c r="A51" s="12">
        <v>1976</v>
      </c>
      <c r="B51" s="14">
        <v>69650495.776800036</v>
      </c>
      <c r="C51" s="14">
        <v>238529.09512602753</v>
      </c>
      <c r="D51" s="14">
        <v>6.9650495776800048E-2</v>
      </c>
      <c r="E51" s="5">
        <v>653.50437020829463</v>
      </c>
    </row>
    <row r="52" spans="1:5" x14ac:dyDescent="0.25">
      <c r="A52" s="12">
        <v>1977</v>
      </c>
      <c r="B52" s="14">
        <v>58560079.73999995</v>
      </c>
      <c r="C52" s="14">
        <v>185316.70803797452</v>
      </c>
      <c r="D52" s="14">
        <v>5.8560079739999951E-2</v>
      </c>
      <c r="E52" s="5">
        <v>507.71700832321784</v>
      </c>
    </row>
    <row r="53" spans="1:5" x14ac:dyDescent="0.25">
      <c r="A53" s="12">
        <v>1978</v>
      </c>
      <c r="B53" s="14">
        <v>78032670.79079996</v>
      </c>
      <c r="C53" s="14">
        <v>235038.16503253</v>
      </c>
      <c r="D53" s="14">
        <v>7.8032670790799966E-2</v>
      </c>
      <c r="E53" s="5">
        <v>643.9401781713151</v>
      </c>
    </row>
    <row r="54" spans="1:5" x14ac:dyDescent="0.25">
      <c r="A54" s="12">
        <v>1979</v>
      </c>
      <c r="B54" s="14">
        <v>59570731.578000002</v>
      </c>
      <c r="C54" s="14">
        <v>163655.85598351649</v>
      </c>
      <c r="D54" s="14">
        <v>5.9570731578000004E-2</v>
      </c>
      <c r="E54" s="5">
        <v>448.37220817401777</v>
      </c>
    </row>
    <row r="55" spans="1:5" x14ac:dyDescent="0.25">
      <c r="A55" s="12">
        <v>1980</v>
      </c>
      <c r="B55" s="14">
        <v>62714045.666400068</v>
      </c>
      <c r="C55" s="14">
        <v>168134.17068739966</v>
      </c>
      <c r="D55" s="14">
        <v>6.271404566640007E-2</v>
      </c>
      <c r="E55" s="5">
        <v>460.64156352712234</v>
      </c>
    </row>
    <row r="56" spans="1:5" x14ac:dyDescent="0.25">
      <c r="A56" s="12">
        <v>1981</v>
      </c>
      <c r="B56" s="14">
        <v>51237143.341199987</v>
      </c>
      <c r="C56" s="14">
        <v>133430.06078437497</v>
      </c>
      <c r="D56" s="14">
        <v>5.1237143341199991E-2</v>
      </c>
      <c r="E56" s="5">
        <v>365.56181036815059</v>
      </c>
    </row>
    <row r="57" spans="1:5" x14ac:dyDescent="0.25">
      <c r="A57" s="12">
        <v>1982</v>
      </c>
      <c r="B57" s="14">
        <v>43556004.350399956</v>
      </c>
      <c r="C57" s="14">
        <v>111396.43056368275</v>
      </c>
      <c r="D57" s="14">
        <v>4.3556004350399961E-2</v>
      </c>
      <c r="E57" s="5">
        <v>305.1957001744733</v>
      </c>
    </row>
    <row r="58" spans="1:5" x14ac:dyDescent="0.25">
      <c r="A58" s="12">
        <v>1983</v>
      </c>
      <c r="B58" s="14">
        <v>52298330.854799993</v>
      </c>
      <c r="C58" s="14">
        <v>133755.32187928387</v>
      </c>
      <c r="D58" s="14">
        <v>5.2298330854799999E-2</v>
      </c>
      <c r="E58" s="5">
        <v>366.45293665557227</v>
      </c>
    </row>
    <row r="59" spans="1:5" x14ac:dyDescent="0.25">
      <c r="A59" s="12">
        <v>1984</v>
      </c>
      <c r="B59" s="14">
        <v>64619315.878799967</v>
      </c>
      <c r="C59" s="14">
        <v>164425.74014961824</v>
      </c>
      <c r="D59" s="14">
        <v>6.4619315878799974E-2</v>
      </c>
      <c r="E59" s="5">
        <v>450.48147986196778</v>
      </c>
    </row>
    <row r="60" spans="1:5" x14ac:dyDescent="0.25">
      <c r="A60" s="12">
        <v>1985</v>
      </c>
      <c r="B60" s="14">
        <v>66712383.421200007</v>
      </c>
      <c r="C60" s="14">
        <v>167619.05382211058</v>
      </c>
      <c r="D60" s="14">
        <v>6.6712383421200006E-2</v>
      </c>
      <c r="E60" s="5">
        <v>459.23028444413859</v>
      </c>
    </row>
    <row r="61" spans="1:5" x14ac:dyDescent="0.25">
      <c r="A61" s="12">
        <v>1986</v>
      </c>
      <c r="B61" s="14">
        <v>60361515.605999999</v>
      </c>
      <c r="C61" s="14">
        <v>150527.47033915212</v>
      </c>
      <c r="D61" s="14">
        <v>6.0361515606000005E-2</v>
      </c>
      <c r="E61" s="5">
        <v>412.40402832644418</v>
      </c>
    </row>
    <row r="62" spans="1:5" x14ac:dyDescent="0.25">
      <c r="A62" s="12">
        <v>1987</v>
      </c>
      <c r="B62" s="14">
        <v>55173967.448400021</v>
      </c>
      <c r="C62" s="14">
        <v>137590.94126783047</v>
      </c>
      <c r="D62" s="14">
        <v>5.5173967448400023E-2</v>
      </c>
      <c r="E62" s="5">
        <v>376.9614829255629</v>
      </c>
    </row>
    <row r="63" spans="1:5" x14ac:dyDescent="0.25">
      <c r="A63" s="12">
        <v>1988</v>
      </c>
      <c r="B63" s="14">
        <v>61149277.608000018</v>
      </c>
      <c r="C63" s="14">
        <v>150985.87063703709</v>
      </c>
      <c r="D63" s="14">
        <v>6.114927760800002E-2</v>
      </c>
      <c r="E63" s="5">
        <v>413.65991955352627</v>
      </c>
    </row>
    <row r="64" spans="1:5" x14ac:dyDescent="0.25">
      <c r="A64" s="12">
        <v>1989</v>
      </c>
      <c r="B64" s="14">
        <v>61414303.120800056</v>
      </c>
      <c r="C64" s="14">
        <v>150525.25274705896</v>
      </c>
      <c r="D64" s="14">
        <v>6.1414303120800061E-2</v>
      </c>
      <c r="E64" s="5">
        <v>412.3979527316684</v>
      </c>
    </row>
    <row r="65" spans="1:5" x14ac:dyDescent="0.25">
      <c r="A65" s="12">
        <v>1990</v>
      </c>
      <c r="B65" s="14">
        <v>73563785.085599989</v>
      </c>
      <c r="C65" s="14">
        <v>179423.86606243899</v>
      </c>
      <c r="D65" s="14">
        <v>7.3563785085599992E-2</v>
      </c>
      <c r="E65" s="5">
        <v>491.5722357875041</v>
      </c>
    </row>
    <row r="66" spans="1:5" x14ac:dyDescent="0.25">
      <c r="A66" s="12">
        <v>1991</v>
      </c>
      <c r="B66" s="14">
        <v>65636653.178400025</v>
      </c>
      <c r="C66" s="14">
        <v>156650.72357613372</v>
      </c>
      <c r="D66" s="14">
        <v>6.5636653178400034E-2</v>
      </c>
      <c r="E66" s="5">
        <v>429.18006459214718</v>
      </c>
    </row>
    <row r="67" spans="1:5" x14ac:dyDescent="0.25">
      <c r="A67" s="12">
        <v>1992</v>
      </c>
      <c r="B67" s="14">
        <v>46924009.155599982</v>
      </c>
      <c r="C67" s="14">
        <v>109892.29310444961</v>
      </c>
      <c r="D67" s="14">
        <v>4.6924009155599987E-2</v>
      </c>
      <c r="E67" s="5">
        <v>301.07477562862908</v>
      </c>
    </row>
    <row r="68" spans="1:5" x14ac:dyDescent="0.25">
      <c r="A68" s="12">
        <v>1993</v>
      </c>
      <c r="B68" s="14">
        <v>33366238.405199997</v>
      </c>
      <c r="C68" s="14">
        <v>77776.779499300697</v>
      </c>
      <c r="D68" s="14">
        <v>3.3366238405199998E-2</v>
      </c>
      <c r="E68" s="5">
        <v>213.08706712137177</v>
      </c>
    </row>
    <row r="69" spans="1:5" x14ac:dyDescent="0.25">
      <c r="A69" s="12">
        <v>1994</v>
      </c>
      <c r="B69" s="14">
        <v>71052715.840800032</v>
      </c>
      <c r="C69" s="14">
        <v>165238.87404837218</v>
      </c>
      <c r="D69" s="14">
        <v>7.1052715840800043E-2</v>
      </c>
      <c r="E69" s="5">
        <v>452.70924396814297</v>
      </c>
    </row>
    <row r="70" spans="1:5" x14ac:dyDescent="0.25">
      <c r="A70" s="12">
        <v>1995</v>
      </c>
      <c r="B70" s="14">
        <v>63707909.841600001</v>
      </c>
      <c r="C70" s="14">
        <v>148157.92986418604</v>
      </c>
      <c r="D70" s="14">
        <v>6.3707909841600005E-2</v>
      </c>
      <c r="E70" s="5">
        <v>405.91213661420829</v>
      </c>
    </row>
    <row r="71" spans="1:5" x14ac:dyDescent="0.25">
      <c r="A71" s="12">
        <v>1996</v>
      </c>
      <c r="B71" s="14">
        <v>48086921.764800005</v>
      </c>
      <c r="C71" s="14">
        <v>111830.05061581396</v>
      </c>
      <c r="D71" s="14">
        <v>4.8086921764800006E-2</v>
      </c>
      <c r="E71" s="5">
        <v>306.38370031729852</v>
      </c>
    </row>
    <row r="72" spans="1:5" x14ac:dyDescent="0.25">
      <c r="A72" s="12">
        <v>1997</v>
      </c>
      <c r="B72" s="14">
        <v>74008837.004399985</v>
      </c>
      <c r="C72" s="14">
        <v>169356.60641739127</v>
      </c>
      <c r="D72" s="14">
        <v>7.4008837004399988E-2</v>
      </c>
      <c r="E72" s="5">
        <v>463.99070251340078</v>
      </c>
    </row>
    <row r="73" spans="1:5" x14ac:dyDescent="0.25">
      <c r="A73" s="12">
        <v>1998</v>
      </c>
      <c r="B73" s="14">
        <v>77187342.277199984</v>
      </c>
      <c r="C73" s="14">
        <v>175027.98702312922</v>
      </c>
      <c r="D73" s="14">
        <v>7.7187342277199991E-2</v>
      </c>
      <c r="E73" s="5">
        <v>479.52873157021702</v>
      </c>
    </row>
    <row r="74" spans="1:5" x14ac:dyDescent="0.25">
      <c r="A74" s="12">
        <v>1999</v>
      </c>
      <c r="B74" s="14">
        <v>51477893.967600033</v>
      </c>
      <c r="C74" s="14">
        <v>115941.2026297298</v>
      </c>
      <c r="D74" s="14">
        <v>5.1477893967600039E-2</v>
      </c>
      <c r="E74" s="5">
        <v>317.64713049241038</v>
      </c>
    </row>
    <row r="75" spans="1:5" x14ac:dyDescent="0.25">
      <c r="A75" s="12">
        <v>2000</v>
      </c>
      <c r="B75" s="14">
        <v>97278412.534799948</v>
      </c>
      <c r="C75" s="14">
        <v>215217.72684690254</v>
      </c>
      <c r="D75" s="14">
        <v>9.7278412534799949E-2</v>
      </c>
      <c r="E75" s="5">
        <v>589.63760779973302</v>
      </c>
    </row>
    <row r="76" spans="1:5" x14ac:dyDescent="0.25">
      <c r="A76" s="12">
        <v>2001</v>
      </c>
      <c r="B76" s="14">
        <v>73688714.034449071</v>
      </c>
      <c r="C76" s="14">
        <v>161598.05709309006</v>
      </c>
      <c r="D76" s="14">
        <v>7.3688714034449071E-2</v>
      </c>
      <c r="E76" s="5">
        <v>442.73440299476727</v>
      </c>
    </row>
    <row r="77" spans="1:5" x14ac:dyDescent="0.25">
      <c r="A77" s="12">
        <v>2002</v>
      </c>
      <c r="B77" s="14">
        <v>101417419.28571591</v>
      </c>
      <c r="C77" s="14">
        <v>219994.40192129265</v>
      </c>
      <c r="D77" s="14">
        <v>0.10141741928571592</v>
      </c>
      <c r="E77" s="5">
        <v>602.7243888254593</v>
      </c>
    </row>
    <row r="78" spans="1:5" x14ac:dyDescent="0.25">
      <c r="A78" s="12">
        <v>2003</v>
      </c>
      <c r="B78" s="14">
        <v>85640294.373599991</v>
      </c>
      <c r="C78" s="14">
        <v>185770.70363036875</v>
      </c>
      <c r="D78" s="14">
        <v>8.564029437359999E-2</v>
      </c>
      <c r="E78" s="5">
        <v>508.96083186402399</v>
      </c>
    </row>
    <row r="79" spans="1:5" x14ac:dyDescent="0.25">
      <c r="A79" s="12">
        <v>2004</v>
      </c>
      <c r="B79" s="14">
        <v>72151734.185999975</v>
      </c>
      <c r="C79" s="14">
        <v>156172.58481818176</v>
      </c>
      <c r="D79" s="14">
        <v>7.2151734185999974E-2</v>
      </c>
      <c r="E79" s="5">
        <v>427.87009539227881</v>
      </c>
    </row>
    <row r="80" spans="1:5" x14ac:dyDescent="0.25">
      <c r="A80" s="12">
        <v>2005</v>
      </c>
      <c r="B80" s="14">
        <v>59676724.51439999</v>
      </c>
      <c r="C80" s="14">
        <v>128891.41363801293</v>
      </c>
      <c r="D80" s="14">
        <v>5.9676724514399995E-2</v>
      </c>
      <c r="E80" s="5">
        <v>353.12716065209025</v>
      </c>
    </row>
    <row r="81" spans="1:5" x14ac:dyDescent="0.25">
      <c r="A81" s="12">
        <v>2006</v>
      </c>
      <c r="B81" s="14">
        <v>58473686.800800011</v>
      </c>
      <c r="C81" s="14">
        <v>126293.06004492442</v>
      </c>
      <c r="D81" s="14">
        <v>5.8473686800800014E-2</v>
      </c>
      <c r="E81" s="5">
        <v>346.00838368472444</v>
      </c>
    </row>
    <row r="82" spans="1:5" x14ac:dyDescent="0.25">
      <c r="A82" s="12">
        <v>2007</v>
      </c>
      <c r="B82" s="14">
        <v>53546600.280000009</v>
      </c>
      <c r="C82" s="14">
        <v>115651.40449244062</v>
      </c>
      <c r="D82" s="14">
        <v>5.3546600280000009E-2</v>
      </c>
      <c r="E82" s="5">
        <v>316.85316299298802</v>
      </c>
    </row>
    <row r="83" spans="1:5" x14ac:dyDescent="0.25">
      <c r="A83" s="12">
        <v>2008</v>
      </c>
      <c r="B83" s="14">
        <v>55444062.563999988</v>
      </c>
      <c r="C83" s="14">
        <v>119491.51414655169</v>
      </c>
      <c r="D83" s="14">
        <v>5.5444062563999995E-2</v>
      </c>
      <c r="E83" s="5">
        <v>327.37401136041558</v>
      </c>
    </row>
    <row r="84" spans="1:5" x14ac:dyDescent="0.25">
      <c r="A84" s="12">
        <v>2009</v>
      </c>
      <c r="B84" s="14">
        <v>44269486.186799996</v>
      </c>
      <c r="C84" s="14">
        <v>95203.196100645146</v>
      </c>
      <c r="D84" s="14">
        <v>4.4269486186799996E-2</v>
      </c>
      <c r="E84" s="5">
        <v>260.83067424834286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zoomScale="80" zoomScaleNormal="80" workbookViewId="0">
      <selection activeCell="B2" sqref="B2"/>
    </sheetView>
  </sheetViews>
  <sheetFormatPr defaultRowHeight="15" x14ac:dyDescent="0.25"/>
  <cols>
    <col min="2" max="2" width="25.140625" bestFit="1" customWidth="1"/>
    <col min="3" max="3" width="24.85546875" bestFit="1" customWidth="1"/>
    <col min="4" max="4" width="10.85546875" customWidth="1"/>
    <col min="5" max="5" width="25.85546875" bestFit="1" customWidth="1"/>
    <col min="6" max="6" width="25.5703125" bestFit="1" customWidth="1"/>
    <col min="8" max="8" width="24.85546875" bestFit="1" customWidth="1"/>
    <col min="9" max="9" width="24.42578125" bestFit="1" customWidth="1"/>
  </cols>
  <sheetData>
    <row r="1" spans="1:12" ht="18.75" x14ac:dyDescent="0.3">
      <c r="B1" s="13" t="s">
        <v>68</v>
      </c>
    </row>
    <row r="2" spans="1:12" ht="17.25" x14ac:dyDescent="0.25">
      <c r="A2" s="7" t="s">
        <v>7</v>
      </c>
      <c r="B2" s="7" t="s">
        <v>12</v>
      </c>
      <c r="C2" s="7" t="s">
        <v>13</v>
      </c>
      <c r="D2" s="7"/>
      <c r="E2" s="7" t="s">
        <v>15</v>
      </c>
      <c r="F2" s="7" t="s">
        <v>14</v>
      </c>
      <c r="G2" s="7"/>
      <c r="H2" s="7" t="s">
        <v>16</v>
      </c>
      <c r="I2" s="7" t="s">
        <v>17</v>
      </c>
      <c r="J2" s="7"/>
      <c r="K2" s="7"/>
      <c r="L2" s="7"/>
    </row>
    <row r="3" spans="1:12" x14ac:dyDescent="0.25">
      <c r="A3" s="7">
        <v>1941</v>
      </c>
      <c r="B3" s="14">
        <v>60194907.648000009</v>
      </c>
      <c r="C3" s="14">
        <f>B3*0.000000001</f>
        <v>6.0194907648000014E-2</v>
      </c>
      <c r="E3" s="14">
        <v>125623325.75324799</v>
      </c>
      <c r="F3" s="14">
        <v>0.125623325753248</v>
      </c>
      <c r="H3" s="14">
        <v>31194907.648000009</v>
      </c>
      <c r="I3" s="14">
        <f>H3*0.000000001</f>
        <v>3.1194907648000012E-2</v>
      </c>
    </row>
    <row r="4" spans="1:12" x14ac:dyDescent="0.25">
      <c r="A4" s="7">
        <v>1942</v>
      </c>
      <c r="B4" s="14">
        <v>68232803.328000009</v>
      </c>
      <c r="C4" s="14">
        <f t="shared" ref="C4:C67" si="0">B4*0.000000001</f>
        <v>6.8232803328000011E-2</v>
      </c>
      <c r="E4" s="14">
        <v>145925032.29838401</v>
      </c>
      <c r="F4" s="14">
        <v>0.14592503229838402</v>
      </c>
      <c r="H4" s="14">
        <v>39232803.328000009</v>
      </c>
      <c r="I4" s="14">
        <f t="shared" ref="I4:I67" si="1">H4*0.000000001</f>
        <v>3.9232803328000013E-2</v>
      </c>
    </row>
    <row r="5" spans="1:12" x14ac:dyDescent="0.25">
      <c r="A5" s="7">
        <v>1943</v>
      </c>
      <c r="B5" s="14">
        <v>64303165.43999999</v>
      </c>
      <c r="C5" s="14">
        <f t="shared" si="0"/>
        <v>6.430316543999999E-2</v>
      </c>
      <c r="E5" s="14">
        <v>92154554.948464006</v>
      </c>
      <c r="F5" s="14">
        <v>9.2154554948464015E-2</v>
      </c>
      <c r="H5" s="14">
        <v>35303165.43999999</v>
      </c>
      <c r="I5" s="14">
        <f t="shared" si="1"/>
        <v>3.5303165439999992E-2</v>
      </c>
    </row>
    <row r="6" spans="1:12" x14ac:dyDescent="0.25">
      <c r="A6" s="7">
        <v>1944</v>
      </c>
      <c r="B6" s="14">
        <v>63231446.016000003</v>
      </c>
      <c r="C6" s="14">
        <f t="shared" si="0"/>
        <v>6.3231446016000004E-2</v>
      </c>
      <c r="E6" s="14">
        <v>126971311.40426402</v>
      </c>
      <c r="F6" s="14">
        <v>0.12697131140426401</v>
      </c>
      <c r="H6" s="14">
        <v>34231446.016000003</v>
      </c>
      <c r="I6" s="14">
        <f t="shared" si="1"/>
        <v>3.4231446016000006E-2</v>
      </c>
    </row>
    <row r="7" spans="1:12" x14ac:dyDescent="0.25">
      <c r="A7" s="7">
        <v>1945</v>
      </c>
      <c r="B7" s="14">
        <v>62159726.592</v>
      </c>
      <c r="C7" s="14">
        <f t="shared" si="0"/>
        <v>6.2159726592000003E-2</v>
      </c>
      <c r="E7" s="14">
        <v>114645807.24718399</v>
      </c>
      <c r="F7" s="14">
        <v>0.114645807247184</v>
      </c>
      <c r="H7" s="14">
        <v>33159726.592</v>
      </c>
      <c r="I7" s="14">
        <f t="shared" si="1"/>
        <v>3.3159726592000005E-2</v>
      </c>
    </row>
    <row r="8" spans="1:12" x14ac:dyDescent="0.25">
      <c r="A8" s="7">
        <v>1946</v>
      </c>
      <c r="B8" s="14">
        <v>60909387.264000006</v>
      </c>
      <c r="C8" s="14">
        <f t="shared" si="0"/>
        <v>6.0909387264000012E-2</v>
      </c>
      <c r="E8" s="14">
        <v>124454078.531096</v>
      </c>
      <c r="F8" s="14">
        <v>0.12445407853109601</v>
      </c>
      <c r="H8" s="14">
        <v>31909387.264000006</v>
      </c>
      <c r="I8" s="14">
        <f t="shared" si="1"/>
        <v>3.1909387264000007E-2</v>
      </c>
    </row>
    <row r="9" spans="1:12" x14ac:dyDescent="0.25">
      <c r="A9" s="7">
        <v>1947</v>
      </c>
      <c r="B9" s="14">
        <v>63945925.631999992</v>
      </c>
      <c r="C9" s="14">
        <f t="shared" si="0"/>
        <v>6.3945925631999995E-2</v>
      </c>
      <c r="E9" s="14">
        <v>119903696.02959999</v>
      </c>
      <c r="F9" s="14">
        <v>0.11990369602960001</v>
      </c>
      <c r="H9" s="14">
        <v>34945925.631999992</v>
      </c>
      <c r="I9" s="14">
        <f t="shared" si="1"/>
        <v>3.4945925631999997E-2</v>
      </c>
    </row>
    <row r="10" spans="1:12" x14ac:dyDescent="0.25">
      <c r="A10" s="7">
        <v>1948</v>
      </c>
      <c r="B10" s="14">
        <v>65732124.671999998</v>
      </c>
      <c r="C10" s="14">
        <f t="shared" si="0"/>
        <v>6.5732124672E-2</v>
      </c>
      <c r="E10" s="14">
        <v>105768465.28027201</v>
      </c>
      <c r="F10" s="14">
        <v>0.10576846528027202</v>
      </c>
      <c r="H10" s="14">
        <v>36732124.671999998</v>
      </c>
      <c r="I10" s="14">
        <f t="shared" si="1"/>
        <v>3.6732124672000002E-2</v>
      </c>
    </row>
    <row r="11" spans="1:12" x14ac:dyDescent="0.25">
      <c r="A11" s="7">
        <v>1949</v>
      </c>
      <c r="B11" s="14">
        <v>73234160.640000001</v>
      </c>
      <c r="C11" s="14">
        <f t="shared" si="0"/>
        <v>7.3234160640000004E-2</v>
      </c>
      <c r="E11" s="14">
        <v>142633266.23347202</v>
      </c>
      <c r="F11" s="14">
        <v>0.14263326623347203</v>
      </c>
      <c r="H11" s="14">
        <v>44234160.640000001</v>
      </c>
      <c r="I11" s="14">
        <f t="shared" si="1"/>
        <v>4.4234160640000006E-2</v>
      </c>
    </row>
    <row r="12" spans="1:12" x14ac:dyDescent="0.25">
      <c r="A12" s="7">
        <v>1950</v>
      </c>
      <c r="B12" s="14">
        <v>64035235.584000006</v>
      </c>
      <c r="C12" s="14">
        <f t="shared" si="0"/>
        <v>6.4035235584000011E-2</v>
      </c>
      <c r="E12" s="14">
        <v>98626375.560248002</v>
      </c>
      <c r="F12" s="14">
        <v>9.8626375560248003E-2</v>
      </c>
      <c r="H12" s="14">
        <v>35275909.729100004</v>
      </c>
      <c r="I12" s="14">
        <f t="shared" si="1"/>
        <v>3.5275909729100004E-2</v>
      </c>
    </row>
    <row r="13" spans="1:12" x14ac:dyDescent="0.25">
      <c r="A13" s="7">
        <v>1951</v>
      </c>
      <c r="B13" s="14">
        <v>79843097.088000014</v>
      </c>
      <c r="C13" s="14">
        <f t="shared" si="0"/>
        <v>7.9843097088000026E-2</v>
      </c>
      <c r="E13" s="14">
        <v>117788624.62137601</v>
      </c>
      <c r="F13" s="14">
        <v>0.11778862462137601</v>
      </c>
      <c r="H13" s="14">
        <v>53226435.94568</v>
      </c>
      <c r="I13" s="14">
        <f t="shared" si="1"/>
        <v>5.3226435945680002E-2</v>
      </c>
    </row>
    <row r="14" spans="1:12" x14ac:dyDescent="0.25">
      <c r="A14" s="7">
        <v>1952</v>
      </c>
      <c r="B14" s="14">
        <v>67875563.519999996</v>
      </c>
      <c r="C14" s="14">
        <f t="shared" si="0"/>
        <v>6.7875563520000001E-2</v>
      </c>
      <c r="E14" s="14">
        <v>113498902.32864001</v>
      </c>
      <c r="F14" s="14">
        <v>0.11349890232864002</v>
      </c>
      <c r="H14" s="14">
        <v>38580235.450560004</v>
      </c>
      <c r="I14" s="14">
        <f t="shared" si="1"/>
        <v>3.8580235450560003E-2</v>
      </c>
    </row>
    <row r="15" spans="1:12" x14ac:dyDescent="0.25">
      <c r="A15" s="7">
        <v>1953</v>
      </c>
      <c r="B15" s="14">
        <v>63320755.96800001</v>
      </c>
      <c r="C15" s="14">
        <f t="shared" si="0"/>
        <v>6.332075596800002E-2</v>
      </c>
      <c r="E15" s="14">
        <v>82130308.06300801</v>
      </c>
      <c r="F15" s="14">
        <v>8.2130308063008015E-2</v>
      </c>
      <c r="H15" s="14">
        <v>31435747.40416</v>
      </c>
      <c r="I15" s="14">
        <f t="shared" si="1"/>
        <v>3.1435747404160004E-2</v>
      </c>
    </row>
    <row r="16" spans="1:12" x14ac:dyDescent="0.25">
      <c r="A16" s="7">
        <v>1954</v>
      </c>
      <c r="B16" s="14">
        <v>62427656.448000006</v>
      </c>
      <c r="C16" s="14">
        <f t="shared" si="0"/>
        <v>6.242765644800001E-2</v>
      </c>
      <c r="E16" s="14">
        <v>69350510.399232</v>
      </c>
      <c r="F16" s="14">
        <v>6.9350510399231999E-2</v>
      </c>
      <c r="H16" s="14">
        <v>28756564.386760004</v>
      </c>
      <c r="I16" s="14">
        <f t="shared" si="1"/>
        <v>2.8756564386760004E-2</v>
      </c>
    </row>
    <row r="17" spans="1:9" x14ac:dyDescent="0.25">
      <c r="A17" s="7">
        <v>1955</v>
      </c>
      <c r="B17" s="14">
        <v>63142136.063999996</v>
      </c>
      <c r="C17" s="14">
        <f t="shared" si="0"/>
        <v>6.3142136064000001E-2</v>
      </c>
      <c r="E17" s="14">
        <v>82219677.277440012</v>
      </c>
      <c r="F17" s="14">
        <v>8.221967727744002E-2</v>
      </c>
      <c r="H17" s="14">
        <v>31882277.907060001</v>
      </c>
      <c r="I17" s="14">
        <f t="shared" si="1"/>
        <v>3.1882277907060004E-2</v>
      </c>
    </row>
    <row r="18" spans="1:9" x14ac:dyDescent="0.25">
      <c r="A18" s="7">
        <v>1956</v>
      </c>
      <c r="B18" s="14">
        <v>61802486.784000009</v>
      </c>
      <c r="C18" s="14">
        <f t="shared" si="0"/>
        <v>6.1802486784000014E-2</v>
      </c>
      <c r="E18" s="14">
        <v>96161274.728832006</v>
      </c>
      <c r="F18" s="14">
        <v>9.6161274728832014E-2</v>
      </c>
      <c r="H18" s="14">
        <v>41348724.568539999</v>
      </c>
      <c r="I18" s="14">
        <f t="shared" si="1"/>
        <v>4.1348724568540003E-2</v>
      </c>
    </row>
    <row r="19" spans="1:9" x14ac:dyDescent="0.25">
      <c r="A19" s="7">
        <v>1957</v>
      </c>
      <c r="B19" s="14">
        <v>64213855.488000005</v>
      </c>
      <c r="C19" s="14">
        <f t="shared" si="0"/>
        <v>6.4213855488000016E-2</v>
      </c>
      <c r="E19" s="14">
        <v>104293873.242144</v>
      </c>
      <c r="F19" s="14">
        <v>0.10429387324214401</v>
      </c>
      <c r="H19" s="14">
        <v>38044398.84708</v>
      </c>
      <c r="I19" s="14">
        <f t="shared" si="1"/>
        <v>3.8044398847080003E-2</v>
      </c>
    </row>
    <row r="20" spans="1:9" x14ac:dyDescent="0.25">
      <c r="A20" s="7">
        <v>1958</v>
      </c>
      <c r="B20" s="14">
        <v>67429013.760000005</v>
      </c>
      <c r="C20" s="14">
        <f t="shared" si="0"/>
        <v>6.7429013760000003E-2</v>
      </c>
      <c r="E20" s="14">
        <v>128066084.281056</v>
      </c>
      <c r="F20" s="14">
        <v>0.12806608428105601</v>
      </c>
      <c r="H20" s="14">
        <v>44027907.585939996</v>
      </c>
      <c r="I20" s="14">
        <f t="shared" si="1"/>
        <v>4.4027907585939996E-2</v>
      </c>
    </row>
    <row r="21" spans="1:9" x14ac:dyDescent="0.25">
      <c r="A21" s="7">
        <v>1959</v>
      </c>
      <c r="B21" s="14">
        <v>60641457.408000015</v>
      </c>
      <c r="C21" s="14">
        <f t="shared" si="0"/>
        <v>6.0641457408000018E-2</v>
      </c>
      <c r="E21" s="14">
        <v>107600534.17612801</v>
      </c>
      <c r="F21" s="14">
        <v>0.10760053417612803</v>
      </c>
      <c r="H21" s="14">
        <v>36615501.237799995</v>
      </c>
      <c r="I21" s="14">
        <f t="shared" si="1"/>
        <v>3.6615501237799997E-2</v>
      </c>
    </row>
    <row r="22" spans="1:9" x14ac:dyDescent="0.25">
      <c r="A22" s="7">
        <v>1960</v>
      </c>
      <c r="B22" s="14">
        <v>76717248.768000007</v>
      </c>
      <c r="C22" s="14">
        <f t="shared" si="0"/>
        <v>7.6717248768000013E-2</v>
      </c>
      <c r="E22" s="14">
        <v>148978480.45814401</v>
      </c>
      <c r="F22" s="14">
        <v>0.14897848045814402</v>
      </c>
      <c r="H22" s="14">
        <v>50457946.827699997</v>
      </c>
      <c r="I22" s="14">
        <f t="shared" si="1"/>
        <v>5.0457946827700002E-2</v>
      </c>
    </row>
    <row r="23" spans="1:9" x14ac:dyDescent="0.25">
      <c r="A23" s="7">
        <v>1961</v>
      </c>
      <c r="B23" s="14">
        <v>60641457.408000015</v>
      </c>
      <c r="C23" s="14">
        <f t="shared" si="0"/>
        <v>6.0641457408000018E-2</v>
      </c>
      <c r="E23" s="14">
        <v>89369214.432000011</v>
      </c>
      <c r="F23" s="14">
        <v>8.9369214432000021E-2</v>
      </c>
      <c r="H23" s="14">
        <v>35097297.52793999</v>
      </c>
      <c r="I23" s="14">
        <f t="shared" si="1"/>
        <v>3.509729752793999E-2</v>
      </c>
    </row>
    <row r="24" spans="1:9" x14ac:dyDescent="0.25">
      <c r="A24" s="7">
        <v>1962</v>
      </c>
      <c r="B24" s="14">
        <v>66982464</v>
      </c>
      <c r="C24" s="14">
        <f t="shared" si="0"/>
        <v>6.6982464000000005E-2</v>
      </c>
      <c r="E24" s="14">
        <v>141650204.87472001</v>
      </c>
      <c r="F24" s="14">
        <v>0.14165020487472002</v>
      </c>
      <c r="H24" s="14">
        <v>50190028.525959998</v>
      </c>
      <c r="I24" s="14">
        <f t="shared" si="1"/>
        <v>5.0190028525960002E-2</v>
      </c>
    </row>
    <row r="25" spans="1:9" x14ac:dyDescent="0.25">
      <c r="A25" s="7">
        <v>1963</v>
      </c>
      <c r="B25" s="14">
        <v>59480428.032000005</v>
      </c>
      <c r="C25" s="14">
        <f t="shared" si="0"/>
        <v>5.9480428032000009E-2</v>
      </c>
      <c r="E25" s="14">
        <v>77393739.698111996</v>
      </c>
      <c r="F25" s="14">
        <v>7.7393739698112002E-2</v>
      </c>
      <c r="H25" s="14">
        <v>41080806.266799994</v>
      </c>
      <c r="I25" s="14">
        <f t="shared" si="1"/>
        <v>4.1080806266799996E-2</v>
      </c>
    </row>
    <row r="26" spans="1:9" x14ac:dyDescent="0.25">
      <c r="A26" s="7">
        <v>1964</v>
      </c>
      <c r="B26" s="14">
        <v>58051468.799999997</v>
      </c>
      <c r="C26" s="14">
        <f t="shared" si="0"/>
        <v>5.8051468799999999E-2</v>
      </c>
      <c r="E26" s="14">
        <v>72657171.333215997</v>
      </c>
      <c r="F26" s="14">
        <v>7.2657171333216003E-2</v>
      </c>
      <c r="H26" s="14">
        <v>38401623.249399997</v>
      </c>
      <c r="I26" s="14">
        <f t="shared" si="1"/>
        <v>3.8401623249399996E-2</v>
      </c>
    </row>
    <row r="27" spans="1:9" x14ac:dyDescent="0.25">
      <c r="A27" s="7">
        <v>1965</v>
      </c>
      <c r="B27" s="14">
        <v>65821434.624000005</v>
      </c>
      <c r="C27" s="14">
        <f t="shared" si="0"/>
        <v>6.5821434624000016E-2</v>
      </c>
      <c r="E27" s="14">
        <v>91871552.436095998</v>
      </c>
      <c r="F27" s="14">
        <v>9.1871552436096002E-2</v>
      </c>
      <c r="H27" s="14">
        <v>44117213.686519995</v>
      </c>
      <c r="I27" s="14">
        <f t="shared" si="1"/>
        <v>4.4117213686519996E-2</v>
      </c>
    </row>
    <row r="28" spans="1:9" x14ac:dyDescent="0.25">
      <c r="A28" s="7">
        <v>1966</v>
      </c>
      <c r="B28" s="14">
        <v>62784896.256000005</v>
      </c>
      <c r="C28" s="14">
        <f t="shared" si="0"/>
        <v>6.2784896256000006E-2</v>
      </c>
      <c r="E28" s="14">
        <v>81325985.133120015</v>
      </c>
      <c r="F28" s="14">
        <v>8.1325985133120018E-2</v>
      </c>
      <c r="H28" s="14">
        <v>39294684.255199999</v>
      </c>
      <c r="I28" s="14">
        <f t="shared" si="1"/>
        <v>3.9294684255200003E-2</v>
      </c>
    </row>
    <row r="29" spans="1:9" x14ac:dyDescent="0.25">
      <c r="A29" s="7">
        <v>1967</v>
      </c>
      <c r="B29" s="14">
        <v>72162441.216000006</v>
      </c>
      <c r="C29" s="14">
        <f t="shared" si="0"/>
        <v>7.2162441216000003E-2</v>
      </c>
      <c r="E29" s="14">
        <v>103132073.45452802</v>
      </c>
      <c r="F29" s="14">
        <v>0.10313207345452803</v>
      </c>
      <c r="H29" s="14">
        <v>43492070.98246</v>
      </c>
      <c r="I29" s="14">
        <f t="shared" si="1"/>
        <v>4.3492070982460003E-2</v>
      </c>
    </row>
    <row r="30" spans="1:9" x14ac:dyDescent="0.25">
      <c r="A30" s="7">
        <v>1968</v>
      </c>
      <c r="B30" s="14">
        <v>53496661.248000003</v>
      </c>
      <c r="C30" s="14">
        <f t="shared" si="0"/>
        <v>5.3496661248000003E-2</v>
      </c>
      <c r="E30" s="14">
        <v>66133218.679680005</v>
      </c>
      <c r="F30" s="14">
        <v>6.6133218679680014E-2</v>
      </c>
      <c r="H30" s="14">
        <v>35186603.628519997</v>
      </c>
      <c r="I30" s="14">
        <f t="shared" si="1"/>
        <v>3.5186603628519997E-2</v>
      </c>
    </row>
    <row r="31" spans="1:9" x14ac:dyDescent="0.25">
      <c r="A31" s="7">
        <v>1969</v>
      </c>
      <c r="B31" s="14">
        <v>54121830.912000008</v>
      </c>
      <c r="C31" s="14">
        <f t="shared" si="0"/>
        <v>5.4121830912000013E-2</v>
      </c>
      <c r="E31" s="14">
        <v>68367449.040480003</v>
      </c>
      <c r="F31" s="14">
        <v>6.8367449040480005E-2</v>
      </c>
      <c r="H31" s="14">
        <v>38223011.048239999</v>
      </c>
      <c r="I31" s="14">
        <f t="shared" si="1"/>
        <v>3.8223011048240003E-2</v>
      </c>
    </row>
    <row r="32" spans="1:9" x14ac:dyDescent="0.25">
      <c r="A32" s="7">
        <v>1970</v>
      </c>
      <c r="B32" s="14">
        <v>50102883.071999997</v>
      </c>
      <c r="C32" s="14">
        <f t="shared" si="0"/>
        <v>5.0102883071999997E-2</v>
      </c>
      <c r="E32" s="14">
        <v>58626204.667391993</v>
      </c>
      <c r="F32" s="14">
        <v>5.8626204667391997E-2</v>
      </c>
      <c r="H32" s="14">
        <v>31882277.907060001</v>
      </c>
      <c r="I32" s="14">
        <f t="shared" si="1"/>
        <v>3.1882277907060004E-2</v>
      </c>
    </row>
    <row r="33" spans="1:9" x14ac:dyDescent="0.25">
      <c r="A33" s="7">
        <v>1971</v>
      </c>
      <c r="B33" s="14">
        <v>53585971.200000003</v>
      </c>
      <c r="C33" s="14">
        <f t="shared" si="0"/>
        <v>5.3585971200000006E-2</v>
      </c>
      <c r="E33" s="14">
        <v>63362773.032288007</v>
      </c>
      <c r="F33" s="14">
        <v>6.3362773032288017E-2</v>
      </c>
      <c r="H33" s="14">
        <v>37419256.143019997</v>
      </c>
      <c r="I33" s="14">
        <f t="shared" si="1"/>
        <v>3.7419256143019997E-2</v>
      </c>
    </row>
    <row r="34" spans="1:9" x14ac:dyDescent="0.25">
      <c r="A34" s="7">
        <v>1972</v>
      </c>
      <c r="B34" s="14">
        <v>48048754.176000006</v>
      </c>
      <c r="C34" s="14">
        <f t="shared" si="0"/>
        <v>4.8048754176000012E-2</v>
      </c>
      <c r="E34" s="14">
        <v>63898988.318879999</v>
      </c>
      <c r="F34" s="14">
        <v>6.389898831888001E-2</v>
      </c>
      <c r="H34" s="14">
        <v>33668399.91866</v>
      </c>
      <c r="I34" s="14">
        <f t="shared" si="1"/>
        <v>3.3668399918660004E-2</v>
      </c>
    </row>
    <row r="35" spans="1:9" x14ac:dyDescent="0.25">
      <c r="A35" s="7">
        <v>1973</v>
      </c>
      <c r="B35" s="14">
        <v>46977034.752000004</v>
      </c>
      <c r="C35" s="14">
        <f t="shared" si="0"/>
        <v>4.6977034752000005E-2</v>
      </c>
      <c r="E35" s="14">
        <v>68367449.040480003</v>
      </c>
      <c r="F35" s="14">
        <v>6.8367449040480005E-2</v>
      </c>
      <c r="H35" s="14">
        <v>38044398.84708</v>
      </c>
      <c r="I35" s="14">
        <f t="shared" si="1"/>
        <v>3.8044398847080003E-2</v>
      </c>
    </row>
    <row r="36" spans="1:9" x14ac:dyDescent="0.25">
      <c r="A36" s="7">
        <v>1974</v>
      </c>
      <c r="B36" s="14">
        <v>43761876.479999997</v>
      </c>
      <c r="C36" s="14">
        <f t="shared" si="0"/>
        <v>4.3761876479999996E-2</v>
      </c>
      <c r="E36" s="14">
        <v>63452142.246720001</v>
      </c>
      <c r="F36" s="14">
        <v>6.3452142246720009E-2</v>
      </c>
      <c r="H36" s="14">
        <v>34204236.522139996</v>
      </c>
      <c r="I36" s="14">
        <f t="shared" si="1"/>
        <v>3.4204236522139997E-2</v>
      </c>
    </row>
    <row r="37" spans="1:9" x14ac:dyDescent="0.25">
      <c r="A37" s="7">
        <v>1975</v>
      </c>
      <c r="B37" s="14">
        <v>42422227.200000003</v>
      </c>
      <c r="C37" s="14">
        <f t="shared" si="0"/>
        <v>4.2422227200000003E-2</v>
      </c>
      <c r="E37" s="14">
        <v>58000620.166368008</v>
      </c>
      <c r="F37" s="14">
        <v>5.8000620166368012E-2</v>
      </c>
      <c r="H37" s="14">
        <v>32150196.208799999</v>
      </c>
      <c r="I37" s="14">
        <f t="shared" si="1"/>
        <v>3.2150196208800004E-2</v>
      </c>
    </row>
    <row r="38" spans="1:9" x14ac:dyDescent="0.25">
      <c r="A38" s="7">
        <v>1976</v>
      </c>
      <c r="B38" s="14">
        <v>36795700.223999999</v>
      </c>
      <c r="C38" s="14">
        <f t="shared" si="0"/>
        <v>3.6795700224E-2</v>
      </c>
      <c r="E38" s="14">
        <v>46918837.576800004</v>
      </c>
      <c r="F38" s="14">
        <v>4.6918837576800008E-2</v>
      </c>
      <c r="H38" s="14">
        <v>27684891.1798</v>
      </c>
      <c r="I38" s="14">
        <f t="shared" si="1"/>
        <v>2.7684891179800001E-2</v>
      </c>
    </row>
    <row r="39" spans="1:9" x14ac:dyDescent="0.25">
      <c r="A39" s="7">
        <v>1977</v>
      </c>
      <c r="B39" s="14">
        <v>35277431.040000007</v>
      </c>
      <c r="C39" s="14">
        <f t="shared" si="0"/>
        <v>3.5277431040000008E-2</v>
      </c>
      <c r="E39" s="14">
        <v>55140805.304544009</v>
      </c>
      <c r="F39" s="14">
        <v>5.5140805304544016E-2</v>
      </c>
      <c r="H39" s="14">
        <v>30542686.398360003</v>
      </c>
      <c r="I39" s="14">
        <f t="shared" si="1"/>
        <v>3.0542686398360004E-2</v>
      </c>
    </row>
    <row r="40" spans="1:9" x14ac:dyDescent="0.25">
      <c r="A40" s="7">
        <v>1978</v>
      </c>
      <c r="B40" s="14">
        <v>29472284.160000004</v>
      </c>
      <c r="C40" s="14">
        <f t="shared" si="0"/>
        <v>2.9472284160000004E-2</v>
      </c>
      <c r="E40" s="14">
        <v>40662992.566560008</v>
      </c>
      <c r="F40" s="14">
        <v>4.0662992566560009E-2</v>
      </c>
      <c r="H40" s="14">
        <v>24559177.659499999</v>
      </c>
      <c r="I40" s="14">
        <f t="shared" si="1"/>
        <v>2.4559177659500001E-2</v>
      </c>
    </row>
    <row r="41" spans="1:9" x14ac:dyDescent="0.25">
      <c r="A41" s="7">
        <v>1979</v>
      </c>
      <c r="B41" s="14">
        <v>26346435.84</v>
      </c>
      <c r="C41" s="14">
        <f t="shared" si="0"/>
        <v>2.6346435840000001E-2</v>
      </c>
      <c r="E41" s="14">
        <v>44237761.14384</v>
      </c>
      <c r="F41" s="14">
        <v>4.4237761143840003E-2</v>
      </c>
      <c r="H41" s="14">
        <v>25630850.866459999</v>
      </c>
      <c r="I41" s="14">
        <f t="shared" si="1"/>
        <v>2.5630850866460001E-2</v>
      </c>
    </row>
    <row r="42" spans="1:9" x14ac:dyDescent="0.25">
      <c r="A42" s="7">
        <v>1980</v>
      </c>
      <c r="B42" s="14">
        <v>26257125.888</v>
      </c>
      <c r="C42" s="14">
        <f t="shared" si="0"/>
        <v>2.6257125888000003E-2</v>
      </c>
      <c r="E42" s="14">
        <v>43612176.642816</v>
      </c>
      <c r="F42" s="14">
        <v>4.3612176642816004E-2</v>
      </c>
      <c r="H42" s="14">
        <v>26434605.771680001</v>
      </c>
      <c r="I42" s="14">
        <f t="shared" si="1"/>
        <v>2.6434605771680005E-2</v>
      </c>
    </row>
    <row r="43" spans="1:9" x14ac:dyDescent="0.25">
      <c r="A43" s="7">
        <v>1981</v>
      </c>
      <c r="B43" s="14">
        <v>29472284.160000004</v>
      </c>
      <c r="C43" s="14">
        <f t="shared" si="0"/>
        <v>2.9472284160000004E-2</v>
      </c>
      <c r="E43" s="14">
        <v>44773976.430431999</v>
      </c>
      <c r="F43" s="14">
        <v>4.4773976430432003E-2</v>
      </c>
      <c r="H43" s="14">
        <v>26791830.173999999</v>
      </c>
      <c r="I43" s="14">
        <f t="shared" si="1"/>
        <v>2.6791830174000001E-2</v>
      </c>
    </row>
    <row r="44" spans="1:9" x14ac:dyDescent="0.25">
      <c r="A44" s="7">
        <v>1982</v>
      </c>
      <c r="B44" s="14">
        <v>29472284.160000004</v>
      </c>
      <c r="C44" s="14">
        <f t="shared" si="0"/>
        <v>2.9472284160000004E-2</v>
      </c>
      <c r="E44" s="14">
        <v>54515220.803520009</v>
      </c>
      <c r="F44" s="14">
        <v>5.4515220803520011E-2</v>
      </c>
      <c r="H44" s="14">
        <v>28399339.984439999</v>
      </c>
      <c r="I44" s="14">
        <f t="shared" si="1"/>
        <v>2.8399339984440001E-2</v>
      </c>
    </row>
    <row r="45" spans="1:9" x14ac:dyDescent="0.25">
      <c r="A45" s="7">
        <v>1983</v>
      </c>
      <c r="B45" s="14">
        <v>30365383.680000003</v>
      </c>
      <c r="C45" s="14">
        <f t="shared" si="0"/>
        <v>3.0365383680000007E-2</v>
      </c>
      <c r="E45" s="14">
        <v>50851083.011808001</v>
      </c>
      <c r="F45" s="14">
        <v>5.0851083011808004E-2</v>
      </c>
      <c r="H45" s="14">
        <v>25898769.168200001</v>
      </c>
      <c r="I45" s="14">
        <f t="shared" si="1"/>
        <v>2.5898769168200001E-2</v>
      </c>
    </row>
    <row r="46" spans="1:9" x14ac:dyDescent="0.25">
      <c r="A46" s="7">
        <v>1984</v>
      </c>
      <c r="B46" s="14">
        <v>28043324.927999999</v>
      </c>
      <c r="C46" s="14">
        <f t="shared" si="0"/>
        <v>2.8043324928000001E-2</v>
      </c>
      <c r="E46" s="14">
        <v>54783328.446815997</v>
      </c>
      <c r="F46" s="14">
        <v>5.4783328446816E-2</v>
      </c>
      <c r="H46" s="14">
        <v>32150196.208799999</v>
      </c>
      <c r="I46" s="14">
        <f t="shared" si="1"/>
        <v>3.2150196208800004E-2</v>
      </c>
    </row>
    <row r="47" spans="1:9" x14ac:dyDescent="0.25">
      <c r="A47" s="7">
        <v>1985</v>
      </c>
      <c r="B47" s="14">
        <v>26078505.983999997</v>
      </c>
      <c r="C47" s="14">
        <f t="shared" si="0"/>
        <v>2.6078505983999998E-2</v>
      </c>
      <c r="E47" s="14">
        <v>39322454.350080006</v>
      </c>
      <c r="F47" s="14">
        <v>3.9322454350080006E-2</v>
      </c>
      <c r="H47" s="14">
        <v>22951667.849059995</v>
      </c>
      <c r="I47" s="14">
        <f t="shared" si="1"/>
        <v>2.2951667849059998E-2</v>
      </c>
    </row>
    <row r="48" spans="1:9" x14ac:dyDescent="0.25">
      <c r="A48" s="7">
        <v>1986</v>
      </c>
      <c r="B48" s="14">
        <v>23756447.232000005</v>
      </c>
      <c r="C48" s="14">
        <f t="shared" si="0"/>
        <v>2.3756447232000006E-2</v>
      </c>
      <c r="E48" s="14">
        <v>37535070.061439998</v>
      </c>
      <c r="F48" s="14">
        <v>3.7535070061440003E-2</v>
      </c>
      <c r="H48" s="14">
        <v>22683749.547319997</v>
      </c>
      <c r="I48" s="14">
        <f t="shared" si="1"/>
        <v>2.2683749547319998E-2</v>
      </c>
    </row>
    <row r="49" spans="1:9" x14ac:dyDescent="0.25">
      <c r="A49" s="7">
        <v>1987</v>
      </c>
      <c r="B49" s="14">
        <v>24470926.848000001</v>
      </c>
      <c r="C49" s="14">
        <f t="shared" si="0"/>
        <v>2.4470926848000004E-2</v>
      </c>
      <c r="E49" s="14">
        <v>39948038.851104006</v>
      </c>
      <c r="F49" s="14">
        <v>3.9948038851104012E-2</v>
      </c>
      <c r="H49" s="14">
        <v>23487504.452539999</v>
      </c>
      <c r="I49" s="14">
        <f t="shared" si="1"/>
        <v>2.3487504452540001E-2</v>
      </c>
    </row>
    <row r="50" spans="1:9" x14ac:dyDescent="0.25">
      <c r="A50" s="7">
        <v>1988</v>
      </c>
      <c r="B50" s="14">
        <v>23041967.616</v>
      </c>
      <c r="C50" s="14">
        <f t="shared" si="0"/>
        <v>2.3041967616000001E-2</v>
      </c>
      <c r="E50" s="14">
        <v>48795591.079872005</v>
      </c>
      <c r="F50" s="14">
        <v>4.8795591079872011E-2</v>
      </c>
      <c r="H50" s="14">
        <v>25005708.1624</v>
      </c>
      <c r="I50" s="14">
        <f t="shared" si="1"/>
        <v>2.5005708162400001E-2</v>
      </c>
    </row>
    <row r="51" spans="1:9" x14ac:dyDescent="0.25">
      <c r="A51" s="7">
        <v>1989</v>
      </c>
      <c r="B51" s="14">
        <v>20809218.816</v>
      </c>
      <c r="C51" s="14">
        <f t="shared" si="0"/>
        <v>2.0809218816000001E-2</v>
      </c>
      <c r="E51" s="14">
        <v>43075961.356224008</v>
      </c>
      <c r="F51" s="14">
        <v>4.3075961356224012E-2</v>
      </c>
      <c r="H51" s="14">
        <v>23219586.150800001</v>
      </c>
      <c r="I51" s="14">
        <f t="shared" si="1"/>
        <v>2.3219586150800001E-2</v>
      </c>
    </row>
    <row r="52" spans="1:9" x14ac:dyDescent="0.25">
      <c r="A52" s="7">
        <v>1990</v>
      </c>
      <c r="B52" s="14">
        <v>18129920.256000001</v>
      </c>
      <c r="C52" s="14">
        <f t="shared" si="0"/>
        <v>1.8129920256000003E-2</v>
      </c>
      <c r="E52" s="14">
        <v>33155978.554272</v>
      </c>
      <c r="F52" s="14">
        <v>3.3155978554271999E-2</v>
      </c>
      <c r="H52" s="14">
        <v>19290117.725280002</v>
      </c>
      <c r="I52" s="14">
        <f t="shared" si="1"/>
        <v>1.9290117725280002E-2</v>
      </c>
    </row>
    <row r="53" spans="1:9" x14ac:dyDescent="0.25">
      <c r="A53" s="7">
        <v>1991</v>
      </c>
      <c r="B53" s="14">
        <v>17594060.544</v>
      </c>
      <c r="C53" s="14">
        <f t="shared" si="0"/>
        <v>1.7594060543999999E-2</v>
      </c>
      <c r="E53" s="14">
        <v>32262286.409952004</v>
      </c>
      <c r="F53" s="14">
        <v>3.2262286409952004E-2</v>
      </c>
      <c r="H53" s="14">
        <v>19379423.825859997</v>
      </c>
      <c r="I53" s="14">
        <f t="shared" si="1"/>
        <v>1.9379423825859998E-2</v>
      </c>
    </row>
    <row r="54" spans="1:9" x14ac:dyDescent="0.25">
      <c r="A54" s="7">
        <v>1992</v>
      </c>
      <c r="B54" s="14">
        <v>18219230.208000001</v>
      </c>
      <c r="C54" s="14">
        <f t="shared" si="0"/>
        <v>1.8219230208000002E-2</v>
      </c>
      <c r="E54" s="14">
        <v>50761713.797375999</v>
      </c>
      <c r="F54" s="14">
        <v>5.0761713797376005E-2</v>
      </c>
      <c r="H54" s="14">
        <v>24023341.056019995</v>
      </c>
      <c r="I54" s="14">
        <f t="shared" si="1"/>
        <v>2.4023341056019998E-2</v>
      </c>
    </row>
    <row r="55" spans="1:9" x14ac:dyDescent="0.25">
      <c r="A55" s="7">
        <v>1993</v>
      </c>
      <c r="B55" s="14">
        <v>23756447.232000005</v>
      </c>
      <c r="C55" s="14">
        <f t="shared" si="0"/>
        <v>2.3756447232000006E-2</v>
      </c>
      <c r="E55" s="14">
        <v>61039173.457056001</v>
      </c>
      <c r="F55" s="14">
        <v>6.1039173457056006E-2</v>
      </c>
      <c r="H55" s="14">
        <v>31435747.40416</v>
      </c>
      <c r="I55" s="14">
        <f t="shared" si="1"/>
        <v>3.1435747404160004E-2</v>
      </c>
    </row>
    <row r="56" spans="1:9" x14ac:dyDescent="0.25">
      <c r="A56" s="7">
        <v>1994</v>
      </c>
      <c r="B56" s="14">
        <v>21613008.384000003</v>
      </c>
      <c r="C56" s="14">
        <f t="shared" si="0"/>
        <v>2.1613008384000005E-2</v>
      </c>
      <c r="E56" s="14">
        <v>42807853.712927997</v>
      </c>
      <c r="F56" s="14">
        <v>4.2807853712928001E-2</v>
      </c>
      <c r="H56" s="14">
        <v>22773055.6479</v>
      </c>
      <c r="I56" s="14">
        <f t="shared" si="1"/>
        <v>2.2773055647900001E-2</v>
      </c>
    </row>
    <row r="57" spans="1:9" x14ac:dyDescent="0.25">
      <c r="A57" s="7">
        <v>1995</v>
      </c>
      <c r="B57" s="14">
        <v>22327488</v>
      </c>
      <c r="C57" s="14">
        <f t="shared" si="0"/>
        <v>2.2327488000000003E-2</v>
      </c>
      <c r="E57" s="14">
        <v>43790915.071680002</v>
      </c>
      <c r="F57" s="14">
        <v>4.3790915071680002E-2</v>
      </c>
      <c r="H57" s="14">
        <v>23308892.25138</v>
      </c>
      <c r="I57" s="14">
        <f t="shared" si="1"/>
        <v>2.3308892251380001E-2</v>
      </c>
    </row>
    <row r="58" spans="1:9" x14ac:dyDescent="0.25">
      <c r="A58" s="7">
        <v>1996</v>
      </c>
      <c r="B58" s="14">
        <v>23220587.520000003</v>
      </c>
      <c r="C58" s="14">
        <f t="shared" si="0"/>
        <v>2.3220587520000006E-2</v>
      </c>
      <c r="E58" s="14">
        <v>47097576.005664006</v>
      </c>
      <c r="F58" s="14">
        <v>4.7097576005664006E-2</v>
      </c>
      <c r="H58" s="14">
        <v>24380565.45834</v>
      </c>
      <c r="I58" s="14">
        <f t="shared" si="1"/>
        <v>2.4380565458340001E-2</v>
      </c>
    </row>
    <row r="59" spans="1:9" x14ac:dyDescent="0.25">
      <c r="A59" s="7">
        <v>1997</v>
      </c>
      <c r="B59" s="14">
        <v>22327488</v>
      </c>
      <c r="C59" s="14">
        <f t="shared" si="0"/>
        <v>2.2327488000000003E-2</v>
      </c>
      <c r="E59" s="14">
        <v>36998854.774847999</v>
      </c>
      <c r="F59" s="14">
        <v>3.6998854774848003E-2</v>
      </c>
      <c r="H59" s="14">
        <v>23755422.754280001</v>
      </c>
      <c r="I59" s="14">
        <f t="shared" si="1"/>
        <v>2.3755422754280001E-2</v>
      </c>
    </row>
    <row r="60" spans="1:9" x14ac:dyDescent="0.25">
      <c r="A60" s="7">
        <v>1998</v>
      </c>
      <c r="B60" s="14">
        <v>16968890.879999999</v>
      </c>
      <c r="C60" s="14">
        <f t="shared" si="0"/>
        <v>1.696889088E-2</v>
      </c>
      <c r="E60" s="14">
        <v>33513455.412</v>
      </c>
      <c r="F60" s="14">
        <v>3.3513455412000001E-2</v>
      </c>
      <c r="H60" s="14">
        <v>18754281.121799998</v>
      </c>
      <c r="I60" s="14">
        <f t="shared" si="1"/>
        <v>1.8754281121799998E-2</v>
      </c>
    </row>
    <row r="61" spans="1:9" x14ac:dyDescent="0.25">
      <c r="A61" s="7">
        <v>1999</v>
      </c>
      <c r="B61" s="14">
        <v>16075791.359999998</v>
      </c>
      <c r="C61" s="14">
        <f t="shared" si="0"/>
        <v>1.6075791359999998E-2</v>
      </c>
      <c r="E61" s="14">
        <v>39143715.921215996</v>
      </c>
      <c r="F61" s="14">
        <v>3.9143715921216002E-2</v>
      </c>
      <c r="H61" s="14">
        <v>24559177.659499999</v>
      </c>
      <c r="I61" s="14">
        <f t="shared" si="1"/>
        <v>2.4559177659500001E-2</v>
      </c>
    </row>
    <row r="62" spans="1:9" x14ac:dyDescent="0.25">
      <c r="A62" s="7">
        <v>2000</v>
      </c>
      <c r="B62" s="14">
        <v>11610293.760000002</v>
      </c>
      <c r="C62" s="14">
        <f t="shared" si="0"/>
        <v>1.1610293760000003E-2</v>
      </c>
      <c r="E62" s="14">
        <v>26453287.471872006</v>
      </c>
      <c r="F62" s="14">
        <v>2.6453287471872006E-2</v>
      </c>
      <c r="H62" s="14">
        <v>16610934.707880002</v>
      </c>
      <c r="I62" s="14">
        <f t="shared" si="1"/>
        <v>1.6610934707880002E-2</v>
      </c>
    </row>
    <row r="63" spans="1:9" x14ac:dyDescent="0.25">
      <c r="A63" s="7">
        <v>2001</v>
      </c>
      <c r="B63" s="14">
        <v>9824094.7200000007</v>
      </c>
      <c r="C63" s="14">
        <f t="shared" si="0"/>
        <v>9.8240947200000008E-3</v>
      </c>
      <c r="E63" s="14">
        <v>25738333.756416</v>
      </c>
      <c r="F63" s="14">
        <v>2.5738333756416001E-2</v>
      </c>
      <c r="H63" s="14">
        <v>15717873.70208</v>
      </c>
      <c r="I63" s="14">
        <f t="shared" si="1"/>
        <v>1.5717873702080002E-2</v>
      </c>
    </row>
    <row r="64" spans="1:9" x14ac:dyDescent="0.25">
      <c r="A64" s="7">
        <v>2002</v>
      </c>
      <c r="B64" s="14">
        <v>6341006.5920000002</v>
      </c>
      <c r="C64" s="14">
        <f t="shared" si="0"/>
        <v>6.3410065920000008E-3</v>
      </c>
      <c r="E64" s="14">
        <v>15103397.239008</v>
      </c>
      <c r="F64" s="14">
        <v>1.5103397239008E-2</v>
      </c>
      <c r="H64" s="14">
        <v>10538119.86844</v>
      </c>
      <c r="I64" s="14">
        <f t="shared" si="1"/>
        <v>1.0538119868440001E-2</v>
      </c>
    </row>
    <row r="65" spans="1:9" x14ac:dyDescent="0.25">
      <c r="A65" s="7">
        <v>2003</v>
      </c>
      <c r="B65" s="14">
        <v>4376187.648000001</v>
      </c>
      <c r="C65" s="14">
        <f t="shared" si="0"/>
        <v>4.376187648000001E-3</v>
      </c>
      <c r="E65" s="14">
        <v>16533304.669920001</v>
      </c>
      <c r="F65" s="14">
        <v>1.6533304669920004E-2</v>
      </c>
      <c r="H65" s="14">
        <v>11252568.673079999</v>
      </c>
      <c r="I65" s="14">
        <f t="shared" si="1"/>
        <v>1.1252568673080001E-2</v>
      </c>
    </row>
    <row r="66" spans="1:9" x14ac:dyDescent="0.25">
      <c r="A66" s="7">
        <v>2004</v>
      </c>
      <c r="B66" s="14">
        <v>3215158.2719999999</v>
      </c>
      <c r="C66" s="14">
        <f t="shared" si="0"/>
        <v>3.2151582720000003E-3</v>
      </c>
      <c r="E66" s="14">
        <v>24576533.968800001</v>
      </c>
      <c r="F66" s="14">
        <v>2.4576533968800003E-2</v>
      </c>
      <c r="H66" s="14">
        <v>12234935.779459998</v>
      </c>
      <c r="I66" s="14">
        <f t="shared" si="1"/>
        <v>1.2234935779459999E-2</v>
      </c>
    </row>
    <row r="67" spans="1:9" x14ac:dyDescent="0.25">
      <c r="A67" s="7">
        <v>2005</v>
      </c>
      <c r="B67" s="14">
        <v>3751017.9839999997</v>
      </c>
      <c r="C67" s="14">
        <f t="shared" si="0"/>
        <v>3.7510179840000001E-3</v>
      </c>
      <c r="E67" s="14">
        <v>28508779.403808001</v>
      </c>
      <c r="F67" s="14">
        <v>2.8508779403808002E-2</v>
      </c>
      <c r="H67" s="14">
        <v>14646200.495119998</v>
      </c>
      <c r="I67" s="14">
        <f t="shared" si="1"/>
        <v>1.4646200495119999E-2</v>
      </c>
    </row>
    <row r="68" spans="1:9" x14ac:dyDescent="0.25">
      <c r="A68" s="7">
        <v>2006</v>
      </c>
      <c r="B68" s="14">
        <v>3393778.176</v>
      </c>
      <c r="C68" s="14">
        <f t="shared" ref="C68:C71" si="2">B68*0.000000001</f>
        <v>3.3937781760000002E-3</v>
      </c>
      <c r="E68" s="14">
        <v>27615087.259487998</v>
      </c>
      <c r="F68" s="14">
        <v>2.7615087259488E-2</v>
      </c>
      <c r="H68" s="14">
        <v>10002283.264959998</v>
      </c>
      <c r="I68" s="14">
        <f t="shared" ref="I68:I71" si="3">H68*0.000000001</f>
        <v>1.0002283264959999E-2</v>
      </c>
    </row>
    <row r="69" spans="1:9" x14ac:dyDescent="0.25">
      <c r="A69" s="7">
        <v>2007</v>
      </c>
      <c r="B69" s="14">
        <v>15182691.840000002</v>
      </c>
      <c r="C69" s="14">
        <f t="shared" si="2"/>
        <v>1.5182691840000003E-2</v>
      </c>
      <c r="E69" s="14">
        <v>55408912.947840005</v>
      </c>
      <c r="F69" s="14">
        <v>5.5408912947840006E-2</v>
      </c>
      <c r="H69" s="14">
        <v>19915260.429340001</v>
      </c>
      <c r="I69" s="14">
        <f t="shared" si="3"/>
        <v>1.9915260429340002E-2</v>
      </c>
    </row>
    <row r="70" spans="1:9" x14ac:dyDescent="0.25">
      <c r="A70" s="7">
        <v>2008</v>
      </c>
      <c r="B70" s="14">
        <v>3661708.0319999997</v>
      </c>
      <c r="C70" s="14">
        <f t="shared" si="2"/>
        <v>3.6617080319999999E-3</v>
      </c>
      <c r="E70" s="14">
        <v>40841730.995424002</v>
      </c>
      <c r="F70" s="14">
        <v>4.0841730995424007E-2</v>
      </c>
      <c r="H70" s="14">
        <v>15092730.998019997</v>
      </c>
      <c r="I70" s="14">
        <f t="shared" si="3"/>
        <v>1.5092730998019999E-2</v>
      </c>
    </row>
    <row r="71" spans="1:9" x14ac:dyDescent="0.25">
      <c r="A71" s="7">
        <v>2009</v>
      </c>
      <c r="B71" s="14">
        <v>4286877.6959999995</v>
      </c>
      <c r="C71" s="14">
        <f t="shared" si="2"/>
        <v>4.2868776959999995E-3</v>
      </c>
      <c r="E71" s="14">
        <v>33960301.484159999</v>
      </c>
      <c r="F71" s="14">
        <v>3.3960301484160002E-2</v>
      </c>
      <c r="H71" s="14">
        <v>14288976.092799999</v>
      </c>
      <c r="I71" s="14">
        <f t="shared" si="3"/>
        <v>1.42889760928E-2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zoomScale="80" zoomScaleNormal="80" workbookViewId="0">
      <selection activeCell="B2" sqref="B2"/>
    </sheetView>
  </sheetViews>
  <sheetFormatPr defaultRowHeight="15" x14ac:dyDescent="0.25"/>
  <cols>
    <col min="2" max="2" width="30.5703125" bestFit="1" customWidth="1"/>
    <col min="3" max="3" width="30.140625" bestFit="1" customWidth="1"/>
  </cols>
  <sheetData>
    <row r="1" spans="1:3" x14ac:dyDescent="0.25">
      <c r="B1" s="12" t="s">
        <v>69</v>
      </c>
    </row>
    <row r="2" spans="1:3" ht="17.25" x14ac:dyDescent="0.25">
      <c r="A2" s="12" t="s">
        <v>7</v>
      </c>
      <c r="B2" s="12" t="s">
        <v>18</v>
      </c>
      <c r="C2" s="12" t="s">
        <v>19</v>
      </c>
    </row>
    <row r="3" spans="1:3" x14ac:dyDescent="0.25">
      <c r="A3" s="12">
        <v>1941</v>
      </c>
      <c r="B3" s="14">
        <v>0</v>
      </c>
      <c r="C3" s="14">
        <f>B3*0.000000001</f>
        <v>0</v>
      </c>
    </row>
    <row r="4" spans="1:3" x14ac:dyDescent="0.25">
      <c r="A4" s="12">
        <v>1942</v>
      </c>
      <c r="B4" s="14">
        <v>0</v>
      </c>
      <c r="C4" s="14">
        <f t="shared" ref="C4:C67" si="0">B4*0.000000001</f>
        <v>0</v>
      </c>
    </row>
    <row r="5" spans="1:3" x14ac:dyDescent="0.25">
      <c r="A5" s="12">
        <v>1943</v>
      </c>
      <c r="B5" s="14">
        <v>0</v>
      </c>
      <c r="C5" s="14">
        <f t="shared" si="0"/>
        <v>0</v>
      </c>
    </row>
    <row r="6" spans="1:3" x14ac:dyDescent="0.25">
      <c r="A6" s="12">
        <v>1944</v>
      </c>
      <c r="B6" s="14">
        <v>0</v>
      </c>
      <c r="C6" s="14">
        <f t="shared" si="0"/>
        <v>0</v>
      </c>
    </row>
    <row r="7" spans="1:3" x14ac:dyDescent="0.25">
      <c r="A7" s="12">
        <v>1945</v>
      </c>
      <c r="B7" s="14">
        <v>0</v>
      </c>
      <c r="C7" s="14">
        <f t="shared" si="0"/>
        <v>0</v>
      </c>
    </row>
    <row r="8" spans="1:3" x14ac:dyDescent="0.25">
      <c r="A8" s="12">
        <v>1946</v>
      </c>
      <c r="B8" s="14">
        <v>0</v>
      </c>
      <c r="C8" s="14">
        <f t="shared" si="0"/>
        <v>0</v>
      </c>
    </row>
    <row r="9" spans="1:3" x14ac:dyDescent="0.25">
      <c r="A9" s="12">
        <v>1947</v>
      </c>
      <c r="B9" s="14">
        <v>0</v>
      </c>
      <c r="C9" s="14">
        <f t="shared" si="0"/>
        <v>0</v>
      </c>
    </row>
    <row r="10" spans="1:3" x14ac:dyDescent="0.25">
      <c r="A10" s="12">
        <v>1948</v>
      </c>
      <c r="B10" s="14">
        <v>0</v>
      </c>
      <c r="C10" s="14">
        <f t="shared" si="0"/>
        <v>0</v>
      </c>
    </row>
    <row r="11" spans="1:3" x14ac:dyDescent="0.25">
      <c r="A11" s="12">
        <v>1949</v>
      </c>
      <c r="B11" s="14">
        <v>0</v>
      </c>
      <c r="C11" s="14">
        <f t="shared" si="0"/>
        <v>0</v>
      </c>
    </row>
    <row r="12" spans="1:3" x14ac:dyDescent="0.25">
      <c r="A12" s="12">
        <v>1950</v>
      </c>
      <c r="B12" s="14">
        <v>0</v>
      </c>
      <c r="C12" s="14">
        <f t="shared" si="0"/>
        <v>0</v>
      </c>
    </row>
    <row r="13" spans="1:3" x14ac:dyDescent="0.25">
      <c r="A13" s="12">
        <v>1951</v>
      </c>
      <c r="B13" s="14">
        <v>0</v>
      </c>
      <c r="C13" s="14">
        <f t="shared" si="0"/>
        <v>0</v>
      </c>
    </row>
    <row r="14" spans="1:3" x14ac:dyDescent="0.25">
      <c r="A14" s="12">
        <v>1952</v>
      </c>
      <c r="B14" s="14">
        <v>0</v>
      </c>
      <c r="C14" s="14">
        <f t="shared" si="0"/>
        <v>0</v>
      </c>
    </row>
    <row r="15" spans="1:3" x14ac:dyDescent="0.25">
      <c r="A15" s="12">
        <v>1953</v>
      </c>
      <c r="B15" s="14">
        <v>0</v>
      </c>
      <c r="C15" s="14">
        <f t="shared" si="0"/>
        <v>0</v>
      </c>
    </row>
    <row r="16" spans="1:3" x14ac:dyDescent="0.25">
      <c r="A16" s="12">
        <v>1954</v>
      </c>
      <c r="B16" s="14">
        <v>6343787.6399999997</v>
      </c>
      <c r="C16" s="14">
        <f t="shared" si="0"/>
        <v>6.3437876400000001E-3</v>
      </c>
    </row>
    <row r="17" spans="1:3" x14ac:dyDescent="0.25">
      <c r="A17" s="12">
        <v>1955</v>
      </c>
      <c r="B17" s="14">
        <v>7873302.8399999999</v>
      </c>
      <c r="C17" s="14">
        <f t="shared" si="0"/>
        <v>7.8733028400000005E-3</v>
      </c>
    </row>
    <row r="18" spans="1:3" x14ac:dyDescent="0.25">
      <c r="A18" s="12">
        <v>1956</v>
      </c>
      <c r="B18" s="14">
        <v>7715417.4000000004</v>
      </c>
      <c r="C18" s="14">
        <f t="shared" si="0"/>
        <v>7.7154174000000006E-3</v>
      </c>
    </row>
    <row r="19" spans="1:3" x14ac:dyDescent="0.25">
      <c r="A19" s="12">
        <v>1957</v>
      </c>
      <c r="B19" s="14">
        <v>5950307.5200000005</v>
      </c>
      <c r="C19" s="14">
        <f t="shared" si="0"/>
        <v>5.9503075200000007E-3</v>
      </c>
    </row>
    <row r="20" spans="1:3" x14ac:dyDescent="0.25">
      <c r="A20" s="12">
        <v>1958</v>
      </c>
      <c r="B20" s="14">
        <v>7236827.1600000001</v>
      </c>
      <c r="C20" s="14">
        <f t="shared" si="0"/>
        <v>7.2368271600000006E-3</v>
      </c>
    </row>
    <row r="21" spans="1:3" x14ac:dyDescent="0.25">
      <c r="A21" s="12">
        <v>1959</v>
      </c>
      <c r="B21" s="14">
        <v>6776739.1200000001</v>
      </c>
      <c r="C21" s="14">
        <f t="shared" si="0"/>
        <v>6.7767391200000008E-3</v>
      </c>
    </row>
    <row r="22" spans="1:3" x14ac:dyDescent="0.25">
      <c r="A22" s="12">
        <v>1960</v>
      </c>
      <c r="B22" s="14">
        <v>8290219.0800000001</v>
      </c>
      <c r="C22" s="14">
        <f t="shared" si="0"/>
        <v>8.2902190800000011E-3</v>
      </c>
    </row>
    <row r="23" spans="1:3" x14ac:dyDescent="0.25">
      <c r="A23" s="12">
        <v>1961</v>
      </c>
      <c r="B23" s="14">
        <v>5154712.92</v>
      </c>
      <c r="C23" s="14">
        <f t="shared" si="0"/>
        <v>5.1547129200000003E-3</v>
      </c>
    </row>
    <row r="24" spans="1:3" x14ac:dyDescent="0.25">
      <c r="A24" s="12">
        <v>1962</v>
      </c>
      <c r="B24" s="14">
        <v>5571629.1600000001</v>
      </c>
      <c r="C24" s="14">
        <f t="shared" si="0"/>
        <v>5.5716291600000009E-3</v>
      </c>
    </row>
    <row r="25" spans="1:3" x14ac:dyDescent="0.25">
      <c r="A25" s="12">
        <v>1963</v>
      </c>
      <c r="B25" s="14">
        <v>6447399.96</v>
      </c>
      <c r="C25" s="14">
        <f t="shared" si="0"/>
        <v>6.44739996E-3</v>
      </c>
    </row>
    <row r="26" spans="1:3" x14ac:dyDescent="0.25">
      <c r="A26" s="12">
        <v>1964</v>
      </c>
      <c r="B26" s="14">
        <v>7156650.96</v>
      </c>
      <c r="C26" s="14">
        <f t="shared" si="0"/>
        <v>7.1566509600000001E-3</v>
      </c>
    </row>
    <row r="27" spans="1:3" x14ac:dyDescent="0.25">
      <c r="A27" s="12">
        <v>1965</v>
      </c>
      <c r="B27" s="14">
        <v>5814624.7199999997</v>
      </c>
      <c r="C27" s="14">
        <f t="shared" si="0"/>
        <v>5.8146247199999997E-3</v>
      </c>
    </row>
    <row r="28" spans="1:3" x14ac:dyDescent="0.25">
      <c r="A28" s="12">
        <v>1966</v>
      </c>
      <c r="B28" s="14">
        <v>6042818.5200000005</v>
      </c>
      <c r="C28" s="14">
        <f t="shared" si="0"/>
        <v>6.0428185200000007E-3</v>
      </c>
    </row>
    <row r="29" spans="1:3" x14ac:dyDescent="0.25">
      <c r="A29" s="12">
        <v>1967</v>
      </c>
      <c r="B29" s="14">
        <v>5731981.5600000005</v>
      </c>
      <c r="C29" s="14">
        <f t="shared" si="0"/>
        <v>5.7319815600000009E-3</v>
      </c>
    </row>
    <row r="30" spans="1:3" x14ac:dyDescent="0.25">
      <c r="A30" s="12">
        <v>1968</v>
      </c>
      <c r="B30" s="14">
        <v>5613567.4800000004</v>
      </c>
      <c r="C30" s="14">
        <f t="shared" si="0"/>
        <v>5.6135674800000005E-3</v>
      </c>
    </row>
    <row r="31" spans="1:3" x14ac:dyDescent="0.25">
      <c r="A31" s="12">
        <v>1969</v>
      </c>
      <c r="B31" s="14">
        <v>5280527.88</v>
      </c>
      <c r="C31" s="14">
        <f t="shared" si="0"/>
        <v>5.2805278800000001E-3</v>
      </c>
    </row>
    <row r="32" spans="1:3" x14ac:dyDescent="0.25">
      <c r="A32" s="12">
        <v>1970</v>
      </c>
      <c r="B32" s="14">
        <v>5340968.4000000004</v>
      </c>
      <c r="C32" s="14">
        <f t="shared" si="0"/>
        <v>5.3409684000000008E-3</v>
      </c>
    </row>
    <row r="33" spans="1:3" x14ac:dyDescent="0.25">
      <c r="A33" s="12">
        <v>1971</v>
      </c>
      <c r="B33" s="14">
        <v>4800704.16</v>
      </c>
      <c r="C33" s="14">
        <f t="shared" si="0"/>
        <v>4.8007041600000005E-3</v>
      </c>
    </row>
    <row r="34" spans="1:3" x14ac:dyDescent="0.25">
      <c r="A34" s="12">
        <v>1972</v>
      </c>
      <c r="B34" s="14">
        <v>4493567.6399999997</v>
      </c>
      <c r="C34" s="14">
        <f t="shared" si="0"/>
        <v>4.4935676399999996E-3</v>
      </c>
    </row>
    <row r="35" spans="1:3" x14ac:dyDescent="0.25">
      <c r="A35" s="12">
        <v>1973</v>
      </c>
      <c r="B35" s="14">
        <v>4039647</v>
      </c>
      <c r="C35" s="14">
        <f t="shared" si="0"/>
        <v>4.0396470000000004E-3</v>
      </c>
    </row>
    <row r="36" spans="1:3" x14ac:dyDescent="0.25">
      <c r="A36" s="12">
        <v>1974</v>
      </c>
      <c r="B36" s="14">
        <v>5088105</v>
      </c>
      <c r="C36" s="14">
        <f t="shared" si="0"/>
        <v>5.0881049999999999E-3</v>
      </c>
    </row>
    <row r="37" spans="1:3" x14ac:dyDescent="0.25">
      <c r="A37" s="12">
        <v>1975</v>
      </c>
      <c r="B37" s="14">
        <v>5139911.16</v>
      </c>
      <c r="C37" s="14">
        <f t="shared" si="0"/>
        <v>5.1399111600000007E-3</v>
      </c>
    </row>
    <row r="38" spans="1:3" x14ac:dyDescent="0.25">
      <c r="A38" s="12">
        <v>1976</v>
      </c>
      <c r="B38" s="14">
        <v>4935153.4800000004</v>
      </c>
      <c r="C38" s="14">
        <f t="shared" si="0"/>
        <v>4.935153480000001E-3</v>
      </c>
    </row>
    <row r="39" spans="1:3" x14ac:dyDescent="0.25">
      <c r="A39" s="12">
        <v>1977</v>
      </c>
      <c r="B39" s="14">
        <v>4294977.3600000003</v>
      </c>
      <c r="C39" s="14">
        <f t="shared" si="0"/>
        <v>4.2949773600000005E-3</v>
      </c>
    </row>
    <row r="40" spans="1:3" x14ac:dyDescent="0.25">
      <c r="A40" s="12">
        <v>1978</v>
      </c>
      <c r="B40" s="14">
        <v>4629250.4400000004</v>
      </c>
      <c r="C40" s="14">
        <f t="shared" si="0"/>
        <v>4.6292504400000005E-3</v>
      </c>
    </row>
    <row r="41" spans="1:3" x14ac:dyDescent="0.25">
      <c r="A41" s="12">
        <v>1979</v>
      </c>
      <c r="B41" s="14">
        <v>8634.36</v>
      </c>
      <c r="C41" s="14">
        <f t="shared" si="0"/>
        <v>8.6343600000000005E-6</v>
      </c>
    </row>
    <row r="42" spans="1:3" x14ac:dyDescent="0.25">
      <c r="A42" s="12">
        <v>1980</v>
      </c>
      <c r="B42" s="14">
        <v>100000</v>
      </c>
      <c r="C42" s="14">
        <f t="shared" si="0"/>
        <v>1E-4</v>
      </c>
    </row>
    <row r="43" spans="1:3" x14ac:dyDescent="0.25">
      <c r="A43" s="12">
        <v>1981</v>
      </c>
      <c r="B43" s="14">
        <v>100000</v>
      </c>
      <c r="C43" s="14">
        <f t="shared" si="0"/>
        <v>1E-4</v>
      </c>
    </row>
    <row r="44" spans="1:3" x14ac:dyDescent="0.25">
      <c r="A44" s="12">
        <v>1982</v>
      </c>
      <c r="B44" s="14">
        <v>100000</v>
      </c>
      <c r="C44" s="14">
        <f t="shared" si="0"/>
        <v>1E-4</v>
      </c>
    </row>
    <row r="45" spans="1:3" x14ac:dyDescent="0.25">
      <c r="A45" s="12">
        <v>1983</v>
      </c>
      <c r="B45" s="14">
        <v>100000</v>
      </c>
      <c r="C45" s="14">
        <f t="shared" si="0"/>
        <v>1E-4</v>
      </c>
    </row>
    <row r="46" spans="1:3" x14ac:dyDescent="0.25">
      <c r="A46" s="12">
        <v>1984</v>
      </c>
      <c r="B46" s="14">
        <v>100000</v>
      </c>
      <c r="C46" s="14">
        <f t="shared" si="0"/>
        <v>1E-4</v>
      </c>
    </row>
    <row r="47" spans="1:3" x14ac:dyDescent="0.25">
      <c r="A47" s="12">
        <v>1985</v>
      </c>
      <c r="B47" s="14">
        <v>100000</v>
      </c>
      <c r="C47" s="14">
        <f t="shared" si="0"/>
        <v>1E-4</v>
      </c>
    </row>
    <row r="48" spans="1:3" x14ac:dyDescent="0.25">
      <c r="A48" s="12">
        <v>1986</v>
      </c>
      <c r="B48" s="14">
        <v>100000</v>
      </c>
      <c r="C48" s="14">
        <f t="shared" si="0"/>
        <v>1E-4</v>
      </c>
    </row>
    <row r="49" spans="1:3" x14ac:dyDescent="0.25">
      <c r="A49" s="12">
        <v>1987</v>
      </c>
      <c r="B49" s="14">
        <v>100000</v>
      </c>
      <c r="C49" s="14">
        <f t="shared" si="0"/>
        <v>1E-4</v>
      </c>
    </row>
    <row r="50" spans="1:3" x14ac:dyDescent="0.25">
      <c r="A50" s="12">
        <v>1988</v>
      </c>
      <c r="B50" s="14">
        <v>100000</v>
      </c>
      <c r="C50" s="14">
        <f t="shared" si="0"/>
        <v>1E-4</v>
      </c>
    </row>
    <row r="51" spans="1:3" x14ac:dyDescent="0.25">
      <c r="A51" s="12">
        <v>1989</v>
      </c>
      <c r="B51" s="14">
        <v>100000</v>
      </c>
      <c r="C51" s="14">
        <f t="shared" si="0"/>
        <v>1E-4</v>
      </c>
    </row>
    <row r="52" spans="1:3" x14ac:dyDescent="0.25">
      <c r="A52" s="12">
        <v>1990</v>
      </c>
      <c r="B52" s="14">
        <v>100000</v>
      </c>
      <c r="C52" s="14">
        <f t="shared" si="0"/>
        <v>1E-4</v>
      </c>
    </row>
    <row r="53" spans="1:3" x14ac:dyDescent="0.25">
      <c r="A53" s="12">
        <v>1991</v>
      </c>
      <c r="B53" s="14">
        <v>100000</v>
      </c>
      <c r="C53" s="14">
        <f t="shared" si="0"/>
        <v>1E-4</v>
      </c>
    </row>
    <row r="54" spans="1:3" x14ac:dyDescent="0.25">
      <c r="A54" s="12">
        <v>1992</v>
      </c>
      <c r="B54" s="14">
        <v>100000</v>
      </c>
      <c r="C54" s="14">
        <f t="shared" si="0"/>
        <v>1E-4</v>
      </c>
    </row>
    <row r="55" spans="1:3" x14ac:dyDescent="0.25">
      <c r="A55" s="12">
        <v>1993</v>
      </c>
      <c r="B55" s="14">
        <v>100000</v>
      </c>
      <c r="C55" s="14">
        <f t="shared" si="0"/>
        <v>1E-4</v>
      </c>
    </row>
    <row r="56" spans="1:3" x14ac:dyDescent="0.25">
      <c r="A56" s="12">
        <v>1994</v>
      </c>
      <c r="B56" s="14">
        <v>100000</v>
      </c>
      <c r="C56" s="14">
        <f t="shared" si="0"/>
        <v>1E-4</v>
      </c>
    </row>
    <row r="57" spans="1:3" x14ac:dyDescent="0.25">
      <c r="A57" s="12">
        <v>1995</v>
      </c>
      <c r="B57" s="14">
        <v>100000</v>
      </c>
      <c r="C57" s="14">
        <f t="shared" si="0"/>
        <v>1E-4</v>
      </c>
    </row>
    <row r="58" spans="1:3" x14ac:dyDescent="0.25">
      <c r="A58" s="12">
        <v>1996</v>
      </c>
      <c r="B58" s="14">
        <v>66607.92</v>
      </c>
      <c r="C58" s="14">
        <f t="shared" si="0"/>
        <v>6.6607920000000004E-5</v>
      </c>
    </row>
    <row r="59" spans="1:3" x14ac:dyDescent="0.25">
      <c r="A59" s="12">
        <v>1997</v>
      </c>
      <c r="B59" s="14">
        <v>62907.48</v>
      </c>
      <c r="C59" s="14">
        <f t="shared" si="0"/>
        <v>6.2907480000000006E-5</v>
      </c>
    </row>
    <row r="60" spans="1:3" x14ac:dyDescent="0.25">
      <c r="A60" s="12">
        <v>1998</v>
      </c>
      <c r="B60" s="14">
        <v>56740.08</v>
      </c>
      <c r="C60" s="14">
        <f t="shared" si="0"/>
        <v>5.6740080000000008E-5</v>
      </c>
    </row>
    <row r="61" spans="1:3" x14ac:dyDescent="0.25">
      <c r="A61" s="12">
        <v>1999</v>
      </c>
      <c r="B61" s="14">
        <v>53039.64</v>
      </c>
      <c r="C61" s="14">
        <f t="shared" si="0"/>
        <v>5.3039640000000002E-5</v>
      </c>
    </row>
    <row r="62" spans="1:3" x14ac:dyDescent="0.25">
      <c r="A62" s="12">
        <v>2000</v>
      </c>
      <c r="B62" s="14">
        <v>60440.520000000004</v>
      </c>
      <c r="C62" s="14">
        <f t="shared" si="0"/>
        <v>6.0440520000000007E-5</v>
      </c>
    </row>
    <row r="63" spans="1:3" x14ac:dyDescent="0.25">
      <c r="A63" s="12">
        <v>2001</v>
      </c>
      <c r="B63" s="14">
        <v>55506.6</v>
      </c>
      <c r="C63" s="14">
        <f t="shared" si="0"/>
        <v>5.5506600000000001E-5</v>
      </c>
    </row>
    <row r="64" spans="1:3" x14ac:dyDescent="0.25">
      <c r="A64" s="12">
        <v>2002</v>
      </c>
      <c r="B64" s="14">
        <v>62907.48</v>
      </c>
      <c r="C64" s="14">
        <f t="shared" si="0"/>
        <v>6.2907480000000006E-5</v>
      </c>
    </row>
    <row r="65" spans="1:3" x14ac:dyDescent="0.25">
      <c r="A65" s="12">
        <v>2003</v>
      </c>
      <c r="B65" s="14">
        <v>19735.68</v>
      </c>
      <c r="C65" s="14">
        <f t="shared" si="0"/>
        <v>1.973568E-5</v>
      </c>
    </row>
    <row r="66" spans="1:3" x14ac:dyDescent="0.25">
      <c r="A66" s="12">
        <v>2004</v>
      </c>
      <c r="B66" s="14">
        <v>10000</v>
      </c>
      <c r="C66" s="14">
        <f t="shared" si="0"/>
        <v>1.0000000000000001E-5</v>
      </c>
    </row>
    <row r="67" spans="1:3" x14ac:dyDescent="0.25">
      <c r="A67" s="12">
        <v>2005</v>
      </c>
      <c r="B67" s="14">
        <v>10000</v>
      </c>
      <c r="C67" s="14">
        <f t="shared" si="0"/>
        <v>1.0000000000000001E-5</v>
      </c>
    </row>
    <row r="68" spans="1:3" x14ac:dyDescent="0.25">
      <c r="A68" s="12">
        <v>2006</v>
      </c>
      <c r="B68" s="14">
        <v>10000</v>
      </c>
      <c r="C68" s="14">
        <f t="shared" ref="C68:C71" si="1">B68*0.000000001</f>
        <v>1.0000000000000001E-5</v>
      </c>
    </row>
    <row r="69" spans="1:3" x14ac:dyDescent="0.25">
      <c r="A69" s="12">
        <v>2007</v>
      </c>
      <c r="B69" s="14">
        <v>10000</v>
      </c>
      <c r="C69" s="14">
        <f t="shared" si="1"/>
        <v>1.0000000000000001E-5</v>
      </c>
    </row>
    <row r="70" spans="1:3" x14ac:dyDescent="0.25">
      <c r="A70" s="12">
        <v>2008</v>
      </c>
      <c r="B70" s="14">
        <v>10000</v>
      </c>
      <c r="C70" s="14">
        <f t="shared" si="1"/>
        <v>1.0000000000000001E-5</v>
      </c>
    </row>
    <row r="71" spans="1:3" x14ac:dyDescent="0.25">
      <c r="A71" s="12">
        <v>2009</v>
      </c>
      <c r="B71" s="14">
        <v>10000</v>
      </c>
      <c r="C71" s="14">
        <f t="shared" si="1"/>
        <v>1.0000000000000001E-5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zoomScale="80" zoomScaleNormal="80" workbookViewId="0">
      <selection activeCell="B2" sqref="B2"/>
    </sheetView>
  </sheetViews>
  <sheetFormatPr defaultRowHeight="15" x14ac:dyDescent="0.25"/>
  <sheetData>
    <row r="1" spans="1:2" ht="18.75" x14ac:dyDescent="0.3">
      <c r="B1" s="17" t="s">
        <v>70</v>
      </c>
    </row>
    <row r="2" spans="1:2" x14ac:dyDescent="0.25">
      <c r="A2" s="12" t="s">
        <v>7</v>
      </c>
      <c r="B2" s="16" t="s">
        <v>20</v>
      </c>
    </row>
    <row r="3" spans="1:2" x14ac:dyDescent="0.25">
      <c r="A3" s="12">
        <v>1910</v>
      </c>
      <c r="B3" s="8">
        <v>0.30251400000000001</v>
      </c>
    </row>
    <row r="4" spans="1:2" x14ac:dyDescent="0.25">
      <c r="A4" s="12">
        <v>1911</v>
      </c>
      <c r="B4" s="8">
        <v>0.40157399999999999</v>
      </c>
    </row>
    <row r="5" spans="1:2" x14ac:dyDescent="0.25">
      <c r="A5" s="12">
        <v>1912</v>
      </c>
      <c r="B5" s="8">
        <v>0.52908199999999994</v>
      </c>
    </row>
    <row r="6" spans="1:2" x14ac:dyDescent="0.25">
      <c r="A6" s="12">
        <v>1913</v>
      </c>
      <c r="B6" s="8">
        <v>0.46380399999999999</v>
      </c>
    </row>
    <row r="7" spans="1:2" x14ac:dyDescent="0.25">
      <c r="A7" s="12">
        <v>1914</v>
      </c>
      <c r="B7" s="8">
        <v>0.46024799999999999</v>
      </c>
    </row>
    <row r="8" spans="1:2" x14ac:dyDescent="0.25">
      <c r="A8" s="12">
        <v>1915</v>
      </c>
      <c r="B8" s="8">
        <v>0.96494599999999997</v>
      </c>
    </row>
    <row r="9" spans="1:2" x14ac:dyDescent="0.25">
      <c r="A9" s="12">
        <v>1916</v>
      </c>
      <c r="B9" s="8">
        <v>0.48615599999999998</v>
      </c>
    </row>
    <row r="10" spans="1:2" x14ac:dyDescent="0.25">
      <c r="A10" s="12">
        <v>1917</v>
      </c>
      <c r="B10" s="8">
        <v>0.37744399999999995</v>
      </c>
    </row>
    <row r="11" spans="1:2" x14ac:dyDescent="0.25">
      <c r="A11" s="12">
        <v>1918</v>
      </c>
      <c r="B11" s="8">
        <v>0.50520600000000004</v>
      </c>
    </row>
    <row r="12" spans="1:2" x14ac:dyDescent="0.25">
      <c r="A12" s="12">
        <v>1919</v>
      </c>
      <c r="B12" s="8">
        <v>0.50292000000000003</v>
      </c>
    </row>
    <row r="13" spans="1:2" x14ac:dyDescent="0.25">
      <c r="A13" s="12">
        <v>1920</v>
      </c>
      <c r="B13" s="8">
        <v>0.50876200000000005</v>
      </c>
    </row>
    <row r="14" spans="1:2" x14ac:dyDescent="0.25">
      <c r="A14" s="12">
        <v>1921</v>
      </c>
      <c r="B14" s="8">
        <v>0.37287199999999998</v>
      </c>
    </row>
    <row r="15" spans="1:2" x14ac:dyDescent="0.25">
      <c r="A15" s="12">
        <v>1922</v>
      </c>
      <c r="B15" s="8">
        <v>0.36525200000000002</v>
      </c>
    </row>
    <row r="16" spans="1:2" x14ac:dyDescent="0.25">
      <c r="A16" s="12">
        <v>1923</v>
      </c>
      <c r="B16" s="8">
        <v>0.80264000000000002</v>
      </c>
    </row>
    <row r="17" spans="1:2" x14ac:dyDescent="0.25">
      <c r="A17" s="12">
        <v>1924</v>
      </c>
      <c r="B17" s="8">
        <v>0.51511200000000001</v>
      </c>
    </row>
    <row r="18" spans="1:2" x14ac:dyDescent="0.25">
      <c r="A18" s="12">
        <v>1925</v>
      </c>
      <c r="B18" s="8">
        <v>0.51815999999999995</v>
      </c>
    </row>
    <row r="19" spans="1:2" x14ac:dyDescent="0.25">
      <c r="A19" s="12">
        <v>1926</v>
      </c>
      <c r="B19" s="8">
        <v>0.51587399999999994</v>
      </c>
    </row>
    <row r="20" spans="1:2" x14ac:dyDescent="0.25">
      <c r="A20" s="12">
        <v>1927</v>
      </c>
      <c r="B20" s="8">
        <v>0.57962800000000003</v>
      </c>
    </row>
    <row r="21" spans="1:2" x14ac:dyDescent="0.25">
      <c r="A21" s="12">
        <v>1928</v>
      </c>
      <c r="B21" s="8">
        <v>0.74396599999999991</v>
      </c>
    </row>
    <row r="22" spans="1:2" x14ac:dyDescent="0.25">
      <c r="A22" s="12">
        <v>1929</v>
      </c>
      <c r="B22" s="8">
        <v>0.46202599999999999</v>
      </c>
    </row>
    <row r="23" spans="1:2" x14ac:dyDescent="0.25">
      <c r="A23" s="12">
        <v>1930</v>
      </c>
      <c r="B23" s="8">
        <v>0.67843399999999987</v>
      </c>
    </row>
    <row r="24" spans="1:2" x14ac:dyDescent="0.25">
      <c r="A24" s="12">
        <v>1931</v>
      </c>
      <c r="B24" s="8">
        <v>0.40716200000000002</v>
      </c>
    </row>
    <row r="25" spans="1:2" x14ac:dyDescent="0.25">
      <c r="A25" s="12">
        <v>1932</v>
      </c>
      <c r="B25" s="8">
        <v>0.43738800000000005</v>
      </c>
    </row>
    <row r="26" spans="1:2" x14ac:dyDescent="0.25">
      <c r="A26" s="12">
        <v>1933</v>
      </c>
      <c r="B26" s="8">
        <v>0.52069999999999994</v>
      </c>
    </row>
    <row r="27" spans="1:2" x14ac:dyDescent="0.25">
      <c r="A27" s="12">
        <v>1934</v>
      </c>
      <c r="B27" s="8">
        <v>0.34899599999999997</v>
      </c>
    </row>
    <row r="28" spans="1:2" x14ac:dyDescent="0.25">
      <c r="A28" s="12">
        <v>1935</v>
      </c>
      <c r="B28" s="8">
        <v>0.56006999999999996</v>
      </c>
    </row>
    <row r="29" spans="1:2" x14ac:dyDescent="0.25">
      <c r="A29" s="12">
        <v>1936</v>
      </c>
      <c r="B29" s="8">
        <v>0.37084</v>
      </c>
    </row>
    <row r="30" spans="1:2" x14ac:dyDescent="0.25">
      <c r="A30" s="12">
        <v>1937</v>
      </c>
      <c r="B30" s="8">
        <v>0.40944799999999992</v>
      </c>
    </row>
    <row r="31" spans="1:2" x14ac:dyDescent="0.25">
      <c r="A31" s="12">
        <v>1938</v>
      </c>
      <c r="B31" s="8">
        <v>0.46710600000000008</v>
      </c>
    </row>
    <row r="32" spans="1:2" x14ac:dyDescent="0.25">
      <c r="A32" s="12">
        <v>1939</v>
      </c>
      <c r="B32" s="8">
        <v>0.36702999999999991</v>
      </c>
    </row>
    <row r="33" spans="1:2" x14ac:dyDescent="0.25">
      <c r="A33" s="12">
        <v>1940</v>
      </c>
      <c r="B33" s="8">
        <v>0.42417999999999995</v>
      </c>
    </row>
    <row r="34" spans="1:2" x14ac:dyDescent="0.25">
      <c r="A34" s="12">
        <v>1941</v>
      </c>
      <c r="B34" s="8">
        <v>0.57835800000000004</v>
      </c>
    </row>
    <row r="35" spans="1:2" x14ac:dyDescent="0.25">
      <c r="A35" s="12">
        <v>1942</v>
      </c>
      <c r="B35" s="8">
        <v>0.63652399999999998</v>
      </c>
    </row>
    <row r="36" spans="1:2" x14ac:dyDescent="0.25">
      <c r="A36" s="12">
        <v>1943</v>
      </c>
      <c r="B36" s="8">
        <v>0.31876999999999994</v>
      </c>
    </row>
    <row r="37" spans="1:2" x14ac:dyDescent="0.25">
      <c r="A37" s="12">
        <v>1944</v>
      </c>
      <c r="B37" s="8">
        <v>0.59461400000000009</v>
      </c>
    </row>
    <row r="38" spans="1:2" x14ac:dyDescent="0.25">
      <c r="A38" s="12">
        <v>1945</v>
      </c>
      <c r="B38" s="8">
        <v>0.48742600000000008</v>
      </c>
    </row>
    <row r="39" spans="1:2" x14ac:dyDescent="0.25">
      <c r="A39" s="12">
        <v>1946</v>
      </c>
      <c r="B39" s="8">
        <v>0.63322200000000017</v>
      </c>
    </row>
    <row r="40" spans="1:2" x14ac:dyDescent="0.25">
      <c r="A40" s="12">
        <v>1947</v>
      </c>
      <c r="B40" s="8">
        <v>0.48767999999999989</v>
      </c>
    </row>
    <row r="41" spans="1:2" x14ac:dyDescent="0.25">
      <c r="A41" s="12">
        <v>1948</v>
      </c>
      <c r="B41" s="8">
        <v>0.45465999999999995</v>
      </c>
    </row>
    <row r="42" spans="1:2" x14ac:dyDescent="0.25">
      <c r="A42" s="12">
        <v>1949</v>
      </c>
      <c r="B42" s="8">
        <v>0.57683399999999996</v>
      </c>
    </row>
    <row r="43" spans="1:2" x14ac:dyDescent="0.25">
      <c r="A43" s="12">
        <v>1950</v>
      </c>
      <c r="B43" s="8">
        <v>0.47955200000000003</v>
      </c>
    </row>
    <row r="44" spans="1:2" x14ac:dyDescent="0.25">
      <c r="A44" s="12">
        <v>1951</v>
      </c>
      <c r="B44" s="8">
        <v>0.66700400000000015</v>
      </c>
    </row>
    <row r="45" spans="1:2" x14ac:dyDescent="0.25">
      <c r="A45" s="12">
        <v>1952</v>
      </c>
      <c r="B45" s="8">
        <v>0.37084</v>
      </c>
    </row>
    <row r="46" spans="1:2" x14ac:dyDescent="0.25">
      <c r="A46" s="12">
        <v>1953</v>
      </c>
      <c r="B46" s="8">
        <v>0.4216399999999999</v>
      </c>
    </row>
    <row r="47" spans="1:2" x14ac:dyDescent="0.25">
      <c r="A47" s="12">
        <v>1954</v>
      </c>
      <c r="B47" s="8">
        <v>0.31318200000000002</v>
      </c>
    </row>
    <row r="48" spans="1:2" x14ac:dyDescent="0.25">
      <c r="A48" s="12">
        <v>1955</v>
      </c>
      <c r="B48" s="8">
        <v>0.37236399999999992</v>
      </c>
    </row>
    <row r="49" spans="1:2" x14ac:dyDescent="0.25">
      <c r="A49" s="12">
        <v>1956</v>
      </c>
      <c r="B49" s="8">
        <v>0.36347400000000002</v>
      </c>
    </row>
    <row r="50" spans="1:2" x14ac:dyDescent="0.25">
      <c r="A50" s="12">
        <v>1957</v>
      </c>
      <c r="B50" s="8">
        <v>0.58978799999999987</v>
      </c>
    </row>
    <row r="51" spans="1:2" x14ac:dyDescent="0.25">
      <c r="A51" s="12">
        <v>1958</v>
      </c>
      <c r="B51" s="8">
        <v>0.56108599999999997</v>
      </c>
    </row>
    <row r="52" spans="1:2" x14ac:dyDescent="0.25">
      <c r="A52" s="12">
        <v>1959</v>
      </c>
      <c r="B52" s="8">
        <v>0.47244000000000003</v>
      </c>
    </row>
    <row r="53" spans="1:2" x14ac:dyDescent="0.25">
      <c r="A53" s="12">
        <v>1960</v>
      </c>
      <c r="B53" s="8">
        <v>0.44221399999999988</v>
      </c>
    </row>
    <row r="54" spans="1:2" x14ac:dyDescent="0.25">
      <c r="A54" s="12">
        <v>1961</v>
      </c>
      <c r="B54" s="8">
        <v>0.47955199999999998</v>
      </c>
    </row>
    <row r="55" spans="1:2" x14ac:dyDescent="0.25">
      <c r="A55" s="12">
        <v>1962</v>
      </c>
      <c r="B55" s="8">
        <v>0.66344799999999993</v>
      </c>
    </row>
    <row r="56" spans="1:2" x14ac:dyDescent="0.25">
      <c r="A56" s="12">
        <v>1963</v>
      </c>
      <c r="B56" s="8">
        <v>0.47447200000000006</v>
      </c>
    </row>
    <row r="57" spans="1:2" x14ac:dyDescent="0.25">
      <c r="A57" s="12">
        <v>1964</v>
      </c>
      <c r="B57" s="8">
        <v>0.39090600000000003</v>
      </c>
    </row>
    <row r="58" spans="1:2" x14ac:dyDescent="0.25">
      <c r="A58" s="12">
        <v>1965</v>
      </c>
      <c r="B58" s="8">
        <v>0.68656199999999989</v>
      </c>
    </row>
    <row r="59" spans="1:2" x14ac:dyDescent="0.25">
      <c r="A59" s="12">
        <v>1966</v>
      </c>
      <c r="B59" s="8">
        <v>0.47167799999999999</v>
      </c>
    </row>
    <row r="60" spans="1:2" x14ac:dyDescent="0.25">
      <c r="A60" s="12">
        <v>1967</v>
      </c>
      <c r="B60" s="8">
        <v>0.47574199999999989</v>
      </c>
    </row>
    <row r="61" spans="1:2" x14ac:dyDescent="0.25">
      <c r="A61" s="12">
        <v>1968</v>
      </c>
      <c r="B61" s="8">
        <v>0.39090599999999998</v>
      </c>
    </row>
    <row r="62" spans="1:2" x14ac:dyDescent="0.25">
      <c r="A62" s="12">
        <v>1969</v>
      </c>
      <c r="B62" s="8">
        <v>0.51155600000000012</v>
      </c>
    </row>
    <row r="63" spans="1:2" x14ac:dyDescent="0.25">
      <c r="A63" s="12">
        <v>1970</v>
      </c>
      <c r="B63" s="8">
        <v>0.35763199999999995</v>
      </c>
    </row>
    <row r="64" spans="1:2" x14ac:dyDescent="0.25">
      <c r="A64" s="12">
        <v>1971</v>
      </c>
      <c r="B64" s="8">
        <v>0.59207399999999999</v>
      </c>
    </row>
    <row r="65" spans="1:2" x14ac:dyDescent="0.25">
      <c r="A65" s="12">
        <v>1972</v>
      </c>
      <c r="B65" s="8">
        <v>0.47396400000000005</v>
      </c>
    </row>
    <row r="66" spans="1:2" x14ac:dyDescent="0.25">
      <c r="A66" s="12">
        <v>1973</v>
      </c>
      <c r="B66" s="8">
        <v>0.61518799999999996</v>
      </c>
    </row>
    <row r="67" spans="1:2" x14ac:dyDescent="0.25">
      <c r="A67" s="12">
        <v>1974</v>
      </c>
      <c r="B67" s="8">
        <v>0.37312600000000007</v>
      </c>
    </row>
    <row r="68" spans="1:2" x14ac:dyDescent="0.25">
      <c r="A68" s="12">
        <v>1975</v>
      </c>
      <c r="B68" s="8">
        <v>0.47472600000000004</v>
      </c>
    </row>
    <row r="69" spans="1:2" x14ac:dyDescent="0.25">
      <c r="A69" s="12">
        <v>1976</v>
      </c>
      <c r="B69" s="8">
        <v>0.39928799999999998</v>
      </c>
    </row>
    <row r="70" spans="1:2" x14ac:dyDescent="0.25">
      <c r="A70" s="12">
        <v>1977</v>
      </c>
      <c r="B70" s="8">
        <v>0.59156599999999993</v>
      </c>
    </row>
    <row r="71" spans="1:2" x14ac:dyDescent="0.25">
      <c r="A71" s="12">
        <v>1978</v>
      </c>
      <c r="B71" s="8">
        <v>0.38531799999999999</v>
      </c>
    </row>
    <row r="72" spans="1:2" x14ac:dyDescent="0.25">
      <c r="A72" s="12">
        <v>1979</v>
      </c>
      <c r="B72" s="8">
        <v>0.55956199999999989</v>
      </c>
    </row>
    <row r="73" spans="1:2" x14ac:dyDescent="0.25">
      <c r="A73" s="12">
        <v>1980</v>
      </c>
      <c r="B73" s="8">
        <v>0.4330699999999999</v>
      </c>
    </row>
    <row r="74" spans="1:2" x14ac:dyDescent="0.25">
      <c r="A74" s="12">
        <v>1981</v>
      </c>
      <c r="B74" s="8">
        <v>0.6337299999999999</v>
      </c>
    </row>
    <row r="75" spans="1:2" x14ac:dyDescent="0.25">
      <c r="A75" s="12">
        <v>1982</v>
      </c>
      <c r="B75" s="8">
        <v>0.59943999999999997</v>
      </c>
    </row>
    <row r="76" spans="1:2" x14ac:dyDescent="0.25">
      <c r="A76" s="12">
        <v>1983</v>
      </c>
      <c r="B76" s="8">
        <v>0.48158400000000001</v>
      </c>
    </row>
    <row r="77" spans="1:2" x14ac:dyDescent="0.25">
      <c r="A77" s="12">
        <v>1984</v>
      </c>
      <c r="B77" s="8">
        <v>0.53593999999999997</v>
      </c>
    </row>
    <row r="78" spans="1:2" x14ac:dyDescent="0.25">
      <c r="A78" s="12">
        <v>1985</v>
      </c>
      <c r="B78" s="8">
        <v>0.479298</v>
      </c>
    </row>
    <row r="79" spans="1:2" x14ac:dyDescent="0.25">
      <c r="A79" s="12">
        <v>1986</v>
      </c>
      <c r="B79" s="8">
        <v>0.45618399999999992</v>
      </c>
    </row>
    <row r="80" spans="1:2" x14ac:dyDescent="0.25">
      <c r="A80" s="12">
        <v>1987</v>
      </c>
      <c r="B80" s="8">
        <v>0.56692799999999999</v>
      </c>
    </row>
    <row r="81" spans="1:2" x14ac:dyDescent="0.25">
      <c r="A81" s="12">
        <v>1988</v>
      </c>
      <c r="B81" s="8">
        <v>0.51612800000000003</v>
      </c>
    </row>
    <row r="82" spans="1:2" x14ac:dyDescent="0.25">
      <c r="A82" s="12">
        <v>1989</v>
      </c>
      <c r="B82" s="8">
        <v>0.41071800000000003</v>
      </c>
    </row>
    <row r="83" spans="1:2" x14ac:dyDescent="0.25">
      <c r="A83" s="12">
        <v>1990</v>
      </c>
      <c r="B83" s="8">
        <v>0.43510199999999993</v>
      </c>
    </row>
    <row r="84" spans="1:2" x14ac:dyDescent="0.25">
      <c r="A84" s="12">
        <v>1991</v>
      </c>
      <c r="B84" s="8">
        <v>0.53822599999999998</v>
      </c>
    </row>
    <row r="85" spans="1:2" x14ac:dyDescent="0.25">
      <c r="A85" s="12">
        <v>1992</v>
      </c>
      <c r="B85" s="8">
        <v>0.56133999999999995</v>
      </c>
    </row>
    <row r="86" spans="1:2" x14ac:dyDescent="0.25">
      <c r="A86" s="12">
        <v>1993</v>
      </c>
      <c r="B86" s="8">
        <v>0.68706999999999985</v>
      </c>
    </row>
    <row r="87" spans="1:2" x14ac:dyDescent="0.25">
      <c r="A87" s="12">
        <v>1994</v>
      </c>
      <c r="B87" s="8">
        <v>0.48869599999999996</v>
      </c>
    </row>
    <row r="88" spans="1:2" x14ac:dyDescent="0.25">
      <c r="A88" s="12">
        <v>1995</v>
      </c>
      <c r="B88" s="8">
        <v>0.51587399999999983</v>
      </c>
    </row>
    <row r="89" spans="1:2" x14ac:dyDescent="0.25">
      <c r="A89" s="12">
        <v>1996</v>
      </c>
      <c r="B89" s="8">
        <v>0.63144400000000012</v>
      </c>
    </row>
    <row r="90" spans="1:2" x14ac:dyDescent="0.25">
      <c r="A90" s="12">
        <v>1997</v>
      </c>
      <c r="B90" s="8">
        <v>0.48260000000000008</v>
      </c>
    </row>
    <row r="91" spans="1:2" x14ac:dyDescent="0.25">
      <c r="A91" s="12">
        <v>1998</v>
      </c>
      <c r="B91" s="8">
        <v>0.47345599999999999</v>
      </c>
    </row>
    <row r="92" spans="1:2" x14ac:dyDescent="0.25">
      <c r="A92" s="12">
        <v>1999</v>
      </c>
      <c r="B92" s="8">
        <v>0.55168800000000018</v>
      </c>
    </row>
    <row r="93" spans="1:2" x14ac:dyDescent="0.25">
      <c r="A93" s="12">
        <v>2000</v>
      </c>
      <c r="B93" s="8">
        <v>0.44196000000000002</v>
      </c>
    </row>
    <row r="94" spans="1:2" x14ac:dyDescent="0.25">
      <c r="A94" s="12">
        <v>2001</v>
      </c>
      <c r="B94" s="8">
        <v>0.50952399999999998</v>
      </c>
    </row>
    <row r="95" spans="1:2" x14ac:dyDescent="0.25">
      <c r="A95" s="12">
        <v>2002</v>
      </c>
      <c r="B95" s="8">
        <v>0.29565599999999997</v>
      </c>
    </row>
    <row r="96" spans="1:2" x14ac:dyDescent="0.25">
      <c r="A96" s="12">
        <v>2003</v>
      </c>
      <c r="B96" s="8">
        <v>0.42621199999999992</v>
      </c>
    </row>
    <row r="97" spans="1:2" x14ac:dyDescent="0.25">
      <c r="A97" s="12">
        <v>2004</v>
      </c>
      <c r="B97" s="8">
        <v>0.58851799999999987</v>
      </c>
    </row>
    <row r="98" spans="1:2" x14ac:dyDescent="0.25">
      <c r="A98" s="12">
        <v>2005</v>
      </c>
      <c r="B98" s="8">
        <v>0.52857399999999999</v>
      </c>
    </row>
    <row r="99" spans="1:2" x14ac:dyDescent="0.25">
      <c r="A99" s="12">
        <v>2006</v>
      </c>
      <c r="B99" s="8">
        <v>0.481076</v>
      </c>
    </row>
    <row r="100" spans="1:2" x14ac:dyDescent="0.25">
      <c r="A100" s="12">
        <v>2007</v>
      </c>
      <c r="B100" s="8">
        <v>0.654304</v>
      </c>
    </row>
    <row r="101" spans="1:2" x14ac:dyDescent="0.25">
      <c r="A101" s="12">
        <v>2008</v>
      </c>
      <c r="B101" s="8">
        <v>0.61137799999999998</v>
      </c>
    </row>
    <row r="102" spans="1:2" x14ac:dyDescent="0.25">
      <c r="A102" s="12">
        <v>2009</v>
      </c>
      <c r="B102" s="8">
        <v>0.65481199999999995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"/>
  <sheetViews>
    <sheetView zoomScale="80" zoomScaleNormal="80" workbookViewId="0">
      <selection activeCell="B2" sqref="B2"/>
    </sheetView>
  </sheetViews>
  <sheetFormatPr defaultRowHeight="15" x14ac:dyDescent="0.25"/>
  <cols>
    <col min="1" max="1" width="9.140625" style="11"/>
    <col min="2" max="2" width="20" bestFit="1" customWidth="1"/>
    <col min="3" max="3" width="20" style="2" customWidth="1"/>
    <col min="4" max="4" width="17.28515625" bestFit="1" customWidth="1"/>
    <col min="5" max="5" width="17.28515625" style="2" customWidth="1"/>
    <col min="6" max="6" width="17.85546875" bestFit="1" customWidth="1"/>
    <col min="7" max="7" width="17.85546875" style="2" customWidth="1"/>
    <col min="8" max="8" width="17.7109375" bestFit="1" customWidth="1"/>
    <col min="9" max="9" width="18.85546875" bestFit="1" customWidth="1"/>
    <col min="11" max="11" width="5.140625" customWidth="1"/>
    <col min="12" max="12" width="20" bestFit="1" customWidth="1"/>
    <col min="13" max="13" width="16.28515625" bestFit="1" customWidth="1"/>
    <col min="14" max="14" width="17.28515625" bestFit="1" customWidth="1"/>
    <col min="15" max="15" width="18.42578125" bestFit="1" customWidth="1"/>
    <col min="16" max="16" width="17.85546875" bestFit="1" customWidth="1"/>
    <col min="17" max="17" width="19.140625" bestFit="1" customWidth="1"/>
    <col min="18" max="18" width="17.7109375" bestFit="1" customWidth="1"/>
    <col min="19" max="19" width="18.85546875" bestFit="1" customWidth="1"/>
    <col min="21" max="21" width="5.140625" customWidth="1"/>
    <col min="22" max="22" width="20" bestFit="1" customWidth="1"/>
    <col min="23" max="23" width="16.28515625" bestFit="1" customWidth="1"/>
    <col min="24" max="24" width="17.28515625" bestFit="1" customWidth="1"/>
    <col min="25" max="25" width="18.42578125" bestFit="1" customWidth="1"/>
    <col min="26" max="26" width="17.85546875" bestFit="1" customWidth="1"/>
    <col min="27" max="27" width="5.140625" bestFit="1" customWidth="1"/>
    <col min="28" max="28" width="17.7109375" bestFit="1" customWidth="1"/>
    <col min="29" max="29" width="18.85546875" bestFit="1" customWidth="1"/>
    <col min="30" max="30" width="17.28515625" style="14" bestFit="1" customWidth="1"/>
    <col min="31" max="31" width="18.42578125" bestFit="1" customWidth="1"/>
  </cols>
  <sheetData>
    <row r="1" spans="1:31" ht="18.75" x14ac:dyDescent="0.3">
      <c r="B1" s="13" t="s">
        <v>71</v>
      </c>
    </row>
    <row r="2" spans="1:31" x14ac:dyDescent="0.25">
      <c r="B2" s="27" t="s">
        <v>22</v>
      </c>
      <c r="C2" s="27"/>
      <c r="D2" s="28"/>
      <c r="E2" s="28"/>
      <c r="F2" s="28"/>
      <c r="G2" s="28"/>
      <c r="H2" s="28"/>
      <c r="I2" s="28"/>
      <c r="K2" s="11"/>
      <c r="L2" s="29" t="s">
        <v>22</v>
      </c>
      <c r="M2" s="29"/>
      <c r="N2" s="30"/>
      <c r="O2" s="30"/>
      <c r="P2" s="30"/>
      <c r="Q2" s="30"/>
      <c r="R2" s="30"/>
      <c r="S2" s="30"/>
      <c r="U2" s="11"/>
      <c r="V2" s="31" t="s">
        <v>33</v>
      </c>
      <c r="W2" s="31"/>
      <c r="X2" s="32"/>
      <c r="Y2" s="32"/>
      <c r="Z2" s="34"/>
      <c r="AA2" s="11"/>
      <c r="AB2" s="36" t="s">
        <v>33</v>
      </c>
      <c r="AC2" s="36"/>
      <c r="AD2" s="37"/>
      <c r="AE2" s="38"/>
    </row>
    <row r="3" spans="1:31" x14ac:dyDescent="0.25">
      <c r="B3" s="27" t="s">
        <v>23</v>
      </c>
      <c r="C3" s="27"/>
      <c r="D3" s="28"/>
      <c r="E3" s="28"/>
      <c r="F3" s="28"/>
      <c r="G3" s="28"/>
      <c r="H3" s="28"/>
      <c r="I3" s="28"/>
      <c r="K3" s="11"/>
      <c r="L3" s="29" t="s">
        <v>32</v>
      </c>
      <c r="M3" s="29"/>
      <c r="N3" s="30"/>
      <c r="O3" s="30"/>
      <c r="P3" s="30"/>
      <c r="Q3" s="30"/>
      <c r="R3" s="30"/>
      <c r="S3" s="30"/>
      <c r="U3" s="11"/>
      <c r="V3" s="31" t="s">
        <v>23</v>
      </c>
      <c r="W3" s="31"/>
      <c r="X3" s="32"/>
      <c r="Y3" s="32"/>
      <c r="Z3" s="34"/>
      <c r="AA3" s="11"/>
      <c r="AB3" s="36" t="s">
        <v>32</v>
      </c>
      <c r="AC3" s="36"/>
      <c r="AD3" s="37"/>
      <c r="AE3" s="38"/>
    </row>
    <row r="4" spans="1:31" s="12" customFormat="1" ht="17.25" x14ac:dyDescent="0.25">
      <c r="A4" s="12" t="s">
        <v>7</v>
      </c>
      <c r="B4" s="27" t="s">
        <v>24</v>
      </c>
      <c r="C4" s="27" t="s">
        <v>28</v>
      </c>
      <c r="D4" s="27" t="s">
        <v>25</v>
      </c>
      <c r="E4" s="27" t="s">
        <v>29</v>
      </c>
      <c r="F4" s="27" t="s">
        <v>26</v>
      </c>
      <c r="G4" s="27" t="s">
        <v>30</v>
      </c>
      <c r="H4" s="27" t="s">
        <v>27</v>
      </c>
      <c r="I4" s="27" t="s">
        <v>31</v>
      </c>
      <c r="K4" s="12" t="s">
        <v>7</v>
      </c>
      <c r="L4" s="29" t="s">
        <v>24</v>
      </c>
      <c r="M4" s="29" t="s">
        <v>28</v>
      </c>
      <c r="N4" s="29" t="s">
        <v>25</v>
      </c>
      <c r="O4" s="29" t="s">
        <v>29</v>
      </c>
      <c r="P4" s="29" t="s">
        <v>26</v>
      </c>
      <c r="Q4" s="29" t="s">
        <v>30</v>
      </c>
      <c r="R4" s="29" t="s">
        <v>27</v>
      </c>
      <c r="S4" s="29" t="s">
        <v>31</v>
      </c>
      <c r="U4" s="12" t="s">
        <v>7</v>
      </c>
      <c r="V4" s="31" t="s">
        <v>24</v>
      </c>
      <c r="W4" s="31" t="s">
        <v>28</v>
      </c>
      <c r="X4" s="31" t="s">
        <v>25</v>
      </c>
      <c r="Y4" s="31" t="s">
        <v>29</v>
      </c>
      <c r="Z4" s="35"/>
      <c r="AA4" s="12" t="s">
        <v>7</v>
      </c>
      <c r="AB4" s="36" t="s">
        <v>24</v>
      </c>
      <c r="AC4" s="36" t="s">
        <v>28</v>
      </c>
      <c r="AD4" s="39" t="s">
        <v>25</v>
      </c>
      <c r="AE4" s="36" t="s">
        <v>29</v>
      </c>
    </row>
    <row r="5" spans="1:31" x14ac:dyDescent="0.25">
      <c r="A5" s="12">
        <v>1910</v>
      </c>
      <c r="B5" s="14">
        <v>768804296.17014742</v>
      </c>
      <c r="C5" s="14">
        <f>B5*0.000000001</f>
        <v>0.76880429617014745</v>
      </c>
      <c r="D5" s="14">
        <v>501751607.88185269</v>
      </c>
      <c r="E5" s="14">
        <f>D5*0.000000001</f>
        <v>0.50175160788185269</v>
      </c>
      <c r="F5" s="14"/>
      <c r="G5" s="14"/>
      <c r="H5" s="14"/>
      <c r="I5" s="14"/>
      <c r="K5" s="12">
        <v>1910</v>
      </c>
      <c r="L5" s="14">
        <v>452782990.74847788</v>
      </c>
      <c r="M5" s="14">
        <v>452.78299074847786</v>
      </c>
      <c r="N5" s="14">
        <v>611467872.56466949</v>
      </c>
      <c r="O5" s="14">
        <v>611.46787256466951</v>
      </c>
      <c r="P5" s="14"/>
      <c r="Q5" s="14"/>
      <c r="R5" s="14"/>
      <c r="S5" s="14"/>
      <c r="U5" s="12">
        <v>1910</v>
      </c>
      <c r="V5" s="14">
        <v>768804296.17014742</v>
      </c>
      <c r="W5" s="14">
        <f>V5*0.000000001</f>
        <v>0.76880429617014745</v>
      </c>
      <c r="X5" s="14">
        <v>501751607.88185269</v>
      </c>
      <c r="Y5" s="14">
        <f>X5*0.000000001</f>
        <v>0.50175160788185269</v>
      </c>
      <c r="AA5" s="12">
        <v>1910</v>
      </c>
      <c r="AB5" s="14">
        <v>452782990.74847788</v>
      </c>
      <c r="AC5" s="14">
        <v>452.78299074847786</v>
      </c>
      <c r="AD5" s="14">
        <v>611467872.56466949</v>
      </c>
      <c r="AE5" s="14">
        <v>611.46787256466951</v>
      </c>
    </row>
    <row r="6" spans="1:31" x14ac:dyDescent="0.25">
      <c r="A6" s="12">
        <v>1911</v>
      </c>
      <c r="B6" s="14">
        <v>756902855.97368407</v>
      </c>
      <c r="C6" s="14">
        <f t="shared" ref="C6:C69" si="0">B6*0.000000001</f>
        <v>0.75690285597368412</v>
      </c>
      <c r="D6" s="14">
        <v>512937239.48151582</v>
      </c>
      <c r="E6" s="14">
        <f t="shared" ref="E6:E69" si="1">D6*0.000000001</f>
        <v>0.51293723948151582</v>
      </c>
      <c r="F6" s="14"/>
      <c r="G6" s="14"/>
      <c r="H6" s="14"/>
      <c r="I6" s="14"/>
      <c r="K6" s="12">
        <v>1911</v>
      </c>
      <c r="L6" s="14">
        <v>445900713.54674739</v>
      </c>
      <c r="M6" s="14">
        <v>445.9007135467474</v>
      </c>
      <c r="N6" s="14">
        <v>624601377.51785696</v>
      </c>
      <c r="O6" s="14">
        <v>624.60137751785692</v>
      </c>
      <c r="P6" s="14"/>
      <c r="Q6" s="14"/>
      <c r="R6" s="14"/>
      <c r="S6" s="14"/>
      <c r="U6" s="12">
        <v>1911</v>
      </c>
      <c r="V6" s="14">
        <v>756902855.97368407</v>
      </c>
      <c r="W6" s="14">
        <f t="shared" ref="W6:W69" si="2">V6*0.000000001</f>
        <v>0.75690285597368412</v>
      </c>
      <c r="X6" s="14">
        <v>512937239.48151582</v>
      </c>
      <c r="Y6" s="14">
        <f t="shared" ref="Y6:Y69" si="3">X6*0.000000001</f>
        <v>0.51293723948151582</v>
      </c>
      <c r="AA6" s="12">
        <v>1911</v>
      </c>
      <c r="AB6" s="14">
        <v>445900713.54674739</v>
      </c>
      <c r="AC6" s="14">
        <v>445.9007135467474</v>
      </c>
      <c r="AD6" s="14">
        <v>624601377.51785696</v>
      </c>
      <c r="AE6" s="14">
        <v>624.60137751785692</v>
      </c>
    </row>
    <row r="7" spans="1:31" x14ac:dyDescent="0.25">
      <c r="A7" s="12">
        <v>1912</v>
      </c>
      <c r="B7" s="14">
        <v>783566588.47802103</v>
      </c>
      <c r="C7" s="14">
        <f t="shared" si="0"/>
        <v>0.78356658847802108</v>
      </c>
      <c r="D7" s="14">
        <v>486487666.80837888</v>
      </c>
      <c r="E7" s="14">
        <f t="shared" si="1"/>
        <v>0.4864876668083789</v>
      </c>
      <c r="F7" s="14"/>
      <c r="G7" s="14"/>
      <c r="H7" s="14"/>
      <c r="I7" s="14"/>
      <c r="K7" s="12">
        <v>1912</v>
      </c>
      <c r="L7" s="14">
        <v>456842794.99429691</v>
      </c>
      <c r="M7" s="14">
        <v>456.84279499429692</v>
      </c>
      <c r="N7" s="14">
        <v>603826023.29556417</v>
      </c>
      <c r="O7" s="14">
        <v>603.82602329556414</v>
      </c>
      <c r="P7" s="14"/>
      <c r="Q7" s="14"/>
      <c r="R7" s="14"/>
      <c r="S7" s="14"/>
      <c r="U7" s="12">
        <v>1912</v>
      </c>
      <c r="V7" s="14">
        <v>783566588.47802103</v>
      </c>
      <c r="W7" s="14">
        <f t="shared" si="2"/>
        <v>0.78356658847802108</v>
      </c>
      <c r="X7" s="14">
        <v>486487666.80837888</v>
      </c>
      <c r="Y7" s="14">
        <f t="shared" si="3"/>
        <v>0.4864876668083789</v>
      </c>
      <c r="AA7" s="12">
        <v>1912</v>
      </c>
      <c r="AB7" s="14">
        <v>456842794.99429691</v>
      </c>
      <c r="AC7" s="14">
        <v>456.84279499429692</v>
      </c>
      <c r="AD7" s="14">
        <v>603826023.29556417</v>
      </c>
      <c r="AE7" s="14">
        <v>603.82602329556414</v>
      </c>
    </row>
    <row r="8" spans="1:31" x14ac:dyDescent="0.25">
      <c r="A8" s="12">
        <v>1913</v>
      </c>
      <c r="B8" s="14">
        <v>779286958.15368414</v>
      </c>
      <c r="C8" s="14">
        <f t="shared" si="0"/>
        <v>0.77928695815368421</v>
      </c>
      <c r="D8" s="14">
        <v>491493303.81671578</v>
      </c>
      <c r="E8" s="14">
        <f t="shared" si="1"/>
        <v>0.4914933038167158</v>
      </c>
      <c r="F8" s="14"/>
      <c r="G8" s="14"/>
      <c r="H8" s="14"/>
      <c r="I8" s="14"/>
      <c r="K8" s="12">
        <v>1913</v>
      </c>
      <c r="L8" s="14">
        <v>456732150.64654744</v>
      </c>
      <c r="M8" s="14">
        <v>456.73215064654744</v>
      </c>
      <c r="N8" s="14">
        <v>603985609.85997689</v>
      </c>
      <c r="O8" s="14">
        <v>603.98560985997688</v>
      </c>
      <c r="P8" s="14"/>
      <c r="Q8" s="14"/>
      <c r="R8" s="14"/>
      <c r="S8" s="14"/>
      <c r="U8" s="12">
        <v>1913</v>
      </c>
      <c r="V8" s="14">
        <v>779286958.15368414</v>
      </c>
      <c r="W8" s="14">
        <f t="shared" si="2"/>
        <v>0.77928695815368421</v>
      </c>
      <c r="X8" s="14">
        <v>491493303.81671578</v>
      </c>
      <c r="Y8" s="14">
        <f t="shared" si="3"/>
        <v>0.4914933038167158</v>
      </c>
      <c r="AA8" s="12">
        <v>1913</v>
      </c>
      <c r="AB8" s="14">
        <v>456732150.64654744</v>
      </c>
      <c r="AC8" s="14">
        <v>456.73215064654744</v>
      </c>
      <c r="AD8" s="14">
        <v>603985609.85997689</v>
      </c>
      <c r="AE8" s="14">
        <v>603.98560985997688</v>
      </c>
    </row>
    <row r="9" spans="1:31" x14ac:dyDescent="0.25">
      <c r="A9" s="12">
        <v>1914</v>
      </c>
      <c r="B9" s="14">
        <v>773082514.50454736</v>
      </c>
      <c r="C9" s="14">
        <f t="shared" si="0"/>
        <v>0.77308251450454746</v>
      </c>
      <c r="D9" s="14">
        <v>497584597.26025254</v>
      </c>
      <c r="E9" s="14">
        <f t="shared" si="1"/>
        <v>0.49758459726025256</v>
      </c>
      <c r="F9" s="14"/>
      <c r="G9" s="14"/>
      <c r="H9" s="14"/>
      <c r="I9" s="14"/>
      <c r="K9" s="12">
        <v>1914</v>
      </c>
      <c r="L9" s="14">
        <v>458830505.09031785</v>
      </c>
      <c r="M9" s="14">
        <v>458.83050509031784</v>
      </c>
      <c r="N9" s="14">
        <v>599822211.68470943</v>
      </c>
      <c r="O9" s="14">
        <v>599.82221168470949</v>
      </c>
      <c r="P9" s="14"/>
      <c r="Q9" s="14"/>
      <c r="R9" s="14"/>
      <c r="S9" s="14"/>
      <c r="U9" s="12">
        <v>1914</v>
      </c>
      <c r="V9" s="14">
        <v>773082514.50454736</v>
      </c>
      <c r="W9" s="14">
        <f t="shared" si="2"/>
        <v>0.77308251450454746</v>
      </c>
      <c r="X9" s="14">
        <v>497584597.26025254</v>
      </c>
      <c r="Y9" s="14">
        <f t="shared" si="3"/>
        <v>0.49758459726025256</v>
      </c>
      <c r="AA9" s="12">
        <v>1914</v>
      </c>
      <c r="AB9" s="14">
        <v>458830505.09031785</v>
      </c>
      <c r="AC9" s="14">
        <v>458.83050509031784</v>
      </c>
      <c r="AD9" s="14">
        <v>599822211.68470943</v>
      </c>
      <c r="AE9" s="14">
        <v>599.82221168470949</v>
      </c>
    </row>
    <row r="10" spans="1:31" x14ac:dyDescent="0.25">
      <c r="A10" s="12">
        <v>1915</v>
      </c>
      <c r="B10" s="14">
        <v>811949455.70366299</v>
      </c>
      <c r="C10" s="14">
        <f t="shared" si="0"/>
        <v>0.81194945570366306</v>
      </c>
      <c r="D10" s="14">
        <v>458661323.7699368</v>
      </c>
      <c r="E10" s="14">
        <f t="shared" si="1"/>
        <v>0.45866132376993685</v>
      </c>
      <c r="F10" s="14"/>
      <c r="G10" s="14"/>
      <c r="H10" s="14"/>
      <c r="I10" s="14"/>
      <c r="K10" s="12">
        <v>1915</v>
      </c>
      <c r="L10" s="14">
        <v>483933570.71485049</v>
      </c>
      <c r="M10" s="14">
        <v>483.93357071485048</v>
      </c>
      <c r="N10" s="14">
        <v>551802417.7149725</v>
      </c>
      <c r="O10" s="14">
        <v>551.80241771497253</v>
      </c>
      <c r="P10" s="14"/>
      <c r="Q10" s="14"/>
      <c r="R10" s="14"/>
      <c r="S10" s="14"/>
      <c r="U10" s="12">
        <v>1915</v>
      </c>
      <c r="V10" s="14">
        <v>811949455.70366299</v>
      </c>
      <c r="W10" s="14">
        <f t="shared" si="2"/>
        <v>0.81194945570366306</v>
      </c>
      <c r="X10" s="14">
        <v>458661323.7699368</v>
      </c>
      <c r="Y10" s="14">
        <f t="shared" si="3"/>
        <v>0.45866132376993685</v>
      </c>
      <c r="AA10" s="12">
        <v>1915</v>
      </c>
      <c r="AB10" s="14">
        <v>483933570.71485049</v>
      </c>
      <c r="AC10" s="14">
        <v>483.93357071485048</v>
      </c>
      <c r="AD10" s="14">
        <v>551802417.7149725</v>
      </c>
      <c r="AE10" s="14">
        <v>551.80241771497253</v>
      </c>
    </row>
    <row r="11" spans="1:31" x14ac:dyDescent="0.25">
      <c r="A11" s="12">
        <v>1916</v>
      </c>
      <c r="B11" s="14">
        <v>783361951.04762101</v>
      </c>
      <c r="C11" s="14">
        <f t="shared" si="0"/>
        <v>0.78336195104762107</v>
      </c>
      <c r="D11" s="14">
        <v>487382374.80597895</v>
      </c>
      <c r="E11" s="14">
        <f t="shared" si="1"/>
        <v>0.48738237480597896</v>
      </c>
      <c r="F11" s="14"/>
      <c r="G11" s="14"/>
      <c r="H11" s="14"/>
      <c r="I11" s="14"/>
      <c r="K11" s="12">
        <v>1916</v>
      </c>
      <c r="L11" s="14">
        <v>460201002.8908568</v>
      </c>
      <c r="M11" s="14">
        <v>460.20100289085678</v>
      </c>
      <c r="N11" s="14">
        <v>597329316.57512426</v>
      </c>
      <c r="O11" s="14">
        <v>597.32931657512427</v>
      </c>
      <c r="P11" s="14"/>
      <c r="Q11" s="14"/>
      <c r="R11" s="14"/>
      <c r="S11" s="14"/>
      <c r="U11" s="12">
        <v>1916</v>
      </c>
      <c r="V11" s="14">
        <v>783361951.04762101</v>
      </c>
      <c r="W11" s="14">
        <f t="shared" si="2"/>
        <v>0.78336195104762107</v>
      </c>
      <c r="X11" s="14">
        <v>487382374.80597895</v>
      </c>
      <c r="Y11" s="14">
        <f t="shared" si="3"/>
        <v>0.48738237480597896</v>
      </c>
      <c r="AA11" s="12">
        <v>1916</v>
      </c>
      <c r="AB11" s="14">
        <v>460201002.8908568</v>
      </c>
      <c r="AC11" s="14">
        <v>460.20100289085678</v>
      </c>
      <c r="AD11" s="14">
        <v>597329316.57512426</v>
      </c>
      <c r="AE11" s="14">
        <v>597.32931657512427</v>
      </c>
    </row>
    <row r="12" spans="1:31" x14ac:dyDescent="0.25">
      <c r="A12" s="12">
        <v>1917</v>
      </c>
      <c r="B12" s="14">
        <v>792232564.03587353</v>
      </c>
      <c r="C12" s="14">
        <f t="shared" si="0"/>
        <v>0.79223256403587361</v>
      </c>
      <c r="D12" s="14">
        <v>478490394.3969264</v>
      </c>
      <c r="E12" s="14">
        <f t="shared" si="1"/>
        <v>0.47849039439692642</v>
      </c>
      <c r="F12" s="14"/>
      <c r="G12" s="14"/>
      <c r="H12" s="14"/>
      <c r="I12" s="14"/>
      <c r="K12" s="12">
        <v>1917</v>
      </c>
      <c r="L12" s="14">
        <v>464300222.59621894</v>
      </c>
      <c r="M12" s="14">
        <v>464.30022259621893</v>
      </c>
      <c r="N12" s="14">
        <v>589527109.16713476</v>
      </c>
      <c r="O12" s="14">
        <v>589.52710916713477</v>
      </c>
      <c r="P12" s="14"/>
      <c r="Q12" s="14"/>
      <c r="R12" s="14"/>
      <c r="S12" s="14"/>
      <c r="U12" s="12">
        <v>1917</v>
      </c>
      <c r="V12" s="14">
        <v>792232564.03587353</v>
      </c>
      <c r="W12" s="14">
        <f t="shared" si="2"/>
        <v>0.79223256403587361</v>
      </c>
      <c r="X12" s="14">
        <v>478490394.3969264</v>
      </c>
      <c r="Y12" s="14">
        <f t="shared" si="3"/>
        <v>0.47849039439692642</v>
      </c>
      <c r="AA12" s="12">
        <v>1917</v>
      </c>
      <c r="AB12" s="14">
        <v>464300222.59621894</v>
      </c>
      <c r="AC12" s="14">
        <v>464.30022259621893</v>
      </c>
      <c r="AD12" s="14">
        <v>589527109.16713476</v>
      </c>
      <c r="AE12" s="14">
        <v>589.52710916713477</v>
      </c>
    </row>
    <row r="13" spans="1:31" x14ac:dyDescent="0.25">
      <c r="A13" s="12">
        <v>1918</v>
      </c>
      <c r="B13" s="14">
        <v>795705095.02972615</v>
      </c>
      <c r="C13" s="14">
        <f t="shared" si="0"/>
        <v>0.79570509502972619</v>
      </c>
      <c r="D13" s="14">
        <v>474931908.09667367</v>
      </c>
      <c r="E13" s="14">
        <f t="shared" si="1"/>
        <v>0.47493190809667368</v>
      </c>
      <c r="F13" s="14"/>
      <c r="G13" s="14"/>
      <c r="H13" s="14"/>
      <c r="I13" s="14"/>
      <c r="K13" s="12">
        <v>1918</v>
      </c>
      <c r="L13" s="14">
        <v>475032711.30914104</v>
      </c>
      <c r="M13" s="14">
        <v>475.03271130914106</v>
      </c>
      <c r="N13" s="14">
        <v>568790556.28682518</v>
      </c>
      <c r="O13" s="14">
        <v>568.79055628682522</v>
      </c>
      <c r="P13" s="14"/>
      <c r="Q13" s="14"/>
      <c r="R13" s="14"/>
      <c r="S13" s="14"/>
      <c r="U13" s="12">
        <v>1918</v>
      </c>
      <c r="V13" s="14">
        <v>795705095.02972615</v>
      </c>
      <c r="W13" s="14">
        <f t="shared" si="2"/>
        <v>0.79570509502972619</v>
      </c>
      <c r="X13" s="14">
        <v>474931908.09667367</v>
      </c>
      <c r="Y13" s="14">
        <f t="shared" si="3"/>
        <v>0.47493190809667368</v>
      </c>
      <c r="AA13" s="12">
        <v>1918</v>
      </c>
      <c r="AB13" s="14">
        <v>475032711.30914104</v>
      </c>
      <c r="AC13" s="14">
        <v>475.03271130914106</v>
      </c>
      <c r="AD13" s="14">
        <v>568790556.28682518</v>
      </c>
      <c r="AE13" s="14">
        <v>568.79055628682522</v>
      </c>
    </row>
    <row r="14" spans="1:31" x14ac:dyDescent="0.25">
      <c r="A14" s="12">
        <v>1919</v>
      </c>
      <c r="B14" s="14">
        <v>770969263.64067352</v>
      </c>
      <c r="C14" s="14">
        <f t="shared" si="0"/>
        <v>0.77096926364067353</v>
      </c>
      <c r="D14" s="14">
        <v>499559445.51212633</v>
      </c>
      <c r="E14" s="14">
        <f t="shared" si="1"/>
        <v>0.49955944551212633</v>
      </c>
      <c r="F14" s="14"/>
      <c r="G14" s="14"/>
      <c r="H14" s="14"/>
      <c r="I14" s="14"/>
      <c r="K14" s="12">
        <v>1919</v>
      </c>
      <c r="L14" s="14">
        <v>466186913.26989895</v>
      </c>
      <c r="M14" s="14">
        <v>466.18691326989892</v>
      </c>
      <c r="N14" s="14">
        <v>585537181.00545478</v>
      </c>
      <c r="O14" s="14">
        <v>585.53718100545473</v>
      </c>
      <c r="P14" s="14"/>
      <c r="Q14" s="14"/>
      <c r="R14" s="14"/>
      <c r="S14" s="14"/>
      <c r="U14" s="12">
        <v>1919</v>
      </c>
      <c r="V14" s="14">
        <v>770969263.64067352</v>
      </c>
      <c r="W14" s="14">
        <f t="shared" si="2"/>
        <v>0.77096926364067353</v>
      </c>
      <c r="X14" s="14">
        <v>499559445.51212633</v>
      </c>
      <c r="Y14" s="14">
        <f t="shared" si="3"/>
        <v>0.49955944551212633</v>
      </c>
      <c r="AA14" s="12">
        <v>1919</v>
      </c>
      <c r="AB14" s="14">
        <v>466186913.26989895</v>
      </c>
      <c r="AC14" s="14">
        <v>466.18691326989892</v>
      </c>
      <c r="AD14" s="14">
        <v>585537181.00545478</v>
      </c>
      <c r="AE14" s="14">
        <v>585.53718100545473</v>
      </c>
    </row>
    <row r="15" spans="1:31" x14ac:dyDescent="0.25">
      <c r="A15" s="12">
        <v>1920</v>
      </c>
      <c r="B15" s="14">
        <v>768222958.3989892</v>
      </c>
      <c r="C15" s="14">
        <f t="shared" si="0"/>
        <v>0.76822295839898924</v>
      </c>
      <c r="D15" s="14">
        <v>502297980.78261048</v>
      </c>
      <c r="E15" s="14">
        <f t="shared" si="1"/>
        <v>0.50229798078261045</v>
      </c>
      <c r="F15" s="14"/>
      <c r="G15" s="14"/>
      <c r="H15" s="14"/>
      <c r="I15" s="14"/>
      <c r="K15" s="12">
        <v>1920</v>
      </c>
      <c r="L15" s="14">
        <v>464450502.96175158</v>
      </c>
      <c r="M15" s="14">
        <v>464.45050296175157</v>
      </c>
      <c r="N15" s="14">
        <v>588857672.34039783</v>
      </c>
      <c r="O15" s="14">
        <v>588.85767234039781</v>
      </c>
      <c r="P15" s="14"/>
      <c r="Q15" s="14"/>
      <c r="R15" s="14"/>
      <c r="S15" s="14"/>
      <c r="U15" s="12">
        <v>1920</v>
      </c>
      <c r="V15" s="14">
        <v>768222958.3989892</v>
      </c>
      <c r="W15" s="14">
        <f t="shared" si="2"/>
        <v>0.76822295839898924</v>
      </c>
      <c r="X15" s="14">
        <v>502297980.78261048</v>
      </c>
      <c r="Y15" s="14">
        <f t="shared" si="3"/>
        <v>0.50229798078261045</v>
      </c>
      <c r="AA15" s="12">
        <v>1920</v>
      </c>
      <c r="AB15" s="14">
        <v>464450502.96175158</v>
      </c>
      <c r="AC15" s="14">
        <v>464.45050296175157</v>
      </c>
      <c r="AD15" s="14">
        <v>588857672.34039783</v>
      </c>
      <c r="AE15" s="14">
        <v>588.85767234039781</v>
      </c>
    </row>
    <row r="16" spans="1:31" x14ac:dyDescent="0.25">
      <c r="A16" s="12">
        <v>1921</v>
      </c>
      <c r="B16" s="14">
        <v>760869053.25890505</v>
      </c>
      <c r="C16" s="14">
        <f t="shared" si="0"/>
        <v>0.76086905325890508</v>
      </c>
      <c r="D16" s="14">
        <v>509646544.06749469</v>
      </c>
      <c r="E16" s="14">
        <f t="shared" si="1"/>
        <v>0.50964654406749477</v>
      </c>
      <c r="F16" s="14"/>
      <c r="G16" s="14"/>
      <c r="H16" s="14"/>
      <c r="I16" s="14"/>
      <c r="K16" s="12">
        <v>1921</v>
      </c>
      <c r="L16" s="14">
        <v>457034601.78796422</v>
      </c>
      <c r="M16" s="14">
        <v>457.03460178796422</v>
      </c>
      <c r="N16" s="14">
        <v>603107695.00958097</v>
      </c>
      <c r="O16" s="14">
        <v>603.10769500958099</v>
      </c>
      <c r="P16" s="14"/>
      <c r="Q16" s="14"/>
      <c r="R16" s="14"/>
      <c r="S16" s="14"/>
      <c r="U16" s="12">
        <v>1921</v>
      </c>
      <c r="V16" s="14">
        <v>760869053.25890505</v>
      </c>
      <c r="W16" s="14">
        <f t="shared" si="2"/>
        <v>0.76086905325890508</v>
      </c>
      <c r="X16" s="14">
        <v>509646544.06749469</v>
      </c>
      <c r="Y16" s="14">
        <f t="shared" si="3"/>
        <v>0.50964654406749477</v>
      </c>
      <c r="AA16" s="12">
        <v>1921</v>
      </c>
      <c r="AB16" s="14">
        <v>457034601.78796422</v>
      </c>
      <c r="AC16" s="14">
        <v>457.03460178796422</v>
      </c>
      <c r="AD16" s="14">
        <v>603107695.00958097</v>
      </c>
      <c r="AE16" s="14">
        <v>603.10769500958099</v>
      </c>
    </row>
    <row r="17" spans="1:31" x14ac:dyDescent="0.25">
      <c r="A17" s="12">
        <v>1922</v>
      </c>
      <c r="B17" s="14">
        <v>752803572.61018932</v>
      </c>
      <c r="C17" s="14">
        <f t="shared" si="0"/>
        <v>0.75280357261018938</v>
      </c>
      <c r="D17" s="14">
        <v>517860139.79221058</v>
      </c>
      <c r="E17" s="14">
        <f t="shared" si="1"/>
        <v>0.51786013979221057</v>
      </c>
      <c r="F17" s="14"/>
      <c r="G17" s="14"/>
      <c r="H17" s="14"/>
      <c r="I17" s="14"/>
      <c r="K17" s="12">
        <v>1922</v>
      </c>
      <c r="L17" s="14">
        <v>458217302.49567157</v>
      </c>
      <c r="M17" s="14">
        <v>458.21730249567156</v>
      </c>
      <c r="N17" s="14">
        <v>600693252.36015797</v>
      </c>
      <c r="O17" s="14">
        <v>600.693252360158</v>
      </c>
      <c r="P17" s="14"/>
      <c r="Q17" s="14"/>
      <c r="R17" s="14"/>
      <c r="S17" s="14"/>
      <c r="U17" s="12">
        <v>1922</v>
      </c>
      <c r="V17" s="14">
        <v>752803572.61018932</v>
      </c>
      <c r="W17" s="14">
        <f t="shared" si="2"/>
        <v>0.75280357261018938</v>
      </c>
      <c r="X17" s="14">
        <v>517860139.79221058</v>
      </c>
      <c r="Y17" s="14">
        <f t="shared" si="3"/>
        <v>0.51786013979221057</v>
      </c>
      <c r="AA17" s="12">
        <v>1922</v>
      </c>
      <c r="AB17" s="14">
        <v>458217302.49567157</v>
      </c>
      <c r="AC17" s="14">
        <v>458.21730249567156</v>
      </c>
      <c r="AD17" s="14">
        <v>600693252.36015797</v>
      </c>
      <c r="AE17" s="14">
        <v>600.693252360158</v>
      </c>
    </row>
    <row r="18" spans="1:31" x14ac:dyDescent="0.25">
      <c r="A18" s="12">
        <v>1923</v>
      </c>
      <c r="B18" s="14">
        <v>689296324.66719997</v>
      </c>
      <c r="C18" s="14">
        <f t="shared" si="0"/>
        <v>0.68929632466720003</v>
      </c>
      <c r="D18" s="14">
        <v>581371272.72080004</v>
      </c>
      <c r="E18" s="14">
        <f t="shared" si="1"/>
        <v>0.58137127272080003</v>
      </c>
      <c r="F18" s="14"/>
      <c r="G18" s="14"/>
      <c r="H18" s="14"/>
      <c r="I18" s="14"/>
      <c r="K18" s="12">
        <v>1923</v>
      </c>
      <c r="L18" s="14">
        <v>414696298.63191992</v>
      </c>
      <c r="M18" s="14">
        <v>414.69629863191994</v>
      </c>
      <c r="N18" s="14">
        <v>684003794.65787995</v>
      </c>
      <c r="O18" s="14">
        <v>684.00379465788001</v>
      </c>
      <c r="P18" s="14"/>
      <c r="Q18" s="14"/>
      <c r="R18" s="14"/>
      <c r="S18" s="14"/>
      <c r="U18" s="12">
        <v>1923</v>
      </c>
      <c r="V18" s="14">
        <v>689296324.66719997</v>
      </c>
      <c r="W18" s="14">
        <f t="shared" si="2"/>
        <v>0.68929632466720003</v>
      </c>
      <c r="X18" s="14">
        <v>581371272.72080004</v>
      </c>
      <c r="Y18" s="14">
        <f t="shared" si="3"/>
        <v>0.58137127272080003</v>
      </c>
      <c r="AA18" s="12">
        <v>1923</v>
      </c>
      <c r="AB18" s="14">
        <v>414696298.63191992</v>
      </c>
      <c r="AC18" s="14">
        <v>414.69629863191994</v>
      </c>
      <c r="AD18" s="14">
        <v>684003794.65787995</v>
      </c>
      <c r="AE18" s="14">
        <v>684.00379465788001</v>
      </c>
    </row>
    <row r="19" spans="1:31" x14ac:dyDescent="0.25">
      <c r="A19" s="12">
        <v>1924</v>
      </c>
      <c r="B19" s="14">
        <v>667515510.86181045</v>
      </c>
      <c r="C19" s="14">
        <f t="shared" si="0"/>
        <v>0.66751551086181049</v>
      </c>
      <c r="D19" s="14">
        <v>603124891.62698948</v>
      </c>
      <c r="E19" s="14">
        <f t="shared" si="1"/>
        <v>0.60312489162698957</v>
      </c>
      <c r="F19" s="14"/>
      <c r="G19" s="14"/>
      <c r="H19" s="14"/>
      <c r="I19" s="14"/>
      <c r="K19" s="12">
        <v>1924</v>
      </c>
      <c r="L19" s="14">
        <v>402125302.02072835</v>
      </c>
      <c r="M19" s="14">
        <v>402.12530202072833</v>
      </c>
      <c r="N19" s="14">
        <v>708013811.70496213</v>
      </c>
      <c r="O19" s="14">
        <v>708.01381170496211</v>
      </c>
      <c r="P19" s="14"/>
      <c r="Q19" s="14"/>
      <c r="R19" s="14"/>
      <c r="S19" s="14"/>
      <c r="U19" s="12">
        <v>1924</v>
      </c>
      <c r="V19" s="14">
        <v>667515510.86181045</v>
      </c>
      <c r="W19" s="14">
        <f t="shared" si="2"/>
        <v>0.66751551086181049</v>
      </c>
      <c r="X19" s="14">
        <v>603124891.62698948</v>
      </c>
      <c r="Y19" s="14">
        <f t="shared" si="3"/>
        <v>0.60312489162698957</v>
      </c>
      <c r="AA19" s="12">
        <v>1924</v>
      </c>
      <c r="AB19" s="14">
        <v>402125302.02072835</v>
      </c>
      <c r="AC19" s="14">
        <v>402.12530202072833</v>
      </c>
      <c r="AD19" s="14">
        <v>708013811.70496213</v>
      </c>
      <c r="AE19" s="14">
        <v>708.01381170496211</v>
      </c>
    </row>
    <row r="20" spans="1:31" x14ac:dyDescent="0.25">
      <c r="A20" s="12">
        <v>1925</v>
      </c>
      <c r="B20" s="14">
        <v>692814961.8206315</v>
      </c>
      <c r="C20" s="14">
        <f t="shared" si="0"/>
        <v>0.69281496182063151</v>
      </c>
      <c r="D20" s="14">
        <v>577991038.17936838</v>
      </c>
      <c r="E20" s="14">
        <f t="shared" si="1"/>
        <v>0.57799103817936837</v>
      </c>
      <c r="F20" s="14"/>
      <c r="G20" s="14"/>
      <c r="H20" s="14"/>
      <c r="I20" s="14"/>
      <c r="K20" s="12">
        <v>1925</v>
      </c>
      <c r="L20" s="14">
        <v>404276915.2665053</v>
      </c>
      <c r="M20" s="14">
        <v>404.27691526650528</v>
      </c>
      <c r="N20" s="14">
        <v>704243905.78612638</v>
      </c>
      <c r="O20" s="14">
        <v>704.24390578612633</v>
      </c>
      <c r="P20" s="14"/>
      <c r="Q20" s="14"/>
      <c r="R20" s="14"/>
      <c r="S20" s="14"/>
      <c r="U20" s="12">
        <v>1925</v>
      </c>
      <c r="V20" s="14">
        <v>692814961.8206315</v>
      </c>
      <c r="W20" s="14">
        <f t="shared" si="2"/>
        <v>0.69281496182063151</v>
      </c>
      <c r="X20" s="14">
        <v>577991038.17936838</v>
      </c>
      <c r="Y20" s="14">
        <f t="shared" si="3"/>
        <v>0.57799103817936837</v>
      </c>
      <c r="AA20" s="12">
        <v>1925</v>
      </c>
      <c r="AB20" s="14">
        <v>404276915.2665053</v>
      </c>
      <c r="AC20" s="14">
        <v>404.27691526650528</v>
      </c>
      <c r="AD20" s="14">
        <v>704243905.78612638</v>
      </c>
      <c r="AE20" s="14">
        <v>704.24390578612633</v>
      </c>
    </row>
    <row r="21" spans="1:31" x14ac:dyDescent="0.25">
      <c r="A21" s="12">
        <v>1926</v>
      </c>
      <c r="B21" s="14">
        <v>642857334.30509472</v>
      </c>
      <c r="C21" s="14">
        <f t="shared" si="0"/>
        <v>0.64285733430509473</v>
      </c>
      <c r="D21" s="14">
        <v>627751017.05250514</v>
      </c>
      <c r="E21" s="14">
        <f t="shared" si="1"/>
        <v>0.62775101705250513</v>
      </c>
      <c r="F21" s="14"/>
      <c r="G21" s="14"/>
      <c r="H21" s="14"/>
      <c r="I21" s="14"/>
      <c r="K21" s="12">
        <v>1926</v>
      </c>
      <c r="L21" s="14">
        <v>387343904.7014358</v>
      </c>
      <c r="M21" s="14">
        <v>387.3439047014358</v>
      </c>
      <c r="N21" s="14">
        <v>736260464.31241894</v>
      </c>
      <c r="O21" s="14">
        <v>736.26046431241889</v>
      </c>
      <c r="P21" s="14"/>
      <c r="Q21" s="14"/>
      <c r="R21" s="14"/>
      <c r="S21" s="14"/>
      <c r="U21" s="12">
        <v>1926</v>
      </c>
      <c r="V21" s="14">
        <v>642857334.30509472</v>
      </c>
      <c r="W21" s="14">
        <f t="shared" si="2"/>
        <v>0.64285733430509473</v>
      </c>
      <c r="X21" s="14">
        <v>627751017.05250514</v>
      </c>
      <c r="Y21" s="14">
        <f t="shared" si="3"/>
        <v>0.62775101705250513</v>
      </c>
      <c r="AA21" s="12">
        <v>1926</v>
      </c>
      <c r="AB21" s="14">
        <v>387343904.7014358</v>
      </c>
      <c r="AC21" s="14">
        <v>387.3439047014358</v>
      </c>
      <c r="AD21" s="14">
        <v>736260464.31241894</v>
      </c>
      <c r="AE21" s="14">
        <v>736.26046431241889</v>
      </c>
    </row>
    <row r="22" spans="1:31" x14ac:dyDescent="0.25">
      <c r="A22" s="12">
        <v>1927</v>
      </c>
      <c r="B22" s="14">
        <v>647289935.11410522</v>
      </c>
      <c r="C22" s="14">
        <f t="shared" si="0"/>
        <v>0.64728993511410526</v>
      </c>
      <c r="D22" s="14">
        <v>623225176.58909464</v>
      </c>
      <c r="E22" s="14">
        <f t="shared" si="1"/>
        <v>0.62322517658909471</v>
      </c>
      <c r="F22" s="14"/>
      <c r="G22" s="14"/>
      <c r="H22" s="14"/>
      <c r="I22" s="14"/>
      <c r="K22" s="12">
        <v>1927</v>
      </c>
      <c r="L22" s="14">
        <v>395005996.28728426</v>
      </c>
      <c r="M22" s="14">
        <v>395.00599628728423</v>
      </c>
      <c r="N22" s="14">
        <v>721486292.41654098</v>
      </c>
      <c r="O22" s="14">
        <v>721.486292416541</v>
      </c>
      <c r="P22" s="14"/>
      <c r="Q22" s="14"/>
      <c r="R22" s="14"/>
      <c r="S22" s="14"/>
      <c r="U22" s="12">
        <v>1927</v>
      </c>
      <c r="V22" s="14">
        <v>647289935.11410522</v>
      </c>
      <c r="W22" s="14">
        <f t="shared" si="2"/>
        <v>0.64728993511410526</v>
      </c>
      <c r="X22" s="14">
        <v>623225176.58909464</v>
      </c>
      <c r="Y22" s="14">
        <f t="shared" si="3"/>
        <v>0.62322517658909471</v>
      </c>
      <c r="AA22" s="12">
        <v>1927</v>
      </c>
      <c r="AB22" s="14">
        <v>395005996.28728426</v>
      </c>
      <c r="AC22" s="14">
        <v>395.00599628728423</v>
      </c>
      <c r="AD22" s="14">
        <v>721486292.41654098</v>
      </c>
      <c r="AE22" s="14">
        <v>721.486292416541</v>
      </c>
    </row>
    <row r="23" spans="1:31" x14ac:dyDescent="0.25">
      <c r="A23" s="12">
        <v>1928</v>
      </c>
      <c r="B23" s="14">
        <v>608056561.45090532</v>
      </c>
      <c r="C23" s="14">
        <f t="shared" si="0"/>
        <v>0.60805656145090536</v>
      </c>
      <c r="D23" s="14">
        <v>662320633.26349461</v>
      </c>
      <c r="E23" s="14">
        <f t="shared" si="1"/>
        <v>0.66232063326349466</v>
      </c>
      <c r="F23" s="14"/>
      <c r="G23" s="14"/>
      <c r="H23" s="14"/>
      <c r="I23" s="14"/>
      <c r="K23" s="12">
        <v>1928</v>
      </c>
      <c r="L23" s="14">
        <v>364471053.21156424</v>
      </c>
      <c r="M23" s="14">
        <v>364.47105321156425</v>
      </c>
      <c r="N23" s="14">
        <v>780018936.87578094</v>
      </c>
      <c r="O23" s="14">
        <v>780.01893687578092</v>
      </c>
      <c r="P23" s="14"/>
      <c r="Q23" s="14"/>
      <c r="R23" s="14"/>
      <c r="S23" s="14"/>
      <c r="U23" s="12">
        <v>1928</v>
      </c>
      <c r="V23" s="14">
        <v>608056561.45090532</v>
      </c>
      <c r="W23" s="14">
        <f t="shared" si="2"/>
        <v>0.60805656145090536</v>
      </c>
      <c r="X23" s="14">
        <v>662320633.26349461</v>
      </c>
      <c r="Y23" s="14">
        <f t="shared" si="3"/>
        <v>0.66232063326349466</v>
      </c>
      <c r="AA23" s="12">
        <v>1928</v>
      </c>
      <c r="AB23" s="14">
        <v>364471053.21156424</v>
      </c>
      <c r="AC23" s="14">
        <v>364.47105321156425</v>
      </c>
      <c r="AD23" s="14">
        <v>780018936.87578094</v>
      </c>
      <c r="AE23" s="14">
        <v>780.01893687578092</v>
      </c>
    </row>
    <row r="24" spans="1:31" x14ac:dyDescent="0.25">
      <c r="A24" s="12">
        <v>1929</v>
      </c>
      <c r="B24" s="14">
        <v>612025794.53292632</v>
      </c>
      <c r="C24" s="14">
        <f t="shared" si="0"/>
        <v>0.61202579453292638</v>
      </c>
      <c r="D24" s="14">
        <v>657908511.82307363</v>
      </c>
      <c r="E24" s="14">
        <f t="shared" si="1"/>
        <v>0.65790851182307364</v>
      </c>
      <c r="F24" s="14"/>
      <c r="G24" s="14"/>
      <c r="H24" s="14"/>
      <c r="I24" s="14"/>
      <c r="K24" s="12">
        <v>1929</v>
      </c>
      <c r="L24" s="14">
        <v>369628781.34646112</v>
      </c>
      <c r="M24" s="14">
        <v>369.6287813464611</v>
      </c>
      <c r="N24" s="14">
        <v>770082774.63666511</v>
      </c>
      <c r="O24" s="14">
        <v>770.08277463666514</v>
      </c>
      <c r="P24" s="14"/>
      <c r="Q24" s="14"/>
      <c r="R24" s="14"/>
      <c r="S24" s="14"/>
      <c r="U24" s="12">
        <v>1929</v>
      </c>
      <c r="V24" s="14">
        <v>612025794.53292632</v>
      </c>
      <c r="W24" s="14">
        <f t="shared" si="2"/>
        <v>0.61202579453292638</v>
      </c>
      <c r="X24" s="14">
        <v>657908511.82307363</v>
      </c>
      <c r="Y24" s="14">
        <f t="shared" si="3"/>
        <v>0.65790851182307364</v>
      </c>
      <c r="AA24" s="12">
        <v>1929</v>
      </c>
      <c r="AB24" s="14">
        <v>369628781.34646112</v>
      </c>
      <c r="AC24" s="14">
        <v>369.6287813464611</v>
      </c>
      <c r="AD24" s="14">
        <v>770082774.63666511</v>
      </c>
      <c r="AE24" s="14">
        <v>770.08277463666514</v>
      </c>
    </row>
    <row r="25" spans="1:31" x14ac:dyDescent="0.25">
      <c r="A25" s="12">
        <v>1930</v>
      </c>
      <c r="B25" s="14">
        <v>598817405.60795796</v>
      </c>
      <c r="C25" s="14">
        <f t="shared" si="0"/>
        <v>0.59881740560795804</v>
      </c>
      <c r="D25" s="14">
        <v>671428670.84244204</v>
      </c>
      <c r="E25" s="14">
        <f t="shared" si="1"/>
        <v>0.67142867084244207</v>
      </c>
      <c r="F25" s="14"/>
      <c r="G25" s="14"/>
      <c r="H25" s="14"/>
      <c r="I25" s="14"/>
      <c r="K25" s="12">
        <v>1930</v>
      </c>
      <c r="L25" s="14">
        <v>363786285.40920627</v>
      </c>
      <c r="M25" s="14">
        <v>363.7862854092063</v>
      </c>
      <c r="N25" s="14">
        <v>781198887.79479146</v>
      </c>
      <c r="O25" s="14">
        <v>781.19888779479152</v>
      </c>
      <c r="P25" s="14"/>
      <c r="Q25" s="14"/>
      <c r="R25" s="14"/>
      <c r="S25" s="14"/>
      <c r="U25" s="12">
        <v>1930</v>
      </c>
      <c r="V25" s="14">
        <v>598817405.60795796</v>
      </c>
      <c r="W25" s="14">
        <f t="shared" si="2"/>
        <v>0.59881740560795804</v>
      </c>
      <c r="X25" s="14">
        <v>671428670.84244204</v>
      </c>
      <c r="Y25" s="14">
        <f t="shared" si="3"/>
        <v>0.67142867084244207</v>
      </c>
      <c r="AA25" s="12">
        <v>1930</v>
      </c>
      <c r="AB25" s="14">
        <v>363786285.40920627</v>
      </c>
      <c r="AC25" s="14">
        <v>363.7862854092063</v>
      </c>
      <c r="AD25" s="14">
        <v>781198887.79479146</v>
      </c>
      <c r="AE25" s="14">
        <v>781.19888779479152</v>
      </c>
    </row>
    <row r="26" spans="1:31" x14ac:dyDescent="0.25">
      <c r="A26" s="12">
        <v>1931</v>
      </c>
      <c r="B26" s="14">
        <v>558952167.33263159</v>
      </c>
      <c r="C26" s="14">
        <f t="shared" si="0"/>
        <v>0.55895216733263164</v>
      </c>
      <c r="D26" s="14">
        <v>711635302.22736824</v>
      </c>
      <c r="E26" s="14">
        <f t="shared" si="1"/>
        <v>0.71163530222736826</v>
      </c>
      <c r="F26" s="14"/>
      <c r="G26" s="14"/>
      <c r="H26" s="14"/>
      <c r="I26" s="14"/>
      <c r="K26" s="12">
        <v>1931</v>
      </c>
      <c r="L26" s="14">
        <v>338175116.80410528</v>
      </c>
      <c r="M26" s="14">
        <v>338.1751168041053</v>
      </c>
      <c r="N26" s="14">
        <v>830192062.07452631</v>
      </c>
      <c r="O26" s="14">
        <v>830.19206207452635</v>
      </c>
      <c r="P26" s="14"/>
      <c r="Q26" s="14"/>
      <c r="R26" s="14"/>
      <c r="S26" s="14"/>
      <c r="U26" s="12">
        <v>1931</v>
      </c>
      <c r="V26" s="14">
        <v>558952167.33263159</v>
      </c>
      <c r="W26" s="14">
        <f t="shared" si="2"/>
        <v>0.55895216733263164</v>
      </c>
      <c r="X26" s="14">
        <v>711635302.22736824</v>
      </c>
      <c r="Y26" s="14">
        <f t="shared" si="3"/>
        <v>0.71163530222736826</v>
      </c>
      <c r="AA26" s="12">
        <v>1931</v>
      </c>
      <c r="AB26" s="14">
        <v>338175116.80410528</v>
      </c>
      <c r="AC26" s="14">
        <v>338.1751168041053</v>
      </c>
      <c r="AD26" s="14">
        <v>830192062.07452631</v>
      </c>
      <c r="AE26" s="14">
        <v>830.19206207452635</v>
      </c>
    </row>
    <row r="27" spans="1:31" x14ac:dyDescent="0.25">
      <c r="A27" s="12">
        <v>1932</v>
      </c>
      <c r="B27" s="14">
        <v>434159404.83789456</v>
      </c>
      <c r="C27" s="14">
        <f t="shared" si="0"/>
        <v>0.43415940483789461</v>
      </c>
      <c r="D27" s="14">
        <v>836408639.79410529</v>
      </c>
      <c r="E27" s="14">
        <f t="shared" si="1"/>
        <v>0.83640863979410529</v>
      </c>
      <c r="F27" s="14"/>
      <c r="G27" s="14"/>
      <c r="H27" s="14"/>
      <c r="I27" s="14"/>
      <c r="K27" s="12">
        <v>1932</v>
      </c>
      <c r="L27" s="14">
        <v>254256536.25711572</v>
      </c>
      <c r="M27" s="14">
        <v>254.25653625711573</v>
      </c>
      <c r="N27" s="14">
        <v>990797160.97797906</v>
      </c>
      <c r="O27" s="14">
        <v>990.79716097797905</v>
      </c>
      <c r="P27" s="14"/>
      <c r="Q27" s="14"/>
      <c r="R27" s="14"/>
      <c r="S27" s="14"/>
      <c r="U27" s="12">
        <v>1932</v>
      </c>
      <c r="V27" s="14">
        <v>434159404.83789456</v>
      </c>
      <c r="W27" s="14">
        <f t="shared" si="2"/>
        <v>0.43415940483789461</v>
      </c>
      <c r="X27" s="14">
        <v>836408639.79410529</v>
      </c>
      <c r="Y27" s="14">
        <f t="shared" si="3"/>
        <v>0.83640863979410529</v>
      </c>
      <c r="AA27" s="12">
        <v>1932</v>
      </c>
      <c r="AB27" s="14">
        <v>254256536.25711572</v>
      </c>
      <c r="AC27" s="14">
        <v>254.25653625711573</v>
      </c>
      <c r="AD27" s="14">
        <v>990797160.97797906</v>
      </c>
      <c r="AE27" s="14">
        <v>990.79716097797905</v>
      </c>
    </row>
    <row r="28" spans="1:31" x14ac:dyDescent="0.25">
      <c r="A28" s="12">
        <v>1933</v>
      </c>
      <c r="B28" s="14">
        <v>471161803.21768409</v>
      </c>
      <c r="C28" s="14">
        <f t="shared" si="0"/>
        <v>0.47116180321768414</v>
      </c>
      <c r="D28" s="14">
        <v>799323685.47031581</v>
      </c>
      <c r="E28" s="14">
        <f t="shared" si="1"/>
        <v>0.79932368547031585</v>
      </c>
      <c r="F28" s="14"/>
      <c r="G28" s="14"/>
      <c r="H28" s="14"/>
      <c r="I28" s="14"/>
      <c r="K28" s="12">
        <v>1933</v>
      </c>
      <c r="L28" s="14">
        <v>280527700.02614731</v>
      </c>
      <c r="M28" s="14">
        <v>280.52770002614733</v>
      </c>
      <c r="N28" s="14">
        <v>940485147.59233677</v>
      </c>
      <c r="O28" s="14">
        <v>940.48514759233683</v>
      </c>
      <c r="P28" s="14"/>
      <c r="Q28" s="14"/>
      <c r="R28" s="14"/>
      <c r="S28" s="14"/>
      <c r="U28" s="12">
        <v>1933</v>
      </c>
      <c r="V28" s="14">
        <v>471161803.21768409</v>
      </c>
      <c r="W28" s="14">
        <f t="shared" si="2"/>
        <v>0.47116180321768414</v>
      </c>
      <c r="X28" s="14">
        <v>799323685.47031581</v>
      </c>
      <c r="Y28" s="14">
        <f t="shared" si="3"/>
        <v>0.79932368547031585</v>
      </c>
      <c r="AA28" s="12">
        <v>1933</v>
      </c>
      <c r="AB28" s="14">
        <v>280527700.02614731</v>
      </c>
      <c r="AC28" s="14">
        <v>280.52770002614733</v>
      </c>
      <c r="AD28" s="14">
        <v>940485147.59233677</v>
      </c>
      <c r="AE28" s="14">
        <v>940.48514759233683</v>
      </c>
    </row>
    <row r="29" spans="1:31" x14ac:dyDescent="0.25">
      <c r="A29" s="12">
        <v>1934</v>
      </c>
      <c r="B29" s="14">
        <v>646186676.93052626</v>
      </c>
      <c r="C29" s="14">
        <f t="shared" si="0"/>
        <v>0.64618667693052634</v>
      </c>
      <c r="D29" s="14">
        <v>624546479.58947361</v>
      </c>
      <c r="E29" s="14">
        <f t="shared" si="1"/>
        <v>0.62454647958947362</v>
      </c>
      <c r="F29" s="14"/>
      <c r="G29" s="14"/>
      <c r="H29" s="14"/>
      <c r="I29" s="14"/>
      <c r="K29" s="12">
        <v>1934</v>
      </c>
      <c r="L29" s="14">
        <v>378041905.93402112</v>
      </c>
      <c r="M29" s="14">
        <v>378.04190593402109</v>
      </c>
      <c r="N29" s="14">
        <v>754332964.21850526</v>
      </c>
      <c r="O29" s="14">
        <v>754.33296421850525</v>
      </c>
      <c r="P29" s="14"/>
      <c r="Q29" s="14"/>
      <c r="R29" s="14"/>
      <c r="S29" s="14"/>
      <c r="U29" s="12">
        <v>1934</v>
      </c>
      <c r="V29" s="14">
        <v>646186676.93052626</v>
      </c>
      <c r="W29" s="14">
        <f t="shared" si="2"/>
        <v>0.64618667693052634</v>
      </c>
      <c r="X29" s="14">
        <v>624546479.58947361</v>
      </c>
      <c r="Y29" s="14">
        <f t="shared" si="3"/>
        <v>0.62454647958947362</v>
      </c>
      <c r="AA29" s="12">
        <v>1934</v>
      </c>
      <c r="AB29" s="14">
        <v>378041905.93402112</v>
      </c>
      <c r="AC29" s="14">
        <v>378.04190593402109</v>
      </c>
      <c r="AD29" s="14">
        <v>754332964.21850526</v>
      </c>
      <c r="AE29" s="14">
        <v>754.33296421850525</v>
      </c>
    </row>
    <row r="30" spans="1:31" x14ac:dyDescent="0.25">
      <c r="A30" s="12">
        <v>1935</v>
      </c>
      <c r="B30" s="14">
        <v>618050040.91157889</v>
      </c>
      <c r="C30" s="14">
        <f t="shared" si="0"/>
        <v>0.61805004091157889</v>
      </c>
      <c r="D30" s="14">
        <v>652585990.96842098</v>
      </c>
      <c r="E30" s="14">
        <f t="shared" si="1"/>
        <v>0.65258599096842107</v>
      </c>
      <c r="F30" s="14"/>
      <c r="G30" s="14"/>
      <c r="H30" s="14"/>
      <c r="I30" s="14"/>
      <c r="K30" s="12">
        <v>1935</v>
      </c>
      <c r="L30" s="14">
        <v>374054074.77726316</v>
      </c>
      <c r="M30" s="14">
        <v>374.05407477726317</v>
      </c>
      <c r="N30" s="14">
        <v>761616545.05231583</v>
      </c>
      <c r="O30" s="14">
        <v>761.61654505231581</v>
      </c>
      <c r="P30" s="14"/>
      <c r="Q30" s="14"/>
      <c r="R30" s="14"/>
      <c r="S30" s="14"/>
      <c r="U30" s="12">
        <v>1935</v>
      </c>
      <c r="V30" s="14">
        <v>618050040.91157889</v>
      </c>
      <c r="W30" s="14">
        <f t="shared" si="2"/>
        <v>0.61805004091157889</v>
      </c>
      <c r="X30" s="14">
        <v>652585990.96842098</v>
      </c>
      <c r="Y30" s="14">
        <f t="shared" si="3"/>
        <v>0.65258599096842107</v>
      </c>
      <c r="AA30" s="12">
        <v>1935</v>
      </c>
      <c r="AB30" s="14">
        <v>374054074.77726316</v>
      </c>
      <c r="AC30" s="14">
        <v>374.05407477726317</v>
      </c>
      <c r="AD30" s="14">
        <v>761616545.05231583</v>
      </c>
      <c r="AE30" s="14">
        <v>761.61654505231581</v>
      </c>
    </row>
    <row r="31" spans="1:31" x14ac:dyDescent="0.25">
      <c r="A31" s="12">
        <v>1936</v>
      </c>
      <c r="B31" s="14">
        <v>565121585.21978939</v>
      </c>
      <c r="C31" s="14">
        <f t="shared" si="0"/>
        <v>0.56512158521978939</v>
      </c>
      <c r="D31" s="14">
        <v>705601858.83621037</v>
      </c>
      <c r="E31" s="14">
        <f t="shared" si="1"/>
        <v>0.7056018588362104</v>
      </c>
      <c r="F31" s="14"/>
      <c r="G31" s="14"/>
      <c r="H31" s="14"/>
      <c r="I31" s="14"/>
      <c r="K31" s="12">
        <v>1936</v>
      </c>
      <c r="L31" s="14">
        <v>337806134.32743168</v>
      </c>
      <c r="M31" s="14">
        <v>337.80613432743166</v>
      </c>
      <c r="N31" s="14">
        <v>831005416.05595779</v>
      </c>
      <c r="O31" s="14">
        <v>831.00541605595777</v>
      </c>
      <c r="P31" s="14"/>
      <c r="Q31" s="14"/>
      <c r="R31" s="14"/>
      <c r="S31" s="14"/>
      <c r="U31" s="12">
        <v>1936</v>
      </c>
      <c r="V31" s="14">
        <v>565121585.21978939</v>
      </c>
      <c r="W31" s="14">
        <f t="shared" si="2"/>
        <v>0.56512158521978939</v>
      </c>
      <c r="X31" s="14">
        <v>705601858.83621037</v>
      </c>
      <c r="Y31" s="14">
        <f t="shared" si="3"/>
        <v>0.7056018588362104</v>
      </c>
      <c r="AA31" s="12">
        <v>1936</v>
      </c>
      <c r="AB31" s="14">
        <v>337806134.32743168</v>
      </c>
      <c r="AC31" s="14">
        <v>337.80613432743166</v>
      </c>
      <c r="AD31" s="14">
        <v>831005416.05595779</v>
      </c>
      <c r="AE31" s="14">
        <v>831.00541605595777</v>
      </c>
    </row>
    <row r="32" spans="1:31" x14ac:dyDescent="0.25">
      <c r="A32" s="12">
        <v>1937</v>
      </c>
      <c r="B32" s="14">
        <v>637613279.15705252</v>
      </c>
      <c r="C32" s="14">
        <f t="shared" si="0"/>
        <v>0.63761327915705257</v>
      </c>
      <c r="D32" s="14">
        <v>633144158.52294743</v>
      </c>
      <c r="E32" s="14">
        <f t="shared" si="1"/>
        <v>0.63314415852294748</v>
      </c>
      <c r="F32" s="14"/>
      <c r="G32" s="14"/>
      <c r="H32" s="14"/>
      <c r="I32" s="14"/>
      <c r="K32" s="12">
        <v>1937</v>
      </c>
      <c r="L32" s="14">
        <v>386411184.50524211</v>
      </c>
      <c r="M32" s="14">
        <v>386.41118450524209</v>
      </c>
      <c r="N32" s="14">
        <v>737987774.54381061</v>
      </c>
      <c r="O32" s="14">
        <v>737.98777454381059</v>
      </c>
      <c r="P32" s="14"/>
      <c r="Q32" s="14"/>
      <c r="R32" s="14"/>
      <c r="S32" s="14"/>
      <c r="U32" s="12">
        <v>1937</v>
      </c>
      <c r="V32" s="14">
        <v>637613279.15705252</v>
      </c>
      <c r="W32" s="14">
        <f t="shared" si="2"/>
        <v>0.63761327915705257</v>
      </c>
      <c r="X32" s="14">
        <v>633144158.52294743</v>
      </c>
      <c r="Y32" s="14">
        <f t="shared" si="3"/>
        <v>0.63314415852294748</v>
      </c>
      <c r="AA32" s="12">
        <v>1937</v>
      </c>
      <c r="AB32" s="14">
        <v>386411184.50524211</v>
      </c>
      <c r="AC32" s="14">
        <v>386.41118450524209</v>
      </c>
      <c r="AD32" s="14">
        <v>737987774.54381061</v>
      </c>
      <c r="AE32" s="14">
        <v>737.98777454381059</v>
      </c>
    </row>
    <row r="33" spans="1:31" x14ac:dyDescent="0.25">
      <c r="A33" s="12">
        <v>1938</v>
      </c>
      <c r="B33" s="14">
        <v>644158569.2637893</v>
      </c>
      <c r="C33" s="14">
        <f t="shared" si="0"/>
        <v>0.64415856926378934</v>
      </c>
      <c r="D33" s="14">
        <v>626596440.3002106</v>
      </c>
      <c r="E33" s="14">
        <f t="shared" si="1"/>
        <v>0.62659644030021067</v>
      </c>
      <c r="F33" s="14"/>
      <c r="G33" s="14"/>
      <c r="H33" s="14"/>
      <c r="I33" s="14"/>
      <c r="K33" s="12">
        <v>1938</v>
      </c>
      <c r="L33" s="14">
        <v>387306616.18723148</v>
      </c>
      <c r="M33" s="14">
        <v>387.3066161872315</v>
      </c>
      <c r="N33" s="14">
        <v>736355460.28795803</v>
      </c>
      <c r="O33" s="14">
        <v>736.35546028795807</v>
      </c>
      <c r="P33" s="14"/>
      <c r="Q33" s="14"/>
      <c r="R33" s="14"/>
      <c r="S33" s="14"/>
      <c r="U33" s="12">
        <v>1938</v>
      </c>
      <c r="V33" s="14">
        <v>644158569.2637893</v>
      </c>
      <c r="W33" s="14">
        <f t="shared" si="2"/>
        <v>0.64415856926378934</v>
      </c>
      <c r="X33" s="14">
        <v>626596440.3002106</v>
      </c>
      <c r="Y33" s="14">
        <f t="shared" si="3"/>
        <v>0.62659644030021067</v>
      </c>
      <c r="AA33" s="12">
        <v>1938</v>
      </c>
      <c r="AB33" s="14">
        <v>387306616.18723148</v>
      </c>
      <c r="AC33" s="14">
        <v>387.3066161872315</v>
      </c>
      <c r="AD33" s="14">
        <v>736355460.28795803</v>
      </c>
      <c r="AE33" s="14">
        <v>736.35546028795807</v>
      </c>
    </row>
    <row r="34" spans="1:31" x14ac:dyDescent="0.25">
      <c r="A34" s="12">
        <v>1939</v>
      </c>
      <c r="B34" s="14">
        <v>670914098.36930513</v>
      </c>
      <c r="C34" s="14">
        <f t="shared" si="0"/>
        <v>0.67091409836930516</v>
      </c>
      <c r="D34" s="14">
        <v>599853051.77469468</v>
      </c>
      <c r="E34" s="14">
        <f t="shared" si="1"/>
        <v>0.59985305177469472</v>
      </c>
      <c r="F34" s="14"/>
      <c r="G34" s="14"/>
      <c r="H34" s="14"/>
      <c r="I34" s="14"/>
      <c r="K34" s="12">
        <v>1939</v>
      </c>
      <c r="L34" s="14">
        <v>410713772.26780421</v>
      </c>
      <c r="M34" s="14">
        <v>410.71377226780419</v>
      </c>
      <c r="N34" s="14">
        <v>691432717.07670105</v>
      </c>
      <c r="O34" s="14">
        <v>691.43271707670101</v>
      </c>
      <c r="P34" s="14"/>
      <c r="Q34" s="14"/>
      <c r="R34" s="14"/>
      <c r="S34" s="14"/>
      <c r="U34" s="12">
        <v>1939</v>
      </c>
      <c r="V34" s="14">
        <v>670914098.36930513</v>
      </c>
      <c r="W34" s="14">
        <f t="shared" si="2"/>
        <v>0.67091409836930516</v>
      </c>
      <c r="X34" s="14">
        <v>599853051.77469468</v>
      </c>
      <c r="Y34" s="14">
        <f t="shared" si="3"/>
        <v>0.59985305177469472</v>
      </c>
      <c r="AA34" s="12">
        <v>1939</v>
      </c>
      <c r="AB34" s="14">
        <v>410713772.26780421</v>
      </c>
      <c r="AC34" s="14">
        <v>410.71377226780419</v>
      </c>
      <c r="AD34" s="14">
        <v>691432717.07670105</v>
      </c>
      <c r="AE34" s="14">
        <v>691.43271707670101</v>
      </c>
    </row>
    <row r="35" spans="1:31" x14ac:dyDescent="0.25">
      <c r="A35" s="12">
        <v>1940</v>
      </c>
      <c r="B35" s="14">
        <v>690078503.27027357</v>
      </c>
      <c r="C35" s="14">
        <f t="shared" si="0"/>
        <v>0.69007850327027365</v>
      </c>
      <c r="D35" s="14">
        <v>580676506.29372633</v>
      </c>
      <c r="E35" s="14">
        <f t="shared" si="1"/>
        <v>0.58067650629372636</v>
      </c>
      <c r="F35" s="14"/>
      <c r="G35" s="14"/>
      <c r="H35" s="14"/>
      <c r="I35" s="14"/>
      <c r="K35" s="12">
        <v>1940</v>
      </c>
      <c r="L35" s="14">
        <v>424125798.51665896</v>
      </c>
      <c r="M35" s="14">
        <v>424.12579851665896</v>
      </c>
      <c r="N35" s="14">
        <v>665752067.43221474</v>
      </c>
      <c r="O35" s="14">
        <v>665.75206743221474</v>
      </c>
      <c r="P35" s="14"/>
      <c r="Q35" s="14"/>
      <c r="R35" s="14"/>
      <c r="S35" s="14"/>
      <c r="U35" s="12">
        <v>1940</v>
      </c>
      <c r="V35" s="14">
        <v>690078503.27027357</v>
      </c>
      <c r="W35" s="14">
        <f t="shared" si="2"/>
        <v>0.69007850327027365</v>
      </c>
      <c r="X35" s="14">
        <v>580676506.29372633</v>
      </c>
      <c r="Y35" s="14">
        <f t="shared" si="3"/>
        <v>0.58067650629372636</v>
      </c>
      <c r="AA35" s="12">
        <v>1940</v>
      </c>
      <c r="AB35" s="14">
        <v>424125798.51665896</v>
      </c>
      <c r="AC35" s="14">
        <v>424.12579851665896</v>
      </c>
      <c r="AD35" s="14">
        <v>665752067.43221474</v>
      </c>
      <c r="AE35" s="14">
        <v>665.75206743221474</v>
      </c>
    </row>
    <row r="36" spans="1:31" x14ac:dyDescent="0.25">
      <c r="A36" s="12">
        <v>1941</v>
      </c>
      <c r="B36" s="14">
        <v>686614811.05347359</v>
      </c>
      <c r="C36" s="14">
        <f t="shared" si="0"/>
        <v>0.68661481105347366</v>
      </c>
      <c r="D36" s="14">
        <v>584142626.62652624</v>
      </c>
      <c r="E36" s="14">
        <f t="shared" si="1"/>
        <v>0.58414262662652627</v>
      </c>
      <c r="F36" s="14">
        <v>0</v>
      </c>
      <c r="G36" s="14">
        <f>F36*0.000000001</f>
        <v>0</v>
      </c>
      <c r="H36" s="14">
        <v>48562.32</v>
      </c>
      <c r="I36" s="14">
        <f>H36*0.000000001</f>
        <v>4.8562320000000002E-5</v>
      </c>
      <c r="K36" s="12">
        <v>1941</v>
      </c>
      <c r="L36" s="14">
        <v>423321043.9751789</v>
      </c>
      <c r="M36" s="14">
        <v>423.3210439751789</v>
      </c>
      <c r="N36" s="14">
        <v>667256862.44229472</v>
      </c>
      <c r="O36" s="14">
        <v>667.25686244229473</v>
      </c>
      <c r="P36" s="14">
        <v>0</v>
      </c>
      <c r="Q36" s="14">
        <f>P36*0.000000001</f>
        <v>0</v>
      </c>
      <c r="R36" s="14">
        <v>809.37200000000007</v>
      </c>
      <c r="S36" s="14">
        <f>R36*0.000000001</f>
        <v>8.0937200000000011E-7</v>
      </c>
      <c r="U36" s="12">
        <v>1941</v>
      </c>
      <c r="V36" s="14">
        <v>686614811.05347359</v>
      </c>
      <c r="W36" s="14">
        <f t="shared" si="2"/>
        <v>0.68661481105347366</v>
      </c>
      <c r="X36" s="33">
        <v>584142626.62652624</v>
      </c>
      <c r="Y36" s="14">
        <f t="shared" si="3"/>
        <v>0.58414262662652627</v>
      </c>
      <c r="AA36" s="12">
        <v>1941</v>
      </c>
      <c r="AB36" s="33">
        <v>475022464.53133827</v>
      </c>
      <c r="AC36" s="14">
        <f>AB36*0.000000001</f>
        <v>0.47502246453133828</v>
      </c>
      <c r="AD36" s="14">
        <v>543747913.33591402</v>
      </c>
      <c r="AE36" s="14">
        <f>AD36*0.000000001</f>
        <v>0.5437479133359141</v>
      </c>
    </row>
    <row r="37" spans="1:31" x14ac:dyDescent="0.25">
      <c r="A37" s="12">
        <v>1942</v>
      </c>
      <c r="B37" s="14">
        <v>670121006.99199998</v>
      </c>
      <c r="C37" s="14">
        <f t="shared" si="0"/>
        <v>0.67012100699200006</v>
      </c>
      <c r="D37" s="14">
        <v>596401699.15199995</v>
      </c>
      <c r="E37" s="14">
        <f t="shared" si="1"/>
        <v>0.59640169915200003</v>
      </c>
      <c r="F37" s="14">
        <v>4244444</v>
      </c>
      <c r="G37" s="14">
        <f t="shared" ref="G37:G100" si="4">F37*0.000000001</f>
        <v>4.244444E-3</v>
      </c>
      <c r="H37" s="14">
        <v>38849.855999999985</v>
      </c>
      <c r="I37" s="14">
        <f t="shared" ref="I37:I100" si="5">H37*0.000000001</f>
        <v>3.8849855999999988E-5</v>
      </c>
      <c r="K37" s="12">
        <v>1942</v>
      </c>
      <c r="L37" s="14">
        <v>414376710.00399995</v>
      </c>
      <c r="M37" s="14">
        <v>414.37671000399996</v>
      </c>
      <c r="N37" s="14">
        <v>684325042.49840009</v>
      </c>
      <c r="O37" s="14">
        <v>684.32504249840008</v>
      </c>
      <c r="P37" s="14">
        <v>3644444.44</v>
      </c>
      <c r="Q37" s="14">
        <f t="shared" ref="Q37:Q100" si="6">P37*0.000000001</f>
        <v>3.6444444400000001E-3</v>
      </c>
      <c r="R37" s="14">
        <v>647.49760000000003</v>
      </c>
      <c r="S37" s="14">
        <f t="shared" ref="S37:S100" si="7">R37*0.000000001</f>
        <v>6.4749760000000002E-7</v>
      </c>
      <c r="U37" s="12">
        <v>1942</v>
      </c>
      <c r="V37" s="14">
        <v>686614811.05347359</v>
      </c>
      <c r="W37" s="14">
        <f t="shared" si="2"/>
        <v>0.68661481105347366</v>
      </c>
      <c r="X37" s="33">
        <v>584142626.62652624</v>
      </c>
      <c r="Y37" s="14">
        <f t="shared" si="3"/>
        <v>0.58414262662652627</v>
      </c>
      <c r="AA37" s="12">
        <v>1942</v>
      </c>
      <c r="AB37" s="33">
        <v>475306262.74819034</v>
      </c>
      <c r="AC37" s="14">
        <f t="shared" ref="AC37:AC100" si="8">AB37*0.000000001</f>
        <v>0.47530626274819038</v>
      </c>
      <c r="AD37" s="14">
        <v>543747913.33591402</v>
      </c>
      <c r="AE37" s="14">
        <f t="shared" ref="AE37:AE100" si="9">AD37*0.000000001</f>
        <v>0.5437479133359141</v>
      </c>
    </row>
    <row r="38" spans="1:31" x14ac:dyDescent="0.25">
      <c r="A38" s="12">
        <v>1943</v>
      </c>
      <c r="B38" s="14">
        <v>649887449.45616829</v>
      </c>
      <c r="C38" s="14">
        <f t="shared" si="0"/>
        <v>0.64988744945616839</v>
      </c>
      <c r="D38" s="14">
        <v>612099438.76783168</v>
      </c>
      <c r="E38" s="14">
        <f t="shared" si="1"/>
        <v>0.61209943876783168</v>
      </c>
      <c r="F38" s="14">
        <v>8488888</v>
      </c>
      <c r="G38" s="14">
        <f t="shared" si="4"/>
        <v>8.488888E-3</v>
      </c>
      <c r="H38" s="14">
        <v>330223.77600000001</v>
      </c>
      <c r="I38" s="14">
        <f t="shared" si="5"/>
        <v>3.3022377600000003E-4</v>
      </c>
      <c r="K38" s="12">
        <v>1943</v>
      </c>
      <c r="L38" s="14">
        <v>401359694.88917464</v>
      </c>
      <c r="M38" s="14">
        <v>401.35969488917465</v>
      </c>
      <c r="N38" s="14">
        <v>709218780.32859373</v>
      </c>
      <c r="O38" s="14">
        <v>709.21878032859377</v>
      </c>
      <c r="P38" s="14">
        <v>7288888.8799999999</v>
      </c>
      <c r="Q38" s="14">
        <f t="shared" si="6"/>
        <v>7.2888888800000003E-3</v>
      </c>
      <c r="R38" s="14">
        <v>5503.7296000000006</v>
      </c>
      <c r="S38" s="14">
        <f t="shared" si="7"/>
        <v>5.503729600000001E-6</v>
      </c>
      <c r="U38" s="12">
        <v>1943</v>
      </c>
      <c r="V38" s="14">
        <v>686614811.05347395</v>
      </c>
      <c r="W38" s="14">
        <f t="shared" si="2"/>
        <v>0.68661481105347399</v>
      </c>
      <c r="X38" s="33">
        <v>584142626.62652624</v>
      </c>
      <c r="Y38" s="14">
        <f t="shared" si="3"/>
        <v>0.58414262662652627</v>
      </c>
      <c r="AA38" s="12">
        <v>1943</v>
      </c>
      <c r="AB38" s="33">
        <v>475306262.74819034</v>
      </c>
      <c r="AC38" s="14">
        <f t="shared" si="8"/>
        <v>0.47530626274819038</v>
      </c>
      <c r="AD38" s="14">
        <v>543747913.33591402</v>
      </c>
      <c r="AE38" s="14">
        <f t="shared" si="9"/>
        <v>0.5437479133359141</v>
      </c>
    </row>
    <row r="39" spans="1:31" x14ac:dyDescent="0.25">
      <c r="A39" s="12">
        <v>1944</v>
      </c>
      <c r="B39" s="14">
        <v>662402110.10829461</v>
      </c>
      <c r="C39" s="14">
        <f t="shared" si="0"/>
        <v>0.66240211010829464</v>
      </c>
      <c r="D39" s="14">
        <v>595607426.87570524</v>
      </c>
      <c r="E39" s="14">
        <f t="shared" si="1"/>
        <v>0.59560742687570523</v>
      </c>
      <c r="F39" s="14">
        <v>12733332</v>
      </c>
      <c r="G39" s="14">
        <f t="shared" si="4"/>
        <v>1.2733332E-2</v>
      </c>
      <c r="H39" s="14">
        <v>63131.015999999996</v>
      </c>
      <c r="I39" s="14">
        <f t="shared" si="5"/>
        <v>6.3131016000000006E-5</v>
      </c>
      <c r="K39" s="12">
        <v>1944</v>
      </c>
      <c r="L39" s="14">
        <v>410453954.26975578</v>
      </c>
      <c r="M39" s="14">
        <v>410.4539542697558</v>
      </c>
      <c r="N39" s="14">
        <v>691802656.70453894</v>
      </c>
      <c r="O39" s="14">
        <v>691.80265670453889</v>
      </c>
      <c r="P39" s="14">
        <v>10933333.32</v>
      </c>
      <c r="Q39" s="14">
        <f t="shared" si="6"/>
        <v>1.093333332E-2</v>
      </c>
      <c r="R39" s="14">
        <v>1052.1836000000001</v>
      </c>
      <c r="S39" s="14">
        <f t="shared" si="7"/>
        <v>1.0521836000000001E-6</v>
      </c>
      <c r="U39" s="12">
        <v>1944</v>
      </c>
      <c r="V39" s="14">
        <v>686614811.05347395</v>
      </c>
      <c r="W39" s="14">
        <f t="shared" si="2"/>
        <v>0.68661481105347399</v>
      </c>
      <c r="X39" s="33">
        <v>584142626.62652624</v>
      </c>
      <c r="Y39" s="14">
        <f t="shared" si="3"/>
        <v>0.58414262662652627</v>
      </c>
      <c r="AA39" s="12">
        <v>1944</v>
      </c>
      <c r="AB39" s="33">
        <v>475306262.74819034</v>
      </c>
      <c r="AC39" s="14">
        <f t="shared" si="8"/>
        <v>0.47530626274819038</v>
      </c>
      <c r="AD39" s="14">
        <v>543747913.33591402</v>
      </c>
      <c r="AE39" s="14">
        <f t="shared" si="9"/>
        <v>0.5437479133359141</v>
      </c>
    </row>
    <row r="40" spans="1:31" x14ac:dyDescent="0.25">
      <c r="A40" s="12">
        <v>1945</v>
      </c>
      <c r="B40" s="14">
        <v>678436165.55945253</v>
      </c>
      <c r="C40" s="14">
        <f t="shared" si="0"/>
        <v>0.67843616555945263</v>
      </c>
      <c r="D40" s="14">
        <v>575382345.97654736</v>
      </c>
      <c r="E40" s="14">
        <f t="shared" si="1"/>
        <v>0.57538234597654736</v>
      </c>
      <c r="F40" s="14">
        <v>16977776</v>
      </c>
      <c r="G40" s="14">
        <f t="shared" si="4"/>
        <v>1.6977776E-2</v>
      </c>
      <c r="H40" s="14">
        <v>9712.4639999999963</v>
      </c>
      <c r="I40" s="14">
        <f t="shared" si="5"/>
        <v>9.7124639999999971E-6</v>
      </c>
      <c r="K40" s="12">
        <v>1945</v>
      </c>
      <c r="L40" s="14">
        <v>419587211.64248216</v>
      </c>
      <c r="M40" s="14">
        <v>419.58721164248215</v>
      </c>
      <c r="N40" s="14">
        <v>674362394.90417051</v>
      </c>
      <c r="O40" s="14">
        <v>674.36239490417051</v>
      </c>
      <c r="P40" s="14">
        <v>14577777.76</v>
      </c>
      <c r="Q40" s="14">
        <f t="shared" si="6"/>
        <v>1.4577777760000001E-2</v>
      </c>
      <c r="R40" s="14">
        <v>161.87440000000001</v>
      </c>
      <c r="S40" s="14">
        <f t="shared" si="7"/>
        <v>1.6187440000000001E-7</v>
      </c>
      <c r="U40" s="12">
        <v>1945</v>
      </c>
      <c r="V40" s="14">
        <v>686614811.05347395</v>
      </c>
      <c r="W40" s="14">
        <f t="shared" si="2"/>
        <v>0.68661481105347399</v>
      </c>
      <c r="X40" s="33">
        <v>584142626.62652624</v>
      </c>
      <c r="Y40" s="14">
        <f t="shared" si="3"/>
        <v>0.58414262662652627</v>
      </c>
      <c r="AA40" s="12">
        <v>1945</v>
      </c>
      <c r="AB40" s="33">
        <v>475306262.74819034</v>
      </c>
      <c r="AC40" s="14">
        <f t="shared" si="8"/>
        <v>0.47530626274819038</v>
      </c>
      <c r="AD40" s="14">
        <v>543747913.33591402</v>
      </c>
      <c r="AE40" s="14">
        <f t="shared" si="9"/>
        <v>0.5437479133359141</v>
      </c>
    </row>
    <row r="41" spans="1:31" x14ac:dyDescent="0.25">
      <c r="A41" s="12">
        <v>1946</v>
      </c>
      <c r="B41" s="14">
        <v>731197597.38484204</v>
      </c>
      <c r="C41" s="14">
        <f t="shared" si="0"/>
        <v>0.73119759738484214</v>
      </c>
      <c r="D41" s="14">
        <v>518128802.31915784</v>
      </c>
      <c r="E41" s="14">
        <f t="shared" si="1"/>
        <v>0.51812880231915792</v>
      </c>
      <c r="F41" s="14">
        <v>21222220</v>
      </c>
      <c r="G41" s="14">
        <f t="shared" si="4"/>
        <v>2.122222E-2</v>
      </c>
      <c r="H41" s="14">
        <v>257380.296</v>
      </c>
      <c r="I41" s="14">
        <f t="shared" si="5"/>
        <v>2.5738029600000004E-4</v>
      </c>
      <c r="K41" s="12">
        <v>1946</v>
      </c>
      <c r="L41" s="14">
        <v>454338315.68547374</v>
      </c>
      <c r="M41" s="14">
        <v>454.33831568547373</v>
      </c>
      <c r="N41" s="14">
        <v>607867689.37976837</v>
      </c>
      <c r="O41" s="14">
        <v>607.86768937976842</v>
      </c>
      <c r="P41" s="14">
        <v>18222222.199999999</v>
      </c>
      <c r="Q41" s="14">
        <f t="shared" si="6"/>
        <v>1.8222222199999999E-2</v>
      </c>
      <c r="R41" s="14">
        <v>229293.26872230216</v>
      </c>
      <c r="S41" s="14">
        <f t="shared" si="7"/>
        <v>2.2929326872230218E-4</v>
      </c>
      <c r="U41" s="12">
        <v>1946</v>
      </c>
      <c r="V41" s="14">
        <v>686614811.05347395</v>
      </c>
      <c r="W41" s="14">
        <f t="shared" si="2"/>
        <v>0.68661481105347399</v>
      </c>
      <c r="X41" s="33">
        <v>584142626.62652624</v>
      </c>
      <c r="Y41" s="14">
        <f t="shared" si="3"/>
        <v>0.58414262662652627</v>
      </c>
      <c r="AA41" s="12">
        <v>1946</v>
      </c>
      <c r="AB41" s="33">
        <v>475306262.74819034</v>
      </c>
      <c r="AC41" s="14">
        <f t="shared" si="8"/>
        <v>0.47530626274819038</v>
      </c>
      <c r="AD41" s="14">
        <v>543747913.33591402</v>
      </c>
      <c r="AE41" s="14">
        <f t="shared" si="9"/>
        <v>0.5437479133359141</v>
      </c>
    </row>
    <row r="42" spans="1:31" x14ac:dyDescent="0.25">
      <c r="A42" s="12">
        <v>1947</v>
      </c>
      <c r="B42" s="14">
        <v>767041245.15962601</v>
      </c>
      <c r="C42" s="14">
        <f t="shared" si="0"/>
        <v>0.76704124515962602</v>
      </c>
      <c r="D42" s="14">
        <v>476966693.3190316</v>
      </c>
      <c r="E42" s="14">
        <f t="shared" si="1"/>
        <v>0.47696669331903163</v>
      </c>
      <c r="F42" s="14">
        <v>25466664</v>
      </c>
      <c r="G42" s="14">
        <f t="shared" si="4"/>
        <v>2.5466664E-2</v>
      </c>
      <c r="H42" s="14">
        <v>1331397.5213422596</v>
      </c>
      <c r="I42" s="14">
        <f t="shared" si="5"/>
        <v>1.3313975213422597E-3</v>
      </c>
      <c r="K42" s="12">
        <v>1947</v>
      </c>
      <c r="L42" s="14">
        <v>477688759.7187807</v>
      </c>
      <c r="M42" s="14">
        <v>477.68875971878072</v>
      </c>
      <c r="N42" s="14">
        <v>562546897.05111361</v>
      </c>
      <c r="O42" s="14">
        <v>562.54689705111366</v>
      </c>
      <c r="P42" s="14">
        <v>21866666.640000001</v>
      </c>
      <c r="Q42" s="14">
        <f t="shared" si="6"/>
        <v>2.1866666640000001E-2</v>
      </c>
      <c r="R42" s="14">
        <v>343009.04722503602</v>
      </c>
      <c r="S42" s="14">
        <f t="shared" si="7"/>
        <v>3.4300904722503602E-4</v>
      </c>
      <c r="U42" s="12">
        <v>1947</v>
      </c>
      <c r="V42" s="14">
        <v>686614811.05347395</v>
      </c>
      <c r="W42" s="14">
        <f t="shared" si="2"/>
        <v>0.68661481105347399</v>
      </c>
      <c r="X42" s="33">
        <v>584142626.62652624</v>
      </c>
      <c r="Y42" s="14">
        <f t="shared" si="3"/>
        <v>0.58414262662652627</v>
      </c>
      <c r="AA42" s="12">
        <v>1947</v>
      </c>
      <c r="AB42" s="33">
        <v>475306262.74819034</v>
      </c>
      <c r="AC42" s="14">
        <f t="shared" si="8"/>
        <v>0.47530626274819038</v>
      </c>
      <c r="AD42" s="14">
        <v>543747913.33591402</v>
      </c>
      <c r="AE42" s="14">
        <f t="shared" si="9"/>
        <v>0.5437479133359141</v>
      </c>
    </row>
    <row r="43" spans="1:31" x14ac:dyDescent="0.25">
      <c r="A43" s="12">
        <v>1948</v>
      </c>
      <c r="B43" s="14">
        <v>761247482.08516467</v>
      </c>
      <c r="C43" s="14">
        <f t="shared" si="0"/>
        <v>0.76124748208516468</v>
      </c>
      <c r="D43" s="14">
        <v>477353387.09709477</v>
      </c>
      <c r="E43" s="14">
        <f t="shared" si="1"/>
        <v>0.47735338709709479</v>
      </c>
      <c r="F43" s="14">
        <v>29711108</v>
      </c>
      <c r="G43" s="14">
        <f t="shared" si="4"/>
        <v>2.9711108000000003E-2</v>
      </c>
      <c r="H43" s="14">
        <v>2494022.8177405857</v>
      </c>
      <c r="I43" s="14">
        <f t="shared" si="5"/>
        <v>2.494022817740586E-3</v>
      </c>
      <c r="K43" s="12">
        <v>1948</v>
      </c>
      <c r="L43" s="14">
        <v>474536782.89413917</v>
      </c>
      <c r="M43" s="14">
        <v>474.53678289413915</v>
      </c>
      <c r="N43" s="14">
        <v>567612515.58234107</v>
      </c>
      <c r="O43" s="14">
        <v>567.61251558234108</v>
      </c>
      <c r="P43" s="14">
        <v>25511111.080000002</v>
      </c>
      <c r="Q43" s="14">
        <f t="shared" si="6"/>
        <v>2.5511111080000003E-2</v>
      </c>
      <c r="R43" s="14">
        <v>695880.48506762588</v>
      </c>
      <c r="S43" s="14">
        <f t="shared" si="7"/>
        <v>6.9588048506762589E-4</v>
      </c>
      <c r="U43" s="12">
        <v>1948</v>
      </c>
      <c r="V43" s="14">
        <v>686614811.05347395</v>
      </c>
      <c r="W43" s="14">
        <f t="shared" si="2"/>
        <v>0.68661481105347399</v>
      </c>
      <c r="X43" s="33">
        <v>584142626.62652624</v>
      </c>
      <c r="Y43" s="14">
        <f t="shared" si="3"/>
        <v>0.58414262662652627</v>
      </c>
      <c r="AA43" s="12">
        <v>1948</v>
      </c>
      <c r="AB43" s="33">
        <v>475306262.74819034</v>
      </c>
      <c r="AC43" s="14">
        <f t="shared" si="8"/>
        <v>0.47530626274819038</v>
      </c>
      <c r="AD43" s="14">
        <v>543747913.33591402</v>
      </c>
      <c r="AE43" s="14">
        <f t="shared" si="9"/>
        <v>0.5437479133359141</v>
      </c>
    </row>
    <row r="44" spans="1:31" x14ac:dyDescent="0.25">
      <c r="A44" s="12">
        <v>1949</v>
      </c>
      <c r="B44" s="14">
        <v>740710583.55990136</v>
      </c>
      <c r="C44" s="14">
        <f t="shared" si="0"/>
        <v>0.74071058355990138</v>
      </c>
      <c r="D44" s="14">
        <v>493740074.28505266</v>
      </c>
      <c r="E44" s="14">
        <f t="shared" si="1"/>
        <v>0.49374007428505268</v>
      </c>
      <c r="F44" s="14">
        <v>33955552</v>
      </c>
      <c r="G44" s="14">
        <f t="shared" si="4"/>
        <v>3.3955552E-2</v>
      </c>
      <c r="H44" s="14">
        <v>2399790.1550460253</v>
      </c>
      <c r="I44" s="14">
        <f t="shared" si="5"/>
        <v>2.3997901550460252E-3</v>
      </c>
      <c r="K44" s="12">
        <v>1949</v>
      </c>
      <c r="L44" s="14">
        <v>461529931.84941399</v>
      </c>
      <c r="M44" s="14">
        <v>461.52993184941397</v>
      </c>
      <c r="N44" s="14">
        <v>592365417.31018937</v>
      </c>
      <c r="O44" s="14">
        <v>592.3654173101894</v>
      </c>
      <c r="P44" s="14">
        <v>29155555.520000003</v>
      </c>
      <c r="Q44" s="14">
        <f t="shared" si="6"/>
        <v>2.9155555520000005E-2</v>
      </c>
      <c r="R44" s="14">
        <v>849034.45570647484</v>
      </c>
      <c r="S44" s="14">
        <f t="shared" si="7"/>
        <v>8.4903445570647486E-4</v>
      </c>
      <c r="U44" s="12">
        <v>1949</v>
      </c>
      <c r="V44" s="14">
        <v>686614811.05347395</v>
      </c>
      <c r="W44" s="14">
        <f t="shared" si="2"/>
        <v>0.68661481105347399</v>
      </c>
      <c r="X44" s="33">
        <v>584142626.62652624</v>
      </c>
      <c r="Y44" s="14">
        <f t="shared" si="3"/>
        <v>0.58414262662652627</v>
      </c>
      <c r="AA44" s="12">
        <v>1949</v>
      </c>
      <c r="AB44" s="33">
        <v>475306262.74819034</v>
      </c>
      <c r="AC44" s="14">
        <f t="shared" si="8"/>
        <v>0.47530626274819038</v>
      </c>
      <c r="AD44" s="14">
        <v>543747913.33591402</v>
      </c>
      <c r="AE44" s="14">
        <f t="shared" si="9"/>
        <v>0.5437479133359141</v>
      </c>
    </row>
    <row r="45" spans="1:31" x14ac:dyDescent="0.25">
      <c r="A45" s="12">
        <v>1950</v>
      </c>
      <c r="B45" s="14">
        <v>741626435.32246256</v>
      </c>
      <c r="C45" s="14">
        <f t="shared" si="0"/>
        <v>0.74162643532246264</v>
      </c>
      <c r="D45" s="14">
        <v>487577024.70227385</v>
      </c>
      <c r="E45" s="14">
        <f t="shared" si="1"/>
        <v>0.48757702470227388</v>
      </c>
      <c r="F45" s="14">
        <v>38199996</v>
      </c>
      <c r="G45" s="14">
        <f t="shared" si="4"/>
        <v>3.8199996E-2</v>
      </c>
      <c r="H45" s="14">
        <v>3402543.9752635979</v>
      </c>
      <c r="I45" s="14">
        <f t="shared" si="5"/>
        <v>3.4025439752635982E-3</v>
      </c>
      <c r="K45" s="12">
        <v>1950</v>
      </c>
      <c r="L45" s="14">
        <v>466914075.33404404</v>
      </c>
      <c r="M45" s="14">
        <v>466.91407533404401</v>
      </c>
      <c r="N45" s="14">
        <v>581214185.53318536</v>
      </c>
      <c r="O45" s="14">
        <v>581.2141855331854</v>
      </c>
      <c r="P45" s="14">
        <v>32799999.960000005</v>
      </c>
      <c r="Q45" s="14">
        <f t="shared" si="6"/>
        <v>3.2799999960000006E-2</v>
      </c>
      <c r="R45" s="14">
        <v>1115541.4809208633</v>
      </c>
      <c r="S45" s="14">
        <f t="shared" si="7"/>
        <v>1.1155414809208633E-3</v>
      </c>
      <c r="U45" s="12">
        <v>1950</v>
      </c>
      <c r="V45" s="14">
        <v>686614811.05347395</v>
      </c>
      <c r="W45" s="14">
        <f t="shared" si="2"/>
        <v>0.68661481105347399</v>
      </c>
      <c r="X45" s="33">
        <v>584142626.62652624</v>
      </c>
      <c r="Y45" s="14">
        <f t="shared" si="3"/>
        <v>0.58414262662652627</v>
      </c>
      <c r="AA45" s="12">
        <v>1950</v>
      </c>
      <c r="AB45" s="33">
        <v>475306262.74819034</v>
      </c>
      <c r="AC45" s="14">
        <f t="shared" si="8"/>
        <v>0.47530626274819038</v>
      </c>
      <c r="AD45" s="14">
        <v>543747913.33591402</v>
      </c>
      <c r="AE45" s="14">
        <f t="shared" si="9"/>
        <v>0.5437479133359141</v>
      </c>
    </row>
    <row r="46" spans="1:31" x14ac:dyDescent="0.25">
      <c r="A46" s="12">
        <v>1951</v>
      </c>
      <c r="B46" s="14">
        <v>749069821.22472954</v>
      </c>
      <c r="C46" s="14">
        <f t="shared" si="0"/>
        <v>0.74906982122472954</v>
      </c>
      <c r="D46" s="14">
        <v>475171731.95578939</v>
      </c>
      <c r="E46" s="14">
        <f t="shared" si="1"/>
        <v>0.47517173195578943</v>
      </c>
      <c r="F46" s="14">
        <v>42974996</v>
      </c>
      <c r="G46" s="14">
        <f t="shared" si="4"/>
        <v>4.2974996000000001E-2</v>
      </c>
      <c r="H46" s="14">
        <v>3589450.8194811707</v>
      </c>
      <c r="I46" s="14">
        <f t="shared" si="5"/>
        <v>3.589450819481171E-3</v>
      </c>
      <c r="K46" s="12">
        <v>1951</v>
      </c>
      <c r="L46" s="14">
        <v>476574631.67611831</v>
      </c>
      <c r="M46" s="14">
        <v>476.57463167611832</v>
      </c>
      <c r="N46" s="14">
        <v>561894875.19044197</v>
      </c>
      <c r="O46" s="14">
        <v>561.89487519044201</v>
      </c>
      <c r="P46" s="14">
        <v>36909999.960000008</v>
      </c>
      <c r="Q46" s="14">
        <f t="shared" si="6"/>
        <v>3.6909999960000009E-2</v>
      </c>
      <c r="R46" s="14">
        <v>1298731.6320748201</v>
      </c>
      <c r="S46" s="14">
        <f t="shared" si="7"/>
        <v>1.2987316320748202E-3</v>
      </c>
      <c r="U46" s="12">
        <v>1951</v>
      </c>
      <c r="V46" s="14">
        <v>686614811.05347395</v>
      </c>
      <c r="W46" s="14">
        <f t="shared" si="2"/>
        <v>0.68661481105347399</v>
      </c>
      <c r="X46" s="33">
        <v>584142626.62652624</v>
      </c>
      <c r="Y46" s="14">
        <f t="shared" si="3"/>
        <v>0.58414262662652627</v>
      </c>
      <c r="AA46" s="12">
        <v>1951</v>
      </c>
      <c r="AB46" s="33">
        <v>475306262.74819034</v>
      </c>
      <c r="AC46" s="14">
        <f t="shared" si="8"/>
        <v>0.47530626274819038</v>
      </c>
      <c r="AD46" s="14">
        <v>543747913.33591402</v>
      </c>
      <c r="AE46" s="14">
        <f t="shared" si="9"/>
        <v>0.5437479133359141</v>
      </c>
    </row>
    <row r="47" spans="1:31" x14ac:dyDescent="0.25">
      <c r="A47" s="12">
        <v>1952</v>
      </c>
      <c r="B47" s="14">
        <v>759472792.20417082</v>
      </c>
      <c r="C47" s="14">
        <f t="shared" si="0"/>
        <v>0.75947279220417085</v>
      </c>
      <c r="D47" s="14">
        <v>460416970.6301052</v>
      </c>
      <c r="E47" s="14">
        <f t="shared" si="1"/>
        <v>0.46041697063010523</v>
      </c>
      <c r="F47" s="14">
        <v>47749996</v>
      </c>
      <c r="G47" s="14">
        <f t="shared" si="4"/>
        <v>4.7749996000000003E-2</v>
      </c>
      <c r="H47" s="14">
        <v>3166241.1657238496</v>
      </c>
      <c r="I47" s="14">
        <f t="shared" si="5"/>
        <v>3.1662411657238498E-3</v>
      </c>
      <c r="K47" s="12">
        <v>1952</v>
      </c>
      <c r="L47" s="14">
        <v>479894384.03377944</v>
      </c>
      <c r="M47" s="14">
        <v>479.89438403377943</v>
      </c>
      <c r="N47" s="14">
        <v>556283157.24777889</v>
      </c>
      <c r="O47" s="14">
        <v>556.28315724777895</v>
      </c>
      <c r="P47" s="14">
        <v>41019999.960000008</v>
      </c>
      <c r="Q47" s="14">
        <f t="shared" si="6"/>
        <v>4.1019999960000011E-2</v>
      </c>
      <c r="R47" s="14">
        <v>1106756.0610388492</v>
      </c>
      <c r="S47" s="14">
        <f t="shared" si="7"/>
        <v>1.1067560610388493E-3</v>
      </c>
      <c r="U47" s="12">
        <v>1952</v>
      </c>
      <c r="V47" s="14">
        <v>686614811.05347395</v>
      </c>
      <c r="W47" s="14">
        <f t="shared" si="2"/>
        <v>0.68661481105347399</v>
      </c>
      <c r="X47" s="33">
        <v>584142626.62652624</v>
      </c>
      <c r="Y47" s="14">
        <f t="shared" si="3"/>
        <v>0.58414262662652627</v>
      </c>
      <c r="AA47" s="12">
        <v>1952</v>
      </c>
      <c r="AB47" s="33">
        <v>475306262.74819034</v>
      </c>
      <c r="AC47" s="14">
        <f t="shared" si="8"/>
        <v>0.47530626274819038</v>
      </c>
      <c r="AD47" s="14">
        <v>543747913.33591402</v>
      </c>
      <c r="AE47" s="14">
        <f t="shared" si="9"/>
        <v>0.5437479133359141</v>
      </c>
    </row>
    <row r="48" spans="1:31" x14ac:dyDescent="0.25">
      <c r="A48" s="12">
        <v>1953</v>
      </c>
      <c r="B48" s="14">
        <v>790112963.98884535</v>
      </c>
      <c r="C48" s="14">
        <f t="shared" si="0"/>
        <v>0.79011296398884545</v>
      </c>
      <c r="D48" s="14">
        <v>426052600.40265262</v>
      </c>
      <c r="E48" s="14">
        <f t="shared" si="1"/>
        <v>0.42605260040265264</v>
      </c>
      <c r="F48" s="14">
        <v>52524996</v>
      </c>
      <c r="G48" s="14">
        <f t="shared" si="4"/>
        <v>5.2524996000000004E-2</v>
      </c>
      <c r="H48" s="14">
        <v>2115439.6085020918</v>
      </c>
      <c r="I48" s="14">
        <f t="shared" si="5"/>
        <v>2.1154396085020918E-3</v>
      </c>
      <c r="K48" s="12">
        <v>1953</v>
      </c>
      <c r="L48" s="14">
        <v>484236574.94253683</v>
      </c>
      <c r="M48" s="14">
        <v>484.23657494253683</v>
      </c>
      <c r="N48" s="14">
        <v>548859506.51174951</v>
      </c>
      <c r="O48" s="14">
        <v>548.85950651174949</v>
      </c>
      <c r="P48" s="14">
        <v>45129999.960000008</v>
      </c>
      <c r="Q48" s="14">
        <f t="shared" si="6"/>
        <v>4.5129999960000014E-2</v>
      </c>
      <c r="R48" s="14">
        <v>914013.70643165475</v>
      </c>
      <c r="S48" s="14">
        <f t="shared" si="7"/>
        <v>9.140137064316548E-4</v>
      </c>
      <c r="U48" s="12">
        <v>1953</v>
      </c>
      <c r="V48" s="14">
        <v>686614811.05347395</v>
      </c>
      <c r="W48" s="14">
        <f t="shared" si="2"/>
        <v>0.68661481105347399</v>
      </c>
      <c r="X48" s="33">
        <v>584142626.62652624</v>
      </c>
      <c r="Y48" s="14">
        <f t="shared" si="3"/>
        <v>0.58414262662652627</v>
      </c>
      <c r="AA48" s="12">
        <v>1953</v>
      </c>
      <c r="AB48" s="33">
        <v>475306262.74819034</v>
      </c>
      <c r="AC48" s="14">
        <f t="shared" si="8"/>
        <v>0.47530626274819038</v>
      </c>
      <c r="AD48" s="14">
        <v>543747913.33591402</v>
      </c>
      <c r="AE48" s="14">
        <f t="shared" si="9"/>
        <v>0.5437479133359141</v>
      </c>
    </row>
    <row r="49" spans="1:31" x14ac:dyDescent="0.25">
      <c r="A49" s="12">
        <v>1954</v>
      </c>
      <c r="B49" s="14">
        <v>757611930.5046289</v>
      </c>
      <c r="C49" s="14">
        <f t="shared" si="0"/>
        <v>0.75761193050462894</v>
      </c>
      <c r="D49" s="14">
        <v>449754506.94778949</v>
      </c>
      <c r="E49" s="14">
        <f t="shared" si="1"/>
        <v>0.44975450694778951</v>
      </c>
      <c r="F49" s="14">
        <v>57299996</v>
      </c>
      <c r="G49" s="14">
        <f t="shared" si="4"/>
        <v>5.7299996000000006E-2</v>
      </c>
      <c r="H49" s="14">
        <v>6139566.5475815898</v>
      </c>
      <c r="I49" s="14">
        <f t="shared" si="5"/>
        <v>6.1395665475815903E-3</v>
      </c>
      <c r="K49" s="12">
        <v>1954</v>
      </c>
      <c r="L49" s="14">
        <v>481936405.30718595</v>
      </c>
      <c r="M49" s="14">
        <v>481.93640530718596</v>
      </c>
      <c r="N49" s="14">
        <v>548686767.73284209</v>
      </c>
      <c r="O49" s="14">
        <v>548.6867677328421</v>
      </c>
      <c r="P49" s="14">
        <v>49239999.960000008</v>
      </c>
      <c r="Q49" s="14">
        <f t="shared" si="6"/>
        <v>4.923999996000001E-2</v>
      </c>
      <c r="R49" s="14">
        <v>3120746.8799971226</v>
      </c>
      <c r="S49" s="14">
        <f t="shared" si="7"/>
        <v>3.1207468799971227E-3</v>
      </c>
      <c r="U49" s="12">
        <v>1954</v>
      </c>
      <c r="V49" s="14">
        <v>686614811.05347395</v>
      </c>
      <c r="W49" s="14">
        <f t="shared" si="2"/>
        <v>0.68661481105347399</v>
      </c>
      <c r="X49" s="33">
        <v>584142626.62652624</v>
      </c>
      <c r="Y49" s="14">
        <f t="shared" si="3"/>
        <v>0.58414262662652627</v>
      </c>
      <c r="AA49" s="12">
        <v>1954</v>
      </c>
      <c r="AB49" s="33">
        <v>475306262.74819034</v>
      </c>
      <c r="AC49" s="14">
        <f t="shared" si="8"/>
        <v>0.47530626274819038</v>
      </c>
      <c r="AD49" s="14">
        <v>543747913.33591402</v>
      </c>
      <c r="AE49" s="14">
        <f t="shared" si="9"/>
        <v>0.5437479133359141</v>
      </c>
    </row>
    <row r="50" spans="1:31" x14ac:dyDescent="0.25">
      <c r="A50" s="12">
        <v>1955</v>
      </c>
      <c r="B50" s="14">
        <v>815254574.35139203</v>
      </c>
      <c r="C50" s="14">
        <f t="shared" si="0"/>
        <v>0.81525457435139204</v>
      </c>
      <c r="D50" s="14">
        <v>384809992.00084209</v>
      </c>
      <c r="E50" s="14">
        <f t="shared" si="1"/>
        <v>0.38480999200084209</v>
      </c>
      <c r="F50" s="14">
        <v>62074996</v>
      </c>
      <c r="G50" s="14">
        <f t="shared" si="4"/>
        <v>6.2074996000000007E-2</v>
      </c>
      <c r="H50" s="14">
        <v>8666437.6477656905</v>
      </c>
      <c r="I50" s="14">
        <f t="shared" si="5"/>
        <v>8.6664376477656908E-3</v>
      </c>
      <c r="K50" s="12">
        <v>1955</v>
      </c>
      <c r="L50" s="14">
        <v>516851034.51696819</v>
      </c>
      <c r="M50" s="14">
        <v>516.85103451696818</v>
      </c>
      <c r="N50" s="14">
        <v>479369067.48023158</v>
      </c>
      <c r="O50" s="14">
        <v>479.36906748023159</v>
      </c>
      <c r="P50" s="14">
        <v>53349999.960000008</v>
      </c>
      <c r="Q50" s="14">
        <f t="shared" si="6"/>
        <v>5.3349999960000012E-2</v>
      </c>
      <c r="R50" s="14">
        <v>4604963.7623309363</v>
      </c>
      <c r="S50" s="14">
        <f t="shared" si="7"/>
        <v>4.6049637623309363E-3</v>
      </c>
      <c r="U50" s="12">
        <v>1955</v>
      </c>
      <c r="V50" s="14">
        <v>686614811.05347395</v>
      </c>
      <c r="W50" s="14">
        <f t="shared" si="2"/>
        <v>0.68661481105347399</v>
      </c>
      <c r="X50" s="33">
        <v>584142626.62652624</v>
      </c>
      <c r="Y50" s="14">
        <f t="shared" si="3"/>
        <v>0.58414262662652627</v>
      </c>
      <c r="AA50" s="12">
        <v>1955</v>
      </c>
      <c r="AB50" s="33">
        <v>475306262.74819034</v>
      </c>
      <c r="AC50" s="14">
        <f t="shared" si="8"/>
        <v>0.47530626274819038</v>
      </c>
      <c r="AD50" s="14">
        <v>543747913.33591402</v>
      </c>
      <c r="AE50" s="14">
        <f t="shared" si="9"/>
        <v>0.5437479133359141</v>
      </c>
    </row>
    <row r="51" spans="1:31" x14ac:dyDescent="0.25">
      <c r="A51" s="12">
        <v>1956</v>
      </c>
      <c r="B51" s="14">
        <v>645939018.69284642</v>
      </c>
      <c r="C51" s="14">
        <f t="shared" si="0"/>
        <v>0.64593901869284642</v>
      </c>
      <c r="D51" s="14">
        <v>547779513.25178945</v>
      </c>
      <c r="E51" s="14">
        <f t="shared" si="1"/>
        <v>0.54777951325178953</v>
      </c>
      <c r="F51" s="14">
        <v>66849996</v>
      </c>
      <c r="G51" s="14">
        <f t="shared" si="4"/>
        <v>6.6849996000000009E-2</v>
      </c>
      <c r="H51" s="14">
        <v>10237472.055364016</v>
      </c>
      <c r="I51" s="14">
        <f t="shared" si="5"/>
        <v>1.0237472055364016E-2</v>
      </c>
      <c r="K51" s="12">
        <v>1956</v>
      </c>
      <c r="L51" s="14">
        <v>389011815.53193921</v>
      </c>
      <c r="M51" s="14">
        <v>389.01181553193919</v>
      </c>
      <c r="N51" s="14">
        <v>723399331.87964213</v>
      </c>
      <c r="O51" s="14">
        <v>723.39933187964209</v>
      </c>
      <c r="P51" s="14">
        <v>57459999.960000008</v>
      </c>
      <c r="Q51" s="14">
        <f t="shared" si="6"/>
        <v>5.7459999960000015E-2</v>
      </c>
      <c r="R51" s="14">
        <v>5113588.061858993</v>
      </c>
      <c r="S51" s="14">
        <f t="shared" si="7"/>
        <v>5.1135880618589933E-3</v>
      </c>
      <c r="U51" s="12">
        <v>1956</v>
      </c>
      <c r="V51" s="14">
        <v>686614811.05347395</v>
      </c>
      <c r="W51" s="14">
        <f t="shared" si="2"/>
        <v>0.68661481105347399</v>
      </c>
      <c r="X51" s="33">
        <v>584142626.62652624</v>
      </c>
      <c r="Y51" s="14">
        <f t="shared" si="3"/>
        <v>0.58414262662652627</v>
      </c>
      <c r="AA51" s="12">
        <v>1956</v>
      </c>
      <c r="AB51" s="33">
        <v>475306262.74819034</v>
      </c>
      <c r="AC51" s="14">
        <f t="shared" si="8"/>
        <v>0.47530626274819038</v>
      </c>
      <c r="AD51" s="14">
        <v>543747913.33591402</v>
      </c>
      <c r="AE51" s="14">
        <f t="shared" si="9"/>
        <v>0.5437479133359141</v>
      </c>
    </row>
    <row r="52" spans="1:31" x14ac:dyDescent="0.25">
      <c r="A52" s="12">
        <v>1957</v>
      </c>
      <c r="B52" s="14">
        <v>619493216.88892138</v>
      </c>
      <c r="C52" s="14">
        <f t="shared" si="0"/>
        <v>0.61949321688892145</v>
      </c>
      <c r="D52" s="14">
        <v>567496993.91452622</v>
      </c>
      <c r="E52" s="14">
        <f t="shared" si="1"/>
        <v>0.56749699391452624</v>
      </c>
      <c r="F52" s="14">
        <v>71624996</v>
      </c>
      <c r="G52" s="14">
        <f t="shared" si="4"/>
        <v>7.162499600000001E-2</v>
      </c>
      <c r="H52" s="14">
        <v>12190793.196552301</v>
      </c>
      <c r="I52" s="14">
        <f t="shared" si="5"/>
        <v>1.2190793196552302E-2</v>
      </c>
      <c r="K52" s="12">
        <v>1957</v>
      </c>
      <c r="L52" s="14">
        <v>375383495.45145172</v>
      </c>
      <c r="M52" s="14">
        <v>375.38349545145172</v>
      </c>
      <c r="N52" s="14">
        <v>747036120.57749474</v>
      </c>
      <c r="O52" s="14">
        <v>747.03612057749478</v>
      </c>
      <c r="P52" s="14">
        <v>61569999.960000008</v>
      </c>
      <c r="Q52" s="14">
        <f t="shared" si="6"/>
        <v>6.156999996000001E-2</v>
      </c>
      <c r="R52" s="14">
        <v>6944673.1177410083</v>
      </c>
      <c r="S52" s="14">
        <f t="shared" si="7"/>
        <v>6.9446731177410089E-3</v>
      </c>
      <c r="U52" s="12">
        <v>1957</v>
      </c>
      <c r="V52" s="14">
        <v>686614811.05347395</v>
      </c>
      <c r="W52" s="14">
        <f t="shared" si="2"/>
        <v>0.68661481105347399</v>
      </c>
      <c r="X52" s="33">
        <v>584142626.62652624</v>
      </c>
      <c r="Y52" s="14">
        <f t="shared" si="3"/>
        <v>0.58414262662652627</v>
      </c>
      <c r="AA52" s="12">
        <v>1957</v>
      </c>
      <c r="AB52" s="33">
        <v>475306262.74819034</v>
      </c>
      <c r="AC52" s="14">
        <f t="shared" si="8"/>
        <v>0.47530626274819038</v>
      </c>
      <c r="AD52" s="14">
        <v>543747913.33591402</v>
      </c>
      <c r="AE52" s="14">
        <f t="shared" si="9"/>
        <v>0.5437479133359141</v>
      </c>
    </row>
    <row r="53" spans="1:31" x14ac:dyDescent="0.25">
      <c r="A53" s="12">
        <v>1958</v>
      </c>
      <c r="B53" s="14">
        <v>593919137.39628267</v>
      </c>
      <c r="C53" s="14">
        <f t="shared" si="0"/>
        <v>0.59391913739628266</v>
      </c>
      <c r="D53" s="14">
        <v>587788655.25094736</v>
      </c>
      <c r="E53" s="14">
        <f t="shared" si="1"/>
        <v>0.58778865525094737</v>
      </c>
      <c r="F53" s="14">
        <v>76399996</v>
      </c>
      <c r="G53" s="14">
        <f t="shared" si="4"/>
        <v>7.6399996000000012E-2</v>
      </c>
      <c r="H53" s="14">
        <v>12698211.352769874</v>
      </c>
      <c r="I53" s="14">
        <f t="shared" si="5"/>
        <v>1.2698211352769875E-2</v>
      </c>
      <c r="K53" s="12">
        <v>1958</v>
      </c>
      <c r="L53" s="14">
        <v>358288863.11476177</v>
      </c>
      <c r="M53" s="14">
        <v>358.2888631147618</v>
      </c>
      <c r="N53" s="14">
        <v>779021920.2162106</v>
      </c>
      <c r="O53" s="14">
        <v>779.02192021621056</v>
      </c>
      <c r="P53" s="14">
        <v>65679999.960000008</v>
      </c>
      <c r="Q53" s="14">
        <f t="shared" si="6"/>
        <v>6.5679999960000013E-2</v>
      </c>
      <c r="R53" s="14">
        <v>7716313.0377640296</v>
      </c>
      <c r="S53" s="14">
        <f t="shared" si="7"/>
        <v>7.7163130377640304E-3</v>
      </c>
      <c r="U53" s="12">
        <v>1958</v>
      </c>
      <c r="V53" s="14">
        <v>686614811.05347395</v>
      </c>
      <c r="W53" s="14">
        <f t="shared" si="2"/>
        <v>0.68661481105347399</v>
      </c>
      <c r="X53" s="33">
        <v>584142626.62652624</v>
      </c>
      <c r="Y53" s="14">
        <f t="shared" si="3"/>
        <v>0.58414262662652627</v>
      </c>
      <c r="AA53" s="12">
        <v>1958</v>
      </c>
      <c r="AB53" s="33">
        <v>475306262.74819034</v>
      </c>
      <c r="AC53" s="14">
        <f t="shared" si="8"/>
        <v>0.47530626274819038</v>
      </c>
      <c r="AD53" s="14">
        <v>543747913.33591402</v>
      </c>
      <c r="AE53" s="14">
        <f t="shared" si="9"/>
        <v>0.5437479133359141</v>
      </c>
    </row>
    <row r="54" spans="1:31" x14ac:dyDescent="0.25">
      <c r="A54" s="12">
        <v>1959</v>
      </c>
      <c r="B54" s="14">
        <v>632185623.54292011</v>
      </c>
      <c r="C54" s="14">
        <f t="shared" si="0"/>
        <v>0.63218562354292018</v>
      </c>
      <c r="D54" s="14">
        <v>543984037.94273686</v>
      </c>
      <c r="E54" s="14">
        <f t="shared" si="1"/>
        <v>0.54398403794273686</v>
      </c>
      <c r="F54" s="14">
        <v>81174996</v>
      </c>
      <c r="G54" s="14">
        <f t="shared" si="4"/>
        <v>8.1174995999999999E-2</v>
      </c>
      <c r="H54" s="14">
        <v>13461342.514343096</v>
      </c>
      <c r="I54" s="14">
        <f t="shared" si="5"/>
        <v>1.3461342514343097E-2</v>
      </c>
      <c r="K54" s="12">
        <v>1959</v>
      </c>
      <c r="L54" s="14">
        <v>382883212.82219207</v>
      </c>
      <c r="M54" s="14">
        <v>382.88321282219209</v>
      </c>
      <c r="N54" s="14">
        <v>729667566.43305266</v>
      </c>
      <c r="O54" s="14">
        <v>729.66756643305268</v>
      </c>
      <c r="P54" s="14">
        <v>69789999.960000008</v>
      </c>
      <c r="Q54" s="14">
        <f t="shared" si="6"/>
        <v>6.9789999960000015E-2</v>
      </c>
      <c r="R54" s="14">
        <v>8861685.2244201452</v>
      </c>
      <c r="S54" s="14">
        <f t="shared" si="7"/>
        <v>8.861685224420145E-3</v>
      </c>
      <c r="U54" s="12">
        <v>1959</v>
      </c>
      <c r="V54" s="14">
        <v>686614811.05347395</v>
      </c>
      <c r="W54" s="14">
        <f t="shared" si="2"/>
        <v>0.68661481105347399</v>
      </c>
      <c r="X54" s="33">
        <v>584142626.62652624</v>
      </c>
      <c r="Y54" s="14">
        <f t="shared" si="3"/>
        <v>0.58414262662652627</v>
      </c>
      <c r="AA54" s="12">
        <v>1959</v>
      </c>
      <c r="AB54" s="33">
        <v>475306262.74819034</v>
      </c>
      <c r="AC54" s="14">
        <f t="shared" si="8"/>
        <v>0.47530626274819038</v>
      </c>
      <c r="AD54" s="14">
        <v>543747913.33591402</v>
      </c>
      <c r="AE54" s="14">
        <f t="shared" si="9"/>
        <v>0.5437479133359141</v>
      </c>
    </row>
    <row r="55" spans="1:31" x14ac:dyDescent="0.25">
      <c r="A55" s="12">
        <v>1960</v>
      </c>
      <c r="B55" s="14">
        <v>683148200.25424349</v>
      </c>
      <c r="C55" s="14">
        <f t="shared" si="0"/>
        <v>0.6831482002542435</v>
      </c>
      <c r="D55" s="14">
        <v>485616674.17052627</v>
      </c>
      <c r="E55" s="14">
        <f t="shared" si="1"/>
        <v>0.48561667417052629</v>
      </c>
      <c r="F55" s="14">
        <v>85949996</v>
      </c>
      <c r="G55" s="14">
        <f t="shared" si="4"/>
        <v>8.5949996000000001E-2</v>
      </c>
      <c r="H55" s="14">
        <v>16091129.575230127</v>
      </c>
      <c r="I55" s="14">
        <f t="shared" si="5"/>
        <v>1.6091129575230127E-2</v>
      </c>
      <c r="K55" s="12">
        <v>1960</v>
      </c>
      <c r="L55" s="14">
        <v>413837500.07965934</v>
      </c>
      <c r="M55" s="14">
        <v>413.83750007965932</v>
      </c>
      <c r="N55" s="14">
        <v>668494289.50589466</v>
      </c>
      <c r="O55" s="14">
        <v>668.4942895058947</v>
      </c>
      <c r="P55" s="14">
        <v>73899999.960000008</v>
      </c>
      <c r="Q55" s="14">
        <f t="shared" si="6"/>
        <v>7.3899999960000018E-2</v>
      </c>
      <c r="R55" s="14">
        <v>9276848.256235972</v>
      </c>
      <c r="S55" s="14">
        <f t="shared" si="7"/>
        <v>9.2768482562359724E-3</v>
      </c>
      <c r="U55" s="12">
        <v>1960</v>
      </c>
      <c r="V55" s="14">
        <v>686614811.05347395</v>
      </c>
      <c r="W55" s="14">
        <f t="shared" si="2"/>
        <v>0.68661481105347399</v>
      </c>
      <c r="X55" s="33">
        <v>584142626.62652624</v>
      </c>
      <c r="Y55" s="14">
        <f t="shared" si="3"/>
        <v>0.58414262662652627</v>
      </c>
      <c r="AA55" s="12">
        <v>1960</v>
      </c>
      <c r="AB55" s="33">
        <v>475306262.74819034</v>
      </c>
      <c r="AC55" s="14">
        <f t="shared" si="8"/>
        <v>0.47530626274819038</v>
      </c>
      <c r="AD55" s="14">
        <v>543747913.33591402</v>
      </c>
      <c r="AE55" s="14">
        <f t="shared" si="9"/>
        <v>0.5437479133359141</v>
      </c>
    </row>
    <row r="56" spans="1:31" x14ac:dyDescent="0.25">
      <c r="A56" s="12">
        <v>1961</v>
      </c>
      <c r="B56" s="14">
        <v>643167486.71250725</v>
      </c>
      <c r="C56" s="14">
        <f t="shared" si="0"/>
        <v>0.64316748671250734</v>
      </c>
      <c r="D56" s="14">
        <v>521099113.59115779</v>
      </c>
      <c r="E56" s="14">
        <f t="shared" si="1"/>
        <v>0.52109911359115779</v>
      </c>
      <c r="F56" s="14">
        <v>90724996</v>
      </c>
      <c r="G56" s="14">
        <f t="shared" si="4"/>
        <v>9.0724996000000002E-2</v>
      </c>
      <c r="H56" s="14">
        <v>15814403.696334727</v>
      </c>
      <c r="I56" s="14">
        <f t="shared" si="5"/>
        <v>1.5814403696334727E-2</v>
      </c>
      <c r="K56" s="12">
        <v>1961</v>
      </c>
      <c r="L56" s="14">
        <v>384164777.0108996</v>
      </c>
      <c r="M56" s="14">
        <v>384.16477701089963</v>
      </c>
      <c r="N56" s="14">
        <v>722667141.69016838</v>
      </c>
      <c r="O56" s="14">
        <v>722.66714169016836</v>
      </c>
      <c r="P56" s="14">
        <v>78009999.960000008</v>
      </c>
      <c r="Q56" s="14">
        <f t="shared" si="6"/>
        <v>7.8009999960000007E-2</v>
      </c>
      <c r="R56" s="14">
        <v>10286327.896043167</v>
      </c>
      <c r="S56" s="14">
        <f t="shared" si="7"/>
        <v>1.0286327896043166E-2</v>
      </c>
      <c r="U56" s="12">
        <v>1961</v>
      </c>
      <c r="V56" s="14">
        <v>686614811.05347395</v>
      </c>
      <c r="W56" s="14">
        <f t="shared" si="2"/>
        <v>0.68661481105347399</v>
      </c>
      <c r="X56" s="33">
        <v>584142626.62652624</v>
      </c>
      <c r="Y56" s="14">
        <f t="shared" si="3"/>
        <v>0.58414262662652627</v>
      </c>
      <c r="AA56" s="12">
        <v>1961</v>
      </c>
      <c r="AB56" s="33">
        <v>475306262.74819034</v>
      </c>
      <c r="AC56" s="14">
        <f t="shared" si="8"/>
        <v>0.47530626274819038</v>
      </c>
      <c r="AD56" s="14">
        <v>543747913.33591402</v>
      </c>
      <c r="AE56" s="14">
        <f t="shared" si="9"/>
        <v>0.5437479133359141</v>
      </c>
    </row>
    <row r="57" spans="1:31" x14ac:dyDescent="0.25">
      <c r="A57" s="12">
        <v>1962</v>
      </c>
      <c r="B57" s="14">
        <v>728102026.27467775</v>
      </c>
      <c r="C57" s="14">
        <f t="shared" si="0"/>
        <v>0.72810202627467779</v>
      </c>
      <c r="D57" s="14">
        <v>431548285.93599999</v>
      </c>
      <c r="E57" s="14">
        <f t="shared" si="1"/>
        <v>0.43154828593600003</v>
      </c>
      <c r="F57" s="14">
        <v>95499996</v>
      </c>
      <c r="G57" s="14">
        <f t="shared" si="4"/>
        <v>9.5499996000000004E-2</v>
      </c>
      <c r="H57" s="14">
        <v>15655691.789322175</v>
      </c>
      <c r="I57" s="14">
        <f t="shared" si="5"/>
        <v>1.5655691789322176E-2</v>
      </c>
      <c r="K57" s="12">
        <v>1962</v>
      </c>
      <c r="L57" s="14">
        <v>442276264.67419249</v>
      </c>
      <c r="M57" s="14">
        <v>442.27626467419248</v>
      </c>
      <c r="N57" s="14">
        <v>610747094.5848</v>
      </c>
      <c r="O57" s="14">
        <v>610.74709458480004</v>
      </c>
      <c r="P57" s="14">
        <v>82119999.960000008</v>
      </c>
      <c r="Q57" s="14">
        <f t="shared" si="6"/>
        <v>8.2119999960000009E-2</v>
      </c>
      <c r="R57" s="14">
        <v>10608789.168207195</v>
      </c>
      <c r="S57" s="14">
        <f t="shared" si="7"/>
        <v>1.0608789168207195E-2</v>
      </c>
      <c r="U57" s="12">
        <v>1962</v>
      </c>
      <c r="V57" s="14">
        <v>686614811.05347395</v>
      </c>
      <c r="W57" s="14">
        <f t="shared" si="2"/>
        <v>0.68661481105347399</v>
      </c>
      <c r="X57" s="33">
        <v>584142626.62652624</v>
      </c>
      <c r="Y57" s="14">
        <f t="shared" si="3"/>
        <v>0.58414262662652627</v>
      </c>
      <c r="AA57" s="12">
        <v>1962</v>
      </c>
      <c r="AB57" s="33">
        <v>475306262.74819034</v>
      </c>
      <c r="AC57" s="14">
        <f t="shared" si="8"/>
        <v>0.47530626274819038</v>
      </c>
      <c r="AD57" s="14">
        <v>543747913.33591402</v>
      </c>
      <c r="AE57" s="14">
        <f t="shared" si="9"/>
        <v>0.5437479133359141</v>
      </c>
    </row>
    <row r="58" spans="1:31" x14ac:dyDescent="0.25">
      <c r="A58" s="12">
        <v>1963</v>
      </c>
      <c r="B58" s="14">
        <v>709041159.59727275</v>
      </c>
      <c r="C58" s="14">
        <f t="shared" si="0"/>
        <v>0.70904115959727276</v>
      </c>
      <c r="D58" s="14">
        <v>442994518.41052628</v>
      </c>
      <c r="E58" s="14">
        <f t="shared" si="1"/>
        <v>0.44299451841052628</v>
      </c>
      <c r="F58" s="14">
        <v>100274996</v>
      </c>
      <c r="G58" s="14">
        <f t="shared" si="4"/>
        <v>0.10027499600000001</v>
      </c>
      <c r="H58" s="14">
        <v>18495325.992200837</v>
      </c>
      <c r="I58" s="14">
        <f t="shared" si="5"/>
        <v>1.8495325992200839E-2</v>
      </c>
      <c r="K58" s="12">
        <v>1963</v>
      </c>
      <c r="L58" s="14">
        <v>428461109.83411449</v>
      </c>
      <c r="M58" s="14">
        <v>428.4611098341145</v>
      </c>
      <c r="N58" s="14">
        <v>634741064.47229469</v>
      </c>
      <c r="O58" s="14">
        <v>634.74106447229474</v>
      </c>
      <c r="P58" s="14">
        <v>86229999.960000008</v>
      </c>
      <c r="Q58" s="14">
        <f t="shared" si="6"/>
        <v>8.6229999960000012E-2</v>
      </c>
      <c r="R58" s="14">
        <v>11588559.002103599</v>
      </c>
      <c r="S58" s="14">
        <f t="shared" si="7"/>
        <v>1.15885590021036E-2</v>
      </c>
      <c r="U58" s="12">
        <v>1963</v>
      </c>
      <c r="V58" s="14">
        <v>686614811.05347395</v>
      </c>
      <c r="W58" s="14">
        <f t="shared" si="2"/>
        <v>0.68661481105347399</v>
      </c>
      <c r="X58" s="33">
        <v>584142626.62652624</v>
      </c>
      <c r="Y58" s="14">
        <f t="shared" si="3"/>
        <v>0.58414262662652627</v>
      </c>
      <c r="AA58" s="12">
        <v>1963</v>
      </c>
      <c r="AB58" s="33">
        <v>475306262.74819034</v>
      </c>
      <c r="AC58" s="14">
        <f t="shared" si="8"/>
        <v>0.47530626274819038</v>
      </c>
      <c r="AD58" s="14">
        <v>543747913.33591402</v>
      </c>
      <c r="AE58" s="14">
        <f t="shared" si="9"/>
        <v>0.5437479133359141</v>
      </c>
    </row>
    <row r="59" spans="1:31" x14ac:dyDescent="0.25">
      <c r="A59" s="12">
        <v>1964</v>
      </c>
      <c r="B59" s="14">
        <v>749951273.29849458</v>
      </c>
      <c r="C59" s="14">
        <f t="shared" si="0"/>
        <v>0.74995127329849465</v>
      </c>
      <c r="D59" s="14">
        <v>394789260.01852626</v>
      </c>
      <c r="E59" s="14">
        <f t="shared" si="1"/>
        <v>0.39478926001852627</v>
      </c>
      <c r="F59" s="14">
        <v>105049996</v>
      </c>
      <c r="G59" s="14">
        <f t="shared" si="4"/>
        <v>0.10504999600000001</v>
      </c>
      <c r="H59" s="14">
        <v>21015470.682979077</v>
      </c>
      <c r="I59" s="14">
        <f t="shared" si="5"/>
        <v>2.1015470682979077E-2</v>
      </c>
      <c r="K59" s="12">
        <v>1964</v>
      </c>
      <c r="L59" s="14">
        <v>456738988.23698986</v>
      </c>
      <c r="M59" s="14">
        <v>456.73898823698983</v>
      </c>
      <c r="N59" s="14">
        <v>576859686.48669469</v>
      </c>
      <c r="O59" s="14">
        <v>576.85968648669473</v>
      </c>
      <c r="P59" s="14">
        <v>90339999.960000008</v>
      </c>
      <c r="Q59" s="14">
        <f t="shared" si="6"/>
        <v>9.0339999960000014E-2</v>
      </c>
      <c r="R59" s="14">
        <v>12907122.873982735</v>
      </c>
      <c r="S59" s="14">
        <f t="shared" si="7"/>
        <v>1.2907122873982735E-2</v>
      </c>
      <c r="U59" s="12">
        <v>1964</v>
      </c>
      <c r="V59" s="14">
        <v>686614811.05347395</v>
      </c>
      <c r="W59" s="14">
        <f t="shared" si="2"/>
        <v>0.68661481105347399</v>
      </c>
      <c r="X59" s="33">
        <v>584142626.62652624</v>
      </c>
      <c r="Y59" s="14">
        <f t="shared" si="3"/>
        <v>0.58414262662652627</v>
      </c>
      <c r="AA59" s="12">
        <v>1964</v>
      </c>
      <c r="AB59" s="33">
        <v>475306262.74819034</v>
      </c>
      <c r="AC59" s="14">
        <f t="shared" si="8"/>
        <v>0.47530626274819038</v>
      </c>
      <c r="AD59" s="14">
        <v>543747913.33591402</v>
      </c>
      <c r="AE59" s="14">
        <f t="shared" si="9"/>
        <v>0.5437479133359141</v>
      </c>
    </row>
    <row r="60" spans="1:31" x14ac:dyDescent="0.25">
      <c r="A60" s="12">
        <v>1965</v>
      </c>
      <c r="B60" s="14">
        <v>700263636.63542295</v>
      </c>
      <c r="C60" s="14">
        <f t="shared" si="0"/>
        <v>0.70026363663542301</v>
      </c>
      <c r="D60" s="14">
        <v>433371705.03326321</v>
      </c>
      <c r="E60" s="14">
        <f t="shared" si="1"/>
        <v>0.43337170503326322</v>
      </c>
      <c r="F60" s="14">
        <v>109824996</v>
      </c>
      <c r="G60" s="14">
        <f t="shared" si="4"/>
        <v>0.10982499600000001</v>
      </c>
      <c r="H60" s="14">
        <v>27345662.331313804</v>
      </c>
      <c r="I60" s="14">
        <f t="shared" si="5"/>
        <v>2.7345662331313806E-2</v>
      </c>
      <c r="K60" s="12">
        <v>1965</v>
      </c>
      <c r="L60" s="14">
        <v>420553588.47422636</v>
      </c>
      <c r="M60" s="14">
        <v>420.55358847422633</v>
      </c>
      <c r="N60" s="14">
        <v>639157089.21054733</v>
      </c>
      <c r="O60" s="14">
        <v>639.15708921054738</v>
      </c>
      <c r="P60" s="14">
        <v>94449999.960000008</v>
      </c>
      <c r="Q60" s="14">
        <f t="shared" si="6"/>
        <v>9.4449999960000017E-2</v>
      </c>
      <c r="R60" s="14">
        <v>16468002.007922305</v>
      </c>
      <c r="S60" s="14">
        <f t="shared" si="7"/>
        <v>1.6468002007922304E-2</v>
      </c>
      <c r="U60" s="12">
        <v>1965</v>
      </c>
      <c r="V60" s="14">
        <v>686614811.05347395</v>
      </c>
      <c r="W60" s="14">
        <f t="shared" si="2"/>
        <v>0.68661481105347399</v>
      </c>
      <c r="X60" s="33">
        <v>584142626.62652624</v>
      </c>
      <c r="Y60" s="14">
        <f t="shared" si="3"/>
        <v>0.58414262662652627</v>
      </c>
      <c r="AA60" s="12">
        <v>1965</v>
      </c>
      <c r="AB60" s="33">
        <v>475306262.74819034</v>
      </c>
      <c r="AC60" s="14">
        <f t="shared" si="8"/>
        <v>0.47530626274819038</v>
      </c>
      <c r="AD60" s="14">
        <v>543747913.33591402</v>
      </c>
      <c r="AE60" s="14">
        <f t="shared" si="9"/>
        <v>0.5437479133359141</v>
      </c>
    </row>
    <row r="61" spans="1:31" x14ac:dyDescent="0.25">
      <c r="A61" s="12">
        <v>1966</v>
      </c>
      <c r="B61" s="14">
        <v>702922389.70745635</v>
      </c>
      <c r="C61" s="14">
        <f t="shared" si="0"/>
        <v>0.70292238970745635</v>
      </c>
      <c r="D61" s="14">
        <v>422561994.5612632</v>
      </c>
      <c r="E61" s="14">
        <f t="shared" si="1"/>
        <v>0.42256199456126325</v>
      </c>
      <c r="F61" s="14">
        <v>114599996</v>
      </c>
      <c r="G61" s="14">
        <f t="shared" si="4"/>
        <v>0.11459999600000001</v>
      </c>
      <c r="H61" s="14">
        <v>30721619.731280338</v>
      </c>
      <c r="I61" s="14">
        <f t="shared" si="5"/>
        <v>3.072161973128034E-2</v>
      </c>
      <c r="K61" s="12">
        <v>1966</v>
      </c>
      <c r="L61" s="14">
        <v>417864098.88760364</v>
      </c>
      <c r="M61" s="14">
        <v>417.86409888760363</v>
      </c>
      <c r="N61" s="14">
        <v>638332997.53374743</v>
      </c>
      <c r="O61" s="14">
        <v>638.3329975337474</v>
      </c>
      <c r="P61" s="14">
        <v>98559999.960000008</v>
      </c>
      <c r="Q61" s="14">
        <f t="shared" si="6"/>
        <v>9.8559999960000019E-2</v>
      </c>
      <c r="R61" s="14">
        <v>18249337.545749642</v>
      </c>
      <c r="S61" s="14">
        <f t="shared" si="7"/>
        <v>1.8249337545749644E-2</v>
      </c>
      <c r="U61" s="12">
        <v>1966</v>
      </c>
      <c r="V61" s="14">
        <v>686614811.05347395</v>
      </c>
      <c r="W61" s="14">
        <f t="shared" si="2"/>
        <v>0.68661481105347399</v>
      </c>
      <c r="X61" s="33">
        <v>584142626.62652624</v>
      </c>
      <c r="Y61" s="14">
        <f t="shared" si="3"/>
        <v>0.58414262662652627</v>
      </c>
      <c r="AA61" s="12">
        <v>1966</v>
      </c>
      <c r="AB61" s="33">
        <v>475306262.74819034</v>
      </c>
      <c r="AC61" s="14">
        <f t="shared" si="8"/>
        <v>0.47530626274819038</v>
      </c>
      <c r="AD61" s="14">
        <v>543747913.33591402</v>
      </c>
      <c r="AE61" s="14">
        <f t="shared" si="9"/>
        <v>0.5437479133359141</v>
      </c>
    </row>
    <row r="62" spans="1:31" x14ac:dyDescent="0.25">
      <c r="A62" s="12">
        <v>1967</v>
      </c>
      <c r="B62" s="14">
        <v>683323257.02956879</v>
      </c>
      <c r="C62" s="14">
        <f t="shared" si="0"/>
        <v>0.68332325702956886</v>
      </c>
      <c r="D62" s="14">
        <v>427004266.57136834</v>
      </c>
      <c r="E62" s="14">
        <f t="shared" si="1"/>
        <v>0.42700426657136836</v>
      </c>
      <c r="F62" s="14">
        <v>119374996</v>
      </c>
      <c r="G62" s="14">
        <f t="shared" si="4"/>
        <v>0.11937499600000001</v>
      </c>
      <c r="H62" s="14">
        <v>41103480.39906276</v>
      </c>
      <c r="I62" s="14">
        <f t="shared" si="5"/>
        <v>4.110348039906276E-2</v>
      </c>
      <c r="K62" s="12">
        <v>1967</v>
      </c>
      <c r="L62" s="14">
        <v>404707118.99147266</v>
      </c>
      <c r="M62" s="14">
        <v>404.70711899147267</v>
      </c>
      <c r="N62" s="14">
        <v>647283015.68252623</v>
      </c>
      <c r="O62" s="14">
        <v>647.28301568252618</v>
      </c>
      <c r="P62" s="14">
        <v>102669999.96000001</v>
      </c>
      <c r="Q62" s="14">
        <f t="shared" si="6"/>
        <v>0.10266999996000001</v>
      </c>
      <c r="R62" s="14">
        <v>26635412.177073386</v>
      </c>
      <c r="S62" s="14">
        <f t="shared" si="7"/>
        <v>2.6635412177073388E-2</v>
      </c>
      <c r="U62" s="12">
        <v>1967</v>
      </c>
      <c r="V62" s="14">
        <v>686614811.05347395</v>
      </c>
      <c r="W62" s="14">
        <f t="shared" si="2"/>
        <v>0.68661481105347399</v>
      </c>
      <c r="X62" s="33">
        <v>584142626.62652624</v>
      </c>
      <c r="Y62" s="14">
        <f t="shared" si="3"/>
        <v>0.58414262662652627</v>
      </c>
      <c r="AA62" s="12">
        <v>1967</v>
      </c>
      <c r="AB62" s="33">
        <v>475306262.74819034</v>
      </c>
      <c r="AC62" s="14">
        <f t="shared" si="8"/>
        <v>0.47530626274819038</v>
      </c>
      <c r="AD62" s="14">
        <v>543747913.33591402</v>
      </c>
      <c r="AE62" s="14">
        <f t="shared" si="9"/>
        <v>0.5437479133359141</v>
      </c>
    </row>
    <row r="63" spans="1:31" x14ac:dyDescent="0.25">
      <c r="A63" s="12">
        <v>1968</v>
      </c>
      <c r="B63" s="14">
        <v>687912203.62752855</v>
      </c>
      <c r="C63" s="14">
        <f t="shared" si="0"/>
        <v>0.68791220362752858</v>
      </c>
      <c r="D63" s="14">
        <v>411264168.38442117</v>
      </c>
      <c r="E63" s="14">
        <f t="shared" si="1"/>
        <v>0.4112641683844212</v>
      </c>
      <c r="F63" s="14">
        <v>124149996</v>
      </c>
      <c r="G63" s="14">
        <f t="shared" si="4"/>
        <v>0.12414999600000001</v>
      </c>
      <c r="H63" s="14">
        <v>47479631.988050215</v>
      </c>
      <c r="I63" s="14">
        <f t="shared" si="5"/>
        <v>4.7479631988050219E-2</v>
      </c>
      <c r="K63" s="12">
        <v>1968</v>
      </c>
      <c r="L63" s="14">
        <v>404739407.13379705</v>
      </c>
      <c r="M63" s="14">
        <v>404.73940713379704</v>
      </c>
      <c r="N63" s="14">
        <v>638113468.89511585</v>
      </c>
      <c r="O63" s="14">
        <v>638.11346889511583</v>
      </c>
      <c r="P63" s="14">
        <v>106779999.96000001</v>
      </c>
      <c r="Q63" s="14">
        <f t="shared" si="6"/>
        <v>0.10677999996000001</v>
      </c>
      <c r="R63" s="14">
        <v>31485181.701850366</v>
      </c>
      <c r="S63" s="14">
        <f t="shared" si="7"/>
        <v>3.148518170185037E-2</v>
      </c>
      <c r="U63" s="12">
        <v>1968</v>
      </c>
      <c r="V63" s="14">
        <v>686614811.05347395</v>
      </c>
      <c r="W63" s="14">
        <f t="shared" si="2"/>
        <v>0.68661481105347399</v>
      </c>
      <c r="X63" s="33">
        <v>584142626.62652624</v>
      </c>
      <c r="Y63" s="14">
        <f t="shared" si="3"/>
        <v>0.58414262662652627</v>
      </c>
      <c r="AA63" s="12">
        <v>1968</v>
      </c>
      <c r="AB63" s="33">
        <v>475306262.74819034</v>
      </c>
      <c r="AC63" s="14">
        <f t="shared" si="8"/>
        <v>0.47530626274819038</v>
      </c>
      <c r="AD63" s="14">
        <v>543747913.33591402</v>
      </c>
      <c r="AE63" s="14">
        <f t="shared" si="9"/>
        <v>0.5437479133359141</v>
      </c>
    </row>
    <row r="64" spans="1:31" x14ac:dyDescent="0.25">
      <c r="A64" s="12">
        <v>1969</v>
      </c>
      <c r="B64" s="14">
        <v>761234568.52328742</v>
      </c>
      <c r="C64" s="14">
        <f t="shared" si="0"/>
        <v>0.76123456852328741</v>
      </c>
      <c r="D64" s="14">
        <v>326765232.76421046</v>
      </c>
      <c r="E64" s="14">
        <f t="shared" si="1"/>
        <v>0.32676523276421049</v>
      </c>
      <c r="F64" s="14">
        <v>128924996</v>
      </c>
      <c r="G64" s="14">
        <f t="shared" si="4"/>
        <v>0.12892499600000001</v>
      </c>
      <c r="H64" s="14">
        <v>53881202.712502085</v>
      </c>
      <c r="I64" s="14">
        <f t="shared" si="5"/>
        <v>5.3881202712502088E-2</v>
      </c>
      <c r="K64" s="12">
        <v>1969</v>
      </c>
      <c r="L64" s="14">
        <v>453022127.4123705</v>
      </c>
      <c r="M64" s="14">
        <v>453.02212741237048</v>
      </c>
      <c r="N64" s="14">
        <v>536711441.47915787</v>
      </c>
      <c r="O64" s="14">
        <v>536.71144147915788</v>
      </c>
      <c r="P64" s="14">
        <v>110889999.96000001</v>
      </c>
      <c r="Q64" s="14">
        <f t="shared" si="6"/>
        <v>0.11088999996000001</v>
      </c>
      <c r="R64" s="14">
        <v>35083408.416103594</v>
      </c>
      <c r="S64" s="14">
        <f t="shared" si="7"/>
        <v>3.5083408416103599E-2</v>
      </c>
      <c r="U64" s="12">
        <v>1969</v>
      </c>
      <c r="V64" s="14">
        <v>686614811.05347395</v>
      </c>
      <c r="W64" s="14">
        <f t="shared" si="2"/>
        <v>0.68661481105347399</v>
      </c>
      <c r="X64" s="33">
        <v>584142626.62652624</v>
      </c>
      <c r="Y64" s="14">
        <f t="shared" si="3"/>
        <v>0.58414262662652627</v>
      </c>
      <c r="AA64" s="12">
        <v>1969</v>
      </c>
      <c r="AB64" s="33">
        <v>475306262.74819034</v>
      </c>
      <c r="AC64" s="14">
        <f t="shared" si="8"/>
        <v>0.47530626274819038</v>
      </c>
      <c r="AD64" s="14">
        <v>543747913.33591402</v>
      </c>
      <c r="AE64" s="14">
        <f t="shared" si="9"/>
        <v>0.5437479133359141</v>
      </c>
    </row>
    <row r="65" spans="1:31" x14ac:dyDescent="0.25">
      <c r="A65" s="12">
        <v>1970</v>
      </c>
      <c r="B65" s="14">
        <v>868548785.82444036</v>
      </c>
      <c r="C65" s="14">
        <f t="shared" si="0"/>
        <v>0.86854878582444039</v>
      </c>
      <c r="D65" s="14">
        <v>204000000</v>
      </c>
      <c r="E65" s="14">
        <f t="shared" si="1"/>
        <v>0.20400000000000001</v>
      </c>
      <c r="F65" s="14">
        <v>133699996</v>
      </c>
      <c r="G65" s="14">
        <f t="shared" si="4"/>
        <v>0.13369999600000002</v>
      </c>
      <c r="H65" s="14">
        <v>64769887.608401664</v>
      </c>
      <c r="I65" s="14">
        <f t="shared" si="5"/>
        <v>6.4769887608401674E-2</v>
      </c>
      <c r="K65" s="12">
        <v>1970</v>
      </c>
      <c r="L65" s="14">
        <v>520331706.58334482</v>
      </c>
      <c r="M65" s="14">
        <v>520.33170658334484</v>
      </c>
      <c r="N65" s="14">
        <v>393960962.29096848</v>
      </c>
      <c r="O65" s="14">
        <v>393.9609622909685</v>
      </c>
      <c r="P65" s="14">
        <v>114999999.96000001</v>
      </c>
      <c r="Q65" s="14">
        <f t="shared" si="6"/>
        <v>0.11499999996000002</v>
      </c>
      <c r="R65" s="14">
        <v>42987664.497729503</v>
      </c>
      <c r="S65" s="14">
        <f t="shared" si="7"/>
        <v>4.2987664497729505E-2</v>
      </c>
      <c r="U65" s="12">
        <v>1970</v>
      </c>
      <c r="V65" s="14">
        <v>686614811.05347395</v>
      </c>
      <c r="W65" s="14">
        <f t="shared" si="2"/>
        <v>0.68661481105347399</v>
      </c>
      <c r="X65" s="33">
        <v>584142626.62652624</v>
      </c>
      <c r="Y65" s="14">
        <f t="shared" si="3"/>
        <v>0.58414262662652627</v>
      </c>
      <c r="AA65" s="12">
        <v>1970</v>
      </c>
      <c r="AB65" s="33">
        <v>475306262.74819034</v>
      </c>
      <c r="AC65" s="14">
        <f t="shared" si="8"/>
        <v>0.47530626274819038</v>
      </c>
      <c r="AD65" s="14">
        <v>543747913.33591402</v>
      </c>
      <c r="AE65" s="14">
        <f t="shared" si="9"/>
        <v>0.5437479133359141</v>
      </c>
    </row>
    <row r="66" spans="1:31" x14ac:dyDescent="0.25">
      <c r="A66" s="12">
        <v>1971</v>
      </c>
      <c r="B66" s="14">
        <v>738248347.97049093</v>
      </c>
      <c r="C66" s="14">
        <f t="shared" si="0"/>
        <v>0.73824834797049099</v>
      </c>
      <c r="D66" s="14">
        <v>316926692.46242106</v>
      </c>
      <c r="E66" s="14">
        <f t="shared" si="1"/>
        <v>0.31692669246242106</v>
      </c>
      <c r="F66" s="14">
        <v>135169226.77000001</v>
      </c>
      <c r="G66" s="14">
        <f t="shared" si="4"/>
        <v>0.13516922677000001</v>
      </c>
      <c r="H66" s="14">
        <v>80461732.797087863</v>
      </c>
      <c r="I66" s="14">
        <f t="shared" si="5"/>
        <v>8.0461732797087862E-2</v>
      </c>
      <c r="K66" s="12">
        <v>1971</v>
      </c>
      <c r="L66" s="14">
        <v>436607457.71069747</v>
      </c>
      <c r="M66" s="14">
        <v>436.60745771069747</v>
      </c>
      <c r="N66" s="14">
        <v>532538935.14951587</v>
      </c>
      <c r="O66" s="14">
        <v>532.53893514951585</v>
      </c>
      <c r="P66" s="14">
        <v>116256410.21600001</v>
      </c>
      <c r="Q66" s="14">
        <f t="shared" si="6"/>
        <v>0.11625641021600001</v>
      </c>
      <c r="R66" s="14">
        <v>54451208.62299569</v>
      </c>
      <c r="S66" s="14">
        <f t="shared" si="7"/>
        <v>5.4451208622995691E-2</v>
      </c>
      <c r="U66" s="12">
        <v>1971</v>
      </c>
      <c r="V66" s="14">
        <v>686614811.05347395</v>
      </c>
      <c r="W66" s="14">
        <f t="shared" si="2"/>
        <v>0.68661481105347399</v>
      </c>
      <c r="X66" s="33">
        <v>584142626.62652624</v>
      </c>
      <c r="Y66" s="14">
        <f t="shared" si="3"/>
        <v>0.58414262662652627</v>
      </c>
      <c r="AA66" s="12">
        <v>1971</v>
      </c>
      <c r="AB66" s="33">
        <v>475306262.74819034</v>
      </c>
      <c r="AC66" s="14">
        <f t="shared" si="8"/>
        <v>0.47530626274819038</v>
      </c>
      <c r="AD66" s="14">
        <v>543747913.33591402</v>
      </c>
      <c r="AE66" s="14">
        <f t="shared" si="9"/>
        <v>0.5437479133359141</v>
      </c>
    </row>
    <row r="67" spans="1:31" x14ac:dyDescent="0.25">
      <c r="A67" s="12">
        <v>1972</v>
      </c>
      <c r="B67" s="14">
        <v>702100969.24031532</v>
      </c>
      <c r="C67" s="14">
        <f t="shared" si="0"/>
        <v>0.7021009692403154</v>
      </c>
      <c r="D67" s="14">
        <v>342482186.14842105</v>
      </c>
      <c r="E67" s="14">
        <f t="shared" si="1"/>
        <v>0.34248218614842107</v>
      </c>
      <c r="F67" s="14">
        <v>136638457.54000002</v>
      </c>
      <c r="G67" s="14">
        <f t="shared" si="4"/>
        <v>0.13663845754000004</v>
      </c>
      <c r="H67" s="14">
        <v>89584387.071263611</v>
      </c>
      <c r="I67" s="14">
        <f t="shared" si="5"/>
        <v>8.9584387071263621E-2</v>
      </c>
      <c r="K67" s="12">
        <v>1972</v>
      </c>
      <c r="L67" s="14">
        <v>411899340.40436608</v>
      </c>
      <c r="M67" s="14">
        <v>411.89934040436606</v>
      </c>
      <c r="N67" s="14">
        <v>564100413.48791587</v>
      </c>
      <c r="O67" s="14">
        <v>564.10041348791583</v>
      </c>
      <c r="P67" s="14">
        <v>117512820.472</v>
      </c>
      <c r="Q67" s="14">
        <f t="shared" si="6"/>
        <v>0.11751282047200001</v>
      </c>
      <c r="R67" s="14">
        <v>63820332.344546773</v>
      </c>
      <c r="S67" s="14">
        <f t="shared" si="7"/>
        <v>6.3820332344546774E-2</v>
      </c>
      <c r="U67" s="12">
        <v>1972</v>
      </c>
      <c r="V67" s="14">
        <v>686614811.05347395</v>
      </c>
      <c r="W67" s="14">
        <f t="shared" si="2"/>
        <v>0.68661481105347399</v>
      </c>
      <c r="X67" s="33">
        <v>584142626.62652624</v>
      </c>
      <c r="Y67" s="14">
        <f t="shared" si="3"/>
        <v>0.58414262662652627</v>
      </c>
      <c r="AA67" s="12">
        <v>1972</v>
      </c>
      <c r="AB67" s="33">
        <v>475306262.74819034</v>
      </c>
      <c r="AC67" s="14">
        <f t="shared" si="8"/>
        <v>0.47530626274819038</v>
      </c>
      <c r="AD67" s="14">
        <v>543747913.33591402</v>
      </c>
      <c r="AE67" s="14">
        <f t="shared" si="9"/>
        <v>0.5437479133359141</v>
      </c>
    </row>
    <row r="68" spans="1:31" x14ac:dyDescent="0.25">
      <c r="A68" s="12">
        <v>1973</v>
      </c>
      <c r="B68" s="14">
        <v>662785990.22439992</v>
      </c>
      <c r="C68" s="14">
        <f t="shared" si="0"/>
        <v>0.66278599022439999</v>
      </c>
      <c r="D68" s="14">
        <v>369381308.50894737</v>
      </c>
      <c r="E68" s="14">
        <f t="shared" si="1"/>
        <v>0.3693813085089474</v>
      </c>
      <c r="F68" s="14">
        <v>138107688.31000003</v>
      </c>
      <c r="G68" s="14">
        <f t="shared" si="4"/>
        <v>0.13810768831000003</v>
      </c>
      <c r="H68" s="14">
        <v>100531012.95665272</v>
      </c>
      <c r="I68" s="14">
        <f t="shared" si="5"/>
        <v>0.10053101295665272</v>
      </c>
      <c r="K68" s="12">
        <v>1973</v>
      </c>
      <c r="L68" s="14">
        <v>389715971.1345827</v>
      </c>
      <c r="M68" s="14">
        <v>389.71597113458267</v>
      </c>
      <c r="N68" s="14">
        <v>589743861.7242105</v>
      </c>
      <c r="O68" s="14">
        <v>589.74386172421055</v>
      </c>
      <c r="P68" s="14">
        <v>118769230.728</v>
      </c>
      <c r="Q68" s="14">
        <f t="shared" si="6"/>
        <v>0.11876923072800001</v>
      </c>
      <c r="R68" s="14">
        <v>75553402.571079135</v>
      </c>
      <c r="S68" s="14">
        <f t="shared" si="7"/>
        <v>7.5553402571079134E-2</v>
      </c>
      <c r="U68" s="12">
        <v>1973</v>
      </c>
      <c r="V68" s="14">
        <v>686614811.05347395</v>
      </c>
      <c r="W68" s="14">
        <f t="shared" si="2"/>
        <v>0.68661481105347399</v>
      </c>
      <c r="X68" s="33">
        <v>584142626.62652624</v>
      </c>
      <c r="Y68" s="14">
        <f t="shared" si="3"/>
        <v>0.58414262662652627</v>
      </c>
      <c r="AA68" s="12">
        <v>1973</v>
      </c>
      <c r="AB68" s="33">
        <v>475306262.74819034</v>
      </c>
      <c r="AC68" s="14">
        <f t="shared" si="8"/>
        <v>0.47530626274819038</v>
      </c>
      <c r="AD68" s="14">
        <v>543747913.33591402</v>
      </c>
      <c r="AE68" s="14">
        <f t="shared" si="9"/>
        <v>0.5437479133359141</v>
      </c>
    </row>
    <row r="69" spans="1:31" x14ac:dyDescent="0.25">
      <c r="A69" s="12">
        <v>1974</v>
      </c>
      <c r="B69" s="14">
        <v>699134867.46278608</v>
      </c>
      <c r="C69" s="14">
        <f t="shared" si="0"/>
        <v>0.69913486746278608</v>
      </c>
      <c r="D69" s="14">
        <v>318434626.89473677</v>
      </c>
      <c r="E69" s="14">
        <f t="shared" si="1"/>
        <v>0.31843462689473678</v>
      </c>
      <c r="F69" s="14">
        <v>139576919.08000004</v>
      </c>
      <c r="G69" s="14">
        <f t="shared" si="4"/>
        <v>0.13957691908000006</v>
      </c>
      <c r="H69" s="14">
        <v>113659586.56247699</v>
      </c>
      <c r="I69" s="14">
        <f t="shared" si="5"/>
        <v>0.113659586562477</v>
      </c>
      <c r="K69" s="12">
        <v>1974</v>
      </c>
      <c r="L69" s="14">
        <v>409252498.62348253</v>
      </c>
      <c r="M69" s="14">
        <v>409.25249862348255</v>
      </c>
      <c r="N69" s="14">
        <v>530086193.01705253</v>
      </c>
      <c r="O69" s="14">
        <v>530.08619301705255</v>
      </c>
      <c r="P69" s="14">
        <v>120025640.984</v>
      </c>
      <c r="Q69" s="14">
        <f t="shared" si="6"/>
        <v>0.12002564098400001</v>
      </c>
      <c r="R69" s="14">
        <v>89730563.29546763</v>
      </c>
      <c r="S69" s="14">
        <f t="shared" si="7"/>
        <v>8.9730563295467636E-2</v>
      </c>
      <c r="U69" s="12">
        <v>1974</v>
      </c>
      <c r="V69" s="14">
        <v>686614811.05347395</v>
      </c>
      <c r="W69" s="14">
        <f t="shared" si="2"/>
        <v>0.68661481105347399</v>
      </c>
      <c r="X69" s="33">
        <v>584142626.62652624</v>
      </c>
      <c r="Y69" s="14">
        <f t="shared" si="3"/>
        <v>0.58414262662652627</v>
      </c>
      <c r="AA69" s="12">
        <v>1974</v>
      </c>
      <c r="AB69" s="33">
        <v>475306262.74819034</v>
      </c>
      <c r="AC69" s="14">
        <f t="shared" si="8"/>
        <v>0.47530626274819038</v>
      </c>
      <c r="AD69" s="14">
        <v>543747913.33591402</v>
      </c>
      <c r="AE69" s="14">
        <f t="shared" si="9"/>
        <v>0.5437479133359141</v>
      </c>
    </row>
    <row r="70" spans="1:31" x14ac:dyDescent="0.25">
      <c r="A70" s="12">
        <v>1975</v>
      </c>
      <c r="B70" s="14">
        <v>694572609.35235405</v>
      </c>
      <c r="C70" s="14">
        <f t="shared" ref="C70:C104" si="10">B70*0.000000001</f>
        <v>0.6945726093523541</v>
      </c>
      <c r="D70" s="14">
        <v>310108776.94157887</v>
      </c>
      <c r="E70" s="14">
        <f t="shared" ref="E70:E104" si="11">D70*0.000000001</f>
        <v>0.3101087769415789</v>
      </c>
      <c r="F70" s="14">
        <v>141046149.85000005</v>
      </c>
      <c r="G70" s="14">
        <f t="shared" si="4"/>
        <v>0.14104614985000005</v>
      </c>
      <c r="H70" s="14">
        <v>125078463.85606694</v>
      </c>
      <c r="I70" s="14">
        <f t="shared" si="5"/>
        <v>0.12507846385606694</v>
      </c>
      <c r="K70" s="12">
        <v>1975</v>
      </c>
      <c r="L70" s="14">
        <v>413370007.10958207</v>
      </c>
      <c r="M70" s="14">
        <v>413.37000710958205</v>
      </c>
      <c r="N70" s="14">
        <v>512074485.00968415</v>
      </c>
      <c r="O70" s="14">
        <v>512.07448500968417</v>
      </c>
      <c r="P70" s="14">
        <v>121282051.23999999</v>
      </c>
      <c r="Q70" s="14">
        <f t="shared" si="6"/>
        <v>0.12128205124000001</v>
      </c>
      <c r="R70" s="14">
        <v>106208346.70034535</v>
      </c>
      <c r="S70" s="14">
        <f t="shared" si="7"/>
        <v>0.10620834670034536</v>
      </c>
      <c r="U70" s="12">
        <v>1975</v>
      </c>
      <c r="V70" s="14">
        <v>686614811.05347395</v>
      </c>
      <c r="W70" s="14">
        <f t="shared" ref="W70:W104" si="12">V70*0.000000001</f>
        <v>0.68661481105347399</v>
      </c>
      <c r="X70" s="33">
        <v>584142626.62652624</v>
      </c>
      <c r="Y70" s="14">
        <f t="shared" ref="Y70:Y104" si="13">X70*0.000000001</f>
        <v>0.58414262662652627</v>
      </c>
      <c r="AA70" s="12">
        <v>1975</v>
      </c>
      <c r="AB70" s="33">
        <v>475306262.74819034</v>
      </c>
      <c r="AC70" s="14">
        <f t="shared" si="8"/>
        <v>0.47530626274819038</v>
      </c>
      <c r="AD70" s="14">
        <v>543747913.33591402</v>
      </c>
      <c r="AE70" s="14">
        <f t="shared" si="9"/>
        <v>0.5437479133359141</v>
      </c>
    </row>
    <row r="71" spans="1:31" x14ac:dyDescent="0.25">
      <c r="A71" s="12">
        <v>1976</v>
      </c>
      <c r="B71" s="14">
        <v>723922163.18135393</v>
      </c>
      <c r="C71" s="14">
        <f t="shared" si="10"/>
        <v>0.72392216318135394</v>
      </c>
      <c r="D71" s="14">
        <v>273897988.55894727</v>
      </c>
      <c r="E71" s="14">
        <f t="shared" si="11"/>
        <v>0.27389798855894726</v>
      </c>
      <c r="F71" s="14">
        <v>142515380.62000006</v>
      </c>
      <c r="G71" s="14">
        <f t="shared" si="4"/>
        <v>0.14251538062000008</v>
      </c>
      <c r="H71" s="14">
        <v>130470467.63969874</v>
      </c>
      <c r="I71" s="14">
        <f t="shared" si="5"/>
        <v>0.13047046763969875</v>
      </c>
      <c r="K71" s="12">
        <v>1976</v>
      </c>
      <c r="L71" s="14">
        <v>428273362.54603875</v>
      </c>
      <c r="M71" s="14">
        <v>428.27336254603875</v>
      </c>
      <c r="N71" s="14">
        <v>476081393.41221046</v>
      </c>
      <c r="O71" s="14">
        <v>476.08139341221045</v>
      </c>
      <c r="P71" s="14">
        <v>122538461.49599999</v>
      </c>
      <c r="Q71" s="14">
        <f t="shared" si="6"/>
        <v>0.12253846149600001</v>
      </c>
      <c r="R71" s="14">
        <v>111762401.65187052</v>
      </c>
      <c r="S71" s="14">
        <f t="shared" si="7"/>
        <v>0.11176240165187053</v>
      </c>
      <c r="U71" s="12">
        <v>1976</v>
      </c>
      <c r="V71" s="14">
        <v>686614811.05347395</v>
      </c>
      <c r="W71" s="14">
        <f t="shared" si="12"/>
        <v>0.68661481105347399</v>
      </c>
      <c r="X71" s="33">
        <v>584142626.62652624</v>
      </c>
      <c r="Y71" s="14">
        <f t="shared" si="13"/>
        <v>0.58414262662652627</v>
      </c>
      <c r="AA71" s="12">
        <v>1976</v>
      </c>
      <c r="AB71" s="33">
        <v>475306262.74819034</v>
      </c>
      <c r="AC71" s="14">
        <f t="shared" si="8"/>
        <v>0.47530626274819038</v>
      </c>
      <c r="AD71" s="14">
        <v>543747913.33591402</v>
      </c>
      <c r="AE71" s="14">
        <f t="shared" si="9"/>
        <v>0.5437479133359141</v>
      </c>
    </row>
    <row r="72" spans="1:31" x14ac:dyDescent="0.25">
      <c r="A72" s="12">
        <v>1977</v>
      </c>
      <c r="B72" s="14">
        <v>735508894.99649251</v>
      </c>
      <c r="C72" s="14">
        <f t="shared" si="10"/>
        <v>0.73550889499649252</v>
      </c>
      <c r="D72" s="14">
        <v>224466413.01421043</v>
      </c>
      <c r="E72" s="14">
        <f t="shared" si="11"/>
        <v>0.22446641301421044</v>
      </c>
      <c r="F72" s="14">
        <v>143984611.39000008</v>
      </c>
      <c r="G72" s="14">
        <f t="shared" si="4"/>
        <v>0.14398461139000007</v>
      </c>
      <c r="H72" s="14">
        <v>166846080.59929708</v>
      </c>
      <c r="I72" s="14">
        <f t="shared" si="5"/>
        <v>0.16684608059929709</v>
      </c>
      <c r="K72" s="12">
        <v>1977</v>
      </c>
      <c r="L72" s="14">
        <v>428936734.21875715</v>
      </c>
      <c r="M72" s="14">
        <v>428.93673421875712</v>
      </c>
      <c r="N72" s="14">
        <v>423112913.5551579</v>
      </c>
      <c r="O72" s="14">
        <v>423.11291355515789</v>
      </c>
      <c r="P72" s="14">
        <v>123794871.75199999</v>
      </c>
      <c r="Q72" s="14">
        <f t="shared" si="6"/>
        <v>0.12379487175199999</v>
      </c>
      <c r="R72" s="14">
        <v>138816386.28998563</v>
      </c>
      <c r="S72" s="14">
        <f t="shared" si="7"/>
        <v>0.13881638628998563</v>
      </c>
      <c r="U72" s="12">
        <v>1977</v>
      </c>
      <c r="V72" s="14">
        <v>686614811.05347395</v>
      </c>
      <c r="W72" s="14">
        <f t="shared" si="12"/>
        <v>0.68661481105347399</v>
      </c>
      <c r="X72" s="33">
        <v>584142626.62652624</v>
      </c>
      <c r="Y72" s="14">
        <f t="shared" si="13"/>
        <v>0.58414262662652627</v>
      </c>
      <c r="AA72" s="12">
        <v>1977</v>
      </c>
      <c r="AB72" s="33">
        <v>475306262.74819034</v>
      </c>
      <c r="AC72" s="14">
        <f t="shared" si="8"/>
        <v>0.47530626274819038</v>
      </c>
      <c r="AD72" s="14">
        <v>543747913.33591402</v>
      </c>
      <c r="AE72" s="14">
        <f t="shared" si="9"/>
        <v>0.5437479133359141</v>
      </c>
    </row>
    <row r="73" spans="1:31" x14ac:dyDescent="0.25">
      <c r="A73" s="12">
        <v>1978</v>
      </c>
      <c r="B73" s="14">
        <v>753701247.68100774</v>
      </c>
      <c r="C73" s="14">
        <f t="shared" si="10"/>
        <v>0.75370124768100777</v>
      </c>
      <c r="D73" s="14">
        <v>191548680.84210515</v>
      </c>
      <c r="E73" s="14">
        <f t="shared" si="11"/>
        <v>0.19154868084210516</v>
      </c>
      <c r="F73" s="14">
        <v>145453842.16000009</v>
      </c>
      <c r="G73" s="14">
        <f t="shared" si="4"/>
        <v>0.1454538421600001</v>
      </c>
      <c r="H73" s="14">
        <v>180102229.31688702</v>
      </c>
      <c r="I73" s="14">
        <f t="shared" si="5"/>
        <v>0.18010222931688702</v>
      </c>
      <c r="K73" s="12">
        <v>1978</v>
      </c>
      <c r="L73" s="14">
        <v>438148836.39801449</v>
      </c>
      <c r="M73" s="14">
        <v>438.14883639801451</v>
      </c>
      <c r="N73" s="14">
        <v>391363466.6795789</v>
      </c>
      <c r="O73" s="14">
        <v>391.36346667957889</v>
      </c>
      <c r="P73" s="14">
        <v>125051282.00799999</v>
      </c>
      <c r="Q73" s="14">
        <f t="shared" si="6"/>
        <v>0.125051282008</v>
      </c>
      <c r="R73" s="14">
        <v>149069415.87332374</v>
      </c>
      <c r="S73" s="14">
        <f t="shared" si="7"/>
        <v>0.14906941587332376</v>
      </c>
      <c r="U73" s="12">
        <v>1978</v>
      </c>
      <c r="V73" s="14">
        <v>686614811.05347395</v>
      </c>
      <c r="W73" s="14">
        <f t="shared" si="12"/>
        <v>0.68661481105347399</v>
      </c>
      <c r="X73" s="33">
        <v>584142626.62652624</v>
      </c>
      <c r="Y73" s="14">
        <f t="shared" si="13"/>
        <v>0.58414262662652627</v>
      </c>
      <c r="AA73" s="12">
        <v>1978</v>
      </c>
      <c r="AB73" s="33">
        <v>475306262.74819034</v>
      </c>
      <c r="AC73" s="14">
        <f t="shared" si="8"/>
        <v>0.47530626274819038</v>
      </c>
      <c r="AD73" s="14">
        <v>543747913.33591402</v>
      </c>
      <c r="AE73" s="14">
        <f t="shared" si="9"/>
        <v>0.5437479133359141</v>
      </c>
    </row>
    <row r="74" spans="1:31" x14ac:dyDescent="0.25">
      <c r="A74" s="12">
        <v>1979</v>
      </c>
      <c r="B74" s="14">
        <v>834011382.61988103</v>
      </c>
      <c r="C74" s="14">
        <f t="shared" si="10"/>
        <v>0.83401138261988106</v>
      </c>
      <c r="D74" s="14">
        <v>104483510.32894728</v>
      </c>
      <c r="E74" s="14">
        <f t="shared" si="11"/>
        <v>0.10448351032894729</v>
      </c>
      <c r="F74" s="14">
        <v>146923072.9300001</v>
      </c>
      <c r="G74" s="14">
        <f t="shared" si="4"/>
        <v>0.14692307293000009</v>
      </c>
      <c r="H74" s="14">
        <v>185388034.12117156</v>
      </c>
      <c r="I74" s="14">
        <f t="shared" si="5"/>
        <v>0.18538803412117158</v>
      </c>
      <c r="K74" s="12">
        <v>1979</v>
      </c>
      <c r="L74" s="14">
        <v>486995903.51263291</v>
      </c>
      <c r="M74" s="14">
        <v>486.99590351263294</v>
      </c>
      <c r="N74" s="14">
        <v>292452988.08021051</v>
      </c>
      <c r="O74" s="14">
        <v>292.4529880802105</v>
      </c>
      <c r="P74" s="14">
        <v>126307692.26399998</v>
      </c>
      <c r="Q74" s="14">
        <f t="shared" si="6"/>
        <v>0.12630769226399999</v>
      </c>
      <c r="R74" s="14">
        <v>161195466.43267626</v>
      </c>
      <c r="S74" s="14">
        <f t="shared" si="7"/>
        <v>0.16119546643267627</v>
      </c>
      <c r="U74" s="12">
        <v>1979</v>
      </c>
      <c r="V74" s="14">
        <v>686614811.05347395</v>
      </c>
      <c r="W74" s="14">
        <f t="shared" si="12"/>
        <v>0.68661481105347399</v>
      </c>
      <c r="X74" s="33">
        <v>584142626.62652624</v>
      </c>
      <c r="Y74" s="14">
        <f t="shared" si="13"/>
        <v>0.58414262662652627</v>
      </c>
      <c r="AA74" s="12">
        <v>1979</v>
      </c>
      <c r="AB74" s="33">
        <v>475306262.74819034</v>
      </c>
      <c r="AC74" s="14">
        <f t="shared" si="8"/>
        <v>0.47530626274819038</v>
      </c>
      <c r="AD74" s="14">
        <v>543747913.33591402</v>
      </c>
      <c r="AE74" s="14">
        <f t="shared" si="9"/>
        <v>0.5437479133359141</v>
      </c>
    </row>
    <row r="75" spans="1:31" x14ac:dyDescent="0.25">
      <c r="A75" s="12">
        <v>1980</v>
      </c>
      <c r="B75" s="14">
        <v>708593809.18021226</v>
      </c>
      <c r="C75" s="14">
        <f t="shared" si="10"/>
        <v>0.70859380918021231</v>
      </c>
      <c r="D75" s="14">
        <v>234548805.67684197</v>
      </c>
      <c r="E75" s="14">
        <f t="shared" si="11"/>
        <v>0.234548805676842</v>
      </c>
      <c r="F75" s="14">
        <v>148392303.70000011</v>
      </c>
      <c r="G75" s="14">
        <f t="shared" si="4"/>
        <v>0.14839230370000012</v>
      </c>
      <c r="H75" s="14">
        <v>179271081.4429456</v>
      </c>
      <c r="I75" s="14">
        <f t="shared" si="5"/>
        <v>0.17927108144294562</v>
      </c>
      <c r="K75" s="12">
        <v>1980</v>
      </c>
      <c r="L75" s="14">
        <v>413683536.09371459</v>
      </c>
      <c r="M75" s="14">
        <v>413.68353609371462</v>
      </c>
      <c r="N75" s="14">
        <v>437063085.54063159</v>
      </c>
      <c r="O75" s="14">
        <v>437.06308554063162</v>
      </c>
      <c r="P75" s="14">
        <v>127564102.51999998</v>
      </c>
      <c r="Q75" s="14">
        <f t="shared" si="6"/>
        <v>0.12756410252</v>
      </c>
      <c r="R75" s="14">
        <v>163001681.94162589</v>
      </c>
      <c r="S75" s="14">
        <f t="shared" si="7"/>
        <v>0.1630016819416259</v>
      </c>
      <c r="U75" s="12">
        <v>1980</v>
      </c>
      <c r="V75" s="14">
        <v>686614811.05347395</v>
      </c>
      <c r="W75" s="14">
        <f t="shared" si="12"/>
        <v>0.68661481105347399</v>
      </c>
      <c r="X75" s="33">
        <v>584142626.62652624</v>
      </c>
      <c r="Y75" s="14">
        <f t="shared" si="13"/>
        <v>0.58414262662652627</v>
      </c>
      <c r="AA75" s="12">
        <v>1980</v>
      </c>
      <c r="AB75" s="33">
        <v>475306262.74819034</v>
      </c>
      <c r="AC75" s="14">
        <f t="shared" si="8"/>
        <v>0.47530626274819038</v>
      </c>
      <c r="AD75" s="14">
        <v>543747913.33591402</v>
      </c>
      <c r="AE75" s="14">
        <f t="shared" si="9"/>
        <v>0.5437479133359141</v>
      </c>
    </row>
    <row r="76" spans="1:31" x14ac:dyDescent="0.25">
      <c r="A76" s="12">
        <v>1981</v>
      </c>
      <c r="B76" s="14">
        <v>713608651.16120315</v>
      </c>
      <c r="C76" s="14">
        <f t="shared" si="10"/>
        <v>0.7136086511612032</v>
      </c>
      <c r="D76" s="14">
        <v>226146014.06894723</v>
      </c>
      <c r="E76" s="14">
        <f t="shared" si="11"/>
        <v>0.22614601406894724</v>
      </c>
      <c r="F76" s="14">
        <v>149861534.47000012</v>
      </c>
      <c r="G76" s="14">
        <f t="shared" si="4"/>
        <v>0.14986153447000014</v>
      </c>
      <c r="H76" s="14">
        <v>181189800.29984936</v>
      </c>
      <c r="I76" s="14">
        <f t="shared" si="5"/>
        <v>0.18118980029984938</v>
      </c>
      <c r="K76" s="12">
        <v>1981</v>
      </c>
      <c r="L76" s="14">
        <v>415779179.51444042</v>
      </c>
      <c r="M76" s="14">
        <v>415.77917951444044</v>
      </c>
      <c r="N76" s="14">
        <v>431997172.93221056</v>
      </c>
      <c r="O76" s="14">
        <v>431.99717293221056</v>
      </c>
      <c r="P76" s="14">
        <v>128820512.77599998</v>
      </c>
      <c r="Q76" s="14">
        <f t="shared" si="6"/>
        <v>0.12882051277599998</v>
      </c>
      <c r="R76" s="14">
        <v>166732142.04375541</v>
      </c>
      <c r="S76" s="14">
        <f t="shared" si="7"/>
        <v>0.16673214204375542</v>
      </c>
      <c r="U76" s="12">
        <v>1981</v>
      </c>
      <c r="V76" s="14">
        <v>686614811.05347395</v>
      </c>
      <c r="W76" s="14">
        <f t="shared" si="12"/>
        <v>0.68661481105347399</v>
      </c>
      <c r="X76" s="33">
        <v>584142626.62652624</v>
      </c>
      <c r="Y76" s="14">
        <f t="shared" si="13"/>
        <v>0.58414262662652627</v>
      </c>
      <c r="AA76" s="12">
        <v>1981</v>
      </c>
      <c r="AB76" s="33">
        <v>475306262.74819034</v>
      </c>
      <c r="AC76" s="14">
        <f t="shared" si="8"/>
        <v>0.47530626274819038</v>
      </c>
      <c r="AD76" s="14">
        <v>543747913.33591402</v>
      </c>
      <c r="AE76" s="14">
        <f t="shared" si="9"/>
        <v>0.5437479133359141</v>
      </c>
    </row>
    <row r="77" spans="1:31" x14ac:dyDescent="0.25">
      <c r="A77" s="12">
        <v>1982</v>
      </c>
      <c r="B77" s="14">
        <v>698854530.02110529</v>
      </c>
      <c r="C77" s="14">
        <f t="shared" si="10"/>
        <v>0.69885453002110531</v>
      </c>
      <c r="D77" s="14">
        <v>234895888.17052615</v>
      </c>
      <c r="E77" s="14">
        <f t="shared" si="11"/>
        <v>0.23489588817052617</v>
      </c>
      <c r="F77" s="14">
        <v>151330765.24000013</v>
      </c>
      <c r="G77" s="14">
        <f t="shared" si="4"/>
        <v>0.15133076524000014</v>
      </c>
      <c r="H77" s="14">
        <v>185724816.56836817</v>
      </c>
      <c r="I77" s="14">
        <f t="shared" si="5"/>
        <v>0.18572481656836817</v>
      </c>
      <c r="K77" s="12">
        <v>1982</v>
      </c>
      <c r="L77" s="14">
        <v>404163019.45522755</v>
      </c>
      <c r="M77" s="14">
        <v>404.16301945522753</v>
      </c>
      <c r="N77" s="14">
        <v>444733772.70189476</v>
      </c>
      <c r="O77" s="14">
        <v>444.73377270189474</v>
      </c>
      <c r="P77" s="14">
        <v>130076923.03199998</v>
      </c>
      <c r="Q77" s="14">
        <f t="shared" si="6"/>
        <v>0.130076923032</v>
      </c>
      <c r="R77" s="14">
        <v>165100873.01677698</v>
      </c>
      <c r="S77" s="14">
        <f t="shared" si="7"/>
        <v>0.16510087301677698</v>
      </c>
      <c r="U77" s="12">
        <v>1982</v>
      </c>
      <c r="V77" s="14">
        <v>686614811.05347395</v>
      </c>
      <c r="W77" s="14">
        <f t="shared" si="12"/>
        <v>0.68661481105347399</v>
      </c>
      <c r="X77" s="33">
        <v>584142626.62652624</v>
      </c>
      <c r="Y77" s="14">
        <f t="shared" si="13"/>
        <v>0.58414262662652627</v>
      </c>
      <c r="AA77" s="12">
        <v>1982</v>
      </c>
      <c r="AB77" s="33">
        <v>475306262.74819034</v>
      </c>
      <c r="AC77" s="14">
        <f t="shared" si="8"/>
        <v>0.47530626274819038</v>
      </c>
      <c r="AD77" s="14">
        <v>543747913.33591402</v>
      </c>
      <c r="AE77" s="14">
        <f t="shared" si="9"/>
        <v>0.5437479133359141</v>
      </c>
    </row>
    <row r="78" spans="1:31" x14ac:dyDescent="0.25">
      <c r="A78" s="12">
        <v>1983</v>
      </c>
      <c r="B78" s="14">
        <v>786979013.14513981</v>
      </c>
      <c r="C78" s="14">
        <f t="shared" si="10"/>
        <v>0.78697901314513985</v>
      </c>
      <c r="D78" s="14">
        <v>202416886.25105247</v>
      </c>
      <c r="E78" s="14">
        <f t="shared" si="11"/>
        <v>0.20241688625105247</v>
      </c>
      <c r="F78" s="14">
        <v>152799996.01000014</v>
      </c>
      <c r="G78" s="14">
        <f t="shared" si="4"/>
        <v>0.15279999601000016</v>
      </c>
      <c r="H78" s="14">
        <v>128610104.59380753</v>
      </c>
      <c r="I78" s="14">
        <f t="shared" si="5"/>
        <v>0.12861010459380753</v>
      </c>
      <c r="K78" s="12">
        <v>1983</v>
      </c>
      <c r="L78" s="14">
        <v>466988154.70797795</v>
      </c>
      <c r="M78" s="14">
        <v>466.98815470797797</v>
      </c>
      <c r="N78" s="14">
        <v>412230045.1877895</v>
      </c>
      <c r="O78" s="14">
        <v>412.23004518778947</v>
      </c>
      <c r="P78" s="14">
        <v>131333333.28799997</v>
      </c>
      <c r="Q78" s="14">
        <f t="shared" si="6"/>
        <v>0.13133333328799998</v>
      </c>
      <c r="R78" s="14">
        <v>122436903.02359712</v>
      </c>
      <c r="S78" s="14">
        <f t="shared" si="7"/>
        <v>0.12243690302359712</v>
      </c>
      <c r="U78" s="12">
        <v>1983</v>
      </c>
      <c r="V78" s="14">
        <v>686614811.05347395</v>
      </c>
      <c r="W78" s="14">
        <f t="shared" si="12"/>
        <v>0.68661481105347399</v>
      </c>
      <c r="X78" s="33">
        <v>584142626.62652624</v>
      </c>
      <c r="Y78" s="14">
        <f t="shared" si="13"/>
        <v>0.58414262662652627</v>
      </c>
      <c r="AA78" s="12">
        <v>1983</v>
      </c>
      <c r="AB78" s="33">
        <v>475306262.74819034</v>
      </c>
      <c r="AC78" s="14">
        <f t="shared" si="8"/>
        <v>0.47530626274819038</v>
      </c>
      <c r="AD78" s="14">
        <v>543747913.33591402</v>
      </c>
      <c r="AE78" s="14">
        <f t="shared" si="9"/>
        <v>0.5437479133359141</v>
      </c>
    </row>
    <row r="79" spans="1:31" x14ac:dyDescent="0.25">
      <c r="A79" s="12">
        <v>1984</v>
      </c>
      <c r="B79" s="14">
        <v>740082064.5390178</v>
      </c>
      <c r="C79" s="14">
        <f t="shared" si="10"/>
        <v>0.74008206453901781</v>
      </c>
      <c r="D79" s="14">
        <v>186794168.00315773</v>
      </c>
      <c r="E79" s="14">
        <f t="shared" si="11"/>
        <v>0.18679416800315773</v>
      </c>
      <c r="F79" s="14">
        <v>154269226.78000015</v>
      </c>
      <c r="G79" s="14">
        <f t="shared" si="4"/>
        <v>0.15426922678000016</v>
      </c>
      <c r="H79" s="14">
        <v>189660540.67782426</v>
      </c>
      <c r="I79" s="14">
        <f t="shared" si="5"/>
        <v>0.18966054067782426</v>
      </c>
      <c r="K79" s="12">
        <v>1984</v>
      </c>
      <c r="L79" s="14">
        <v>433995566.73300511</v>
      </c>
      <c r="M79" s="14">
        <v>433.99556673300509</v>
      </c>
      <c r="N79" s="14">
        <v>399808668.7793684</v>
      </c>
      <c r="O79" s="14">
        <v>399.80866877936842</v>
      </c>
      <c r="P79" s="14">
        <v>132589743.54399997</v>
      </c>
      <c r="Q79" s="14">
        <f t="shared" si="6"/>
        <v>0.13258974354399997</v>
      </c>
      <c r="R79" s="14">
        <v>183032578.06797126</v>
      </c>
      <c r="S79" s="14">
        <f t="shared" si="7"/>
        <v>0.18303257806797127</v>
      </c>
      <c r="U79" s="12">
        <v>1984</v>
      </c>
      <c r="V79" s="14">
        <v>686614811.05347395</v>
      </c>
      <c r="W79" s="14">
        <f t="shared" si="12"/>
        <v>0.68661481105347399</v>
      </c>
      <c r="X79" s="33">
        <v>584142626.62652624</v>
      </c>
      <c r="Y79" s="14">
        <f t="shared" si="13"/>
        <v>0.58414262662652627</v>
      </c>
      <c r="AA79" s="12">
        <v>1984</v>
      </c>
      <c r="AB79" s="33">
        <v>475306262.74819034</v>
      </c>
      <c r="AC79" s="14">
        <f t="shared" si="8"/>
        <v>0.47530626274819038</v>
      </c>
      <c r="AD79" s="14">
        <v>543747913.33591402</v>
      </c>
      <c r="AE79" s="14">
        <f t="shared" si="9"/>
        <v>0.5437479133359141</v>
      </c>
    </row>
    <row r="80" spans="1:31" x14ac:dyDescent="0.25">
      <c r="A80" s="12">
        <v>1985</v>
      </c>
      <c r="B80" s="14">
        <v>711512411.26167798</v>
      </c>
      <c r="C80" s="14">
        <f t="shared" si="10"/>
        <v>0.71151241126167808</v>
      </c>
      <c r="D80" s="14">
        <v>222713216.54263142</v>
      </c>
      <c r="E80" s="14">
        <f t="shared" si="11"/>
        <v>0.22271321654263143</v>
      </c>
      <c r="F80" s="14">
        <v>155738457.55000016</v>
      </c>
      <c r="G80" s="14">
        <f t="shared" si="4"/>
        <v>0.15573845755000018</v>
      </c>
      <c r="H80" s="14">
        <v>180841914.64569035</v>
      </c>
      <c r="I80" s="14">
        <f t="shared" si="5"/>
        <v>0.18084191464569035</v>
      </c>
      <c r="K80" s="12">
        <v>1985</v>
      </c>
      <c r="L80" s="14">
        <v>414427911.9637357</v>
      </c>
      <c r="M80" s="14">
        <v>414.42791196373571</v>
      </c>
      <c r="N80" s="14">
        <v>446888968.14147371</v>
      </c>
      <c r="O80" s="14">
        <v>446.8889681414737</v>
      </c>
      <c r="P80" s="14">
        <v>133846153.79999997</v>
      </c>
      <c r="Q80" s="14">
        <f t="shared" si="6"/>
        <v>0.13384615379999998</v>
      </c>
      <c r="R80" s="14">
        <v>178881426.15018705</v>
      </c>
      <c r="S80" s="14">
        <f t="shared" si="7"/>
        <v>0.17888142615018707</v>
      </c>
      <c r="U80" s="12">
        <v>1985</v>
      </c>
      <c r="V80" s="14">
        <v>686614811.05347395</v>
      </c>
      <c r="W80" s="14">
        <f t="shared" si="12"/>
        <v>0.68661481105347399</v>
      </c>
      <c r="X80" s="33">
        <v>584142626.62652624</v>
      </c>
      <c r="Y80" s="14">
        <f t="shared" si="13"/>
        <v>0.58414262662652627</v>
      </c>
      <c r="AA80" s="12">
        <v>1985</v>
      </c>
      <c r="AB80" s="33">
        <v>475306262.74819034</v>
      </c>
      <c r="AC80" s="14">
        <f t="shared" si="8"/>
        <v>0.47530626274819038</v>
      </c>
      <c r="AD80" s="14">
        <v>543747913.33591402</v>
      </c>
      <c r="AE80" s="14">
        <f t="shared" si="9"/>
        <v>0.5437479133359141</v>
      </c>
    </row>
    <row r="81" spans="1:31" x14ac:dyDescent="0.25">
      <c r="A81" s="12">
        <v>1986</v>
      </c>
      <c r="B81" s="14">
        <v>787549339.15440643</v>
      </c>
      <c r="C81" s="14">
        <f t="shared" si="10"/>
        <v>0.7875493391544065</v>
      </c>
      <c r="D81" s="14">
        <v>162078618.91789454</v>
      </c>
      <c r="E81" s="14">
        <f t="shared" si="11"/>
        <v>0.16207861891789455</v>
      </c>
      <c r="F81" s="14">
        <v>157207688.32000017</v>
      </c>
      <c r="G81" s="14">
        <f t="shared" si="4"/>
        <v>0.15720768832000018</v>
      </c>
      <c r="H81" s="14">
        <v>163970353.60769871</v>
      </c>
      <c r="I81" s="14">
        <f t="shared" si="5"/>
        <v>0.16397035360769871</v>
      </c>
      <c r="K81" s="12">
        <v>1986</v>
      </c>
      <c r="L81" s="14">
        <v>470794459.50888091</v>
      </c>
      <c r="M81" s="14">
        <v>470.79445950888089</v>
      </c>
      <c r="N81" s="14">
        <v>364793244.49242109</v>
      </c>
      <c r="O81" s="14">
        <v>364.79324449242108</v>
      </c>
      <c r="P81" s="14">
        <v>135102564.05599996</v>
      </c>
      <c r="Q81" s="14">
        <f t="shared" si="6"/>
        <v>0.13510256405599996</v>
      </c>
      <c r="R81" s="14">
        <v>151625985.69893527</v>
      </c>
      <c r="S81" s="14">
        <f t="shared" si="7"/>
        <v>0.15162598569893529</v>
      </c>
      <c r="U81" s="12">
        <v>1986</v>
      </c>
      <c r="V81" s="14">
        <v>686614811.05347395</v>
      </c>
      <c r="W81" s="14">
        <f t="shared" si="12"/>
        <v>0.68661481105347399</v>
      </c>
      <c r="X81" s="33">
        <v>584142626.62652624</v>
      </c>
      <c r="Y81" s="14">
        <f t="shared" si="13"/>
        <v>0.58414262662652627</v>
      </c>
      <c r="AA81" s="12">
        <v>1986</v>
      </c>
      <c r="AB81" s="33">
        <v>475306262.74819034</v>
      </c>
      <c r="AC81" s="14">
        <f t="shared" si="8"/>
        <v>0.47530626274819038</v>
      </c>
      <c r="AD81" s="14">
        <v>543747913.33591402</v>
      </c>
      <c r="AE81" s="14">
        <f t="shared" si="9"/>
        <v>0.5437479133359141</v>
      </c>
    </row>
    <row r="82" spans="1:31" x14ac:dyDescent="0.25">
      <c r="A82" s="12">
        <v>1987</v>
      </c>
      <c r="B82" s="14">
        <v>820752392.85796082</v>
      </c>
      <c r="C82" s="14">
        <f t="shared" si="10"/>
        <v>0.82075239285796087</v>
      </c>
      <c r="D82" s="14">
        <v>121028292.26157871</v>
      </c>
      <c r="E82" s="14">
        <f t="shared" si="11"/>
        <v>0.12102829226157871</v>
      </c>
      <c r="F82" s="14">
        <v>158676919.09000018</v>
      </c>
      <c r="G82" s="14">
        <f t="shared" si="4"/>
        <v>0.1586769190900002</v>
      </c>
      <c r="H82" s="14">
        <v>170348395.79046026</v>
      </c>
      <c r="I82" s="14">
        <f t="shared" si="5"/>
        <v>0.17034839579046027</v>
      </c>
      <c r="K82" s="12">
        <v>1987</v>
      </c>
      <c r="L82" s="14">
        <v>484684004.26129752</v>
      </c>
      <c r="M82" s="14">
        <v>484.6840042612975</v>
      </c>
      <c r="N82" s="14">
        <v>321103565.8296842</v>
      </c>
      <c r="O82" s="14">
        <v>321.10356582968421</v>
      </c>
      <c r="P82" s="14">
        <v>136358974.31199998</v>
      </c>
      <c r="Q82" s="14">
        <f t="shared" si="6"/>
        <v>0.13635897431199998</v>
      </c>
      <c r="R82" s="14">
        <v>158499114.18782732</v>
      </c>
      <c r="S82" s="14">
        <f t="shared" si="7"/>
        <v>0.15849911418782733</v>
      </c>
      <c r="U82" s="12">
        <v>1987</v>
      </c>
      <c r="V82" s="14">
        <v>686614811.05347395</v>
      </c>
      <c r="W82" s="14">
        <f t="shared" si="12"/>
        <v>0.68661481105347399</v>
      </c>
      <c r="X82" s="33">
        <v>584142626.62652624</v>
      </c>
      <c r="Y82" s="14">
        <f t="shared" si="13"/>
        <v>0.58414262662652627</v>
      </c>
      <c r="AA82" s="12">
        <v>1987</v>
      </c>
      <c r="AB82" s="33">
        <v>475306262.74819034</v>
      </c>
      <c r="AC82" s="14">
        <f t="shared" si="8"/>
        <v>0.47530626274819038</v>
      </c>
      <c r="AD82" s="14">
        <v>543747913.33591402</v>
      </c>
      <c r="AE82" s="14">
        <f t="shared" si="9"/>
        <v>0.5437479133359141</v>
      </c>
    </row>
    <row r="83" spans="1:31" x14ac:dyDescent="0.25">
      <c r="A83" s="12">
        <v>1988</v>
      </c>
      <c r="B83" s="14">
        <v>786490942.71045136</v>
      </c>
      <c r="C83" s="14">
        <f t="shared" si="10"/>
        <v>0.78649094271045139</v>
      </c>
      <c r="D83" s="14">
        <v>147022948.59473664</v>
      </c>
      <c r="E83" s="14">
        <f t="shared" si="11"/>
        <v>0.14702294859473664</v>
      </c>
      <c r="F83" s="14">
        <v>160146149.86000019</v>
      </c>
      <c r="G83" s="14">
        <f t="shared" si="4"/>
        <v>0.1601461498600002</v>
      </c>
      <c r="H83" s="14">
        <v>177145958.83481169</v>
      </c>
      <c r="I83" s="14">
        <f t="shared" si="5"/>
        <v>0.17714595883481171</v>
      </c>
      <c r="K83" s="12">
        <v>1988</v>
      </c>
      <c r="L83" s="14">
        <v>459974613.22370851</v>
      </c>
      <c r="M83" s="14">
        <v>459.9746132237085</v>
      </c>
      <c r="N83" s="14">
        <v>353928991.68105263</v>
      </c>
      <c r="O83" s="14">
        <v>353.92899168105265</v>
      </c>
      <c r="P83" s="14">
        <v>137615384.56799999</v>
      </c>
      <c r="Q83" s="14">
        <f t="shared" si="6"/>
        <v>0.13761538456799999</v>
      </c>
      <c r="R83" s="14">
        <v>163798440.02100721</v>
      </c>
      <c r="S83" s="14">
        <f t="shared" si="7"/>
        <v>0.16379844002100721</v>
      </c>
      <c r="U83" s="12">
        <v>1988</v>
      </c>
      <c r="V83" s="14">
        <v>686614811.05347395</v>
      </c>
      <c r="W83" s="14">
        <f t="shared" si="12"/>
        <v>0.68661481105347399</v>
      </c>
      <c r="X83" s="33">
        <v>584142626.62652624</v>
      </c>
      <c r="Y83" s="14">
        <f t="shared" si="13"/>
        <v>0.58414262662652627</v>
      </c>
      <c r="AA83" s="12">
        <v>1988</v>
      </c>
      <c r="AB83" s="33">
        <v>475306262.74819034</v>
      </c>
      <c r="AC83" s="14">
        <f t="shared" si="8"/>
        <v>0.47530626274819038</v>
      </c>
      <c r="AD83" s="14">
        <v>543747913.33591402</v>
      </c>
      <c r="AE83" s="14">
        <f t="shared" si="9"/>
        <v>0.5437479133359141</v>
      </c>
    </row>
    <row r="84" spans="1:31" x14ac:dyDescent="0.25">
      <c r="A84" s="12">
        <v>1989</v>
      </c>
      <c r="B84" s="14">
        <v>790132927.74886572</v>
      </c>
      <c r="C84" s="14">
        <f t="shared" si="10"/>
        <v>0.79013292774886579</v>
      </c>
      <c r="D84" s="14">
        <v>127813296.15736821</v>
      </c>
      <c r="E84" s="14">
        <f t="shared" si="11"/>
        <v>0.12781329615736822</v>
      </c>
      <c r="F84" s="14">
        <v>161615380.6300002</v>
      </c>
      <c r="G84" s="14">
        <f t="shared" si="4"/>
        <v>0.16161538063000022</v>
      </c>
      <c r="H84" s="14">
        <v>191244395.46376568</v>
      </c>
      <c r="I84" s="14">
        <f t="shared" si="5"/>
        <v>0.1912443954637657</v>
      </c>
      <c r="K84" s="12">
        <v>1989</v>
      </c>
      <c r="L84" s="14">
        <v>460107811.77214712</v>
      </c>
      <c r="M84" s="14">
        <v>460.1078117721471</v>
      </c>
      <c r="N84" s="14">
        <v>338401461.79852635</v>
      </c>
      <c r="O84" s="14">
        <v>338.40146179852633</v>
      </c>
      <c r="P84" s="14">
        <v>138871794.824</v>
      </c>
      <c r="Q84" s="14">
        <f t="shared" si="6"/>
        <v>0.138871794824</v>
      </c>
      <c r="R84" s="14">
        <v>175635868.76969784</v>
      </c>
      <c r="S84" s="14">
        <f t="shared" si="7"/>
        <v>0.17563586876969786</v>
      </c>
      <c r="U84" s="12">
        <v>1989</v>
      </c>
      <c r="V84" s="14">
        <v>686614811.05347395</v>
      </c>
      <c r="W84" s="14">
        <f t="shared" si="12"/>
        <v>0.68661481105347399</v>
      </c>
      <c r="X84" s="33">
        <v>584142626.62652624</v>
      </c>
      <c r="Y84" s="14">
        <f t="shared" si="13"/>
        <v>0.58414262662652627</v>
      </c>
      <c r="AA84" s="12">
        <v>1989</v>
      </c>
      <c r="AB84" s="33">
        <v>475306262.74819034</v>
      </c>
      <c r="AC84" s="14">
        <f t="shared" si="8"/>
        <v>0.47530626274819038</v>
      </c>
      <c r="AD84" s="14">
        <v>543747913.33591402</v>
      </c>
      <c r="AE84" s="14">
        <f t="shared" si="9"/>
        <v>0.5437479133359141</v>
      </c>
    </row>
    <row r="85" spans="1:31" x14ac:dyDescent="0.25">
      <c r="A85" s="12">
        <v>1990</v>
      </c>
      <c r="B85" s="14">
        <v>706512067.58920062</v>
      </c>
      <c r="C85" s="14">
        <f t="shared" si="10"/>
        <v>0.70651206758920071</v>
      </c>
      <c r="D85" s="14">
        <v>200551231.14736819</v>
      </c>
      <c r="E85" s="14">
        <f t="shared" si="11"/>
        <v>0.2005512311473682</v>
      </c>
      <c r="F85" s="14">
        <v>163084611.40000021</v>
      </c>
      <c r="G85" s="14">
        <f t="shared" si="4"/>
        <v>0.16308461140000022</v>
      </c>
      <c r="H85" s="14">
        <v>200658089.86343092</v>
      </c>
      <c r="I85" s="14">
        <f t="shared" si="5"/>
        <v>0.20065808986343092</v>
      </c>
      <c r="K85" s="12">
        <v>1990</v>
      </c>
      <c r="L85" s="14">
        <v>404470953.06592119</v>
      </c>
      <c r="M85" s="14">
        <v>404.47095306592121</v>
      </c>
      <c r="N85" s="14">
        <v>426459828.16652632</v>
      </c>
      <c r="O85" s="14">
        <v>426.45982816652634</v>
      </c>
      <c r="P85" s="14">
        <v>140128205.08000001</v>
      </c>
      <c r="Q85" s="14">
        <f t="shared" si="6"/>
        <v>0.14012820508000001</v>
      </c>
      <c r="R85" s="14">
        <v>181694619.67930937</v>
      </c>
      <c r="S85" s="14">
        <f t="shared" si="7"/>
        <v>0.18169461967930939</v>
      </c>
      <c r="U85" s="12">
        <v>1990</v>
      </c>
      <c r="V85" s="14">
        <v>686614811.05347395</v>
      </c>
      <c r="W85" s="14">
        <f t="shared" si="12"/>
        <v>0.68661481105347399</v>
      </c>
      <c r="X85" s="33">
        <v>584142626.62652624</v>
      </c>
      <c r="Y85" s="14">
        <f t="shared" si="13"/>
        <v>0.58414262662652627</v>
      </c>
      <c r="AA85" s="12">
        <v>1990</v>
      </c>
      <c r="AB85" s="33">
        <v>475306262.74819034</v>
      </c>
      <c r="AC85" s="14">
        <f t="shared" si="8"/>
        <v>0.47530626274819038</v>
      </c>
      <c r="AD85" s="14">
        <v>543747913.33591402</v>
      </c>
      <c r="AE85" s="14">
        <f t="shared" si="9"/>
        <v>0.5437479133359141</v>
      </c>
    </row>
    <row r="86" spans="1:31" x14ac:dyDescent="0.25">
      <c r="A86" s="12">
        <v>1991</v>
      </c>
      <c r="B86" s="14">
        <v>696304026.20855319</v>
      </c>
      <c r="C86" s="14">
        <f t="shared" si="10"/>
        <v>0.69630402620855325</v>
      </c>
      <c r="D86" s="14">
        <v>200434233.16052607</v>
      </c>
      <c r="E86" s="14">
        <f t="shared" si="11"/>
        <v>0.20043423316052608</v>
      </c>
      <c r="F86" s="14">
        <v>164553842.17000023</v>
      </c>
      <c r="G86" s="14">
        <f t="shared" si="4"/>
        <v>0.16455384217000024</v>
      </c>
      <c r="H86" s="14">
        <v>209513898.46092051</v>
      </c>
      <c r="I86" s="14">
        <f t="shared" si="5"/>
        <v>0.20951389846092053</v>
      </c>
      <c r="K86" s="12">
        <v>1991</v>
      </c>
      <c r="L86" s="14">
        <v>396824232.30870026</v>
      </c>
      <c r="M86" s="14">
        <v>396.82423230870029</v>
      </c>
      <c r="N86" s="14">
        <v>429909533.02189475</v>
      </c>
      <c r="O86" s="14">
        <v>429.90953302189473</v>
      </c>
      <c r="P86" s="14">
        <v>141384615.33600003</v>
      </c>
      <c r="Q86" s="14">
        <f t="shared" si="6"/>
        <v>0.14138461533600002</v>
      </c>
      <c r="R86" s="14">
        <v>186957422.84080574</v>
      </c>
      <c r="S86" s="14">
        <f t="shared" si="7"/>
        <v>0.18695742284080574</v>
      </c>
      <c r="U86" s="12">
        <v>1991</v>
      </c>
      <c r="V86" s="14">
        <v>686614811.05347395</v>
      </c>
      <c r="W86" s="14">
        <f t="shared" si="12"/>
        <v>0.68661481105347399</v>
      </c>
      <c r="X86" s="33">
        <v>584142626.62652624</v>
      </c>
      <c r="Y86" s="14">
        <f t="shared" si="13"/>
        <v>0.58414262662652627</v>
      </c>
      <c r="AA86" s="12">
        <v>1991</v>
      </c>
      <c r="AB86" s="33">
        <v>475306262.74819034</v>
      </c>
      <c r="AC86" s="14">
        <f t="shared" si="8"/>
        <v>0.47530626274819038</v>
      </c>
      <c r="AD86" s="14">
        <v>543747913.33591402</v>
      </c>
      <c r="AE86" s="14">
        <f t="shared" si="9"/>
        <v>0.5437479133359141</v>
      </c>
    </row>
    <row r="87" spans="1:31" x14ac:dyDescent="0.25">
      <c r="A87" s="12">
        <v>1992</v>
      </c>
      <c r="B87" s="14">
        <v>767303827.00217569</v>
      </c>
      <c r="C87" s="14">
        <f t="shared" si="10"/>
        <v>0.7673038270021757</v>
      </c>
      <c r="D87" s="14">
        <v>131194088.65999979</v>
      </c>
      <c r="E87" s="14">
        <f t="shared" si="11"/>
        <v>0.13119408865999979</v>
      </c>
      <c r="F87" s="14">
        <v>166023072.94000024</v>
      </c>
      <c r="G87" s="14">
        <f t="shared" si="4"/>
        <v>0.16602307294000024</v>
      </c>
      <c r="H87" s="14">
        <v>206285011.39782429</v>
      </c>
      <c r="I87" s="14">
        <f t="shared" si="5"/>
        <v>0.20628501139782429</v>
      </c>
      <c r="K87" s="12">
        <v>1992</v>
      </c>
      <c r="L87" s="14">
        <v>436977770.1795314</v>
      </c>
      <c r="M87" s="14">
        <v>436.97777017953138</v>
      </c>
      <c r="N87" s="14">
        <v>352239940.44799995</v>
      </c>
      <c r="O87" s="14">
        <v>352.23994044799997</v>
      </c>
      <c r="P87" s="14">
        <v>142641025.59200004</v>
      </c>
      <c r="Q87" s="14">
        <f t="shared" si="6"/>
        <v>0.14264102559200004</v>
      </c>
      <c r="R87" s="14">
        <v>190918995.98575541</v>
      </c>
      <c r="S87" s="14">
        <f t="shared" si="7"/>
        <v>0.19091899598575543</v>
      </c>
      <c r="U87" s="12">
        <v>1992</v>
      </c>
      <c r="V87" s="14">
        <v>686614811.05347395</v>
      </c>
      <c r="W87" s="14">
        <f t="shared" si="12"/>
        <v>0.68661481105347399</v>
      </c>
      <c r="X87" s="33">
        <v>584142626.62652624</v>
      </c>
      <c r="Y87" s="14">
        <f t="shared" si="13"/>
        <v>0.58414262662652627</v>
      </c>
      <c r="AA87" s="12">
        <v>1992</v>
      </c>
      <c r="AB87" s="33">
        <v>475306262.74819034</v>
      </c>
      <c r="AC87" s="14">
        <f t="shared" si="8"/>
        <v>0.47530626274819038</v>
      </c>
      <c r="AD87" s="14">
        <v>543747913.33591402</v>
      </c>
      <c r="AE87" s="14">
        <f t="shared" si="9"/>
        <v>0.5437479133359141</v>
      </c>
    </row>
    <row r="88" spans="1:31" x14ac:dyDescent="0.25">
      <c r="A88" s="12">
        <v>1993</v>
      </c>
      <c r="B88" s="14">
        <v>679503343.03832626</v>
      </c>
      <c r="C88" s="14">
        <f t="shared" si="10"/>
        <v>0.67950334303832627</v>
      </c>
      <c r="D88" s="14">
        <v>210924997.72999969</v>
      </c>
      <c r="E88" s="14">
        <f t="shared" si="11"/>
        <v>0.2109249977299997</v>
      </c>
      <c r="F88" s="14">
        <v>167492303.71000025</v>
      </c>
      <c r="G88" s="14">
        <f t="shared" si="4"/>
        <v>0.16749230371000026</v>
      </c>
      <c r="H88" s="14">
        <v>212885355.52167362</v>
      </c>
      <c r="I88" s="14">
        <f t="shared" si="5"/>
        <v>0.21288535552167362</v>
      </c>
      <c r="K88" s="12">
        <v>1993</v>
      </c>
      <c r="L88" s="14">
        <v>390783440.79112971</v>
      </c>
      <c r="M88" s="14">
        <v>390.78344079112969</v>
      </c>
      <c r="N88" s="14">
        <v>440414856.38399994</v>
      </c>
      <c r="O88" s="14">
        <v>440.41485638399996</v>
      </c>
      <c r="P88" s="14">
        <v>143897435.84800005</v>
      </c>
      <c r="Q88" s="14">
        <f t="shared" si="6"/>
        <v>0.14389743584800005</v>
      </c>
      <c r="R88" s="14">
        <v>190961892.7017554</v>
      </c>
      <c r="S88" s="14">
        <f t="shared" si="7"/>
        <v>0.19096189270175543</v>
      </c>
      <c r="U88" s="12">
        <v>1993</v>
      </c>
      <c r="V88" s="14">
        <v>686614811.05347395</v>
      </c>
      <c r="W88" s="14">
        <f t="shared" si="12"/>
        <v>0.68661481105347399</v>
      </c>
      <c r="X88" s="33">
        <v>584142626.62652624</v>
      </c>
      <c r="Y88" s="14">
        <f t="shared" si="13"/>
        <v>0.58414262662652627</v>
      </c>
      <c r="AA88" s="12">
        <v>1993</v>
      </c>
      <c r="AB88" s="33">
        <v>475306262.74819034</v>
      </c>
      <c r="AC88" s="14">
        <f t="shared" si="8"/>
        <v>0.47530626274819038</v>
      </c>
      <c r="AD88" s="14">
        <v>543747913.33591402</v>
      </c>
      <c r="AE88" s="14">
        <f t="shared" si="9"/>
        <v>0.5437479133359141</v>
      </c>
    </row>
    <row r="89" spans="1:31" x14ac:dyDescent="0.25">
      <c r="A89" s="12">
        <v>1994</v>
      </c>
      <c r="B89" s="14">
        <v>683639605.18951774</v>
      </c>
      <c r="C89" s="14">
        <f t="shared" si="10"/>
        <v>0.68363960518951783</v>
      </c>
      <c r="D89" s="14">
        <v>198956973.77684182</v>
      </c>
      <c r="E89" s="14">
        <f t="shared" si="11"/>
        <v>0.19895697377684182</v>
      </c>
      <c r="F89" s="14">
        <v>168961534.48000026</v>
      </c>
      <c r="G89" s="14">
        <f t="shared" si="4"/>
        <v>0.16896153448000026</v>
      </c>
      <c r="H89" s="14">
        <v>219247886.55364016</v>
      </c>
      <c r="I89" s="14">
        <f t="shared" si="5"/>
        <v>0.21924788655364016</v>
      </c>
      <c r="K89" s="12">
        <v>1994</v>
      </c>
      <c r="L89" s="14">
        <v>390489132.7802335</v>
      </c>
      <c r="M89" s="14">
        <v>390.48913278023349</v>
      </c>
      <c r="N89" s="14">
        <v>422342445.47663152</v>
      </c>
      <c r="O89" s="14">
        <v>422.3424454766315</v>
      </c>
      <c r="P89" s="14">
        <v>145153846.10400006</v>
      </c>
      <c r="Q89" s="14">
        <f t="shared" si="6"/>
        <v>0.14515384610400006</v>
      </c>
      <c r="R89" s="14">
        <v>201287174.39499283</v>
      </c>
      <c r="S89" s="14">
        <f t="shared" si="7"/>
        <v>0.20128717439499283</v>
      </c>
      <c r="U89" s="12">
        <v>1994</v>
      </c>
      <c r="V89" s="14">
        <v>686614811.05347395</v>
      </c>
      <c r="W89" s="14">
        <f t="shared" si="12"/>
        <v>0.68661481105347399</v>
      </c>
      <c r="X89" s="33">
        <v>584142626.62652624</v>
      </c>
      <c r="Y89" s="14">
        <f t="shared" si="13"/>
        <v>0.58414262662652627</v>
      </c>
      <c r="AA89" s="12">
        <v>1994</v>
      </c>
      <c r="AB89" s="33">
        <v>475306262.74819034</v>
      </c>
      <c r="AC89" s="14">
        <f t="shared" si="8"/>
        <v>0.47530626274819038</v>
      </c>
      <c r="AD89" s="14">
        <v>543747913.33591402</v>
      </c>
      <c r="AE89" s="14">
        <f t="shared" si="9"/>
        <v>0.5437479133359141</v>
      </c>
    </row>
    <row r="90" spans="1:31" x14ac:dyDescent="0.25">
      <c r="A90" s="12">
        <v>1995</v>
      </c>
      <c r="B90" s="14">
        <v>695484427.66079712</v>
      </c>
      <c r="C90" s="14">
        <f t="shared" si="10"/>
        <v>0.69548442766079721</v>
      </c>
      <c r="D90" s="14">
        <v>185080829.67631546</v>
      </c>
      <c r="E90" s="14">
        <f t="shared" si="11"/>
        <v>0.18508082967631548</v>
      </c>
      <c r="F90" s="14">
        <v>170430765.25000027</v>
      </c>
      <c r="G90" s="14">
        <f t="shared" si="4"/>
        <v>0.17043076525000028</v>
      </c>
      <c r="H90" s="14">
        <v>219809977.41288707</v>
      </c>
      <c r="I90" s="14">
        <f t="shared" si="5"/>
        <v>0.21980997741288708</v>
      </c>
      <c r="K90" s="12">
        <v>1995</v>
      </c>
      <c r="L90" s="14">
        <v>397037084.25464612</v>
      </c>
      <c r="M90" s="14">
        <v>397.03708425464612</v>
      </c>
      <c r="N90" s="14">
        <v>410711771.44673687</v>
      </c>
      <c r="O90" s="14">
        <v>410.71177144673686</v>
      </c>
      <c r="P90" s="14">
        <v>146410256.36000007</v>
      </c>
      <c r="Q90" s="14">
        <f t="shared" si="6"/>
        <v>0.14641025636000007</v>
      </c>
      <c r="R90" s="14">
        <v>204130062.22719422</v>
      </c>
      <c r="S90" s="14">
        <f t="shared" si="7"/>
        <v>0.20413006222719424</v>
      </c>
      <c r="U90" s="12">
        <v>1995</v>
      </c>
      <c r="V90" s="14">
        <v>686614811.05347395</v>
      </c>
      <c r="W90" s="14">
        <f t="shared" si="12"/>
        <v>0.68661481105347399</v>
      </c>
      <c r="X90" s="33">
        <v>584142626.62652624</v>
      </c>
      <c r="Y90" s="14">
        <f t="shared" si="13"/>
        <v>0.58414262662652627</v>
      </c>
      <c r="AA90" s="12">
        <v>1995</v>
      </c>
      <c r="AB90" s="33">
        <v>475306262.74819034</v>
      </c>
      <c r="AC90" s="14">
        <f t="shared" si="8"/>
        <v>0.47530626274819038</v>
      </c>
      <c r="AD90" s="14">
        <v>543747913.33591402</v>
      </c>
      <c r="AE90" s="14">
        <f t="shared" si="9"/>
        <v>0.5437479133359141</v>
      </c>
    </row>
    <row r="91" spans="1:31" x14ac:dyDescent="0.25">
      <c r="A91" s="12">
        <v>1996</v>
      </c>
      <c r="B91" s="14">
        <v>662570719.40531147</v>
      </c>
      <c r="C91" s="14">
        <f t="shared" si="10"/>
        <v>0.66257071940531154</v>
      </c>
      <c r="D91" s="14">
        <v>205350975.05368388</v>
      </c>
      <c r="E91" s="14">
        <f t="shared" si="11"/>
        <v>0.20535097505368388</v>
      </c>
      <c r="F91" s="14">
        <v>171899996.02000028</v>
      </c>
      <c r="G91" s="14">
        <f t="shared" si="4"/>
        <v>0.17189999602000028</v>
      </c>
      <c r="H91" s="14">
        <v>230984309.52100417</v>
      </c>
      <c r="I91" s="14">
        <f t="shared" si="5"/>
        <v>0.23098430952100418</v>
      </c>
      <c r="K91" s="12">
        <v>1996</v>
      </c>
      <c r="L91" s="14">
        <v>371461449.65573049</v>
      </c>
      <c r="M91" s="14">
        <v>371.46144965573046</v>
      </c>
      <c r="N91" s="14">
        <v>440776213.94926316</v>
      </c>
      <c r="O91" s="14">
        <v>440.77621394926314</v>
      </c>
      <c r="P91" s="14">
        <v>147666666.61600009</v>
      </c>
      <c r="Q91" s="14">
        <f t="shared" si="6"/>
        <v>0.14766666661600009</v>
      </c>
      <c r="R91" s="14">
        <v>210736390.63162592</v>
      </c>
      <c r="S91" s="14">
        <f t="shared" si="7"/>
        <v>0.21073639063162594</v>
      </c>
      <c r="U91" s="12">
        <v>1996</v>
      </c>
      <c r="V91" s="14">
        <v>686614811.05347395</v>
      </c>
      <c r="W91" s="14">
        <f t="shared" si="12"/>
        <v>0.68661481105347399</v>
      </c>
      <c r="X91" s="33">
        <v>584142626.62652624</v>
      </c>
      <c r="Y91" s="14">
        <f t="shared" si="13"/>
        <v>0.58414262662652627</v>
      </c>
      <c r="AA91" s="12">
        <v>1996</v>
      </c>
      <c r="AB91" s="33">
        <v>475306262.74819034</v>
      </c>
      <c r="AC91" s="14">
        <f t="shared" si="8"/>
        <v>0.47530626274819038</v>
      </c>
      <c r="AD91" s="14">
        <v>543747913.33591402</v>
      </c>
      <c r="AE91" s="14">
        <f t="shared" si="9"/>
        <v>0.5437479133359141</v>
      </c>
    </row>
    <row r="92" spans="1:31" x14ac:dyDescent="0.25">
      <c r="A92" s="12">
        <v>1997</v>
      </c>
      <c r="B92" s="14">
        <v>675888767.72363794</v>
      </c>
      <c r="C92" s="14">
        <f t="shared" si="10"/>
        <v>0.67588876772363793</v>
      </c>
      <c r="D92" s="14">
        <v>197584501.72368392</v>
      </c>
      <c r="E92" s="14">
        <f t="shared" si="11"/>
        <v>0.19758450172368394</v>
      </c>
      <c r="F92" s="14">
        <v>173369226.79000029</v>
      </c>
      <c r="G92" s="14">
        <f t="shared" si="4"/>
        <v>0.1733692267900003</v>
      </c>
      <c r="H92" s="14">
        <v>223963503.76267782</v>
      </c>
      <c r="I92" s="14">
        <f t="shared" si="5"/>
        <v>0.22396350376267785</v>
      </c>
      <c r="K92" s="12">
        <v>1997</v>
      </c>
      <c r="L92" s="14">
        <v>379223424.70286012</v>
      </c>
      <c r="M92" s="14">
        <v>379.22342470286014</v>
      </c>
      <c r="N92" s="14">
        <v>433436128.21726322</v>
      </c>
      <c r="O92" s="14">
        <v>433.43612821726322</v>
      </c>
      <c r="P92" s="14">
        <v>148923076.8720001</v>
      </c>
      <c r="Q92" s="14">
        <f t="shared" si="6"/>
        <v>0.1489230768720001</v>
      </c>
      <c r="R92" s="14">
        <v>202413388.31568345</v>
      </c>
      <c r="S92" s="14">
        <f t="shared" si="7"/>
        <v>0.20241338831568348</v>
      </c>
      <c r="U92" s="12">
        <v>1997</v>
      </c>
      <c r="V92" s="14">
        <v>686614811.05347395</v>
      </c>
      <c r="W92" s="14">
        <f t="shared" si="12"/>
        <v>0.68661481105347399</v>
      </c>
      <c r="X92" s="33">
        <v>584142626.62652624</v>
      </c>
      <c r="Y92" s="14">
        <f t="shared" si="13"/>
        <v>0.58414262662652627</v>
      </c>
      <c r="AA92" s="12">
        <v>1997</v>
      </c>
      <c r="AB92" s="33">
        <v>475306262.74819034</v>
      </c>
      <c r="AC92" s="14">
        <f t="shared" si="8"/>
        <v>0.47530626274819038</v>
      </c>
      <c r="AD92" s="14">
        <v>543747913.33591402</v>
      </c>
      <c r="AE92" s="14">
        <f t="shared" si="9"/>
        <v>0.5437479133359141</v>
      </c>
    </row>
    <row r="93" spans="1:31" x14ac:dyDescent="0.25">
      <c r="A93" s="12">
        <v>1998</v>
      </c>
      <c r="B93" s="14">
        <v>665645164.51618588</v>
      </c>
      <c r="C93" s="14">
        <f t="shared" si="10"/>
        <v>0.66564516451618594</v>
      </c>
      <c r="D93" s="14">
        <v>211565334.06105232</v>
      </c>
      <c r="E93" s="14">
        <f t="shared" si="11"/>
        <v>0.21156533406105232</v>
      </c>
      <c r="F93" s="14">
        <v>174838457.5600003</v>
      </c>
      <c r="G93" s="14">
        <f t="shared" si="4"/>
        <v>0.1748384575600003</v>
      </c>
      <c r="H93" s="14">
        <v>218757043.8627615</v>
      </c>
      <c r="I93" s="14">
        <f t="shared" si="5"/>
        <v>0.21875704386276151</v>
      </c>
      <c r="K93" s="12">
        <v>1998</v>
      </c>
      <c r="L93" s="14">
        <v>371677096.36052191</v>
      </c>
      <c r="M93" s="14">
        <v>371.67709636052189</v>
      </c>
      <c r="N93" s="14">
        <v>452543051.3017894</v>
      </c>
      <c r="O93" s="14">
        <v>452.54305130178943</v>
      </c>
      <c r="P93" s="14">
        <v>150179487.12800011</v>
      </c>
      <c r="Q93" s="14">
        <f t="shared" si="6"/>
        <v>0.15017948712800011</v>
      </c>
      <c r="R93" s="14">
        <v>206539621.20630214</v>
      </c>
      <c r="S93" s="14">
        <f t="shared" si="7"/>
        <v>0.20653962120630215</v>
      </c>
      <c r="U93" s="12">
        <v>1998</v>
      </c>
      <c r="V93" s="14">
        <v>686614811.05347395</v>
      </c>
      <c r="W93" s="14">
        <f t="shared" si="12"/>
        <v>0.68661481105347399</v>
      </c>
      <c r="X93" s="33">
        <v>584142626.62652624</v>
      </c>
      <c r="Y93" s="14">
        <f t="shared" si="13"/>
        <v>0.58414262662652627</v>
      </c>
      <c r="AA93" s="12">
        <v>1998</v>
      </c>
      <c r="AB93" s="33">
        <v>475306262.74819034</v>
      </c>
      <c r="AC93" s="14">
        <f t="shared" si="8"/>
        <v>0.47530626274819038</v>
      </c>
      <c r="AD93" s="14">
        <v>543747913.33591402</v>
      </c>
      <c r="AE93" s="14">
        <f t="shared" si="9"/>
        <v>0.5437479133359141</v>
      </c>
    </row>
    <row r="94" spans="1:31" x14ac:dyDescent="0.25">
      <c r="A94" s="12">
        <v>1999</v>
      </c>
      <c r="B94" s="14">
        <v>662023155.29701817</v>
      </c>
      <c r="C94" s="14">
        <f t="shared" si="10"/>
        <v>0.66202315529701816</v>
      </c>
      <c r="D94" s="14">
        <v>221434228.23842075</v>
      </c>
      <c r="E94" s="14">
        <f t="shared" si="11"/>
        <v>0.22143422823842077</v>
      </c>
      <c r="F94" s="14">
        <v>176307688.33000031</v>
      </c>
      <c r="G94" s="14">
        <f t="shared" si="4"/>
        <v>0.17630768833000032</v>
      </c>
      <c r="H94" s="14">
        <v>211040928.13456064</v>
      </c>
      <c r="I94" s="14">
        <f t="shared" si="5"/>
        <v>0.21104092813456066</v>
      </c>
      <c r="K94" s="12">
        <v>1999</v>
      </c>
      <c r="L94" s="14">
        <v>372958835.17209166</v>
      </c>
      <c r="M94" s="14">
        <v>372.95883517209165</v>
      </c>
      <c r="N94" s="14">
        <v>464346310.39431578</v>
      </c>
      <c r="O94" s="14">
        <v>464.34631039431576</v>
      </c>
      <c r="P94" s="14">
        <v>151435897.38400012</v>
      </c>
      <c r="Q94" s="14">
        <f t="shared" si="6"/>
        <v>0.15143589738400012</v>
      </c>
      <c r="R94" s="14">
        <v>199390656.33220145</v>
      </c>
      <c r="S94" s="14">
        <f t="shared" si="7"/>
        <v>0.19939065633220146</v>
      </c>
      <c r="U94" s="12">
        <v>1999</v>
      </c>
      <c r="V94" s="14">
        <v>686614811.05347395</v>
      </c>
      <c r="W94" s="14">
        <f t="shared" si="12"/>
        <v>0.68661481105347399</v>
      </c>
      <c r="X94" s="33">
        <v>584142626.62652624</v>
      </c>
      <c r="Y94" s="14">
        <f t="shared" si="13"/>
        <v>0.58414262662652627</v>
      </c>
      <c r="AA94" s="12">
        <v>1999</v>
      </c>
      <c r="AB94" s="33">
        <v>475306262.74819034</v>
      </c>
      <c r="AC94" s="14">
        <f t="shared" si="8"/>
        <v>0.47530626274819038</v>
      </c>
      <c r="AD94" s="14">
        <v>543747913.33591402</v>
      </c>
      <c r="AE94" s="14">
        <f t="shared" si="9"/>
        <v>0.5437479133359141</v>
      </c>
    </row>
    <row r="95" spans="1:31" x14ac:dyDescent="0.25">
      <c r="A95" s="12">
        <v>2000</v>
      </c>
      <c r="B95" s="14">
        <v>726341569.34555376</v>
      </c>
      <c r="C95" s="14">
        <f t="shared" si="10"/>
        <v>0.72634156934555383</v>
      </c>
      <c r="D95" s="14">
        <v>150161143.78842074</v>
      </c>
      <c r="E95" s="14">
        <f t="shared" si="11"/>
        <v>0.15016114378842074</v>
      </c>
      <c r="F95" s="14">
        <v>177776919.10000032</v>
      </c>
      <c r="G95" s="14">
        <f t="shared" si="4"/>
        <v>0.17777691910000035</v>
      </c>
      <c r="H95" s="14">
        <v>216526367.76602507</v>
      </c>
      <c r="I95" s="14">
        <f t="shared" si="5"/>
        <v>0.21652636776602507</v>
      </c>
      <c r="K95" s="12">
        <v>2000</v>
      </c>
      <c r="L95" s="14">
        <v>413033634.81333005</v>
      </c>
      <c r="M95" s="14">
        <v>413.03363481333008</v>
      </c>
      <c r="N95" s="14">
        <v>383596464.25031579</v>
      </c>
      <c r="O95" s="14">
        <v>383.59646425031576</v>
      </c>
      <c r="P95" s="14">
        <v>152692307.64000013</v>
      </c>
      <c r="Q95" s="14">
        <f t="shared" si="6"/>
        <v>0.15269230764000014</v>
      </c>
      <c r="R95" s="14">
        <v>204321415.11033097</v>
      </c>
      <c r="S95" s="14">
        <f t="shared" si="7"/>
        <v>0.20432141511033097</v>
      </c>
      <c r="U95" s="12">
        <v>2000</v>
      </c>
      <c r="V95" s="14">
        <v>686614811.05347395</v>
      </c>
      <c r="W95" s="14">
        <f t="shared" si="12"/>
        <v>0.68661481105347399</v>
      </c>
      <c r="X95" s="33">
        <v>584142626.62652624</v>
      </c>
      <c r="Y95" s="14">
        <f t="shared" si="13"/>
        <v>0.58414262662652627</v>
      </c>
      <c r="AA95" s="12">
        <v>2000</v>
      </c>
      <c r="AB95" s="33">
        <v>475306262.74819034</v>
      </c>
      <c r="AC95" s="14">
        <f t="shared" si="8"/>
        <v>0.47530626274819038</v>
      </c>
      <c r="AD95" s="14">
        <v>543747913.33591402</v>
      </c>
      <c r="AE95" s="14">
        <f t="shared" si="9"/>
        <v>0.5437479133359141</v>
      </c>
    </row>
    <row r="96" spans="1:31" x14ac:dyDescent="0.25">
      <c r="A96" s="12">
        <v>2001</v>
      </c>
      <c r="B96" s="14">
        <v>723875373.23858178</v>
      </c>
      <c r="C96" s="14">
        <f t="shared" si="10"/>
        <v>0.72387537323858187</v>
      </c>
      <c r="D96" s="14">
        <v>142303388.62263122</v>
      </c>
      <c r="E96" s="14">
        <f t="shared" si="11"/>
        <v>0.14230338862263123</v>
      </c>
      <c r="F96" s="14">
        <v>179246149.87000033</v>
      </c>
      <c r="G96" s="14">
        <f t="shared" si="4"/>
        <v>0.17924614987000034</v>
      </c>
      <c r="H96" s="14">
        <v>225381088.26878661</v>
      </c>
      <c r="I96" s="14">
        <f t="shared" si="5"/>
        <v>0.22538108826878661</v>
      </c>
      <c r="K96" s="12">
        <v>2001</v>
      </c>
      <c r="L96" s="14">
        <v>409225720.64932567</v>
      </c>
      <c r="M96" s="14">
        <v>409.22572064932569</v>
      </c>
      <c r="N96" s="14">
        <v>373589282.32147366</v>
      </c>
      <c r="O96" s="14">
        <v>373.58928232147366</v>
      </c>
      <c r="P96" s="14">
        <v>153948717.89600015</v>
      </c>
      <c r="Q96" s="14">
        <f t="shared" si="6"/>
        <v>0.15394871789600015</v>
      </c>
      <c r="R96" s="14">
        <v>216433087.75827336</v>
      </c>
      <c r="S96" s="14">
        <f t="shared" si="7"/>
        <v>0.21643308775827338</v>
      </c>
      <c r="U96" s="12">
        <v>2001</v>
      </c>
      <c r="V96" s="14">
        <v>686614811.05347395</v>
      </c>
      <c r="W96" s="14">
        <f t="shared" si="12"/>
        <v>0.68661481105347399</v>
      </c>
      <c r="X96" s="33">
        <v>584142626.62652624</v>
      </c>
      <c r="Y96" s="14">
        <f t="shared" si="13"/>
        <v>0.58414262662652627</v>
      </c>
      <c r="AA96" s="12">
        <v>2001</v>
      </c>
      <c r="AB96" s="33">
        <v>475306262.74819034</v>
      </c>
      <c r="AC96" s="14">
        <f t="shared" si="8"/>
        <v>0.47530626274819038</v>
      </c>
      <c r="AD96" s="14">
        <v>543747913.33591402</v>
      </c>
      <c r="AE96" s="14">
        <f t="shared" si="9"/>
        <v>0.5437479133359141</v>
      </c>
    </row>
    <row r="97" spans="1:31" x14ac:dyDescent="0.25">
      <c r="A97" s="12">
        <v>2002</v>
      </c>
      <c r="B97" s="14">
        <v>779336403.79778898</v>
      </c>
      <c r="C97" s="14">
        <f t="shared" si="10"/>
        <v>0.77933640379778901</v>
      </c>
      <c r="D97" s="14">
        <v>77376943.738947004</v>
      </c>
      <c r="E97" s="14">
        <f t="shared" si="11"/>
        <v>7.7376943738947004E-2</v>
      </c>
      <c r="F97" s="14">
        <v>180715380.64000034</v>
      </c>
      <c r="G97" s="14">
        <f t="shared" si="4"/>
        <v>0.18071538064000037</v>
      </c>
      <c r="H97" s="14">
        <v>233377271.82326359</v>
      </c>
      <c r="I97" s="14">
        <f t="shared" si="5"/>
        <v>0.23337727182326359</v>
      </c>
      <c r="K97" s="12">
        <v>2002</v>
      </c>
      <c r="L97" s="14">
        <v>443802505.76154506</v>
      </c>
      <c r="M97" s="14">
        <v>443.80250576154504</v>
      </c>
      <c r="N97" s="14">
        <v>299799548.78821051</v>
      </c>
      <c r="O97" s="14">
        <v>299.79954878821053</v>
      </c>
      <c r="P97" s="14">
        <v>155205128.15200016</v>
      </c>
      <c r="Q97" s="14">
        <f t="shared" si="6"/>
        <v>0.15520512815200016</v>
      </c>
      <c r="R97" s="14">
        <v>218628088.48374102</v>
      </c>
      <c r="S97" s="14">
        <f t="shared" si="7"/>
        <v>0.21862808848374102</v>
      </c>
      <c r="U97" s="12">
        <v>2002</v>
      </c>
      <c r="V97" s="14">
        <v>686614811.05347395</v>
      </c>
      <c r="W97" s="14">
        <f t="shared" si="12"/>
        <v>0.68661481105347399</v>
      </c>
      <c r="X97" s="33">
        <v>584142626.62652624</v>
      </c>
      <c r="Y97" s="14">
        <f t="shared" si="13"/>
        <v>0.58414262662652627</v>
      </c>
      <c r="AA97" s="12">
        <v>2002</v>
      </c>
      <c r="AB97" s="33">
        <v>475306262.74819034</v>
      </c>
      <c r="AC97" s="14">
        <f t="shared" si="8"/>
        <v>0.47530626274819038</v>
      </c>
      <c r="AD97" s="14">
        <v>543747913.33591402</v>
      </c>
      <c r="AE97" s="14">
        <f t="shared" si="9"/>
        <v>0.5437479133359141</v>
      </c>
    </row>
    <row r="98" spans="1:31" x14ac:dyDescent="0.25">
      <c r="A98" s="12">
        <v>2003</v>
      </c>
      <c r="B98" s="14">
        <v>741961491.07514632</v>
      </c>
      <c r="C98" s="14">
        <f t="shared" si="10"/>
        <v>0.74196149107514642</v>
      </c>
      <c r="D98" s="14">
        <v>117913586.10999963</v>
      </c>
      <c r="E98" s="14">
        <f t="shared" si="11"/>
        <v>0.11791358610999964</v>
      </c>
      <c r="F98" s="14">
        <v>182184611.41000035</v>
      </c>
      <c r="G98" s="14">
        <f t="shared" si="4"/>
        <v>0.18218461141000036</v>
      </c>
      <c r="H98" s="14">
        <v>228746311.40485352</v>
      </c>
      <c r="I98" s="14">
        <f t="shared" si="5"/>
        <v>0.22874631140485355</v>
      </c>
      <c r="K98" s="12">
        <v>2003</v>
      </c>
      <c r="L98" s="14">
        <v>421628519.3062762</v>
      </c>
      <c r="M98" s="14">
        <v>421.62851930627619</v>
      </c>
      <c r="N98" s="14">
        <v>345052826.02399999</v>
      </c>
      <c r="O98" s="14">
        <v>345.05282602400001</v>
      </c>
      <c r="P98" s="14">
        <v>156461538.40800017</v>
      </c>
      <c r="Q98" s="14">
        <f t="shared" si="6"/>
        <v>0.15646153840800017</v>
      </c>
      <c r="R98" s="14">
        <v>214561621.93139568</v>
      </c>
      <c r="S98" s="14">
        <f t="shared" si="7"/>
        <v>0.21456162193139569</v>
      </c>
      <c r="U98" s="12">
        <v>2003</v>
      </c>
      <c r="V98" s="14">
        <v>686614811.05347395</v>
      </c>
      <c r="W98" s="14">
        <f t="shared" si="12"/>
        <v>0.68661481105347399</v>
      </c>
      <c r="X98" s="33">
        <v>584142626.62652624</v>
      </c>
      <c r="Y98" s="14">
        <f t="shared" si="13"/>
        <v>0.58414262662652627</v>
      </c>
      <c r="AA98" s="12">
        <v>2003</v>
      </c>
      <c r="AB98" s="33">
        <v>475306262.74819034</v>
      </c>
      <c r="AC98" s="14">
        <f t="shared" si="8"/>
        <v>0.47530626274819038</v>
      </c>
      <c r="AD98" s="14">
        <v>543747913.33591402</v>
      </c>
      <c r="AE98" s="14">
        <f t="shared" si="9"/>
        <v>0.5437479133359141</v>
      </c>
    </row>
    <row r="99" spans="1:31" x14ac:dyDescent="0.25">
      <c r="A99" s="12">
        <v>2004</v>
      </c>
      <c r="B99" s="14">
        <v>806745801.70587957</v>
      </c>
      <c r="C99" s="14">
        <f t="shared" si="10"/>
        <v>0.80674580170587962</v>
      </c>
      <c r="D99" s="14">
        <v>49708274.683157533</v>
      </c>
      <c r="E99" s="14">
        <f t="shared" si="11"/>
        <v>4.9708274683157534E-2</v>
      </c>
      <c r="F99" s="14">
        <v>183653842.18000036</v>
      </c>
      <c r="G99" s="14">
        <f t="shared" si="4"/>
        <v>0.18365384218000039</v>
      </c>
      <c r="H99" s="14">
        <v>230698081.43096229</v>
      </c>
      <c r="I99" s="14">
        <f t="shared" si="5"/>
        <v>0.23069808143096232</v>
      </c>
      <c r="K99" s="12">
        <v>2004</v>
      </c>
      <c r="L99" s="14">
        <v>464492273.22137326</v>
      </c>
      <c r="M99" s="14">
        <v>464.49227322137324</v>
      </c>
      <c r="N99" s="14">
        <v>260546145.3833684</v>
      </c>
      <c r="O99" s="14">
        <v>260.54614538336841</v>
      </c>
      <c r="P99" s="14">
        <v>157717948.66400018</v>
      </c>
      <c r="Q99" s="14">
        <f t="shared" si="6"/>
        <v>0.15771794866400018</v>
      </c>
      <c r="R99" s="14">
        <v>221998569.78972664</v>
      </c>
      <c r="S99" s="14">
        <f t="shared" si="7"/>
        <v>0.22199856978972665</v>
      </c>
      <c r="U99" s="12">
        <v>2004</v>
      </c>
      <c r="V99" s="14">
        <v>686614811.05347395</v>
      </c>
      <c r="W99" s="14">
        <f t="shared" si="12"/>
        <v>0.68661481105347399</v>
      </c>
      <c r="X99" s="33">
        <v>584142626.62652624</v>
      </c>
      <c r="Y99" s="14">
        <f t="shared" si="13"/>
        <v>0.58414262662652627</v>
      </c>
      <c r="AA99" s="12">
        <v>2004</v>
      </c>
      <c r="AB99" s="33">
        <v>475306262.74819034</v>
      </c>
      <c r="AC99" s="14">
        <f t="shared" si="8"/>
        <v>0.47530626274819038</v>
      </c>
      <c r="AD99" s="14">
        <v>543747913.33591402</v>
      </c>
      <c r="AE99" s="14">
        <f t="shared" si="9"/>
        <v>0.5437479133359141</v>
      </c>
    </row>
    <row r="100" spans="1:31" x14ac:dyDescent="0.25">
      <c r="A100" s="12">
        <v>2005</v>
      </c>
      <c r="B100" s="14">
        <v>714751257.27999997</v>
      </c>
      <c r="C100" s="14">
        <f t="shared" si="10"/>
        <v>0.71475125728</v>
      </c>
      <c r="D100" s="14">
        <v>134206788.48999962</v>
      </c>
      <c r="E100" s="14">
        <f t="shared" si="11"/>
        <v>0.13420678848999962</v>
      </c>
      <c r="F100" s="14">
        <v>185123072.95000038</v>
      </c>
      <c r="G100" s="14">
        <f t="shared" si="4"/>
        <v>0.18512307295000038</v>
      </c>
      <c r="H100" s="14">
        <v>236724881.27999997</v>
      </c>
      <c r="I100" s="14">
        <f t="shared" si="5"/>
        <v>0.23672488127999999</v>
      </c>
      <c r="K100" s="12">
        <v>2005</v>
      </c>
      <c r="L100" s="14">
        <v>403265791.40000004</v>
      </c>
      <c r="M100" s="14">
        <v>403.26579140000001</v>
      </c>
      <c r="N100" s="14">
        <v>367078748.824</v>
      </c>
      <c r="O100" s="14">
        <v>367.078748824</v>
      </c>
      <c r="P100" s="14">
        <v>158974358.9200002</v>
      </c>
      <c r="Q100" s="14">
        <f t="shared" si="6"/>
        <v>0.1589743589200002</v>
      </c>
      <c r="R100" s="14">
        <v>220357859.77600002</v>
      </c>
      <c r="S100" s="14">
        <f t="shared" si="7"/>
        <v>0.22035785977600003</v>
      </c>
      <c r="U100" s="12">
        <v>2005</v>
      </c>
      <c r="V100" s="14">
        <v>686614811.05347395</v>
      </c>
      <c r="W100" s="14">
        <f t="shared" si="12"/>
        <v>0.68661481105347399</v>
      </c>
      <c r="X100" s="33">
        <v>584142626.62652624</v>
      </c>
      <c r="Y100" s="14">
        <f t="shared" si="13"/>
        <v>0.58414262662652627</v>
      </c>
      <c r="AA100" s="12">
        <v>2005</v>
      </c>
      <c r="AB100" s="33">
        <v>475306262.74819034</v>
      </c>
      <c r="AC100" s="14">
        <f t="shared" si="8"/>
        <v>0.47530626274819038</v>
      </c>
      <c r="AD100" s="14">
        <v>543747913.33591402</v>
      </c>
      <c r="AE100" s="14">
        <f t="shared" si="9"/>
        <v>0.5437479133359141</v>
      </c>
    </row>
    <row r="101" spans="1:31" x14ac:dyDescent="0.25">
      <c r="A101" s="12">
        <v>2006</v>
      </c>
      <c r="B101" s="14">
        <v>805844238.99234521</v>
      </c>
      <c r="C101" s="14">
        <f t="shared" si="10"/>
        <v>0.80584423899234525</v>
      </c>
      <c r="D101" s="14">
        <v>56070407.366315395</v>
      </c>
      <c r="E101" s="14">
        <f t="shared" si="11"/>
        <v>5.6070407366315397E-2</v>
      </c>
      <c r="F101" s="14">
        <v>186592303.72000039</v>
      </c>
      <c r="G101" s="14">
        <f t="shared" ref="G101:G104" si="14">F101*0.000000001</f>
        <v>0.18659230372000041</v>
      </c>
      <c r="H101" s="14">
        <v>222299049.92133889</v>
      </c>
      <c r="I101" s="14">
        <f t="shared" ref="I101:I104" si="15">H101*0.000000001</f>
        <v>0.22229904992133889</v>
      </c>
      <c r="K101" s="12">
        <v>2006</v>
      </c>
      <c r="L101" s="14">
        <v>469572139.69185114</v>
      </c>
      <c r="M101" s="14">
        <v>469.57213969185113</v>
      </c>
      <c r="N101" s="14">
        <v>271363454.61873686</v>
      </c>
      <c r="O101" s="14">
        <v>271.36345461873685</v>
      </c>
      <c r="P101" s="14">
        <v>160230769.17600021</v>
      </c>
      <c r="Q101" s="14">
        <f t="shared" ref="Q101:Q104" si="16">P101*0.000000001</f>
        <v>0.16023076917600021</v>
      </c>
      <c r="R101" s="14">
        <v>207605319.87035972</v>
      </c>
      <c r="S101" s="14">
        <f t="shared" ref="S101:S104" si="17">R101*0.000000001</f>
        <v>0.20760531987035974</v>
      </c>
      <c r="U101" s="12">
        <v>2006</v>
      </c>
      <c r="V101" s="14">
        <v>686614811.05347395</v>
      </c>
      <c r="W101" s="14">
        <f t="shared" si="12"/>
        <v>0.68661481105347399</v>
      </c>
      <c r="X101" s="33">
        <v>584142626.62652624</v>
      </c>
      <c r="Y101" s="14">
        <f t="shared" si="13"/>
        <v>0.58414262662652627</v>
      </c>
      <c r="AA101" s="12">
        <v>2006</v>
      </c>
      <c r="AB101" s="33">
        <v>475306262.74819034</v>
      </c>
      <c r="AC101" s="14">
        <f t="shared" ref="AC101:AC104" si="18">AB101*0.000000001</f>
        <v>0.47530626274819038</v>
      </c>
      <c r="AD101" s="14">
        <v>543747913.33591402</v>
      </c>
      <c r="AE101" s="14">
        <f t="shared" ref="AE101:AE104" si="19">AD101*0.000000001</f>
        <v>0.5437479133359141</v>
      </c>
    </row>
    <row r="102" spans="1:31" x14ac:dyDescent="0.25">
      <c r="A102" s="12">
        <v>2007</v>
      </c>
      <c r="B102" s="14">
        <v>753657795.45814574</v>
      </c>
      <c r="C102" s="14">
        <f t="shared" si="10"/>
        <v>0.75365779545814582</v>
      </c>
      <c r="D102" s="14">
        <v>105993082.99210486</v>
      </c>
      <c r="E102" s="14">
        <f t="shared" si="11"/>
        <v>0.10599308299210486</v>
      </c>
      <c r="F102" s="14">
        <v>188061534.4900004</v>
      </c>
      <c r="G102" s="14">
        <f t="shared" si="14"/>
        <v>0.1880615344900004</v>
      </c>
      <c r="H102" s="14">
        <v>223093587.05974895</v>
      </c>
      <c r="I102" s="14">
        <f t="shared" si="15"/>
        <v>0.22309358705974897</v>
      </c>
      <c r="K102" s="12">
        <v>2007</v>
      </c>
      <c r="L102" s="14">
        <v>435995734.4416464</v>
      </c>
      <c r="M102" s="14">
        <v>435.99573444164639</v>
      </c>
      <c r="N102" s="14">
        <v>332766614.7395789</v>
      </c>
      <c r="O102" s="14">
        <v>332.76661473957893</v>
      </c>
      <c r="P102" s="14">
        <v>161487179.43200022</v>
      </c>
      <c r="Q102" s="14">
        <f t="shared" si="16"/>
        <v>0.16148717943200022</v>
      </c>
      <c r="R102" s="14">
        <v>212621946.7541295</v>
      </c>
      <c r="S102" s="14">
        <f t="shared" si="17"/>
        <v>0.21262194675412951</v>
      </c>
      <c r="U102" s="12">
        <v>2007</v>
      </c>
      <c r="V102" s="14">
        <v>686614811.05347395</v>
      </c>
      <c r="W102" s="14">
        <f t="shared" si="12"/>
        <v>0.68661481105347399</v>
      </c>
      <c r="X102" s="33">
        <v>584142626.62652624</v>
      </c>
      <c r="Y102" s="14">
        <f t="shared" si="13"/>
        <v>0.58414262662652627</v>
      </c>
      <c r="AA102" s="12">
        <v>2007</v>
      </c>
      <c r="AB102" s="33">
        <v>475306262.74819034</v>
      </c>
      <c r="AC102" s="14">
        <f t="shared" si="18"/>
        <v>0.47530626274819038</v>
      </c>
      <c r="AD102" s="14">
        <v>543747913.33591402</v>
      </c>
      <c r="AE102" s="14">
        <f t="shared" si="19"/>
        <v>0.5437479133359141</v>
      </c>
    </row>
    <row r="103" spans="1:31" x14ac:dyDescent="0.25">
      <c r="A103" s="12">
        <v>2008</v>
      </c>
      <c r="B103" s="14">
        <v>782766732.87096226</v>
      </c>
      <c r="C103" s="14">
        <f t="shared" si="10"/>
        <v>0.78276673287096232</v>
      </c>
      <c r="D103" s="14">
        <v>113723983.05999959</v>
      </c>
      <c r="E103" s="14">
        <f t="shared" si="11"/>
        <v>0.11372398305999959</v>
      </c>
      <c r="F103" s="14">
        <v>189530765.26000041</v>
      </c>
      <c r="G103" s="14">
        <f t="shared" si="14"/>
        <v>0.18953076526000043</v>
      </c>
      <c r="H103" s="14">
        <v>184784518.80903766</v>
      </c>
      <c r="I103" s="14">
        <f t="shared" si="15"/>
        <v>0.18478451880903768</v>
      </c>
      <c r="K103" s="12">
        <v>2008</v>
      </c>
      <c r="L103" s="14">
        <v>453472352.02010041</v>
      </c>
      <c r="M103" s="14">
        <v>453.4723520201004</v>
      </c>
      <c r="N103" s="14">
        <v>345105435.204</v>
      </c>
      <c r="O103" s="14">
        <v>345.105435204</v>
      </c>
      <c r="P103" s="14">
        <v>162743589.68800023</v>
      </c>
      <c r="Q103" s="14">
        <f t="shared" si="16"/>
        <v>0.16274358968800023</v>
      </c>
      <c r="R103" s="14">
        <v>189772421.27654678</v>
      </c>
      <c r="S103" s="14">
        <f t="shared" si="17"/>
        <v>0.18977242127654678</v>
      </c>
      <c r="U103" s="12">
        <v>2008</v>
      </c>
      <c r="V103" s="14">
        <v>686614811.05347395</v>
      </c>
      <c r="W103" s="14">
        <f t="shared" si="12"/>
        <v>0.68661481105347399</v>
      </c>
      <c r="X103" s="33">
        <v>584142626.62652624</v>
      </c>
      <c r="Y103" s="14">
        <f t="shared" si="13"/>
        <v>0.58414262662652627</v>
      </c>
      <c r="AA103" s="12">
        <v>2008</v>
      </c>
      <c r="AB103" s="33">
        <v>475306262.74819034</v>
      </c>
      <c r="AC103" s="14">
        <f t="shared" si="18"/>
        <v>0.47530626274819038</v>
      </c>
      <c r="AD103" s="14">
        <v>543747913.33591402</v>
      </c>
      <c r="AE103" s="14">
        <f t="shared" si="19"/>
        <v>0.5437479133359141</v>
      </c>
    </row>
    <row r="104" spans="1:31" x14ac:dyDescent="0.25">
      <c r="A104" s="12">
        <v>2009</v>
      </c>
      <c r="B104" s="14">
        <v>799964146.96384048</v>
      </c>
      <c r="C104" s="14">
        <f t="shared" si="10"/>
        <v>0.79996414696384055</v>
      </c>
      <c r="D104" s="14">
        <v>91611442.344736427</v>
      </c>
      <c r="E104" s="14">
        <f t="shared" si="11"/>
        <v>9.1611442344736435E-2</v>
      </c>
      <c r="F104" s="14">
        <v>190999996.03000042</v>
      </c>
      <c r="G104" s="14">
        <f t="shared" si="14"/>
        <v>0.19099999603000042</v>
      </c>
      <c r="H104" s="14">
        <v>188230414.66142261</v>
      </c>
      <c r="I104" s="14">
        <f t="shared" si="15"/>
        <v>0.18823041466142262</v>
      </c>
      <c r="K104" s="12">
        <v>2009</v>
      </c>
      <c r="L104" s="14">
        <v>466352241.93467081</v>
      </c>
      <c r="M104" s="14">
        <v>466.35224193467081</v>
      </c>
      <c r="N104" s="14">
        <v>324579170.58905262</v>
      </c>
      <c r="O104" s="14">
        <v>324.57917058905264</v>
      </c>
      <c r="P104" s="14">
        <v>163999999.94400024</v>
      </c>
      <c r="Q104" s="14">
        <f t="shared" si="16"/>
        <v>0.16399999994400025</v>
      </c>
      <c r="R104" s="14">
        <v>181061586.76825902</v>
      </c>
      <c r="S104" s="14">
        <f t="shared" si="17"/>
        <v>0.18106158676825904</v>
      </c>
      <c r="U104" s="12">
        <v>2009</v>
      </c>
      <c r="V104" s="14">
        <v>686614811.05347395</v>
      </c>
      <c r="W104" s="14">
        <f t="shared" si="12"/>
        <v>0.68661481105347399</v>
      </c>
      <c r="X104" s="33">
        <v>584142626.62652624</v>
      </c>
      <c r="Y104" s="14">
        <f t="shared" si="13"/>
        <v>0.58414262662652627</v>
      </c>
      <c r="AA104" s="12">
        <v>2009</v>
      </c>
      <c r="AB104" s="33">
        <v>475306262.74819034</v>
      </c>
      <c r="AC104" s="14">
        <f t="shared" si="18"/>
        <v>0.47530626274819038</v>
      </c>
      <c r="AD104" s="14">
        <v>543747913.33591402</v>
      </c>
      <c r="AE104" s="14">
        <f t="shared" si="19"/>
        <v>0.5437479133359141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zoomScale="80" zoomScaleNormal="80" workbookViewId="0">
      <selection activeCell="B2" sqref="B2"/>
    </sheetView>
  </sheetViews>
  <sheetFormatPr defaultRowHeight="15" x14ac:dyDescent="0.25"/>
  <cols>
    <col min="2" max="2" width="14.5703125" bestFit="1" customWidth="1"/>
    <col min="3" max="3" width="16.28515625" bestFit="1" customWidth="1"/>
  </cols>
  <sheetData>
    <row r="1" spans="1:3" ht="18.75" x14ac:dyDescent="0.3">
      <c r="B1" s="13" t="s">
        <v>72</v>
      </c>
    </row>
    <row r="2" spans="1:3" x14ac:dyDescent="0.25">
      <c r="A2" s="12" t="s">
        <v>7</v>
      </c>
      <c r="B2" s="12" t="s">
        <v>34</v>
      </c>
      <c r="C2" s="12" t="s">
        <v>35</v>
      </c>
    </row>
    <row r="3" spans="1:3" x14ac:dyDescent="0.25">
      <c r="A3" s="12">
        <v>1910</v>
      </c>
      <c r="B3" s="7">
        <v>14.4</v>
      </c>
      <c r="C3" s="7"/>
    </row>
    <row r="4" spans="1:3" x14ac:dyDescent="0.25">
      <c r="A4" s="12">
        <v>1911</v>
      </c>
      <c r="B4" s="7">
        <v>5</v>
      </c>
      <c r="C4" s="7"/>
    </row>
    <row r="5" spans="1:3" x14ac:dyDescent="0.25">
      <c r="A5" s="12">
        <v>1912</v>
      </c>
      <c r="B5" s="7">
        <v>29.9</v>
      </c>
      <c r="C5" s="7"/>
    </row>
    <row r="6" spans="1:3" x14ac:dyDescent="0.25">
      <c r="A6" s="12">
        <v>1913</v>
      </c>
      <c r="B6" s="7">
        <v>9.1</v>
      </c>
      <c r="C6" s="7"/>
    </row>
    <row r="7" spans="1:3" x14ac:dyDescent="0.25">
      <c r="A7" s="12">
        <v>1914</v>
      </c>
      <c r="B7" s="7">
        <v>24.1</v>
      </c>
      <c r="C7" s="7"/>
    </row>
    <row r="8" spans="1:3" x14ac:dyDescent="0.25">
      <c r="A8" s="12">
        <v>1915</v>
      </c>
      <c r="B8" s="7">
        <v>21.3</v>
      </c>
      <c r="C8" s="7"/>
    </row>
    <row r="9" spans="1:3" x14ac:dyDescent="0.25">
      <c r="A9" s="12">
        <v>1916</v>
      </c>
      <c r="B9" s="7">
        <v>20.6</v>
      </c>
      <c r="C9" s="7"/>
    </row>
    <row r="10" spans="1:3" x14ac:dyDescent="0.25">
      <c r="A10" s="12">
        <v>1917</v>
      </c>
      <c r="B10" s="7">
        <v>23</v>
      </c>
      <c r="C10" s="7"/>
    </row>
    <row r="11" spans="1:3" x14ac:dyDescent="0.25">
      <c r="A11" s="12">
        <v>1918</v>
      </c>
      <c r="B11" s="7">
        <v>21.3</v>
      </c>
      <c r="C11" s="7"/>
    </row>
    <row r="12" spans="1:3" x14ac:dyDescent="0.25">
      <c r="A12" s="12">
        <v>1919</v>
      </c>
      <c r="B12" s="7">
        <v>21.3</v>
      </c>
      <c r="C12" s="7"/>
    </row>
    <row r="13" spans="1:3" x14ac:dyDescent="0.25">
      <c r="A13" s="12">
        <v>1920</v>
      </c>
      <c r="B13" s="7">
        <v>22.6</v>
      </c>
      <c r="C13" s="7"/>
    </row>
    <row r="14" spans="1:3" x14ac:dyDescent="0.25">
      <c r="A14" s="12">
        <v>1921</v>
      </c>
      <c r="B14" s="7">
        <v>11.6</v>
      </c>
      <c r="C14" s="7"/>
    </row>
    <row r="15" spans="1:3" x14ac:dyDescent="0.25">
      <c r="A15" s="12">
        <v>1922</v>
      </c>
      <c r="B15" s="7">
        <v>22</v>
      </c>
      <c r="C15" s="7"/>
    </row>
    <row r="16" spans="1:3" x14ac:dyDescent="0.25">
      <c r="A16" s="12">
        <v>1923</v>
      </c>
      <c r="B16" s="7">
        <v>33</v>
      </c>
      <c r="C16" s="7"/>
    </row>
    <row r="17" spans="1:3" x14ac:dyDescent="0.25">
      <c r="A17" s="12">
        <v>1924</v>
      </c>
      <c r="B17" s="7">
        <v>17.8</v>
      </c>
      <c r="C17" s="7"/>
    </row>
    <row r="18" spans="1:3" x14ac:dyDescent="0.25">
      <c r="A18" s="12">
        <v>1925</v>
      </c>
      <c r="B18" s="7">
        <v>19.2</v>
      </c>
      <c r="C18" s="7"/>
    </row>
    <row r="19" spans="1:3" x14ac:dyDescent="0.25">
      <c r="A19" s="12">
        <v>1926</v>
      </c>
      <c r="B19" s="7">
        <v>5.8</v>
      </c>
      <c r="C19" s="7"/>
    </row>
    <row r="20" spans="1:3" x14ac:dyDescent="0.25">
      <c r="A20" s="12">
        <v>1927</v>
      </c>
      <c r="B20" s="7">
        <v>23.1</v>
      </c>
      <c r="C20" s="7"/>
    </row>
    <row r="21" spans="1:3" x14ac:dyDescent="0.25">
      <c r="A21" s="12">
        <v>1928</v>
      </c>
      <c r="B21" s="7">
        <v>24</v>
      </c>
      <c r="C21" s="7"/>
    </row>
    <row r="22" spans="1:3" x14ac:dyDescent="0.25">
      <c r="A22" s="12">
        <v>1929</v>
      </c>
      <c r="B22" s="7">
        <v>20.100000000000001</v>
      </c>
      <c r="C22" s="7"/>
    </row>
    <row r="23" spans="1:3" x14ac:dyDescent="0.25">
      <c r="A23" s="12">
        <v>1930</v>
      </c>
      <c r="B23" s="7">
        <v>26.4</v>
      </c>
      <c r="C23" s="7"/>
    </row>
    <row r="24" spans="1:3" x14ac:dyDescent="0.25">
      <c r="A24" s="12">
        <v>1931</v>
      </c>
      <c r="B24" s="7">
        <v>14</v>
      </c>
      <c r="C24" s="7"/>
    </row>
    <row r="25" spans="1:3" x14ac:dyDescent="0.25">
      <c r="A25" s="12">
        <v>1932</v>
      </c>
      <c r="B25" s="7">
        <v>16.600000000000001</v>
      </c>
      <c r="C25" s="7"/>
    </row>
    <row r="26" spans="1:3" x14ac:dyDescent="0.25">
      <c r="A26" s="12">
        <v>1933</v>
      </c>
      <c r="B26" s="7">
        <v>11.6</v>
      </c>
      <c r="C26" s="7"/>
    </row>
    <row r="27" spans="1:3" x14ac:dyDescent="0.25">
      <c r="A27" s="12">
        <v>1934</v>
      </c>
      <c r="B27" s="7">
        <v>4.9000000000000004</v>
      </c>
      <c r="C27" s="7"/>
    </row>
    <row r="28" spans="1:3" x14ac:dyDescent="0.25">
      <c r="A28" s="12">
        <v>1935</v>
      </c>
      <c r="B28" s="7">
        <v>9.9</v>
      </c>
      <c r="C28" s="7"/>
    </row>
    <row r="29" spans="1:3" x14ac:dyDescent="0.25">
      <c r="A29" s="12">
        <v>1936</v>
      </c>
      <c r="B29" s="7">
        <v>9.3000000000000007</v>
      </c>
      <c r="C29" s="7"/>
    </row>
    <row r="30" spans="1:3" x14ac:dyDescent="0.25">
      <c r="A30" s="12">
        <v>1937</v>
      </c>
      <c r="B30" s="7">
        <v>6.5</v>
      </c>
      <c r="C30" s="7"/>
    </row>
    <row r="31" spans="1:3" x14ac:dyDescent="0.25">
      <c r="A31" s="12">
        <v>1938</v>
      </c>
      <c r="B31" s="7">
        <v>11</v>
      </c>
      <c r="C31" s="7"/>
    </row>
    <row r="32" spans="1:3" x14ac:dyDescent="0.25">
      <c r="A32" s="12">
        <v>1939</v>
      </c>
      <c r="B32" s="7">
        <v>10.1</v>
      </c>
      <c r="C32" s="7"/>
    </row>
    <row r="33" spans="1:3" x14ac:dyDescent="0.25">
      <c r="A33" s="12">
        <v>1940</v>
      </c>
      <c r="B33" s="7">
        <v>14.3</v>
      </c>
      <c r="C33" s="7"/>
    </row>
    <row r="34" spans="1:3" x14ac:dyDescent="0.25">
      <c r="A34" s="12">
        <v>1941</v>
      </c>
      <c r="B34" s="7">
        <v>21.1</v>
      </c>
      <c r="C34" s="7"/>
    </row>
    <row r="35" spans="1:3" x14ac:dyDescent="0.25">
      <c r="A35" s="12">
        <v>1942</v>
      </c>
      <c r="B35" s="7">
        <v>24.7</v>
      </c>
      <c r="C35" s="7"/>
    </row>
    <row r="36" spans="1:3" x14ac:dyDescent="0.25">
      <c r="A36" s="12">
        <v>1943</v>
      </c>
      <c r="B36" s="7">
        <v>12.7</v>
      </c>
      <c r="C36" s="7"/>
    </row>
    <row r="37" spans="1:3" x14ac:dyDescent="0.25">
      <c r="A37" s="12">
        <v>1944</v>
      </c>
      <c r="B37" s="7">
        <v>18.600000000000001</v>
      </c>
      <c r="C37" s="7"/>
    </row>
    <row r="38" spans="1:3" x14ac:dyDescent="0.25">
      <c r="A38" s="12">
        <v>1945</v>
      </c>
      <c r="B38" s="7">
        <v>21.4</v>
      </c>
      <c r="C38" s="7"/>
    </row>
    <row r="39" spans="1:3" x14ac:dyDescent="0.25">
      <c r="A39" s="12">
        <v>1946</v>
      </c>
      <c r="B39" s="7">
        <v>16.7</v>
      </c>
      <c r="C39" s="7"/>
    </row>
    <row r="40" spans="1:3" x14ac:dyDescent="0.25">
      <c r="A40" s="12">
        <v>1947</v>
      </c>
      <c r="B40" s="7">
        <v>17</v>
      </c>
      <c r="C40" s="7"/>
    </row>
    <row r="41" spans="1:3" x14ac:dyDescent="0.25">
      <c r="A41" s="12">
        <v>1948</v>
      </c>
      <c r="B41" s="7">
        <v>18.899999999999999</v>
      </c>
      <c r="C41" s="7"/>
    </row>
    <row r="42" spans="1:3" x14ac:dyDescent="0.25">
      <c r="A42" s="12">
        <v>1949</v>
      </c>
      <c r="B42" s="7">
        <v>15.9</v>
      </c>
      <c r="C42" s="7"/>
    </row>
    <row r="43" spans="1:3" x14ac:dyDescent="0.25">
      <c r="A43" s="12">
        <v>1950</v>
      </c>
      <c r="B43" s="7">
        <v>20</v>
      </c>
      <c r="C43" s="7"/>
    </row>
    <row r="44" spans="1:3" x14ac:dyDescent="0.25">
      <c r="A44" s="12">
        <v>1951</v>
      </c>
      <c r="B44" s="7">
        <v>13</v>
      </c>
      <c r="C44" s="7"/>
    </row>
    <row r="45" spans="1:3" x14ac:dyDescent="0.25">
      <c r="A45" s="12">
        <v>1952</v>
      </c>
      <c r="B45" s="7">
        <v>12.8</v>
      </c>
      <c r="C45" s="7"/>
    </row>
    <row r="46" spans="1:3" x14ac:dyDescent="0.25">
      <c r="A46" s="12">
        <v>1953</v>
      </c>
      <c r="B46" s="7">
        <v>11</v>
      </c>
      <c r="C46" s="7"/>
    </row>
    <row r="47" spans="1:3" x14ac:dyDescent="0.25">
      <c r="A47" s="12">
        <v>1954</v>
      </c>
      <c r="B47" s="7">
        <v>14.3</v>
      </c>
      <c r="C47" s="7"/>
    </row>
    <row r="48" spans="1:3" x14ac:dyDescent="0.25">
      <c r="A48" s="12">
        <v>1955</v>
      </c>
      <c r="B48" s="7">
        <v>5</v>
      </c>
      <c r="C48" s="7"/>
    </row>
    <row r="49" spans="1:3" x14ac:dyDescent="0.25">
      <c r="A49" s="12">
        <v>1956</v>
      </c>
      <c r="B49" s="7">
        <v>9</v>
      </c>
      <c r="C49" s="7">
        <v>16.7</v>
      </c>
    </row>
    <row r="50" spans="1:3" x14ac:dyDescent="0.25">
      <c r="A50" s="12">
        <v>1957</v>
      </c>
      <c r="B50" s="7">
        <v>19</v>
      </c>
      <c r="C50" s="7">
        <v>24.7</v>
      </c>
    </row>
    <row r="51" spans="1:3" x14ac:dyDescent="0.25">
      <c r="A51" s="12">
        <v>1958</v>
      </c>
      <c r="B51" s="7">
        <v>18.7</v>
      </c>
      <c r="C51" s="7">
        <v>32.299999999999997</v>
      </c>
    </row>
    <row r="52" spans="1:3" x14ac:dyDescent="0.25">
      <c r="A52" s="12">
        <v>1959</v>
      </c>
      <c r="B52" s="7">
        <v>12.6</v>
      </c>
      <c r="C52" s="7">
        <v>22.5</v>
      </c>
    </row>
    <row r="53" spans="1:3" x14ac:dyDescent="0.25">
      <c r="A53" s="12">
        <v>1960</v>
      </c>
      <c r="B53" s="7">
        <v>11</v>
      </c>
      <c r="C53" s="7">
        <v>29.6</v>
      </c>
    </row>
    <row r="54" spans="1:3" x14ac:dyDescent="0.25">
      <c r="A54" s="12">
        <v>1961</v>
      </c>
      <c r="B54" s="7">
        <v>18</v>
      </c>
      <c r="C54" s="7">
        <v>24.9</v>
      </c>
    </row>
    <row r="55" spans="1:3" x14ac:dyDescent="0.25">
      <c r="A55" s="12">
        <v>1962</v>
      </c>
      <c r="B55" s="7">
        <v>18</v>
      </c>
      <c r="C55" s="7">
        <v>23</v>
      </c>
    </row>
    <row r="56" spans="1:3" x14ac:dyDescent="0.25">
      <c r="A56" s="12">
        <v>1963</v>
      </c>
      <c r="B56" s="7">
        <v>23</v>
      </c>
      <c r="C56" s="7">
        <v>16.899999999999999</v>
      </c>
    </row>
    <row r="57" spans="1:3" x14ac:dyDescent="0.25">
      <c r="A57" s="12">
        <v>1964</v>
      </c>
      <c r="B57" s="7">
        <v>16</v>
      </c>
      <c r="C57" s="7">
        <v>16</v>
      </c>
    </row>
    <row r="58" spans="1:3" x14ac:dyDescent="0.25">
      <c r="A58" s="12">
        <v>1965</v>
      </c>
      <c r="B58" s="7">
        <v>24</v>
      </c>
      <c r="C58" s="7">
        <v>23</v>
      </c>
    </row>
    <row r="59" spans="1:3" x14ac:dyDescent="0.25">
      <c r="A59" s="12">
        <v>1966</v>
      </c>
      <c r="B59" s="7">
        <v>33</v>
      </c>
      <c r="C59" s="7">
        <v>33.9</v>
      </c>
    </row>
    <row r="60" spans="1:3" x14ac:dyDescent="0.25">
      <c r="A60" s="12">
        <v>1967</v>
      </c>
      <c r="B60" s="7">
        <v>29</v>
      </c>
      <c r="C60" s="7">
        <v>24.6</v>
      </c>
    </row>
    <row r="61" spans="1:3" x14ac:dyDescent="0.25">
      <c r="A61" s="12">
        <v>1968</v>
      </c>
      <c r="B61" s="7">
        <v>13</v>
      </c>
      <c r="C61" s="7">
        <v>26.8</v>
      </c>
    </row>
    <row r="62" spans="1:3" x14ac:dyDescent="0.25">
      <c r="A62" s="12">
        <v>1969</v>
      </c>
      <c r="B62" s="7">
        <v>23</v>
      </c>
      <c r="C62" s="7">
        <v>31</v>
      </c>
    </row>
    <row r="63" spans="1:3" x14ac:dyDescent="0.25">
      <c r="A63" s="12">
        <v>1970</v>
      </c>
      <c r="B63" s="7">
        <v>25</v>
      </c>
      <c r="C63" s="7">
        <v>32</v>
      </c>
    </row>
    <row r="64" spans="1:3" x14ac:dyDescent="0.25">
      <c r="A64" s="12">
        <v>1971</v>
      </c>
      <c r="B64" s="7">
        <v>32</v>
      </c>
      <c r="C64" s="7">
        <v>37</v>
      </c>
    </row>
    <row r="65" spans="1:3" x14ac:dyDescent="0.25">
      <c r="A65" s="12">
        <v>1972</v>
      </c>
      <c r="B65" s="7">
        <v>41</v>
      </c>
      <c r="C65" s="7">
        <v>37.9</v>
      </c>
    </row>
    <row r="66" spans="1:3" x14ac:dyDescent="0.25">
      <c r="A66" s="12">
        <v>1973</v>
      </c>
      <c r="B66" s="7">
        <v>40</v>
      </c>
      <c r="C66" s="7">
        <v>35.9</v>
      </c>
    </row>
    <row r="67" spans="1:3" x14ac:dyDescent="0.25">
      <c r="A67" s="12">
        <v>1974</v>
      </c>
      <c r="B67" s="7">
        <v>30.1</v>
      </c>
      <c r="C67" s="7">
        <v>31.6</v>
      </c>
    </row>
    <row r="68" spans="1:3" x14ac:dyDescent="0.25">
      <c r="A68" s="12">
        <v>1975</v>
      </c>
      <c r="B68" s="7">
        <v>30</v>
      </c>
      <c r="C68" s="7">
        <v>33.6</v>
      </c>
    </row>
    <row r="69" spans="1:3" x14ac:dyDescent="0.25">
      <c r="A69" s="12">
        <v>1976</v>
      </c>
      <c r="B69" s="7">
        <v>18</v>
      </c>
      <c r="C69" s="7">
        <v>26.8</v>
      </c>
    </row>
    <row r="70" spans="1:3" x14ac:dyDescent="0.25">
      <c r="A70" s="12">
        <v>1977</v>
      </c>
      <c r="B70" s="7">
        <v>34</v>
      </c>
      <c r="C70" s="7">
        <v>36.799999999999997</v>
      </c>
    </row>
    <row r="71" spans="1:3" x14ac:dyDescent="0.25">
      <c r="A71" s="12">
        <v>1978</v>
      </c>
      <c r="B71" s="7">
        <v>27</v>
      </c>
      <c r="C71" s="7">
        <v>31.8</v>
      </c>
    </row>
    <row r="72" spans="1:3" x14ac:dyDescent="0.25">
      <c r="A72" s="12">
        <v>1979</v>
      </c>
      <c r="B72" s="7">
        <v>42</v>
      </c>
      <c r="C72" s="7">
        <v>31</v>
      </c>
    </row>
    <row r="73" spans="1:3" x14ac:dyDescent="0.25">
      <c r="A73" s="12">
        <v>1980</v>
      </c>
      <c r="B73" s="7">
        <v>34</v>
      </c>
      <c r="C73" s="7">
        <v>38.799999999999997</v>
      </c>
    </row>
    <row r="74" spans="1:3" x14ac:dyDescent="0.25">
      <c r="A74" s="12">
        <v>1981</v>
      </c>
      <c r="B74" s="7">
        <v>65</v>
      </c>
      <c r="C74" s="7">
        <v>45.7</v>
      </c>
    </row>
    <row r="75" spans="1:3" x14ac:dyDescent="0.25">
      <c r="A75" s="12">
        <v>1982</v>
      </c>
      <c r="B75" s="7">
        <v>60</v>
      </c>
      <c r="C75" s="7">
        <v>43.7</v>
      </c>
    </row>
    <row r="76" spans="1:3" x14ac:dyDescent="0.25">
      <c r="A76" s="12">
        <v>1983</v>
      </c>
      <c r="B76" s="7">
        <v>35</v>
      </c>
      <c r="C76" s="7">
        <v>46.6</v>
      </c>
    </row>
    <row r="77" spans="1:3" x14ac:dyDescent="0.25">
      <c r="A77" s="12">
        <v>1984</v>
      </c>
      <c r="B77" s="7">
        <v>38</v>
      </c>
      <c r="C77" s="7">
        <v>39.9</v>
      </c>
    </row>
    <row r="78" spans="1:3" x14ac:dyDescent="0.25">
      <c r="A78" s="12">
        <v>1985</v>
      </c>
      <c r="B78" s="7">
        <v>55</v>
      </c>
      <c r="C78" s="7">
        <v>41.7</v>
      </c>
    </row>
    <row r="79" spans="1:3" x14ac:dyDescent="0.25">
      <c r="A79" s="12">
        <v>1986</v>
      </c>
      <c r="B79" s="7">
        <v>65</v>
      </c>
      <c r="C79" s="7">
        <v>37.5</v>
      </c>
    </row>
    <row r="80" spans="1:3" x14ac:dyDescent="0.25">
      <c r="A80" s="12">
        <v>1987</v>
      </c>
      <c r="B80" s="7">
        <v>60</v>
      </c>
      <c r="C80" s="7">
        <v>46.8</v>
      </c>
    </row>
    <row r="81" spans="1:3" x14ac:dyDescent="0.25">
      <c r="A81" s="12">
        <v>1988</v>
      </c>
      <c r="B81" s="7">
        <v>60</v>
      </c>
      <c r="C81" s="7">
        <v>36.9</v>
      </c>
    </row>
    <row r="82" spans="1:3" x14ac:dyDescent="0.25">
      <c r="A82" s="12">
        <v>1989</v>
      </c>
      <c r="B82" s="7">
        <v>62</v>
      </c>
      <c r="C82" s="7">
        <v>25</v>
      </c>
    </row>
    <row r="83" spans="1:3" x14ac:dyDescent="0.25">
      <c r="A83" s="12">
        <v>1990</v>
      </c>
      <c r="B83" s="7">
        <v>59</v>
      </c>
      <c r="C83" s="7">
        <v>38</v>
      </c>
    </row>
    <row r="84" spans="1:3" x14ac:dyDescent="0.25">
      <c r="A84" s="12">
        <v>1991</v>
      </c>
      <c r="B84" s="7">
        <v>59</v>
      </c>
      <c r="C84" s="7">
        <v>35</v>
      </c>
    </row>
    <row r="85" spans="1:3" x14ac:dyDescent="0.25">
      <c r="A85" s="12">
        <v>1992</v>
      </c>
      <c r="B85" s="7">
        <v>83</v>
      </c>
      <c r="C85" s="7">
        <v>22</v>
      </c>
    </row>
    <row r="86" spans="1:3" x14ac:dyDescent="0.25">
      <c r="A86" s="12">
        <v>1993</v>
      </c>
      <c r="B86" s="7">
        <v>64</v>
      </c>
      <c r="C86" s="7">
        <v>40.799999999999997</v>
      </c>
    </row>
    <row r="87" spans="1:3" x14ac:dyDescent="0.25">
      <c r="A87" s="12">
        <v>1994</v>
      </c>
      <c r="B87" s="7">
        <v>57</v>
      </c>
      <c r="C87" s="7">
        <v>31.1</v>
      </c>
    </row>
    <row r="88" spans="1:3" x14ac:dyDescent="0.25">
      <c r="A88" s="12">
        <v>1995</v>
      </c>
      <c r="B88" s="7">
        <v>46</v>
      </c>
      <c r="C88" s="7">
        <v>45.6</v>
      </c>
    </row>
    <row r="89" spans="1:3" x14ac:dyDescent="0.25">
      <c r="A89" s="12">
        <v>1996</v>
      </c>
      <c r="B89" s="7">
        <v>76</v>
      </c>
      <c r="C89" s="7">
        <v>39</v>
      </c>
    </row>
    <row r="90" spans="1:3" x14ac:dyDescent="0.25">
      <c r="A90" s="12">
        <v>1997</v>
      </c>
      <c r="B90" s="7">
        <v>59</v>
      </c>
      <c r="C90" s="7">
        <v>43.9</v>
      </c>
    </row>
    <row r="91" spans="1:3" x14ac:dyDescent="0.25">
      <c r="A91" s="12">
        <v>1998</v>
      </c>
      <c r="B91" s="7">
        <v>73</v>
      </c>
      <c r="C91" s="7">
        <v>43</v>
      </c>
    </row>
    <row r="92" spans="1:3" x14ac:dyDescent="0.25">
      <c r="A92" s="12">
        <v>1999</v>
      </c>
      <c r="B92" s="7">
        <v>79</v>
      </c>
      <c r="C92" s="7">
        <v>49</v>
      </c>
    </row>
    <row r="93" spans="1:3" x14ac:dyDescent="0.25">
      <c r="A93" s="12">
        <v>2000</v>
      </c>
      <c r="B93" s="7">
        <v>33</v>
      </c>
      <c r="C93" s="7">
        <v>30</v>
      </c>
    </row>
    <row r="94" spans="1:3" x14ac:dyDescent="0.25">
      <c r="A94" s="12">
        <v>2001</v>
      </c>
      <c r="B94" s="7">
        <v>54</v>
      </c>
      <c r="C94" s="7">
        <v>39</v>
      </c>
    </row>
    <row r="95" spans="1:3" x14ac:dyDescent="0.25">
      <c r="A95" s="12">
        <v>2002</v>
      </c>
      <c r="B95" s="7">
        <v>21</v>
      </c>
      <c r="C95" s="7">
        <v>27</v>
      </c>
    </row>
    <row r="96" spans="1:3" x14ac:dyDescent="0.25">
      <c r="A96" s="12">
        <v>2003</v>
      </c>
      <c r="B96" s="7">
        <v>23</v>
      </c>
      <c r="C96" s="7">
        <v>35</v>
      </c>
    </row>
    <row r="97" spans="1:3" x14ac:dyDescent="0.25">
      <c r="A97" s="12">
        <v>2004</v>
      </c>
      <c r="B97" s="7">
        <v>62</v>
      </c>
      <c r="C97" s="7">
        <v>22</v>
      </c>
    </row>
    <row r="98" spans="1:3" x14ac:dyDescent="0.25">
      <c r="A98" s="12">
        <v>2005</v>
      </c>
      <c r="B98" s="7">
        <v>51</v>
      </c>
      <c r="C98" s="7">
        <v>36</v>
      </c>
    </row>
    <row r="99" spans="1:3" x14ac:dyDescent="0.25">
      <c r="A99" s="12">
        <v>2006</v>
      </c>
      <c r="B99" s="7">
        <v>61</v>
      </c>
      <c r="C99" s="7">
        <v>21</v>
      </c>
    </row>
    <row r="100" spans="1:3" x14ac:dyDescent="0.25">
      <c r="A100" s="12">
        <v>2007</v>
      </c>
      <c r="B100" s="7">
        <v>80</v>
      </c>
      <c r="C100" s="7">
        <v>50</v>
      </c>
    </row>
    <row r="101" spans="1:3" x14ac:dyDescent="0.25">
      <c r="A101" s="12">
        <v>2008</v>
      </c>
      <c r="B101" s="7">
        <v>82</v>
      </c>
      <c r="C101" s="7"/>
    </row>
    <row r="102" spans="1:3" x14ac:dyDescent="0.25">
      <c r="A102" s="12">
        <v>2009</v>
      </c>
      <c r="B102" s="7">
        <v>91</v>
      </c>
      <c r="C102" s="7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="80" zoomScaleNormal="80" workbookViewId="0">
      <selection activeCell="B2" sqref="B2"/>
    </sheetView>
  </sheetViews>
  <sheetFormatPr defaultRowHeight="15" x14ac:dyDescent="0.25"/>
  <cols>
    <col min="2" max="2" width="20.5703125" bestFit="1" customWidth="1"/>
    <col min="3" max="3" width="20.140625" bestFit="1" customWidth="1"/>
    <col min="4" max="5" width="17.28515625" bestFit="1" customWidth="1"/>
  </cols>
  <sheetData>
    <row r="1" spans="1:5" ht="18.75" x14ac:dyDescent="0.3">
      <c r="B1" s="13" t="s">
        <v>73</v>
      </c>
    </row>
    <row r="2" spans="1:5" ht="17.25" x14ac:dyDescent="0.25">
      <c r="A2" s="12" t="s">
        <v>7</v>
      </c>
      <c r="B2" s="12" t="s">
        <v>36</v>
      </c>
      <c r="C2" s="12" t="s">
        <v>37</v>
      </c>
      <c r="D2" s="12" t="s">
        <v>38</v>
      </c>
      <c r="E2" s="12" t="s">
        <v>39</v>
      </c>
    </row>
    <row r="3" spans="1:5" x14ac:dyDescent="0.25">
      <c r="A3" s="12">
        <v>1928</v>
      </c>
      <c r="B3" s="14">
        <v>669551.63541843102</v>
      </c>
      <c r="C3" s="14">
        <f>B3*0.000000001</f>
        <v>6.6955163541843109E-4</v>
      </c>
      <c r="D3" s="14">
        <v>650227.62168426451</v>
      </c>
      <c r="E3" s="14">
        <f>D3*0.000000001</f>
        <v>6.5022762168426458E-4</v>
      </c>
    </row>
    <row r="4" spans="1:5" x14ac:dyDescent="0.25">
      <c r="A4" s="12">
        <v>1929</v>
      </c>
      <c r="B4" s="14">
        <v>688563.42682396621</v>
      </c>
      <c r="C4" s="14">
        <f t="shared" ref="C4:C67" si="0">B4*0.000000001</f>
        <v>6.8856342682396625E-4</v>
      </c>
      <c r="D4" s="14">
        <v>674821.00759144779</v>
      </c>
      <c r="E4" s="14">
        <f t="shared" ref="E4:E67" si="1">D4*0.000000001</f>
        <v>6.748210075914478E-4</v>
      </c>
    </row>
    <row r="5" spans="1:5" x14ac:dyDescent="0.25">
      <c r="A5" s="12">
        <v>1930</v>
      </c>
      <c r="B5" s="14">
        <v>697006.22102304245</v>
      </c>
      <c r="C5" s="14">
        <f t="shared" si="0"/>
        <v>6.9700622102304255E-4</v>
      </c>
      <c r="D5" s="14">
        <v>685764.15788477089</v>
      </c>
      <c r="E5" s="14">
        <f t="shared" si="1"/>
        <v>6.8576415788477096E-4</v>
      </c>
    </row>
    <row r="6" spans="1:5" x14ac:dyDescent="0.25">
      <c r="A6" s="12">
        <v>1931</v>
      </c>
      <c r="B6" s="14">
        <v>702043.75986118335</v>
      </c>
      <c r="C6" s="14">
        <f t="shared" si="0"/>
        <v>7.0204375986118337E-4</v>
      </c>
      <c r="D6" s="14">
        <v>692298.55072534014</v>
      </c>
      <c r="E6" s="14">
        <f t="shared" si="1"/>
        <v>6.9229855072534016E-4</v>
      </c>
    </row>
    <row r="7" spans="1:5" x14ac:dyDescent="0.25">
      <c r="A7" s="12">
        <v>1932</v>
      </c>
      <c r="B7" s="14">
        <v>705483.24296913634</v>
      </c>
      <c r="C7" s="14">
        <f t="shared" si="0"/>
        <v>7.0548324296913637E-4</v>
      </c>
      <c r="D7" s="14">
        <v>696761.86807573156</v>
      </c>
      <c r="E7" s="14">
        <f t="shared" si="1"/>
        <v>6.9676186807573158E-4</v>
      </c>
    </row>
    <row r="8" spans="1:5" x14ac:dyDescent="0.25">
      <c r="A8" s="12">
        <v>1933</v>
      </c>
      <c r="B8" s="14">
        <v>708022.95023312035</v>
      </c>
      <c r="C8" s="14">
        <f t="shared" si="0"/>
        <v>7.0802295023312037E-4</v>
      </c>
      <c r="D8" s="14">
        <v>700058.41870780522</v>
      </c>
      <c r="E8" s="14">
        <f t="shared" si="1"/>
        <v>7.0005841870780523E-4</v>
      </c>
    </row>
    <row r="9" spans="1:5" x14ac:dyDescent="0.25">
      <c r="A9" s="12">
        <v>1934</v>
      </c>
      <c r="B9" s="14">
        <v>709997.22941363335</v>
      </c>
      <c r="C9" s="14">
        <f t="shared" si="0"/>
        <v>7.0999722941363335E-4</v>
      </c>
      <c r="D9" s="14">
        <v>702621.49344383029</v>
      </c>
      <c r="E9" s="14">
        <f t="shared" si="1"/>
        <v>7.0262149344383035E-4</v>
      </c>
    </row>
    <row r="10" spans="1:5" x14ac:dyDescent="0.25">
      <c r="A10" s="12">
        <v>1935</v>
      </c>
      <c r="B10" s="14">
        <v>821939.65558295732</v>
      </c>
      <c r="C10" s="14">
        <f t="shared" si="0"/>
        <v>8.2193965558295732E-4</v>
      </c>
      <c r="D10" s="14">
        <v>811860.64196182415</v>
      </c>
      <c r="E10" s="14">
        <f t="shared" si="1"/>
        <v>8.1186064196182416E-4</v>
      </c>
    </row>
    <row r="11" spans="1:5" x14ac:dyDescent="0.25">
      <c r="A11" s="12">
        <v>1936</v>
      </c>
      <c r="B11" s="14">
        <v>826788.95721584489</v>
      </c>
      <c r="C11" s="14">
        <f t="shared" si="0"/>
        <v>8.2678895721584496E-4</v>
      </c>
      <c r="D11" s="14">
        <v>818019.97304967197</v>
      </c>
      <c r="E11" s="14">
        <f t="shared" si="1"/>
        <v>8.1801997304967199E-4</v>
      </c>
    </row>
    <row r="12" spans="1:5" x14ac:dyDescent="0.25">
      <c r="A12" s="12">
        <v>1937</v>
      </c>
      <c r="B12" s="14">
        <v>946946.04702067759</v>
      </c>
      <c r="C12" s="14">
        <f t="shared" si="0"/>
        <v>9.4694604702067766E-4</v>
      </c>
      <c r="D12" s="14">
        <v>934869.77381281671</v>
      </c>
      <c r="E12" s="14">
        <f t="shared" si="1"/>
        <v>9.3486977381281673E-4</v>
      </c>
    </row>
    <row r="13" spans="1:5" x14ac:dyDescent="0.25">
      <c r="A13" s="12">
        <v>1938</v>
      </c>
      <c r="B13" s="14">
        <v>1356742.4333703695</v>
      </c>
      <c r="C13" s="14">
        <f t="shared" si="0"/>
        <v>1.3567424333703695E-3</v>
      </c>
      <c r="D13" s="14">
        <v>1331528.9287193213</v>
      </c>
      <c r="E13" s="14">
        <f t="shared" si="1"/>
        <v>1.3315289287193213E-3</v>
      </c>
    </row>
    <row r="14" spans="1:5" x14ac:dyDescent="0.25">
      <c r="A14" s="12">
        <v>1939</v>
      </c>
      <c r="B14" s="14">
        <v>1382949.7895747619</v>
      </c>
      <c r="C14" s="14">
        <f t="shared" si="0"/>
        <v>1.382949789574762E-3</v>
      </c>
      <c r="D14" s="14">
        <v>1362823.1227200706</v>
      </c>
      <c r="E14" s="14">
        <f t="shared" si="1"/>
        <v>1.3628231227200706E-3</v>
      </c>
    </row>
    <row r="15" spans="1:5" x14ac:dyDescent="0.25">
      <c r="A15" s="12">
        <v>1940</v>
      </c>
      <c r="B15" s="14">
        <v>1473727.9740901804</v>
      </c>
      <c r="C15" s="14">
        <f t="shared" si="0"/>
        <v>1.4737279740901805E-3</v>
      </c>
      <c r="D15" s="14">
        <v>1452581.4431123098</v>
      </c>
      <c r="E15" s="14">
        <f t="shared" si="1"/>
        <v>1.45258144311231E-3</v>
      </c>
    </row>
    <row r="16" spans="1:5" x14ac:dyDescent="0.25">
      <c r="A16" s="12">
        <v>1941</v>
      </c>
      <c r="B16" s="14">
        <v>1645858.2860073969</v>
      </c>
      <c r="C16" s="14">
        <f t="shared" si="0"/>
        <v>1.6458582860073971E-3</v>
      </c>
      <c r="D16" s="14">
        <v>1621299.1237178505</v>
      </c>
      <c r="E16" s="14">
        <f t="shared" si="1"/>
        <v>1.6212991237178507E-3</v>
      </c>
    </row>
    <row r="17" spans="1:5" x14ac:dyDescent="0.25">
      <c r="A17" s="12">
        <v>1942</v>
      </c>
      <c r="B17" s="14">
        <v>1933723.7879181209</v>
      </c>
      <c r="C17" s="14">
        <f t="shared" si="0"/>
        <v>1.933723787918121E-3</v>
      </c>
      <c r="D17" s="14">
        <v>1904396.1988361618</v>
      </c>
      <c r="E17" s="14">
        <f t="shared" si="1"/>
        <v>1.9043961988361618E-3</v>
      </c>
    </row>
    <row r="18" spans="1:5" x14ac:dyDescent="0.25">
      <c r="A18" s="12">
        <v>1943</v>
      </c>
      <c r="B18" s="14">
        <v>2590356.6295749471</v>
      </c>
      <c r="C18" s="14">
        <f t="shared" si="0"/>
        <v>2.5903566295749471E-3</v>
      </c>
      <c r="D18" s="14">
        <v>2547425.9427047651</v>
      </c>
      <c r="E18" s="14">
        <f t="shared" si="1"/>
        <v>2.5474259427047652E-3</v>
      </c>
    </row>
    <row r="19" spans="1:5" x14ac:dyDescent="0.25">
      <c r="A19" s="12">
        <v>1944</v>
      </c>
      <c r="B19" s="14">
        <v>1884515.8368407458</v>
      </c>
      <c r="C19" s="14">
        <f t="shared" si="0"/>
        <v>1.8845158368407458E-3</v>
      </c>
      <c r="D19" s="14">
        <v>1870940.4198442565</v>
      </c>
      <c r="E19" s="14">
        <f t="shared" si="1"/>
        <v>1.8709404198442566E-3</v>
      </c>
    </row>
    <row r="20" spans="1:5" x14ac:dyDescent="0.25">
      <c r="A20" s="12">
        <v>1945</v>
      </c>
      <c r="B20" s="14">
        <v>2494149.7001601434</v>
      </c>
      <c r="C20" s="14">
        <f t="shared" si="0"/>
        <v>2.4941497001601436E-3</v>
      </c>
      <c r="D20" s="14">
        <v>2458304.3283061581</v>
      </c>
      <c r="E20" s="14">
        <f t="shared" si="1"/>
        <v>2.4583043283061584E-3</v>
      </c>
    </row>
    <row r="21" spans="1:5" x14ac:dyDescent="0.25">
      <c r="A21" s="12">
        <v>1946</v>
      </c>
      <c r="B21" s="14">
        <v>2309945.2216840549</v>
      </c>
      <c r="C21" s="14">
        <f t="shared" si="0"/>
        <v>2.3099452216840551E-3</v>
      </c>
      <c r="D21" s="14">
        <v>2287713.7635138836</v>
      </c>
      <c r="E21" s="14">
        <f t="shared" si="1"/>
        <v>2.2877137635138839E-3</v>
      </c>
    </row>
    <row r="22" spans="1:5" x14ac:dyDescent="0.25">
      <c r="A22" s="12">
        <v>1947</v>
      </c>
      <c r="B22" s="14">
        <v>3815632.2412799587</v>
      </c>
      <c r="C22" s="14">
        <f t="shared" si="0"/>
        <v>3.8156322412799589E-3</v>
      </c>
      <c r="D22" s="14">
        <v>3744924.0992236221</v>
      </c>
      <c r="E22" s="14">
        <f t="shared" si="1"/>
        <v>3.7449240992236225E-3</v>
      </c>
    </row>
    <row r="23" spans="1:5" x14ac:dyDescent="0.25">
      <c r="A23" s="12">
        <v>1948</v>
      </c>
      <c r="B23" s="14">
        <v>3294837.1811175649</v>
      </c>
      <c r="C23" s="14">
        <f t="shared" si="0"/>
        <v>3.2948371811175651E-3</v>
      </c>
      <c r="D23" s="14">
        <v>3261539.0821175966</v>
      </c>
      <c r="E23" s="14">
        <f t="shared" si="1"/>
        <v>3.2615390821175969E-3</v>
      </c>
    </row>
    <row r="24" spans="1:5" x14ac:dyDescent="0.25">
      <c r="A24" s="12">
        <v>1949</v>
      </c>
      <c r="B24" s="14">
        <v>4735245.6501556737</v>
      </c>
      <c r="C24" s="14">
        <f t="shared" si="0"/>
        <v>4.735245650155674E-3</v>
      </c>
      <c r="D24" s="14">
        <v>4655393.2277371716</v>
      </c>
      <c r="E24" s="14">
        <f t="shared" si="1"/>
        <v>4.6553932277371719E-3</v>
      </c>
    </row>
    <row r="25" spans="1:5" x14ac:dyDescent="0.25">
      <c r="A25" s="12">
        <v>1950</v>
      </c>
      <c r="B25" s="14">
        <v>1704314.4372008338</v>
      </c>
      <c r="C25" s="14">
        <f t="shared" si="0"/>
        <v>1.7043144372008339E-3</v>
      </c>
      <c r="D25" s="14">
        <v>1742014.3463235162</v>
      </c>
      <c r="E25" s="14">
        <f t="shared" si="1"/>
        <v>1.7420143463235164E-3</v>
      </c>
    </row>
    <row r="26" spans="1:5" x14ac:dyDescent="0.25">
      <c r="A26" s="12">
        <v>1951</v>
      </c>
      <c r="B26" s="14">
        <v>1014335.9744219276</v>
      </c>
      <c r="C26" s="14">
        <f t="shared" si="0"/>
        <v>1.0143359744219276E-3</v>
      </c>
      <c r="D26" s="14">
        <v>1048720.1346621241</v>
      </c>
      <c r="E26" s="14">
        <f t="shared" si="1"/>
        <v>1.0487201346621241E-3</v>
      </c>
    </row>
    <row r="27" spans="1:5" x14ac:dyDescent="0.25">
      <c r="A27" s="12">
        <v>1952</v>
      </c>
      <c r="B27" s="14">
        <v>1798099.6281981301</v>
      </c>
      <c r="C27" s="14">
        <f t="shared" si="0"/>
        <v>1.7980996281981301E-3</v>
      </c>
      <c r="D27" s="14">
        <v>1790641.054703709</v>
      </c>
      <c r="E27" s="14">
        <f t="shared" si="1"/>
        <v>1.7906410547037092E-3</v>
      </c>
    </row>
    <row r="28" spans="1:5" x14ac:dyDescent="0.25">
      <c r="A28" s="12">
        <v>1953</v>
      </c>
      <c r="B28" s="14">
        <v>2063020.6538032563</v>
      </c>
      <c r="C28" s="14">
        <f t="shared" si="0"/>
        <v>2.0630206538032564E-3</v>
      </c>
      <c r="D28" s="14">
        <v>2046202.4960028841</v>
      </c>
      <c r="E28" s="14">
        <f t="shared" si="1"/>
        <v>2.0462024960028842E-3</v>
      </c>
    </row>
    <row r="29" spans="1:5" x14ac:dyDescent="0.25">
      <c r="A29" s="12">
        <v>1954</v>
      </c>
      <c r="B29" s="14">
        <v>2656283.484937259</v>
      </c>
      <c r="C29" s="14">
        <f t="shared" si="0"/>
        <v>2.6562834849372594E-3</v>
      </c>
      <c r="D29" s="14">
        <v>2624611.1756825517</v>
      </c>
      <c r="E29" s="14">
        <f t="shared" si="1"/>
        <v>2.6246111756825521E-3</v>
      </c>
    </row>
    <row r="30" spans="1:5" x14ac:dyDescent="0.25">
      <c r="A30" s="12">
        <v>1955</v>
      </c>
      <c r="B30" s="14">
        <v>4479936.4670996238</v>
      </c>
      <c r="C30" s="14">
        <f t="shared" si="0"/>
        <v>4.4799364670996241E-3</v>
      </c>
      <c r="D30" s="14">
        <v>4394043.4031881681</v>
      </c>
      <c r="E30" s="14">
        <f t="shared" si="1"/>
        <v>4.394043403188168E-3</v>
      </c>
    </row>
    <row r="31" spans="1:5" x14ac:dyDescent="0.25">
      <c r="A31" s="12">
        <v>1956</v>
      </c>
      <c r="B31" s="14">
        <v>5512035.5416815821</v>
      </c>
      <c r="C31" s="14">
        <f t="shared" si="0"/>
        <v>5.5120355416815826E-3</v>
      </c>
      <c r="D31" s="14">
        <v>5422193.7058612024</v>
      </c>
      <c r="E31" s="14">
        <f t="shared" si="1"/>
        <v>5.4221937058612025E-3</v>
      </c>
    </row>
    <row r="32" spans="1:5" x14ac:dyDescent="0.25">
      <c r="A32" s="12">
        <v>1957</v>
      </c>
      <c r="B32" s="14">
        <v>4510998.8599164123</v>
      </c>
      <c r="C32" s="14">
        <f t="shared" si="0"/>
        <v>4.5109988599164128E-3</v>
      </c>
      <c r="D32" s="14">
        <v>4475105.7080067648</v>
      </c>
      <c r="E32" s="14">
        <f t="shared" si="1"/>
        <v>4.4751057080067652E-3</v>
      </c>
    </row>
    <row r="33" spans="1:5" x14ac:dyDescent="0.25">
      <c r="A33" s="12">
        <v>1958</v>
      </c>
      <c r="B33" s="14">
        <v>4343743.7493502488</v>
      </c>
      <c r="C33" s="14">
        <f t="shared" si="0"/>
        <v>4.3437437493502491E-3</v>
      </c>
      <c r="D33" s="14">
        <v>4310787.2854593797</v>
      </c>
      <c r="E33" s="14">
        <f t="shared" si="1"/>
        <v>4.31078728545938E-3</v>
      </c>
    </row>
    <row r="34" spans="1:5" x14ac:dyDescent="0.25">
      <c r="A34" s="12">
        <v>1959</v>
      </c>
      <c r="B34" s="14">
        <v>7701655.5951249115</v>
      </c>
      <c r="C34" s="14">
        <f t="shared" si="0"/>
        <v>7.701655595124912E-3</v>
      </c>
      <c r="D34" s="14">
        <v>7554782.8226270052</v>
      </c>
      <c r="E34" s="14">
        <f t="shared" si="1"/>
        <v>7.5547828226270059E-3</v>
      </c>
    </row>
    <row r="35" spans="1:5" x14ac:dyDescent="0.25">
      <c r="A35" s="12">
        <v>1960</v>
      </c>
      <c r="B35" s="14">
        <v>8165511.1495075841</v>
      </c>
      <c r="C35" s="14">
        <f t="shared" si="0"/>
        <v>8.1655111495075837E-3</v>
      </c>
      <c r="D35" s="14">
        <v>8046803.4292030605</v>
      </c>
      <c r="E35" s="14">
        <f t="shared" si="1"/>
        <v>8.0468034292030602E-3</v>
      </c>
    </row>
    <row r="36" spans="1:5" x14ac:dyDescent="0.25">
      <c r="A36" s="12">
        <v>1961</v>
      </c>
      <c r="B36" s="14">
        <v>6139550.8661320191</v>
      </c>
      <c r="C36" s="14">
        <f t="shared" si="0"/>
        <v>6.1395508661320191E-3</v>
      </c>
      <c r="D36" s="14">
        <v>6113120.3003630089</v>
      </c>
      <c r="E36" s="14">
        <f t="shared" si="1"/>
        <v>6.1131203003630093E-3</v>
      </c>
    </row>
    <row r="37" spans="1:5" x14ac:dyDescent="0.25">
      <c r="A37" s="12">
        <v>1962</v>
      </c>
      <c r="B37" s="14">
        <v>4447437.920189376</v>
      </c>
      <c r="C37" s="14">
        <f t="shared" si="0"/>
        <v>4.4474379201893764E-3</v>
      </c>
      <c r="D37" s="14">
        <v>4463830.3185066935</v>
      </c>
      <c r="E37" s="14">
        <f t="shared" si="1"/>
        <v>4.4638303185066935E-3</v>
      </c>
    </row>
    <row r="38" spans="1:5" x14ac:dyDescent="0.25">
      <c r="A38" s="12">
        <v>1963</v>
      </c>
      <c r="B38" s="14">
        <v>8298795.0052939737</v>
      </c>
      <c r="C38" s="14">
        <f t="shared" si="0"/>
        <v>8.2987950052939748E-3</v>
      </c>
      <c r="D38" s="14">
        <v>8162700.5929476293</v>
      </c>
      <c r="E38" s="14">
        <f t="shared" si="1"/>
        <v>8.1627005929476304E-3</v>
      </c>
    </row>
    <row r="39" spans="1:5" x14ac:dyDescent="0.25">
      <c r="A39" s="12">
        <v>1964</v>
      </c>
      <c r="B39" s="14">
        <v>10221666.49593029</v>
      </c>
      <c r="C39" s="14">
        <f t="shared" si="0"/>
        <v>1.0221666495930291E-2</v>
      </c>
      <c r="D39" s="14">
        <v>10063302.245610217</v>
      </c>
      <c r="E39" s="14">
        <f t="shared" si="1"/>
        <v>1.0063302245610218E-2</v>
      </c>
    </row>
    <row r="40" spans="1:5" x14ac:dyDescent="0.25">
      <c r="A40" s="12">
        <v>1965</v>
      </c>
      <c r="B40" s="14">
        <v>9687153.9934609421</v>
      </c>
      <c r="C40" s="14">
        <f t="shared" si="0"/>
        <v>9.6871539934609424E-3</v>
      </c>
      <c r="D40" s="14">
        <v>9584649.629703125</v>
      </c>
      <c r="E40" s="14">
        <f t="shared" si="1"/>
        <v>9.5846496297031254E-3</v>
      </c>
    </row>
    <row r="41" spans="1:5" x14ac:dyDescent="0.25">
      <c r="A41" s="12">
        <v>1966</v>
      </c>
      <c r="B41" s="14">
        <v>10251131.572536668</v>
      </c>
      <c r="C41" s="14">
        <f t="shared" si="0"/>
        <v>1.0251131572536669E-2</v>
      </c>
      <c r="D41" s="14">
        <v>10138366.820731539</v>
      </c>
      <c r="E41" s="14">
        <f t="shared" si="1"/>
        <v>1.0138366820731539E-2</v>
      </c>
    </row>
    <row r="42" spans="1:5" x14ac:dyDescent="0.25">
      <c r="A42" s="12">
        <v>1967</v>
      </c>
      <c r="B42" s="14">
        <v>12058932.9507393</v>
      </c>
      <c r="C42" s="14">
        <f t="shared" si="0"/>
        <v>1.2058932950739301E-2</v>
      </c>
      <c r="D42" s="14">
        <v>11900491.06157776</v>
      </c>
      <c r="E42" s="14">
        <f t="shared" si="1"/>
        <v>1.1900491061577761E-2</v>
      </c>
    </row>
    <row r="43" spans="1:5" x14ac:dyDescent="0.25">
      <c r="A43" s="12">
        <v>1968</v>
      </c>
      <c r="B43" s="14">
        <v>17059276.141995724</v>
      </c>
      <c r="C43" s="14">
        <f t="shared" si="0"/>
        <v>1.7059276141995726E-2</v>
      </c>
      <c r="D43" s="14">
        <v>16764814.924161846</v>
      </c>
      <c r="E43" s="14">
        <f t="shared" si="1"/>
        <v>1.6764814924161847E-2</v>
      </c>
    </row>
    <row r="44" spans="1:5" x14ac:dyDescent="0.25">
      <c r="A44" s="12">
        <v>1969</v>
      </c>
      <c r="B44" s="14">
        <v>20341227.373284958</v>
      </c>
      <c r="C44" s="14">
        <f t="shared" si="0"/>
        <v>2.0341227373284958E-2</v>
      </c>
      <c r="D44" s="14">
        <v>20025962.991717141</v>
      </c>
      <c r="E44" s="14">
        <f t="shared" si="1"/>
        <v>2.0025962991717144E-2</v>
      </c>
    </row>
    <row r="45" spans="1:5" x14ac:dyDescent="0.25">
      <c r="A45" s="12">
        <v>1970</v>
      </c>
      <c r="B45" s="14">
        <v>25278287.63008118</v>
      </c>
      <c r="C45" s="14">
        <f t="shared" si="0"/>
        <v>2.5278287630081182E-2</v>
      </c>
      <c r="D45" s="14">
        <v>24866507.47694419</v>
      </c>
      <c r="E45" s="14">
        <f t="shared" si="1"/>
        <v>2.4866507476944192E-2</v>
      </c>
    </row>
    <row r="46" spans="1:5" x14ac:dyDescent="0.25">
      <c r="A46" s="12">
        <v>1971</v>
      </c>
      <c r="B46" s="14">
        <v>24435756.115053203</v>
      </c>
      <c r="C46" s="14">
        <f t="shared" si="0"/>
        <v>2.4435756115053206E-2</v>
      </c>
      <c r="D46" s="14">
        <v>24137009.814648446</v>
      </c>
      <c r="E46" s="14">
        <f t="shared" si="1"/>
        <v>2.4137009814648447E-2</v>
      </c>
    </row>
    <row r="47" spans="1:5" x14ac:dyDescent="0.25">
      <c r="A47" s="12">
        <v>1972</v>
      </c>
      <c r="B47" s="14">
        <v>22430449.065764464</v>
      </c>
      <c r="C47" s="14">
        <f t="shared" si="0"/>
        <v>2.2430449065764465E-2</v>
      </c>
      <c r="D47" s="14">
        <v>22226696.39691643</v>
      </c>
      <c r="E47" s="14">
        <f t="shared" si="1"/>
        <v>2.2226696396916431E-2</v>
      </c>
    </row>
    <row r="48" spans="1:5" x14ac:dyDescent="0.25">
      <c r="A48" s="12">
        <v>1973</v>
      </c>
      <c r="B48" s="14">
        <v>22399004.24396899</v>
      </c>
      <c r="C48" s="14">
        <f t="shared" si="0"/>
        <v>2.2399004243968991E-2</v>
      </c>
      <c r="D48" s="14">
        <v>22191214.131083876</v>
      </c>
      <c r="E48" s="14">
        <f t="shared" si="1"/>
        <v>2.2191214131083877E-2</v>
      </c>
    </row>
    <row r="49" spans="1:5" x14ac:dyDescent="0.25">
      <c r="A49" s="12">
        <v>1974</v>
      </c>
      <c r="B49" s="14">
        <v>27387839.713960037</v>
      </c>
      <c r="C49" s="14">
        <f t="shared" si="0"/>
        <v>2.7387839713960038E-2</v>
      </c>
      <c r="D49" s="14">
        <v>27024686.809745844</v>
      </c>
      <c r="E49" s="14">
        <f t="shared" si="1"/>
        <v>2.7024686809745846E-2</v>
      </c>
    </row>
    <row r="50" spans="1:5" x14ac:dyDescent="0.25">
      <c r="A50" s="12">
        <v>1975</v>
      </c>
      <c r="B50" s="14">
        <v>29058822.394817736</v>
      </c>
      <c r="C50" s="14">
        <f t="shared" si="0"/>
        <v>2.9058822394817739E-2</v>
      </c>
      <c r="D50" s="14">
        <v>28709063.003306195</v>
      </c>
      <c r="E50" s="14">
        <f t="shared" si="1"/>
        <v>2.8709063003306196E-2</v>
      </c>
    </row>
    <row r="51" spans="1:5" x14ac:dyDescent="0.25">
      <c r="A51" s="12">
        <v>1976</v>
      </c>
      <c r="B51" s="14">
        <v>34438297.739933804</v>
      </c>
      <c r="C51" s="14">
        <f t="shared" si="0"/>
        <v>3.4438297739933808E-2</v>
      </c>
      <c r="D51" s="14">
        <v>33968159.545420751</v>
      </c>
      <c r="E51" s="14">
        <f t="shared" si="1"/>
        <v>3.3968159545420755E-2</v>
      </c>
    </row>
    <row r="52" spans="1:5" x14ac:dyDescent="0.25">
      <c r="A52" s="12">
        <v>1977</v>
      </c>
      <c r="B52" s="14">
        <v>31804112.736049805</v>
      </c>
      <c r="C52" s="14">
        <f t="shared" si="0"/>
        <v>3.1804112736049807E-2</v>
      </c>
      <c r="D52" s="14">
        <v>31512208.167434163</v>
      </c>
      <c r="E52" s="14">
        <f t="shared" si="1"/>
        <v>3.1512208167434164E-2</v>
      </c>
    </row>
    <row r="53" spans="1:5" x14ac:dyDescent="0.25">
      <c r="A53" s="12">
        <v>1978</v>
      </c>
      <c r="B53" s="14">
        <v>39622322.443656556</v>
      </c>
      <c r="C53" s="14">
        <f t="shared" si="0"/>
        <v>3.9622322443656557E-2</v>
      </c>
      <c r="D53" s="14">
        <v>39089801.805603586</v>
      </c>
      <c r="E53" s="14">
        <f t="shared" si="1"/>
        <v>3.9089801805603591E-2</v>
      </c>
    </row>
    <row r="54" spans="1:5" x14ac:dyDescent="0.25">
      <c r="A54" s="12">
        <v>1979</v>
      </c>
      <c r="B54" s="14">
        <v>33861862.566196971</v>
      </c>
      <c r="C54" s="14">
        <f t="shared" si="0"/>
        <v>3.3861862566196971E-2</v>
      </c>
      <c r="D54" s="14">
        <v>33617251.242098905</v>
      </c>
      <c r="E54" s="14">
        <f t="shared" si="1"/>
        <v>3.3617251242098904E-2</v>
      </c>
    </row>
    <row r="55" spans="1:5" x14ac:dyDescent="0.25">
      <c r="A55" s="12">
        <v>1980</v>
      </c>
      <c r="B55" s="14">
        <v>34707836.801241614</v>
      </c>
      <c r="C55" s="14">
        <f t="shared" si="0"/>
        <v>3.4707836801241614E-2</v>
      </c>
      <c r="D55" s="14">
        <v>34418442.277984187</v>
      </c>
      <c r="E55" s="14">
        <f t="shared" si="1"/>
        <v>3.4418442277984192E-2</v>
      </c>
    </row>
    <row r="56" spans="1:5" x14ac:dyDescent="0.25">
      <c r="A56" s="12">
        <v>1981</v>
      </c>
      <c r="B56" s="14">
        <v>30690537.361544635</v>
      </c>
      <c r="C56" s="14">
        <f t="shared" si="0"/>
        <v>3.0690537361544638E-2</v>
      </c>
      <c r="D56" s="14">
        <v>30547488.320641462</v>
      </c>
      <c r="E56" s="14">
        <f t="shared" si="1"/>
        <v>3.0547488320641462E-2</v>
      </c>
    </row>
    <row r="57" spans="1:5" x14ac:dyDescent="0.25">
      <c r="A57" s="12">
        <v>1982</v>
      </c>
      <c r="B57" s="14">
        <v>27799021.648146898</v>
      </c>
      <c r="C57" s="14">
        <f t="shared" si="0"/>
        <v>2.7799021648146901E-2</v>
      </c>
      <c r="D57" s="14">
        <v>27717879.45937638</v>
      </c>
      <c r="E57" s="14">
        <f t="shared" si="1"/>
        <v>2.7717879459376382E-2</v>
      </c>
    </row>
    <row r="58" spans="1:5" x14ac:dyDescent="0.25">
      <c r="A58" s="12">
        <v>1983</v>
      </c>
      <c r="B58" s="14">
        <v>30786458.066316999</v>
      </c>
      <c r="C58" s="14">
        <f t="shared" si="0"/>
        <v>3.0786458066317E-2</v>
      </c>
      <c r="D58" s="14">
        <v>30567398.310798127</v>
      </c>
      <c r="E58" s="14">
        <f t="shared" si="1"/>
        <v>3.0567398310798129E-2</v>
      </c>
    </row>
    <row r="59" spans="1:5" x14ac:dyDescent="0.25">
      <c r="A59" s="12">
        <v>1984</v>
      </c>
      <c r="B59" s="14">
        <v>35632668.084362447</v>
      </c>
      <c r="C59" s="14">
        <f t="shared" si="0"/>
        <v>3.5632668084362447E-2</v>
      </c>
      <c r="D59" s="14">
        <v>35275782.838746391</v>
      </c>
      <c r="E59" s="14">
        <f t="shared" si="1"/>
        <v>3.527578283874639E-2</v>
      </c>
    </row>
    <row r="60" spans="1:5" x14ac:dyDescent="0.25">
      <c r="A60" s="12">
        <v>1985</v>
      </c>
      <c r="B60" s="14">
        <v>37621201.522310436</v>
      </c>
      <c r="C60" s="14">
        <f t="shared" si="0"/>
        <v>3.7621201522310438E-2</v>
      </c>
      <c r="D60" s="14">
        <v>37258157.636453159</v>
      </c>
      <c r="E60" s="14">
        <f t="shared" si="1"/>
        <v>3.7258157636453161E-2</v>
      </c>
    </row>
    <row r="61" spans="1:5" x14ac:dyDescent="0.25">
      <c r="A61" s="12">
        <v>1986</v>
      </c>
      <c r="B61" s="14">
        <v>36061337.166778482</v>
      </c>
      <c r="C61" s="14">
        <f t="shared" si="0"/>
        <v>3.6061337166778486E-2</v>
      </c>
      <c r="D61" s="14">
        <v>35799308.924307741</v>
      </c>
      <c r="E61" s="14">
        <f t="shared" si="1"/>
        <v>3.5799308924307743E-2</v>
      </c>
    </row>
    <row r="62" spans="1:5" x14ac:dyDescent="0.25">
      <c r="A62" s="12">
        <v>1987</v>
      </c>
      <c r="B62" s="14">
        <v>34368009.73860056</v>
      </c>
      <c r="C62" s="14">
        <f t="shared" si="0"/>
        <v>3.4368009738600561E-2</v>
      </c>
      <c r="D62" s="14">
        <v>34169516.682997175</v>
      </c>
      <c r="E62" s="14">
        <f t="shared" si="1"/>
        <v>3.4169516682997177E-2</v>
      </c>
    </row>
    <row r="63" spans="1:5" x14ac:dyDescent="0.25">
      <c r="A63" s="12">
        <v>1988</v>
      </c>
      <c r="B63" s="14">
        <v>36728769.904766187</v>
      </c>
      <c r="C63" s="14">
        <f t="shared" si="0"/>
        <v>3.6728769904766187E-2</v>
      </c>
      <c r="D63" s="14">
        <v>36446112.286032155</v>
      </c>
      <c r="E63" s="14">
        <f t="shared" si="1"/>
        <v>3.6446112286032159E-2</v>
      </c>
    </row>
    <row r="64" spans="1:5" x14ac:dyDescent="0.25">
      <c r="A64" s="12">
        <v>1989</v>
      </c>
      <c r="B64" s="14">
        <v>37329508.828625023</v>
      </c>
      <c r="C64" s="14">
        <f t="shared" si="0"/>
        <v>3.7329508828625027E-2</v>
      </c>
      <c r="D64" s="14">
        <v>37055955.843475915</v>
      </c>
      <c r="E64" s="14">
        <f t="shared" si="1"/>
        <v>3.7055955843475916E-2</v>
      </c>
    </row>
    <row r="65" spans="1:5" x14ac:dyDescent="0.25">
      <c r="A65" s="12">
        <v>1990</v>
      </c>
      <c r="B65" s="14">
        <v>42471680.975253798</v>
      </c>
      <c r="C65" s="14">
        <f t="shared" si="0"/>
        <v>4.2471680975253799E-2</v>
      </c>
      <c r="D65" s="14">
        <v>42054980.260022007</v>
      </c>
      <c r="E65" s="14">
        <f t="shared" si="1"/>
        <v>4.205498026002201E-2</v>
      </c>
    </row>
    <row r="66" spans="1:5" x14ac:dyDescent="0.25">
      <c r="A66" s="12">
        <v>1991</v>
      </c>
      <c r="B66" s="14">
        <v>40255139.657965839</v>
      </c>
      <c r="C66" s="14">
        <f t="shared" si="0"/>
        <v>4.0255139657965844E-2</v>
      </c>
      <c r="D66" s="14">
        <v>39980994.523342595</v>
      </c>
      <c r="E66" s="14">
        <f t="shared" si="1"/>
        <v>3.9980994523342597E-2</v>
      </c>
    </row>
    <row r="67" spans="1:5" x14ac:dyDescent="0.25">
      <c r="A67" s="12">
        <v>1992</v>
      </c>
      <c r="B67" s="14">
        <v>33354650.947322581</v>
      </c>
      <c r="C67" s="14">
        <f t="shared" si="0"/>
        <v>3.3354650947322581E-2</v>
      </c>
      <c r="D67" s="14">
        <v>33309864.350230429</v>
      </c>
      <c r="E67" s="14">
        <f t="shared" si="1"/>
        <v>3.330986435023043E-2</v>
      </c>
    </row>
    <row r="68" spans="1:5" x14ac:dyDescent="0.25">
      <c r="A68" s="12">
        <v>1993</v>
      </c>
      <c r="B68" s="14">
        <v>27706601.446774427</v>
      </c>
      <c r="C68" s="14">
        <f t="shared" ref="C68:C84" si="2">B68*0.000000001</f>
        <v>2.7706601446774427E-2</v>
      </c>
      <c r="D68" s="14">
        <v>27777884.067042023</v>
      </c>
      <c r="E68" s="14">
        <f t="shared" ref="E68:E84" si="3">D68*0.000000001</f>
        <v>2.7777884067042024E-2</v>
      </c>
    </row>
    <row r="69" spans="1:5" x14ac:dyDescent="0.25">
      <c r="A69" s="12">
        <v>1994</v>
      </c>
      <c r="B69" s="14">
        <v>41239022.364520155</v>
      </c>
      <c r="C69" s="14">
        <f t="shared" si="2"/>
        <v>4.1239022364520157E-2</v>
      </c>
      <c r="D69" s="14">
        <v>40786005.905090801</v>
      </c>
      <c r="E69" s="14">
        <f t="shared" si="3"/>
        <v>4.0786005905090801E-2</v>
      </c>
    </row>
    <row r="70" spans="1:5" x14ac:dyDescent="0.25">
      <c r="A70" s="12">
        <v>1995</v>
      </c>
      <c r="B70" s="14">
        <v>39678339.749820083</v>
      </c>
      <c r="C70" s="14">
        <f t="shared" si="2"/>
        <v>3.9678339749820088E-2</v>
      </c>
      <c r="D70" s="14">
        <v>39394099.024804205</v>
      </c>
      <c r="E70" s="14">
        <f t="shared" si="3"/>
        <v>3.9394099024804209E-2</v>
      </c>
    </row>
    <row r="71" spans="1:5" x14ac:dyDescent="0.25">
      <c r="A71" s="12">
        <v>1996</v>
      </c>
      <c r="B71" s="14">
        <v>34148490.814752527</v>
      </c>
      <c r="C71" s="14">
        <f t="shared" si="2"/>
        <v>3.4148490814752526E-2</v>
      </c>
      <c r="D71" s="14">
        <v>34067921.584132217</v>
      </c>
      <c r="E71" s="14">
        <f t="shared" si="3"/>
        <v>3.4067921584132216E-2</v>
      </c>
    </row>
    <row r="72" spans="1:5" x14ac:dyDescent="0.25">
      <c r="A72" s="12">
        <v>1997</v>
      </c>
      <c r="B72" s="14">
        <v>43460548.791017815</v>
      </c>
      <c r="C72" s="14">
        <f t="shared" si="2"/>
        <v>4.3460548791017815E-2</v>
      </c>
      <c r="D72" s="14">
        <v>43029497.777833357</v>
      </c>
      <c r="E72" s="14">
        <f t="shared" si="3"/>
        <v>4.302949777783336E-2</v>
      </c>
    </row>
    <row r="73" spans="1:5" x14ac:dyDescent="0.25">
      <c r="A73" s="12">
        <v>1998</v>
      </c>
      <c r="B73" s="14">
        <v>45722793.861240759</v>
      </c>
      <c r="C73" s="14">
        <f t="shared" si="2"/>
        <v>4.5722793861240764E-2</v>
      </c>
      <c r="D73" s="14">
        <v>45311758.871702217</v>
      </c>
      <c r="E73" s="14">
        <f t="shared" si="3"/>
        <v>4.5311758871702218E-2</v>
      </c>
    </row>
    <row r="74" spans="1:5" x14ac:dyDescent="0.25">
      <c r="A74" s="12">
        <v>1999</v>
      </c>
      <c r="B74" s="14">
        <v>36824947.781741768</v>
      </c>
      <c r="C74" s="14">
        <f t="shared" si="2"/>
        <v>3.6824947781741772E-2</v>
      </c>
      <c r="D74" s="14">
        <v>36764853.502600834</v>
      </c>
      <c r="E74" s="14">
        <f t="shared" si="3"/>
        <v>3.6764853502600836E-2</v>
      </c>
    </row>
    <row r="75" spans="1:5" x14ac:dyDescent="0.25">
      <c r="A75" s="12">
        <v>2000</v>
      </c>
      <c r="B75" s="14">
        <v>53070915.817633055</v>
      </c>
      <c r="C75" s="14">
        <f t="shared" si="2"/>
        <v>5.3070915817633062E-2</v>
      </c>
      <c r="D75" s="14">
        <v>52413605.103268765</v>
      </c>
      <c r="E75" s="14">
        <f t="shared" si="3"/>
        <v>5.2413605103268771E-2</v>
      </c>
    </row>
    <row r="76" spans="1:5" x14ac:dyDescent="0.25">
      <c r="A76" s="12">
        <v>2001</v>
      </c>
      <c r="B76" s="14">
        <v>45889466.628753036</v>
      </c>
      <c r="C76" s="14">
        <f t="shared" si="2"/>
        <v>4.588946662875304E-2</v>
      </c>
      <c r="D76" s="14">
        <v>45629420.012567878</v>
      </c>
      <c r="E76" s="14">
        <f t="shared" si="3"/>
        <v>4.5629420012567881E-2</v>
      </c>
    </row>
    <row r="77" spans="1:5" x14ac:dyDescent="0.25">
      <c r="A77" s="12">
        <v>2002</v>
      </c>
      <c r="B77" s="14">
        <v>55984561.164186403</v>
      </c>
      <c r="C77" s="14">
        <f t="shared" si="2"/>
        <v>5.598456116418641E-2</v>
      </c>
      <c r="D77" s="14">
        <v>55381364.733623296</v>
      </c>
      <c r="E77" s="14">
        <f t="shared" si="3"/>
        <v>5.5381364733623296E-2</v>
      </c>
    </row>
    <row r="78" spans="1:5" x14ac:dyDescent="0.25">
      <c r="A78" s="12">
        <v>2003</v>
      </c>
      <c r="B78" s="14">
        <v>51693401.306527235</v>
      </c>
      <c r="C78" s="14">
        <f t="shared" si="2"/>
        <v>5.1693401306527241E-2</v>
      </c>
      <c r="D78" s="14">
        <v>51349381.689247251</v>
      </c>
      <c r="E78" s="14">
        <f t="shared" si="3"/>
        <v>5.1349381689247256E-2</v>
      </c>
    </row>
    <row r="79" spans="1:5" x14ac:dyDescent="0.25">
      <c r="A79" s="12">
        <v>2004</v>
      </c>
      <c r="B79" s="14">
        <v>47208262.624135621</v>
      </c>
      <c r="C79" s="14">
        <f t="shared" si="2"/>
        <v>4.7208262624135626E-2</v>
      </c>
      <c r="D79" s="14">
        <v>47015294.092993252</v>
      </c>
      <c r="E79" s="14">
        <f t="shared" si="3"/>
        <v>4.7015294092993258E-2</v>
      </c>
    </row>
    <row r="80" spans="1:5" x14ac:dyDescent="0.25">
      <c r="A80" s="12">
        <v>2005</v>
      </c>
      <c r="B80" s="14">
        <v>42464612.780815132</v>
      </c>
      <c r="C80" s="14">
        <f t="shared" si="2"/>
        <v>4.2464612780815134E-2</v>
      </c>
      <c r="D80" s="14">
        <v>42388804.093130961</v>
      </c>
      <c r="E80" s="14">
        <f t="shared" si="3"/>
        <v>4.2388804093130963E-2</v>
      </c>
    </row>
    <row r="81" spans="1:5" x14ac:dyDescent="0.25">
      <c r="A81" s="12">
        <v>2006</v>
      </c>
      <c r="B81" s="14">
        <v>41581385.9734056</v>
      </c>
      <c r="C81" s="14">
        <f t="shared" si="2"/>
        <v>4.1581385973405605E-2</v>
      </c>
      <c r="D81" s="14">
        <v>41473999.31458617</v>
      </c>
      <c r="E81" s="14">
        <f t="shared" si="3"/>
        <v>4.1473999314586174E-2</v>
      </c>
    </row>
    <row r="82" spans="1:5" x14ac:dyDescent="0.25">
      <c r="A82" s="12">
        <v>2007</v>
      </c>
      <c r="B82" s="14">
        <v>39560688.764998816</v>
      </c>
      <c r="C82" s="14">
        <f t="shared" si="2"/>
        <v>3.9560688764998818E-2</v>
      </c>
      <c r="D82" s="14">
        <v>39488186.342523783</v>
      </c>
      <c r="E82" s="14">
        <f t="shared" si="3"/>
        <v>3.9488186342523789E-2</v>
      </c>
    </row>
    <row r="83" spans="1:5" x14ac:dyDescent="0.25">
      <c r="A83" s="12">
        <v>2008</v>
      </c>
      <c r="B83" s="14">
        <v>39986883.555099353</v>
      </c>
      <c r="C83" s="14">
        <f t="shared" si="2"/>
        <v>3.9986883555099356E-2</v>
      </c>
      <c r="D83" s="14">
        <v>39865204.135377586</v>
      </c>
      <c r="E83" s="14">
        <f t="shared" si="3"/>
        <v>3.9865204135377585E-2</v>
      </c>
    </row>
    <row r="84" spans="1:5" x14ac:dyDescent="0.25">
      <c r="A84" s="12">
        <v>2009</v>
      </c>
      <c r="B84" s="14">
        <v>35878202.199825391</v>
      </c>
      <c r="C84" s="14">
        <f t="shared" si="2"/>
        <v>3.587820219982539E-2</v>
      </c>
      <c r="D84" s="14">
        <v>35882238.784646645</v>
      </c>
      <c r="E84" s="14">
        <f t="shared" si="3"/>
        <v>3.588223878464665E-2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zoomScale="80" zoomScaleNormal="80" workbookViewId="0">
      <selection activeCell="B1" sqref="B1"/>
    </sheetView>
  </sheetViews>
  <sheetFormatPr defaultRowHeight="15" x14ac:dyDescent="0.25"/>
  <cols>
    <col min="1" max="1" width="5.140625" customWidth="1"/>
    <col min="2" max="2" width="20" bestFit="1" customWidth="1"/>
    <col min="3" max="3" width="16.28515625" bestFit="1" customWidth="1"/>
    <col min="4" max="4" width="17.28515625" bestFit="1" customWidth="1"/>
    <col min="5" max="5" width="18.42578125" bestFit="1" customWidth="1"/>
    <col min="6" max="6" width="17.85546875" bestFit="1" customWidth="1"/>
    <col min="7" max="7" width="19.140625" bestFit="1" customWidth="1"/>
    <col min="8" max="8" width="17.7109375" bestFit="1" customWidth="1"/>
    <col min="9" max="9" width="18.85546875" bestFit="1" customWidth="1"/>
    <col min="10" max="11" width="32.7109375" bestFit="1" customWidth="1"/>
    <col min="13" max="13" width="9.28515625" bestFit="1" customWidth="1"/>
    <col min="14" max="14" width="20" bestFit="1" customWidth="1"/>
    <col min="15" max="15" width="16.28515625" bestFit="1" customWidth="1"/>
    <col min="16" max="16" width="17.28515625" bestFit="1" customWidth="1"/>
    <col min="17" max="17" width="18.42578125" bestFit="1" customWidth="1"/>
    <col min="18" max="18" width="17.85546875" bestFit="1" customWidth="1"/>
    <col min="19" max="19" width="19.140625" bestFit="1" customWidth="1"/>
    <col min="20" max="20" width="17.7109375" bestFit="1" customWidth="1"/>
    <col min="21" max="21" width="18.85546875" bestFit="1" customWidth="1"/>
    <col min="22" max="22" width="32.7109375" bestFit="1" customWidth="1"/>
    <col min="23" max="23" width="33.7109375" bestFit="1" customWidth="1"/>
  </cols>
  <sheetData>
    <row r="1" spans="1:23" ht="18.75" x14ac:dyDescent="0.3">
      <c r="B1" s="13" t="s">
        <v>74</v>
      </c>
    </row>
    <row r="2" spans="1:23" x14ac:dyDescent="0.25">
      <c r="A2" s="11"/>
      <c r="B2" s="27" t="s">
        <v>22</v>
      </c>
      <c r="C2" s="27"/>
      <c r="D2" s="28"/>
      <c r="E2" s="28"/>
      <c r="F2" s="28"/>
      <c r="G2" s="28"/>
      <c r="H2" s="28"/>
      <c r="I2" s="28"/>
      <c r="J2" s="28"/>
      <c r="K2" s="28"/>
      <c r="M2" s="11"/>
      <c r="N2" s="27" t="s">
        <v>33</v>
      </c>
      <c r="O2" s="27"/>
      <c r="P2" s="28"/>
      <c r="Q2" s="28"/>
      <c r="R2" s="34"/>
      <c r="S2" s="34"/>
      <c r="T2" s="34"/>
      <c r="U2" s="34"/>
      <c r="V2" s="34"/>
      <c r="W2" s="34"/>
    </row>
    <row r="3" spans="1:23" x14ac:dyDescent="0.25">
      <c r="A3" s="11"/>
      <c r="B3" s="27" t="s">
        <v>40</v>
      </c>
      <c r="C3" s="27"/>
      <c r="D3" s="28"/>
      <c r="E3" s="28"/>
      <c r="F3" s="28"/>
      <c r="G3" s="28"/>
      <c r="H3" s="28"/>
      <c r="I3" s="28"/>
      <c r="J3" s="28"/>
      <c r="K3" s="28"/>
      <c r="M3" s="11"/>
      <c r="N3" s="27" t="s">
        <v>40</v>
      </c>
      <c r="O3" s="27"/>
      <c r="P3" s="28"/>
      <c r="Q3" s="28"/>
      <c r="R3" s="34"/>
      <c r="S3" s="34"/>
      <c r="T3" s="34"/>
      <c r="U3" s="34"/>
      <c r="V3" s="34"/>
      <c r="W3" s="34"/>
    </row>
    <row r="4" spans="1:23" ht="17.25" x14ac:dyDescent="0.25">
      <c r="A4" s="12" t="s">
        <v>7</v>
      </c>
      <c r="B4" s="27" t="s">
        <v>41</v>
      </c>
      <c r="C4" s="27" t="s">
        <v>42</v>
      </c>
      <c r="D4" s="27" t="s">
        <v>43</v>
      </c>
      <c r="E4" s="27" t="s">
        <v>44</v>
      </c>
      <c r="F4" s="27" t="s">
        <v>45</v>
      </c>
      <c r="G4" s="27" t="s">
        <v>46</v>
      </c>
      <c r="H4" s="27" t="s">
        <v>51</v>
      </c>
      <c r="I4" s="27" t="s">
        <v>52</v>
      </c>
      <c r="J4" s="27" t="s">
        <v>49</v>
      </c>
      <c r="K4" s="27" t="s">
        <v>50</v>
      </c>
      <c r="M4" s="12" t="s">
        <v>7</v>
      </c>
      <c r="N4" s="27" t="s">
        <v>41</v>
      </c>
      <c r="O4" s="27" t="s">
        <v>42</v>
      </c>
      <c r="P4" s="27" t="s">
        <v>43</v>
      </c>
      <c r="Q4" s="27" t="s">
        <v>44</v>
      </c>
      <c r="R4" s="35"/>
      <c r="S4" s="35"/>
      <c r="T4" s="35"/>
      <c r="U4" s="35"/>
      <c r="V4" s="35"/>
      <c r="W4" s="35"/>
    </row>
    <row r="5" spans="1:23" x14ac:dyDescent="0.25">
      <c r="A5" s="12">
        <v>1941</v>
      </c>
      <c r="B5" s="14">
        <v>824199.12762424699</v>
      </c>
      <c r="C5" s="14">
        <f>B5*0.000000001</f>
        <v>8.2419912762424707E-4</v>
      </c>
      <c r="D5" s="14">
        <v>6289619.1132226503</v>
      </c>
      <c r="E5" s="14">
        <f>D5*0.000000001</f>
        <v>6.2896191132226506E-3</v>
      </c>
      <c r="F5" s="14">
        <v>0</v>
      </c>
      <c r="G5" s="14">
        <f>F5*0.000000001</f>
        <v>0</v>
      </c>
      <c r="H5" s="14">
        <v>0</v>
      </c>
      <c r="I5" s="14">
        <v>0</v>
      </c>
      <c r="J5" s="14">
        <v>0.46810677117600002</v>
      </c>
      <c r="K5" s="14">
        <f>J5*0.000000001</f>
        <v>4.6810677117600002E-10</v>
      </c>
      <c r="M5" s="3">
        <v>1941</v>
      </c>
      <c r="N5" s="14">
        <v>824199.12762424699</v>
      </c>
      <c r="O5" s="14">
        <f>N5*0.000000001</f>
        <v>8.2419912762424707E-4</v>
      </c>
      <c r="P5" s="14">
        <v>7862023.8915283196</v>
      </c>
      <c r="Q5" s="14">
        <f>P5*0.000000001</f>
        <v>7.8620238915283209E-3</v>
      </c>
    </row>
    <row r="6" spans="1:23" x14ac:dyDescent="0.25">
      <c r="A6" s="12">
        <v>1942</v>
      </c>
      <c r="B6" s="14">
        <v>907631.53076858702</v>
      </c>
      <c r="C6" s="14">
        <f t="shared" ref="C6:C69" si="0">B6*0.000000001</f>
        <v>9.0763153076858707E-4</v>
      </c>
      <c r="D6" s="14">
        <v>6812419.3253809996</v>
      </c>
      <c r="E6" s="14">
        <f t="shared" ref="E6:E69" si="1">D6*0.000000001</f>
        <v>6.812419325381E-3</v>
      </c>
      <c r="F6" s="14">
        <v>23197.763527265601</v>
      </c>
      <c r="G6" s="14">
        <f t="shared" ref="G6:G69" si="2">F6*0.000000001</f>
        <v>2.3197763527265601E-5</v>
      </c>
      <c r="H6" s="14">
        <v>0</v>
      </c>
      <c r="I6" s="14">
        <v>0</v>
      </c>
      <c r="J6" s="14">
        <v>0.41214776234240003</v>
      </c>
      <c r="K6" s="14">
        <f t="shared" ref="K6:K69" si="3">J6*0.000000001</f>
        <v>4.1214776234240005E-10</v>
      </c>
      <c r="M6" s="3">
        <v>1942</v>
      </c>
      <c r="N6" s="14">
        <v>907631.53076858702</v>
      </c>
      <c r="O6" s="14">
        <f t="shared" ref="O6:O69" si="4">N6*0.000000001</f>
        <v>9.0763153076858707E-4</v>
      </c>
      <c r="P6" s="14">
        <v>8652714.9197057299</v>
      </c>
      <c r="Q6" s="14">
        <f t="shared" ref="Q6:Q69" si="5">P6*0.000000001</f>
        <v>8.6527149197057306E-3</v>
      </c>
    </row>
    <row r="7" spans="1:23" x14ac:dyDescent="0.25">
      <c r="A7" s="12">
        <v>1943</v>
      </c>
      <c r="B7" s="14">
        <v>444868.33181329101</v>
      </c>
      <c r="C7" s="14">
        <f t="shared" si="0"/>
        <v>4.4486833181329105E-4</v>
      </c>
      <c r="D7" s="14">
        <v>3502900.9389286102</v>
      </c>
      <c r="E7" s="14">
        <f t="shared" si="1"/>
        <v>3.5029009389286104E-3</v>
      </c>
      <c r="F7" s="14">
        <v>23234.791082775999</v>
      </c>
      <c r="G7" s="14">
        <f t="shared" si="2"/>
        <v>2.3234791082775999E-5</v>
      </c>
      <c r="H7" s="14">
        <v>0</v>
      </c>
      <c r="I7" s="14">
        <v>0</v>
      </c>
      <c r="J7" s="14">
        <v>1.7544238845919999</v>
      </c>
      <c r="K7" s="14">
        <f t="shared" si="3"/>
        <v>1.7544238845920001E-9</v>
      </c>
      <c r="M7" s="3">
        <v>1943</v>
      </c>
      <c r="N7" s="14">
        <v>454540.13212872198</v>
      </c>
      <c r="O7" s="14">
        <f t="shared" si="4"/>
        <v>4.5454013212872199E-4</v>
      </c>
      <c r="P7" s="14">
        <v>4333263.0583522301</v>
      </c>
      <c r="Q7" s="14">
        <f t="shared" si="5"/>
        <v>4.3332630583522306E-3</v>
      </c>
    </row>
    <row r="8" spans="1:23" x14ac:dyDescent="0.25">
      <c r="A8" s="12">
        <v>1944</v>
      </c>
      <c r="B8" s="14">
        <v>843502.34394124395</v>
      </c>
      <c r="C8" s="14">
        <f t="shared" si="0"/>
        <v>8.4350234394124396E-4</v>
      </c>
      <c r="D8" s="14">
        <v>6324256.9061005004</v>
      </c>
      <c r="E8" s="14">
        <f t="shared" si="1"/>
        <v>6.3242569061005005E-3</v>
      </c>
      <c r="F8" s="14">
        <v>65011.130587384803</v>
      </c>
      <c r="G8" s="14">
        <f t="shared" si="2"/>
        <v>6.501113058738481E-5</v>
      </c>
      <c r="H8" s="14">
        <v>0</v>
      </c>
      <c r="I8" s="14">
        <v>0</v>
      </c>
      <c r="J8" s="14">
        <v>0.62564309913039995</v>
      </c>
      <c r="K8" s="14">
        <f t="shared" si="3"/>
        <v>6.2564309913039999E-10</v>
      </c>
      <c r="M8" s="3">
        <v>1944</v>
      </c>
      <c r="N8" s="14">
        <v>847871.27435325796</v>
      </c>
      <c r="O8" s="14">
        <f t="shared" si="4"/>
        <v>8.4787127435325804E-4</v>
      </c>
      <c r="P8" s="14">
        <v>8083003.0435080295</v>
      </c>
      <c r="Q8" s="14">
        <f t="shared" si="5"/>
        <v>8.0830030435080306E-3</v>
      </c>
    </row>
    <row r="9" spans="1:23" x14ac:dyDescent="0.25">
      <c r="A9" s="12">
        <v>1945</v>
      </c>
      <c r="B9" s="14">
        <v>689150.12799145398</v>
      </c>
      <c r="C9" s="14">
        <f t="shared" si="0"/>
        <v>6.8915012799145405E-4</v>
      </c>
      <c r="D9" s="14">
        <v>5227971.6429636804</v>
      </c>
      <c r="E9" s="14">
        <f t="shared" si="1"/>
        <v>5.2279716429636811E-3</v>
      </c>
      <c r="F9" s="14">
        <v>71055.879024457594</v>
      </c>
      <c r="G9" s="14">
        <f t="shared" si="2"/>
        <v>7.1055879024457596E-5</v>
      </c>
      <c r="H9" s="14">
        <v>0</v>
      </c>
      <c r="I9" s="14">
        <v>0</v>
      </c>
      <c r="J9" s="14">
        <v>7.8901791294400003E-2</v>
      </c>
      <c r="K9" s="14">
        <f t="shared" si="3"/>
        <v>7.8901791294400004E-11</v>
      </c>
      <c r="M9" s="3">
        <v>1945</v>
      </c>
      <c r="N9" s="14">
        <v>695029.89127889799</v>
      </c>
      <c r="O9" s="14">
        <f t="shared" si="4"/>
        <v>6.9502989127889802E-4</v>
      </c>
      <c r="P9" s="14">
        <v>6625921.7601417797</v>
      </c>
      <c r="Q9" s="14">
        <f t="shared" si="5"/>
        <v>6.6259217601417801E-3</v>
      </c>
    </row>
    <row r="10" spans="1:23" x14ac:dyDescent="0.25">
      <c r="A10" s="12">
        <v>1946</v>
      </c>
      <c r="B10" s="14">
        <v>918412.73265101702</v>
      </c>
      <c r="C10" s="14">
        <f t="shared" si="0"/>
        <v>9.1841273265101707E-4</v>
      </c>
      <c r="D10" s="14">
        <v>6583011.33336036</v>
      </c>
      <c r="E10" s="14">
        <f t="shared" si="1"/>
        <v>6.5830113333603607E-3</v>
      </c>
      <c r="F10" s="14">
        <v>115387.11985928399</v>
      </c>
      <c r="G10" s="14">
        <f t="shared" si="2"/>
        <v>1.15387119859284E-4</v>
      </c>
      <c r="H10" s="14">
        <v>0</v>
      </c>
      <c r="I10" s="14">
        <v>0</v>
      </c>
      <c r="J10" s="14">
        <v>145.19354220687401</v>
      </c>
      <c r="K10" s="14">
        <f t="shared" si="3"/>
        <v>1.4519354220687404E-7</v>
      </c>
      <c r="M10" s="3">
        <v>1946</v>
      </c>
      <c r="N10" s="14">
        <v>902923.146929804</v>
      </c>
      <c r="O10" s="14">
        <f t="shared" si="4"/>
        <v>9.0292314692980407E-4</v>
      </c>
      <c r="P10" s="14">
        <v>8607828.5294598602</v>
      </c>
      <c r="Q10" s="14">
        <f t="shared" si="5"/>
        <v>8.607828529459861E-3</v>
      </c>
    </row>
    <row r="11" spans="1:23" x14ac:dyDescent="0.25">
      <c r="A11" s="12">
        <v>1947</v>
      </c>
      <c r="B11" s="14">
        <v>721467.62395440997</v>
      </c>
      <c r="C11" s="14">
        <f t="shared" si="0"/>
        <v>7.2146762395441E-4</v>
      </c>
      <c r="D11" s="14">
        <v>4914843.2309704302</v>
      </c>
      <c r="E11" s="14">
        <f t="shared" si="1"/>
        <v>4.9148432309704306E-3</v>
      </c>
      <c r="F11" s="14">
        <v>106639.35986995199</v>
      </c>
      <c r="G11" s="14">
        <f t="shared" si="2"/>
        <v>1.06639359869952E-4</v>
      </c>
      <c r="H11" s="14">
        <v>0</v>
      </c>
      <c r="I11" s="14">
        <v>0</v>
      </c>
      <c r="J11" s="14">
        <v>167.27865215070599</v>
      </c>
      <c r="K11" s="14">
        <f t="shared" si="3"/>
        <v>1.6727865215070601E-7</v>
      </c>
      <c r="M11" s="3">
        <v>1947</v>
      </c>
      <c r="N11" s="14">
        <v>695392.07465111197</v>
      </c>
      <c r="O11" s="14">
        <f t="shared" si="4"/>
        <v>6.9539207465111198E-4</v>
      </c>
      <c r="P11" s="14">
        <v>6629374.5593914604</v>
      </c>
      <c r="Q11" s="14">
        <f t="shared" si="5"/>
        <v>6.6293745593914606E-3</v>
      </c>
    </row>
    <row r="12" spans="1:23" x14ac:dyDescent="0.25">
      <c r="A12" s="12">
        <v>1948</v>
      </c>
      <c r="B12" s="14">
        <v>667225.62787957198</v>
      </c>
      <c r="C12" s="14">
        <f t="shared" si="0"/>
        <v>6.6722562787957203E-4</v>
      </c>
      <c r="D12" s="14">
        <v>4615352.9124933798</v>
      </c>
      <c r="E12" s="14">
        <f t="shared" si="1"/>
        <v>4.61535291249338E-3</v>
      </c>
      <c r="F12" s="14">
        <v>115988.81763632801</v>
      </c>
      <c r="G12" s="14">
        <f t="shared" si="2"/>
        <v>1.1598881763632802E-4</v>
      </c>
      <c r="H12" s="14">
        <v>0</v>
      </c>
      <c r="I12" s="14">
        <v>0</v>
      </c>
      <c r="J12" s="14">
        <v>316.38902134084702</v>
      </c>
      <c r="K12" s="14">
        <f t="shared" si="3"/>
        <v>3.1638902134084705E-7</v>
      </c>
      <c r="M12" s="3">
        <v>1948</v>
      </c>
      <c r="N12" s="14">
        <v>648308.23626327701</v>
      </c>
      <c r="O12" s="14">
        <f t="shared" si="4"/>
        <v>6.4830823626327706E-4</v>
      </c>
      <c r="P12" s="14">
        <v>6180510.6569326697</v>
      </c>
      <c r="Q12" s="14">
        <f t="shared" si="5"/>
        <v>6.1805106569326699E-3</v>
      </c>
    </row>
    <row r="13" spans="1:23" x14ac:dyDescent="0.25">
      <c r="A13" s="12">
        <v>1949</v>
      </c>
      <c r="B13" s="14">
        <v>822302.06965092302</v>
      </c>
      <c r="C13" s="14">
        <f t="shared" si="0"/>
        <v>8.2230206965092307E-4</v>
      </c>
      <c r="D13" s="14">
        <v>6125242.6949754097</v>
      </c>
      <c r="E13" s="14">
        <f t="shared" si="1"/>
        <v>6.12524269497541E-3</v>
      </c>
      <c r="F13" s="14">
        <v>168179.15712823701</v>
      </c>
      <c r="G13" s="14">
        <f t="shared" si="2"/>
        <v>1.6817915712823703E-4</v>
      </c>
      <c r="H13" s="14">
        <v>0</v>
      </c>
      <c r="I13" s="14">
        <v>0</v>
      </c>
      <c r="J13" s="14">
        <v>489.75194122298899</v>
      </c>
      <c r="K13" s="14">
        <f t="shared" si="3"/>
        <v>4.8975194122298905E-7</v>
      </c>
      <c r="M13" s="3">
        <v>1949</v>
      </c>
      <c r="N13" s="14">
        <v>822518.43829826894</v>
      </c>
      <c r="O13" s="14">
        <f t="shared" si="4"/>
        <v>8.2251843829826905E-4</v>
      </c>
      <c r="P13" s="14">
        <v>7841307.0960302204</v>
      </c>
      <c r="Q13" s="14">
        <f t="shared" si="5"/>
        <v>7.8413070960302207E-3</v>
      </c>
    </row>
    <row r="14" spans="1:23" x14ac:dyDescent="0.25">
      <c r="A14" s="12">
        <v>1950</v>
      </c>
      <c r="B14" s="14">
        <v>693194.94819445803</v>
      </c>
      <c r="C14" s="14">
        <f t="shared" si="0"/>
        <v>6.9319494819445812E-4</v>
      </c>
      <c r="D14" s="14">
        <v>4923736.0961058</v>
      </c>
      <c r="E14" s="14">
        <f t="shared" si="1"/>
        <v>4.9237360961058001E-3</v>
      </c>
      <c r="F14" s="14">
        <v>157293.05580817899</v>
      </c>
      <c r="G14" s="14">
        <f t="shared" si="2"/>
        <v>1.5729305580817901E-4</v>
      </c>
      <c r="H14" s="14">
        <v>0</v>
      </c>
      <c r="I14" s="14">
        <v>0</v>
      </c>
      <c r="J14" s="14">
        <v>534.96014825856196</v>
      </c>
      <c r="K14" s="14">
        <f t="shared" si="3"/>
        <v>5.3496014825856202E-7</v>
      </c>
      <c r="M14" s="3">
        <v>1950</v>
      </c>
      <c r="N14" s="14">
        <v>683802.20674026106</v>
      </c>
      <c r="O14" s="14">
        <f t="shared" si="4"/>
        <v>6.8380220674026115E-4</v>
      </c>
      <c r="P14" s="14">
        <v>6518884.9834016096</v>
      </c>
      <c r="Q14" s="14">
        <f t="shared" si="5"/>
        <v>6.5188849834016101E-3</v>
      </c>
    </row>
    <row r="15" spans="1:23" x14ac:dyDescent="0.25">
      <c r="A15" s="12">
        <v>1951</v>
      </c>
      <c r="B15" s="14">
        <v>948046.93365195906</v>
      </c>
      <c r="C15" s="14">
        <f t="shared" si="0"/>
        <v>9.4804693365195915E-4</v>
      </c>
      <c r="D15" s="14">
        <v>7104880.8249525502</v>
      </c>
      <c r="E15" s="14">
        <f t="shared" si="1"/>
        <v>7.1048808249525508E-3</v>
      </c>
      <c r="F15" s="14">
        <v>246191.17613319901</v>
      </c>
      <c r="G15" s="14">
        <f t="shared" si="2"/>
        <v>2.4619117613319905E-4</v>
      </c>
      <c r="H15" s="14">
        <v>0</v>
      </c>
      <c r="I15" s="14">
        <v>0</v>
      </c>
      <c r="J15" s="14">
        <v>866.259193520434</v>
      </c>
      <c r="K15" s="14">
        <f t="shared" si="3"/>
        <v>8.6625919352043405E-7</v>
      </c>
      <c r="M15" s="3">
        <v>1951</v>
      </c>
      <c r="N15" s="14">
        <v>951093.53543428204</v>
      </c>
      <c r="O15" s="14">
        <f t="shared" si="4"/>
        <v>9.5109353543428206E-4</v>
      </c>
      <c r="P15" s="14">
        <v>9067050.8296677005</v>
      </c>
      <c r="Q15" s="14">
        <f t="shared" si="5"/>
        <v>9.067050829667701E-3</v>
      </c>
    </row>
    <row r="16" spans="1:23" x14ac:dyDescent="0.25">
      <c r="A16" s="12">
        <v>1952</v>
      </c>
      <c r="B16" s="14">
        <v>516855.84768779099</v>
      </c>
      <c r="C16" s="14">
        <f t="shared" si="0"/>
        <v>5.1685584768779104E-4</v>
      </c>
      <c r="D16" s="14">
        <v>4097815.57255542</v>
      </c>
      <c r="E16" s="14">
        <f t="shared" si="1"/>
        <v>4.0978155725554201E-3</v>
      </c>
      <c r="F16" s="14">
        <v>152118.567851664</v>
      </c>
      <c r="G16" s="14">
        <f t="shared" si="2"/>
        <v>1.5211856785166402E-4</v>
      </c>
      <c r="H16" s="14">
        <v>0</v>
      </c>
      <c r="I16" s="14">
        <v>0</v>
      </c>
      <c r="J16" s="14">
        <v>410.42941767564702</v>
      </c>
      <c r="K16" s="14">
        <f t="shared" si="3"/>
        <v>4.1042941767564706E-7</v>
      </c>
      <c r="M16" s="3">
        <v>1952</v>
      </c>
      <c r="N16" s="14">
        <v>528787.72343261703</v>
      </c>
      <c r="O16" s="14">
        <f t="shared" si="4"/>
        <v>5.2878772343261705E-4</v>
      </c>
      <c r="P16" s="14">
        <v>5041086.9045372596</v>
      </c>
      <c r="Q16" s="14">
        <f t="shared" si="5"/>
        <v>5.0410869045372595E-3</v>
      </c>
    </row>
    <row r="17" spans="1:17" x14ac:dyDescent="0.25">
      <c r="A17" s="12">
        <v>1953</v>
      </c>
      <c r="B17" s="14">
        <v>578824.58433495497</v>
      </c>
      <c r="C17" s="14">
        <f t="shared" si="0"/>
        <v>5.7882458433495502E-4</v>
      </c>
      <c r="D17" s="14">
        <v>4788598.6098310901</v>
      </c>
      <c r="E17" s="14">
        <f t="shared" si="1"/>
        <v>4.78859860983109E-3</v>
      </c>
      <c r="F17" s="14">
        <v>190286.13183134401</v>
      </c>
      <c r="G17" s="14">
        <f t="shared" si="2"/>
        <v>1.9028613183134403E-4</v>
      </c>
      <c r="H17" s="14">
        <v>0</v>
      </c>
      <c r="I17" s="14">
        <v>0</v>
      </c>
      <c r="J17" s="14">
        <v>385.384739179843</v>
      </c>
      <c r="K17" s="14">
        <f t="shared" si="3"/>
        <v>3.85384739179843E-7</v>
      </c>
      <c r="M17" s="3">
        <v>1953</v>
      </c>
      <c r="N17" s="14">
        <v>601224.39787544101</v>
      </c>
      <c r="O17" s="14">
        <f t="shared" si="4"/>
        <v>6.0122439787544106E-4</v>
      </c>
      <c r="P17" s="14">
        <v>5731646.7544738697</v>
      </c>
      <c r="Q17" s="14">
        <f t="shared" si="5"/>
        <v>5.7316467544738696E-3</v>
      </c>
    </row>
    <row r="18" spans="1:17" x14ac:dyDescent="0.25">
      <c r="A18" s="12">
        <v>1954</v>
      </c>
      <c r="B18" s="14">
        <v>430388.74204130302</v>
      </c>
      <c r="C18" s="14">
        <f t="shared" si="0"/>
        <v>4.3038874204130305E-4</v>
      </c>
      <c r="D18" s="14">
        <v>3491971.5914875302</v>
      </c>
      <c r="E18" s="14">
        <f t="shared" si="1"/>
        <v>3.4919715914875304E-3</v>
      </c>
      <c r="F18" s="14">
        <v>154210.81667472699</v>
      </c>
      <c r="G18" s="14">
        <f t="shared" si="2"/>
        <v>1.5421081667472701E-4</v>
      </c>
      <c r="H18" s="14">
        <v>0</v>
      </c>
      <c r="I18" s="14">
        <v>0</v>
      </c>
      <c r="J18" s="14">
        <v>977.36174937125895</v>
      </c>
      <c r="K18" s="14">
        <f t="shared" si="3"/>
        <v>9.7736174937125899E-7</v>
      </c>
      <c r="M18" s="3">
        <v>1954</v>
      </c>
      <c r="N18" s="14">
        <v>446572.09794001101</v>
      </c>
      <c r="O18" s="14">
        <f t="shared" si="4"/>
        <v>4.4657209794001103E-4</v>
      </c>
      <c r="P18" s="14">
        <v>4257301.4748592097</v>
      </c>
      <c r="Q18" s="14">
        <f t="shared" si="5"/>
        <v>4.2573014748592099E-3</v>
      </c>
    </row>
    <row r="19" spans="1:17" x14ac:dyDescent="0.25">
      <c r="A19" s="12">
        <v>1955</v>
      </c>
      <c r="B19" s="14">
        <v>542198.45785960299</v>
      </c>
      <c r="C19" s="14">
        <f t="shared" si="0"/>
        <v>5.4219845785960302E-4</v>
      </c>
      <c r="D19" s="14">
        <v>3742565.76332345</v>
      </c>
      <c r="E19" s="14">
        <f t="shared" si="1"/>
        <v>3.7425657633234502E-3</v>
      </c>
      <c r="F19" s="14">
        <v>198656.19385105401</v>
      </c>
      <c r="G19" s="14">
        <f t="shared" si="2"/>
        <v>1.9865619385105401E-4</v>
      </c>
      <c r="H19" s="14">
        <v>0</v>
      </c>
      <c r="I19" s="14">
        <v>0</v>
      </c>
      <c r="J19" s="14">
        <v>1714.7227263965999</v>
      </c>
      <c r="K19" s="14">
        <f t="shared" si="3"/>
        <v>1.7147227263966E-6</v>
      </c>
      <c r="M19" s="3">
        <v>1955</v>
      </c>
      <c r="N19" s="14">
        <v>530960.82366590097</v>
      </c>
      <c r="O19" s="14">
        <f t="shared" si="4"/>
        <v>5.3096082366590103E-4</v>
      </c>
      <c r="P19" s="14">
        <v>5061803.7000353597</v>
      </c>
      <c r="Q19" s="14">
        <f t="shared" si="5"/>
        <v>5.0618037000353597E-3</v>
      </c>
    </row>
    <row r="20" spans="1:17" x14ac:dyDescent="0.25">
      <c r="A20" s="12">
        <v>1956</v>
      </c>
      <c r="B20" s="14">
        <v>483649.18464257102</v>
      </c>
      <c r="C20" s="14">
        <f t="shared" si="0"/>
        <v>4.8364918464257104E-4</v>
      </c>
      <c r="D20" s="14">
        <v>3904590.5220914199</v>
      </c>
      <c r="E20" s="14">
        <f t="shared" si="1"/>
        <v>3.9045905220914203E-3</v>
      </c>
      <c r="F20" s="14">
        <v>208852.16025461</v>
      </c>
      <c r="G20" s="14">
        <f t="shared" si="2"/>
        <v>2.0885216025461002E-4</v>
      </c>
      <c r="H20" s="14">
        <v>0</v>
      </c>
      <c r="I20" s="14">
        <v>0</v>
      </c>
      <c r="J20" s="14">
        <v>1858.65630719614</v>
      </c>
      <c r="K20" s="14">
        <f t="shared" si="3"/>
        <v>1.8586563071961401E-6</v>
      </c>
      <c r="M20" s="3">
        <v>1956</v>
      </c>
      <c r="N20" s="14">
        <v>518284.40563840698</v>
      </c>
      <c r="O20" s="14">
        <f t="shared" si="4"/>
        <v>5.1828440563840702E-4</v>
      </c>
      <c r="P20" s="14">
        <v>4940955.72629645</v>
      </c>
      <c r="Q20" s="14">
        <f t="shared" si="5"/>
        <v>4.9409557262964504E-3</v>
      </c>
    </row>
    <row r="21" spans="1:17" x14ac:dyDescent="0.25">
      <c r="A21" s="12">
        <v>1957</v>
      </c>
      <c r="B21" s="14">
        <v>772498.08482044598</v>
      </c>
      <c r="C21" s="14">
        <f t="shared" si="0"/>
        <v>7.7249808482044607E-4</v>
      </c>
      <c r="D21" s="14">
        <v>6373430.3310406301</v>
      </c>
      <c r="E21" s="14">
        <f t="shared" si="1"/>
        <v>6.3734303310406309E-3</v>
      </c>
      <c r="F21" s="14">
        <v>363132.47136408498</v>
      </c>
      <c r="G21" s="14">
        <f t="shared" si="2"/>
        <v>3.6313247136408498E-4</v>
      </c>
      <c r="H21" s="14">
        <v>0</v>
      </c>
      <c r="I21" s="14">
        <v>0</v>
      </c>
      <c r="J21" s="14">
        <v>4095.8848687662298</v>
      </c>
      <c r="K21" s="14">
        <f t="shared" si="3"/>
        <v>4.09588486876623E-6</v>
      </c>
      <c r="M21" s="3">
        <v>1957</v>
      </c>
      <c r="N21" s="14">
        <v>840989.79028118902</v>
      </c>
      <c r="O21" s="14">
        <f t="shared" si="4"/>
        <v>8.4098979028118912E-4</v>
      </c>
      <c r="P21" s="14">
        <v>8017399.8577640504</v>
      </c>
      <c r="Q21" s="14">
        <f t="shared" si="5"/>
        <v>8.0173998577640505E-3</v>
      </c>
    </row>
    <row r="22" spans="1:17" x14ac:dyDescent="0.25">
      <c r="A22" s="12">
        <v>1958</v>
      </c>
      <c r="B22" s="14">
        <v>710944.36974587606</v>
      </c>
      <c r="C22" s="14">
        <f t="shared" si="0"/>
        <v>7.1094436974587609E-4</v>
      </c>
      <c r="D22" s="14">
        <v>6295319.4828456203</v>
      </c>
      <c r="E22" s="14">
        <f t="shared" si="1"/>
        <v>6.2953194828456209E-3</v>
      </c>
      <c r="F22" s="14">
        <v>368521.28457556601</v>
      </c>
      <c r="G22" s="14">
        <f t="shared" si="2"/>
        <v>3.6852128457556604E-4</v>
      </c>
      <c r="H22" s="14">
        <v>0</v>
      </c>
      <c r="I22" s="14">
        <v>0</v>
      </c>
      <c r="J22" s="14">
        <v>4329.5152171068703</v>
      </c>
      <c r="K22" s="14">
        <f t="shared" si="3"/>
        <v>4.3295152171068704E-6</v>
      </c>
      <c r="M22" s="3">
        <v>1958</v>
      </c>
      <c r="N22" s="14">
        <v>800063.06922099297</v>
      </c>
      <c r="O22" s="14">
        <f t="shared" si="4"/>
        <v>8.0006306922099303E-4</v>
      </c>
      <c r="P22" s="14">
        <v>7627233.54254987</v>
      </c>
      <c r="Q22" s="14">
        <f t="shared" si="5"/>
        <v>7.6272335425498702E-3</v>
      </c>
    </row>
    <row r="23" spans="1:17" x14ac:dyDescent="0.25">
      <c r="A23" s="12">
        <v>1959</v>
      </c>
      <c r="B23" s="14">
        <v>612098.86542192497</v>
      </c>
      <c r="C23" s="14">
        <f t="shared" si="0"/>
        <v>6.1209886542192503E-4</v>
      </c>
      <c r="D23" s="14">
        <v>5140094.2826436199</v>
      </c>
      <c r="E23" s="14">
        <f t="shared" si="1"/>
        <v>5.1400942826436199E-3</v>
      </c>
      <c r="F23" s="14">
        <v>329715.87581102399</v>
      </c>
      <c r="G23" s="14">
        <f t="shared" si="2"/>
        <v>3.2971587581102403E-4</v>
      </c>
      <c r="H23" s="14">
        <v>0</v>
      </c>
      <c r="I23" s="14">
        <v>0</v>
      </c>
      <c r="J23" s="14">
        <v>4186.6145674250502</v>
      </c>
      <c r="K23" s="14">
        <f t="shared" si="3"/>
        <v>4.1866145674250503E-6</v>
      </c>
      <c r="M23" s="3">
        <v>1959</v>
      </c>
      <c r="N23" s="14">
        <v>673661.07231826498</v>
      </c>
      <c r="O23" s="14">
        <f t="shared" si="4"/>
        <v>6.7366107231826497E-4</v>
      </c>
      <c r="P23" s="14">
        <v>6422206.6044104798</v>
      </c>
      <c r="Q23" s="14">
        <f t="shared" si="5"/>
        <v>6.4222066044104797E-3</v>
      </c>
    </row>
    <row r="24" spans="1:17" x14ac:dyDescent="0.25">
      <c r="A24" s="12">
        <v>1960</v>
      </c>
      <c r="B24" s="14">
        <v>597527.16903193202</v>
      </c>
      <c r="C24" s="14">
        <f t="shared" si="0"/>
        <v>5.9752716903193205E-4</v>
      </c>
      <c r="D24" s="14">
        <v>4505899.2286925698</v>
      </c>
      <c r="E24" s="14">
        <f t="shared" si="1"/>
        <v>4.5058992286925699E-3</v>
      </c>
      <c r="F24" s="14">
        <v>326796.14582311403</v>
      </c>
      <c r="G24" s="14">
        <f t="shared" si="2"/>
        <v>3.2679614582311407E-4</v>
      </c>
      <c r="H24" s="14">
        <v>0</v>
      </c>
      <c r="I24" s="14">
        <v>0</v>
      </c>
      <c r="J24" s="14">
        <v>4102.3521747831301</v>
      </c>
      <c r="K24" s="14">
        <f t="shared" si="3"/>
        <v>4.1023521747831305E-6</v>
      </c>
      <c r="M24" s="3">
        <v>1960</v>
      </c>
      <c r="N24" s="14">
        <v>630561.25102478499</v>
      </c>
      <c r="O24" s="14">
        <f t="shared" si="4"/>
        <v>6.3056125102478502E-4</v>
      </c>
      <c r="P24" s="14">
        <v>6011323.4936982002</v>
      </c>
      <c r="Q24" s="14">
        <f t="shared" si="5"/>
        <v>6.0113234936982002E-3</v>
      </c>
    </row>
    <row r="25" spans="1:17" x14ac:dyDescent="0.25">
      <c r="A25" s="12">
        <v>1961</v>
      </c>
      <c r="B25" s="14">
        <v>635295.45745129196</v>
      </c>
      <c r="C25" s="14">
        <f t="shared" si="0"/>
        <v>6.3529545745129204E-4</v>
      </c>
      <c r="D25" s="14">
        <v>4897022.8529264899</v>
      </c>
      <c r="E25" s="14">
        <f t="shared" si="1"/>
        <v>4.8970228529264899E-3</v>
      </c>
      <c r="F25" s="14">
        <v>374098.51500817901</v>
      </c>
      <c r="G25" s="14">
        <f t="shared" si="2"/>
        <v>3.7409851500817902E-4</v>
      </c>
      <c r="H25" s="14">
        <v>0</v>
      </c>
      <c r="I25" s="14">
        <v>0</v>
      </c>
      <c r="J25" s="14">
        <v>4932.8291152032898</v>
      </c>
      <c r="K25" s="14">
        <f t="shared" si="3"/>
        <v>4.9328291152032899E-6</v>
      </c>
      <c r="M25" s="3">
        <v>1961</v>
      </c>
      <c r="N25" s="14">
        <v>683802.20674026106</v>
      </c>
      <c r="O25" s="14">
        <f t="shared" si="4"/>
        <v>6.8380220674026115E-4</v>
      </c>
      <c r="P25" s="14">
        <v>6518884.9834016096</v>
      </c>
      <c r="Q25" s="14">
        <f t="shared" si="5"/>
        <v>6.5188849834016101E-3</v>
      </c>
    </row>
    <row r="26" spans="1:17" x14ac:dyDescent="0.25">
      <c r="A26" s="12">
        <v>1962</v>
      </c>
      <c r="B26" s="14">
        <v>929013.79591751099</v>
      </c>
      <c r="C26" s="14">
        <f t="shared" si="0"/>
        <v>9.2901379591751106E-4</v>
      </c>
      <c r="D26" s="14">
        <v>6281341.8737196</v>
      </c>
      <c r="E26" s="14">
        <f t="shared" si="1"/>
        <v>6.2813418737196003E-3</v>
      </c>
      <c r="F26" s="14">
        <v>544823.49733462103</v>
      </c>
      <c r="G26" s="14">
        <f t="shared" si="2"/>
        <v>5.4482349733462102E-4</v>
      </c>
      <c r="H26" s="14">
        <v>0</v>
      </c>
      <c r="I26" s="14">
        <v>0</v>
      </c>
      <c r="J26" s="14">
        <v>7038.3799560687303</v>
      </c>
      <c r="K26" s="14">
        <f t="shared" si="3"/>
        <v>7.0383799560687307E-6</v>
      </c>
      <c r="M26" s="3">
        <v>1962</v>
      </c>
      <c r="N26" s="14">
        <v>946022.968223284</v>
      </c>
      <c r="O26" s="14">
        <f t="shared" si="4"/>
        <v>9.4602296822328402E-4</v>
      </c>
      <c r="P26" s="14">
        <v>9018711.6401721407</v>
      </c>
      <c r="Q26" s="14">
        <f t="shared" si="5"/>
        <v>9.0187116401721414E-3</v>
      </c>
    </row>
    <row r="27" spans="1:17" x14ac:dyDescent="0.25">
      <c r="A27" s="12">
        <v>1963</v>
      </c>
      <c r="B27" s="14">
        <v>645710.94024638296</v>
      </c>
      <c r="C27" s="14">
        <f t="shared" si="0"/>
        <v>6.45710940246383E-4</v>
      </c>
      <c r="D27" s="14">
        <v>4672500.5518626496</v>
      </c>
      <c r="E27" s="14">
        <f t="shared" si="1"/>
        <v>4.6725005518626498E-3</v>
      </c>
      <c r="F27" s="14">
        <v>409137.205410211</v>
      </c>
      <c r="G27" s="14">
        <f t="shared" si="2"/>
        <v>4.0913720541021104E-4</v>
      </c>
      <c r="H27" s="14">
        <v>0</v>
      </c>
      <c r="I27" s="14">
        <v>0</v>
      </c>
      <c r="J27" s="14">
        <v>5498.4467668461002</v>
      </c>
      <c r="K27" s="14">
        <f t="shared" si="3"/>
        <v>5.4984467668461005E-6</v>
      </c>
      <c r="M27" s="3">
        <v>1963</v>
      </c>
      <c r="N27" s="14">
        <v>676558.53929597803</v>
      </c>
      <c r="O27" s="14">
        <f t="shared" si="4"/>
        <v>6.7655853929597806E-4</v>
      </c>
      <c r="P27" s="14">
        <v>6449828.9984079497</v>
      </c>
      <c r="Q27" s="14">
        <f t="shared" si="5"/>
        <v>6.4498289984079504E-3</v>
      </c>
    </row>
    <row r="28" spans="1:17" x14ac:dyDescent="0.25">
      <c r="A28" s="12">
        <v>1964</v>
      </c>
      <c r="B28" s="14">
        <v>553624.29782969097</v>
      </c>
      <c r="C28" s="14">
        <f t="shared" si="0"/>
        <v>5.5362429782969099E-4</v>
      </c>
      <c r="D28" s="14">
        <v>3559004.7675462901</v>
      </c>
      <c r="E28" s="14">
        <f t="shared" si="1"/>
        <v>3.5590047675462901E-3</v>
      </c>
      <c r="F28" s="14">
        <v>353144.48024363798</v>
      </c>
      <c r="G28" s="14">
        <f t="shared" si="2"/>
        <v>3.5314448024363799E-4</v>
      </c>
      <c r="H28" s="14">
        <v>0</v>
      </c>
      <c r="I28" s="14">
        <v>0</v>
      </c>
      <c r="J28" s="14">
        <v>5045.4717741771001</v>
      </c>
      <c r="K28" s="14">
        <f t="shared" si="3"/>
        <v>5.0454717741771007E-6</v>
      </c>
      <c r="M28" s="3">
        <v>1964</v>
      </c>
      <c r="N28" s="14">
        <v>557400.20983753202</v>
      </c>
      <c r="O28" s="14">
        <f t="shared" si="4"/>
        <v>5.57400209837532E-4</v>
      </c>
      <c r="P28" s="14">
        <v>5313858.0452622203</v>
      </c>
      <c r="Q28" s="14">
        <f t="shared" si="5"/>
        <v>5.3138580452622205E-3</v>
      </c>
    </row>
    <row r="29" spans="1:17" x14ac:dyDescent="0.25">
      <c r="A29" s="12">
        <v>1965</v>
      </c>
      <c r="B29" s="14">
        <v>938880.70893292897</v>
      </c>
      <c r="C29" s="14">
        <f t="shared" si="0"/>
        <v>9.3888070893292908E-4</v>
      </c>
      <c r="D29" s="14">
        <v>6412637.68291145</v>
      </c>
      <c r="E29" s="14">
        <f t="shared" si="1"/>
        <v>6.4126376829114502E-3</v>
      </c>
      <c r="F29" s="14">
        <v>648457.80872537498</v>
      </c>
      <c r="G29" s="14">
        <f t="shared" si="2"/>
        <v>6.4845780872537504E-4</v>
      </c>
      <c r="H29" s="14">
        <v>0</v>
      </c>
      <c r="I29" s="14">
        <v>0</v>
      </c>
      <c r="J29" s="14">
        <v>11306.3043945632</v>
      </c>
      <c r="K29" s="14">
        <f t="shared" si="3"/>
        <v>1.13063043945632E-5</v>
      </c>
      <c r="M29" s="3">
        <v>1965</v>
      </c>
      <c r="N29" s="14">
        <v>978981.65509476897</v>
      </c>
      <c r="O29" s="14">
        <f t="shared" si="4"/>
        <v>9.7898165509476909E-4</v>
      </c>
      <c r="P29" s="14">
        <v>9332916.3718932904</v>
      </c>
      <c r="Q29" s="14">
        <f t="shared" si="5"/>
        <v>9.3329163718932906E-3</v>
      </c>
    </row>
    <row r="30" spans="1:17" x14ac:dyDescent="0.25">
      <c r="A30" s="12">
        <v>1966</v>
      </c>
      <c r="B30" s="14">
        <v>651204.90576157195</v>
      </c>
      <c r="C30" s="14">
        <f t="shared" si="0"/>
        <v>6.5120490576157204E-4</v>
      </c>
      <c r="D30" s="14">
        <v>4224768.1209113998</v>
      </c>
      <c r="E30" s="14">
        <f t="shared" si="1"/>
        <v>4.2247681209114001E-3</v>
      </c>
      <c r="F30" s="14">
        <v>464885.836611329</v>
      </c>
      <c r="G30" s="14">
        <f t="shared" si="2"/>
        <v>4.6488583661132905E-4</v>
      </c>
      <c r="H30" s="14">
        <v>0</v>
      </c>
      <c r="I30" s="14">
        <v>0</v>
      </c>
      <c r="J30" s="14">
        <v>8607.8110349040999</v>
      </c>
      <c r="K30" s="14">
        <f t="shared" si="3"/>
        <v>8.6078110349041009E-6</v>
      </c>
      <c r="M30" s="3">
        <v>1966</v>
      </c>
      <c r="N30" s="14">
        <v>672574.52220162295</v>
      </c>
      <c r="O30" s="14">
        <f t="shared" si="4"/>
        <v>6.7257452220162298E-4</v>
      </c>
      <c r="P30" s="14">
        <v>6411848.2066614302</v>
      </c>
      <c r="Q30" s="14">
        <f t="shared" si="5"/>
        <v>6.4118482066614305E-3</v>
      </c>
    </row>
    <row r="31" spans="1:17" x14ac:dyDescent="0.25">
      <c r="A31" s="12">
        <v>1967</v>
      </c>
      <c r="B31" s="14">
        <v>653859.66090014402</v>
      </c>
      <c r="C31" s="14">
        <f t="shared" si="0"/>
        <v>6.5385966090014409E-4</v>
      </c>
      <c r="D31" s="14">
        <v>4080073.09312092</v>
      </c>
      <c r="E31" s="14">
        <f t="shared" si="1"/>
        <v>4.0800730931209199E-3</v>
      </c>
      <c r="F31" s="14">
        <v>488444.31120970298</v>
      </c>
      <c r="G31" s="14">
        <f t="shared" si="2"/>
        <v>4.8844431120970296E-4</v>
      </c>
      <c r="H31" s="14">
        <v>0</v>
      </c>
      <c r="I31" s="14">
        <v>0</v>
      </c>
      <c r="J31" s="14">
        <v>12671.584259945201</v>
      </c>
      <c r="K31" s="14">
        <f t="shared" si="3"/>
        <v>1.2671584259945201E-5</v>
      </c>
      <c r="M31" s="3">
        <v>1967</v>
      </c>
      <c r="N31" s="14">
        <v>678369.45615704905</v>
      </c>
      <c r="O31" s="14">
        <f t="shared" si="4"/>
        <v>6.7836945615704905E-4</v>
      </c>
      <c r="P31" s="14">
        <v>6467092.9946563598</v>
      </c>
      <c r="Q31" s="14">
        <f t="shared" si="5"/>
        <v>6.4670929946563606E-3</v>
      </c>
    </row>
    <row r="32" spans="1:17" x14ac:dyDescent="0.25">
      <c r="A32" s="12">
        <v>1968</v>
      </c>
      <c r="B32" s="14">
        <v>539304.27303901897</v>
      </c>
      <c r="C32" s="14">
        <f t="shared" si="0"/>
        <v>5.3930427303901902E-4</v>
      </c>
      <c r="D32" s="14">
        <v>3227291.0937356902</v>
      </c>
      <c r="E32" s="14">
        <f t="shared" si="1"/>
        <v>3.2272910937356904E-3</v>
      </c>
      <c r="F32" s="14">
        <v>417409.426643638</v>
      </c>
      <c r="G32" s="14">
        <f t="shared" si="2"/>
        <v>4.1740942664363805E-4</v>
      </c>
      <c r="H32" s="14">
        <v>0</v>
      </c>
      <c r="I32" s="14">
        <v>0</v>
      </c>
      <c r="J32" s="14">
        <v>12307.7464383435</v>
      </c>
      <c r="K32" s="14">
        <f t="shared" si="3"/>
        <v>1.2307746438343501E-5</v>
      </c>
      <c r="M32" s="3">
        <v>1968</v>
      </c>
      <c r="N32" s="14">
        <v>557400.20983753202</v>
      </c>
      <c r="O32" s="14">
        <f t="shared" si="4"/>
        <v>5.57400209837532E-4</v>
      </c>
      <c r="P32" s="14">
        <v>5313858.0452622203</v>
      </c>
      <c r="Q32" s="14">
        <f t="shared" si="5"/>
        <v>5.3138580452622205E-3</v>
      </c>
    </row>
    <row r="33" spans="1:17" x14ac:dyDescent="0.25">
      <c r="A33" s="12">
        <v>1969</v>
      </c>
      <c r="B33" s="14">
        <v>739289.418870911</v>
      </c>
      <c r="C33" s="14">
        <f t="shared" si="0"/>
        <v>7.3928941887091101E-4</v>
      </c>
      <c r="D33" s="14">
        <v>3818023.9093968398</v>
      </c>
      <c r="E33" s="14">
        <f t="shared" si="1"/>
        <v>3.8180239093968402E-3</v>
      </c>
      <c r="F33" s="14">
        <v>567264.44819537795</v>
      </c>
      <c r="G33" s="14">
        <f t="shared" si="2"/>
        <v>5.67264448195378E-4</v>
      </c>
      <c r="H33" s="14">
        <v>0</v>
      </c>
      <c r="I33" s="14">
        <v>0</v>
      </c>
      <c r="J33" s="14">
        <v>17947.1280757083</v>
      </c>
      <c r="K33" s="14">
        <f t="shared" si="3"/>
        <v>1.7947128075708302E-5</v>
      </c>
      <c r="M33" s="3">
        <v>1969</v>
      </c>
      <c r="N33" s="14">
        <v>729437.31163924001</v>
      </c>
      <c r="O33" s="14">
        <f t="shared" si="4"/>
        <v>7.2943731163924001E-4</v>
      </c>
      <c r="P33" s="14">
        <v>6953937.68886167</v>
      </c>
      <c r="Q33" s="14">
        <f t="shared" si="5"/>
        <v>6.9539376888616703E-3</v>
      </c>
    </row>
    <row r="34" spans="1:17" x14ac:dyDescent="0.25">
      <c r="A34" s="12">
        <v>1970</v>
      </c>
      <c r="B34" s="14">
        <v>542186.59467041795</v>
      </c>
      <c r="C34" s="14">
        <f t="shared" si="0"/>
        <v>5.42186594670418E-4</v>
      </c>
      <c r="D34" s="14">
        <v>2375850.3316535102</v>
      </c>
      <c r="E34" s="14">
        <f t="shared" si="1"/>
        <v>2.3758503316535103E-3</v>
      </c>
      <c r="F34" s="14">
        <v>411276.79985694698</v>
      </c>
      <c r="G34" s="14">
        <f t="shared" si="2"/>
        <v>4.1127679985694703E-4</v>
      </c>
      <c r="H34" s="14">
        <v>0</v>
      </c>
      <c r="I34" s="14">
        <v>0</v>
      </c>
      <c r="J34" s="14">
        <v>15373.764429651999</v>
      </c>
      <c r="K34" s="14">
        <f t="shared" si="3"/>
        <v>1.5373764429652001E-5</v>
      </c>
      <c r="M34" s="3">
        <v>1970</v>
      </c>
      <c r="N34" s="14">
        <v>509954.18807748199</v>
      </c>
      <c r="O34" s="14">
        <f t="shared" si="4"/>
        <v>5.0995418807748205E-4</v>
      </c>
      <c r="P34" s="14">
        <v>4861541.3435537396</v>
      </c>
      <c r="Q34" s="14">
        <f t="shared" si="5"/>
        <v>4.8615413435537397E-3</v>
      </c>
    </row>
    <row r="35" spans="1:17" x14ac:dyDescent="0.25">
      <c r="A35" s="12">
        <v>1971</v>
      </c>
      <c r="B35" s="14">
        <v>693781.58499914105</v>
      </c>
      <c r="C35" s="14">
        <f t="shared" si="0"/>
        <v>6.9378158499914112E-4</v>
      </c>
      <c r="D35" s="14">
        <v>3197980.6229993701</v>
      </c>
      <c r="E35" s="14">
        <f t="shared" si="1"/>
        <v>3.1979806229993704E-3</v>
      </c>
      <c r="F35" s="14">
        <v>688323.97822228004</v>
      </c>
      <c r="G35" s="14">
        <f t="shared" si="2"/>
        <v>6.8832397822228011E-4</v>
      </c>
      <c r="H35" s="14">
        <v>0</v>
      </c>
      <c r="I35" s="14">
        <v>0</v>
      </c>
      <c r="J35" s="14">
        <v>32239.1448942516</v>
      </c>
      <c r="K35" s="14">
        <f t="shared" si="3"/>
        <v>3.22391448942516E-5</v>
      </c>
      <c r="M35" s="3">
        <v>1971</v>
      </c>
      <c r="N35" s="14">
        <v>703541.20052593003</v>
      </c>
      <c r="O35" s="14">
        <f t="shared" si="4"/>
        <v>7.0354120052593008E-4</v>
      </c>
      <c r="P35" s="14">
        <v>8048475.0510112001</v>
      </c>
      <c r="Q35" s="14">
        <f t="shared" si="5"/>
        <v>8.0484750510111999E-3</v>
      </c>
    </row>
    <row r="36" spans="1:17" x14ac:dyDescent="0.25">
      <c r="A36" s="12">
        <v>1972</v>
      </c>
      <c r="B36" s="14">
        <v>529015.41860097495</v>
      </c>
      <c r="C36" s="14">
        <f t="shared" si="0"/>
        <v>5.2901541860097504E-4</v>
      </c>
      <c r="D36" s="14">
        <v>2740992.89873554</v>
      </c>
      <c r="E36" s="14">
        <f t="shared" si="1"/>
        <v>2.7409928987355402E-3</v>
      </c>
      <c r="F36" s="14">
        <v>556968.46442191</v>
      </c>
      <c r="G36" s="14">
        <f t="shared" si="2"/>
        <v>5.5696846442191003E-4</v>
      </c>
      <c r="H36" s="14">
        <v>0</v>
      </c>
      <c r="I36" s="14">
        <v>0</v>
      </c>
      <c r="J36" s="14">
        <v>30248.5399993508</v>
      </c>
      <c r="K36" s="14">
        <f t="shared" si="3"/>
        <v>3.0248539999350803E-5</v>
      </c>
      <c r="M36" s="3">
        <v>1972</v>
      </c>
      <c r="N36" s="14">
        <v>563195.143792958</v>
      </c>
      <c r="O36" s="14">
        <f t="shared" si="4"/>
        <v>5.6319514379295807E-4</v>
      </c>
      <c r="P36" s="14">
        <v>6442923.3999085799</v>
      </c>
      <c r="Q36" s="14">
        <f t="shared" si="5"/>
        <v>6.4429233999085799E-3</v>
      </c>
    </row>
    <row r="37" spans="1:17" x14ac:dyDescent="0.25">
      <c r="A37" s="12">
        <v>1973</v>
      </c>
      <c r="B37" s="14">
        <v>654346.02018333098</v>
      </c>
      <c r="C37" s="14">
        <f t="shared" si="0"/>
        <v>6.5434602018333101E-4</v>
      </c>
      <c r="D37" s="14">
        <v>3746670.5003078701</v>
      </c>
      <c r="E37" s="14">
        <f t="shared" si="1"/>
        <v>3.7466705003078703E-3</v>
      </c>
      <c r="F37" s="14">
        <v>730654.05513096903</v>
      </c>
      <c r="G37" s="14">
        <f t="shared" si="2"/>
        <v>7.3065405513096909E-4</v>
      </c>
      <c r="H37" s="14">
        <v>0</v>
      </c>
      <c r="I37" s="14">
        <v>0</v>
      </c>
      <c r="J37" s="14">
        <v>46479.546620897003</v>
      </c>
      <c r="K37" s="14">
        <f t="shared" si="3"/>
        <v>4.6479546620897004E-5</v>
      </c>
      <c r="M37" s="3">
        <v>1973</v>
      </c>
      <c r="N37" s="14">
        <v>731006.772918834</v>
      </c>
      <c r="O37" s="14">
        <f t="shared" si="4"/>
        <v>7.3100677291883405E-4</v>
      </c>
      <c r="P37" s="14">
        <v>8362679.7827323601</v>
      </c>
      <c r="Q37" s="14">
        <f t="shared" si="5"/>
        <v>8.3626797827323612E-3</v>
      </c>
    </row>
    <row r="38" spans="1:17" x14ac:dyDescent="0.25">
      <c r="A38" s="12">
        <v>1974</v>
      </c>
      <c r="B38" s="14">
        <v>402084.288036243</v>
      </c>
      <c r="C38" s="14">
        <f t="shared" si="0"/>
        <v>4.02084288036243E-4</v>
      </c>
      <c r="D38" s="14">
        <v>2120373.24067875</v>
      </c>
      <c r="E38" s="14">
        <f t="shared" si="1"/>
        <v>2.12037324067875E-3</v>
      </c>
      <c r="F38" s="14">
        <v>447846.87317795999</v>
      </c>
      <c r="G38" s="14">
        <f t="shared" si="2"/>
        <v>4.4784687317796001E-4</v>
      </c>
      <c r="H38" s="14">
        <v>0</v>
      </c>
      <c r="I38" s="14">
        <v>0</v>
      </c>
      <c r="J38" s="14">
        <v>33480.8061601847</v>
      </c>
      <c r="K38" s="14">
        <f t="shared" si="3"/>
        <v>3.3480806160184701E-5</v>
      </c>
      <c r="M38" s="3">
        <v>1974</v>
      </c>
      <c r="N38" s="14">
        <v>443372.81148545298</v>
      </c>
      <c r="O38" s="14">
        <f t="shared" si="4"/>
        <v>4.4337281148545304E-4</v>
      </c>
      <c r="P38" s="14">
        <v>5072162.0977844102</v>
      </c>
      <c r="Q38" s="14">
        <f t="shared" si="5"/>
        <v>5.0721620977844106E-3</v>
      </c>
    </row>
    <row r="39" spans="1:17" x14ac:dyDescent="0.25">
      <c r="A39" s="12">
        <v>1975</v>
      </c>
      <c r="B39" s="14">
        <v>510226.65254205401</v>
      </c>
      <c r="C39" s="14">
        <f t="shared" si="0"/>
        <v>5.1022665254205405E-4</v>
      </c>
      <c r="D39" s="14">
        <v>2563273.2431926001</v>
      </c>
      <c r="E39" s="14">
        <f t="shared" si="1"/>
        <v>2.5632732431926002E-3</v>
      </c>
      <c r="F39" s="14">
        <v>575757.43056960194</v>
      </c>
      <c r="G39" s="14">
        <f t="shared" si="2"/>
        <v>5.7575743056960198E-4</v>
      </c>
      <c r="H39" s="14">
        <v>0</v>
      </c>
      <c r="I39" s="14">
        <v>0</v>
      </c>
      <c r="J39" s="14">
        <v>50419.863595668197</v>
      </c>
      <c r="K39" s="14">
        <f t="shared" si="3"/>
        <v>5.0419863595668202E-5</v>
      </c>
      <c r="M39" s="3">
        <v>1975</v>
      </c>
      <c r="N39" s="14">
        <v>564100.60222349397</v>
      </c>
      <c r="O39" s="14">
        <f t="shared" si="4"/>
        <v>5.6410060222349405E-4</v>
      </c>
      <c r="P39" s="14">
        <v>6453281.7976576304</v>
      </c>
      <c r="Q39" s="14">
        <f t="shared" si="5"/>
        <v>6.4532817976576309E-3</v>
      </c>
    </row>
    <row r="40" spans="1:17" x14ac:dyDescent="0.25">
      <c r="A40" s="12">
        <v>1976</v>
      </c>
      <c r="B40" s="14">
        <v>429728.17280451301</v>
      </c>
      <c r="C40" s="14">
        <f t="shared" si="0"/>
        <v>4.2972817280451304E-4</v>
      </c>
      <c r="D40" s="14">
        <v>2133154.6151060802</v>
      </c>
      <c r="E40" s="14">
        <f t="shared" si="1"/>
        <v>2.1331546151060802E-3</v>
      </c>
      <c r="F40" s="14">
        <v>489281.372138148</v>
      </c>
      <c r="G40" s="14">
        <f t="shared" si="2"/>
        <v>4.8928137213814804E-4</v>
      </c>
      <c r="H40" s="14">
        <v>0</v>
      </c>
      <c r="I40" s="14">
        <v>0</v>
      </c>
      <c r="J40" s="14">
        <v>44625.385830772102</v>
      </c>
      <c r="K40" s="14">
        <f t="shared" si="3"/>
        <v>4.4625385830772104E-5</v>
      </c>
      <c r="M40" s="3">
        <v>1976</v>
      </c>
      <c r="N40" s="14">
        <v>474460.21760049899</v>
      </c>
      <c r="O40" s="14">
        <f t="shared" si="4"/>
        <v>4.7446021760049904E-4</v>
      </c>
      <c r="P40" s="14">
        <v>5427800.4205017602</v>
      </c>
      <c r="Q40" s="14">
        <f t="shared" si="5"/>
        <v>5.4278004205017601E-3</v>
      </c>
    </row>
    <row r="41" spans="1:17" x14ac:dyDescent="0.25">
      <c r="A41" s="12">
        <v>1977</v>
      </c>
      <c r="B41" s="14">
        <v>616482.53537049796</v>
      </c>
      <c r="C41" s="14">
        <f t="shared" si="0"/>
        <v>6.1648253537049805E-4</v>
      </c>
      <c r="D41" s="14">
        <v>3054009.6500039902</v>
      </c>
      <c r="E41" s="14">
        <f t="shared" si="1"/>
        <v>3.0540096500039902E-3</v>
      </c>
      <c r="F41" s="14">
        <v>732328.371028436</v>
      </c>
      <c r="G41" s="14">
        <f t="shared" si="2"/>
        <v>7.3232837102843603E-4</v>
      </c>
      <c r="H41" s="14">
        <v>0</v>
      </c>
      <c r="I41" s="14">
        <v>0</v>
      </c>
      <c r="J41" s="14">
        <v>82119.054372021594</v>
      </c>
      <c r="K41" s="14">
        <f t="shared" si="3"/>
        <v>8.2119054372021592E-5</v>
      </c>
      <c r="M41" s="3">
        <v>1977</v>
      </c>
      <c r="N41" s="14">
        <v>702937.56157223997</v>
      </c>
      <c r="O41" s="14">
        <f t="shared" si="4"/>
        <v>7.0293756157224004E-4</v>
      </c>
      <c r="P41" s="14">
        <v>8041569.4525118303</v>
      </c>
      <c r="Q41" s="14">
        <f t="shared" si="5"/>
        <v>8.0415694525118302E-3</v>
      </c>
    </row>
    <row r="42" spans="1:17" x14ac:dyDescent="0.25">
      <c r="A42" s="12">
        <v>1978</v>
      </c>
      <c r="B42" s="14">
        <v>417557.924321989</v>
      </c>
      <c r="C42" s="14">
        <f t="shared" si="0"/>
        <v>4.1755792432198905E-4</v>
      </c>
      <c r="D42" s="14">
        <v>1688985.86130855</v>
      </c>
      <c r="E42" s="14">
        <f t="shared" si="1"/>
        <v>1.6889858613085501E-3</v>
      </c>
      <c r="F42" s="14">
        <v>481845.09880758502</v>
      </c>
      <c r="G42" s="14">
        <f t="shared" si="2"/>
        <v>4.8184509880758506E-4</v>
      </c>
      <c r="H42" s="14">
        <v>0</v>
      </c>
      <c r="I42" s="14">
        <v>0</v>
      </c>
      <c r="J42" s="14">
        <v>57439.129185477403</v>
      </c>
      <c r="K42" s="14">
        <f t="shared" si="3"/>
        <v>5.743912918547741E-5</v>
      </c>
      <c r="M42" s="3">
        <v>1978</v>
      </c>
      <c r="N42" s="14">
        <v>457860.14637401799</v>
      </c>
      <c r="O42" s="14">
        <f t="shared" si="4"/>
        <v>4.5786014637401803E-4</v>
      </c>
      <c r="P42" s="14">
        <v>5237896.4617691897</v>
      </c>
      <c r="Q42" s="14">
        <f t="shared" si="5"/>
        <v>5.2378964617691903E-3</v>
      </c>
    </row>
    <row r="43" spans="1:17" x14ac:dyDescent="0.25">
      <c r="A43" s="12">
        <v>1979</v>
      </c>
      <c r="B43" s="14">
        <v>605797.05428568495</v>
      </c>
      <c r="C43" s="14">
        <f t="shared" si="0"/>
        <v>6.0579705428568504E-4</v>
      </c>
      <c r="D43" s="14">
        <v>2512774.3440061202</v>
      </c>
      <c r="E43" s="14">
        <f t="shared" si="1"/>
        <v>2.5127743440061202E-3</v>
      </c>
      <c r="F43" s="14">
        <v>706769.84898628294</v>
      </c>
      <c r="G43" s="14">
        <f t="shared" si="2"/>
        <v>7.0676984898628296E-4</v>
      </c>
      <c r="H43" s="14">
        <v>0</v>
      </c>
      <c r="I43" s="14">
        <v>0</v>
      </c>
      <c r="J43" s="14">
        <v>90198.857588001207</v>
      </c>
      <c r="K43" s="14">
        <f t="shared" si="3"/>
        <v>9.0198857588001216E-5</v>
      </c>
      <c r="M43" s="3">
        <v>1979</v>
      </c>
      <c r="N43" s="14">
        <v>664908.30748975696</v>
      </c>
      <c r="O43" s="14">
        <f t="shared" si="4"/>
        <v>6.6490830748975704E-4</v>
      </c>
      <c r="P43" s="14">
        <v>7606516.7470517699</v>
      </c>
      <c r="Q43" s="14">
        <f t="shared" si="5"/>
        <v>7.6065167470517701E-3</v>
      </c>
    </row>
    <row r="44" spans="1:17" x14ac:dyDescent="0.25">
      <c r="A44" s="12">
        <v>1980</v>
      </c>
      <c r="B44" s="14">
        <v>448976.23789638898</v>
      </c>
      <c r="C44" s="14">
        <f t="shared" si="0"/>
        <v>4.4897623789638902E-4</v>
      </c>
      <c r="D44" s="14">
        <v>1985371.09444747</v>
      </c>
      <c r="E44" s="14">
        <f t="shared" si="1"/>
        <v>1.9853710944474703E-3</v>
      </c>
      <c r="F44" s="14">
        <v>552441.85878336395</v>
      </c>
      <c r="G44" s="14">
        <f t="shared" si="2"/>
        <v>5.5244185878336395E-4</v>
      </c>
      <c r="H44" s="14">
        <v>0</v>
      </c>
      <c r="I44" s="14">
        <v>0</v>
      </c>
      <c r="J44" s="14">
        <v>70591.138398459894</v>
      </c>
      <c r="K44" s="14">
        <f t="shared" si="3"/>
        <v>7.0591138398459904E-5</v>
      </c>
      <c r="M44" s="3">
        <v>1980</v>
      </c>
      <c r="N44" s="14">
        <v>514602.208020897</v>
      </c>
      <c r="O44" s="14">
        <f t="shared" si="4"/>
        <v>5.1460220802089702E-4</v>
      </c>
      <c r="P44" s="14">
        <v>5887022.7207096098</v>
      </c>
      <c r="Q44" s="14">
        <f t="shared" si="5"/>
        <v>5.8870227207096105E-3</v>
      </c>
    </row>
    <row r="45" spans="1:17" x14ac:dyDescent="0.25">
      <c r="A45" s="12">
        <v>1981</v>
      </c>
      <c r="B45" s="14">
        <v>619621.54888214194</v>
      </c>
      <c r="C45" s="14">
        <f t="shared" si="0"/>
        <v>6.1962154888214199E-4</v>
      </c>
      <c r="D45" s="14">
        <v>3393672.1680063098</v>
      </c>
      <c r="E45" s="14">
        <f t="shared" si="1"/>
        <v>3.3936721680063102E-3</v>
      </c>
      <c r="F45" s="14">
        <v>816374.23561534495</v>
      </c>
      <c r="G45" s="14">
        <f t="shared" si="2"/>
        <v>8.1637423561534497E-4</v>
      </c>
      <c r="H45" s="14">
        <v>0</v>
      </c>
      <c r="I45" s="14">
        <v>0</v>
      </c>
      <c r="J45" s="14">
        <v>105663.16037738899</v>
      </c>
      <c r="K45" s="14">
        <f t="shared" si="3"/>
        <v>1.05663160377389E-4</v>
      </c>
      <c r="M45" s="3">
        <v>1981</v>
      </c>
      <c r="N45" s="14">
        <v>753039.59472852701</v>
      </c>
      <c r="O45" s="14">
        <f t="shared" si="4"/>
        <v>7.53039594728527E-4</v>
      </c>
      <c r="P45" s="14">
        <v>8614734.1279592197</v>
      </c>
      <c r="Q45" s="14">
        <f t="shared" si="5"/>
        <v>8.6147341279592202E-3</v>
      </c>
    </row>
    <row r="46" spans="1:17" x14ac:dyDescent="0.25">
      <c r="A46" s="12">
        <v>1982</v>
      </c>
      <c r="B46" s="14">
        <v>591190.21101266996</v>
      </c>
      <c r="C46" s="14">
        <f t="shared" si="0"/>
        <v>5.9119021101267002E-4</v>
      </c>
      <c r="D46" s="14">
        <v>3076196.6458215802</v>
      </c>
      <c r="E46" s="14">
        <f t="shared" si="1"/>
        <v>3.0761966458215805E-3</v>
      </c>
      <c r="F46" s="14">
        <v>779733.10742302099</v>
      </c>
      <c r="G46" s="14">
        <f t="shared" si="2"/>
        <v>7.7973310742302101E-4</v>
      </c>
      <c r="H46" s="14">
        <v>0</v>
      </c>
      <c r="I46" s="14">
        <v>0</v>
      </c>
      <c r="J46" s="14">
        <v>98968.067321176801</v>
      </c>
      <c r="K46" s="14">
        <f t="shared" si="3"/>
        <v>9.8968067321176809E-5</v>
      </c>
      <c r="M46" s="3">
        <v>1982</v>
      </c>
      <c r="N46" s="14">
        <v>712293.96535443806</v>
      </c>
      <c r="O46" s="14">
        <f t="shared" si="4"/>
        <v>7.1229396535443812E-4</v>
      </c>
      <c r="P46" s="14">
        <v>8148606.2292520097</v>
      </c>
      <c r="Q46" s="14">
        <f t="shared" si="5"/>
        <v>8.1486062292520107E-3</v>
      </c>
    </row>
    <row r="47" spans="1:17" x14ac:dyDescent="0.25">
      <c r="A47" s="12">
        <v>1983</v>
      </c>
      <c r="B47" s="14">
        <v>563774.32739224797</v>
      </c>
      <c r="C47" s="14">
        <f t="shared" si="0"/>
        <v>5.6377432739224804E-4</v>
      </c>
      <c r="D47" s="14">
        <v>1912707.8759105599</v>
      </c>
      <c r="E47" s="14">
        <f t="shared" si="1"/>
        <v>1.91270787591056E-3</v>
      </c>
      <c r="F47" s="14">
        <v>632480.31978168199</v>
      </c>
      <c r="G47" s="14">
        <f t="shared" si="2"/>
        <v>6.3248031978168208E-4</v>
      </c>
      <c r="H47" s="14">
        <v>0</v>
      </c>
      <c r="I47" s="14">
        <v>0</v>
      </c>
      <c r="J47" s="14">
        <v>58963.653505716</v>
      </c>
      <c r="K47" s="14">
        <f t="shared" si="3"/>
        <v>5.8963653505716004E-5</v>
      </c>
      <c r="M47" s="3">
        <v>1983</v>
      </c>
      <c r="N47" s="14">
        <v>572249.728098311</v>
      </c>
      <c r="O47" s="14">
        <f t="shared" si="4"/>
        <v>5.7224972809831107E-4</v>
      </c>
      <c r="P47" s="14">
        <v>6546507.3773990702</v>
      </c>
      <c r="Q47" s="14">
        <f t="shared" si="5"/>
        <v>6.5465073773990703E-3</v>
      </c>
    </row>
    <row r="48" spans="1:17" x14ac:dyDescent="0.25">
      <c r="A48" s="12">
        <v>1984</v>
      </c>
      <c r="B48" s="14">
        <v>575585.74020401004</v>
      </c>
      <c r="C48" s="14">
        <f t="shared" si="0"/>
        <v>5.7558574020401005E-4</v>
      </c>
      <c r="D48" s="14">
        <v>2015500.7848857699</v>
      </c>
      <c r="E48" s="14">
        <f t="shared" si="1"/>
        <v>2.01550078488577E-3</v>
      </c>
      <c r="F48" s="14">
        <v>710601.47154971398</v>
      </c>
      <c r="G48" s="14">
        <f t="shared" si="2"/>
        <v>7.1060147154971404E-4</v>
      </c>
      <c r="H48" s="14">
        <v>0</v>
      </c>
      <c r="I48" s="14">
        <v>0</v>
      </c>
      <c r="J48" s="14">
        <v>98094.479889748502</v>
      </c>
      <c r="K48" s="14">
        <f t="shared" si="3"/>
        <v>9.8094479889748504E-5</v>
      </c>
      <c r="M48" s="3">
        <v>1984</v>
      </c>
      <c r="N48" s="14">
        <v>636839.09614316304</v>
      </c>
      <c r="O48" s="14">
        <f t="shared" si="4"/>
        <v>6.3683909614316303E-4</v>
      </c>
      <c r="P48" s="14">
        <v>7285406.4168312401</v>
      </c>
      <c r="Q48" s="14">
        <f t="shared" si="5"/>
        <v>7.2854064168312409E-3</v>
      </c>
    </row>
    <row r="49" spans="1:17" x14ac:dyDescent="0.25">
      <c r="A49" s="12">
        <v>1985</v>
      </c>
      <c r="B49" s="14">
        <v>483471.60969278502</v>
      </c>
      <c r="C49" s="14">
        <f t="shared" si="0"/>
        <v>4.8347160969278505E-4</v>
      </c>
      <c r="D49" s="14">
        <v>2225792.0563717801</v>
      </c>
      <c r="E49" s="14">
        <f t="shared" si="1"/>
        <v>2.2257920563717804E-3</v>
      </c>
      <c r="F49" s="14">
        <v>641521.93824032403</v>
      </c>
      <c r="G49" s="14">
        <f t="shared" si="2"/>
        <v>6.4152193824032412E-4</v>
      </c>
      <c r="H49" s="14">
        <v>0</v>
      </c>
      <c r="I49" s="14">
        <v>0</v>
      </c>
      <c r="J49" s="14">
        <v>85737.509790932396</v>
      </c>
      <c r="K49" s="14">
        <f t="shared" si="3"/>
        <v>8.5737509790932405E-5</v>
      </c>
      <c r="M49" s="3">
        <v>1985</v>
      </c>
      <c r="N49" s="14">
        <v>569533.35280670505</v>
      </c>
      <c r="O49" s="14">
        <f t="shared" si="4"/>
        <v>5.6953335280670507E-4</v>
      </c>
      <c r="P49" s="14">
        <v>6515432.1841519196</v>
      </c>
      <c r="Q49" s="14">
        <f t="shared" si="5"/>
        <v>6.5154321841519201E-3</v>
      </c>
    </row>
    <row r="50" spans="1:17" x14ac:dyDescent="0.25">
      <c r="A50" s="12">
        <v>1986</v>
      </c>
      <c r="B50" s="14">
        <v>522534.10663139197</v>
      </c>
      <c r="C50" s="14">
        <f t="shared" si="0"/>
        <v>5.2253410663139204E-4</v>
      </c>
      <c r="D50" s="14">
        <v>1662465.93179314</v>
      </c>
      <c r="E50" s="14">
        <f t="shared" si="1"/>
        <v>1.6624659317931402E-3</v>
      </c>
      <c r="F50" s="14">
        <v>616316.28081322298</v>
      </c>
      <c r="G50" s="14">
        <f t="shared" si="2"/>
        <v>6.1631628081322304E-4</v>
      </c>
      <c r="H50" s="14">
        <v>0</v>
      </c>
      <c r="I50" s="14">
        <v>0</v>
      </c>
      <c r="J50" s="14">
        <v>69169.348660083095</v>
      </c>
      <c r="K50" s="14">
        <f t="shared" si="3"/>
        <v>6.9169348660083092E-5</v>
      </c>
      <c r="M50" s="3">
        <v>1986</v>
      </c>
      <c r="N50" s="14">
        <v>542067.78041380097</v>
      </c>
      <c r="O50" s="14">
        <f t="shared" si="4"/>
        <v>5.4206778041380099E-4</v>
      </c>
      <c r="P50" s="14">
        <v>6201227.4524307596</v>
      </c>
      <c r="Q50" s="14">
        <f t="shared" si="5"/>
        <v>6.2012274524307597E-3</v>
      </c>
    </row>
    <row r="51" spans="1:17" x14ac:dyDescent="0.25">
      <c r="A51" s="12">
        <v>1987</v>
      </c>
      <c r="B51" s="14">
        <v>653660.77928019001</v>
      </c>
      <c r="C51" s="14">
        <f t="shared" si="0"/>
        <v>6.536607792801901E-4</v>
      </c>
      <c r="D51" s="14">
        <v>1949498.4604525999</v>
      </c>
      <c r="E51" s="14">
        <f t="shared" si="1"/>
        <v>1.9494984604526001E-3</v>
      </c>
      <c r="F51" s="14">
        <v>773057.205887535</v>
      </c>
      <c r="G51" s="14">
        <f t="shared" si="2"/>
        <v>7.7305720588753506E-4</v>
      </c>
      <c r="H51" s="14">
        <v>0</v>
      </c>
      <c r="I51" s="14">
        <v>0</v>
      </c>
      <c r="J51" s="14">
        <v>89857.585808276606</v>
      </c>
      <c r="K51" s="14">
        <f t="shared" si="3"/>
        <v>8.9857585808276606E-5</v>
      </c>
      <c r="M51" s="3">
        <v>1987</v>
      </c>
      <c r="N51" s="14">
        <v>673661.07231826498</v>
      </c>
      <c r="O51" s="14">
        <f t="shared" si="4"/>
        <v>6.7366107231826497E-4</v>
      </c>
      <c r="P51" s="14">
        <v>7706647.9252925804</v>
      </c>
      <c r="Q51" s="14">
        <f t="shared" si="5"/>
        <v>7.7066479252925809E-3</v>
      </c>
    </row>
    <row r="52" spans="1:17" x14ac:dyDescent="0.25">
      <c r="A52" s="12">
        <v>1988</v>
      </c>
      <c r="B52" s="14">
        <v>572104.690796223</v>
      </c>
      <c r="C52" s="14">
        <f t="shared" si="0"/>
        <v>5.72104690796223E-4</v>
      </c>
      <c r="D52" s="14">
        <v>1930269.92145636</v>
      </c>
      <c r="E52" s="14">
        <f t="shared" si="1"/>
        <v>1.9302699214563601E-3</v>
      </c>
      <c r="F52" s="14">
        <v>710271.53206312703</v>
      </c>
      <c r="G52" s="14">
        <f t="shared" si="2"/>
        <v>7.1027153206312712E-4</v>
      </c>
      <c r="H52" s="14">
        <v>0</v>
      </c>
      <c r="I52" s="14">
        <v>0</v>
      </c>
      <c r="J52" s="14">
        <v>84540.9612511624</v>
      </c>
      <c r="K52" s="14">
        <f t="shared" si="3"/>
        <v>8.4540961251162409E-5</v>
      </c>
      <c r="M52" s="3">
        <v>1988</v>
      </c>
      <c r="N52" s="14">
        <v>613297.17694924504</v>
      </c>
      <c r="O52" s="14">
        <f t="shared" si="4"/>
        <v>6.1329717694924503E-4</v>
      </c>
      <c r="P52" s="14">
        <v>7016088.0753559703</v>
      </c>
      <c r="Q52" s="14">
        <f t="shared" si="5"/>
        <v>7.0160880753559708E-3</v>
      </c>
    </row>
    <row r="53" spans="1:17" x14ac:dyDescent="0.25">
      <c r="A53" s="12">
        <v>1989</v>
      </c>
      <c r="B53" s="14">
        <v>456265.27485077298</v>
      </c>
      <c r="C53" s="14">
        <f t="shared" si="0"/>
        <v>4.5626527485077302E-4</v>
      </c>
      <c r="D53" s="14">
        <v>1406216.45001319</v>
      </c>
      <c r="E53" s="14">
        <f t="shared" si="1"/>
        <v>1.4062164500131902E-3</v>
      </c>
      <c r="F53" s="14">
        <v>570371.45826523704</v>
      </c>
      <c r="G53" s="14">
        <f t="shared" si="2"/>
        <v>5.7037145826523703E-4</v>
      </c>
      <c r="H53" s="14">
        <v>0</v>
      </c>
      <c r="I53" s="14">
        <v>0</v>
      </c>
      <c r="J53" s="14">
        <v>72136.812749352801</v>
      </c>
      <c r="K53" s="14">
        <f t="shared" si="3"/>
        <v>7.2136812749352806E-5</v>
      </c>
      <c r="M53" s="3">
        <v>1989</v>
      </c>
      <c r="N53" s="14">
        <v>488042.09405852802</v>
      </c>
      <c r="O53" s="14">
        <f t="shared" si="4"/>
        <v>4.8804209405852806E-4</v>
      </c>
      <c r="P53" s="14">
        <v>5583176.3867375003</v>
      </c>
      <c r="Q53" s="14">
        <f t="shared" si="5"/>
        <v>5.583176386737501E-3</v>
      </c>
    </row>
    <row r="54" spans="1:17" x14ac:dyDescent="0.25">
      <c r="A54" s="12">
        <v>1990</v>
      </c>
      <c r="B54" s="14">
        <v>446516.61176038202</v>
      </c>
      <c r="C54" s="14">
        <f t="shared" si="0"/>
        <v>4.4651661176038204E-4</v>
      </c>
      <c r="D54" s="14">
        <v>1763408.08325404</v>
      </c>
      <c r="E54" s="14">
        <f t="shared" si="1"/>
        <v>1.7634080832540401E-3</v>
      </c>
      <c r="F54" s="14">
        <v>609700.62286718201</v>
      </c>
      <c r="G54" s="14">
        <f t="shared" si="2"/>
        <v>6.0970062286718201E-4</v>
      </c>
      <c r="H54" s="14">
        <v>0</v>
      </c>
      <c r="I54" s="14">
        <v>0</v>
      </c>
      <c r="J54" s="14">
        <v>79055.692411706899</v>
      </c>
      <c r="K54" s="14">
        <f t="shared" si="3"/>
        <v>7.9055692411706904E-5</v>
      </c>
      <c r="M54" s="3">
        <v>1990</v>
      </c>
      <c r="N54" s="14">
        <v>517016.76383565803</v>
      </c>
      <c r="O54" s="14">
        <f t="shared" si="4"/>
        <v>5.1701676383565805E-4</v>
      </c>
      <c r="P54" s="14">
        <v>5914645.1147070704</v>
      </c>
      <c r="Q54" s="14">
        <f t="shared" si="5"/>
        <v>5.9146451147070707E-3</v>
      </c>
    </row>
    <row r="55" spans="1:17" x14ac:dyDescent="0.25">
      <c r="A55" s="12">
        <v>1991</v>
      </c>
      <c r="B55" s="14">
        <v>554665.91055404197</v>
      </c>
      <c r="C55" s="14">
        <f t="shared" si="0"/>
        <v>5.5466591055404197E-4</v>
      </c>
      <c r="D55" s="14">
        <v>2038144.0110042701</v>
      </c>
      <c r="E55" s="14">
        <f t="shared" si="1"/>
        <v>2.0381440110042704E-3</v>
      </c>
      <c r="F55" s="14">
        <v>760968.75973834004</v>
      </c>
      <c r="G55" s="14">
        <f t="shared" si="2"/>
        <v>7.6096875973834005E-4</v>
      </c>
      <c r="H55" s="14">
        <v>0</v>
      </c>
      <c r="I55" s="14">
        <v>0</v>
      </c>
      <c r="J55" s="14">
        <v>100625.345865916</v>
      </c>
      <c r="K55" s="14">
        <f t="shared" si="3"/>
        <v>1.0062534586591601E-4</v>
      </c>
      <c r="M55" s="3">
        <v>1991</v>
      </c>
      <c r="N55" s="14">
        <v>639555.47143476899</v>
      </c>
      <c r="O55" s="14">
        <f t="shared" si="4"/>
        <v>6.3955547143476903E-4</v>
      </c>
      <c r="P55" s="14">
        <v>7316481.6100783898</v>
      </c>
      <c r="Q55" s="14">
        <f t="shared" si="5"/>
        <v>7.3164816100783903E-3</v>
      </c>
    </row>
    <row r="56" spans="1:17" x14ac:dyDescent="0.25">
      <c r="A56" s="12">
        <v>1992</v>
      </c>
      <c r="B56" s="14">
        <v>604177.84079968196</v>
      </c>
      <c r="C56" s="14">
        <f t="shared" si="0"/>
        <v>6.0417784079968195E-4</v>
      </c>
      <c r="D56" s="14">
        <v>1866330.18353953</v>
      </c>
      <c r="E56" s="14">
        <f t="shared" si="1"/>
        <v>1.8663301835395302E-3</v>
      </c>
      <c r="F56" s="14">
        <v>800701.13305813295</v>
      </c>
      <c r="G56" s="14">
        <f t="shared" si="2"/>
        <v>8.00701133058133E-4</v>
      </c>
      <c r="H56" s="14">
        <v>0</v>
      </c>
      <c r="I56" s="14">
        <v>0</v>
      </c>
      <c r="J56" s="14">
        <v>107170.469206644</v>
      </c>
      <c r="K56" s="14">
        <f t="shared" si="3"/>
        <v>1.0717046920664402E-4</v>
      </c>
      <c r="M56" s="3">
        <v>1992</v>
      </c>
      <c r="N56" s="14">
        <v>667021.04382767295</v>
      </c>
      <c r="O56" s="14">
        <f t="shared" si="4"/>
        <v>6.67021043827673E-4</v>
      </c>
      <c r="P56" s="14">
        <v>7630686.3417995498</v>
      </c>
      <c r="Q56" s="14">
        <f t="shared" si="5"/>
        <v>7.6306863417995498E-3</v>
      </c>
    </row>
    <row r="57" spans="1:17" x14ac:dyDescent="0.25">
      <c r="A57" s="12">
        <v>1993</v>
      </c>
      <c r="B57" s="14">
        <v>660325.31775879895</v>
      </c>
      <c r="C57" s="14">
        <f t="shared" si="0"/>
        <v>6.60325317758799E-4</v>
      </c>
      <c r="D57" s="14">
        <v>3177134.3089040699</v>
      </c>
      <c r="E57" s="14">
        <f t="shared" si="1"/>
        <v>3.1771343089040702E-3</v>
      </c>
      <c r="F57" s="14">
        <v>988676.11248085403</v>
      </c>
      <c r="G57" s="14">
        <f t="shared" si="2"/>
        <v>9.8867611248085402E-4</v>
      </c>
      <c r="H57" s="14">
        <v>0</v>
      </c>
      <c r="I57" s="14">
        <v>0</v>
      </c>
      <c r="J57" s="14">
        <v>131204.187618595</v>
      </c>
      <c r="K57" s="14">
        <f t="shared" si="3"/>
        <v>1.31204187618595E-4</v>
      </c>
      <c r="M57" s="3">
        <v>1993</v>
      </c>
      <c r="N57" s="14">
        <v>816421.68486599799</v>
      </c>
      <c r="O57" s="14">
        <f t="shared" si="4"/>
        <v>8.1642168486599801E-4</v>
      </c>
      <c r="P57" s="14">
        <v>9339821.9703926593</v>
      </c>
      <c r="Q57" s="14">
        <f t="shared" si="5"/>
        <v>9.3398219703926602E-3</v>
      </c>
    </row>
    <row r="58" spans="1:17" x14ac:dyDescent="0.25">
      <c r="A58" s="12">
        <v>1994</v>
      </c>
      <c r="B58" s="14">
        <v>464300.84699491801</v>
      </c>
      <c r="C58" s="14">
        <f t="shared" si="0"/>
        <v>4.6430084699491806E-4</v>
      </c>
      <c r="D58" s="14">
        <v>2205851.0557296802</v>
      </c>
      <c r="E58" s="14">
        <f t="shared" si="1"/>
        <v>2.2058510557296804E-3</v>
      </c>
      <c r="F58" s="14">
        <v>709361.039756404</v>
      </c>
      <c r="G58" s="14">
        <f t="shared" si="2"/>
        <v>7.0936103975640405E-4</v>
      </c>
      <c r="H58" s="14">
        <v>0</v>
      </c>
      <c r="I58" s="14">
        <v>0</v>
      </c>
      <c r="J58" s="14">
        <v>98368.236978135406</v>
      </c>
      <c r="K58" s="14">
        <f t="shared" si="3"/>
        <v>9.8368236978135416E-5</v>
      </c>
      <c r="M58" s="3">
        <v>1994</v>
      </c>
      <c r="N58" s="14">
        <v>580700.67344997404</v>
      </c>
      <c r="O58" s="14">
        <f t="shared" si="4"/>
        <v>5.8070067344997403E-4</v>
      </c>
      <c r="P58" s="14">
        <v>6643185.7563902</v>
      </c>
      <c r="Q58" s="14">
        <f t="shared" si="5"/>
        <v>6.6431857563902007E-3</v>
      </c>
    </row>
    <row r="59" spans="1:17" x14ac:dyDescent="0.25">
      <c r="A59" s="12">
        <v>1995</v>
      </c>
      <c r="B59" s="14">
        <v>508822.21632260899</v>
      </c>
      <c r="C59" s="14">
        <f t="shared" si="0"/>
        <v>5.0882221632260905E-4</v>
      </c>
      <c r="D59" s="14">
        <v>2049785.3001198401</v>
      </c>
      <c r="E59" s="14">
        <f t="shared" si="1"/>
        <v>2.0497853001198402E-3</v>
      </c>
      <c r="F59" s="14">
        <v>755292.44589458697</v>
      </c>
      <c r="G59" s="14">
        <f t="shared" si="2"/>
        <v>7.5529244589458706E-4</v>
      </c>
      <c r="H59" s="14">
        <v>0</v>
      </c>
      <c r="I59" s="14">
        <v>0</v>
      </c>
      <c r="J59" s="14">
        <v>105305.39172139201</v>
      </c>
      <c r="K59" s="14">
        <f t="shared" si="3"/>
        <v>1.0530539172139201E-4</v>
      </c>
      <c r="M59" s="3">
        <v>1995</v>
      </c>
      <c r="N59" s="14">
        <v>612995.35747239995</v>
      </c>
      <c r="O59" s="14">
        <f t="shared" si="4"/>
        <v>6.1299535747239996E-4</v>
      </c>
      <c r="P59" s="14">
        <v>7012635.2761062803</v>
      </c>
      <c r="Q59" s="14">
        <f t="shared" si="5"/>
        <v>7.0126352761062808E-3</v>
      </c>
    </row>
    <row r="60" spans="1:17" x14ac:dyDescent="0.25">
      <c r="A60" s="12">
        <v>1996</v>
      </c>
      <c r="B60" s="14">
        <v>602922.90993796103</v>
      </c>
      <c r="C60" s="14">
        <f t="shared" si="0"/>
        <v>6.0292290993796101E-4</v>
      </c>
      <c r="D60" s="14">
        <v>2553868.4414782301</v>
      </c>
      <c r="E60" s="14">
        <f t="shared" si="1"/>
        <v>2.5538684414782302E-3</v>
      </c>
      <c r="F60" s="14">
        <v>932432.30634673603</v>
      </c>
      <c r="G60" s="14">
        <f t="shared" si="2"/>
        <v>9.3243230634673614E-4</v>
      </c>
      <c r="H60" s="14">
        <v>0</v>
      </c>
      <c r="I60" s="14">
        <v>0</v>
      </c>
      <c r="J60" s="14">
        <v>133068.229445996</v>
      </c>
      <c r="K60" s="14">
        <f t="shared" si="3"/>
        <v>1.33068229445996E-4</v>
      </c>
      <c r="M60" s="3">
        <v>1996</v>
      </c>
      <c r="N60" s="14">
        <v>750323.21943692095</v>
      </c>
      <c r="O60" s="14">
        <f t="shared" si="4"/>
        <v>7.5032321943692101E-4</v>
      </c>
      <c r="P60" s="14">
        <v>8583658.9347120691</v>
      </c>
      <c r="Q60" s="14">
        <f t="shared" si="5"/>
        <v>8.5836589347120691E-3</v>
      </c>
    </row>
    <row r="61" spans="1:17" x14ac:dyDescent="0.25">
      <c r="A61" s="12">
        <v>1997</v>
      </c>
      <c r="B61" s="14">
        <v>462808.78848189802</v>
      </c>
      <c r="C61" s="14">
        <f t="shared" si="0"/>
        <v>4.6280878848189804E-4</v>
      </c>
      <c r="D61" s="14">
        <v>2025529.5759351901</v>
      </c>
      <c r="E61" s="14">
        <f t="shared" si="1"/>
        <v>2.02552957593519E-3</v>
      </c>
      <c r="F61" s="14">
        <v>718702.76898427296</v>
      </c>
      <c r="G61" s="14">
        <f t="shared" si="2"/>
        <v>7.1870276898427295E-4</v>
      </c>
      <c r="H61" s="14">
        <v>0</v>
      </c>
      <c r="I61" s="14">
        <v>0</v>
      </c>
      <c r="J61" s="14">
        <v>97684.701201148899</v>
      </c>
      <c r="K61" s="14">
        <f t="shared" si="3"/>
        <v>9.7684701201148911E-5</v>
      </c>
      <c r="M61" s="3">
        <v>1997</v>
      </c>
      <c r="N61" s="14">
        <v>573457.00600569195</v>
      </c>
      <c r="O61" s="14">
        <f t="shared" si="4"/>
        <v>5.7345700600569202E-4</v>
      </c>
      <c r="P61" s="14">
        <v>6560318.5743977996</v>
      </c>
      <c r="Q61" s="14">
        <f t="shared" si="5"/>
        <v>6.5603185743978E-3</v>
      </c>
    </row>
    <row r="62" spans="1:17" x14ac:dyDescent="0.25">
      <c r="A62" s="12">
        <v>1998</v>
      </c>
      <c r="B62" s="14">
        <v>441258.21252115601</v>
      </c>
      <c r="C62" s="14">
        <f t="shared" si="0"/>
        <v>4.4125821252115604E-4</v>
      </c>
      <c r="D62" s="14">
        <v>2107225.1328417002</v>
      </c>
      <c r="E62" s="14">
        <f t="shared" si="1"/>
        <v>2.1072251328417002E-3</v>
      </c>
      <c r="F62" s="14">
        <v>711033.79257674399</v>
      </c>
      <c r="G62" s="14">
        <f t="shared" si="2"/>
        <v>7.1103379257674406E-4</v>
      </c>
      <c r="H62" s="14">
        <v>0</v>
      </c>
      <c r="I62" s="14">
        <v>0</v>
      </c>
      <c r="J62" s="14">
        <v>97787.422897850993</v>
      </c>
      <c r="K62" s="14">
        <f t="shared" si="3"/>
        <v>9.7787422897850992E-5</v>
      </c>
      <c r="M62" s="3">
        <v>1998</v>
      </c>
      <c r="N62" s="14">
        <v>562591.50483926805</v>
      </c>
      <c r="O62" s="14">
        <f t="shared" si="4"/>
        <v>5.6259150483926814E-4</v>
      </c>
      <c r="P62" s="14">
        <v>6436017.8014092101</v>
      </c>
      <c r="Q62" s="14">
        <f t="shared" si="5"/>
        <v>6.4360178014092103E-3</v>
      </c>
    </row>
    <row r="63" spans="1:17" x14ac:dyDescent="0.25">
      <c r="A63" s="12">
        <v>1999</v>
      </c>
      <c r="B63" s="14">
        <v>518386.36251516902</v>
      </c>
      <c r="C63" s="14">
        <f t="shared" si="0"/>
        <v>5.1838636251516905E-4</v>
      </c>
      <c r="D63" s="14">
        <v>2485958.09044779</v>
      </c>
      <c r="E63" s="14">
        <f t="shared" si="1"/>
        <v>2.4859580904477902E-3</v>
      </c>
      <c r="F63" s="14">
        <v>835453.67355984298</v>
      </c>
      <c r="G63" s="14">
        <f t="shared" si="2"/>
        <v>8.3545367355984299E-4</v>
      </c>
      <c r="H63" s="14">
        <v>0</v>
      </c>
      <c r="I63" s="14">
        <v>0</v>
      </c>
      <c r="J63" s="14">
        <v>110001.4324106</v>
      </c>
      <c r="K63" s="14">
        <f t="shared" si="3"/>
        <v>1.1000143241060001E-4</v>
      </c>
      <c r="M63" s="3">
        <v>1999</v>
      </c>
      <c r="N63" s="14">
        <v>655551.90370755899</v>
      </c>
      <c r="O63" s="14">
        <f t="shared" si="4"/>
        <v>6.5555190370755907E-4</v>
      </c>
      <c r="P63" s="14">
        <v>7499479.9703115998</v>
      </c>
      <c r="Q63" s="14">
        <f t="shared" si="5"/>
        <v>7.4994799703116E-3</v>
      </c>
    </row>
    <row r="64" spans="1:17" x14ac:dyDescent="0.25">
      <c r="A64" s="12">
        <v>2000</v>
      </c>
      <c r="B64" s="14">
        <v>433138.61396918399</v>
      </c>
      <c r="C64" s="14">
        <f t="shared" si="0"/>
        <v>4.3313861396918405E-4</v>
      </c>
      <c r="D64" s="14">
        <v>1808527.6799538699</v>
      </c>
      <c r="E64" s="14">
        <f t="shared" si="1"/>
        <v>1.80852767995387E-3</v>
      </c>
      <c r="F64" s="14">
        <v>674838.92284574499</v>
      </c>
      <c r="G64" s="14">
        <f t="shared" si="2"/>
        <v>6.74838922845745E-4</v>
      </c>
      <c r="H64" s="14">
        <v>0</v>
      </c>
      <c r="I64" s="14">
        <v>0</v>
      </c>
      <c r="J64" s="14">
        <v>90301.892622161904</v>
      </c>
      <c r="K64" s="14">
        <f t="shared" si="3"/>
        <v>9.030189262216191E-5</v>
      </c>
      <c r="M64" s="3">
        <v>2000</v>
      </c>
      <c r="N64" s="14">
        <v>525165.88971047604</v>
      </c>
      <c r="O64" s="14">
        <f t="shared" si="4"/>
        <v>5.2516588971047605E-4</v>
      </c>
      <c r="P64" s="14">
        <v>6007870.6944485204</v>
      </c>
      <c r="Q64" s="14">
        <f t="shared" si="5"/>
        <v>6.0078706944485206E-3</v>
      </c>
    </row>
    <row r="65" spans="1:17" x14ac:dyDescent="0.25">
      <c r="A65" s="12">
        <v>2001</v>
      </c>
      <c r="B65" s="14">
        <v>486612.96289746702</v>
      </c>
      <c r="C65" s="14">
        <f t="shared" si="0"/>
        <v>4.8661296289746704E-4</v>
      </c>
      <c r="D65" s="14">
        <v>2103902.92833596</v>
      </c>
      <c r="E65" s="14">
        <f t="shared" si="1"/>
        <v>2.1039029283359601E-3</v>
      </c>
      <c r="F65" s="14">
        <v>784405.66537241603</v>
      </c>
      <c r="G65" s="14">
        <f t="shared" si="2"/>
        <v>7.8440566537241608E-4</v>
      </c>
      <c r="H65" s="14">
        <v>0</v>
      </c>
      <c r="I65" s="14">
        <v>0</v>
      </c>
      <c r="J65" s="14">
        <v>110277.85260694601</v>
      </c>
      <c r="K65" s="14">
        <f t="shared" si="3"/>
        <v>1.1027785260694601E-4</v>
      </c>
      <c r="M65" s="3">
        <v>2001</v>
      </c>
      <c r="N65" s="14">
        <v>605449.87055127195</v>
      </c>
      <c r="O65" s="14">
        <f t="shared" si="4"/>
        <v>6.05449870551272E-4</v>
      </c>
      <c r="P65" s="14">
        <v>6926315.2948642103</v>
      </c>
      <c r="Q65" s="14">
        <f t="shared" si="5"/>
        <v>6.9263152948642109E-3</v>
      </c>
    </row>
    <row r="66" spans="1:17" x14ac:dyDescent="0.25">
      <c r="A66" s="12">
        <v>2002</v>
      </c>
      <c r="B66" s="14">
        <v>317891.74872571399</v>
      </c>
      <c r="C66" s="14">
        <f t="shared" si="0"/>
        <v>3.1789174872571402E-4</v>
      </c>
      <c r="D66" s="14">
        <v>760191.85786581202</v>
      </c>
      <c r="E66" s="14">
        <f t="shared" si="1"/>
        <v>7.6019185786581204E-4</v>
      </c>
      <c r="F66" s="14">
        <v>458873.27368907799</v>
      </c>
      <c r="G66" s="14">
        <f t="shared" si="2"/>
        <v>4.5887327368907802E-4</v>
      </c>
      <c r="H66" s="14">
        <v>0</v>
      </c>
      <c r="I66" s="14">
        <v>0</v>
      </c>
      <c r="J66" s="14">
        <v>64638.706128748898</v>
      </c>
      <c r="K66" s="14">
        <f t="shared" si="3"/>
        <v>6.4638706128748898E-5</v>
      </c>
      <c r="M66" s="3">
        <v>2002</v>
      </c>
      <c r="N66" s="14">
        <v>351317.87104769697</v>
      </c>
      <c r="O66" s="14">
        <f t="shared" si="4"/>
        <v>3.5131787104769699E-4</v>
      </c>
      <c r="P66" s="14">
        <v>4019058.3266310799</v>
      </c>
      <c r="Q66" s="14">
        <f t="shared" si="5"/>
        <v>4.0190583266310805E-3</v>
      </c>
    </row>
    <row r="67" spans="1:17" x14ac:dyDescent="0.25">
      <c r="A67" s="12">
        <v>2003</v>
      </c>
      <c r="B67" s="14">
        <v>443292.340558369</v>
      </c>
      <c r="C67" s="14">
        <f t="shared" si="0"/>
        <v>4.4329234055836902E-4</v>
      </c>
      <c r="D67" s="14">
        <v>1270090.07094715</v>
      </c>
      <c r="E67" s="14">
        <f t="shared" si="1"/>
        <v>1.27009007094715E-3</v>
      </c>
      <c r="F67" s="14">
        <v>666857.85207950603</v>
      </c>
      <c r="G67" s="14">
        <f t="shared" si="2"/>
        <v>6.668578520795061E-4</v>
      </c>
      <c r="H67" s="14">
        <v>0</v>
      </c>
      <c r="I67" s="14">
        <v>0</v>
      </c>
      <c r="J67" s="14">
        <v>91448.738006624</v>
      </c>
      <c r="K67" s="14">
        <f t="shared" si="3"/>
        <v>9.1448738006624002E-5</v>
      </c>
      <c r="M67" s="3">
        <v>2003</v>
      </c>
      <c r="N67" s="14">
        <v>506453.08214607899</v>
      </c>
      <c r="O67" s="14">
        <f t="shared" si="4"/>
        <v>5.0645308214607903E-4</v>
      </c>
      <c r="P67" s="14">
        <v>5793797.1409681598</v>
      </c>
      <c r="Q67" s="14">
        <f t="shared" si="5"/>
        <v>5.7937971409681597E-3</v>
      </c>
    </row>
    <row r="68" spans="1:17" x14ac:dyDescent="0.25">
      <c r="A68" s="12">
        <v>2004</v>
      </c>
      <c r="B68" s="14">
        <v>622152.06873438403</v>
      </c>
      <c r="C68" s="14">
        <f t="shared" si="0"/>
        <v>6.2215206873438402E-4</v>
      </c>
      <c r="D68" s="14">
        <v>1694001.18616691</v>
      </c>
      <c r="E68" s="14">
        <f t="shared" si="1"/>
        <v>1.6940011861669101E-3</v>
      </c>
      <c r="F68" s="14">
        <v>928198.51711839996</v>
      </c>
      <c r="G68" s="14">
        <f t="shared" si="2"/>
        <v>9.2819851711840005E-4</v>
      </c>
      <c r="H68" s="14">
        <v>0</v>
      </c>
      <c r="I68" s="14">
        <v>0</v>
      </c>
      <c r="J68" s="14">
        <v>130650.15429551</v>
      </c>
      <c r="K68" s="14">
        <f t="shared" si="3"/>
        <v>1.3065015429551002E-4</v>
      </c>
      <c r="M68" s="3">
        <v>2004</v>
      </c>
      <c r="N68" s="14">
        <v>699315.72785009898</v>
      </c>
      <c r="O68" s="14">
        <f t="shared" si="4"/>
        <v>6.9931572785009903E-4</v>
      </c>
      <c r="P68" s="14">
        <v>8000135.86151563</v>
      </c>
      <c r="Q68" s="14">
        <f t="shared" si="5"/>
        <v>8.0001358615156299E-3</v>
      </c>
    </row>
    <row r="69" spans="1:17" x14ac:dyDescent="0.25">
      <c r="A69" s="12">
        <v>2005</v>
      </c>
      <c r="B69" s="14">
        <v>532889.53105865896</v>
      </c>
      <c r="C69" s="14">
        <f t="shared" si="0"/>
        <v>5.32889531058659E-4</v>
      </c>
      <c r="D69" s="14">
        <v>1649978.5468367501</v>
      </c>
      <c r="E69" s="14">
        <f t="shared" si="1"/>
        <v>1.6499785468367502E-3</v>
      </c>
      <c r="F69" s="14">
        <v>840297.12791780196</v>
      </c>
      <c r="G69" s="14">
        <f t="shared" si="2"/>
        <v>8.4029712791780205E-4</v>
      </c>
      <c r="H69" s="14">
        <v>0</v>
      </c>
      <c r="I69" s="14">
        <v>0</v>
      </c>
      <c r="J69" s="14">
        <v>116475.435373239</v>
      </c>
      <c r="K69" s="14">
        <f t="shared" si="3"/>
        <v>1.1647543537323901E-4</v>
      </c>
      <c r="M69" s="3">
        <v>2005</v>
      </c>
      <c r="N69" s="14">
        <v>628086.33131465502</v>
      </c>
      <c r="O69" s="14">
        <f t="shared" si="4"/>
        <v>6.280863313146551E-4</v>
      </c>
      <c r="P69" s="14">
        <v>7185275.2385904398</v>
      </c>
      <c r="Q69" s="14">
        <f t="shared" si="5"/>
        <v>7.1852752385904405E-3</v>
      </c>
    </row>
    <row r="70" spans="1:17" x14ac:dyDescent="0.25">
      <c r="A70" s="12">
        <v>2006</v>
      </c>
      <c r="B70" s="14">
        <v>523128.077168644</v>
      </c>
      <c r="C70" s="14">
        <f t="shared" ref="C70:C73" si="6">B70*0.000000001</f>
        <v>5.2312807716864407E-4</v>
      </c>
      <c r="D70" s="14">
        <v>1332441.5657355799</v>
      </c>
      <c r="E70" s="14">
        <f t="shared" ref="E70:E73" si="7">D70*0.000000001</f>
        <v>1.3324415657355801E-3</v>
      </c>
      <c r="F70" s="14">
        <v>770831.77512113506</v>
      </c>
      <c r="G70" s="14">
        <f t="shared" ref="G70:G73" si="8">F70*0.000000001</f>
        <v>7.7083177512113506E-4</v>
      </c>
      <c r="H70" s="14">
        <v>0</v>
      </c>
      <c r="I70" s="14">
        <v>0</v>
      </c>
      <c r="J70" s="14">
        <v>99873.936861953203</v>
      </c>
      <c r="K70" s="14">
        <f t="shared" ref="K70:K73" si="9">J70*0.000000001</f>
        <v>9.9873936861953207E-5</v>
      </c>
      <c r="M70" s="3">
        <v>2006</v>
      </c>
      <c r="N70" s="14">
        <v>571646.08914462104</v>
      </c>
      <c r="O70" s="14">
        <f t="shared" ref="O70:O73" si="10">N70*0.000000001</f>
        <v>5.7164608914462103E-4</v>
      </c>
      <c r="P70" s="14">
        <v>6539601.7788997097</v>
      </c>
      <c r="Q70" s="14">
        <f t="shared" ref="Q70:Q73" si="11">P70*0.000000001</f>
        <v>6.5396017788997103E-3</v>
      </c>
    </row>
    <row r="71" spans="1:17" x14ac:dyDescent="0.25">
      <c r="A71" s="12">
        <v>2007</v>
      </c>
      <c r="B71" s="14">
        <v>680778.68278411299</v>
      </c>
      <c r="C71" s="14">
        <f t="shared" si="6"/>
        <v>6.8077868278411304E-4</v>
      </c>
      <c r="D71" s="14">
        <v>2017487.2767022599</v>
      </c>
      <c r="E71" s="14">
        <f t="shared" si="7"/>
        <v>2.0174872767022602E-3</v>
      </c>
      <c r="F71" s="14">
        <v>1056617.0745107499</v>
      </c>
      <c r="G71" s="14">
        <f t="shared" si="8"/>
        <v>1.0566170745107499E-3</v>
      </c>
      <c r="H71" s="14">
        <v>0</v>
      </c>
      <c r="I71" s="14">
        <v>0</v>
      </c>
      <c r="J71" s="14">
        <v>139119.39024901399</v>
      </c>
      <c r="K71" s="14">
        <f t="shared" si="9"/>
        <v>1.3911939024901401E-4</v>
      </c>
      <c r="M71" s="3">
        <v>2007</v>
      </c>
      <c r="N71" s="14">
        <v>777486.97235298005</v>
      </c>
      <c r="O71" s="14">
        <f t="shared" si="10"/>
        <v>7.7748697235298012E-4</v>
      </c>
      <c r="P71" s="14">
        <v>8894410.8671835493</v>
      </c>
      <c r="Q71" s="14">
        <f t="shared" si="11"/>
        <v>8.8944108671835491E-3</v>
      </c>
    </row>
    <row r="72" spans="1:17" x14ac:dyDescent="0.25">
      <c r="A72" s="12">
        <v>2008</v>
      </c>
      <c r="B72" s="14">
        <v>658314.20123518805</v>
      </c>
      <c r="C72" s="14">
        <f t="shared" si="6"/>
        <v>6.5831420123518814E-4</v>
      </c>
      <c r="D72" s="14">
        <v>1974664.5477742199</v>
      </c>
      <c r="E72" s="14">
        <f t="shared" si="7"/>
        <v>1.9746645477742202E-3</v>
      </c>
      <c r="F72" s="14">
        <v>994978.50376270199</v>
      </c>
      <c r="G72" s="14">
        <f t="shared" si="8"/>
        <v>9.94978503762702E-4</v>
      </c>
      <c r="H72" s="14">
        <v>0</v>
      </c>
      <c r="I72" s="14">
        <v>0</v>
      </c>
      <c r="J72" s="14">
        <v>116022.683375213</v>
      </c>
      <c r="K72" s="14">
        <f t="shared" si="9"/>
        <v>1.1602268337521301E-4</v>
      </c>
      <c r="M72" s="3">
        <v>2008</v>
      </c>
      <c r="N72" s="14">
        <v>726479.48076615797</v>
      </c>
      <c r="O72" s="14">
        <f t="shared" si="10"/>
        <v>7.2647948076615804E-4</v>
      </c>
      <c r="P72" s="14">
        <v>8310887.7939871103</v>
      </c>
      <c r="Q72" s="14">
        <f t="shared" si="11"/>
        <v>8.3108877939871116E-3</v>
      </c>
    </row>
    <row r="73" spans="1:17" x14ac:dyDescent="0.25">
      <c r="A73" s="12">
        <v>2009</v>
      </c>
      <c r="B73" s="14">
        <v>722784.33228069299</v>
      </c>
      <c r="C73" s="14">
        <f t="shared" si="6"/>
        <v>7.2278433228069306E-4</v>
      </c>
      <c r="D73" s="14">
        <v>2021858.1237157099</v>
      </c>
      <c r="E73" s="14">
        <f t="shared" si="7"/>
        <v>2.0218581237157101E-3</v>
      </c>
      <c r="F73" s="14">
        <v>1073891.6796333101</v>
      </c>
      <c r="G73" s="14">
        <f t="shared" si="8"/>
        <v>1.0738916796333101E-3</v>
      </c>
      <c r="H73" s="14">
        <v>0</v>
      </c>
      <c r="I73" s="14">
        <v>0</v>
      </c>
      <c r="J73" s="14">
        <v>118561.299754897</v>
      </c>
      <c r="K73" s="14">
        <f t="shared" si="9"/>
        <v>1.18561299754897E-4</v>
      </c>
      <c r="M73" s="3">
        <v>2009</v>
      </c>
      <c r="N73" s="14">
        <v>778090.61130667001</v>
      </c>
      <c r="O73" s="14">
        <f t="shared" si="10"/>
        <v>7.7809061130667005E-4</v>
      </c>
      <c r="P73" s="14">
        <v>8901316.4656829108</v>
      </c>
      <c r="Q73" s="14">
        <f t="shared" si="11"/>
        <v>8.9013164656829118E-3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4"/>
  <sheetViews>
    <sheetView zoomScale="80" zoomScaleNormal="80" workbookViewId="0">
      <selection activeCell="B1" sqref="B1"/>
    </sheetView>
  </sheetViews>
  <sheetFormatPr defaultRowHeight="15" x14ac:dyDescent="0.25"/>
  <cols>
    <col min="1" max="1" width="5.140625" bestFit="1" customWidth="1"/>
    <col min="2" max="2" width="20" bestFit="1" customWidth="1"/>
    <col min="3" max="3" width="16.28515625" bestFit="1" customWidth="1"/>
    <col min="4" max="4" width="17.28515625" bestFit="1" customWidth="1"/>
    <col min="5" max="5" width="18.42578125" bestFit="1" customWidth="1"/>
    <col min="6" max="6" width="17.85546875" bestFit="1" customWidth="1"/>
    <col min="7" max="7" width="19.140625" bestFit="1" customWidth="1"/>
    <col min="8" max="8" width="17.7109375" bestFit="1" customWidth="1"/>
    <col min="9" max="9" width="18.85546875" bestFit="1" customWidth="1"/>
    <col min="10" max="10" width="32.7109375" bestFit="1" customWidth="1"/>
    <col min="11" max="11" width="33.7109375" bestFit="1" customWidth="1"/>
    <col min="13" max="13" width="5.140625" style="11" bestFit="1" customWidth="1"/>
    <col min="14" max="14" width="15.85546875" bestFit="1" customWidth="1"/>
    <col min="15" max="15" width="16.28515625" bestFit="1" customWidth="1"/>
    <col min="16" max="16" width="17.28515625" bestFit="1" customWidth="1"/>
    <col min="17" max="17" width="18.42578125" bestFit="1" customWidth="1"/>
  </cols>
  <sheetData>
    <row r="1" spans="1:17" ht="18.75" x14ac:dyDescent="0.3">
      <c r="A1" s="2"/>
      <c r="B1" s="13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  <c r="N1" s="2"/>
      <c r="O1" s="2"/>
      <c r="P1" s="2"/>
      <c r="Q1" s="2"/>
    </row>
    <row r="2" spans="1:17" x14ac:dyDescent="0.25">
      <c r="A2" s="11"/>
      <c r="B2" s="27" t="s">
        <v>22</v>
      </c>
      <c r="C2" s="27"/>
      <c r="D2" s="28"/>
      <c r="E2" s="28"/>
      <c r="F2" s="28"/>
      <c r="G2" s="28"/>
      <c r="H2" s="28"/>
      <c r="I2" s="28"/>
      <c r="J2" s="28"/>
      <c r="K2" s="28"/>
      <c r="L2" s="2"/>
      <c r="N2" s="27" t="s">
        <v>33</v>
      </c>
      <c r="O2" s="27"/>
      <c r="P2" s="28"/>
      <c r="Q2" s="28"/>
    </row>
    <row r="3" spans="1:17" x14ac:dyDescent="0.25">
      <c r="A3" s="11"/>
      <c r="B3" s="40" t="s">
        <v>53</v>
      </c>
      <c r="C3" s="27"/>
      <c r="D3" s="28"/>
      <c r="E3" s="28"/>
      <c r="F3" s="28"/>
      <c r="G3" s="28"/>
      <c r="H3" s="28"/>
      <c r="I3" s="28"/>
      <c r="J3" s="28"/>
      <c r="K3" s="28"/>
      <c r="L3" s="2"/>
      <c r="N3" s="40" t="s">
        <v>53</v>
      </c>
      <c r="O3" s="27"/>
      <c r="P3" s="28"/>
      <c r="Q3" s="28"/>
    </row>
    <row r="4" spans="1:17" ht="17.25" x14ac:dyDescent="0.25">
      <c r="A4" s="12" t="s">
        <v>7</v>
      </c>
      <c r="B4" s="27" t="s">
        <v>41</v>
      </c>
      <c r="C4" s="27" t="s">
        <v>42</v>
      </c>
      <c r="D4" s="27" t="s">
        <v>43</v>
      </c>
      <c r="E4" s="27" t="s">
        <v>44</v>
      </c>
      <c r="F4" s="27" t="s">
        <v>45</v>
      </c>
      <c r="G4" s="27" t="s">
        <v>46</v>
      </c>
      <c r="H4" s="27" t="s">
        <v>47</v>
      </c>
      <c r="I4" s="27" t="s">
        <v>48</v>
      </c>
      <c r="J4" s="27" t="s">
        <v>49</v>
      </c>
      <c r="K4" s="27" t="s">
        <v>50</v>
      </c>
      <c r="L4" s="2"/>
      <c r="M4" s="12" t="s">
        <v>7</v>
      </c>
      <c r="N4" s="27" t="s">
        <v>41</v>
      </c>
      <c r="O4" s="27" t="s">
        <v>42</v>
      </c>
      <c r="P4" s="27" t="s">
        <v>43</v>
      </c>
      <c r="Q4" s="27" t="s">
        <v>44</v>
      </c>
    </row>
    <row r="5" spans="1:17" x14ac:dyDescent="0.25">
      <c r="A5" s="12">
        <v>1910</v>
      </c>
      <c r="M5" s="11">
        <v>1910</v>
      </c>
    </row>
    <row r="6" spans="1:17" x14ac:dyDescent="0.25">
      <c r="A6" s="12">
        <v>1911</v>
      </c>
      <c r="M6" s="11">
        <v>1911</v>
      </c>
    </row>
    <row r="7" spans="1:17" x14ac:dyDescent="0.25">
      <c r="A7" s="12">
        <v>1912</v>
      </c>
      <c r="M7" s="11">
        <v>1912</v>
      </c>
    </row>
    <row r="8" spans="1:17" x14ac:dyDescent="0.25">
      <c r="A8" s="12">
        <v>1913</v>
      </c>
      <c r="M8" s="11">
        <v>1913</v>
      </c>
    </row>
    <row r="9" spans="1:17" x14ac:dyDescent="0.25">
      <c r="A9" s="12">
        <v>1914</v>
      </c>
      <c r="M9" s="11">
        <v>1914</v>
      </c>
    </row>
    <row r="10" spans="1:17" x14ac:dyDescent="0.25">
      <c r="A10" s="12">
        <v>1915</v>
      </c>
      <c r="M10" s="11">
        <v>1915</v>
      </c>
    </row>
    <row r="11" spans="1:17" x14ac:dyDescent="0.25">
      <c r="A11" s="12">
        <v>1916</v>
      </c>
      <c r="M11" s="11">
        <v>1916</v>
      </c>
    </row>
    <row r="12" spans="1:17" x14ac:dyDescent="0.25">
      <c r="A12" s="12">
        <v>1917</v>
      </c>
      <c r="M12" s="11">
        <v>1917</v>
      </c>
    </row>
    <row r="13" spans="1:17" x14ac:dyDescent="0.25">
      <c r="A13" s="12">
        <v>1918</v>
      </c>
      <c r="M13" s="11">
        <v>1918</v>
      </c>
    </row>
    <row r="14" spans="1:17" x14ac:dyDescent="0.25">
      <c r="A14" s="12">
        <v>1919</v>
      </c>
      <c r="M14" s="11">
        <v>1919</v>
      </c>
    </row>
    <row r="15" spans="1:17" x14ac:dyDescent="0.25">
      <c r="A15" s="12">
        <v>1920</v>
      </c>
      <c r="B15" s="14">
        <v>4.0835915466808101</v>
      </c>
      <c r="C15" s="14">
        <f>B15*0.000000001</f>
        <v>4.0835915466808104E-9</v>
      </c>
      <c r="D15" s="14">
        <v>25.3860422110344</v>
      </c>
      <c r="E15" s="14">
        <f>D15*0.000000001</f>
        <v>2.5386042211034401E-8</v>
      </c>
      <c r="F15" s="14"/>
      <c r="G15" s="14"/>
      <c r="H15" s="14"/>
      <c r="I15" s="14"/>
      <c r="J15" s="14"/>
      <c r="K15" s="14"/>
      <c r="M15" s="11">
        <v>1920</v>
      </c>
      <c r="N15" s="14">
        <v>6.6144372090997301</v>
      </c>
      <c r="O15" s="14">
        <f>N15*0.000000001</f>
        <v>6.6144372090997305E-9</v>
      </c>
      <c r="P15" s="14">
        <v>25.3860422110344</v>
      </c>
      <c r="Q15" s="14">
        <f>P15*0.000000001</f>
        <v>2.5386042211034401E-8</v>
      </c>
    </row>
    <row r="16" spans="1:17" x14ac:dyDescent="0.25">
      <c r="A16" s="12">
        <v>1921</v>
      </c>
      <c r="B16" s="14">
        <v>32.536125741622143</v>
      </c>
      <c r="C16" s="14">
        <f t="shared" ref="C16:C79" si="0">B16*0.000000001</f>
        <v>3.2536125741622143E-8</v>
      </c>
      <c r="D16" s="14">
        <v>337.80778297024852</v>
      </c>
      <c r="E16" s="14">
        <f t="shared" ref="E16:E79" si="1">D16*0.000000001</f>
        <v>3.3780778297024853E-7</v>
      </c>
      <c r="F16" s="14"/>
      <c r="G16" s="14"/>
      <c r="H16" s="14"/>
      <c r="I16" s="14"/>
      <c r="J16" s="14"/>
      <c r="K16" s="14"/>
      <c r="M16" s="11">
        <v>1921</v>
      </c>
      <c r="N16" s="14">
        <v>50.367868750306599</v>
      </c>
      <c r="O16" s="14">
        <f t="shared" ref="O16:O79" si="2">N16*0.000000001</f>
        <v>5.0367868750306605E-8</v>
      </c>
      <c r="P16" s="14">
        <v>337.80778297024852</v>
      </c>
      <c r="Q16" s="14">
        <f t="shared" ref="Q16:Q79" si="3">P16*0.000000001</f>
        <v>3.3780778297024853E-7</v>
      </c>
    </row>
    <row r="17" spans="1:17" x14ac:dyDescent="0.25">
      <c r="A17" s="12">
        <v>1922</v>
      </c>
      <c r="B17" s="14">
        <v>102.23507009947689</v>
      </c>
      <c r="C17" s="14">
        <f t="shared" si="0"/>
        <v>1.0223507009947689E-7</v>
      </c>
      <c r="D17" s="14">
        <v>1270.2393377162296</v>
      </c>
      <c r="E17" s="14">
        <f t="shared" si="1"/>
        <v>1.2702393377162297E-6</v>
      </c>
      <c r="F17" s="14"/>
      <c r="G17" s="14"/>
      <c r="H17" s="14"/>
      <c r="I17" s="14"/>
      <c r="J17" s="14"/>
      <c r="K17" s="14"/>
      <c r="M17" s="11">
        <v>1922</v>
      </c>
      <c r="N17" s="14">
        <v>146.21852715468734</v>
      </c>
      <c r="O17" s="14">
        <f t="shared" si="2"/>
        <v>1.4621852715468735E-7</v>
      </c>
      <c r="P17" s="14">
        <v>1270.2393377162296</v>
      </c>
      <c r="Q17" s="14">
        <f t="shared" si="3"/>
        <v>1.2702393377162297E-6</v>
      </c>
    </row>
    <row r="18" spans="1:17" x14ac:dyDescent="0.25">
      <c r="A18" s="12">
        <v>1923</v>
      </c>
      <c r="B18" s="14">
        <v>225.23350515828767</v>
      </c>
      <c r="C18" s="14">
        <f t="shared" si="0"/>
        <v>2.2523350515828769E-7</v>
      </c>
      <c r="D18" s="14">
        <v>3024.0433213194074</v>
      </c>
      <c r="E18" s="14">
        <f t="shared" si="1"/>
        <v>3.0240433213194078E-6</v>
      </c>
      <c r="F18" s="14"/>
      <c r="G18" s="14"/>
      <c r="H18" s="14"/>
      <c r="I18" s="14"/>
      <c r="J18" s="14"/>
      <c r="K18" s="14"/>
      <c r="M18" s="11">
        <v>1923</v>
      </c>
      <c r="N18" s="14">
        <v>297.78959372686478</v>
      </c>
      <c r="O18" s="14">
        <f t="shared" si="2"/>
        <v>2.9778959372686478E-7</v>
      </c>
      <c r="P18" s="14">
        <v>3024.0433213194074</v>
      </c>
      <c r="Q18" s="14">
        <f t="shared" si="3"/>
        <v>3.0240433213194078E-6</v>
      </c>
    </row>
    <row r="19" spans="1:17" x14ac:dyDescent="0.25">
      <c r="A19" s="12">
        <v>1924</v>
      </c>
      <c r="B19" s="14">
        <v>401.85129245528833</v>
      </c>
      <c r="C19" s="14">
        <f t="shared" si="0"/>
        <v>4.0185129245528835E-7</v>
      </c>
      <c r="D19" s="14">
        <v>5710.347177886455</v>
      </c>
      <c r="E19" s="14">
        <f t="shared" si="1"/>
        <v>5.7103471778864553E-6</v>
      </c>
      <c r="F19" s="14"/>
      <c r="G19" s="14"/>
      <c r="H19" s="14"/>
      <c r="I19" s="14"/>
      <c r="J19" s="14"/>
      <c r="K19" s="14"/>
      <c r="M19" s="11">
        <v>1924</v>
      </c>
      <c r="N19" s="14">
        <v>504.41503956187245</v>
      </c>
      <c r="O19" s="14">
        <f t="shared" si="2"/>
        <v>5.0441503956187244E-7</v>
      </c>
      <c r="P19" s="14">
        <v>5710.347177886455</v>
      </c>
      <c r="Q19" s="14">
        <f t="shared" si="3"/>
        <v>5.7103471778864553E-6</v>
      </c>
    </row>
    <row r="20" spans="1:17" x14ac:dyDescent="0.25">
      <c r="A20" s="12">
        <v>1925</v>
      </c>
      <c r="B20" s="14">
        <v>634.88336533033305</v>
      </c>
      <c r="C20" s="14">
        <f t="shared" si="0"/>
        <v>6.3488336533033306E-7</v>
      </c>
      <c r="D20" s="14">
        <v>9359.7784942976596</v>
      </c>
      <c r="E20" s="14">
        <f t="shared" si="1"/>
        <v>9.3597784942976599E-6</v>
      </c>
      <c r="F20" s="14"/>
      <c r="G20" s="14"/>
      <c r="H20" s="14"/>
      <c r="I20" s="14"/>
      <c r="J20" s="14"/>
      <c r="K20" s="14"/>
      <c r="M20" s="11">
        <v>1925</v>
      </c>
      <c r="N20" s="14">
        <v>764.00839360753093</v>
      </c>
      <c r="O20" s="14">
        <f t="shared" si="2"/>
        <v>7.6400839360753096E-7</v>
      </c>
      <c r="P20" s="14">
        <v>9359.7784942976596</v>
      </c>
      <c r="Q20" s="14">
        <f t="shared" si="3"/>
        <v>9.3597784942976599E-6</v>
      </c>
    </row>
    <row r="21" spans="1:17" x14ac:dyDescent="0.25">
      <c r="A21" s="12">
        <v>1926</v>
      </c>
      <c r="B21" s="14">
        <v>947.65871105512974</v>
      </c>
      <c r="C21" s="14">
        <f t="shared" si="0"/>
        <v>9.4765871105512976E-7</v>
      </c>
      <c r="D21" s="14">
        <v>14054.94154143207</v>
      </c>
      <c r="E21" s="14">
        <f t="shared" si="1"/>
        <v>1.4054941541432071E-5</v>
      </c>
      <c r="F21" s="14"/>
      <c r="G21" s="14"/>
      <c r="H21" s="14"/>
      <c r="I21" s="14"/>
      <c r="J21" s="14"/>
      <c r="K21" s="14"/>
      <c r="M21" s="11">
        <v>1926</v>
      </c>
      <c r="N21" s="14">
        <v>1076.7587421940686</v>
      </c>
      <c r="O21" s="14">
        <f t="shared" si="2"/>
        <v>1.0767587421940686E-6</v>
      </c>
      <c r="P21" s="14">
        <v>14054.94154143207</v>
      </c>
      <c r="Q21" s="14">
        <f t="shared" si="3"/>
        <v>1.4054941541432071E-5</v>
      </c>
    </row>
    <row r="22" spans="1:17" x14ac:dyDescent="0.25">
      <c r="A22" s="12">
        <v>1927</v>
      </c>
      <c r="B22" s="14">
        <v>1320.1969506071803</v>
      </c>
      <c r="C22" s="14">
        <f t="shared" si="0"/>
        <v>1.3201969506071804E-6</v>
      </c>
      <c r="D22" s="14">
        <v>19930.093241256349</v>
      </c>
      <c r="E22" s="14">
        <f t="shared" si="1"/>
        <v>1.9930093241256351E-5</v>
      </c>
      <c r="F22" s="14"/>
      <c r="G22" s="14"/>
      <c r="H22" s="14"/>
      <c r="I22" s="14"/>
      <c r="J22" s="14"/>
      <c r="K22" s="14"/>
      <c r="M22" s="11">
        <v>1927</v>
      </c>
      <c r="N22" s="14">
        <v>1434.573010212601</v>
      </c>
      <c r="O22" s="14">
        <f t="shared" si="2"/>
        <v>1.4345730102126012E-6</v>
      </c>
      <c r="P22" s="14">
        <v>19930.093241256349</v>
      </c>
      <c r="Q22" s="14">
        <f t="shared" si="3"/>
        <v>1.9930093241256351E-5</v>
      </c>
    </row>
    <row r="23" spans="1:17" x14ac:dyDescent="0.25">
      <c r="A23" s="12">
        <v>1928</v>
      </c>
      <c r="B23" s="14">
        <v>1737.6345664924677</v>
      </c>
      <c r="C23" s="14">
        <f t="shared" si="0"/>
        <v>1.7376345664924678E-6</v>
      </c>
      <c r="D23" s="14">
        <v>26709.244071195968</v>
      </c>
      <c r="E23" s="14">
        <f t="shared" si="1"/>
        <v>2.6709244071195971E-5</v>
      </c>
      <c r="F23" s="14"/>
      <c r="G23" s="14"/>
      <c r="H23" s="14"/>
      <c r="I23" s="14"/>
      <c r="J23" s="14"/>
      <c r="K23" s="14"/>
      <c r="M23" s="11">
        <v>1928</v>
      </c>
      <c r="N23" s="14">
        <v>1836.8200298510969</v>
      </c>
      <c r="O23" s="14">
        <f t="shared" si="2"/>
        <v>1.8368200298510971E-6</v>
      </c>
      <c r="P23" s="14">
        <v>26709.244071195968</v>
      </c>
      <c r="Q23" s="14">
        <f t="shared" si="3"/>
        <v>2.6709244071195971E-5</v>
      </c>
    </row>
    <row r="24" spans="1:17" x14ac:dyDescent="0.25">
      <c r="A24" s="12">
        <v>1929</v>
      </c>
      <c r="B24" s="14">
        <v>2197.2545429951674</v>
      </c>
      <c r="C24" s="14">
        <f t="shared" si="0"/>
        <v>2.1972545429951678E-6</v>
      </c>
      <c r="D24" s="14">
        <v>34205.10399556387</v>
      </c>
      <c r="E24" s="14">
        <f t="shared" si="1"/>
        <v>3.4205103995563871E-5</v>
      </c>
      <c r="F24" s="14"/>
      <c r="G24" s="14"/>
      <c r="H24" s="14"/>
      <c r="I24" s="14"/>
      <c r="J24" s="14"/>
      <c r="K24" s="14"/>
      <c r="M24" s="11">
        <v>1929</v>
      </c>
      <c r="N24" s="14">
        <v>2281.1505041394735</v>
      </c>
      <c r="O24" s="14">
        <f t="shared" si="2"/>
        <v>2.2811505041394736E-6</v>
      </c>
      <c r="P24" s="14">
        <v>34205.10399556387</v>
      </c>
      <c r="Q24" s="14">
        <f t="shared" si="3"/>
        <v>3.4205103995563871E-5</v>
      </c>
    </row>
    <row r="25" spans="1:17" x14ac:dyDescent="0.25">
      <c r="A25" s="12">
        <v>1930</v>
      </c>
      <c r="B25" s="14">
        <v>2692.0338652890428</v>
      </c>
      <c r="C25" s="14">
        <f t="shared" si="0"/>
        <v>2.6920338652890429E-6</v>
      </c>
      <c r="D25" s="14">
        <v>42581.931121238085</v>
      </c>
      <c r="E25" s="14">
        <f t="shared" si="1"/>
        <v>4.2581931121238087E-5</v>
      </c>
      <c r="F25" s="14"/>
      <c r="G25" s="14"/>
      <c r="H25" s="14"/>
      <c r="I25" s="14"/>
      <c r="J25" s="14"/>
      <c r="K25" s="14"/>
      <c r="M25" s="11">
        <v>1930</v>
      </c>
      <c r="N25" s="14">
        <v>2760.0926232866454</v>
      </c>
      <c r="O25" s="14">
        <f t="shared" si="2"/>
        <v>2.7600926232866458E-6</v>
      </c>
      <c r="P25" s="14">
        <v>42581.931121238085</v>
      </c>
      <c r="Q25" s="14">
        <f t="shared" si="3"/>
        <v>4.2581931121238087E-5</v>
      </c>
    </row>
    <row r="26" spans="1:17" x14ac:dyDescent="0.25">
      <c r="A26" s="12">
        <v>1931</v>
      </c>
      <c r="B26" s="14">
        <v>3220.6668274668855</v>
      </c>
      <c r="C26" s="14">
        <f t="shared" si="0"/>
        <v>3.2206668274668858E-6</v>
      </c>
      <c r="D26" s="14">
        <v>51847.21223676177</v>
      </c>
      <c r="E26" s="14">
        <f t="shared" si="1"/>
        <v>5.1847212236761775E-5</v>
      </c>
      <c r="F26" s="14"/>
      <c r="G26" s="14"/>
      <c r="H26" s="14"/>
      <c r="I26" s="14"/>
      <c r="J26" s="14"/>
      <c r="K26" s="14"/>
      <c r="M26" s="11">
        <v>1931</v>
      </c>
      <c r="N26" s="14">
        <v>3273.6403605579853</v>
      </c>
      <c r="O26" s="14">
        <f t="shared" si="2"/>
        <v>3.2736403605579857E-6</v>
      </c>
      <c r="P26" s="14">
        <v>51847.21223676177</v>
      </c>
      <c r="Q26" s="14">
        <f t="shared" si="3"/>
        <v>5.1847212236761775E-5</v>
      </c>
    </row>
    <row r="27" spans="1:17" x14ac:dyDescent="0.25">
      <c r="A27" s="12">
        <v>1932</v>
      </c>
      <c r="B27" s="14">
        <v>3773.1467668446462</v>
      </c>
      <c r="C27" s="14">
        <f t="shared" si="0"/>
        <v>3.7731467668446464E-6</v>
      </c>
      <c r="D27" s="14">
        <v>61838.839949031055</v>
      </c>
      <c r="E27" s="14">
        <f t="shared" si="1"/>
        <v>6.1838839949031064E-5</v>
      </c>
      <c r="F27" s="14"/>
      <c r="G27" s="14"/>
      <c r="H27" s="14"/>
      <c r="I27" s="14"/>
      <c r="J27" s="14"/>
      <c r="K27" s="14"/>
      <c r="M27" s="11">
        <v>1932</v>
      </c>
      <c r="N27" s="14">
        <v>3820.2885169406431</v>
      </c>
      <c r="O27" s="14">
        <f t="shared" si="2"/>
        <v>3.8202885169406436E-6</v>
      </c>
      <c r="P27" s="14">
        <v>61838.839949031055</v>
      </c>
      <c r="Q27" s="14">
        <f t="shared" si="3"/>
        <v>6.1838839949031064E-5</v>
      </c>
    </row>
    <row r="28" spans="1:17" x14ac:dyDescent="0.25">
      <c r="A28" s="12">
        <v>1933</v>
      </c>
      <c r="B28" s="14">
        <v>4349.5065294491123</v>
      </c>
      <c r="C28" s="14">
        <f t="shared" si="0"/>
        <v>4.3495065294491129E-6</v>
      </c>
      <c r="D28" s="14">
        <v>72582.651081695032</v>
      </c>
      <c r="E28" s="14">
        <f t="shared" si="1"/>
        <v>7.2582651081695032E-5</v>
      </c>
      <c r="F28" s="14"/>
      <c r="G28" s="14"/>
      <c r="H28" s="14"/>
      <c r="I28" s="14"/>
      <c r="J28" s="14"/>
      <c r="K28" s="14"/>
      <c r="M28" s="11">
        <v>1933</v>
      </c>
      <c r="N28" s="14">
        <v>4395.7205929801476</v>
      </c>
      <c r="O28" s="14">
        <f t="shared" si="2"/>
        <v>4.3957205929801478E-6</v>
      </c>
      <c r="P28" s="14">
        <v>72582.651081695032</v>
      </c>
      <c r="Q28" s="14">
        <f t="shared" si="3"/>
        <v>7.2582651081695032E-5</v>
      </c>
    </row>
    <row r="29" spans="1:17" x14ac:dyDescent="0.25">
      <c r="A29" s="12">
        <v>1934</v>
      </c>
      <c r="B29" s="14">
        <v>4952.7955797008963</v>
      </c>
      <c r="C29" s="14">
        <f t="shared" si="0"/>
        <v>4.9527955797008965E-6</v>
      </c>
      <c r="D29" s="14">
        <v>85114.175585516015</v>
      </c>
      <c r="E29" s="14">
        <f t="shared" si="1"/>
        <v>8.5114175585516015E-5</v>
      </c>
      <c r="F29" s="14"/>
      <c r="G29" s="14"/>
      <c r="H29" s="14"/>
      <c r="I29" s="14"/>
      <c r="J29" s="14"/>
      <c r="K29" s="14"/>
      <c r="M29" s="11">
        <v>1934</v>
      </c>
      <c r="N29" s="14">
        <v>4980.9619785050127</v>
      </c>
      <c r="O29" s="14">
        <f t="shared" si="2"/>
        <v>4.9809619785050131E-6</v>
      </c>
      <c r="P29" s="14">
        <v>85114.175585516015</v>
      </c>
      <c r="Q29" s="14">
        <f t="shared" si="3"/>
        <v>8.5114175585516015E-5</v>
      </c>
    </row>
    <row r="30" spans="1:17" x14ac:dyDescent="0.25">
      <c r="A30" s="12">
        <v>1935</v>
      </c>
      <c r="B30" s="14">
        <v>5579.6656703177796</v>
      </c>
      <c r="C30" s="14">
        <f t="shared" si="0"/>
        <v>5.57966567031778E-6</v>
      </c>
      <c r="D30" s="14">
        <v>99536.788128039203</v>
      </c>
      <c r="E30" s="14">
        <f t="shared" si="1"/>
        <v>9.9536788128039207E-5</v>
      </c>
      <c r="F30" s="14"/>
      <c r="G30" s="14"/>
      <c r="H30" s="14"/>
      <c r="I30" s="14"/>
      <c r="J30" s="14"/>
      <c r="K30" s="14"/>
      <c r="M30" s="11">
        <v>1935</v>
      </c>
      <c r="N30" s="14">
        <v>5582.3411237570735</v>
      </c>
      <c r="O30" s="14">
        <f t="shared" si="2"/>
        <v>5.5823411237570739E-6</v>
      </c>
      <c r="P30" s="14">
        <v>99536.788128039203</v>
      </c>
      <c r="Q30" s="14">
        <f t="shared" si="3"/>
        <v>9.9536788128039207E-5</v>
      </c>
    </row>
    <row r="31" spans="1:17" x14ac:dyDescent="0.25">
      <c r="A31" s="12">
        <v>1936</v>
      </c>
      <c r="B31" s="14">
        <v>6245.2595537601346</v>
      </c>
      <c r="C31" s="14">
        <f t="shared" si="0"/>
        <v>6.2452595537601353E-6</v>
      </c>
      <c r="D31" s="14">
        <v>115046.29465853455</v>
      </c>
      <c r="E31" s="14">
        <f t="shared" si="1"/>
        <v>1.1504629465853456E-4</v>
      </c>
      <c r="F31" s="14"/>
      <c r="G31" s="14"/>
      <c r="H31" s="14"/>
      <c r="I31" s="14"/>
      <c r="J31" s="14"/>
      <c r="K31" s="14"/>
      <c r="M31" s="11">
        <v>1936</v>
      </c>
      <c r="N31" s="14">
        <v>6218.5115592244174</v>
      </c>
      <c r="O31" s="14">
        <f t="shared" si="2"/>
        <v>6.2185115592244179E-6</v>
      </c>
      <c r="P31" s="14">
        <v>115046.29465853455</v>
      </c>
      <c r="Q31" s="14">
        <f t="shared" si="3"/>
        <v>1.1504629465853456E-4</v>
      </c>
    </row>
    <row r="32" spans="1:17" x14ac:dyDescent="0.25">
      <c r="A32" s="12">
        <v>1937</v>
      </c>
      <c r="B32" s="14">
        <v>6925.7859768315448</v>
      </c>
      <c r="C32" s="14">
        <f t="shared" si="0"/>
        <v>6.9257859768315456E-6</v>
      </c>
      <c r="D32" s="14">
        <v>131915.51190545244</v>
      </c>
      <c r="E32" s="14">
        <f t="shared" si="1"/>
        <v>1.3191551190545246E-4</v>
      </c>
      <c r="F32" s="14"/>
      <c r="G32" s="14"/>
      <c r="H32" s="14"/>
      <c r="I32" s="14"/>
      <c r="J32" s="14"/>
      <c r="K32" s="14"/>
      <c r="M32" s="11">
        <v>1937</v>
      </c>
      <c r="N32" s="14">
        <v>6866.4285663487526</v>
      </c>
      <c r="O32" s="14">
        <f t="shared" si="2"/>
        <v>6.8664285663487528E-6</v>
      </c>
      <c r="P32" s="14">
        <v>131915.51190545244</v>
      </c>
      <c r="Q32" s="14">
        <f t="shared" si="3"/>
        <v>1.3191551190545246E-4</v>
      </c>
    </row>
    <row r="33" spans="1:17" x14ac:dyDescent="0.25">
      <c r="A33" s="12">
        <v>1938</v>
      </c>
      <c r="B33" s="14">
        <v>7642.2971146757673</v>
      </c>
      <c r="C33" s="14">
        <f t="shared" si="0"/>
        <v>7.6422971146757671E-6</v>
      </c>
      <c r="D33" s="14">
        <v>150170.44264686407</v>
      </c>
      <c r="E33" s="14">
        <f t="shared" si="1"/>
        <v>1.5017044264686408E-4</v>
      </c>
      <c r="F33" s="14"/>
      <c r="G33" s="14"/>
      <c r="H33" s="14"/>
      <c r="I33" s="14"/>
      <c r="J33" s="14"/>
      <c r="K33" s="14"/>
      <c r="M33" s="11">
        <v>1938</v>
      </c>
      <c r="N33" s="14">
        <v>7534.8606766417106</v>
      </c>
      <c r="O33" s="14">
        <f t="shared" si="2"/>
        <v>7.534860676641711E-6</v>
      </c>
      <c r="P33" s="14">
        <v>150170.44264686407</v>
      </c>
      <c r="Q33" s="14">
        <f t="shared" si="3"/>
        <v>1.5017044264686408E-4</v>
      </c>
    </row>
    <row r="34" spans="1:17" x14ac:dyDescent="0.25">
      <c r="A34" s="12">
        <v>1939</v>
      </c>
      <c r="B34" s="14">
        <v>8382.7780688937528</v>
      </c>
      <c r="C34" s="14">
        <f t="shared" si="0"/>
        <v>8.3827780688937537E-6</v>
      </c>
      <c r="D34" s="14">
        <v>170267.19743140895</v>
      </c>
      <c r="E34" s="14">
        <f t="shared" si="1"/>
        <v>1.7026719743140896E-4</v>
      </c>
      <c r="F34" s="14"/>
      <c r="G34" s="14"/>
      <c r="H34" s="14"/>
      <c r="I34" s="14"/>
      <c r="J34" s="14"/>
      <c r="K34" s="14"/>
      <c r="M34" s="11">
        <v>1939</v>
      </c>
      <c r="N34" s="14">
        <v>8209.047460949605</v>
      </c>
      <c r="O34" s="14">
        <f t="shared" si="2"/>
        <v>8.2090474609496047E-6</v>
      </c>
      <c r="P34" s="14">
        <v>170267.19743140895</v>
      </c>
      <c r="Q34" s="14">
        <f t="shared" si="3"/>
        <v>1.7026719743140896E-4</v>
      </c>
    </row>
    <row r="35" spans="1:17" x14ac:dyDescent="0.25">
      <c r="A35" s="12">
        <v>1940</v>
      </c>
      <c r="B35" s="14">
        <v>9149.8427947867331</v>
      </c>
      <c r="C35" s="14">
        <f t="shared" si="0"/>
        <v>9.1498427947867336E-6</v>
      </c>
      <c r="D35" s="14">
        <v>191663.65643656076</v>
      </c>
      <c r="E35" s="14">
        <f t="shared" si="1"/>
        <v>1.9166365643656077E-4</v>
      </c>
      <c r="F35" s="14"/>
      <c r="G35" s="14"/>
      <c r="H35" s="14"/>
      <c r="I35" s="14"/>
      <c r="J35" s="14"/>
      <c r="K35" s="14"/>
      <c r="M35" s="11">
        <v>1940</v>
      </c>
      <c r="N35" s="14">
        <v>8911.705213860012</v>
      </c>
      <c r="O35" s="14">
        <f t="shared" si="2"/>
        <v>8.9117052138600119E-6</v>
      </c>
      <c r="P35" s="14">
        <v>191663.65643656076</v>
      </c>
      <c r="Q35" s="14">
        <f t="shared" si="3"/>
        <v>1.9166365643656077E-4</v>
      </c>
    </row>
    <row r="36" spans="1:17" x14ac:dyDescent="0.25">
      <c r="A36" s="12">
        <v>1941</v>
      </c>
      <c r="B36" s="14">
        <v>9933.1718984626514</v>
      </c>
      <c r="C36" s="14">
        <f t="shared" si="0"/>
        <v>9.9331718984626523E-6</v>
      </c>
      <c r="D36" s="14">
        <v>214268.43714340514</v>
      </c>
      <c r="E36" s="14">
        <f t="shared" si="1"/>
        <v>2.1426843714340515E-4</v>
      </c>
      <c r="F36" s="14"/>
      <c r="G36" s="14"/>
      <c r="H36" s="14"/>
      <c r="I36" s="14"/>
      <c r="J36" s="14"/>
      <c r="K36" s="14"/>
      <c r="M36" s="11">
        <v>1941</v>
      </c>
      <c r="N36" s="14">
        <v>9637.110175223328</v>
      </c>
      <c r="O36" s="14">
        <f t="shared" si="2"/>
        <v>9.6371101752233293E-6</v>
      </c>
      <c r="P36" s="14">
        <v>214377.64957429434</v>
      </c>
      <c r="Q36" s="14">
        <f t="shared" si="3"/>
        <v>2.1437764957429436E-4</v>
      </c>
    </row>
    <row r="37" spans="1:17" x14ac:dyDescent="0.25">
      <c r="A37" s="12">
        <v>1942</v>
      </c>
      <c r="B37" s="14">
        <v>10670.249085698744</v>
      </c>
      <c r="C37" s="14">
        <f t="shared" si="0"/>
        <v>1.0670249085698745E-5</v>
      </c>
      <c r="D37" s="14">
        <v>238168.4173754596</v>
      </c>
      <c r="E37" s="14">
        <f t="shared" si="1"/>
        <v>2.3816841737545961E-4</v>
      </c>
      <c r="F37" s="14"/>
      <c r="G37" s="14"/>
      <c r="H37" s="14"/>
      <c r="I37" s="14"/>
      <c r="J37" s="14"/>
      <c r="K37" s="14"/>
      <c r="M37" s="11">
        <v>1942</v>
      </c>
      <c r="N37" s="14">
        <v>10327.07933812075</v>
      </c>
      <c r="O37" s="14">
        <f t="shared" si="2"/>
        <v>1.032707933812075E-5</v>
      </c>
      <c r="P37" s="14">
        <v>238880.81869999343</v>
      </c>
      <c r="Q37" s="14">
        <f t="shared" si="3"/>
        <v>2.3888081869999345E-4</v>
      </c>
    </row>
    <row r="38" spans="1:17" x14ac:dyDescent="0.25">
      <c r="A38" s="12">
        <v>1943</v>
      </c>
      <c r="B38" s="14">
        <v>11300.338616913525</v>
      </c>
      <c r="C38" s="14">
        <f t="shared" si="0"/>
        <v>1.1300338616913525E-5</v>
      </c>
      <c r="D38" s="14">
        <v>264597.60208194866</v>
      </c>
      <c r="E38" s="14">
        <f t="shared" si="1"/>
        <v>2.6459760208194868E-4</v>
      </c>
      <c r="F38" s="14"/>
      <c r="G38" s="14"/>
      <c r="H38" s="14"/>
      <c r="I38" s="14"/>
      <c r="J38" s="14"/>
      <c r="K38" s="14"/>
      <c r="M38" s="11">
        <v>1943</v>
      </c>
      <c r="N38" s="14">
        <v>10924.808932070051</v>
      </c>
      <c r="O38" s="14">
        <f t="shared" si="2"/>
        <v>1.0924808932070052E-5</v>
      </c>
      <c r="P38" s="14">
        <v>266611.22860149544</v>
      </c>
      <c r="Q38" s="14">
        <f t="shared" si="3"/>
        <v>2.6661122860149547E-4</v>
      </c>
    </row>
    <row r="39" spans="1:17" x14ac:dyDescent="0.25">
      <c r="A39" s="12">
        <v>1944</v>
      </c>
      <c r="B39" s="14">
        <v>12018.074732375586</v>
      </c>
      <c r="C39" s="14">
        <f t="shared" si="0"/>
        <v>1.2018074732375586E-5</v>
      </c>
      <c r="D39" s="14">
        <v>291245.67021819839</v>
      </c>
      <c r="E39" s="14">
        <f t="shared" si="1"/>
        <v>2.9124567021819841E-4</v>
      </c>
      <c r="F39" s="14"/>
      <c r="G39" s="14"/>
      <c r="H39" s="14"/>
      <c r="I39" s="14"/>
      <c r="J39" s="14"/>
      <c r="K39" s="14"/>
      <c r="M39" s="11">
        <v>1944</v>
      </c>
      <c r="N39" s="14">
        <v>11612.418664906039</v>
      </c>
      <c r="O39" s="14">
        <f t="shared" si="2"/>
        <v>1.1612418664906041E-5</v>
      </c>
      <c r="P39" s="14">
        <v>295317.57537664549</v>
      </c>
      <c r="Q39" s="14">
        <f t="shared" si="3"/>
        <v>2.9531757537664549E-4</v>
      </c>
    </row>
    <row r="40" spans="1:17" x14ac:dyDescent="0.25">
      <c r="A40" s="12">
        <v>1945</v>
      </c>
      <c r="B40" s="14">
        <v>12934.644279368174</v>
      </c>
      <c r="C40" s="14">
        <f t="shared" si="0"/>
        <v>1.2934644279368175E-5</v>
      </c>
      <c r="D40" s="14">
        <v>313782.56656696287</v>
      </c>
      <c r="E40" s="14">
        <f t="shared" si="1"/>
        <v>3.1378256656696286E-4</v>
      </c>
      <c r="F40" s="14"/>
      <c r="G40" s="14"/>
      <c r="H40" s="14"/>
      <c r="I40" s="14"/>
      <c r="J40" s="14"/>
      <c r="K40" s="14"/>
      <c r="M40" s="11">
        <v>1945</v>
      </c>
      <c r="N40" s="14">
        <v>12490.402542455096</v>
      </c>
      <c r="O40" s="14">
        <f t="shared" si="2"/>
        <v>1.2490402542455097E-5</v>
      </c>
      <c r="P40" s="14">
        <v>320305.12242773175</v>
      </c>
      <c r="Q40" s="14">
        <f t="shared" si="3"/>
        <v>3.2030512242773175E-4</v>
      </c>
    </row>
    <row r="41" spans="1:17" x14ac:dyDescent="0.25">
      <c r="A41" s="12">
        <v>1946</v>
      </c>
      <c r="B41" s="14">
        <v>13855.795374533351</v>
      </c>
      <c r="C41" s="14">
        <f t="shared" si="0"/>
        <v>1.3855795374533351E-5</v>
      </c>
      <c r="D41" s="14">
        <v>333553.91639728635</v>
      </c>
      <c r="E41" s="14">
        <f t="shared" si="1"/>
        <v>3.3355391639728639E-4</v>
      </c>
      <c r="F41" s="14"/>
      <c r="G41" s="14"/>
      <c r="H41" s="14"/>
      <c r="I41" s="14"/>
      <c r="J41" s="14"/>
      <c r="K41" s="14"/>
      <c r="M41" s="11">
        <v>1946</v>
      </c>
      <c r="N41" s="14">
        <v>13374.437590254176</v>
      </c>
      <c r="O41" s="14">
        <f t="shared" si="2"/>
        <v>1.3374437590254177E-5</v>
      </c>
      <c r="P41" s="14">
        <v>343125.35013119393</v>
      </c>
      <c r="Q41" s="14">
        <f t="shared" si="3"/>
        <v>3.4312535013119395E-4</v>
      </c>
    </row>
    <row r="42" spans="1:17" x14ac:dyDescent="0.25">
      <c r="A42" s="12">
        <v>1947</v>
      </c>
      <c r="B42" s="14">
        <v>14755.402193306596</v>
      </c>
      <c r="C42" s="14">
        <f t="shared" si="0"/>
        <v>1.4755402193306596E-5</v>
      </c>
      <c r="D42" s="14">
        <v>352685.10681638424</v>
      </c>
      <c r="E42" s="14">
        <f t="shared" si="1"/>
        <v>3.5268510681638429E-4</v>
      </c>
      <c r="F42" s="14"/>
      <c r="G42" s="14"/>
      <c r="H42" s="14"/>
      <c r="I42" s="14"/>
      <c r="J42" s="14"/>
      <c r="K42" s="14"/>
      <c r="M42" s="11">
        <v>1947</v>
      </c>
      <c r="N42" s="14">
        <v>14234.64623222792</v>
      </c>
      <c r="O42" s="14">
        <f t="shared" si="2"/>
        <v>1.4234646232227921E-5</v>
      </c>
      <c r="P42" s="14">
        <v>366059.20662529691</v>
      </c>
      <c r="Q42" s="14">
        <f t="shared" si="3"/>
        <v>3.6605920662529691E-4</v>
      </c>
    </row>
    <row r="43" spans="1:17" x14ac:dyDescent="0.25">
      <c r="A43" s="12">
        <v>1948</v>
      </c>
      <c r="B43" s="14">
        <v>15740.809333870222</v>
      </c>
      <c r="C43" s="14">
        <f t="shared" si="0"/>
        <v>1.5740809333870221E-5</v>
      </c>
      <c r="D43" s="14">
        <v>369981.25067715306</v>
      </c>
      <c r="E43" s="14">
        <f t="shared" si="1"/>
        <v>3.699812506771531E-4</v>
      </c>
      <c r="F43" s="14"/>
      <c r="G43" s="14"/>
      <c r="H43" s="14"/>
      <c r="I43" s="14"/>
      <c r="J43" s="14"/>
      <c r="K43" s="14"/>
      <c r="M43" s="11">
        <v>1948</v>
      </c>
      <c r="N43" s="14">
        <v>15176.321307859085</v>
      </c>
      <c r="O43" s="14">
        <f t="shared" si="2"/>
        <v>1.5176321307859086E-5</v>
      </c>
      <c r="P43" s="14">
        <v>387609.25095413497</v>
      </c>
      <c r="Q43" s="14">
        <f t="shared" si="3"/>
        <v>3.8760925095413499E-4</v>
      </c>
    </row>
    <row r="44" spans="1:17" x14ac:dyDescent="0.25">
      <c r="A44" s="12">
        <v>1949</v>
      </c>
      <c r="B44" s="14">
        <v>16771.836018525908</v>
      </c>
      <c r="C44" s="14">
        <f t="shared" si="0"/>
        <v>1.6771836018525908E-5</v>
      </c>
      <c r="D44" s="14">
        <v>385472.63722572825</v>
      </c>
      <c r="E44" s="14">
        <f t="shared" si="1"/>
        <v>3.8547263722572828E-4</v>
      </c>
      <c r="F44" s="14"/>
      <c r="G44" s="14"/>
      <c r="H44" s="14"/>
      <c r="I44" s="14"/>
      <c r="J44" s="14"/>
      <c r="K44" s="14"/>
      <c r="M44" s="11">
        <v>1949</v>
      </c>
      <c r="N44" s="14">
        <v>16166.248423101044</v>
      </c>
      <c r="O44" s="14">
        <f t="shared" si="2"/>
        <v>1.6166248423101044E-5</v>
      </c>
      <c r="P44" s="14">
        <v>407696.99261858506</v>
      </c>
      <c r="Q44" s="14">
        <f t="shared" si="3"/>
        <v>4.0769699261858507E-4</v>
      </c>
    </row>
    <row r="45" spans="1:17" x14ac:dyDescent="0.25">
      <c r="A45" s="12">
        <v>1950</v>
      </c>
      <c r="B45" s="14">
        <v>17851.155192077575</v>
      </c>
      <c r="C45" s="14">
        <f t="shared" si="0"/>
        <v>1.7851155192077575E-5</v>
      </c>
      <c r="D45" s="14">
        <v>399183.44092938304</v>
      </c>
      <c r="E45" s="14">
        <f t="shared" si="1"/>
        <v>3.9918344092938307E-4</v>
      </c>
      <c r="F45" s="14"/>
      <c r="G45" s="14"/>
      <c r="H45" s="14"/>
      <c r="I45" s="14"/>
      <c r="J45" s="14"/>
      <c r="K45" s="14"/>
      <c r="M45" s="11">
        <v>1950</v>
      </c>
      <c r="N45" s="14">
        <v>17205.84106758875</v>
      </c>
      <c r="O45" s="14">
        <f t="shared" si="2"/>
        <v>1.7205841067588749E-5</v>
      </c>
      <c r="P45" s="14">
        <v>426219.38013069675</v>
      </c>
      <c r="Q45" s="14">
        <f t="shared" si="3"/>
        <v>4.2621938013069676E-4</v>
      </c>
    </row>
    <row r="46" spans="1:17" x14ac:dyDescent="0.25">
      <c r="A46" s="12">
        <v>1951</v>
      </c>
      <c r="B46" s="14">
        <v>18953.705854516997</v>
      </c>
      <c r="C46" s="14">
        <f t="shared" si="0"/>
        <v>1.8953705854516996E-5</v>
      </c>
      <c r="D46" s="14">
        <v>411399.86898933165</v>
      </c>
      <c r="E46" s="14">
        <f t="shared" si="1"/>
        <v>4.1139986898933167E-4</v>
      </c>
      <c r="F46" s="14">
        <v>0</v>
      </c>
      <c r="G46" s="14">
        <f>F46*0.000000001</f>
        <v>0</v>
      </c>
      <c r="H46" s="14">
        <v>1092.4875087284699</v>
      </c>
      <c r="I46" s="14">
        <f>H46*0.000000001</f>
        <v>1.0924875087284701E-6</v>
      </c>
      <c r="J46" s="14">
        <v>7.0681880866865203</v>
      </c>
      <c r="K46" s="14">
        <f>J46*0.000000001</f>
        <v>7.068188086686521E-9</v>
      </c>
      <c r="M46" s="11">
        <v>1951</v>
      </c>
      <c r="N46" s="14">
        <v>18276.682166035538</v>
      </c>
      <c r="O46" s="14">
        <f t="shared" si="2"/>
        <v>1.8276682166035539E-5</v>
      </c>
      <c r="P46" s="14">
        <v>443368.63944774977</v>
      </c>
      <c r="Q46" s="14">
        <f t="shared" si="3"/>
        <v>4.4336863944774977E-4</v>
      </c>
    </row>
    <row r="47" spans="1:17" x14ac:dyDescent="0.25">
      <c r="A47" s="12">
        <v>1952</v>
      </c>
      <c r="B47" s="14">
        <v>20020.413723939211</v>
      </c>
      <c r="C47" s="14">
        <f t="shared" si="0"/>
        <v>2.0020413723939214E-5</v>
      </c>
      <c r="D47" s="14">
        <v>423262.19421032368</v>
      </c>
      <c r="E47" s="14">
        <f t="shared" si="1"/>
        <v>4.232621942103237E-4</v>
      </c>
      <c r="F47" s="14">
        <v>6.6769501740658295E-4</v>
      </c>
      <c r="G47" s="14">
        <f t="shared" ref="G47:G110" si="4">F47*0.000000001</f>
        <v>6.6769501740658298E-13</v>
      </c>
      <c r="H47" s="14">
        <v>2210.6328372583762</v>
      </c>
      <c r="I47" s="14">
        <f t="shared" ref="I47:I110" si="5">H47*0.000000001</f>
        <v>2.2106328372583765E-6</v>
      </c>
      <c r="J47" s="14">
        <v>12.257289306604541</v>
      </c>
      <c r="K47" s="14">
        <f t="shared" ref="K47:K110" si="6">J47*0.000000001</f>
        <v>1.2257289306604542E-8</v>
      </c>
      <c r="M47" s="11">
        <v>1952</v>
      </c>
      <c r="N47" s="14">
        <v>19356.445311365849</v>
      </c>
      <c r="O47" s="14">
        <f t="shared" si="2"/>
        <v>1.9356445311365852E-5</v>
      </c>
      <c r="P47" s="14">
        <v>460026.82871037722</v>
      </c>
      <c r="Q47" s="14">
        <f t="shared" si="3"/>
        <v>4.6002682871037722E-4</v>
      </c>
    </row>
    <row r="48" spans="1:17" x14ac:dyDescent="0.25">
      <c r="A48" s="12">
        <v>1953</v>
      </c>
      <c r="B48" s="14">
        <v>21009.941563541419</v>
      </c>
      <c r="C48" s="14">
        <f t="shared" si="0"/>
        <v>2.100994156354142E-5</v>
      </c>
      <c r="D48" s="14">
        <v>435816.67019483936</v>
      </c>
      <c r="E48" s="14">
        <f t="shared" si="1"/>
        <v>4.3581667019483941E-4</v>
      </c>
      <c r="F48" s="14">
        <v>0.36235261730917301</v>
      </c>
      <c r="G48" s="14">
        <f t="shared" si="4"/>
        <v>3.6235261730917302E-10</v>
      </c>
      <c r="H48" s="14">
        <v>20137.80485338689</v>
      </c>
      <c r="I48" s="14">
        <f t="shared" si="5"/>
        <v>2.013780485338689E-5</v>
      </c>
      <c r="J48" s="14">
        <v>128.15082953613239</v>
      </c>
      <c r="K48" s="14">
        <f t="shared" si="6"/>
        <v>1.281508295361324E-7</v>
      </c>
      <c r="M48" s="11">
        <v>1953</v>
      </c>
      <c r="N48" s="14">
        <v>20441.025276943252</v>
      </c>
      <c r="O48" s="14">
        <f t="shared" si="2"/>
        <v>2.0441025276943254E-5</v>
      </c>
      <c r="P48" s="14">
        <v>476744.22825650137</v>
      </c>
      <c r="Q48" s="14">
        <f t="shared" si="3"/>
        <v>4.767442282565014E-4</v>
      </c>
    </row>
    <row r="49" spans="1:17" x14ac:dyDescent="0.25">
      <c r="A49" s="12">
        <v>1954</v>
      </c>
      <c r="B49" s="14">
        <v>21926.739888767006</v>
      </c>
      <c r="C49" s="14">
        <f t="shared" si="0"/>
        <v>2.1926739888767007E-5</v>
      </c>
      <c r="D49" s="14">
        <v>449293.48497798026</v>
      </c>
      <c r="E49" s="14">
        <f t="shared" si="1"/>
        <v>4.4929348497798027E-4</v>
      </c>
      <c r="F49" s="14">
        <v>5.1065557421999097</v>
      </c>
      <c r="G49" s="14">
        <f t="shared" si="4"/>
        <v>5.1065557421999098E-9</v>
      </c>
      <c r="H49" s="14">
        <v>6237.6762332138069</v>
      </c>
      <c r="I49" s="14">
        <f t="shared" si="5"/>
        <v>6.2376762332138073E-6</v>
      </c>
      <c r="J49" s="14">
        <v>40.982633406263062</v>
      </c>
      <c r="K49" s="14">
        <f t="shared" si="6"/>
        <v>4.0982633406263064E-8</v>
      </c>
      <c r="M49" s="11">
        <v>1954</v>
      </c>
      <c r="N49" s="14">
        <v>21515.553413805916</v>
      </c>
      <c r="O49" s="14">
        <f t="shared" si="2"/>
        <v>2.1515553413805918E-5</v>
      </c>
      <c r="P49" s="14">
        <v>493530.27441984648</v>
      </c>
      <c r="Q49" s="14">
        <f t="shared" si="3"/>
        <v>4.9353027441984649E-4</v>
      </c>
    </row>
    <row r="50" spans="1:17" x14ac:dyDescent="0.25">
      <c r="A50" s="12">
        <v>1955</v>
      </c>
      <c r="B50" s="14">
        <v>22840.980682091242</v>
      </c>
      <c r="C50" s="14">
        <f t="shared" si="0"/>
        <v>2.2840980682091244E-5</v>
      </c>
      <c r="D50" s="14">
        <v>463058.63421179773</v>
      </c>
      <c r="E50" s="14">
        <f t="shared" si="1"/>
        <v>4.6305863421179774E-4</v>
      </c>
      <c r="F50" s="14">
        <v>23.173485842356008</v>
      </c>
      <c r="G50" s="14">
        <f t="shared" si="4"/>
        <v>2.3173485842356009E-8</v>
      </c>
      <c r="H50" s="14">
        <v>1671.0698230027465</v>
      </c>
      <c r="I50" s="14">
        <f t="shared" si="5"/>
        <v>1.6710698230027466E-6</v>
      </c>
      <c r="J50" s="14">
        <v>11.87890690133225</v>
      </c>
      <c r="K50" s="14">
        <f t="shared" si="6"/>
        <v>1.1878906901332251E-8</v>
      </c>
      <c r="M50" s="11">
        <v>1955</v>
      </c>
      <c r="N50" s="14">
        <v>22591.526049073585</v>
      </c>
      <c r="O50" s="14">
        <f t="shared" si="2"/>
        <v>2.2591526049073586E-5</v>
      </c>
      <c r="P50" s="14">
        <v>510522.07722324302</v>
      </c>
      <c r="Q50" s="14">
        <f t="shared" si="3"/>
        <v>5.1052207722324301E-4</v>
      </c>
    </row>
    <row r="51" spans="1:17" x14ac:dyDescent="0.25">
      <c r="A51" s="12">
        <v>1956</v>
      </c>
      <c r="B51" s="14">
        <v>23814.037317239916</v>
      </c>
      <c r="C51" s="14">
        <f t="shared" si="0"/>
        <v>2.3814037317239918E-5</v>
      </c>
      <c r="D51" s="14">
        <v>476243.24206175463</v>
      </c>
      <c r="E51" s="14">
        <f t="shared" si="1"/>
        <v>4.7624324206175465E-4</v>
      </c>
      <c r="F51" s="14">
        <v>69.10483753953919</v>
      </c>
      <c r="G51" s="14">
        <f t="shared" si="4"/>
        <v>6.9104837539539195E-8</v>
      </c>
      <c r="H51" s="14">
        <v>22839.000090495014</v>
      </c>
      <c r="I51" s="14">
        <f t="shared" si="5"/>
        <v>2.2839000090495014E-5</v>
      </c>
      <c r="J51" s="14">
        <v>201.60572949529842</v>
      </c>
      <c r="K51" s="14">
        <f t="shared" si="6"/>
        <v>2.0160572949529842E-7</v>
      </c>
      <c r="M51" s="11">
        <v>1956</v>
      </c>
      <c r="N51" s="14">
        <v>23671.089046962981</v>
      </c>
      <c r="O51" s="14">
        <f t="shared" si="2"/>
        <v>2.3671089046962984E-5</v>
      </c>
      <c r="P51" s="14">
        <v>527776.9028258305</v>
      </c>
      <c r="Q51" s="14">
        <f t="shared" si="3"/>
        <v>5.2777690282583057E-4</v>
      </c>
    </row>
    <row r="52" spans="1:17" x14ac:dyDescent="0.25">
      <c r="A52" s="12">
        <v>1957</v>
      </c>
      <c r="B52" s="14">
        <v>24910.167982068786</v>
      </c>
      <c r="C52" s="14">
        <f t="shared" si="0"/>
        <v>2.4910167982068787E-5</v>
      </c>
      <c r="D52" s="14">
        <v>487482.48428292142</v>
      </c>
      <c r="E52" s="14">
        <f t="shared" si="1"/>
        <v>4.8748248428292146E-4</v>
      </c>
      <c r="F52" s="14">
        <v>162.23603480588594</v>
      </c>
      <c r="G52" s="14">
        <f t="shared" si="4"/>
        <v>1.6223603480588595E-7</v>
      </c>
      <c r="H52" s="14">
        <v>119514.56513739376</v>
      </c>
      <c r="I52" s="14">
        <f t="shared" si="5"/>
        <v>1.1951456513739377E-4</v>
      </c>
      <c r="J52" s="14">
        <v>1174.1858695881629</v>
      </c>
      <c r="K52" s="14">
        <f t="shared" si="6"/>
        <v>1.174185869588163E-6</v>
      </c>
      <c r="M52" s="11">
        <v>1957</v>
      </c>
      <c r="N52" s="14">
        <v>24761.53864875951</v>
      </c>
      <c r="O52" s="14">
        <f t="shared" si="2"/>
        <v>2.4761538648759513E-5</v>
      </c>
      <c r="P52" s="14">
        <v>545388.48003288871</v>
      </c>
      <c r="Q52" s="14">
        <f t="shared" si="3"/>
        <v>5.4538848003288871E-4</v>
      </c>
    </row>
    <row r="53" spans="1:17" x14ac:dyDescent="0.25">
      <c r="A53" s="12">
        <v>1958</v>
      </c>
      <c r="B53" s="14">
        <v>26072.26204219745</v>
      </c>
      <c r="C53" s="14">
        <f t="shared" si="0"/>
        <v>2.6072262042197451E-5</v>
      </c>
      <c r="D53" s="14">
        <v>496479.77515054884</v>
      </c>
      <c r="E53" s="14">
        <f t="shared" si="1"/>
        <v>4.9647977515054887E-4</v>
      </c>
      <c r="F53" s="14">
        <v>324.84716820526558</v>
      </c>
      <c r="G53" s="14">
        <f t="shared" si="4"/>
        <v>3.2484716820526562E-7</v>
      </c>
      <c r="H53" s="14">
        <v>231317.75200316354</v>
      </c>
      <c r="I53" s="14">
        <f t="shared" si="5"/>
        <v>2.3131775200316355E-4</v>
      </c>
      <c r="J53" s="14">
        <v>2505.5282203257993</v>
      </c>
      <c r="K53" s="14">
        <f t="shared" si="6"/>
        <v>2.5055282203257996E-6</v>
      </c>
      <c r="M53" s="11">
        <v>1958</v>
      </c>
      <c r="N53" s="14">
        <v>25855.391220543082</v>
      </c>
      <c r="O53" s="14">
        <f t="shared" si="2"/>
        <v>2.5855391220543085E-5</v>
      </c>
      <c r="P53" s="14">
        <v>563296.65780208004</v>
      </c>
      <c r="Q53" s="14">
        <f t="shared" si="3"/>
        <v>5.6329665780208008E-4</v>
      </c>
    </row>
    <row r="54" spans="1:17" x14ac:dyDescent="0.25">
      <c r="A54" s="12">
        <v>1959</v>
      </c>
      <c r="B54" s="14">
        <v>27193.15608340504</v>
      </c>
      <c r="C54" s="14">
        <f t="shared" si="0"/>
        <v>2.7193156083405043E-5</v>
      </c>
      <c r="D54" s="14">
        <v>504489.41425980581</v>
      </c>
      <c r="E54" s="14">
        <f t="shared" si="1"/>
        <v>5.0448941425980582E-4</v>
      </c>
      <c r="F54" s="14">
        <v>578.25852128011661</v>
      </c>
      <c r="G54" s="14">
        <f t="shared" si="4"/>
        <v>5.7825852128011668E-7</v>
      </c>
      <c r="H54" s="14">
        <v>236380.41434515631</v>
      </c>
      <c r="I54" s="14">
        <f t="shared" si="5"/>
        <v>2.3638041434515634E-4</v>
      </c>
      <c r="J54" s="14">
        <v>2860.5655280655001</v>
      </c>
      <c r="K54" s="14">
        <f t="shared" si="6"/>
        <v>2.8605655280655003E-6</v>
      </c>
      <c r="M54" s="11">
        <v>1959</v>
      </c>
      <c r="N54" s="14">
        <v>26950.636582957279</v>
      </c>
      <c r="O54" s="14">
        <f t="shared" si="2"/>
        <v>2.6950636582957281E-5</v>
      </c>
      <c r="P54" s="14">
        <v>581412.39573283528</v>
      </c>
      <c r="Q54" s="14">
        <f t="shared" si="3"/>
        <v>5.8141239573283529E-4</v>
      </c>
    </row>
    <row r="55" spans="1:17" x14ac:dyDescent="0.25">
      <c r="A55" s="12">
        <v>1960</v>
      </c>
      <c r="B55" s="14">
        <v>28239.179942294348</v>
      </c>
      <c r="C55" s="14">
        <f t="shared" si="0"/>
        <v>2.823917994229435E-5</v>
      </c>
      <c r="D55" s="14">
        <v>512891.9152150756</v>
      </c>
      <c r="E55" s="14">
        <f t="shared" si="1"/>
        <v>5.1289191521507562E-4</v>
      </c>
      <c r="F55" s="14">
        <v>941.60827088525116</v>
      </c>
      <c r="G55" s="14">
        <f t="shared" si="4"/>
        <v>9.4160827088525123E-7</v>
      </c>
      <c r="H55" s="14">
        <v>332693.5578905454</v>
      </c>
      <c r="I55" s="14">
        <f t="shared" si="5"/>
        <v>3.326935578905454E-4</v>
      </c>
      <c r="J55" s="14">
        <v>4386.496979516035</v>
      </c>
      <c r="K55" s="14">
        <f t="shared" si="6"/>
        <v>4.3864969795160349E-6</v>
      </c>
      <c r="M55" s="11">
        <v>1960</v>
      </c>
      <c r="N55" s="14">
        <v>28052.998982005436</v>
      </c>
      <c r="O55" s="14">
        <f t="shared" si="2"/>
        <v>2.8052998982005437E-5</v>
      </c>
      <c r="P55" s="14">
        <v>599769.34379216458</v>
      </c>
      <c r="Q55" s="14">
        <f t="shared" si="3"/>
        <v>5.9976934379216465E-4</v>
      </c>
    </row>
    <row r="56" spans="1:17" x14ac:dyDescent="0.25">
      <c r="A56" s="12">
        <v>1961</v>
      </c>
      <c r="B56" s="14">
        <v>29248.7247212734</v>
      </c>
      <c r="C56" s="14">
        <f t="shared" si="0"/>
        <v>2.9248724721273402E-5</v>
      </c>
      <c r="D56" s="14">
        <v>521750.08058436454</v>
      </c>
      <c r="E56" s="14">
        <f t="shared" si="1"/>
        <v>5.2175008058436456E-4</v>
      </c>
      <c r="F56" s="14">
        <v>1435.2093081435166</v>
      </c>
      <c r="G56" s="14">
        <f t="shared" si="4"/>
        <v>1.4352093081435167E-6</v>
      </c>
      <c r="H56" s="14">
        <v>359705.12763807038</v>
      </c>
      <c r="I56" s="14">
        <f t="shared" si="5"/>
        <v>3.597051276380704E-4</v>
      </c>
      <c r="J56" s="14">
        <v>5306.544448370767</v>
      </c>
      <c r="K56" s="14">
        <f t="shared" si="6"/>
        <v>5.3065444483707677E-6</v>
      </c>
      <c r="M56" s="11">
        <v>1961</v>
      </c>
      <c r="N56" s="14">
        <v>29162.943969107415</v>
      </c>
      <c r="O56" s="14">
        <f t="shared" si="2"/>
        <v>2.9162943969107416E-5</v>
      </c>
      <c r="P56" s="14">
        <v>618349.6003773202</v>
      </c>
      <c r="Q56" s="14">
        <f t="shared" si="3"/>
        <v>6.1834960037732026E-4</v>
      </c>
    </row>
    <row r="57" spans="1:17" x14ac:dyDescent="0.25">
      <c r="A57" s="12">
        <v>1962</v>
      </c>
      <c r="B57" s="14">
        <v>30254.146637615831</v>
      </c>
      <c r="C57" s="14">
        <f t="shared" si="0"/>
        <v>3.0254146637615833E-5</v>
      </c>
      <c r="D57" s="14">
        <v>530710.89677593589</v>
      </c>
      <c r="E57" s="14">
        <f t="shared" si="1"/>
        <v>5.3071089677593595E-4</v>
      </c>
      <c r="F57" s="14">
        <v>2083.3816778378423</v>
      </c>
      <c r="G57" s="14">
        <f t="shared" si="4"/>
        <v>2.0833816778378424E-6</v>
      </c>
      <c r="H57" s="14">
        <v>328801.43731378642</v>
      </c>
      <c r="I57" s="14">
        <f t="shared" si="5"/>
        <v>3.2880143731378646E-4</v>
      </c>
      <c r="J57" s="14">
        <v>5185.2731707106168</v>
      </c>
      <c r="K57" s="14">
        <f t="shared" si="6"/>
        <v>5.1852731707106175E-6</v>
      </c>
      <c r="M57" s="11">
        <v>1962</v>
      </c>
      <c r="N57" s="14">
        <v>30285.939609588626</v>
      </c>
      <c r="O57" s="14">
        <f t="shared" si="2"/>
        <v>3.0285939609588627E-5</v>
      </c>
      <c r="P57" s="14">
        <v>637231.81941229792</v>
      </c>
      <c r="Q57" s="14">
        <f t="shared" si="3"/>
        <v>6.3723181941229793E-4</v>
      </c>
    </row>
    <row r="58" spans="1:17" x14ac:dyDescent="0.25">
      <c r="A58" s="12">
        <v>1963</v>
      </c>
      <c r="B58" s="14">
        <v>31282.434585483221</v>
      </c>
      <c r="C58" s="14">
        <f t="shared" si="0"/>
        <v>3.1282434585483224E-5</v>
      </c>
      <c r="D58" s="14">
        <v>539249.11011413427</v>
      </c>
      <c r="E58" s="14">
        <f t="shared" si="1"/>
        <v>5.3924911011413428E-4</v>
      </c>
      <c r="F58" s="14">
        <v>2912.2849447935696</v>
      </c>
      <c r="G58" s="14">
        <f t="shared" si="4"/>
        <v>2.9122849447935696E-6</v>
      </c>
      <c r="H58" s="14">
        <v>235698.12728737039</v>
      </c>
      <c r="I58" s="14">
        <f t="shared" si="5"/>
        <v>2.356981272873704E-4</v>
      </c>
      <c r="J58" s="14">
        <v>3944.2257474054545</v>
      </c>
      <c r="K58" s="14">
        <f t="shared" si="6"/>
        <v>3.944225747405455E-6</v>
      </c>
      <c r="M58" s="11">
        <v>1963</v>
      </c>
      <c r="N58" s="14">
        <v>31405.309239054215</v>
      </c>
      <c r="O58" s="14">
        <f t="shared" si="2"/>
        <v>3.1405309239054219E-5</v>
      </c>
      <c r="P58" s="14">
        <v>656246.22315980867</v>
      </c>
      <c r="Q58" s="14">
        <f t="shared" si="3"/>
        <v>6.5624622315980875E-4</v>
      </c>
    </row>
    <row r="59" spans="1:17" x14ac:dyDescent="0.25">
      <c r="A59" s="12">
        <v>1964</v>
      </c>
      <c r="B59" s="14">
        <v>32320.837936726137</v>
      </c>
      <c r="C59" s="14">
        <f t="shared" si="0"/>
        <v>3.2320837936726139E-5</v>
      </c>
      <c r="D59" s="14">
        <v>546664.39534952748</v>
      </c>
      <c r="E59" s="14">
        <f t="shared" si="1"/>
        <v>5.4666439534952751E-4</v>
      </c>
      <c r="F59" s="14">
        <v>3940.5962515661522</v>
      </c>
      <c r="G59" s="14">
        <f t="shared" si="4"/>
        <v>3.9405962515661527E-6</v>
      </c>
      <c r="H59" s="14">
        <v>599446.50224422012</v>
      </c>
      <c r="I59" s="14">
        <f t="shared" si="5"/>
        <v>5.9944650224422018E-4</v>
      </c>
      <c r="J59" s="14">
        <v>9998.6285879951447</v>
      </c>
      <c r="K59" s="14">
        <f t="shared" si="6"/>
        <v>9.998628587995145E-6</v>
      </c>
      <c r="M59" s="11">
        <v>1964</v>
      </c>
      <c r="N59" s="14">
        <v>32515.490651269181</v>
      </c>
      <c r="O59" s="14">
        <f t="shared" si="2"/>
        <v>3.2515490651269183E-5</v>
      </c>
      <c r="P59" s="14">
        <v>675261.40267209173</v>
      </c>
      <c r="Q59" s="14">
        <f t="shared" si="3"/>
        <v>6.7526140267209177E-4</v>
      </c>
    </row>
    <row r="60" spans="1:17" x14ac:dyDescent="0.25">
      <c r="A60" s="12">
        <v>1965</v>
      </c>
      <c r="B60" s="14">
        <v>33328.196337657959</v>
      </c>
      <c r="C60" s="14">
        <f t="shared" si="0"/>
        <v>3.3328196337657961E-5</v>
      </c>
      <c r="D60" s="14">
        <v>553784.35686719918</v>
      </c>
      <c r="E60" s="14">
        <f t="shared" si="1"/>
        <v>5.5378435686719919E-4</v>
      </c>
      <c r="F60" s="14">
        <v>5177.6594840203243</v>
      </c>
      <c r="G60" s="14">
        <f t="shared" si="4"/>
        <v>5.177659484020325E-6</v>
      </c>
      <c r="H60" s="14">
        <v>857709.09827294142</v>
      </c>
      <c r="I60" s="14">
        <f t="shared" si="5"/>
        <v>8.5770909827294144E-4</v>
      </c>
      <c r="J60" s="14">
        <v>14883.190655798657</v>
      </c>
      <c r="K60" s="14">
        <f t="shared" si="6"/>
        <v>1.4883190655798657E-5</v>
      </c>
      <c r="M60" s="11">
        <v>1965</v>
      </c>
      <c r="N60" s="14">
        <v>33609.628983212679</v>
      </c>
      <c r="O60" s="14">
        <f t="shared" si="2"/>
        <v>3.3609628983212678E-5</v>
      </c>
      <c r="P60" s="14">
        <v>694147.54002713738</v>
      </c>
      <c r="Q60" s="14">
        <f t="shared" si="3"/>
        <v>6.9414754002713748E-4</v>
      </c>
    </row>
    <row r="61" spans="1:17" x14ac:dyDescent="0.25">
      <c r="A61" s="12">
        <v>1966</v>
      </c>
      <c r="B61" s="14">
        <v>34258.36410119319</v>
      </c>
      <c r="C61" s="14">
        <f t="shared" si="0"/>
        <v>3.4258364101193195E-5</v>
      </c>
      <c r="D61" s="14">
        <v>559923.21305225452</v>
      </c>
      <c r="E61" s="14">
        <f t="shared" si="1"/>
        <v>5.5992321305225459E-4</v>
      </c>
      <c r="F61" s="14">
        <v>6627.6146082340383</v>
      </c>
      <c r="G61" s="14">
        <f t="shared" si="4"/>
        <v>6.6276146082340389E-6</v>
      </c>
      <c r="H61" s="14">
        <v>1031273.748215401</v>
      </c>
      <c r="I61" s="14">
        <f t="shared" si="5"/>
        <v>1.031273748215401E-3</v>
      </c>
      <c r="J61" s="14">
        <v>18559.334642004898</v>
      </c>
      <c r="K61" s="14">
        <f t="shared" si="6"/>
        <v>1.8559334642004899E-5</v>
      </c>
      <c r="M61" s="11">
        <v>1966</v>
      </c>
      <c r="N61" s="14">
        <v>34689.825701519963</v>
      </c>
      <c r="O61" s="14">
        <f t="shared" si="2"/>
        <v>3.4689825701519968E-5</v>
      </c>
      <c r="P61" s="14">
        <v>712873.13358639844</v>
      </c>
      <c r="Q61" s="14">
        <f t="shared" si="3"/>
        <v>7.128731335863985E-4</v>
      </c>
    </row>
    <row r="62" spans="1:17" x14ac:dyDescent="0.25">
      <c r="A62" s="12">
        <v>1967</v>
      </c>
      <c r="B62" s="14">
        <v>34820.418346122533</v>
      </c>
      <c r="C62" s="14">
        <f t="shared" si="0"/>
        <v>3.4820418346122537E-5</v>
      </c>
      <c r="D62" s="14">
        <v>570422.98329041793</v>
      </c>
      <c r="E62" s="14">
        <f t="shared" si="1"/>
        <v>5.7042298329041796E-4</v>
      </c>
      <c r="F62" s="14">
        <v>8294.6420173556726</v>
      </c>
      <c r="G62" s="14">
        <f t="shared" si="4"/>
        <v>8.294642017355673E-6</v>
      </c>
      <c r="H62" s="14">
        <v>1236571.0182618308</v>
      </c>
      <c r="I62" s="14">
        <f t="shared" si="5"/>
        <v>1.236571018261831E-3</v>
      </c>
      <c r="J62" s="14">
        <v>23121.497639702146</v>
      </c>
      <c r="K62" s="14">
        <f t="shared" si="6"/>
        <v>2.3121497639702145E-5</v>
      </c>
      <c r="M62" s="11">
        <v>1967</v>
      </c>
      <c r="N62" s="14">
        <v>35762.97277794587</v>
      </c>
      <c r="O62" s="14">
        <f t="shared" si="2"/>
        <v>3.576297277794587E-5</v>
      </c>
      <c r="P62" s="14">
        <v>731470.57059407828</v>
      </c>
      <c r="Q62" s="14">
        <f t="shared" si="3"/>
        <v>7.3147057059407829E-4</v>
      </c>
    </row>
    <row r="63" spans="1:17" x14ac:dyDescent="0.25">
      <c r="A63" s="12">
        <v>1968</v>
      </c>
      <c r="B63" s="14">
        <v>35199.573501517269</v>
      </c>
      <c r="C63" s="14">
        <f t="shared" si="0"/>
        <v>3.5199573501517272E-5</v>
      </c>
      <c r="D63" s="14">
        <v>586103.66219198424</v>
      </c>
      <c r="E63" s="14">
        <f t="shared" si="1"/>
        <v>5.8610366219198433E-4</v>
      </c>
      <c r="F63" s="14">
        <v>10189.121247856088</v>
      </c>
      <c r="G63" s="14">
        <f t="shared" si="4"/>
        <v>1.0189121247856089E-5</v>
      </c>
      <c r="H63" s="14">
        <v>1311382.0449376612</v>
      </c>
      <c r="I63" s="14">
        <f t="shared" si="5"/>
        <v>1.3113820449376613E-3</v>
      </c>
      <c r="J63" s="14">
        <v>25721.109740456097</v>
      </c>
      <c r="K63" s="14">
        <f t="shared" si="6"/>
        <v>2.5721109740456099E-5</v>
      </c>
      <c r="M63" s="11">
        <v>1968</v>
      </c>
      <c r="N63" s="14">
        <v>36846.909331113544</v>
      </c>
      <c r="O63" s="14">
        <f t="shared" si="2"/>
        <v>3.6846909331113547E-5</v>
      </c>
      <c r="P63" s="14">
        <v>750148.55994490255</v>
      </c>
      <c r="Q63" s="14">
        <f t="shared" si="3"/>
        <v>7.5014855994490258E-4</v>
      </c>
    </row>
    <row r="64" spans="1:17" x14ac:dyDescent="0.25">
      <c r="A64" s="12">
        <v>1969</v>
      </c>
      <c r="B64" s="14">
        <v>35527.027753031056</v>
      </c>
      <c r="C64" s="14">
        <f t="shared" si="0"/>
        <v>3.5527027753031061E-5</v>
      </c>
      <c r="D64" s="14">
        <v>605248.11839451571</v>
      </c>
      <c r="E64" s="14">
        <f t="shared" si="1"/>
        <v>6.0524811839451572E-4</v>
      </c>
      <c r="F64" s="14">
        <v>12336.265782284861</v>
      </c>
      <c r="G64" s="14">
        <f t="shared" si="4"/>
        <v>1.2336265782284863E-5</v>
      </c>
      <c r="H64" s="14">
        <v>1401689.737658947</v>
      </c>
      <c r="I64" s="14">
        <f t="shared" si="5"/>
        <v>1.4016897376589472E-3</v>
      </c>
      <c r="J64" s="14">
        <v>28598.07147204283</v>
      </c>
      <c r="K64" s="14">
        <f t="shared" si="6"/>
        <v>2.8598071472042832E-5</v>
      </c>
      <c r="M64" s="11">
        <v>1969</v>
      </c>
      <c r="N64" s="14">
        <v>37944.34786921191</v>
      </c>
      <c r="O64" s="14">
        <f t="shared" si="2"/>
        <v>3.7944347869211913E-5</v>
      </c>
      <c r="P64" s="14">
        <v>769025.83723256353</v>
      </c>
      <c r="Q64" s="14">
        <f t="shared" si="3"/>
        <v>7.6902583723256355E-4</v>
      </c>
    </row>
    <row r="65" spans="1:17" x14ac:dyDescent="0.25">
      <c r="A65" s="12">
        <v>1970</v>
      </c>
      <c r="B65" s="14">
        <v>35974.034959649995</v>
      </c>
      <c r="C65" s="14">
        <f t="shared" si="0"/>
        <v>3.5974034959649994E-5</v>
      </c>
      <c r="D65" s="14">
        <v>624436.73467847181</v>
      </c>
      <c r="E65" s="14">
        <f t="shared" si="1"/>
        <v>6.2443673467847184E-4</v>
      </c>
      <c r="F65" s="14">
        <v>14767.912830645557</v>
      </c>
      <c r="G65" s="14">
        <f t="shared" si="4"/>
        <v>1.4767912830645558E-5</v>
      </c>
      <c r="H65" s="14">
        <v>1662055.091759016</v>
      </c>
      <c r="I65" s="14">
        <f t="shared" si="5"/>
        <v>1.6620550917590161E-3</v>
      </c>
      <c r="J65" s="14">
        <v>34745.637323623741</v>
      </c>
      <c r="K65" s="14">
        <f t="shared" si="6"/>
        <v>3.4745637323623746E-5</v>
      </c>
      <c r="M65" s="11">
        <v>1970</v>
      </c>
      <c r="N65" s="14">
        <v>39048.892692695677</v>
      </c>
      <c r="O65" s="14">
        <f t="shared" si="2"/>
        <v>3.904889269269568E-5</v>
      </c>
      <c r="P65" s="14">
        <v>788063.89610451518</v>
      </c>
      <c r="Q65" s="14">
        <f t="shared" si="3"/>
        <v>7.8806389610451522E-4</v>
      </c>
    </row>
    <row r="66" spans="1:17" x14ac:dyDescent="0.25">
      <c r="A66" s="12">
        <v>1971</v>
      </c>
      <c r="B66" s="14">
        <v>36535.892245425508</v>
      </c>
      <c r="C66" s="14">
        <f t="shared" si="0"/>
        <v>3.6535892245425508E-5</v>
      </c>
      <c r="D66" s="14">
        <v>641048.92496229301</v>
      </c>
      <c r="E66" s="14">
        <f t="shared" si="1"/>
        <v>6.4104892496229303E-4</v>
      </c>
      <c r="F66" s="14">
        <v>17506.368575953566</v>
      </c>
      <c r="G66" s="14">
        <f t="shared" si="4"/>
        <v>1.7506368575953566E-5</v>
      </c>
      <c r="H66" s="14">
        <v>1667010.74918454</v>
      </c>
      <c r="I66" s="14">
        <f t="shared" si="5"/>
        <v>1.6670107491845402E-3</v>
      </c>
      <c r="J66" s="14">
        <v>36530.132879934987</v>
      </c>
      <c r="K66" s="14">
        <f t="shared" si="6"/>
        <v>3.6530132879934992E-5</v>
      </c>
      <c r="M66" s="11">
        <v>1971</v>
      </c>
      <c r="N66" s="14">
        <v>40156.794246182835</v>
      </c>
      <c r="O66" s="14">
        <f t="shared" si="2"/>
        <v>4.015679424618284E-5</v>
      </c>
      <c r="P66" s="14">
        <v>807195.47068217001</v>
      </c>
      <c r="Q66" s="14">
        <f t="shared" si="3"/>
        <v>8.0719547068217002E-4</v>
      </c>
    </row>
    <row r="67" spans="1:17" x14ac:dyDescent="0.25">
      <c r="A67" s="12">
        <v>1972</v>
      </c>
      <c r="B67" s="14">
        <v>37146.101761831516</v>
      </c>
      <c r="C67" s="14">
        <f t="shared" si="0"/>
        <v>3.7146101761831519E-5</v>
      </c>
      <c r="D67" s="14">
        <v>656283.85609690612</v>
      </c>
      <c r="E67" s="14">
        <f t="shared" si="1"/>
        <v>6.5628385609690617E-4</v>
      </c>
      <c r="F67" s="14">
        <v>20562.607727584229</v>
      </c>
      <c r="G67" s="14">
        <f t="shared" si="4"/>
        <v>2.056260772758423E-5</v>
      </c>
      <c r="H67" s="14">
        <v>1668053.1534238695</v>
      </c>
      <c r="I67" s="14">
        <f t="shared" si="5"/>
        <v>1.6680531534238696E-3</v>
      </c>
      <c r="J67" s="14">
        <v>38280.989276078741</v>
      </c>
      <c r="K67" s="14">
        <f t="shared" si="6"/>
        <v>3.8280989276078746E-5</v>
      </c>
      <c r="M67" s="11">
        <v>1972</v>
      </c>
      <c r="N67" s="14">
        <v>41273.769844855728</v>
      </c>
      <c r="O67" s="14">
        <f t="shared" si="2"/>
        <v>4.1273769844855733E-5</v>
      </c>
      <c r="P67" s="14">
        <v>826435.76374002371</v>
      </c>
      <c r="Q67" s="14">
        <f t="shared" si="3"/>
        <v>8.2643576374002374E-4</v>
      </c>
    </row>
    <row r="68" spans="1:17" x14ac:dyDescent="0.25">
      <c r="A68" s="12">
        <v>1973</v>
      </c>
      <c r="B68" s="14">
        <v>37931.80731620243</v>
      </c>
      <c r="C68" s="14">
        <f t="shared" si="0"/>
        <v>3.7931807316202435E-5</v>
      </c>
      <c r="D68" s="14">
        <v>668136.06299576408</v>
      </c>
      <c r="E68" s="14">
        <f t="shared" si="1"/>
        <v>6.6813606299576415E-4</v>
      </c>
      <c r="F68" s="14">
        <v>23945.049244629525</v>
      </c>
      <c r="G68" s="14">
        <f t="shared" si="4"/>
        <v>2.3945049244629525E-5</v>
      </c>
      <c r="H68" s="14">
        <v>1939939.4620124542</v>
      </c>
      <c r="I68" s="14">
        <f t="shared" si="5"/>
        <v>1.9399394620124542E-3</v>
      </c>
      <c r="J68" s="14">
        <v>45246.757208267292</v>
      </c>
      <c r="K68" s="14">
        <f t="shared" si="6"/>
        <v>4.5246757208267293E-5</v>
      </c>
      <c r="M68" s="11">
        <v>1973</v>
      </c>
      <c r="N68" s="14">
        <v>42409.687232462915</v>
      </c>
      <c r="O68" s="14">
        <f t="shared" si="2"/>
        <v>4.240968723246292E-5</v>
      </c>
      <c r="P68" s="14">
        <v>845930.70860037394</v>
      </c>
      <c r="Q68" s="14">
        <f t="shared" si="3"/>
        <v>8.4593070860037396E-4</v>
      </c>
    </row>
    <row r="69" spans="1:17" x14ac:dyDescent="0.25">
      <c r="A69" s="12">
        <v>1974</v>
      </c>
      <c r="B69" s="14">
        <v>38771.820573561417</v>
      </c>
      <c r="C69" s="14">
        <f t="shared" si="0"/>
        <v>3.8771820573561423E-5</v>
      </c>
      <c r="D69" s="14">
        <v>677393.45281132637</v>
      </c>
      <c r="E69" s="14">
        <f t="shared" si="1"/>
        <v>6.773934528113264E-4</v>
      </c>
      <c r="F69" s="14">
        <v>27670.964731184762</v>
      </c>
      <c r="G69" s="14">
        <f t="shared" si="4"/>
        <v>2.7670964731184764E-5</v>
      </c>
      <c r="H69" s="14">
        <v>2200353.6377428365</v>
      </c>
      <c r="I69" s="14">
        <f t="shared" si="5"/>
        <v>2.2003536377428368E-3</v>
      </c>
      <c r="J69" s="14">
        <v>52541.69518122865</v>
      </c>
      <c r="K69" s="14">
        <f t="shared" si="6"/>
        <v>5.2541695181228654E-5</v>
      </c>
      <c r="M69" s="11">
        <v>1974</v>
      </c>
      <c r="N69" s="14">
        <v>43552.882021441088</v>
      </c>
      <c r="O69" s="14">
        <f t="shared" si="2"/>
        <v>4.3552882021441093E-5</v>
      </c>
      <c r="P69" s="14">
        <v>865616.36881932674</v>
      </c>
      <c r="Q69" s="14">
        <f t="shared" si="3"/>
        <v>8.6561636881932679E-4</v>
      </c>
    </row>
    <row r="70" spans="1:17" x14ac:dyDescent="0.25">
      <c r="A70" s="12">
        <v>1975</v>
      </c>
      <c r="B70" s="14">
        <v>39658.692750751914</v>
      </c>
      <c r="C70" s="14">
        <f t="shared" si="0"/>
        <v>3.9658692750751917E-5</v>
      </c>
      <c r="D70" s="14">
        <v>684097.59038072138</v>
      </c>
      <c r="E70" s="14">
        <f t="shared" si="1"/>
        <v>6.8409759038072146E-4</v>
      </c>
      <c r="F70" s="14">
        <v>31751.336094766764</v>
      </c>
      <c r="G70" s="14">
        <f t="shared" si="4"/>
        <v>3.1751336094766765E-5</v>
      </c>
      <c r="H70" s="14">
        <v>2816392.5130651025</v>
      </c>
      <c r="I70" s="14">
        <f t="shared" si="5"/>
        <v>2.8163925130651026E-3</v>
      </c>
      <c r="J70" s="14">
        <v>67502.475809766358</v>
      </c>
      <c r="K70" s="14">
        <f t="shared" si="6"/>
        <v>6.7502475809766362E-5</v>
      </c>
      <c r="M70" s="11">
        <v>1975</v>
      </c>
      <c r="N70" s="14">
        <v>44699.878348736005</v>
      </c>
      <c r="O70" s="14">
        <f t="shared" si="2"/>
        <v>4.4699878348736009E-5</v>
      </c>
      <c r="P70" s="14">
        <v>885375.46779063554</v>
      </c>
      <c r="Q70" s="14">
        <f t="shared" si="3"/>
        <v>8.8537546779063564E-4</v>
      </c>
    </row>
    <row r="71" spans="1:17" x14ac:dyDescent="0.25">
      <c r="A71" s="12">
        <v>1976</v>
      </c>
      <c r="B71" s="14">
        <v>40461.807981929189</v>
      </c>
      <c r="C71" s="14">
        <f t="shared" si="0"/>
        <v>4.046180798192919E-5</v>
      </c>
      <c r="D71" s="14">
        <v>690516.77649070171</v>
      </c>
      <c r="E71" s="14">
        <f t="shared" si="1"/>
        <v>6.9051677649070177E-4</v>
      </c>
      <c r="F71" s="14">
        <v>36186.062554104021</v>
      </c>
      <c r="G71" s="14">
        <f t="shared" si="4"/>
        <v>3.6186062554104023E-5</v>
      </c>
      <c r="H71" s="14">
        <v>3190157.4313640711</v>
      </c>
      <c r="I71" s="14">
        <f t="shared" si="5"/>
        <v>3.1901574313640711E-3</v>
      </c>
      <c r="J71" s="14">
        <v>78818.333882106919</v>
      </c>
      <c r="K71" s="14">
        <f t="shared" si="6"/>
        <v>7.8818333882106929E-5</v>
      </c>
      <c r="M71" s="11">
        <v>1976</v>
      </c>
      <c r="N71" s="14">
        <v>45864.281343101014</v>
      </c>
      <c r="O71" s="14">
        <f t="shared" si="2"/>
        <v>4.5864281343101018E-5</v>
      </c>
      <c r="P71" s="14">
        <v>905353.1779201274</v>
      </c>
      <c r="Q71" s="14">
        <f t="shared" si="3"/>
        <v>9.0535317792012743E-4</v>
      </c>
    </row>
    <row r="72" spans="1:17" x14ac:dyDescent="0.25">
      <c r="A72" s="12">
        <v>1977</v>
      </c>
      <c r="B72" s="14">
        <v>41214.426928196612</v>
      </c>
      <c r="C72" s="14">
        <f t="shared" si="0"/>
        <v>4.1214426928196614E-5</v>
      </c>
      <c r="D72" s="14">
        <v>697265.4887037623</v>
      </c>
      <c r="E72" s="14">
        <f t="shared" si="1"/>
        <v>6.9726548870376233E-4</v>
      </c>
      <c r="F72" s="14">
        <v>40989.112267461904</v>
      </c>
      <c r="G72" s="14">
        <f t="shared" si="4"/>
        <v>4.0989112267461905E-5</v>
      </c>
      <c r="H72" s="14">
        <v>4202581.5673333257</v>
      </c>
      <c r="I72" s="14">
        <f t="shared" si="5"/>
        <v>4.2025815673333257E-3</v>
      </c>
      <c r="J72" s="14">
        <v>103613.64421365515</v>
      </c>
      <c r="K72" s="14">
        <f t="shared" si="6"/>
        <v>1.0361364421365516E-4</v>
      </c>
      <c r="M72" s="11">
        <v>1977</v>
      </c>
      <c r="N72" s="14">
        <v>47036.572781417286</v>
      </c>
      <c r="O72" s="14">
        <f t="shared" si="2"/>
        <v>4.7036572781417289E-5</v>
      </c>
      <c r="P72" s="14">
        <v>925506.3671763693</v>
      </c>
      <c r="Q72" s="14">
        <f t="shared" si="3"/>
        <v>9.2550636717636937E-4</v>
      </c>
    </row>
    <row r="73" spans="1:17" x14ac:dyDescent="0.25">
      <c r="A73" s="12">
        <v>1978</v>
      </c>
      <c r="B73" s="14">
        <v>41909.78305696707</v>
      </c>
      <c r="C73" s="14">
        <f t="shared" si="0"/>
        <v>4.1909783056967075E-5</v>
      </c>
      <c r="D73" s="14">
        <v>704336.83728487079</v>
      </c>
      <c r="E73" s="14">
        <f t="shared" si="1"/>
        <v>7.0433683728487084E-4</v>
      </c>
      <c r="F73" s="14">
        <v>46174.109409819866</v>
      </c>
      <c r="G73" s="14">
        <f t="shared" si="4"/>
        <v>4.617410940981987E-5</v>
      </c>
      <c r="H73" s="14">
        <v>4894418.582539401</v>
      </c>
      <c r="I73" s="14">
        <f t="shared" si="5"/>
        <v>4.8944185825394015E-3</v>
      </c>
      <c r="J73" s="14">
        <v>123804.93408259613</v>
      </c>
      <c r="K73" s="14">
        <f t="shared" si="6"/>
        <v>1.2380493408259614E-4</v>
      </c>
      <c r="M73" s="11">
        <v>1978</v>
      </c>
      <c r="N73" s="14">
        <v>48210.547263465327</v>
      </c>
      <c r="O73" s="14">
        <f t="shared" si="2"/>
        <v>4.8210547263465333E-5</v>
      </c>
      <c r="P73" s="14">
        <v>945745.55701092037</v>
      </c>
      <c r="Q73" s="14">
        <f t="shared" si="3"/>
        <v>9.4574555701092047E-4</v>
      </c>
    </row>
    <row r="74" spans="1:17" x14ac:dyDescent="0.25">
      <c r="A74" s="12">
        <v>1979</v>
      </c>
      <c r="B74" s="14">
        <v>42651.557170012129</v>
      </c>
      <c r="C74" s="14">
        <f t="shared" si="0"/>
        <v>4.2651557170012129E-5</v>
      </c>
      <c r="D74" s="14">
        <v>710752.66581044847</v>
      </c>
      <c r="E74" s="14">
        <f t="shared" si="1"/>
        <v>7.1075266581044848E-4</v>
      </c>
      <c r="F74" s="14">
        <v>51741.652514305439</v>
      </c>
      <c r="G74" s="14">
        <f t="shared" si="4"/>
        <v>5.1741652514305444E-5</v>
      </c>
      <c r="H74" s="14">
        <v>5583827.7049296368</v>
      </c>
      <c r="I74" s="14">
        <f t="shared" si="5"/>
        <v>5.5838277049296368E-3</v>
      </c>
      <c r="J74" s="14">
        <v>144093.36183049978</v>
      </c>
      <c r="K74" s="14">
        <f t="shared" si="6"/>
        <v>1.4409336183049978E-4</v>
      </c>
      <c r="M74" s="11">
        <v>1979</v>
      </c>
      <c r="N74" s="14">
        <v>49381.384303755185</v>
      </c>
      <c r="O74" s="14">
        <f t="shared" si="2"/>
        <v>4.9381384303755187E-5</v>
      </c>
      <c r="P74" s="14">
        <v>965972.47665956919</v>
      </c>
      <c r="Q74" s="14">
        <f t="shared" si="3"/>
        <v>9.6597247665956929E-4</v>
      </c>
    </row>
    <row r="75" spans="1:17" x14ac:dyDescent="0.25">
      <c r="A75" s="12">
        <v>1980</v>
      </c>
      <c r="B75" s="14">
        <v>43649.432752132736</v>
      </c>
      <c r="C75" s="14">
        <f t="shared" si="0"/>
        <v>4.3649432752132741E-5</v>
      </c>
      <c r="D75" s="14">
        <v>712931.68442421989</v>
      </c>
      <c r="E75" s="14">
        <f t="shared" si="1"/>
        <v>7.1293168442421997E-4</v>
      </c>
      <c r="F75" s="14">
        <v>57684.780170292244</v>
      </c>
      <c r="G75" s="14">
        <f t="shared" si="4"/>
        <v>5.7684780170292246E-5</v>
      </c>
      <c r="H75" s="14">
        <v>6688301.4614496101</v>
      </c>
      <c r="I75" s="14">
        <f t="shared" si="5"/>
        <v>6.6883014614496101E-3</v>
      </c>
      <c r="J75" s="14">
        <v>173540.23488602947</v>
      </c>
      <c r="K75" s="14">
        <f t="shared" si="6"/>
        <v>1.7354023488602949E-4</v>
      </c>
      <c r="M75" s="11">
        <v>1980</v>
      </c>
      <c r="N75" s="14">
        <v>50551.910356181055</v>
      </c>
      <c r="O75" s="14">
        <f t="shared" si="2"/>
        <v>5.0551910356181061E-5</v>
      </c>
      <c r="P75" s="14">
        <v>986204.48395501717</v>
      </c>
      <c r="Q75" s="14">
        <f t="shared" si="3"/>
        <v>9.8620448395501719E-4</v>
      </c>
    </row>
    <row r="76" spans="1:17" x14ac:dyDescent="0.25">
      <c r="A76" s="12">
        <v>1981</v>
      </c>
      <c r="B76" s="14">
        <v>44836.140258687803</v>
      </c>
      <c r="C76" s="14">
        <f t="shared" si="0"/>
        <v>4.4836140258687804E-5</v>
      </c>
      <c r="D76" s="14">
        <v>708519.52809540334</v>
      </c>
      <c r="E76" s="14">
        <f t="shared" si="1"/>
        <v>7.0851952809540336E-4</v>
      </c>
      <c r="F76" s="14">
        <v>64001.28268228651</v>
      </c>
      <c r="G76" s="14">
        <f t="shared" si="4"/>
        <v>6.4001282682286514E-5</v>
      </c>
      <c r="H76" s="14">
        <v>8268801.022976961</v>
      </c>
      <c r="I76" s="14">
        <f t="shared" si="5"/>
        <v>8.2688010229769616E-3</v>
      </c>
      <c r="J76" s="14">
        <v>214792.24797416219</v>
      </c>
      <c r="K76" s="14">
        <f t="shared" si="6"/>
        <v>2.147922479741622E-4</v>
      </c>
      <c r="M76" s="11">
        <v>1981</v>
      </c>
      <c r="N76" s="14">
        <v>51718.916760921587</v>
      </c>
      <c r="O76" s="14">
        <f t="shared" si="2"/>
        <v>5.1718916760921593E-5</v>
      </c>
      <c r="P76" s="14">
        <v>1006383.9685977508</v>
      </c>
      <c r="Q76" s="14">
        <f t="shared" si="3"/>
        <v>1.0063839685977509E-3</v>
      </c>
    </row>
    <row r="77" spans="1:17" x14ac:dyDescent="0.25">
      <c r="A77" s="12">
        <v>1982</v>
      </c>
      <c r="B77" s="14">
        <v>45788.11334445094</v>
      </c>
      <c r="C77" s="14">
        <f t="shared" si="0"/>
        <v>4.5788113344450941E-5</v>
      </c>
      <c r="D77" s="14">
        <v>709818.60911484854</v>
      </c>
      <c r="E77" s="14">
        <f t="shared" si="1"/>
        <v>7.0981860911484859E-4</v>
      </c>
      <c r="F77" s="14">
        <v>70635.937738614099</v>
      </c>
      <c r="G77" s="14">
        <f t="shared" si="4"/>
        <v>7.0635937738614099E-5</v>
      </c>
      <c r="H77" s="14">
        <v>9295045.7506384272</v>
      </c>
      <c r="I77" s="14">
        <f t="shared" si="5"/>
        <v>9.2950457506384282E-3</v>
      </c>
      <c r="J77" s="14">
        <v>247426.93616257934</v>
      </c>
      <c r="K77" s="14">
        <f t="shared" si="6"/>
        <v>2.4742693616257934E-4</v>
      </c>
      <c r="M77" s="11">
        <v>1982</v>
      </c>
      <c r="N77" s="14">
        <v>52894.24405784245</v>
      </c>
      <c r="O77" s="14">
        <f t="shared" si="2"/>
        <v>5.2894244057842457E-5</v>
      </c>
      <c r="P77" s="14">
        <v>1026631.6300239788</v>
      </c>
      <c r="Q77" s="14">
        <f t="shared" si="3"/>
        <v>1.0266316300239788E-3</v>
      </c>
    </row>
    <row r="78" spans="1:17" x14ac:dyDescent="0.25">
      <c r="A78" s="12">
        <v>1983</v>
      </c>
      <c r="B78" s="14">
        <v>46551.082291148465</v>
      </c>
      <c r="C78" s="14">
        <f t="shared" si="0"/>
        <v>4.6551082291148466E-5</v>
      </c>
      <c r="D78" s="14">
        <v>720754.05912942777</v>
      </c>
      <c r="E78" s="14">
        <f t="shared" si="1"/>
        <v>7.207540591294278E-4</v>
      </c>
      <c r="F78" s="14">
        <v>77543.354558385254</v>
      </c>
      <c r="G78" s="14">
        <f t="shared" si="4"/>
        <v>7.7543354558385255E-5</v>
      </c>
      <c r="H78" s="14">
        <v>10470017.862927197</v>
      </c>
      <c r="I78" s="14">
        <f t="shared" si="5"/>
        <v>1.0470017862927197E-2</v>
      </c>
      <c r="J78" s="14">
        <v>283407.02577879134</v>
      </c>
      <c r="K78" s="14">
        <f t="shared" si="6"/>
        <v>2.8340702577879138E-4</v>
      </c>
      <c r="M78" s="11">
        <v>1983</v>
      </c>
      <c r="N78" s="14">
        <v>54078.068984673519</v>
      </c>
      <c r="O78" s="14">
        <f t="shared" si="2"/>
        <v>5.4078068984673523E-5</v>
      </c>
      <c r="P78" s="14">
        <v>1046982.779364916</v>
      </c>
      <c r="Q78" s="14">
        <f t="shared" si="3"/>
        <v>1.046982779364916E-3</v>
      </c>
    </row>
    <row r="79" spans="1:17" x14ac:dyDescent="0.25">
      <c r="A79" s="12">
        <v>1984</v>
      </c>
      <c r="B79" s="14">
        <v>47222.536480781593</v>
      </c>
      <c r="C79" s="14">
        <f t="shared" si="0"/>
        <v>4.7222536480781595E-5</v>
      </c>
      <c r="D79" s="14">
        <v>738034.85487227421</v>
      </c>
      <c r="E79" s="14">
        <f t="shared" si="1"/>
        <v>7.3803485487227425E-4</v>
      </c>
      <c r="F79" s="14">
        <v>84686.130913653556</v>
      </c>
      <c r="G79" s="14">
        <f t="shared" si="4"/>
        <v>8.4686130913653557E-5</v>
      </c>
      <c r="H79" s="14">
        <v>11855097.335706059</v>
      </c>
      <c r="I79" s="14">
        <f t="shared" si="5"/>
        <v>1.185509733570606E-2</v>
      </c>
      <c r="J79" s="14">
        <v>325049.9573230946</v>
      </c>
      <c r="K79" s="14">
        <f t="shared" si="6"/>
        <v>3.250499573230946E-4</v>
      </c>
      <c r="M79" s="11">
        <v>1984</v>
      </c>
      <c r="N79" s="14">
        <v>55273.500869286152</v>
      </c>
      <c r="O79" s="14">
        <f t="shared" si="2"/>
        <v>5.5273500869286155E-5</v>
      </c>
      <c r="P79" s="14">
        <v>1067508.3653937571</v>
      </c>
      <c r="Q79" s="14">
        <f t="shared" si="3"/>
        <v>1.0675083653937571E-3</v>
      </c>
    </row>
    <row r="80" spans="1:17" x14ac:dyDescent="0.25">
      <c r="A80" s="12">
        <v>1985</v>
      </c>
      <c r="B80" s="14">
        <v>47951.527040274734</v>
      </c>
      <c r="C80" s="14">
        <f t="shared" ref="C80:C114" si="7">B80*0.000000001</f>
        <v>4.795152704027474E-5</v>
      </c>
      <c r="D80" s="14">
        <v>756500.37588387798</v>
      </c>
      <c r="E80" s="14">
        <f t="shared" ref="E80:E114" si="8">D80*0.000000001</f>
        <v>7.5650037588387807E-4</v>
      </c>
      <c r="F80" s="14">
        <v>92043.182832189297</v>
      </c>
      <c r="G80" s="14">
        <f t="shared" si="4"/>
        <v>9.2043182832189302E-5</v>
      </c>
      <c r="H80" s="14">
        <v>13104079.792419482</v>
      </c>
      <c r="I80" s="14">
        <f t="shared" si="5"/>
        <v>1.3104079792419484E-2</v>
      </c>
      <c r="J80" s="14">
        <v>365558.4363894795</v>
      </c>
      <c r="K80" s="14">
        <f t="shared" si="6"/>
        <v>3.655584363894795E-4</v>
      </c>
      <c r="M80" s="11">
        <v>1985</v>
      </c>
      <c r="N80" s="14">
        <v>56467.69318029203</v>
      </c>
      <c r="O80" s="14">
        <f t="shared" ref="O80:O114" si="9">N80*0.000000001</f>
        <v>5.6467693180292036E-5</v>
      </c>
      <c r="P80" s="14">
        <v>1088080.6700939892</v>
      </c>
      <c r="Q80" s="14">
        <f t="shared" ref="Q80:Q114" si="10">P80*0.000000001</f>
        <v>1.0880806700939894E-3</v>
      </c>
    </row>
    <row r="81" spans="1:17" x14ac:dyDescent="0.25">
      <c r="A81" s="12">
        <v>1986</v>
      </c>
      <c r="B81" s="14">
        <v>48738.409727905251</v>
      </c>
      <c r="C81" s="14">
        <f t="shared" si="7"/>
        <v>4.8738409727905256E-5</v>
      </c>
      <c r="D81" s="14">
        <v>773703.57137390727</v>
      </c>
      <c r="E81" s="14">
        <f t="shared" si="8"/>
        <v>7.7370357137390732E-4</v>
      </c>
      <c r="F81" s="14">
        <v>99588.729704882819</v>
      </c>
      <c r="G81" s="14">
        <f t="shared" si="4"/>
        <v>9.9588729704882831E-5</v>
      </c>
      <c r="H81" s="14">
        <v>13798518.070985507</v>
      </c>
      <c r="I81" s="14">
        <f t="shared" si="5"/>
        <v>1.3798518070985508E-2</v>
      </c>
      <c r="J81" s="14">
        <v>395285.46712627489</v>
      </c>
      <c r="K81" s="14">
        <f t="shared" si="6"/>
        <v>3.9528546712627494E-4</v>
      </c>
      <c r="M81" s="11">
        <v>1986</v>
      </c>
      <c r="N81" s="14">
        <v>57660.593808153135</v>
      </c>
      <c r="O81" s="14">
        <f t="shared" si="9"/>
        <v>5.7660593808153141E-5</v>
      </c>
      <c r="P81" s="14">
        <v>1108653.1172691246</v>
      </c>
      <c r="Q81" s="14">
        <f t="shared" si="10"/>
        <v>1.1086531172691248E-3</v>
      </c>
    </row>
    <row r="82" spans="1:17" x14ac:dyDescent="0.25">
      <c r="A82" s="12">
        <v>1987</v>
      </c>
      <c r="B82" s="14">
        <v>49635.349285979464</v>
      </c>
      <c r="C82" s="14">
        <f t="shared" si="7"/>
        <v>4.9635349285979468E-5</v>
      </c>
      <c r="D82" s="14">
        <v>788010.85559054965</v>
      </c>
      <c r="E82" s="14">
        <f t="shared" si="8"/>
        <v>7.880108555905497E-4</v>
      </c>
      <c r="F82" s="14">
        <v>107296.97606562126</v>
      </c>
      <c r="G82" s="14">
        <f t="shared" si="4"/>
        <v>1.0729697606562127E-4</v>
      </c>
      <c r="H82" s="14">
        <v>17305758.423060976</v>
      </c>
      <c r="I82" s="14">
        <f t="shared" si="5"/>
        <v>1.7305758423060976E-2</v>
      </c>
      <c r="J82" s="14">
        <v>483051.30410766631</v>
      </c>
      <c r="K82" s="14">
        <f t="shared" si="6"/>
        <v>4.8305130410766632E-4</v>
      </c>
      <c r="M82" s="11">
        <v>1987</v>
      </c>
      <c r="N82" s="14">
        <v>58852.370140417966</v>
      </c>
      <c r="O82" s="14">
        <f t="shared" si="9"/>
        <v>5.8852370140417968E-5</v>
      </c>
      <c r="P82" s="14">
        <v>1129194.2877884707</v>
      </c>
      <c r="Q82" s="14">
        <f t="shared" si="10"/>
        <v>1.1291942877884708E-3</v>
      </c>
    </row>
    <row r="83" spans="1:17" x14ac:dyDescent="0.25">
      <c r="A83" s="12">
        <v>1988</v>
      </c>
      <c r="B83" s="14">
        <v>50634.028248169008</v>
      </c>
      <c r="C83" s="14">
        <f t="shared" si="7"/>
        <v>5.0634028248169012E-5</v>
      </c>
      <c r="D83" s="14">
        <v>797868.03395800455</v>
      </c>
      <c r="E83" s="14">
        <f t="shared" si="8"/>
        <v>7.9786803395800457E-4</v>
      </c>
      <c r="F83" s="14">
        <v>115150.82771710427</v>
      </c>
      <c r="G83" s="14">
        <f t="shared" si="4"/>
        <v>1.1515082771710428E-4</v>
      </c>
      <c r="H83" s="14">
        <v>18884928.821494892</v>
      </c>
      <c r="I83" s="14">
        <f t="shared" si="5"/>
        <v>1.8884928821494892E-2</v>
      </c>
      <c r="J83" s="14">
        <v>540764.49401337921</v>
      </c>
      <c r="K83" s="14">
        <f t="shared" si="6"/>
        <v>5.4076449401337925E-4</v>
      </c>
      <c r="M83" s="11">
        <v>1988</v>
      </c>
      <c r="N83" s="14">
        <v>60051.098308261564</v>
      </c>
      <c r="O83" s="14">
        <f t="shared" si="9"/>
        <v>6.0051098308261567E-5</v>
      </c>
      <c r="P83" s="14">
        <v>1149809.472469755</v>
      </c>
      <c r="Q83" s="14">
        <f t="shared" si="10"/>
        <v>1.1498094724697551E-3</v>
      </c>
    </row>
    <row r="84" spans="1:17" x14ac:dyDescent="0.25">
      <c r="A84" s="12">
        <v>1989</v>
      </c>
      <c r="B84" s="14">
        <v>51789.35813319256</v>
      </c>
      <c r="C84" s="14">
        <f t="shared" si="7"/>
        <v>5.1789358133192564E-5</v>
      </c>
      <c r="D84" s="14">
        <v>802779.27667162055</v>
      </c>
      <c r="E84" s="14">
        <f t="shared" si="8"/>
        <v>8.0277927667162061E-4</v>
      </c>
      <c r="F84" s="14">
        <v>123151.66920740566</v>
      </c>
      <c r="G84" s="14">
        <f t="shared" si="4"/>
        <v>1.2315166920740566E-4</v>
      </c>
      <c r="H84" s="14">
        <v>19660516.977365546</v>
      </c>
      <c r="I84" s="14">
        <f t="shared" si="5"/>
        <v>1.9660516977365546E-2</v>
      </c>
      <c r="J84" s="14">
        <v>580935.61637406505</v>
      </c>
      <c r="K84" s="14">
        <f t="shared" si="6"/>
        <v>5.8093561637406505E-4</v>
      </c>
      <c r="M84" s="11">
        <v>1989</v>
      </c>
      <c r="N84" s="14">
        <v>61250.240223163506</v>
      </c>
      <c r="O84" s="14">
        <f t="shared" si="9"/>
        <v>6.1250240223163516E-5</v>
      </c>
      <c r="P84" s="14">
        <v>1170444.8015770244</v>
      </c>
      <c r="Q84" s="14">
        <f t="shared" si="10"/>
        <v>1.1704448015770245E-3</v>
      </c>
    </row>
    <row r="85" spans="1:17" x14ac:dyDescent="0.25">
      <c r="A85" s="12">
        <v>1990</v>
      </c>
      <c r="B85" s="14">
        <v>53076.146978291021</v>
      </c>
      <c r="C85" s="14">
        <f t="shared" si="7"/>
        <v>5.3076146978291027E-5</v>
      </c>
      <c r="D85" s="14">
        <v>801886.13678036595</v>
      </c>
      <c r="E85" s="14">
        <f t="shared" si="8"/>
        <v>8.0188613678036603E-4</v>
      </c>
      <c r="F85" s="14">
        <v>131299.75463364774</v>
      </c>
      <c r="G85" s="14">
        <f t="shared" si="4"/>
        <v>1.3129975463364776E-4</v>
      </c>
      <c r="H85" s="14">
        <v>19312849.132843565</v>
      </c>
      <c r="I85" s="14">
        <f t="shared" si="5"/>
        <v>1.9312849132843566E-2</v>
      </c>
      <c r="J85" s="14">
        <v>595332.80283662572</v>
      </c>
      <c r="K85" s="14">
        <f t="shared" si="6"/>
        <v>5.953328028366258E-4</v>
      </c>
      <c r="M85" s="11">
        <v>1990</v>
      </c>
      <c r="N85" s="14">
        <v>62455.719945124911</v>
      </c>
      <c r="O85" s="14">
        <f t="shared" si="9"/>
        <v>6.2455719945124917E-5</v>
      </c>
      <c r="P85" s="14">
        <v>1191153.140490212</v>
      </c>
      <c r="Q85" s="14">
        <f t="shared" si="10"/>
        <v>1.191153140490212E-3</v>
      </c>
    </row>
    <row r="86" spans="1:17" x14ac:dyDescent="0.25">
      <c r="A86" s="12">
        <v>1991</v>
      </c>
      <c r="B86" s="14">
        <v>54118.287017694318</v>
      </c>
      <c r="C86" s="14">
        <f t="shared" si="7"/>
        <v>5.4118287017694319E-5</v>
      </c>
      <c r="D86" s="14">
        <v>801791.55888342799</v>
      </c>
      <c r="E86" s="14">
        <f t="shared" si="8"/>
        <v>8.0179155888342808E-4</v>
      </c>
      <c r="F86" s="14">
        <v>139598.77194396581</v>
      </c>
      <c r="G86" s="14">
        <f t="shared" si="4"/>
        <v>1.3959877194396581E-4</v>
      </c>
      <c r="H86" s="14">
        <v>19593633.968254324</v>
      </c>
      <c r="I86" s="14">
        <f t="shared" si="5"/>
        <v>1.9593633968254327E-2</v>
      </c>
      <c r="J86" s="14">
        <v>617865.44617355592</v>
      </c>
      <c r="K86" s="14">
        <f t="shared" si="6"/>
        <v>6.1786544617355599E-4</v>
      </c>
      <c r="M86" s="11">
        <v>1991</v>
      </c>
      <c r="N86" s="14">
        <v>63666.395182077766</v>
      </c>
      <c r="O86" s="14">
        <f t="shared" si="9"/>
        <v>6.3666395182077773E-5</v>
      </c>
      <c r="P86" s="14">
        <v>1211922.6246493706</v>
      </c>
      <c r="Q86" s="14">
        <f t="shared" si="10"/>
        <v>1.2119226246493707E-3</v>
      </c>
    </row>
    <row r="87" spans="1:17" x14ac:dyDescent="0.25">
      <c r="A87" s="12">
        <v>1992</v>
      </c>
      <c r="B87" s="14">
        <v>55076.211060312249</v>
      </c>
      <c r="C87" s="14">
        <f t="shared" si="7"/>
        <v>5.5076211060312252E-5</v>
      </c>
      <c r="D87" s="14">
        <v>804656.73441646795</v>
      </c>
      <c r="E87" s="14">
        <f t="shared" si="8"/>
        <v>8.0465673441646802E-4</v>
      </c>
      <c r="F87" s="14">
        <v>148052.37495177417</v>
      </c>
      <c r="G87" s="14">
        <f t="shared" si="4"/>
        <v>1.4805237495177419E-4</v>
      </c>
      <c r="H87" s="14">
        <v>20117048.472707503</v>
      </c>
      <c r="I87" s="14">
        <f t="shared" si="5"/>
        <v>2.0117048472707504E-2</v>
      </c>
      <c r="J87" s="14">
        <v>645239.75713973481</v>
      </c>
      <c r="K87" s="14">
        <f t="shared" si="6"/>
        <v>6.4523975713973484E-4</v>
      </c>
      <c r="M87" s="11">
        <v>1992</v>
      </c>
      <c r="N87" s="14">
        <v>64894.164863797581</v>
      </c>
      <c r="O87" s="14">
        <f t="shared" si="9"/>
        <v>6.4894164863797587E-5</v>
      </c>
      <c r="P87" s="14">
        <v>1232879.9402595155</v>
      </c>
      <c r="Q87" s="14">
        <f t="shared" si="10"/>
        <v>1.2328799402595155E-3</v>
      </c>
    </row>
    <row r="88" spans="1:17" x14ac:dyDescent="0.25">
      <c r="A88" s="12">
        <v>1993</v>
      </c>
      <c r="B88" s="14">
        <v>56075.298347993717</v>
      </c>
      <c r="C88" s="14">
        <f t="shared" si="7"/>
        <v>5.6075298347993718E-5</v>
      </c>
      <c r="D88" s="14">
        <v>809385.12798946491</v>
      </c>
      <c r="E88" s="14">
        <f t="shared" si="8"/>
        <v>8.0938512798946498E-4</v>
      </c>
      <c r="F88" s="14">
        <v>156668.98763116082</v>
      </c>
      <c r="G88" s="14">
        <f t="shared" si="4"/>
        <v>1.5666898763116083E-4</v>
      </c>
      <c r="H88" s="14">
        <v>14977394.885809595</v>
      </c>
      <c r="I88" s="14">
        <f t="shared" si="5"/>
        <v>1.4977394885809596E-2</v>
      </c>
      <c r="J88" s="14">
        <v>554314.19247323694</v>
      </c>
      <c r="K88" s="14">
        <f t="shared" si="6"/>
        <v>5.5431419247323698E-4</v>
      </c>
      <c r="M88" s="11">
        <v>1993</v>
      </c>
      <c r="N88" s="14">
        <v>66138.042872208287</v>
      </c>
      <c r="O88" s="14">
        <f t="shared" si="9"/>
        <v>6.6138042872208289E-5</v>
      </c>
      <c r="P88" s="14">
        <v>1254085.771267046</v>
      </c>
      <c r="Q88" s="14">
        <f t="shared" si="10"/>
        <v>1.2540857712670462E-3</v>
      </c>
    </row>
    <row r="89" spans="1:17" x14ac:dyDescent="0.25">
      <c r="A89" s="12">
        <v>1994</v>
      </c>
      <c r="B89" s="14">
        <v>57271.344448174896</v>
      </c>
      <c r="C89" s="14">
        <f t="shared" si="7"/>
        <v>5.7271344448174899E-5</v>
      </c>
      <c r="D89" s="14">
        <v>813881.48126575316</v>
      </c>
      <c r="E89" s="14">
        <f t="shared" si="8"/>
        <v>8.1388148126575318E-4</v>
      </c>
      <c r="F89" s="14">
        <v>165458.26165821514</v>
      </c>
      <c r="G89" s="14">
        <f t="shared" si="4"/>
        <v>1.6545826165821514E-4</v>
      </c>
      <c r="H89" s="14">
        <v>20284911.787368316</v>
      </c>
      <c r="I89" s="14">
        <f t="shared" si="5"/>
        <v>2.0284911787368319E-2</v>
      </c>
      <c r="J89" s="14">
        <v>661229.12213964679</v>
      </c>
      <c r="K89" s="14">
        <f t="shared" si="6"/>
        <v>6.6122912213964686E-4</v>
      </c>
      <c r="M89" s="11">
        <v>1994</v>
      </c>
      <c r="N89" s="14">
        <v>67390.085734390319</v>
      </c>
      <c r="O89" s="14">
        <f t="shared" si="9"/>
        <v>6.7390085734390321E-5</v>
      </c>
      <c r="P89" s="14">
        <v>1275457.888871267</v>
      </c>
      <c r="Q89" s="14">
        <f t="shared" si="10"/>
        <v>1.275457888871267E-3</v>
      </c>
    </row>
    <row r="90" spans="1:17" x14ac:dyDescent="0.25">
      <c r="A90" s="12">
        <v>1995</v>
      </c>
      <c r="B90" s="14">
        <v>58404.626544570958</v>
      </c>
      <c r="C90" s="14">
        <f t="shared" si="7"/>
        <v>5.8404626544570964E-5</v>
      </c>
      <c r="D90" s="14">
        <v>817140.96823506686</v>
      </c>
      <c r="E90" s="14">
        <f t="shared" si="8"/>
        <v>8.1714096823506694E-4</v>
      </c>
      <c r="F90" s="14">
        <v>174416.56416938131</v>
      </c>
      <c r="G90" s="14">
        <f t="shared" si="4"/>
        <v>1.7441656416938132E-4</v>
      </c>
      <c r="H90" s="14">
        <v>19786564.18389282</v>
      </c>
      <c r="I90" s="14">
        <f t="shared" si="5"/>
        <v>1.9786564183892821E-2</v>
      </c>
      <c r="J90" s="14">
        <v>673673.24242405628</v>
      </c>
      <c r="K90" s="14">
        <f t="shared" si="6"/>
        <v>6.7367324242405637E-4</v>
      </c>
      <c r="M90" s="11">
        <v>1995</v>
      </c>
      <c r="N90" s="14">
        <v>68649.215650988233</v>
      </c>
      <c r="O90" s="14">
        <f t="shared" si="9"/>
        <v>6.8649215650988236E-5</v>
      </c>
      <c r="P90" s="14">
        <v>1296960.3830616516</v>
      </c>
      <c r="Q90" s="14">
        <f t="shared" si="10"/>
        <v>1.2969603830616516E-3</v>
      </c>
    </row>
    <row r="91" spans="1:17" x14ac:dyDescent="0.25">
      <c r="A91" s="12">
        <v>1996</v>
      </c>
      <c r="B91" s="14">
        <v>59512.521793862521</v>
      </c>
      <c r="C91" s="14">
        <f t="shared" si="7"/>
        <v>5.9512521793862521E-5</v>
      </c>
      <c r="D91" s="14">
        <v>820548.18073869729</v>
      </c>
      <c r="E91" s="14">
        <f t="shared" si="8"/>
        <v>8.2054818073869738E-4</v>
      </c>
      <c r="F91" s="14">
        <v>183535.42106991509</v>
      </c>
      <c r="G91" s="14">
        <f t="shared" si="4"/>
        <v>1.835354210699151E-4</v>
      </c>
      <c r="H91" s="14">
        <v>18317923.705012232</v>
      </c>
      <c r="I91" s="14">
        <f t="shared" si="5"/>
        <v>1.8317923705012232E-2</v>
      </c>
      <c r="J91" s="14">
        <v>659045.38307762996</v>
      </c>
      <c r="K91" s="14">
        <f t="shared" si="6"/>
        <v>6.5904538307762998E-4</v>
      </c>
      <c r="M91" s="11">
        <v>1996</v>
      </c>
      <c r="N91" s="14">
        <v>69910.604166569014</v>
      </c>
      <c r="O91" s="14">
        <f t="shared" si="9"/>
        <v>6.9910604166569014E-5</v>
      </c>
      <c r="P91" s="14">
        <v>1318536.450651993</v>
      </c>
      <c r="Q91" s="14">
        <f t="shared" si="10"/>
        <v>1.3185364506519931E-3</v>
      </c>
    </row>
    <row r="92" spans="1:17" x14ac:dyDescent="0.25">
      <c r="A92" s="12">
        <v>1997</v>
      </c>
      <c r="B92" s="14">
        <v>60849.400244606106</v>
      </c>
      <c r="C92" s="14">
        <f t="shared" si="7"/>
        <v>6.0849400244606107E-5</v>
      </c>
      <c r="D92" s="14">
        <v>822339.28776967525</v>
      </c>
      <c r="E92" s="14">
        <f t="shared" si="8"/>
        <v>8.2233928776967533E-4</v>
      </c>
      <c r="F92" s="14">
        <v>192804.72265283798</v>
      </c>
      <c r="G92" s="14">
        <f t="shared" si="4"/>
        <v>1.9280472265283799E-4</v>
      </c>
      <c r="H92" s="14">
        <v>18855095.775366623</v>
      </c>
      <c r="I92" s="14">
        <f t="shared" si="5"/>
        <v>1.8855095775366624E-2</v>
      </c>
      <c r="J92" s="14">
        <v>679356.76268938289</v>
      </c>
      <c r="K92" s="14">
        <f t="shared" si="6"/>
        <v>6.7935676268938289E-4</v>
      </c>
      <c r="M92" s="11">
        <v>1997</v>
      </c>
      <c r="N92" s="14">
        <v>71173.446838570351</v>
      </c>
      <c r="O92" s="14">
        <f t="shared" si="9"/>
        <v>7.1173446838570354E-5</v>
      </c>
      <c r="P92" s="14">
        <v>1340139.1405294803</v>
      </c>
      <c r="Q92" s="14">
        <f t="shared" si="10"/>
        <v>1.3401391405294804E-3</v>
      </c>
    </row>
    <row r="93" spans="1:17" x14ac:dyDescent="0.25">
      <c r="A93" s="12">
        <v>1998</v>
      </c>
      <c r="B93" s="14">
        <v>62329.636759532594</v>
      </c>
      <c r="C93" s="14">
        <f t="shared" si="7"/>
        <v>6.2329636759532599E-5</v>
      </c>
      <c r="D93" s="14">
        <v>820681.13818763557</v>
      </c>
      <c r="E93" s="14">
        <f t="shared" si="8"/>
        <v>8.2068113818763568E-4</v>
      </c>
      <c r="F93" s="14">
        <v>202214.20970379462</v>
      </c>
      <c r="G93" s="14">
        <f t="shared" si="4"/>
        <v>2.0221420970379462E-4</v>
      </c>
      <c r="H93" s="14">
        <v>19526724.285889734</v>
      </c>
      <c r="I93" s="14">
        <f t="shared" si="5"/>
        <v>1.9526724285889734E-2</v>
      </c>
      <c r="J93" s="14">
        <v>705909.71284773806</v>
      </c>
      <c r="K93" s="14">
        <f t="shared" si="6"/>
        <v>7.0590971284773809E-4</v>
      </c>
      <c r="M93" s="11">
        <v>1998</v>
      </c>
      <c r="N93" s="14">
        <v>72443.813504379767</v>
      </c>
      <c r="O93" s="14">
        <f t="shared" si="9"/>
        <v>7.244381350437977E-5</v>
      </c>
      <c r="P93" s="14">
        <v>1361828.8662674208</v>
      </c>
      <c r="Q93" s="14">
        <f t="shared" si="10"/>
        <v>1.3618288662674209E-3</v>
      </c>
    </row>
    <row r="94" spans="1:17" x14ac:dyDescent="0.25">
      <c r="A94" s="12">
        <v>1999</v>
      </c>
      <c r="B94" s="14">
        <v>63762.473969987877</v>
      </c>
      <c r="C94" s="14">
        <f t="shared" si="7"/>
        <v>6.3762473969987882E-5</v>
      </c>
      <c r="D94" s="14">
        <v>817345.77172949328</v>
      </c>
      <c r="E94" s="14">
        <f t="shared" si="8"/>
        <v>8.1734577172949338E-4</v>
      </c>
      <c r="F94" s="14">
        <v>211765.22401985951</v>
      </c>
      <c r="G94" s="14">
        <f t="shared" si="4"/>
        <v>2.1176522401985954E-4</v>
      </c>
      <c r="H94" s="14">
        <v>20906807.048973739</v>
      </c>
      <c r="I94" s="14">
        <f t="shared" si="5"/>
        <v>2.0906807048973741E-2</v>
      </c>
      <c r="J94" s="14">
        <v>749922.82684202772</v>
      </c>
      <c r="K94" s="14">
        <f t="shared" si="6"/>
        <v>7.4992282684202777E-4</v>
      </c>
      <c r="M94" s="11">
        <v>1999</v>
      </c>
      <c r="N94" s="14">
        <v>73717.93095010682</v>
      </c>
      <c r="O94" s="14">
        <f t="shared" si="9"/>
        <v>7.3717930950106824E-5</v>
      </c>
      <c r="P94" s="14">
        <v>1383604.1885542027</v>
      </c>
      <c r="Q94" s="14">
        <f t="shared" si="10"/>
        <v>1.3836041885542027E-3</v>
      </c>
    </row>
    <row r="95" spans="1:17" x14ac:dyDescent="0.25">
      <c r="A95" s="12">
        <v>2000</v>
      </c>
      <c r="B95" s="14">
        <v>65082.37524483473</v>
      </c>
      <c r="C95" s="14">
        <f t="shared" si="7"/>
        <v>6.5082375244834728E-5</v>
      </c>
      <c r="D95" s="14">
        <v>813588.4550649774</v>
      </c>
      <c r="E95" s="14">
        <f t="shared" si="8"/>
        <v>8.1358845506497742E-4</v>
      </c>
      <c r="F95" s="14">
        <v>221461.43690091046</v>
      </c>
      <c r="G95" s="14">
        <f t="shared" si="4"/>
        <v>2.2146143690091047E-4</v>
      </c>
      <c r="H95" s="14">
        <v>21924916.40320868</v>
      </c>
      <c r="I95" s="14">
        <f t="shared" si="5"/>
        <v>2.1924916403208681E-2</v>
      </c>
      <c r="J95" s="14">
        <v>791048.74314075778</v>
      </c>
      <c r="K95" s="14">
        <f t="shared" si="6"/>
        <v>7.9104874314075784E-4</v>
      </c>
      <c r="M95" s="11">
        <v>2000</v>
      </c>
      <c r="N95" s="14">
        <v>74987.590727139061</v>
      </c>
      <c r="O95" s="14">
        <f t="shared" si="9"/>
        <v>7.4987590727139072E-5</v>
      </c>
      <c r="P95" s="14">
        <v>1405363.052901201</v>
      </c>
      <c r="Q95" s="14">
        <f t="shared" si="10"/>
        <v>1.405363052901201E-3</v>
      </c>
    </row>
    <row r="96" spans="1:17" x14ac:dyDescent="0.25">
      <c r="A96" s="12">
        <v>2001</v>
      </c>
      <c r="B96" s="14">
        <v>66113.556939985996</v>
      </c>
      <c r="C96" s="14">
        <f t="shared" si="7"/>
        <v>6.6113556939986E-5</v>
      </c>
      <c r="D96" s="14">
        <v>812355.27829592221</v>
      </c>
      <c r="E96" s="14">
        <f t="shared" si="8"/>
        <v>8.1235527829592229E-4</v>
      </c>
      <c r="F96" s="14">
        <v>231293.80029870066</v>
      </c>
      <c r="G96" s="14">
        <f t="shared" si="4"/>
        <v>2.3129380029870066E-4</v>
      </c>
      <c r="H96" s="14">
        <v>22893564.12435976</v>
      </c>
      <c r="I96" s="14">
        <f t="shared" si="5"/>
        <v>2.289356412435976E-2</v>
      </c>
      <c r="J96" s="14">
        <v>833067.21236681403</v>
      </c>
      <c r="K96" s="14">
        <f t="shared" si="6"/>
        <v>8.3306721236681407E-4</v>
      </c>
      <c r="M96" s="11">
        <v>2001</v>
      </c>
      <c r="N96" s="14">
        <v>76254.141863482539</v>
      </c>
      <c r="O96" s="14">
        <f t="shared" si="9"/>
        <v>7.6254141863482542E-5</v>
      </c>
      <c r="P96" s="14">
        <v>1427067.1328297986</v>
      </c>
      <c r="Q96" s="14">
        <f t="shared" si="10"/>
        <v>1.4270671328297988E-3</v>
      </c>
    </row>
    <row r="97" spans="1:17" x14ac:dyDescent="0.25">
      <c r="A97" s="12">
        <v>2002</v>
      </c>
      <c r="B97" s="14">
        <v>67089.964572449273</v>
      </c>
      <c r="C97" s="14">
        <f t="shared" si="7"/>
        <v>6.7089964572449278E-5</v>
      </c>
      <c r="D97" s="14">
        <v>813982.44876267447</v>
      </c>
      <c r="E97" s="14">
        <f t="shared" si="8"/>
        <v>8.1398244876267447E-4</v>
      </c>
      <c r="F97" s="14">
        <v>241251.11622506464</v>
      </c>
      <c r="G97" s="14">
        <f t="shared" si="4"/>
        <v>2.4125111622506467E-4</v>
      </c>
      <c r="H97" s="14">
        <v>22752815.983843409</v>
      </c>
      <c r="I97" s="14">
        <f t="shared" si="5"/>
        <v>2.2752815983843409E-2</v>
      </c>
      <c r="J97" s="14">
        <v>853366.5416199466</v>
      </c>
      <c r="K97" s="14">
        <f t="shared" si="6"/>
        <v>8.5336654161994663E-4</v>
      </c>
      <c r="M97" s="11">
        <v>2002</v>
      </c>
      <c r="N97" s="14">
        <v>77526.105580069401</v>
      </c>
      <c r="O97" s="14">
        <f t="shared" si="9"/>
        <v>7.7526105580069402E-5</v>
      </c>
      <c r="P97" s="14">
        <v>1448800.1415449406</v>
      </c>
      <c r="Q97" s="14">
        <f t="shared" si="10"/>
        <v>1.4488001415449408E-3</v>
      </c>
    </row>
    <row r="98" spans="1:17" x14ac:dyDescent="0.25">
      <c r="A98" s="12">
        <v>2003</v>
      </c>
      <c r="B98" s="14">
        <v>68172.453028274336</v>
      </c>
      <c r="C98" s="14">
        <f t="shared" si="7"/>
        <v>6.8172453028274342E-5</v>
      </c>
      <c r="D98" s="14">
        <v>815025.82045137638</v>
      </c>
      <c r="E98" s="14">
        <f t="shared" si="8"/>
        <v>8.1502582045137647E-4</v>
      </c>
      <c r="F98" s="14">
        <v>251337.70313489003</v>
      </c>
      <c r="G98" s="14">
        <f t="shared" si="4"/>
        <v>2.5133770313489007E-4</v>
      </c>
      <c r="H98" s="14">
        <v>23436660.506009512</v>
      </c>
      <c r="I98" s="14">
        <f t="shared" si="5"/>
        <v>2.3436660506009514E-2</v>
      </c>
      <c r="J98" s="14">
        <v>887903.28530692705</v>
      </c>
      <c r="K98" s="14">
        <f t="shared" si="6"/>
        <v>8.8790328530692706E-4</v>
      </c>
      <c r="M98" s="11">
        <v>2003</v>
      </c>
      <c r="N98" s="14">
        <v>78811.342250054469</v>
      </c>
      <c r="O98" s="14">
        <f t="shared" si="9"/>
        <v>7.881134225005447E-5</v>
      </c>
      <c r="P98" s="14">
        <v>1470665.349730998</v>
      </c>
      <c r="Q98" s="14">
        <f t="shared" si="10"/>
        <v>1.4706653497309982E-3</v>
      </c>
    </row>
    <row r="99" spans="1:17" x14ac:dyDescent="0.25">
      <c r="A99" s="12">
        <v>2004</v>
      </c>
      <c r="B99" s="14">
        <v>69075.226532672765</v>
      </c>
      <c r="C99" s="14">
        <f t="shared" si="7"/>
        <v>6.9075226532672773E-5</v>
      </c>
      <c r="D99" s="14">
        <v>817182.89226798562</v>
      </c>
      <c r="E99" s="14">
        <f t="shared" si="8"/>
        <v>8.1718289226798569E-4</v>
      </c>
      <c r="F99" s="14">
        <v>261573.11705538086</v>
      </c>
      <c r="G99" s="14">
        <f t="shared" si="4"/>
        <v>2.6157311705538088E-4</v>
      </c>
      <c r="H99" s="14">
        <v>24132084.449189879</v>
      </c>
      <c r="I99" s="14">
        <f t="shared" si="5"/>
        <v>2.4132084449189881E-2</v>
      </c>
      <c r="J99" s="14">
        <v>924555.57850677636</v>
      </c>
      <c r="K99" s="14">
        <f t="shared" si="6"/>
        <v>9.2455557850677642E-4</v>
      </c>
      <c r="M99" s="11">
        <v>2004</v>
      </c>
      <c r="N99" s="14">
        <v>80115.94197451722</v>
      </c>
      <c r="O99" s="14">
        <f t="shared" si="9"/>
        <v>8.0115941974517229E-5</v>
      </c>
      <c r="P99" s="14">
        <v>1492793.4445224286</v>
      </c>
      <c r="Q99" s="14">
        <f t="shared" si="10"/>
        <v>1.4927934445224287E-3</v>
      </c>
    </row>
    <row r="100" spans="1:17" x14ac:dyDescent="0.25">
      <c r="A100" s="12">
        <v>2005</v>
      </c>
      <c r="B100" s="14">
        <v>69948.937522995446</v>
      </c>
      <c r="C100" s="14">
        <f t="shared" si="7"/>
        <v>6.994893752299545E-5</v>
      </c>
      <c r="D100" s="14">
        <v>821223.52690994018</v>
      </c>
      <c r="E100" s="14">
        <f t="shared" si="8"/>
        <v>8.2122352690994021E-4</v>
      </c>
      <c r="F100" s="14">
        <v>271986.62174259778</v>
      </c>
      <c r="G100" s="14">
        <f t="shared" si="4"/>
        <v>2.7198662174259778E-4</v>
      </c>
      <c r="H100" s="14">
        <v>24303283.17132134</v>
      </c>
      <c r="I100" s="14">
        <f t="shared" si="5"/>
        <v>2.4303283171321341E-2</v>
      </c>
      <c r="J100" s="14">
        <v>951538.68468715961</v>
      </c>
      <c r="K100" s="14">
        <f t="shared" si="6"/>
        <v>9.5153868468715965E-4</v>
      </c>
      <c r="M100" s="11">
        <v>2005</v>
      </c>
      <c r="N100" s="14">
        <v>81428.758026232346</v>
      </c>
      <c r="O100" s="14">
        <f t="shared" si="9"/>
        <v>8.1428758026232353E-5</v>
      </c>
      <c r="P100" s="14">
        <v>1515103.7881520318</v>
      </c>
      <c r="Q100" s="14">
        <f t="shared" si="10"/>
        <v>1.515103788152032E-3</v>
      </c>
    </row>
    <row r="101" spans="1:17" x14ac:dyDescent="0.25">
      <c r="A101" s="12">
        <v>2006</v>
      </c>
      <c r="B101" s="14">
        <v>70839.448999573186</v>
      </c>
      <c r="C101" s="14">
        <f t="shared" si="7"/>
        <v>7.0839448999573189E-5</v>
      </c>
      <c r="D101" s="14">
        <v>825713.66733045923</v>
      </c>
      <c r="E101" s="14">
        <f t="shared" si="8"/>
        <v>8.2571366733045928E-4</v>
      </c>
      <c r="F101" s="14">
        <v>282589.81422833033</v>
      </c>
      <c r="G101" s="14">
        <f t="shared" si="4"/>
        <v>2.8258981422833035E-4</v>
      </c>
      <c r="H101" s="14">
        <v>25415751.798074089</v>
      </c>
      <c r="I101" s="14">
        <f t="shared" si="5"/>
        <v>2.541575179807409E-2</v>
      </c>
      <c r="J101" s="14">
        <v>997212.81409984489</v>
      </c>
      <c r="K101" s="14">
        <f t="shared" si="6"/>
        <v>9.9721281409984497E-4</v>
      </c>
      <c r="M101" s="11">
        <v>2006</v>
      </c>
      <c r="N101" s="14">
        <v>82749.584709638177</v>
      </c>
      <c r="O101" s="14">
        <f t="shared" si="9"/>
        <v>8.2749584709638187E-5</v>
      </c>
      <c r="P101" s="14">
        <v>1537539.2144800187</v>
      </c>
      <c r="Q101" s="14">
        <f t="shared" si="10"/>
        <v>1.5375392144800189E-3</v>
      </c>
    </row>
    <row r="102" spans="1:17" x14ac:dyDescent="0.25">
      <c r="A102" s="12">
        <v>2007</v>
      </c>
      <c r="B102" s="14">
        <v>71682.410462773463</v>
      </c>
      <c r="C102" s="14">
        <f t="shared" si="7"/>
        <v>7.1682410462773466E-5</v>
      </c>
      <c r="D102" s="14">
        <v>830743.53410178411</v>
      </c>
      <c r="E102" s="14">
        <f t="shared" si="8"/>
        <v>8.3074353410178417E-4</v>
      </c>
      <c r="F102" s="14">
        <v>293380.64015366457</v>
      </c>
      <c r="G102" s="14">
        <f t="shared" si="4"/>
        <v>2.933806401536646E-4</v>
      </c>
      <c r="H102" s="14">
        <v>24912138.209240172</v>
      </c>
      <c r="I102" s="14">
        <f t="shared" si="5"/>
        <v>2.4912138209240174E-2</v>
      </c>
      <c r="J102" s="14">
        <v>1012486.151521569</v>
      </c>
      <c r="K102" s="14">
        <f t="shared" si="6"/>
        <v>1.0124861515215691E-3</v>
      </c>
      <c r="M102" s="11">
        <v>2007</v>
      </c>
      <c r="N102" s="14">
        <v>84082.543889478067</v>
      </c>
      <c r="O102" s="14">
        <f t="shared" si="9"/>
        <v>8.4082543889478078E-5</v>
      </c>
      <c r="P102" s="14">
        <v>1560155.4866392373</v>
      </c>
      <c r="Q102" s="14">
        <f t="shared" si="10"/>
        <v>1.5601554866392373E-3</v>
      </c>
    </row>
    <row r="103" spans="1:17" x14ac:dyDescent="0.25">
      <c r="A103" s="12">
        <v>2008</v>
      </c>
      <c r="B103" s="14">
        <v>72555.392906310022</v>
      </c>
      <c r="C103" s="14">
        <f t="shared" si="7"/>
        <v>7.2555392906310025E-5</v>
      </c>
      <c r="D103" s="14">
        <v>836241.36951450235</v>
      </c>
      <c r="E103" s="14">
        <f t="shared" si="8"/>
        <v>8.3624136951450238E-4</v>
      </c>
      <c r="F103" s="14">
        <v>304364.466956508</v>
      </c>
      <c r="G103" s="14">
        <f t="shared" si="4"/>
        <v>3.0436446695650802E-4</v>
      </c>
      <c r="H103" s="14">
        <v>24473688.151223198</v>
      </c>
      <c r="I103" s="14">
        <f t="shared" si="5"/>
        <v>2.4473688151223198E-2</v>
      </c>
      <c r="J103" s="14">
        <v>1024541.7964689102</v>
      </c>
      <c r="K103" s="14">
        <f t="shared" si="6"/>
        <v>1.0245417964689103E-3</v>
      </c>
      <c r="M103" s="11">
        <v>2008</v>
      </c>
      <c r="N103" s="14">
        <v>85418.525505982339</v>
      </c>
      <c r="O103" s="14">
        <f t="shared" si="9"/>
        <v>8.5418525505982345E-5</v>
      </c>
      <c r="P103" s="14">
        <v>1582876.1666059778</v>
      </c>
      <c r="Q103" s="14">
        <f t="shared" si="10"/>
        <v>1.5828761666059779E-3</v>
      </c>
    </row>
    <row r="104" spans="1:17" x14ac:dyDescent="0.25">
      <c r="A104" s="12">
        <v>2009</v>
      </c>
      <c r="B104" s="14">
        <v>73426.042946649977</v>
      </c>
      <c r="C104" s="14">
        <f t="shared" si="7"/>
        <v>7.3426042946649978E-5</v>
      </c>
      <c r="D104" s="14">
        <v>842355.55209266196</v>
      </c>
      <c r="E104" s="14">
        <f t="shared" si="8"/>
        <v>8.4235555209266199E-4</v>
      </c>
      <c r="F104" s="14">
        <v>315538.55608959938</v>
      </c>
      <c r="G104" s="14">
        <f t="shared" si="4"/>
        <v>3.1553855608959942E-4</v>
      </c>
      <c r="H104" s="14">
        <v>23773029.496217113</v>
      </c>
      <c r="I104" s="14">
        <f t="shared" si="5"/>
        <v>2.3773029496217114E-2</v>
      </c>
      <c r="J104" s="14">
        <v>1028056.7486382342</v>
      </c>
      <c r="K104" s="14">
        <f t="shared" si="6"/>
        <v>1.0280567486382344E-3</v>
      </c>
      <c r="M104" s="11">
        <v>2009</v>
      </c>
      <c r="N104" s="14">
        <v>86755.027727951601</v>
      </c>
      <c r="O104" s="14">
        <f t="shared" si="9"/>
        <v>8.6755027727951613E-5</v>
      </c>
      <c r="P104" s="14">
        <v>1605626.7815224507</v>
      </c>
      <c r="Q104" s="14">
        <f t="shared" si="10"/>
        <v>1.6056267815224509E-3</v>
      </c>
    </row>
    <row r="105" spans="1:17" x14ac:dyDescent="0.25">
      <c r="B105" s="14">
        <v>74394.540572116908</v>
      </c>
      <c r="C105" s="14">
        <f t="shared" si="7"/>
        <v>7.4394540572116915E-5</v>
      </c>
      <c r="D105" s="14">
        <v>849132.96523360594</v>
      </c>
      <c r="E105" s="14">
        <f t="shared" si="8"/>
        <v>8.4913296523360599E-4</v>
      </c>
      <c r="F105" s="14">
        <v>326890.73643332883</v>
      </c>
      <c r="G105" s="14">
        <f t="shared" si="4"/>
        <v>3.2689073643332885E-4</v>
      </c>
      <c r="H105" s="14">
        <v>24249782.959787827</v>
      </c>
      <c r="I105" s="14">
        <f t="shared" si="5"/>
        <v>2.424978295978783E-2</v>
      </c>
      <c r="J105" s="14">
        <v>1052902.0166980505</v>
      </c>
      <c r="K105" s="14">
        <f t="shared" si="6"/>
        <v>1.0529020166980506E-3</v>
      </c>
      <c r="N105" s="14">
        <v>88093.991458671502</v>
      </c>
      <c r="O105" s="14">
        <f t="shared" si="9"/>
        <v>8.8093991458671508E-5</v>
      </c>
      <c r="P105" s="14">
        <v>1628422.9106781897</v>
      </c>
      <c r="Q105" s="14">
        <f t="shared" si="10"/>
        <v>1.6284229106781898E-3</v>
      </c>
    </row>
    <row r="106" spans="1:17" x14ac:dyDescent="0.25">
      <c r="B106" s="14">
        <v>75623.692484957865</v>
      </c>
      <c r="C106" s="14">
        <f t="shared" si="7"/>
        <v>7.5623692484957876E-5</v>
      </c>
      <c r="D106" s="14">
        <v>853704.98964332032</v>
      </c>
      <c r="E106" s="14">
        <f t="shared" si="8"/>
        <v>8.5370498964332036E-4</v>
      </c>
      <c r="F106" s="14">
        <v>338414.70796090888</v>
      </c>
      <c r="G106" s="14">
        <f t="shared" si="4"/>
        <v>3.3841470796090891E-4</v>
      </c>
      <c r="H106" s="14">
        <v>25106648.758341264</v>
      </c>
      <c r="I106" s="14">
        <f t="shared" si="5"/>
        <v>2.5106648758341267E-2</v>
      </c>
      <c r="J106" s="14">
        <v>1088367.1518091368</v>
      </c>
      <c r="K106" s="14">
        <f t="shared" si="6"/>
        <v>1.0883671518091369E-3</v>
      </c>
      <c r="N106" s="14">
        <v>89430.484193557641</v>
      </c>
      <c r="O106" s="14">
        <f t="shared" si="9"/>
        <v>8.9430484193557647E-5</v>
      </c>
      <c r="P106" s="14">
        <v>1651208.5480846493</v>
      </c>
      <c r="Q106" s="14">
        <f t="shared" si="10"/>
        <v>1.6512085480846494E-3</v>
      </c>
    </row>
    <row r="107" spans="1:17" x14ac:dyDescent="0.25">
      <c r="B107" s="14">
        <v>77022.787849229237</v>
      </c>
      <c r="C107" s="14">
        <f t="shared" si="7"/>
        <v>7.7022787849229238E-5</v>
      </c>
      <c r="D107" s="14">
        <v>854653.97215175454</v>
      </c>
      <c r="E107" s="14">
        <f t="shared" si="8"/>
        <v>8.5465397215175464E-4</v>
      </c>
      <c r="F107" s="14">
        <v>350102.09317526326</v>
      </c>
      <c r="G107" s="14">
        <f t="shared" si="4"/>
        <v>3.5010209317526327E-4</v>
      </c>
      <c r="H107" s="14">
        <v>25935276.445019286</v>
      </c>
      <c r="I107" s="14">
        <f t="shared" si="5"/>
        <v>2.5935276445019289E-2</v>
      </c>
      <c r="J107" s="14">
        <v>1126818.9035846854</v>
      </c>
      <c r="K107" s="14">
        <f t="shared" si="6"/>
        <v>1.1268189035846855E-3</v>
      </c>
      <c r="N107" s="14">
        <v>90762.027417772784</v>
      </c>
      <c r="O107" s="14">
        <f t="shared" si="9"/>
        <v>9.0762027417772787E-5</v>
      </c>
      <c r="P107" s="14">
        <v>1673960.1477190347</v>
      </c>
      <c r="Q107" s="14">
        <f t="shared" si="10"/>
        <v>1.6739601477190349E-3</v>
      </c>
    </row>
    <row r="108" spans="1:17" x14ac:dyDescent="0.25">
      <c r="B108" s="14">
        <v>78597.132330887587</v>
      </c>
      <c r="C108" s="14">
        <f t="shared" si="7"/>
        <v>7.8597132330887587E-5</v>
      </c>
      <c r="D108" s="14">
        <v>851091.7464663987</v>
      </c>
      <c r="E108" s="14">
        <f t="shared" si="8"/>
        <v>8.5109174646639878E-4</v>
      </c>
      <c r="F108" s="14">
        <v>361941.92479222367</v>
      </c>
      <c r="G108" s="14">
        <f t="shared" si="4"/>
        <v>3.6194192479222371E-4</v>
      </c>
      <c r="H108" s="14">
        <v>25621288.04903885</v>
      </c>
      <c r="I108" s="14">
        <f t="shared" si="5"/>
        <v>2.5621288049038852E-2</v>
      </c>
      <c r="J108" s="14">
        <v>1143593.1104924849</v>
      </c>
      <c r="K108" s="14">
        <f t="shared" si="6"/>
        <v>1.143593110492485E-3</v>
      </c>
      <c r="N108" s="14">
        <v>92076.939697955575</v>
      </c>
      <c r="O108" s="14">
        <f t="shared" si="9"/>
        <v>9.2076939697955575E-5</v>
      </c>
      <c r="P108" s="14">
        <v>1696523.3104932897</v>
      </c>
      <c r="Q108" s="14">
        <f t="shared" si="10"/>
        <v>1.6965233104932898E-3</v>
      </c>
    </row>
    <row r="109" spans="1:17" x14ac:dyDescent="0.25">
      <c r="B109" s="14">
        <v>80184.854106914645</v>
      </c>
      <c r="C109" s="14">
        <f t="shared" si="7"/>
        <v>8.0184854106914646E-5</v>
      </c>
      <c r="D109" s="14">
        <v>844928.17697613686</v>
      </c>
      <c r="E109" s="14">
        <f t="shared" si="8"/>
        <v>8.4492817697613687E-4</v>
      </c>
      <c r="F109" s="14">
        <v>373908.56009571964</v>
      </c>
      <c r="G109" s="14">
        <f t="shared" si="4"/>
        <v>3.7390856009571969E-4</v>
      </c>
      <c r="H109" s="14">
        <v>25838018.562192183</v>
      </c>
      <c r="I109" s="14">
        <f t="shared" si="5"/>
        <v>2.5838018562192186E-2</v>
      </c>
      <c r="J109" s="14">
        <v>1168198.3453738063</v>
      </c>
      <c r="K109" s="14">
        <f t="shared" si="6"/>
        <v>1.1681983453738064E-3</v>
      </c>
      <c r="N109" s="14">
        <v>93384.218089568065</v>
      </c>
      <c r="O109" s="14">
        <f t="shared" si="9"/>
        <v>9.3384218089568065E-5</v>
      </c>
      <c r="P109" s="14">
        <v>1718912.2573933152</v>
      </c>
      <c r="Q109" s="14">
        <f t="shared" si="10"/>
        <v>1.7189122573933154E-3</v>
      </c>
    </row>
    <row r="110" spans="1:17" x14ac:dyDescent="0.25">
      <c r="B110" s="14">
        <v>81853.22182712119</v>
      </c>
      <c r="C110" s="14">
        <f t="shared" si="7"/>
        <v>8.1853221827121197E-5</v>
      </c>
      <c r="D110" s="14">
        <v>836493.90874499234</v>
      </c>
      <c r="E110" s="14">
        <f t="shared" si="8"/>
        <v>8.3649390874499234E-4</v>
      </c>
      <c r="F110" s="14">
        <v>385985.37388959789</v>
      </c>
      <c r="G110" s="14">
        <f t="shared" si="4"/>
        <v>3.8598537388959792E-4</v>
      </c>
      <c r="H110" s="14">
        <v>26444031.550660819</v>
      </c>
      <c r="I110" s="14">
        <f t="shared" si="5"/>
        <v>2.6444031550660819E-2</v>
      </c>
      <c r="J110" s="14">
        <v>1201335.5058922665</v>
      </c>
      <c r="K110" s="14">
        <f t="shared" si="6"/>
        <v>1.2013355058922667E-3</v>
      </c>
      <c r="N110" s="14">
        <v>94697.732106033596</v>
      </c>
      <c r="O110" s="14">
        <f t="shared" si="9"/>
        <v>9.4697732106033597E-5</v>
      </c>
      <c r="P110" s="14">
        <v>1741306.8898588908</v>
      </c>
      <c r="Q110" s="14">
        <f t="shared" si="10"/>
        <v>1.741306889858891E-3</v>
      </c>
    </row>
    <row r="111" spans="1:17" x14ac:dyDescent="0.25">
      <c r="B111" s="14">
        <v>83346.751297502677</v>
      </c>
      <c r="C111" s="14">
        <f t="shared" si="7"/>
        <v>8.3346751297502683E-5</v>
      </c>
      <c r="D111" s="14">
        <v>828467.12579776708</v>
      </c>
      <c r="E111" s="14">
        <f t="shared" si="8"/>
        <v>8.2846712579776711E-4</v>
      </c>
      <c r="F111" s="14">
        <v>398188.30262557371</v>
      </c>
      <c r="G111" s="14">
        <f t="shared" ref="G111:G114" si="11">F111*0.000000001</f>
        <v>3.9818830262557375E-4</v>
      </c>
      <c r="H111" s="14">
        <v>25199122.938915234</v>
      </c>
      <c r="I111" s="14">
        <f t="shared" ref="I111:I114" si="12">H111*0.000000001</f>
        <v>2.5199122938915235E-2</v>
      </c>
      <c r="J111" s="14">
        <v>1197548.0921846111</v>
      </c>
      <c r="K111" s="14">
        <f t="shared" ref="K111:K114" si="13">J111*0.000000001</f>
        <v>1.1975480921846112E-3</v>
      </c>
      <c r="N111" s="14">
        <v>96017.410805528125</v>
      </c>
      <c r="O111" s="14">
        <f t="shared" si="9"/>
        <v>9.601741080552813E-5</v>
      </c>
      <c r="P111" s="14">
        <v>1763777.7622790434</v>
      </c>
      <c r="Q111" s="14">
        <f t="shared" si="10"/>
        <v>1.7637777622790435E-3</v>
      </c>
    </row>
    <row r="112" spans="1:17" x14ac:dyDescent="0.25">
      <c r="B112" s="14">
        <v>85006.42809155969</v>
      </c>
      <c r="C112" s="14">
        <f t="shared" si="7"/>
        <v>8.5006428091559698E-5</v>
      </c>
      <c r="D112" s="14">
        <v>820527.04225641</v>
      </c>
      <c r="E112" s="14">
        <f t="shared" si="8"/>
        <v>8.2052704225641E-4</v>
      </c>
      <c r="F112" s="14">
        <v>410541.07969273144</v>
      </c>
      <c r="G112" s="14">
        <f t="shared" si="11"/>
        <v>4.1054107969273147E-4</v>
      </c>
      <c r="H112" s="14">
        <v>25226205.868757006</v>
      </c>
      <c r="I112" s="14">
        <f t="shared" si="12"/>
        <v>2.5226205868757009E-2</v>
      </c>
      <c r="J112" s="14">
        <v>1213460.2884110224</v>
      </c>
      <c r="K112" s="14">
        <f t="shared" si="13"/>
        <v>1.2134602884110225E-3</v>
      </c>
      <c r="N112" s="14">
        <v>97343.816161560302</v>
      </c>
      <c r="O112" s="14">
        <f t="shared" si="9"/>
        <v>9.7343816161560312E-5</v>
      </c>
      <c r="P112" s="14">
        <v>1786333.2314434217</v>
      </c>
      <c r="Q112" s="14">
        <f t="shared" si="10"/>
        <v>1.7863332314434217E-3</v>
      </c>
    </row>
    <row r="113" spans="2:17" x14ac:dyDescent="0.25">
      <c r="B113" s="14">
        <v>86583.813979231287</v>
      </c>
      <c r="C113" s="14">
        <f t="shared" si="7"/>
        <v>8.6583813979231288E-5</v>
      </c>
      <c r="D113" s="14">
        <v>812987.28407941479</v>
      </c>
      <c r="E113" s="14">
        <f t="shared" si="8"/>
        <v>8.1298728407941487E-4</v>
      </c>
      <c r="F113" s="14">
        <v>423058.77205970732</v>
      </c>
      <c r="G113" s="14">
        <f t="shared" si="11"/>
        <v>4.2305877205970737E-4</v>
      </c>
      <c r="H113" s="14">
        <v>21702721.753403649</v>
      </c>
      <c r="I113" s="14">
        <f t="shared" si="12"/>
        <v>2.170272175340365E-2</v>
      </c>
      <c r="J113" s="14">
        <v>1155031.6261130839</v>
      </c>
      <c r="K113" s="14">
        <f t="shared" si="13"/>
        <v>1.1550316261130841E-3</v>
      </c>
      <c r="N113" s="14">
        <v>98687.67966143231</v>
      </c>
      <c r="O113" s="14">
        <f t="shared" si="9"/>
        <v>9.8687679661432317E-5</v>
      </c>
      <c r="P113" s="14">
        <v>1809196.6822194362</v>
      </c>
      <c r="Q113" s="14">
        <f t="shared" si="10"/>
        <v>1.8091966822194362E-3</v>
      </c>
    </row>
    <row r="114" spans="2:17" x14ac:dyDescent="0.25">
      <c r="B114" s="14">
        <v>88251.418291283248</v>
      </c>
      <c r="C114" s="14">
        <f t="shared" si="7"/>
        <v>8.8251418291283249E-5</v>
      </c>
      <c r="D114" s="14">
        <v>807397.32760399953</v>
      </c>
      <c r="E114" s="14">
        <f t="shared" si="8"/>
        <v>8.0739732760399955E-4</v>
      </c>
      <c r="F114" s="14">
        <v>435766.58331456105</v>
      </c>
      <c r="G114" s="14">
        <f t="shared" si="11"/>
        <v>4.3576658331456107E-4</v>
      </c>
      <c r="H114" s="14">
        <v>21763254.840441514</v>
      </c>
      <c r="I114" s="14">
        <f t="shared" si="12"/>
        <v>2.1763254840441514E-2</v>
      </c>
      <c r="J114" s="14">
        <v>1155453.2265869388</v>
      </c>
      <c r="K114" s="14">
        <f t="shared" si="13"/>
        <v>1.155453226586939E-3</v>
      </c>
      <c r="N114" s="14">
        <v>100050.75930897253</v>
      </c>
      <c r="O114" s="14">
        <f t="shared" si="9"/>
        <v>1.0005075930897253E-4</v>
      </c>
      <c r="P114" s="14">
        <v>1832427.441909604</v>
      </c>
      <c r="Q114" s="14">
        <f t="shared" si="10"/>
        <v>1.8324274419096041E-3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zoomScale="80" zoomScaleNormal="80" workbookViewId="0">
      <selection activeCell="B2" sqref="B2"/>
    </sheetView>
  </sheetViews>
  <sheetFormatPr defaultRowHeight="15" x14ac:dyDescent="0.25"/>
  <cols>
    <col min="1" max="1" width="9.140625" style="12"/>
    <col min="2" max="3" width="40.140625" bestFit="1" customWidth="1"/>
    <col min="4" max="4" width="46" bestFit="1" customWidth="1"/>
  </cols>
  <sheetData>
    <row r="1" spans="1:4" ht="18.75" x14ac:dyDescent="0.3">
      <c r="B1" s="13" t="s">
        <v>76</v>
      </c>
    </row>
    <row r="2" spans="1:4" x14ac:dyDescent="0.25">
      <c r="B2" s="41" t="s">
        <v>56</v>
      </c>
      <c r="C2" s="12"/>
    </row>
    <row r="3" spans="1:4" ht="17.25" x14ac:dyDescent="0.25">
      <c r="A3" s="12" t="s">
        <v>7</v>
      </c>
      <c r="B3" s="12" t="s">
        <v>54</v>
      </c>
      <c r="C3" s="12" t="s">
        <v>54</v>
      </c>
      <c r="D3" s="12" t="s">
        <v>55</v>
      </c>
    </row>
    <row r="4" spans="1:4" x14ac:dyDescent="0.25">
      <c r="A4" s="12">
        <v>1941</v>
      </c>
      <c r="B4" s="14">
        <v>128081977.327988</v>
      </c>
      <c r="C4" s="14">
        <v>0.12808197732798801</v>
      </c>
      <c r="D4" s="14">
        <v>103837.74893340873</v>
      </c>
    </row>
    <row r="5" spans="1:4" x14ac:dyDescent="0.25">
      <c r="A5" s="12">
        <v>1942</v>
      </c>
      <c r="B5" s="14">
        <v>144523970.56636801</v>
      </c>
      <c r="C5" s="14">
        <v>0.14452397056636801</v>
      </c>
      <c r="D5" s="14">
        <v>117167.48978742221</v>
      </c>
    </row>
    <row r="6" spans="1:4" x14ac:dyDescent="0.25">
      <c r="A6" s="12">
        <v>1943</v>
      </c>
      <c r="B6" s="14">
        <v>132262878.00737201</v>
      </c>
      <c r="C6" s="14">
        <v>0.13226287800737202</v>
      </c>
      <c r="D6" s="14">
        <v>107227.26027698892</v>
      </c>
    </row>
    <row r="7" spans="1:4" x14ac:dyDescent="0.25">
      <c r="A7" s="12">
        <v>1944</v>
      </c>
      <c r="B7" s="14">
        <v>134114410.946382</v>
      </c>
      <c r="C7" s="14">
        <v>0.13411441094638202</v>
      </c>
      <c r="D7" s="14">
        <v>108728.32245976992</v>
      </c>
    </row>
    <row r="8" spans="1:4" x14ac:dyDescent="0.25">
      <c r="A8" s="12">
        <v>1945</v>
      </c>
      <c r="B8" s="14">
        <v>130140198.423568</v>
      </c>
      <c r="C8" s="14">
        <v>0.130140198423568</v>
      </c>
      <c r="D8" s="14">
        <v>105506.37593176457</v>
      </c>
    </row>
    <row r="9" spans="1:4" x14ac:dyDescent="0.25">
      <c r="A9" s="12">
        <v>1946</v>
      </c>
      <c r="B9" s="14">
        <v>128273019.357501</v>
      </c>
      <c r="C9" s="14">
        <v>0.12827301935750102</v>
      </c>
      <c r="D9" s="14">
        <v>103992.62922734347</v>
      </c>
    </row>
    <row r="10" spans="1:4" x14ac:dyDescent="0.25">
      <c r="A10" s="12">
        <v>1947</v>
      </c>
      <c r="B10" s="14">
        <v>130985984.245177</v>
      </c>
      <c r="C10" s="14">
        <v>0.13098598424517702</v>
      </c>
      <c r="D10" s="14">
        <v>106192.06565664112</v>
      </c>
    </row>
    <row r="11" spans="1:4" x14ac:dyDescent="0.25">
      <c r="A11" s="12">
        <v>1948</v>
      </c>
      <c r="B11" s="14">
        <v>134752608.44992399</v>
      </c>
      <c r="C11" s="14">
        <v>0.13475260844992401</v>
      </c>
      <c r="D11" s="14">
        <v>109245.71759626927</v>
      </c>
    </row>
    <row r="12" spans="1:4" x14ac:dyDescent="0.25">
      <c r="A12" s="12">
        <v>1949</v>
      </c>
      <c r="B12" s="14">
        <v>150049507.51678401</v>
      </c>
      <c r="C12" s="14">
        <v>0.15004950751678403</v>
      </c>
      <c r="D12" s="14">
        <v>121647.11549705897</v>
      </c>
    </row>
    <row r="13" spans="1:4" x14ac:dyDescent="0.25">
      <c r="A13" s="12">
        <v>1950</v>
      </c>
      <c r="B13" s="14">
        <v>133595981.532277</v>
      </c>
      <c r="C13" s="14">
        <v>0.133595981532277</v>
      </c>
      <c r="D13" s="14">
        <v>108308.02489359731</v>
      </c>
    </row>
    <row r="14" spans="1:4" x14ac:dyDescent="0.25">
      <c r="A14" s="12">
        <v>1951</v>
      </c>
      <c r="B14" s="14">
        <v>170583412.777675</v>
      </c>
      <c r="C14" s="14">
        <v>0.17058341277767503</v>
      </c>
      <c r="D14" s="14">
        <v>138294.22341640931</v>
      </c>
    </row>
    <row r="15" spans="1:4" x14ac:dyDescent="0.25">
      <c r="A15" s="12">
        <v>1952</v>
      </c>
      <c r="B15" s="14">
        <v>139666608.30710801</v>
      </c>
      <c r="C15" s="14">
        <v>0.13966660830710803</v>
      </c>
      <c r="D15" s="14">
        <v>113229.56211580247</v>
      </c>
    </row>
    <row r="16" spans="1:4" x14ac:dyDescent="0.25">
      <c r="A16" s="12">
        <v>1953</v>
      </c>
      <c r="B16" s="14">
        <v>106649743.550923</v>
      </c>
      <c r="C16" s="14">
        <v>0.10664974355092301</v>
      </c>
      <c r="D16" s="14">
        <v>86462.354233449689</v>
      </c>
    </row>
    <row r="17" spans="1:4" x14ac:dyDescent="0.25">
      <c r="A17" s="12">
        <v>1954</v>
      </c>
      <c r="B17" s="14">
        <v>97247671.954770595</v>
      </c>
      <c r="C17" s="14">
        <v>9.7247671954770604E-2</v>
      </c>
      <c r="D17" s="14">
        <v>78839.970739516299</v>
      </c>
    </row>
    <row r="18" spans="1:4" x14ac:dyDescent="0.25">
      <c r="A18" s="12">
        <v>1955</v>
      </c>
      <c r="B18" s="14">
        <v>96133547.627110794</v>
      </c>
      <c r="C18" s="14">
        <v>9.6133547627110794E-2</v>
      </c>
      <c r="D18" s="14">
        <v>77936.735447326108</v>
      </c>
    </row>
    <row r="19" spans="1:4" x14ac:dyDescent="0.25">
      <c r="A19" s="12">
        <v>1956</v>
      </c>
      <c r="B19" s="14">
        <v>100380304.83792099</v>
      </c>
      <c r="C19" s="14">
        <v>0.100380304837921</v>
      </c>
      <c r="D19" s="14">
        <v>81379.637549844585</v>
      </c>
    </row>
    <row r="20" spans="1:4" x14ac:dyDescent="0.25">
      <c r="A20" s="12">
        <v>1957</v>
      </c>
      <c r="B20" s="14">
        <v>111453489.763988</v>
      </c>
      <c r="C20" s="14">
        <v>0.11145348976398801</v>
      </c>
      <c r="D20" s="14">
        <v>90356.814669009022</v>
      </c>
    </row>
    <row r="21" spans="1:4" x14ac:dyDescent="0.25">
      <c r="A21" s="12">
        <v>1958</v>
      </c>
      <c r="B21" s="14">
        <v>122108215.89515901</v>
      </c>
      <c r="C21" s="14">
        <v>0.12210821589515901</v>
      </c>
      <c r="D21" s="14">
        <v>98994.741722005929</v>
      </c>
    </row>
    <row r="22" spans="1:4" x14ac:dyDescent="0.25">
      <c r="A22" s="12">
        <v>1959</v>
      </c>
      <c r="B22" s="14">
        <v>105828285.429472</v>
      </c>
      <c r="C22" s="14">
        <v>0.10582828542947201</v>
      </c>
      <c r="D22" s="14">
        <v>85796.387296070912</v>
      </c>
    </row>
    <row r="23" spans="1:4" x14ac:dyDescent="0.25">
      <c r="A23" s="12">
        <v>1960</v>
      </c>
      <c r="B23" s="14">
        <v>133930043.088681</v>
      </c>
      <c r="C23" s="14">
        <v>0.13393004308868101</v>
      </c>
      <c r="D23" s="14">
        <v>108578.8530049822</v>
      </c>
    </row>
    <row r="24" spans="1:4" x14ac:dyDescent="0.25">
      <c r="A24" s="12">
        <v>1961</v>
      </c>
      <c r="B24" s="14">
        <v>97408678.434528396</v>
      </c>
      <c r="C24" s="14">
        <v>9.7408678434528398E-2</v>
      </c>
      <c r="D24" s="14">
        <v>78970.500816975429</v>
      </c>
    </row>
    <row r="25" spans="1:4" x14ac:dyDescent="0.25">
      <c r="A25" s="12">
        <v>1962</v>
      </c>
      <c r="B25" s="14">
        <v>123864846.620729</v>
      </c>
      <c r="C25" s="14">
        <v>0.12386484662072901</v>
      </c>
      <c r="D25" s="14">
        <v>100418.86542821131</v>
      </c>
    </row>
    <row r="26" spans="1:4" x14ac:dyDescent="0.25">
      <c r="A26" s="12">
        <v>1963</v>
      </c>
      <c r="B26" s="14">
        <v>90694573.875421196</v>
      </c>
      <c r="C26" s="14">
        <v>9.0694573875421208E-2</v>
      </c>
      <c r="D26" s="14">
        <v>73527.287665011681</v>
      </c>
    </row>
    <row r="27" spans="1:4" x14ac:dyDescent="0.25">
      <c r="A27" s="12">
        <v>1964</v>
      </c>
      <c r="B27" s="14">
        <v>84703207.787938893</v>
      </c>
      <c r="C27" s="14">
        <v>8.4703207787938897E-2</v>
      </c>
      <c r="D27" s="14">
        <v>68670.008127805617</v>
      </c>
    </row>
    <row r="28" spans="1:4" x14ac:dyDescent="0.25">
      <c r="A28" s="12">
        <v>1965</v>
      </c>
      <c r="B28" s="14">
        <v>106623591.721148</v>
      </c>
      <c r="C28" s="14">
        <v>0.10662359172114801</v>
      </c>
      <c r="D28" s="14">
        <v>86441.152600003858</v>
      </c>
    </row>
    <row r="29" spans="1:4" x14ac:dyDescent="0.25">
      <c r="A29" s="12">
        <v>1966</v>
      </c>
      <c r="B29" s="14">
        <v>90791666.181150302</v>
      </c>
      <c r="C29" s="14">
        <v>9.079166618115031E-2</v>
      </c>
      <c r="D29" s="14">
        <v>73606.001678302142</v>
      </c>
    </row>
    <row r="30" spans="1:4" x14ac:dyDescent="0.25">
      <c r="A30" s="12">
        <v>1967</v>
      </c>
      <c r="B30" s="14">
        <v>104221906.681192</v>
      </c>
      <c r="C30" s="14">
        <v>0.10422190668119201</v>
      </c>
      <c r="D30" s="14">
        <v>84494.074850279096</v>
      </c>
    </row>
    <row r="31" spans="1:4" x14ac:dyDescent="0.25">
      <c r="A31" s="12">
        <v>1968</v>
      </c>
      <c r="B31" s="14">
        <v>69837585.246911198</v>
      </c>
      <c r="C31" s="14">
        <v>6.9837585246911207E-2</v>
      </c>
      <c r="D31" s="14">
        <v>56618.251796770659</v>
      </c>
    </row>
    <row r="32" spans="1:4" x14ac:dyDescent="0.25">
      <c r="A32" s="12">
        <v>1969</v>
      </c>
      <c r="B32" s="14">
        <v>71169414.921826497</v>
      </c>
      <c r="C32" s="14">
        <v>7.1169414921826504E-2</v>
      </c>
      <c r="D32" s="14">
        <v>57697.983686385218</v>
      </c>
    </row>
    <row r="33" spans="1:4" x14ac:dyDescent="0.25">
      <c r="A33" s="12">
        <v>1970</v>
      </c>
      <c r="B33" s="14">
        <v>56722864.5530838</v>
      </c>
      <c r="C33" s="14">
        <v>5.6722864553083806E-2</v>
      </c>
      <c r="D33" s="14">
        <v>45985.974694659948</v>
      </c>
    </row>
    <row r="34" spans="1:4" x14ac:dyDescent="0.25">
      <c r="A34" s="12">
        <v>1971</v>
      </c>
      <c r="B34" s="14">
        <v>66706673.7328251</v>
      </c>
      <c r="C34" s="14">
        <v>6.67066737328251E-2</v>
      </c>
      <c r="D34" s="14">
        <v>54079.980523054539</v>
      </c>
    </row>
    <row r="35" spans="1:4" x14ac:dyDescent="0.25">
      <c r="A35" s="12">
        <v>1972</v>
      </c>
      <c r="B35" s="14">
        <v>60072647.405133702</v>
      </c>
      <c r="C35" s="14">
        <v>6.0072647405133704E-2</v>
      </c>
      <c r="D35" s="14">
        <v>48701.687849851754</v>
      </c>
    </row>
    <row r="36" spans="1:4" x14ac:dyDescent="0.25">
      <c r="A36" s="12">
        <v>1973</v>
      </c>
      <c r="B36" s="14">
        <v>66611019.768833302</v>
      </c>
      <c r="C36" s="14">
        <v>6.661101976883331E-2</v>
      </c>
      <c r="D36" s="14">
        <v>54002.432592387988</v>
      </c>
    </row>
    <row r="37" spans="1:4" x14ac:dyDescent="0.25">
      <c r="A37" s="12">
        <v>1974</v>
      </c>
      <c r="B37" s="14">
        <v>56145183.085993402</v>
      </c>
      <c r="C37" s="14">
        <v>5.6145183085993408E-2</v>
      </c>
      <c r="D37" s="14">
        <v>45517.640707360486</v>
      </c>
    </row>
    <row r="38" spans="1:4" x14ac:dyDescent="0.25">
      <c r="A38" s="12">
        <v>1975</v>
      </c>
      <c r="B38" s="14">
        <v>50376324.866045803</v>
      </c>
      <c r="C38" s="14">
        <v>5.0376324866045805E-2</v>
      </c>
      <c r="D38" s="14">
        <v>40840.751234133611</v>
      </c>
    </row>
    <row r="39" spans="1:4" x14ac:dyDescent="0.25">
      <c r="A39" s="12">
        <v>1976</v>
      </c>
      <c r="B39" s="14">
        <v>37315377.602446899</v>
      </c>
      <c r="C39" s="14">
        <v>3.7315377602446902E-2</v>
      </c>
      <c r="D39" s="14">
        <v>30252.068961395787</v>
      </c>
    </row>
    <row r="40" spans="1:4" x14ac:dyDescent="0.25">
      <c r="A40" s="12">
        <v>1977</v>
      </c>
      <c r="B40" s="14">
        <v>44905091.512683101</v>
      </c>
      <c r="C40" s="14">
        <v>4.4905091512683105E-2</v>
      </c>
      <c r="D40" s="14">
        <v>36405.150167109605</v>
      </c>
    </row>
    <row r="41" spans="1:4" x14ac:dyDescent="0.25">
      <c r="A41" s="12">
        <v>1978</v>
      </c>
      <c r="B41" s="14">
        <v>25973198.635454498</v>
      </c>
      <c r="C41" s="14">
        <v>2.5973198635454501E-2</v>
      </c>
      <c r="D41" s="14">
        <v>21056.814824145757</v>
      </c>
    </row>
    <row r="42" spans="1:4" x14ac:dyDescent="0.25">
      <c r="A42" s="12">
        <v>1979</v>
      </c>
      <c r="B42" s="14">
        <v>39774333.928024098</v>
      </c>
      <c r="C42" s="14">
        <v>3.9774333928024104E-2</v>
      </c>
      <c r="D42" s="14">
        <v>32245.577298010983</v>
      </c>
    </row>
    <row r="43" spans="1:4" x14ac:dyDescent="0.25">
      <c r="A43" s="12">
        <v>1980</v>
      </c>
      <c r="B43" s="14">
        <v>39464207.429616101</v>
      </c>
      <c r="C43" s="14">
        <v>3.9464207429616101E-2</v>
      </c>
      <c r="D43" s="14">
        <v>31994.153653942598</v>
      </c>
    </row>
    <row r="44" spans="1:4" x14ac:dyDescent="0.25">
      <c r="A44" s="12">
        <v>1981</v>
      </c>
      <c r="B44" s="14">
        <v>50514649.121165603</v>
      </c>
      <c r="C44" s="14">
        <v>5.0514649121165607E-2</v>
      </c>
      <c r="D44" s="14">
        <v>40952.892532809463</v>
      </c>
    </row>
    <row r="45" spans="1:4" x14ac:dyDescent="0.25">
      <c r="A45" s="12">
        <v>1982</v>
      </c>
      <c r="B45" s="14">
        <v>54734959.3898995</v>
      </c>
      <c r="C45" s="14">
        <v>5.4734959389899501E-2</v>
      </c>
      <c r="D45" s="14">
        <v>44374.353750445713</v>
      </c>
    </row>
    <row r="46" spans="1:4" x14ac:dyDescent="0.25">
      <c r="A46" s="12">
        <v>1983</v>
      </c>
      <c r="B46" s="14">
        <v>50886075.207717396</v>
      </c>
      <c r="C46" s="14">
        <v>5.0886075207717402E-2</v>
      </c>
      <c r="D46" s="14">
        <v>41254.012561772783</v>
      </c>
    </row>
    <row r="47" spans="1:4" x14ac:dyDescent="0.25">
      <c r="A47" s="12">
        <v>1984</v>
      </c>
      <c r="B47" s="14">
        <v>50641421.306445502</v>
      </c>
      <c r="C47" s="14">
        <v>5.0641421306445507E-2</v>
      </c>
      <c r="D47" s="14">
        <v>41055.668416048087</v>
      </c>
    </row>
    <row r="48" spans="1:4" x14ac:dyDescent="0.25">
      <c r="A48" s="12">
        <v>1985</v>
      </c>
      <c r="B48" s="14">
        <v>40955912.766477101</v>
      </c>
      <c r="C48" s="14">
        <v>4.0955912766477101E-2</v>
      </c>
      <c r="D48" s="14">
        <v>33203.498852096025</v>
      </c>
    </row>
    <row r="49" spans="1:4" x14ac:dyDescent="0.25">
      <c r="A49" s="12">
        <v>1986</v>
      </c>
      <c r="B49" s="14">
        <v>41883762.557985403</v>
      </c>
      <c r="C49" s="14">
        <v>4.1883762557985406E-2</v>
      </c>
      <c r="D49" s="14">
        <v>33955.718920121959</v>
      </c>
    </row>
    <row r="50" spans="1:4" x14ac:dyDescent="0.25">
      <c r="A50" s="12">
        <v>1987</v>
      </c>
      <c r="B50" s="14">
        <v>50052267.768223599</v>
      </c>
      <c r="C50" s="14">
        <v>5.00522677682236E-2</v>
      </c>
      <c r="D50" s="14">
        <v>40578.033869319806</v>
      </c>
    </row>
    <row r="51" spans="1:4" x14ac:dyDescent="0.25">
      <c r="A51" s="12">
        <v>1988</v>
      </c>
      <c r="B51" s="14">
        <v>48486023.036094703</v>
      </c>
      <c r="C51" s="14">
        <v>4.8486023036094707E-2</v>
      </c>
      <c r="D51" s="14">
        <v>39308.258599949913</v>
      </c>
    </row>
    <row r="52" spans="1:4" x14ac:dyDescent="0.25">
      <c r="A52" s="12">
        <v>1989</v>
      </c>
      <c r="B52" s="14">
        <v>45229185.562800102</v>
      </c>
      <c r="C52" s="14">
        <v>4.5229185562800103E-2</v>
      </c>
      <c r="D52" s="14">
        <v>36667.897489636358</v>
      </c>
    </row>
    <row r="53" spans="1:4" x14ac:dyDescent="0.25">
      <c r="A53" s="12">
        <v>1990</v>
      </c>
      <c r="B53" s="14">
        <v>34265999.654017098</v>
      </c>
      <c r="C53" s="14">
        <v>3.4265999654017103E-2</v>
      </c>
      <c r="D53" s="14">
        <v>27779.898025111095</v>
      </c>
    </row>
    <row r="54" spans="1:4" x14ac:dyDescent="0.25">
      <c r="A54" s="12">
        <v>1991</v>
      </c>
      <c r="B54" s="14">
        <v>37747700.945030302</v>
      </c>
      <c r="C54" s="14">
        <v>3.7747700945030306E-2</v>
      </c>
      <c r="D54" s="14">
        <v>30602.559199302334</v>
      </c>
    </row>
    <row r="55" spans="1:4" x14ac:dyDescent="0.25">
      <c r="A55" s="12">
        <v>1992</v>
      </c>
      <c r="B55" s="14">
        <v>52419083.952061698</v>
      </c>
      <c r="C55" s="14">
        <v>5.2419083952061699E-2</v>
      </c>
      <c r="D55" s="14">
        <v>42496.842977330081</v>
      </c>
    </row>
    <row r="56" spans="1:4" x14ac:dyDescent="0.25">
      <c r="A56" s="12">
        <v>1993</v>
      </c>
      <c r="B56" s="14">
        <v>64521003.982888103</v>
      </c>
      <c r="C56" s="14">
        <v>6.4521003982888112E-2</v>
      </c>
      <c r="D56" s="14">
        <v>52308.029219053933</v>
      </c>
    </row>
    <row r="57" spans="1:4" x14ac:dyDescent="0.25">
      <c r="A57" s="12">
        <v>1994</v>
      </c>
      <c r="B57" s="14">
        <v>43895018.5223592</v>
      </c>
      <c r="C57" s="14">
        <v>4.3895018522359205E-2</v>
      </c>
      <c r="D57" s="14">
        <v>35586.270666950986</v>
      </c>
    </row>
    <row r="58" spans="1:4" x14ac:dyDescent="0.25">
      <c r="A58" s="12">
        <v>1995</v>
      </c>
      <c r="B58" s="14">
        <v>48085387.680674903</v>
      </c>
      <c r="C58" s="14">
        <v>4.8085387680674906E-2</v>
      </c>
      <c r="D58" s="14">
        <v>38983.458231328201</v>
      </c>
    </row>
    <row r="59" spans="1:4" x14ac:dyDescent="0.25">
      <c r="A59" s="12">
        <v>1996</v>
      </c>
      <c r="B59" s="14">
        <v>53112348.958497599</v>
      </c>
      <c r="C59" s="14">
        <v>5.3112348958497604E-2</v>
      </c>
      <c r="D59" s="14">
        <v>43058.882064986159</v>
      </c>
    </row>
    <row r="60" spans="1:4" x14ac:dyDescent="0.25">
      <c r="A60" s="12">
        <v>1997</v>
      </c>
      <c r="B60" s="14">
        <v>41384845.479676001</v>
      </c>
      <c r="C60" s="14">
        <v>4.1384845479676004E-2</v>
      </c>
      <c r="D60" s="14">
        <v>33551.240262024592</v>
      </c>
    </row>
    <row r="61" spans="1:4" x14ac:dyDescent="0.25">
      <c r="A61" s="12">
        <v>1998</v>
      </c>
      <c r="B61" s="14">
        <v>32473425.8493458</v>
      </c>
      <c r="C61" s="14">
        <v>3.2473425849345802E-2</v>
      </c>
      <c r="D61" s="14">
        <v>26326.634790445296</v>
      </c>
    </row>
    <row r="62" spans="1:4" x14ac:dyDescent="0.25">
      <c r="A62" s="12">
        <v>1999</v>
      </c>
      <c r="B62" s="14">
        <v>47919213.825859703</v>
      </c>
      <c r="C62" s="14">
        <v>4.7919213825859709E-2</v>
      </c>
      <c r="D62" s="14">
        <v>38848.738894731679</v>
      </c>
    </row>
    <row r="63" spans="1:4" x14ac:dyDescent="0.25">
      <c r="A63" s="12">
        <v>2000</v>
      </c>
      <c r="B63" s="14">
        <v>20643834.197295599</v>
      </c>
      <c r="C63" s="14">
        <v>2.06438341972956E-2</v>
      </c>
      <c r="D63" s="14">
        <v>16736.228758495941</v>
      </c>
    </row>
    <row r="64" spans="1:4" x14ac:dyDescent="0.25">
      <c r="A64" s="12">
        <v>2001</v>
      </c>
      <c r="B64" s="14">
        <v>31121381.3973567</v>
      </c>
      <c r="C64" s="14">
        <v>3.1121381397356703E-2</v>
      </c>
      <c r="D64" s="14">
        <v>25230.514514343235</v>
      </c>
    </row>
    <row r="65" spans="1:4" x14ac:dyDescent="0.25">
      <c r="A65" s="12">
        <v>2002</v>
      </c>
      <c r="B65" s="14">
        <v>13250444.5963884</v>
      </c>
      <c r="C65" s="14">
        <v>1.3250444596388401E-2</v>
      </c>
      <c r="D65" s="14">
        <v>10742.31026065808</v>
      </c>
    </row>
    <row r="66" spans="1:4" x14ac:dyDescent="0.25">
      <c r="A66" s="12">
        <v>2003</v>
      </c>
      <c r="B66" s="14">
        <v>18499894.639391799</v>
      </c>
      <c r="C66" s="14">
        <v>1.8499894639391799E-2</v>
      </c>
      <c r="D66" s="14">
        <v>14998.108671764803</v>
      </c>
    </row>
    <row r="67" spans="1:4" x14ac:dyDescent="0.25">
      <c r="A67" s="12">
        <v>2004</v>
      </c>
      <c r="B67" s="14">
        <v>24034961.131640401</v>
      </c>
      <c r="C67" s="14">
        <v>2.4034961131640404E-2</v>
      </c>
      <c r="D67" s="14">
        <v>19485.460106698043</v>
      </c>
    </row>
    <row r="68" spans="1:4" x14ac:dyDescent="0.25">
      <c r="A68" s="12">
        <v>2005</v>
      </c>
      <c r="B68" s="14">
        <v>33031027.4025364</v>
      </c>
      <c r="C68" s="14">
        <v>3.3031027402536405E-2</v>
      </c>
      <c r="D68" s="14">
        <v>26778.689726611807</v>
      </c>
    </row>
    <row r="69" spans="1:4" x14ac:dyDescent="0.25">
      <c r="A69" s="12">
        <v>2006</v>
      </c>
      <c r="B69" s="14">
        <v>33746114.049552798</v>
      </c>
      <c r="C69" s="14">
        <v>3.37461140495528E-2</v>
      </c>
      <c r="D69" s="14">
        <v>27358.419906201223</v>
      </c>
    </row>
    <row r="70" spans="1:4" x14ac:dyDescent="0.25">
      <c r="A70" s="12">
        <v>2007</v>
      </c>
      <c r="B70" s="14">
        <v>58148673.934491798</v>
      </c>
      <c r="C70" s="14">
        <v>5.8148673934491801E-2</v>
      </c>
      <c r="D70" s="14">
        <v>47141.897172296391</v>
      </c>
    </row>
    <row r="71" spans="1:4" x14ac:dyDescent="0.25">
      <c r="A71" s="12">
        <v>2008</v>
      </c>
      <c r="B71" s="14">
        <v>40806491.5438428</v>
      </c>
      <c r="C71" s="14">
        <v>4.0806491543842804E-2</v>
      </c>
      <c r="D71" s="14">
        <v>33082.361095442786</v>
      </c>
    </row>
    <row r="72" spans="1:4" x14ac:dyDescent="0.25">
      <c r="A72" s="12">
        <v>2009</v>
      </c>
      <c r="B72" s="14">
        <v>38295129.550002098</v>
      </c>
      <c r="C72" s="14">
        <v>3.8295129550002104E-2</v>
      </c>
      <c r="D72" s="14">
        <v>31046.366792125984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zoomScale="80" zoomScaleNormal="80" workbookViewId="0">
      <selection activeCell="B2" sqref="B2"/>
    </sheetView>
  </sheetViews>
  <sheetFormatPr defaultRowHeight="15" x14ac:dyDescent="0.25"/>
  <cols>
    <col min="1" max="1" width="9.140625" style="12"/>
    <col min="2" max="2" width="22.28515625" bestFit="1" customWidth="1"/>
    <col min="3" max="3" width="27.85546875" bestFit="1" customWidth="1"/>
  </cols>
  <sheetData>
    <row r="1" spans="1:3" ht="18.75" x14ac:dyDescent="0.3">
      <c r="B1" s="13" t="s">
        <v>77</v>
      </c>
    </row>
    <row r="2" spans="1:3" x14ac:dyDescent="0.25">
      <c r="B2" s="11" t="s">
        <v>22</v>
      </c>
    </row>
    <row r="3" spans="1:3" x14ac:dyDescent="0.25">
      <c r="A3" s="12" t="s">
        <v>7</v>
      </c>
      <c r="B3" s="12" t="s">
        <v>57</v>
      </c>
      <c r="C3" s="12" t="s">
        <v>58</v>
      </c>
    </row>
    <row r="4" spans="1:3" x14ac:dyDescent="0.25">
      <c r="A4" s="12">
        <v>1941</v>
      </c>
      <c r="B4" s="8">
        <v>1.65034008078163</v>
      </c>
      <c r="C4" s="8">
        <v>1.65034008078163</v>
      </c>
    </row>
    <row r="5" spans="1:3" x14ac:dyDescent="0.25">
      <c r="A5" s="12">
        <v>1942</v>
      </c>
      <c r="B5" s="8">
        <v>-0.94044571250004005</v>
      </c>
      <c r="C5" s="8">
        <v>0.94044571250004005</v>
      </c>
    </row>
    <row r="6" spans="1:3" x14ac:dyDescent="0.25">
      <c r="A6" s="12">
        <v>1943</v>
      </c>
      <c r="B6" s="8">
        <v>26.9222259050877</v>
      </c>
      <c r="C6" s="8">
        <v>26.9222259050877</v>
      </c>
    </row>
    <row r="7" spans="1:3" x14ac:dyDescent="0.25">
      <c r="A7" s="12">
        <v>1944</v>
      </c>
      <c r="B7" s="8">
        <v>4.7947190226073699</v>
      </c>
      <c r="C7" s="8">
        <v>4.7947190226073699</v>
      </c>
    </row>
    <row r="8" spans="1:3" x14ac:dyDescent="0.25">
      <c r="A8" s="12">
        <v>1945</v>
      </c>
      <c r="B8" s="8">
        <v>10.400422348740999</v>
      </c>
      <c r="C8" s="8">
        <v>10.400422348740999</v>
      </c>
    </row>
    <row r="9" spans="1:3" x14ac:dyDescent="0.25">
      <c r="A9" s="12">
        <v>1946</v>
      </c>
      <c r="B9" s="8">
        <v>2.5634177598405499</v>
      </c>
      <c r="C9" s="8">
        <v>2.5634177598405499</v>
      </c>
    </row>
    <row r="10" spans="1:3" x14ac:dyDescent="0.25">
      <c r="A10" s="12">
        <v>1947</v>
      </c>
      <c r="B10" s="8">
        <v>7.4388516928727002</v>
      </c>
      <c r="C10" s="8">
        <v>7.4388516928727002</v>
      </c>
    </row>
    <row r="11" spans="1:3" x14ac:dyDescent="0.25">
      <c r="A11" s="12">
        <v>1948</v>
      </c>
      <c r="B11" s="8">
        <v>19.455254933812601</v>
      </c>
      <c r="C11" s="8">
        <v>19.455254933812601</v>
      </c>
    </row>
    <row r="12" spans="1:3" x14ac:dyDescent="0.25">
      <c r="A12" s="12">
        <v>1949</v>
      </c>
      <c r="B12" s="8">
        <v>4.9780621070275801</v>
      </c>
      <c r="C12" s="8">
        <v>4.9780621070275801</v>
      </c>
    </row>
    <row r="13" spans="1:3" x14ac:dyDescent="0.25">
      <c r="A13" s="12">
        <v>1950</v>
      </c>
      <c r="B13" s="8">
        <v>23.4729243206734</v>
      </c>
      <c r="C13" s="8">
        <v>23.4729243206734</v>
      </c>
    </row>
    <row r="14" spans="1:3" x14ac:dyDescent="0.25">
      <c r="A14" s="12">
        <v>1951</v>
      </c>
      <c r="B14" s="8">
        <v>35.437836968129702</v>
      </c>
      <c r="C14" s="8">
        <v>35.437836968129702</v>
      </c>
    </row>
    <row r="15" spans="1:3" x14ac:dyDescent="0.25">
      <c r="A15" s="12">
        <v>1952</v>
      </c>
      <c r="B15" s="8">
        <v>17.564702210340201</v>
      </c>
      <c r="C15" s="8">
        <v>17.564702210340201</v>
      </c>
    </row>
    <row r="16" spans="1:3" x14ac:dyDescent="0.25">
      <c r="A16" s="12">
        <v>1953</v>
      </c>
      <c r="B16" s="8">
        <v>16.4578924019619</v>
      </c>
      <c r="C16" s="8">
        <v>16.4578924019619</v>
      </c>
    </row>
    <row r="17" spans="1:3" x14ac:dyDescent="0.25">
      <c r="A17" s="12">
        <v>1954</v>
      </c>
      <c r="B17" s="8">
        <v>18.7254898566847</v>
      </c>
      <c r="C17" s="8">
        <v>18.7254898566847</v>
      </c>
    </row>
    <row r="18" spans="1:3" x14ac:dyDescent="0.25">
      <c r="A18" s="12">
        <v>1955</v>
      </c>
      <c r="B18" s="8">
        <v>9.3394791795447496</v>
      </c>
      <c r="C18" s="8">
        <v>9.3394791795447496</v>
      </c>
    </row>
    <row r="19" spans="1:3" x14ac:dyDescent="0.25">
      <c r="A19" s="12">
        <v>1956</v>
      </c>
      <c r="B19" s="8">
        <v>2.8315158957094302</v>
      </c>
      <c r="C19" s="8">
        <v>2.8315158957094302</v>
      </c>
    </row>
    <row r="20" spans="1:3" x14ac:dyDescent="0.25">
      <c r="A20" s="12">
        <v>1957</v>
      </c>
      <c r="B20" s="8">
        <v>4.8035778525952102</v>
      </c>
      <c r="C20" s="8">
        <v>4.8035778525952102</v>
      </c>
    </row>
    <row r="21" spans="1:3" x14ac:dyDescent="0.25">
      <c r="A21" s="12">
        <v>1958</v>
      </c>
      <c r="B21" s="8">
        <v>-4.0033901011450403</v>
      </c>
      <c r="C21" s="8">
        <v>4.0033901011450403</v>
      </c>
    </row>
    <row r="22" spans="1:3" x14ac:dyDescent="0.25">
      <c r="A22" s="12">
        <v>1959</v>
      </c>
      <c r="B22" s="8">
        <v>-1.1937748276140301</v>
      </c>
      <c r="C22" s="8">
        <v>1.1937748276140301</v>
      </c>
    </row>
    <row r="23" spans="1:3" x14ac:dyDescent="0.25">
      <c r="A23" s="12">
        <v>1960</v>
      </c>
      <c r="B23" s="8">
        <v>-10.107105420612299</v>
      </c>
      <c r="C23" s="8">
        <v>10.107105420612299</v>
      </c>
    </row>
    <row r="24" spans="1:3" x14ac:dyDescent="0.25">
      <c r="A24" s="12">
        <v>1961</v>
      </c>
      <c r="B24" s="8">
        <v>5.3897656938884602</v>
      </c>
      <c r="C24" s="8">
        <v>5.3897656938884602</v>
      </c>
    </row>
    <row r="25" spans="1:3" x14ac:dyDescent="0.25">
      <c r="A25" s="12">
        <v>1962</v>
      </c>
      <c r="B25" s="8">
        <v>-11.944260699749201</v>
      </c>
      <c r="C25" s="8">
        <v>11.944260699749201</v>
      </c>
    </row>
    <row r="26" spans="1:3" x14ac:dyDescent="0.25">
      <c r="A26" s="12">
        <v>1963</v>
      </c>
      <c r="B26" s="8">
        <v>8.9237763141868296</v>
      </c>
      <c r="C26" s="8">
        <v>8.9237763141868296</v>
      </c>
    </row>
    <row r="27" spans="1:3" x14ac:dyDescent="0.25">
      <c r="A27" s="12">
        <v>1964</v>
      </c>
      <c r="B27" s="8">
        <v>8.0748470658467699</v>
      </c>
      <c r="C27" s="8">
        <v>8.0748470658467699</v>
      </c>
    </row>
    <row r="28" spans="1:3" x14ac:dyDescent="0.25">
      <c r="A28" s="12">
        <v>1965</v>
      </c>
      <c r="B28" s="8">
        <v>9.8868176532940399</v>
      </c>
      <c r="C28" s="8">
        <v>9.8868176532940399</v>
      </c>
    </row>
    <row r="29" spans="1:3" x14ac:dyDescent="0.25">
      <c r="A29" s="12">
        <v>1966</v>
      </c>
      <c r="B29" s="8">
        <v>6.33548403867188</v>
      </c>
      <c r="C29" s="8">
        <v>6.33548403867188</v>
      </c>
    </row>
    <row r="30" spans="1:3" x14ac:dyDescent="0.25">
      <c r="A30" s="12">
        <v>1967</v>
      </c>
      <c r="B30" s="8">
        <v>0.70972735054569502</v>
      </c>
      <c r="C30" s="8">
        <v>0.70972735054569502</v>
      </c>
    </row>
    <row r="31" spans="1:3" x14ac:dyDescent="0.25">
      <c r="A31" s="12">
        <v>1968</v>
      </c>
      <c r="B31" s="8">
        <v>2.4634850073877201</v>
      </c>
      <c r="C31" s="8">
        <v>2.4634850073877201</v>
      </c>
    </row>
    <row r="32" spans="1:3" x14ac:dyDescent="0.25">
      <c r="A32" s="12">
        <v>1969</v>
      </c>
      <c r="B32" s="8">
        <v>1.8562407225328601</v>
      </c>
      <c r="C32" s="8">
        <v>1.8562407225328601</v>
      </c>
    </row>
    <row r="33" spans="1:3" x14ac:dyDescent="0.25">
      <c r="A33" s="12">
        <v>1970</v>
      </c>
      <c r="B33" s="8">
        <v>-1.30676600423388</v>
      </c>
      <c r="C33" s="8">
        <v>1.30676600423388</v>
      </c>
    </row>
    <row r="34" spans="1:3" x14ac:dyDescent="0.25">
      <c r="A34" s="12">
        <v>1971</v>
      </c>
      <c r="B34" s="8">
        <v>2.2154074766316598</v>
      </c>
      <c r="C34" s="8">
        <v>2.2154074766316598</v>
      </c>
    </row>
    <row r="35" spans="1:3" x14ac:dyDescent="0.25">
      <c r="A35" s="12">
        <v>1972</v>
      </c>
      <c r="B35" s="8">
        <v>-2.5975510745175399</v>
      </c>
      <c r="C35" s="8">
        <v>2.5975510745175399</v>
      </c>
    </row>
    <row r="36" spans="1:3" x14ac:dyDescent="0.25">
      <c r="A36" s="12">
        <v>1973</v>
      </c>
      <c r="B36" s="8">
        <v>-1.2131014753210401</v>
      </c>
      <c r="C36" s="8">
        <v>1.2131014753210401</v>
      </c>
    </row>
    <row r="37" spans="1:3" x14ac:dyDescent="0.25">
      <c r="A37" s="12">
        <v>1974</v>
      </c>
      <c r="B37" s="8">
        <v>-4.9434745855901703</v>
      </c>
      <c r="C37" s="8">
        <v>4.9434745855901703</v>
      </c>
    </row>
    <row r="38" spans="1:3" x14ac:dyDescent="0.25">
      <c r="A38" s="12">
        <v>1975</v>
      </c>
      <c r="B38" s="8">
        <v>-5.1675888562627996</v>
      </c>
      <c r="C38" s="8">
        <v>5.1675888562627996</v>
      </c>
    </row>
    <row r="39" spans="1:3" x14ac:dyDescent="0.25">
      <c r="A39" s="12">
        <v>1976</v>
      </c>
      <c r="B39" s="8">
        <v>-6.5026136439236497</v>
      </c>
      <c r="C39" s="8">
        <v>6.5026136439236497</v>
      </c>
    </row>
    <row r="40" spans="1:3" x14ac:dyDescent="0.25">
      <c r="A40" s="12">
        <v>1977</v>
      </c>
      <c r="B40" s="8">
        <v>-6.9452117367510899</v>
      </c>
      <c r="C40" s="8">
        <v>6.9452117367510899</v>
      </c>
    </row>
    <row r="41" spans="1:3" x14ac:dyDescent="0.25">
      <c r="A41" s="12">
        <v>1978</v>
      </c>
      <c r="B41" s="8">
        <v>-9.9470492551323506</v>
      </c>
      <c r="C41" s="8">
        <v>9.9470492551323506</v>
      </c>
    </row>
    <row r="42" spans="1:3" x14ac:dyDescent="0.25">
      <c r="A42" s="12">
        <v>1979</v>
      </c>
      <c r="B42" s="8">
        <v>-3.0947202456876299</v>
      </c>
      <c r="C42" s="8">
        <v>3.0947202456876299</v>
      </c>
    </row>
    <row r="43" spans="1:3" x14ac:dyDescent="0.25">
      <c r="A43" s="12">
        <v>1980</v>
      </c>
      <c r="B43" s="8">
        <v>-2.9024490140268902</v>
      </c>
      <c r="C43" s="8">
        <v>2.9024490140268902</v>
      </c>
    </row>
    <row r="44" spans="1:3" x14ac:dyDescent="0.25">
      <c r="A44" s="12">
        <v>1981</v>
      </c>
      <c r="B44" s="8">
        <v>3.70730256739582</v>
      </c>
      <c r="C44" s="8">
        <v>3.70730256739582</v>
      </c>
    </row>
    <row r="45" spans="1:3" x14ac:dyDescent="0.25">
      <c r="A45" s="12">
        <v>1982</v>
      </c>
      <c r="B45" s="8">
        <v>-1.59479466943621E-2</v>
      </c>
      <c r="C45" s="8">
        <v>1.59479466943621E-2</v>
      </c>
    </row>
    <row r="46" spans="1:3" x14ac:dyDescent="0.25">
      <c r="A46" s="12">
        <v>1983</v>
      </c>
      <c r="B46" s="8">
        <v>-0.16006557988543599</v>
      </c>
      <c r="C46" s="8">
        <v>0.16006557988543599</v>
      </c>
    </row>
    <row r="47" spans="1:3" x14ac:dyDescent="0.25">
      <c r="A47" s="12">
        <v>1984</v>
      </c>
      <c r="B47" s="8">
        <v>-2.9875821748657301</v>
      </c>
      <c r="C47" s="8">
        <v>2.9875821748657301</v>
      </c>
    </row>
    <row r="48" spans="1:3" x14ac:dyDescent="0.25">
      <c r="A48" s="12">
        <v>1985</v>
      </c>
      <c r="B48" s="8">
        <v>0.86793488653816697</v>
      </c>
      <c r="C48" s="8">
        <v>0.86793488653816697</v>
      </c>
    </row>
    <row r="49" spans="1:3" x14ac:dyDescent="0.25">
      <c r="A49" s="12">
        <v>1986</v>
      </c>
      <c r="B49" s="8">
        <v>2.6796154153548501</v>
      </c>
      <c r="C49" s="8">
        <v>2.6796154153548501</v>
      </c>
    </row>
    <row r="50" spans="1:3" x14ac:dyDescent="0.25">
      <c r="A50" s="12">
        <v>1987</v>
      </c>
      <c r="B50" s="8">
        <v>6.4806750482915403</v>
      </c>
      <c r="C50" s="8">
        <v>6.4806750482915403</v>
      </c>
    </row>
    <row r="51" spans="1:3" x14ac:dyDescent="0.25">
      <c r="A51" s="12">
        <v>1988</v>
      </c>
      <c r="B51" s="8">
        <v>-0.53527495299149297</v>
      </c>
      <c r="C51" s="8">
        <v>0.53527495299149297</v>
      </c>
    </row>
    <row r="52" spans="1:3" x14ac:dyDescent="0.25">
      <c r="A52" s="12">
        <v>1989</v>
      </c>
      <c r="B52" s="8">
        <v>1.1065741243377201</v>
      </c>
      <c r="C52" s="8">
        <v>1.1065741243377201</v>
      </c>
    </row>
    <row r="53" spans="1:3" x14ac:dyDescent="0.25">
      <c r="A53" s="12">
        <v>1990</v>
      </c>
      <c r="B53" s="8">
        <v>0.41525021212296298</v>
      </c>
      <c r="C53" s="8">
        <v>0.41525021212296298</v>
      </c>
    </row>
    <row r="54" spans="1:3" x14ac:dyDescent="0.25">
      <c r="A54" s="12">
        <v>1991</v>
      </c>
      <c r="B54" s="8">
        <v>3.34898162488604</v>
      </c>
      <c r="C54" s="8">
        <v>3.34898162488604</v>
      </c>
    </row>
    <row r="55" spans="1:3" x14ac:dyDescent="0.25">
      <c r="A55" s="12">
        <v>1992</v>
      </c>
      <c r="B55" s="8">
        <v>0.771740745821485</v>
      </c>
      <c r="C55" s="8">
        <v>0.771740745821485</v>
      </c>
    </row>
    <row r="56" spans="1:3" x14ac:dyDescent="0.25">
      <c r="A56" s="12">
        <v>1993</v>
      </c>
      <c r="B56" s="8">
        <v>2.0919418172069202</v>
      </c>
      <c r="C56" s="8">
        <v>2.0919418172069202</v>
      </c>
    </row>
    <row r="57" spans="1:3" x14ac:dyDescent="0.25">
      <c r="A57" s="12">
        <v>1994</v>
      </c>
      <c r="B57" s="8">
        <v>0.38689299892076401</v>
      </c>
      <c r="C57" s="8">
        <v>0.38689299892076401</v>
      </c>
    </row>
    <row r="58" spans="1:3" x14ac:dyDescent="0.25">
      <c r="A58" s="12">
        <v>1995</v>
      </c>
      <c r="B58" s="8">
        <v>2.5513925081764701</v>
      </c>
      <c r="C58" s="8">
        <v>2.5513925081764701</v>
      </c>
    </row>
    <row r="59" spans="1:3" x14ac:dyDescent="0.25">
      <c r="A59" s="12">
        <v>1996</v>
      </c>
      <c r="B59" s="8">
        <v>3.7344885648688302</v>
      </c>
      <c r="C59" s="8">
        <v>3.7344885648688302</v>
      </c>
    </row>
    <row r="60" spans="1:3" x14ac:dyDescent="0.25">
      <c r="A60" s="12">
        <v>1997</v>
      </c>
      <c r="B60" s="8">
        <v>2.6320824320942902</v>
      </c>
      <c r="C60" s="8">
        <v>2.6320824320942902</v>
      </c>
    </row>
    <row r="61" spans="1:3" x14ac:dyDescent="0.25">
      <c r="A61" s="12">
        <v>1998</v>
      </c>
      <c r="B61" s="8">
        <v>-1.02125494483234</v>
      </c>
      <c r="C61" s="8">
        <v>1.02125494483234</v>
      </c>
    </row>
    <row r="62" spans="1:3" x14ac:dyDescent="0.25">
      <c r="A62" s="12">
        <v>1999</v>
      </c>
      <c r="B62" s="8">
        <v>5.5433864959650903</v>
      </c>
      <c r="C62" s="8">
        <v>5.5433864959650903</v>
      </c>
    </row>
    <row r="63" spans="1:3" x14ac:dyDescent="0.25">
      <c r="A63" s="12">
        <v>2000</v>
      </c>
      <c r="B63" s="8">
        <v>-4.2634473792061902</v>
      </c>
      <c r="C63" s="8">
        <v>4.2634473792061902</v>
      </c>
    </row>
    <row r="64" spans="1:3" x14ac:dyDescent="0.25">
      <c r="A64" s="12">
        <v>2001</v>
      </c>
      <c r="B64" s="8">
        <v>3.23352769042262</v>
      </c>
      <c r="C64" s="8">
        <v>3.23352769042262</v>
      </c>
    </row>
    <row r="65" spans="1:3" x14ac:dyDescent="0.25">
      <c r="A65" s="12">
        <v>2002</v>
      </c>
      <c r="B65" s="8">
        <v>-1.6191073864518299</v>
      </c>
      <c r="C65" s="8">
        <v>1.6191073864518299</v>
      </c>
    </row>
    <row r="66" spans="1:3" x14ac:dyDescent="0.25">
      <c r="A66" s="12">
        <v>2003</v>
      </c>
      <c r="B66" s="8">
        <v>0.93362577593625695</v>
      </c>
      <c r="C66" s="8">
        <v>0.93362577593625695</v>
      </c>
    </row>
    <row r="67" spans="1:3" x14ac:dyDescent="0.25">
      <c r="A67" s="12">
        <v>2004</v>
      </c>
      <c r="B67" s="8">
        <v>-0.76115090456055201</v>
      </c>
      <c r="C67" s="8">
        <v>0.76115090456055201</v>
      </c>
    </row>
    <row r="68" spans="1:3" x14ac:dyDescent="0.25">
      <c r="A68" s="12">
        <v>2005</v>
      </c>
      <c r="B68" s="8">
        <v>2.63627584721592</v>
      </c>
      <c r="C68" s="8">
        <v>2.63627584721592</v>
      </c>
    </row>
    <row r="69" spans="1:3" x14ac:dyDescent="0.25">
      <c r="A69" s="12">
        <v>2006</v>
      </c>
      <c r="B69" s="8">
        <v>3.6971588706957501</v>
      </c>
      <c r="C69" s="8">
        <v>3.6971588706957501</v>
      </c>
    </row>
    <row r="70" spans="1:3" x14ac:dyDescent="0.25">
      <c r="A70" s="12">
        <v>2007</v>
      </c>
      <c r="B70" s="8">
        <v>1.4316053698953599</v>
      </c>
      <c r="C70" s="8">
        <v>1.4316053698953599</v>
      </c>
    </row>
    <row r="71" spans="1:3" x14ac:dyDescent="0.25">
      <c r="A71" s="12">
        <v>2008</v>
      </c>
      <c r="B71" s="8">
        <v>-0.42207733986337598</v>
      </c>
      <c r="C71" s="8">
        <v>0.42207733986337598</v>
      </c>
    </row>
    <row r="72" spans="1:3" x14ac:dyDescent="0.25">
      <c r="A72" s="12">
        <v>2009</v>
      </c>
      <c r="B72" s="8">
        <v>2.5247580486902801</v>
      </c>
      <c r="C72" s="8">
        <v>2.5247580486902801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zoomScale="80" zoomScaleNormal="80" workbookViewId="0">
      <selection activeCell="B2" sqref="B2"/>
    </sheetView>
  </sheetViews>
  <sheetFormatPr defaultRowHeight="15" x14ac:dyDescent="0.25"/>
  <cols>
    <col min="1" max="1" width="5.140625" style="11" bestFit="1" customWidth="1"/>
    <col min="2" max="3" width="40.140625" bestFit="1" customWidth="1"/>
    <col min="4" max="4" width="46" bestFit="1" customWidth="1"/>
  </cols>
  <sheetData>
    <row r="1" spans="1:4" ht="18.75" x14ac:dyDescent="0.3">
      <c r="A1" s="12"/>
      <c r="B1" s="13" t="s">
        <v>78</v>
      </c>
      <c r="C1" s="2"/>
      <c r="D1" s="2"/>
    </row>
    <row r="2" spans="1:4" x14ac:dyDescent="0.25">
      <c r="A2" s="12"/>
      <c r="B2" s="41" t="s">
        <v>59</v>
      </c>
      <c r="C2" s="12"/>
      <c r="D2" s="2"/>
    </row>
    <row r="3" spans="1:4" ht="17.25" x14ac:dyDescent="0.25">
      <c r="A3" s="12" t="s">
        <v>7</v>
      </c>
      <c r="B3" s="12" t="s">
        <v>54</v>
      </c>
      <c r="C3" s="12" t="s">
        <v>60</v>
      </c>
      <c r="D3" s="12" t="s">
        <v>55</v>
      </c>
    </row>
    <row r="4" spans="1:4" x14ac:dyDescent="0.25">
      <c r="A4" s="11">
        <v>1941</v>
      </c>
      <c r="B4" s="14">
        <v>131300053.074902</v>
      </c>
      <c r="C4" s="14">
        <f>B4*0.000000001</f>
        <v>0.131300053074902</v>
      </c>
      <c r="D4" s="14">
        <f>B4*0.0008107</f>
        <v>106444.95302782305</v>
      </c>
    </row>
    <row r="5" spans="1:4" x14ac:dyDescent="0.25">
      <c r="A5" s="11">
        <v>1942</v>
      </c>
      <c r="B5" s="14">
        <v>148275161.00451201</v>
      </c>
      <c r="C5" s="14">
        <f t="shared" ref="C5:C68" si="0">B5*0.000000001</f>
        <v>0.14827516100451202</v>
      </c>
      <c r="D5" s="14">
        <f t="shared" ref="D5:D68" si="1">B5*0.0008107</f>
        <v>120206.67302635789</v>
      </c>
    </row>
    <row r="6" spans="1:4" x14ac:dyDescent="0.25">
      <c r="A6" s="11">
        <v>1943</v>
      </c>
      <c r="B6" s="14">
        <v>135671670.108015</v>
      </c>
      <c r="C6" s="14">
        <f t="shared" si="0"/>
        <v>0.13567167010801501</v>
      </c>
      <c r="D6" s="14">
        <f t="shared" si="1"/>
        <v>109989.02295656776</v>
      </c>
    </row>
    <row r="7" spans="1:4" x14ac:dyDescent="0.25">
      <c r="A7" s="11">
        <v>1944</v>
      </c>
      <c r="B7" s="14">
        <v>137700696.34390301</v>
      </c>
      <c r="C7" s="14">
        <f t="shared" si="0"/>
        <v>0.137700696343903</v>
      </c>
      <c r="D7" s="14">
        <f t="shared" si="1"/>
        <v>111633.95452600217</v>
      </c>
    </row>
    <row r="8" spans="1:4" x14ac:dyDescent="0.25">
      <c r="A8" s="11">
        <v>1945</v>
      </c>
      <c r="B8" s="14">
        <v>133973200.36039101</v>
      </c>
      <c r="C8" s="14">
        <f t="shared" si="0"/>
        <v>0.13397320036039101</v>
      </c>
      <c r="D8" s="14">
        <f t="shared" si="1"/>
        <v>108612.07353216899</v>
      </c>
    </row>
    <row r="9" spans="1:4" x14ac:dyDescent="0.25">
      <c r="A9" s="11">
        <v>1946</v>
      </c>
      <c r="B9" s="14">
        <v>133686025.992111</v>
      </c>
      <c r="C9" s="14">
        <f t="shared" si="0"/>
        <v>0.13368602599211102</v>
      </c>
      <c r="D9" s="14">
        <f t="shared" si="1"/>
        <v>108379.2612718044</v>
      </c>
    </row>
    <row r="10" spans="1:4" x14ac:dyDescent="0.25">
      <c r="A10" s="11">
        <v>1947</v>
      </c>
      <c r="B10" s="14">
        <v>137596911.7509</v>
      </c>
      <c r="C10" s="14">
        <f t="shared" si="0"/>
        <v>0.1375969117509</v>
      </c>
      <c r="D10" s="14">
        <f t="shared" si="1"/>
        <v>111549.81635645464</v>
      </c>
    </row>
    <row r="11" spans="1:4" x14ac:dyDescent="0.25">
      <c r="A11" s="11">
        <v>1948</v>
      </c>
      <c r="B11" s="14">
        <v>140695853.80945799</v>
      </c>
      <c r="C11" s="14">
        <f t="shared" si="0"/>
        <v>0.14069585380945798</v>
      </c>
      <c r="D11" s="14">
        <f t="shared" si="1"/>
        <v>114062.1286833276</v>
      </c>
    </row>
    <row r="12" spans="1:4" x14ac:dyDescent="0.25">
      <c r="A12" s="11">
        <v>1949</v>
      </c>
      <c r="B12" s="14">
        <v>157556010.05537</v>
      </c>
      <c r="C12" s="14">
        <f t="shared" si="0"/>
        <v>0.15755601005537001</v>
      </c>
      <c r="D12" s="14">
        <f t="shared" si="1"/>
        <v>127730.65735188847</v>
      </c>
    </row>
    <row r="13" spans="1:4" x14ac:dyDescent="0.25">
      <c r="A13" s="11">
        <v>1950</v>
      </c>
      <c r="B13" s="14">
        <v>137957257.72444001</v>
      </c>
      <c r="C13" s="14">
        <f t="shared" si="0"/>
        <v>0.13795725772444001</v>
      </c>
      <c r="D13" s="14">
        <f t="shared" si="1"/>
        <v>111841.94883720351</v>
      </c>
    </row>
    <row r="14" spans="1:4" x14ac:dyDescent="0.25">
      <c r="A14" s="11">
        <v>1951</v>
      </c>
      <c r="B14" s="14">
        <v>174549322.72039601</v>
      </c>
      <c r="C14" s="14">
        <f t="shared" si="0"/>
        <v>0.17454932272039603</v>
      </c>
      <c r="D14" s="14">
        <f t="shared" si="1"/>
        <v>141507.13592942504</v>
      </c>
    </row>
    <row r="15" spans="1:4" x14ac:dyDescent="0.25">
      <c r="A15" s="11">
        <v>1952</v>
      </c>
      <c r="B15" s="14">
        <v>143505056.87255201</v>
      </c>
      <c r="C15" s="14">
        <f t="shared" si="0"/>
        <v>0.14350505687255202</v>
      </c>
      <c r="D15" s="14">
        <f t="shared" si="1"/>
        <v>116339.54960657792</v>
      </c>
    </row>
    <row r="16" spans="1:4" x14ac:dyDescent="0.25">
      <c r="A16" s="11">
        <v>1953</v>
      </c>
      <c r="B16" s="14">
        <v>132586559.778043</v>
      </c>
      <c r="C16" s="14">
        <f t="shared" si="0"/>
        <v>0.13258655977804301</v>
      </c>
      <c r="D16" s="14">
        <f t="shared" si="1"/>
        <v>107487.92401205946</v>
      </c>
    </row>
    <row r="17" spans="1:4" x14ac:dyDescent="0.25">
      <c r="A17" s="11">
        <v>1954</v>
      </c>
      <c r="B17" s="14">
        <v>127403140.235393</v>
      </c>
      <c r="C17" s="14">
        <f t="shared" si="0"/>
        <v>0.12740314023539301</v>
      </c>
      <c r="D17" s="14">
        <f t="shared" si="1"/>
        <v>103285.72578883311</v>
      </c>
    </row>
    <row r="18" spans="1:4" x14ac:dyDescent="0.25">
      <c r="A18" s="11">
        <v>1955</v>
      </c>
      <c r="B18" s="14">
        <v>132150292.09803399</v>
      </c>
      <c r="C18" s="14">
        <f t="shared" si="0"/>
        <v>0.132150292098034</v>
      </c>
      <c r="D18" s="14">
        <f t="shared" si="1"/>
        <v>107134.24180387617</v>
      </c>
    </row>
    <row r="19" spans="1:4" x14ac:dyDescent="0.25">
      <c r="A19" s="11">
        <v>1956</v>
      </c>
      <c r="B19" s="14">
        <v>140161899.47634801</v>
      </c>
      <c r="C19" s="14">
        <f t="shared" si="0"/>
        <v>0.14016189947634802</v>
      </c>
      <c r="D19" s="14">
        <f t="shared" si="1"/>
        <v>113629.25190547534</v>
      </c>
    </row>
    <row r="20" spans="1:4" x14ac:dyDescent="0.25">
      <c r="A20" s="11">
        <v>1957</v>
      </c>
      <c r="B20" s="14">
        <v>142686794.001807</v>
      </c>
      <c r="C20" s="14">
        <f t="shared" si="0"/>
        <v>0.142686794001807</v>
      </c>
      <c r="D20" s="14">
        <f t="shared" si="1"/>
        <v>115676.18389726494</v>
      </c>
    </row>
    <row r="21" spans="1:4" x14ac:dyDescent="0.25">
      <c r="A21" s="11">
        <v>1958</v>
      </c>
      <c r="B21" s="14">
        <v>151473370.006733</v>
      </c>
      <c r="C21" s="14">
        <f t="shared" si="0"/>
        <v>0.151473370006733</v>
      </c>
      <c r="D21" s="14">
        <f t="shared" si="1"/>
        <v>122799.46106445845</v>
      </c>
    </row>
    <row r="22" spans="1:4" x14ac:dyDescent="0.25">
      <c r="A22" s="11">
        <v>1959</v>
      </c>
      <c r="B22" s="14">
        <v>135961189.35484499</v>
      </c>
      <c r="C22" s="14">
        <f t="shared" si="0"/>
        <v>0.135961189354845</v>
      </c>
      <c r="D22" s="14">
        <f t="shared" si="1"/>
        <v>110223.73620997283</v>
      </c>
    </row>
    <row r="23" spans="1:4" x14ac:dyDescent="0.25">
      <c r="A23" s="11">
        <v>1960</v>
      </c>
      <c r="B23" s="14">
        <v>165444902.68319699</v>
      </c>
      <c r="C23" s="14">
        <f t="shared" si="0"/>
        <v>0.165444902683197</v>
      </c>
      <c r="D23" s="14">
        <f t="shared" si="1"/>
        <v>134126.18260526779</v>
      </c>
    </row>
    <row r="24" spans="1:4" x14ac:dyDescent="0.25">
      <c r="A24" s="11">
        <v>1961</v>
      </c>
      <c r="B24" s="14">
        <v>134588954.67042801</v>
      </c>
      <c r="C24" s="14">
        <f t="shared" si="0"/>
        <v>0.13458895467042803</v>
      </c>
      <c r="D24" s="14">
        <f t="shared" si="1"/>
        <v>109111.26555131598</v>
      </c>
    </row>
    <row r="25" spans="1:4" x14ac:dyDescent="0.25">
      <c r="A25" s="11">
        <v>1962</v>
      </c>
      <c r="B25" s="14">
        <v>158804744.89337701</v>
      </c>
      <c r="C25" s="14">
        <f t="shared" si="0"/>
        <v>0.15880474489337701</v>
      </c>
      <c r="D25" s="14">
        <f t="shared" si="1"/>
        <v>128743.00668506074</v>
      </c>
    </row>
    <row r="26" spans="1:4" x14ac:dyDescent="0.25">
      <c r="A26" s="11">
        <v>1963</v>
      </c>
      <c r="B26" s="14">
        <v>139375273.36890301</v>
      </c>
      <c r="C26" s="14">
        <f t="shared" si="0"/>
        <v>0.13937527336890301</v>
      </c>
      <c r="D26" s="14">
        <f t="shared" si="1"/>
        <v>112991.53412016967</v>
      </c>
    </row>
    <row r="27" spans="1:4" x14ac:dyDescent="0.25">
      <c r="A27" s="11">
        <v>1964</v>
      </c>
      <c r="B27" s="14">
        <v>134032127.197823</v>
      </c>
      <c r="C27" s="14">
        <f t="shared" si="0"/>
        <v>0.13403212719782301</v>
      </c>
      <c r="D27" s="14">
        <f t="shared" si="1"/>
        <v>108659.84551927511</v>
      </c>
    </row>
    <row r="28" spans="1:4" x14ac:dyDescent="0.25">
      <c r="A28" s="11">
        <v>1965</v>
      </c>
      <c r="B28" s="14">
        <v>151978303.50651801</v>
      </c>
      <c r="C28" s="14">
        <f t="shared" si="0"/>
        <v>0.151978303506518</v>
      </c>
      <c r="D28" s="14">
        <f t="shared" si="1"/>
        <v>123208.81065273416</v>
      </c>
    </row>
    <row r="29" spans="1:4" x14ac:dyDescent="0.25">
      <c r="A29" s="11">
        <v>1966</v>
      </c>
      <c r="B29" s="14">
        <v>140911566.19935101</v>
      </c>
      <c r="C29" s="14">
        <f t="shared" si="0"/>
        <v>0.14091156619935102</v>
      </c>
      <c r="D29" s="14">
        <f t="shared" si="1"/>
        <v>114237.00671781387</v>
      </c>
    </row>
    <row r="30" spans="1:4" x14ac:dyDescent="0.25">
      <c r="A30" s="11">
        <v>1967</v>
      </c>
      <c r="B30" s="14">
        <v>154567208.19264501</v>
      </c>
      <c r="C30" s="14">
        <f t="shared" si="0"/>
        <v>0.15456720819264502</v>
      </c>
      <c r="D30" s="14">
        <f t="shared" si="1"/>
        <v>125307.63568177732</v>
      </c>
    </row>
    <row r="31" spans="1:4" x14ac:dyDescent="0.25">
      <c r="A31" s="11">
        <v>1968</v>
      </c>
      <c r="B31" s="14">
        <v>126341518.600896</v>
      </c>
      <c r="C31" s="14">
        <f t="shared" si="0"/>
        <v>0.12634151860089601</v>
      </c>
      <c r="D31" s="14">
        <f t="shared" si="1"/>
        <v>102425.06912974639</v>
      </c>
    </row>
    <row r="32" spans="1:4" x14ac:dyDescent="0.25">
      <c r="A32" s="11">
        <v>1969</v>
      </c>
      <c r="B32" s="14">
        <v>131835187.145843</v>
      </c>
      <c r="C32" s="14">
        <f t="shared" si="0"/>
        <v>0.131835187145843</v>
      </c>
      <c r="D32" s="14">
        <f t="shared" si="1"/>
        <v>106878.78621913493</v>
      </c>
    </row>
    <row r="33" spans="1:4" x14ac:dyDescent="0.25">
      <c r="A33" s="11">
        <v>1970</v>
      </c>
      <c r="B33" s="14">
        <v>119183769.29948799</v>
      </c>
      <c r="C33" s="14">
        <f t="shared" si="0"/>
        <v>0.119183769299488</v>
      </c>
      <c r="D33" s="14">
        <f t="shared" si="1"/>
        <v>96622.281771094917</v>
      </c>
    </row>
    <row r="34" spans="1:4" x14ac:dyDescent="0.25">
      <c r="A34" s="11">
        <v>1971</v>
      </c>
      <c r="B34" s="14">
        <v>131745304.099591</v>
      </c>
      <c r="C34" s="14">
        <f t="shared" si="0"/>
        <v>0.13174530409959101</v>
      </c>
      <c r="D34" s="14">
        <f t="shared" si="1"/>
        <v>106805.91803353843</v>
      </c>
    </row>
    <row r="35" spans="1:4" x14ac:dyDescent="0.25">
      <c r="A35" s="11">
        <v>1972</v>
      </c>
      <c r="B35" s="14">
        <v>120703621.20070501</v>
      </c>
      <c r="C35" s="14">
        <f t="shared" si="0"/>
        <v>0.12070362120070502</v>
      </c>
      <c r="D35" s="14">
        <f t="shared" si="1"/>
        <v>97854.425707411559</v>
      </c>
    </row>
    <row r="36" spans="1:4" x14ac:dyDescent="0.25">
      <c r="A36" s="11">
        <v>1973</v>
      </c>
      <c r="B36" s="14">
        <v>126149661.905148</v>
      </c>
      <c r="C36" s="14">
        <f t="shared" si="0"/>
        <v>0.12614966190514801</v>
      </c>
      <c r="D36" s="14">
        <f t="shared" si="1"/>
        <v>102269.53090650348</v>
      </c>
    </row>
    <row r="37" spans="1:4" x14ac:dyDescent="0.25">
      <c r="A37" s="11">
        <v>1974</v>
      </c>
      <c r="B37" s="14">
        <v>115479491.724548</v>
      </c>
      <c r="C37" s="14">
        <f t="shared" si="0"/>
        <v>0.11547949172454801</v>
      </c>
      <c r="D37" s="14">
        <f t="shared" si="1"/>
        <v>93619.22394109107</v>
      </c>
    </row>
    <row r="38" spans="1:4" x14ac:dyDescent="0.25">
      <c r="A38" s="11">
        <v>1975</v>
      </c>
      <c r="B38" s="14">
        <v>113632701.27526499</v>
      </c>
      <c r="C38" s="14">
        <f t="shared" si="0"/>
        <v>0.11363270127526499</v>
      </c>
      <c r="D38" s="14">
        <f t="shared" si="1"/>
        <v>92122.030923857339</v>
      </c>
    </row>
    <row r="39" spans="1:4" x14ac:dyDescent="0.25">
      <c r="A39" s="11">
        <v>1976</v>
      </c>
      <c r="B39" s="14">
        <v>102428961.544686</v>
      </c>
      <c r="C39" s="14">
        <f t="shared" si="0"/>
        <v>0.10242896154468602</v>
      </c>
      <c r="D39" s="14">
        <f t="shared" si="1"/>
        <v>83039.15912427695</v>
      </c>
    </row>
    <row r="40" spans="1:4" x14ac:dyDescent="0.25">
      <c r="A40" s="11">
        <v>1977</v>
      </c>
      <c r="B40" s="14">
        <v>106677754.904716</v>
      </c>
      <c r="C40" s="14">
        <f t="shared" si="0"/>
        <v>0.10667775490471601</v>
      </c>
      <c r="D40" s="14">
        <f t="shared" si="1"/>
        <v>86483.655901253267</v>
      </c>
    </row>
    <row r="41" spans="1:4" x14ac:dyDescent="0.25">
      <c r="A41" s="11">
        <v>1978</v>
      </c>
      <c r="B41" s="14">
        <v>91812746.561192393</v>
      </c>
      <c r="C41" s="14">
        <f t="shared" si="0"/>
        <v>9.1812746561192399E-2</v>
      </c>
      <c r="D41" s="14">
        <f t="shared" si="1"/>
        <v>74432.593637158672</v>
      </c>
    </row>
    <row r="42" spans="1:4" x14ac:dyDescent="0.25">
      <c r="A42" s="11">
        <v>1979</v>
      </c>
      <c r="B42" s="14">
        <v>92397047.283462793</v>
      </c>
      <c r="C42" s="14">
        <f t="shared" si="0"/>
        <v>9.2397047283462805E-2</v>
      </c>
      <c r="D42" s="14">
        <f t="shared" si="1"/>
        <v>74906.286232703293</v>
      </c>
    </row>
    <row r="43" spans="1:4" x14ac:dyDescent="0.25">
      <c r="A43" s="11">
        <v>1980</v>
      </c>
      <c r="B43" s="14">
        <v>91233033.424325898</v>
      </c>
      <c r="C43" s="14">
        <f t="shared" si="0"/>
        <v>9.1233033424325899E-2</v>
      </c>
      <c r="D43" s="14">
        <f t="shared" si="1"/>
        <v>73962.620197101001</v>
      </c>
    </row>
    <row r="44" spans="1:4" x14ac:dyDescent="0.25">
      <c r="A44" s="11">
        <v>1981</v>
      </c>
      <c r="B44" s="14">
        <v>97840598.860992104</v>
      </c>
      <c r="C44" s="14">
        <f t="shared" si="0"/>
        <v>9.7840598860992112E-2</v>
      </c>
      <c r="D44" s="14">
        <f t="shared" si="1"/>
        <v>79319.373496606306</v>
      </c>
    </row>
    <row r="45" spans="1:4" x14ac:dyDescent="0.25">
      <c r="A45" s="11">
        <v>1982</v>
      </c>
      <c r="B45" s="14">
        <v>98954509.006199196</v>
      </c>
      <c r="C45" s="14">
        <f t="shared" si="0"/>
        <v>9.8954509006199204E-2</v>
      </c>
      <c r="D45" s="14">
        <f t="shared" si="1"/>
        <v>80222.420451325685</v>
      </c>
    </row>
    <row r="46" spans="1:4" x14ac:dyDescent="0.25">
      <c r="A46" s="11">
        <v>1983</v>
      </c>
      <c r="B46" s="14">
        <v>95598420.747666597</v>
      </c>
      <c r="C46" s="14">
        <f t="shared" si="0"/>
        <v>9.5598420747666599E-2</v>
      </c>
      <c r="D46" s="14">
        <f t="shared" si="1"/>
        <v>77501.63970013331</v>
      </c>
    </row>
    <row r="47" spans="1:4" x14ac:dyDescent="0.25">
      <c r="A47" s="11">
        <v>1984</v>
      </c>
      <c r="B47" s="14">
        <v>100365916.33526599</v>
      </c>
      <c r="C47" s="14">
        <f t="shared" si="0"/>
        <v>0.10036591633526599</v>
      </c>
      <c r="D47" s="14">
        <f t="shared" si="1"/>
        <v>81366.648373000149</v>
      </c>
    </row>
    <row r="48" spans="1:4" x14ac:dyDescent="0.25">
      <c r="A48" s="11">
        <v>1985</v>
      </c>
      <c r="B48" s="14">
        <v>88373594.403854296</v>
      </c>
      <c r="C48" s="14">
        <f t="shared" si="0"/>
        <v>8.8373594403854297E-2</v>
      </c>
      <c r="D48" s="14">
        <f t="shared" si="1"/>
        <v>71644.472983204687</v>
      </c>
    </row>
    <row r="49" spans="1:4" x14ac:dyDescent="0.25">
      <c r="A49" s="11">
        <v>1986</v>
      </c>
      <c r="B49" s="14">
        <v>85458219.279324606</v>
      </c>
      <c r="C49" s="14">
        <f t="shared" si="0"/>
        <v>8.5458219279324607E-2</v>
      </c>
      <c r="D49" s="14">
        <f t="shared" si="1"/>
        <v>69280.978369748467</v>
      </c>
    </row>
    <row r="50" spans="1:4" x14ac:dyDescent="0.25">
      <c r="A50" s="11">
        <v>1987</v>
      </c>
      <c r="B50" s="14">
        <v>88661519.170543402</v>
      </c>
      <c r="C50" s="14">
        <f t="shared" si="0"/>
        <v>8.8661519170543407E-2</v>
      </c>
      <c r="D50" s="14">
        <f t="shared" si="1"/>
        <v>71877.893591559536</v>
      </c>
    </row>
    <row r="51" spans="1:4" x14ac:dyDescent="0.25">
      <c r="A51" s="11">
        <v>1988</v>
      </c>
      <c r="B51" s="14">
        <v>88009581.036873102</v>
      </c>
      <c r="C51" s="14">
        <f t="shared" si="0"/>
        <v>8.8009581036873105E-2</v>
      </c>
      <c r="D51" s="14">
        <f t="shared" si="1"/>
        <v>71349.367346593033</v>
      </c>
    </row>
    <row r="52" spans="1:4" x14ac:dyDescent="0.25">
      <c r="A52" s="11">
        <v>1989</v>
      </c>
      <c r="B52" s="14">
        <v>82429326.908207893</v>
      </c>
      <c r="C52" s="14">
        <f t="shared" si="0"/>
        <v>8.2429326908207895E-2</v>
      </c>
      <c r="D52" s="14">
        <f t="shared" si="1"/>
        <v>66825.455324484137</v>
      </c>
    </row>
    <row r="53" spans="1:4" x14ac:dyDescent="0.25">
      <c r="A53" s="11">
        <v>1990</v>
      </c>
      <c r="B53" s="14">
        <v>76208712.073025197</v>
      </c>
      <c r="C53" s="14">
        <f t="shared" si="0"/>
        <v>7.6208712073025195E-2</v>
      </c>
      <c r="D53" s="14">
        <f t="shared" si="1"/>
        <v>61782.402877601526</v>
      </c>
    </row>
    <row r="54" spans="1:4" x14ac:dyDescent="0.25">
      <c r="A54" s="11">
        <v>1991</v>
      </c>
      <c r="B54" s="14">
        <v>77333021.565491602</v>
      </c>
      <c r="C54" s="14">
        <f t="shared" si="0"/>
        <v>7.73330215654916E-2</v>
      </c>
      <c r="D54" s="14">
        <f t="shared" si="1"/>
        <v>62693.88058314404</v>
      </c>
    </row>
    <row r="55" spans="1:4" x14ac:dyDescent="0.25">
      <c r="A55" s="11">
        <v>1992</v>
      </c>
      <c r="B55" s="14">
        <v>82971456.963536099</v>
      </c>
      <c r="C55" s="14">
        <f t="shared" si="0"/>
        <v>8.2971456963536097E-2</v>
      </c>
      <c r="D55" s="14">
        <f t="shared" si="1"/>
        <v>67264.960160338713</v>
      </c>
    </row>
    <row r="56" spans="1:4" x14ac:dyDescent="0.25">
      <c r="A56" s="11">
        <v>1993</v>
      </c>
      <c r="B56" s="14">
        <v>97831946.442531094</v>
      </c>
      <c r="C56" s="14">
        <f t="shared" si="0"/>
        <v>9.7831946442531098E-2</v>
      </c>
      <c r="D56" s="14">
        <f t="shared" si="1"/>
        <v>79312.358980959965</v>
      </c>
    </row>
    <row r="57" spans="1:4" x14ac:dyDescent="0.25">
      <c r="A57" s="11">
        <v>1994</v>
      </c>
      <c r="B57" s="14">
        <v>84068938.571035802</v>
      </c>
      <c r="C57" s="14">
        <f t="shared" si="0"/>
        <v>8.4068938571035812E-2</v>
      </c>
      <c r="D57" s="14">
        <f t="shared" si="1"/>
        <v>68154.688499538723</v>
      </c>
    </row>
    <row r="58" spans="1:4" x14ac:dyDescent="0.25">
      <c r="A58" s="11">
        <v>1995</v>
      </c>
      <c r="B58" s="14">
        <v>85750219.555165797</v>
      </c>
      <c r="C58" s="14">
        <f t="shared" si="0"/>
        <v>8.5750219555165805E-2</v>
      </c>
      <c r="D58" s="14">
        <f t="shared" si="1"/>
        <v>69517.702993372921</v>
      </c>
    </row>
    <row r="59" spans="1:4" x14ac:dyDescent="0.25">
      <c r="A59" s="11">
        <v>1996</v>
      </c>
      <c r="B59" s="14">
        <v>89473646.831194907</v>
      </c>
      <c r="C59" s="14">
        <f t="shared" si="0"/>
        <v>8.9473646831194908E-2</v>
      </c>
      <c r="D59" s="14">
        <f t="shared" si="1"/>
        <v>72536.285486049717</v>
      </c>
    </row>
    <row r="60" spans="1:4" x14ac:dyDescent="0.25">
      <c r="A60" s="11">
        <v>1997</v>
      </c>
      <c r="B60" s="14">
        <v>85742690.323252693</v>
      </c>
      <c r="C60" s="14">
        <f t="shared" si="0"/>
        <v>8.5742690323252699E-2</v>
      </c>
      <c r="D60" s="14">
        <f t="shared" si="1"/>
        <v>69511.599045060953</v>
      </c>
    </row>
    <row r="61" spans="1:4" x14ac:dyDescent="0.25">
      <c r="A61" s="11">
        <v>1998</v>
      </c>
      <c r="B61" s="14">
        <v>75268572.288788095</v>
      </c>
      <c r="C61" s="14">
        <f t="shared" si="0"/>
        <v>7.5268572288788096E-2</v>
      </c>
      <c r="D61" s="14">
        <f t="shared" si="1"/>
        <v>61020.231554520513</v>
      </c>
    </row>
    <row r="62" spans="1:4" x14ac:dyDescent="0.25">
      <c r="A62" s="11">
        <v>1999</v>
      </c>
      <c r="B62" s="14">
        <v>81378433.393765002</v>
      </c>
      <c r="C62" s="14">
        <f t="shared" si="0"/>
        <v>8.1378433393765007E-2</v>
      </c>
      <c r="D62" s="14">
        <f t="shared" si="1"/>
        <v>65973.495952325291</v>
      </c>
    </row>
    <row r="63" spans="1:4" x14ac:dyDescent="0.25">
      <c r="A63" s="11">
        <v>2000</v>
      </c>
      <c r="B63" s="14">
        <v>67339648.873609394</v>
      </c>
      <c r="C63" s="14">
        <f t="shared" si="0"/>
        <v>6.7339648873609395E-2</v>
      </c>
      <c r="D63" s="14">
        <f t="shared" si="1"/>
        <v>54592.253341835138</v>
      </c>
    </row>
    <row r="64" spans="1:4" x14ac:dyDescent="0.25">
      <c r="A64" s="11">
        <v>2001</v>
      </c>
      <c r="B64" s="14">
        <v>65698144.836299002</v>
      </c>
      <c r="C64" s="14">
        <f t="shared" si="0"/>
        <v>6.5698144836299002E-2</v>
      </c>
      <c r="D64" s="14">
        <f t="shared" si="1"/>
        <v>53261.486018787604</v>
      </c>
    </row>
    <row r="65" spans="1:4" x14ac:dyDescent="0.25">
      <c r="A65" s="11">
        <v>2002</v>
      </c>
      <c r="B65" s="14">
        <v>53846092.479453303</v>
      </c>
      <c r="C65" s="14">
        <f t="shared" si="0"/>
        <v>5.3846092479453309E-2</v>
      </c>
      <c r="D65" s="14">
        <f t="shared" si="1"/>
        <v>43653.027173092793</v>
      </c>
    </row>
    <row r="66" spans="1:4" x14ac:dyDescent="0.25">
      <c r="A66" s="11">
        <v>2003</v>
      </c>
      <c r="B66" s="14">
        <v>54579773.852604501</v>
      </c>
      <c r="C66" s="14">
        <f t="shared" si="0"/>
        <v>5.4579773852604506E-2</v>
      </c>
      <c r="D66" s="14">
        <f t="shared" si="1"/>
        <v>44247.822662306469</v>
      </c>
    </row>
    <row r="67" spans="1:4" x14ac:dyDescent="0.25">
      <c r="A67" s="11">
        <v>2004</v>
      </c>
      <c r="B67" s="14">
        <v>56862318.172892697</v>
      </c>
      <c r="C67" s="14">
        <f t="shared" si="0"/>
        <v>5.6862318172892702E-2</v>
      </c>
      <c r="D67" s="14">
        <f t="shared" si="1"/>
        <v>46098.281342764109</v>
      </c>
    </row>
    <row r="68" spans="1:4" x14ac:dyDescent="0.25">
      <c r="A68" s="11">
        <v>2005</v>
      </c>
      <c r="B68" s="14">
        <v>58932729.861466303</v>
      </c>
      <c r="C68" s="14">
        <f t="shared" si="0"/>
        <v>5.8932729861466304E-2</v>
      </c>
      <c r="D68" s="14">
        <f t="shared" si="1"/>
        <v>47776.764098690735</v>
      </c>
    </row>
    <row r="69" spans="1:4" x14ac:dyDescent="0.25">
      <c r="A69" s="11">
        <v>2006</v>
      </c>
      <c r="B69" s="14">
        <v>53241927.326022901</v>
      </c>
      <c r="C69" s="14">
        <f t="shared" ref="C69:C72" si="2">B69*0.000000001</f>
        <v>5.3241927326022905E-2</v>
      </c>
      <c r="D69" s="14">
        <f t="shared" ref="D69:D72" si="3">B69*0.0008107</f>
        <v>43163.230483206768</v>
      </c>
    </row>
    <row r="70" spans="1:4" x14ac:dyDescent="0.25">
      <c r="A70" s="11">
        <v>2007</v>
      </c>
      <c r="B70" s="14">
        <v>77569585.533875793</v>
      </c>
      <c r="C70" s="14">
        <f t="shared" si="2"/>
        <v>7.7569585533875801E-2</v>
      </c>
      <c r="D70" s="14">
        <f t="shared" si="3"/>
        <v>62885.662992313111</v>
      </c>
    </row>
    <row r="71" spans="1:4" x14ac:dyDescent="0.25">
      <c r="A71" s="11">
        <v>2008</v>
      </c>
      <c r="B71" s="14">
        <v>60605396.893038496</v>
      </c>
      <c r="C71" s="14">
        <f t="shared" si="2"/>
        <v>6.0605396893038503E-2</v>
      </c>
      <c r="D71" s="14">
        <f t="shared" si="3"/>
        <v>49132.795261186307</v>
      </c>
    </row>
    <row r="72" spans="1:4" x14ac:dyDescent="0.25">
      <c r="A72" s="11">
        <v>2009</v>
      </c>
      <c r="B72" s="14">
        <v>61103260.7973013</v>
      </c>
      <c r="C72" s="14">
        <f t="shared" si="2"/>
        <v>6.1103260797301301E-2</v>
      </c>
      <c r="D72" s="14">
        <f t="shared" si="3"/>
        <v>49536.413528372163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zoomScale="80" zoomScaleNormal="80" workbookViewId="0">
      <selection activeCell="F1" sqref="F1"/>
    </sheetView>
  </sheetViews>
  <sheetFormatPr defaultRowHeight="15" x14ac:dyDescent="0.25"/>
  <cols>
    <col min="1" max="1" width="9.140625" style="12"/>
    <col min="2" max="2" width="14.7109375" bestFit="1" customWidth="1"/>
    <col min="3" max="3" width="11" bestFit="1" customWidth="1"/>
    <col min="4" max="4" width="20.7109375" bestFit="1" customWidth="1"/>
    <col min="5" max="5" width="11.28515625" bestFit="1" customWidth="1"/>
  </cols>
  <sheetData>
    <row r="1" spans="1:6" ht="18.75" x14ac:dyDescent="0.3">
      <c r="B1" s="13" t="s">
        <v>79</v>
      </c>
    </row>
    <row r="2" spans="1:6" ht="17.25" x14ac:dyDescent="0.25">
      <c r="A2" s="12" t="s">
        <v>7</v>
      </c>
      <c r="B2" s="12" t="s">
        <v>61</v>
      </c>
      <c r="C2" s="12" t="s">
        <v>62</v>
      </c>
      <c r="D2" s="12" t="s">
        <v>63</v>
      </c>
      <c r="E2" s="12" t="s">
        <v>64</v>
      </c>
      <c r="F2" s="9" t="s">
        <v>65</v>
      </c>
    </row>
    <row r="3" spans="1:6" x14ac:dyDescent="0.25">
      <c r="A3" s="12">
        <v>1941</v>
      </c>
      <c r="B3" s="5">
        <v>28.993083386782303</v>
      </c>
      <c r="C3" s="5">
        <v>0</v>
      </c>
      <c r="D3" s="5">
        <v>27.695842548386789</v>
      </c>
      <c r="E3" s="5">
        <v>0</v>
      </c>
      <c r="F3" s="5">
        <v>56.688925935169095</v>
      </c>
    </row>
    <row r="4" spans="1:6" x14ac:dyDescent="0.25">
      <c r="A4" s="12">
        <v>1942</v>
      </c>
      <c r="B4" s="5">
        <v>82.281612188979338</v>
      </c>
      <c r="C4" s="5">
        <v>0</v>
      </c>
      <c r="D4" s="5">
        <v>77.334770878189843</v>
      </c>
      <c r="E4" s="5">
        <v>0</v>
      </c>
      <c r="F4" s="5">
        <v>159.61638306716918</v>
      </c>
    </row>
    <row r="5" spans="1:6" x14ac:dyDescent="0.25">
      <c r="A5" s="12">
        <v>1943</v>
      </c>
      <c r="B5" s="5">
        <v>5.9525008035980225</v>
      </c>
      <c r="C5" s="5">
        <v>0</v>
      </c>
      <c r="D5" s="5">
        <v>1.8807208797421073</v>
      </c>
      <c r="E5" s="5">
        <v>0</v>
      </c>
      <c r="F5" s="5">
        <v>7.8332216833401294</v>
      </c>
    </row>
    <row r="6" spans="1:6" x14ac:dyDescent="0.25">
      <c r="A6" s="12">
        <v>1944</v>
      </c>
      <c r="B6" s="5">
        <v>17.564062128841453</v>
      </c>
      <c r="C6" s="5">
        <v>0</v>
      </c>
      <c r="D6" s="5">
        <v>15.860830515950298</v>
      </c>
      <c r="E6" s="5">
        <v>0</v>
      </c>
      <c r="F6" s="5">
        <v>33.424892644791754</v>
      </c>
    </row>
    <row r="7" spans="1:6" x14ac:dyDescent="0.25">
      <c r="A7" s="12">
        <v>1945</v>
      </c>
      <c r="B7" s="5">
        <v>12.904739328015269</v>
      </c>
      <c r="C7" s="5">
        <v>0</v>
      </c>
      <c r="D7" s="5">
        <v>6.9272261852441552</v>
      </c>
      <c r="E7" s="5">
        <v>0</v>
      </c>
      <c r="F7" s="5">
        <v>19.831965513259426</v>
      </c>
    </row>
    <row r="8" spans="1:6" x14ac:dyDescent="0.25">
      <c r="A8" s="12">
        <v>1946</v>
      </c>
      <c r="B8" s="5">
        <v>25.021212820356482</v>
      </c>
      <c r="C8" s="5">
        <v>13.000247727450208</v>
      </c>
      <c r="D8" s="5">
        <v>20.611960596201378</v>
      </c>
      <c r="E8" s="5">
        <v>0</v>
      </c>
      <c r="F8" s="5">
        <v>58.633421144008068</v>
      </c>
    </row>
    <row r="9" spans="1:6" x14ac:dyDescent="0.25">
      <c r="A9" s="12">
        <v>1947</v>
      </c>
      <c r="B9" s="5">
        <v>21.565510201102139</v>
      </c>
      <c r="C9" s="5">
        <v>6.786741307598616</v>
      </c>
      <c r="D9" s="5">
        <v>9.0119428235078747</v>
      </c>
      <c r="E9" s="5">
        <v>0</v>
      </c>
      <c r="F9" s="5">
        <v>37.364194332208626</v>
      </c>
    </row>
    <row r="10" spans="1:6" x14ac:dyDescent="0.25">
      <c r="A10" s="12">
        <v>1948</v>
      </c>
      <c r="B10" s="5">
        <v>9.4333911576708402</v>
      </c>
      <c r="C10" s="5">
        <v>3.4397347485514977</v>
      </c>
      <c r="D10" s="5">
        <v>4.1428767490222116</v>
      </c>
      <c r="E10" s="5">
        <v>0</v>
      </c>
      <c r="F10" s="5">
        <v>17.016002655244549</v>
      </c>
    </row>
    <row r="11" spans="1:6" x14ac:dyDescent="0.25">
      <c r="A11" s="12">
        <v>1949</v>
      </c>
      <c r="B11" s="5">
        <v>31.73173584342485</v>
      </c>
      <c r="C11" s="5">
        <v>8.0549949415878768</v>
      </c>
      <c r="D11" s="5">
        <v>10.515697697144692</v>
      </c>
      <c r="E11" s="5">
        <v>0</v>
      </c>
      <c r="F11" s="5">
        <v>50.302428482157424</v>
      </c>
    </row>
    <row r="12" spans="1:6" x14ac:dyDescent="0.25">
      <c r="A12" s="12">
        <v>1950</v>
      </c>
      <c r="B12" s="5">
        <v>4.3332728467313357</v>
      </c>
      <c r="C12" s="5">
        <v>3.0577575020550181</v>
      </c>
      <c r="D12" s="5">
        <v>3.6976509931578772</v>
      </c>
      <c r="E12" s="5">
        <v>0</v>
      </c>
      <c r="F12" s="5">
        <v>11.08868134194423</v>
      </c>
    </row>
    <row r="13" spans="1:6" x14ac:dyDescent="0.25">
      <c r="A13" s="12">
        <v>1951</v>
      </c>
      <c r="B13" s="5">
        <v>1.7850491394603256</v>
      </c>
      <c r="C13" s="5">
        <v>2.1198818554008847</v>
      </c>
      <c r="D13" s="5">
        <v>3.0821394174903713</v>
      </c>
      <c r="E13" s="5">
        <v>0</v>
      </c>
      <c r="F13" s="5">
        <v>6.9870704123515814</v>
      </c>
    </row>
    <row r="14" spans="1:6" x14ac:dyDescent="0.25">
      <c r="A14" s="12">
        <v>1952</v>
      </c>
      <c r="B14" s="5">
        <v>5.9848037649350685</v>
      </c>
      <c r="C14" s="5">
        <v>4.012098512117598</v>
      </c>
      <c r="D14" s="5">
        <v>2.7953019350091415</v>
      </c>
      <c r="E14" s="5">
        <v>0</v>
      </c>
      <c r="F14" s="5">
        <v>12.792204212061808</v>
      </c>
    </row>
    <row r="15" spans="1:6" x14ac:dyDescent="0.25">
      <c r="A15" s="12">
        <v>1953</v>
      </c>
      <c r="B15" s="5">
        <v>4.0473981072708058</v>
      </c>
      <c r="C15" s="5">
        <v>45.741892224472771</v>
      </c>
      <c r="D15" s="5">
        <v>1.615273712380811</v>
      </c>
      <c r="E15" s="5">
        <v>0</v>
      </c>
      <c r="F15" s="5">
        <v>51.404564044124392</v>
      </c>
    </row>
    <row r="16" spans="1:6" x14ac:dyDescent="0.25">
      <c r="A16" s="12">
        <v>1954</v>
      </c>
      <c r="B16" s="5">
        <v>4.5645382603281606</v>
      </c>
      <c r="C16" s="5">
        <v>35.298558607651032</v>
      </c>
      <c r="D16" s="5">
        <v>1.1543052855921401</v>
      </c>
      <c r="E16" s="5">
        <v>10.927649027966089</v>
      </c>
      <c r="F16" s="5">
        <v>51.945051181537423</v>
      </c>
    </row>
    <row r="17" spans="1:6" x14ac:dyDescent="0.25">
      <c r="A17" s="12">
        <v>1955</v>
      </c>
      <c r="B17" s="5">
        <v>8.9688645495093997</v>
      </c>
      <c r="C17" s="5">
        <v>45.083410604660791</v>
      </c>
      <c r="D17" s="5">
        <v>2.3128261610152223</v>
      </c>
      <c r="E17" s="5">
        <v>15.768487666914607</v>
      </c>
      <c r="F17" s="5">
        <v>72.133588982100022</v>
      </c>
    </row>
    <row r="18" spans="1:6" x14ac:dyDescent="0.25">
      <c r="A18" s="12">
        <v>1956</v>
      </c>
      <c r="B18" s="5">
        <v>12.47372240588556</v>
      </c>
      <c r="C18" s="5">
        <v>58.331562306848724</v>
      </c>
      <c r="D18" s="5">
        <v>2.0713560677732787</v>
      </c>
      <c r="E18" s="5">
        <v>17.534790572344232</v>
      </c>
      <c r="F18" s="5">
        <v>90.411431352851793</v>
      </c>
    </row>
    <row r="19" spans="1:6" x14ac:dyDescent="0.25">
      <c r="A19" s="12">
        <v>1957</v>
      </c>
      <c r="B19" s="5">
        <v>11.429620301161499</v>
      </c>
      <c r="C19" s="5">
        <v>50.772844176211365</v>
      </c>
      <c r="D19" s="5">
        <v>3.6508132039180663</v>
      </c>
      <c r="E19" s="5">
        <v>15.498449720063</v>
      </c>
      <c r="F19" s="5">
        <v>81.351727401353941</v>
      </c>
    </row>
    <row r="20" spans="1:6" x14ac:dyDescent="0.25">
      <c r="A20" s="12">
        <v>1958</v>
      </c>
      <c r="B20" s="5">
        <v>17.541993940983051</v>
      </c>
      <c r="C20" s="5">
        <v>72.243620683666052</v>
      </c>
      <c r="D20" s="5">
        <v>4.750450816295487</v>
      </c>
      <c r="E20" s="5">
        <v>30.916985612139751</v>
      </c>
      <c r="F20" s="5">
        <v>125.45305105308434</v>
      </c>
    </row>
    <row r="21" spans="1:6" x14ac:dyDescent="0.25">
      <c r="A21" s="12">
        <v>1959</v>
      </c>
      <c r="B21" s="5">
        <v>26.300719366887403</v>
      </c>
      <c r="C21" s="5">
        <v>52.234670555555851</v>
      </c>
      <c r="D21" s="5">
        <v>3.8187188179655545</v>
      </c>
      <c r="E21" s="5">
        <v>23.894860951892078</v>
      </c>
      <c r="F21" s="5">
        <v>106.2489696923009</v>
      </c>
    </row>
    <row r="22" spans="1:6" x14ac:dyDescent="0.25">
      <c r="A22" s="12">
        <v>1960</v>
      </c>
      <c r="B22" s="5">
        <v>47.513921240557927</v>
      </c>
      <c r="C22" s="5">
        <v>85.700915737052853</v>
      </c>
      <c r="D22" s="5">
        <v>7.8275837565123396</v>
      </c>
      <c r="E22" s="5">
        <v>50.346207370941656</v>
      </c>
      <c r="F22" s="5">
        <v>191.38862810506481</v>
      </c>
    </row>
    <row r="23" spans="1:6" x14ac:dyDescent="0.25">
      <c r="A23" s="12">
        <v>1961</v>
      </c>
      <c r="B23" s="5">
        <v>12.75985385265788</v>
      </c>
      <c r="C23" s="5">
        <v>55.008013970990312</v>
      </c>
      <c r="D23" s="5">
        <v>3.0542181658781553</v>
      </c>
      <c r="E23" s="5">
        <v>11.399253717117762</v>
      </c>
      <c r="F23" s="5">
        <v>82.221339706644102</v>
      </c>
    </row>
    <row r="24" spans="1:6" x14ac:dyDescent="0.25">
      <c r="A24" s="12">
        <v>1962</v>
      </c>
      <c r="B24" s="5">
        <v>23.956437420944766</v>
      </c>
      <c r="C24" s="5">
        <v>133.82376514341104</v>
      </c>
      <c r="D24" s="5">
        <v>13.418028811754837</v>
      </c>
      <c r="E24" s="5">
        <v>32.479035601889564</v>
      </c>
      <c r="F24" s="5">
        <v>203.6772669780002</v>
      </c>
    </row>
    <row r="25" spans="1:6" x14ac:dyDescent="0.25">
      <c r="A25" s="12">
        <v>1963</v>
      </c>
      <c r="B25" s="5">
        <v>12.998660368505027</v>
      </c>
      <c r="C25" s="5">
        <v>52.71364658954402</v>
      </c>
      <c r="D25" s="5">
        <v>2.426212746545116</v>
      </c>
      <c r="E25" s="5">
        <v>10.402130405879834</v>
      </c>
      <c r="F25" s="5">
        <v>78.54065011047399</v>
      </c>
    </row>
    <row r="26" spans="1:6" x14ac:dyDescent="0.25">
      <c r="A26" s="12">
        <v>1964</v>
      </c>
      <c r="B26" s="5">
        <v>15.651282940506631</v>
      </c>
      <c r="C26" s="5">
        <v>50.592311379414177</v>
      </c>
      <c r="D26" s="5">
        <v>2.468908778111762</v>
      </c>
      <c r="E26" s="5">
        <v>11.660539480936741</v>
      </c>
      <c r="F26" s="5">
        <v>80.373042578969319</v>
      </c>
    </row>
    <row r="27" spans="1:6" x14ac:dyDescent="0.25">
      <c r="A27" s="12">
        <v>1965</v>
      </c>
      <c r="B27" s="5">
        <v>14.651659187772415</v>
      </c>
      <c r="C27" s="5">
        <v>47.1032803433826</v>
      </c>
      <c r="D27" s="5">
        <v>4.028165296861081</v>
      </c>
      <c r="E27" s="5">
        <v>9.6738296721236772</v>
      </c>
      <c r="F27" s="5">
        <v>75.456934500139766</v>
      </c>
    </row>
    <row r="28" spans="1:6" x14ac:dyDescent="0.25">
      <c r="A28" s="12">
        <v>1966</v>
      </c>
      <c r="B28" s="5">
        <v>15.42769989362816</v>
      </c>
      <c r="C28" s="5">
        <v>55.418183045485428</v>
      </c>
      <c r="D28" s="5">
        <v>3.1268478952267635</v>
      </c>
      <c r="E28" s="5">
        <v>10.141410743789244</v>
      </c>
      <c r="F28" s="5">
        <v>84.11414157812959</v>
      </c>
    </row>
    <row r="29" spans="1:6" x14ac:dyDescent="0.25">
      <c r="A29" s="12">
        <v>1967</v>
      </c>
      <c r="B29" s="5">
        <v>20.97762508640978</v>
      </c>
      <c r="C29" s="5">
        <v>61.791346677365645</v>
      </c>
      <c r="D29" s="5">
        <v>3.9680809893720559</v>
      </c>
      <c r="E29" s="5">
        <v>11.144097491305308</v>
      </c>
      <c r="F29" s="5">
        <v>97.881150244452783</v>
      </c>
    </row>
    <row r="30" spans="1:6" x14ac:dyDescent="0.25">
      <c r="A30" s="12">
        <v>1968</v>
      </c>
      <c r="B30" s="5">
        <v>26.098710776934258</v>
      </c>
      <c r="C30" s="5">
        <v>55.427653894343678</v>
      </c>
      <c r="D30" s="5">
        <v>2.997473305505709</v>
      </c>
      <c r="E30" s="5">
        <v>9.3235774591634186</v>
      </c>
      <c r="F30" s="5">
        <v>93.847415435947056</v>
      </c>
    </row>
    <row r="31" spans="1:6" x14ac:dyDescent="0.25">
      <c r="A31" s="12">
        <v>1969</v>
      </c>
      <c r="B31" s="5">
        <v>29.783590120973617</v>
      </c>
      <c r="C31" s="5">
        <v>53.280869272293394</v>
      </c>
      <c r="D31" s="5">
        <v>4.2007339118276983</v>
      </c>
      <c r="E31" s="5">
        <v>8.3200190169591011</v>
      </c>
      <c r="F31" s="5">
        <v>95.58521232205382</v>
      </c>
    </row>
    <row r="32" spans="1:6" x14ac:dyDescent="0.25">
      <c r="A32" s="12">
        <v>1970</v>
      </c>
      <c r="B32" s="5">
        <v>38.926222775949185</v>
      </c>
      <c r="C32" s="5">
        <v>51.856720974139158</v>
      </c>
      <c r="D32" s="5">
        <v>3.5404272332463966</v>
      </c>
      <c r="E32" s="5">
        <v>8.8196552031903277</v>
      </c>
      <c r="F32" s="5">
        <v>103.14302618652506</v>
      </c>
    </row>
    <row r="33" spans="1:6" x14ac:dyDescent="0.25">
      <c r="A33" s="12">
        <v>1971</v>
      </c>
      <c r="B33" s="5">
        <v>33.232646854804088</v>
      </c>
      <c r="C33" s="5">
        <v>48.42826160881107</v>
      </c>
      <c r="D33" s="5">
        <v>6.2229663047987929</v>
      </c>
      <c r="E33" s="5">
        <v>7.0203662910269919</v>
      </c>
      <c r="F33" s="5">
        <v>94.904241059440935</v>
      </c>
    </row>
    <row r="34" spans="1:6" x14ac:dyDescent="0.25">
      <c r="A34" s="12">
        <v>1972</v>
      </c>
      <c r="B34" s="5">
        <v>36.47404032915712</v>
      </c>
      <c r="C34" s="5">
        <v>56.406478828334926</v>
      </c>
      <c r="D34" s="5">
        <v>5.746589732315095</v>
      </c>
      <c r="E34" s="5">
        <v>7.9105654099522305</v>
      </c>
      <c r="F34" s="5">
        <v>106.53767429975937</v>
      </c>
    </row>
    <row r="35" spans="1:6" x14ac:dyDescent="0.25">
      <c r="A35" s="12">
        <v>1973</v>
      </c>
      <c r="B35" s="5">
        <v>35.319232160687278</v>
      </c>
      <c r="C35" s="5">
        <v>53.504255353474228</v>
      </c>
      <c r="D35" s="5">
        <v>6.9720714260486067</v>
      </c>
      <c r="E35" s="5">
        <v>6.9911600814964929</v>
      </c>
      <c r="F35" s="5">
        <v>102.7867190217066</v>
      </c>
    </row>
    <row r="36" spans="1:6" x14ac:dyDescent="0.25">
      <c r="A36" s="12">
        <v>1974</v>
      </c>
      <c r="B36" s="5">
        <v>48.301003548539988</v>
      </c>
      <c r="C36" s="5">
        <v>50.748801168992905</v>
      </c>
      <c r="D36" s="5">
        <v>5.0445410829138382</v>
      </c>
      <c r="E36" s="5">
        <v>9.7796736736864709</v>
      </c>
      <c r="F36" s="5">
        <v>113.87401947413321</v>
      </c>
    </row>
    <row r="37" spans="1:6" x14ac:dyDescent="0.25">
      <c r="A37" s="12">
        <v>1975</v>
      </c>
      <c r="B37" s="5">
        <v>47.037840947325535</v>
      </c>
      <c r="C37" s="5">
        <v>51.068995215885238</v>
      </c>
      <c r="D37" s="5">
        <v>6.1561070389956294</v>
      </c>
      <c r="E37" s="5">
        <v>9.2391135789777206</v>
      </c>
      <c r="F37" s="5">
        <v>113.50205678118412</v>
      </c>
    </row>
    <row r="38" spans="1:6" x14ac:dyDescent="0.25">
      <c r="A38" s="12">
        <v>1976</v>
      </c>
      <c r="B38" s="5">
        <v>56.14130010621237</v>
      </c>
      <c r="C38" s="5">
        <v>46.854025361295726</v>
      </c>
      <c r="D38" s="5">
        <v>5.24355804404445</v>
      </c>
      <c r="E38" s="5">
        <v>8.8905466737114658</v>
      </c>
      <c r="F38" s="5">
        <v>117.12943018526401</v>
      </c>
    </row>
    <row r="39" spans="1:6" x14ac:dyDescent="0.25">
      <c r="A39" s="12">
        <v>1977</v>
      </c>
      <c r="B39" s="5">
        <v>53.341096560501825</v>
      </c>
      <c r="C39" s="5">
        <v>49.47459443334013</v>
      </c>
      <c r="D39" s="5">
        <v>8.4386594567469739</v>
      </c>
      <c r="E39" s="5">
        <v>8.3337826420088845</v>
      </c>
      <c r="F39" s="5">
        <v>119.58813309259781</v>
      </c>
    </row>
    <row r="40" spans="1:6" x14ac:dyDescent="0.25">
      <c r="A40" s="12">
        <v>1978</v>
      </c>
      <c r="B40" s="5">
        <v>67.642035903308667</v>
      </c>
      <c r="C40" s="5">
        <v>45.733028280946911</v>
      </c>
      <c r="D40" s="5">
        <v>6.1147098288839317</v>
      </c>
      <c r="E40" s="5">
        <v>9.0503865189376871</v>
      </c>
      <c r="F40" s="5">
        <v>128.54016053207721</v>
      </c>
    </row>
    <row r="41" spans="1:6" x14ac:dyDescent="0.25">
      <c r="A41" s="12">
        <v>1979</v>
      </c>
      <c r="B41" s="5">
        <v>58.412400049016874</v>
      </c>
      <c r="C41" s="5">
        <v>41.379564518927239</v>
      </c>
      <c r="D41" s="5">
        <v>9.1820289040275433</v>
      </c>
      <c r="E41" s="5">
        <v>1.7928754124318567E-2</v>
      </c>
      <c r="F41" s="5">
        <v>108.99192222609598</v>
      </c>
    </row>
    <row r="42" spans="1:6" x14ac:dyDescent="0.25">
      <c r="A42" s="12">
        <v>1980</v>
      </c>
      <c r="B42" s="5">
        <v>58.469086861606598</v>
      </c>
      <c r="C42" s="5">
        <v>42.689762322574133</v>
      </c>
      <c r="D42" s="5">
        <v>7.1254384961020847</v>
      </c>
      <c r="E42" s="5">
        <v>0.20999202189664873</v>
      </c>
      <c r="F42" s="5">
        <v>108.49427970217945</v>
      </c>
    </row>
    <row r="43" spans="1:6" x14ac:dyDescent="0.25">
      <c r="A43" s="12">
        <v>1981</v>
      </c>
      <c r="B43" s="5">
        <v>41.842019826645561</v>
      </c>
      <c r="C43" s="5">
        <v>38.466361549033955</v>
      </c>
      <c r="D43" s="5">
        <v>8.4015075615349222</v>
      </c>
      <c r="E43" s="5">
        <v>0.18844236813988716</v>
      </c>
      <c r="F43" s="5">
        <v>88.898331305354333</v>
      </c>
    </row>
    <row r="44" spans="1:6" x14ac:dyDescent="0.25">
      <c r="A44" s="12">
        <v>1982</v>
      </c>
      <c r="B44" s="5">
        <v>41.090843352838633</v>
      </c>
      <c r="C44" s="5">
        <v>48.146459912717646</v>
      </c>
      <c r="D44" s="5">
        <v>9.7226319671088728</v>
      </c>
      <c r="E44" s="5">
        <v>0.225026106502694</v>
      </c>
      <c r="F44" s="5">
        <v>99.184961339167842</v>
      </c>
    </row>
    <row r="45" spans="1:6" x14ac:dyDescent="0.25">
      <c r="A45" s="12">
        <v>1983</v>
      </c>
      <c r="B45" s="5">
        <v>44.791457442995345</v>
      </c>
      <c r="C45" s="5">
        <v>45.882672889268036</v>
      </c>
      <c r="D45" s="5">
        <v>8.7684238974395505</v>
      </c>
      <c r="E45" s="5">
        <v>0.22347698222918924</v>
      </c>
      <c r="F45" s="5">
        <v>99.666031211932122</v>
      </c>
    </row>
    <row r="46" spans="1:6" x14ac:dyDescent="0.25">
      <c r="A46" s="12">
        <v>1984</v>
      </c>
      <c r="B46" s="5">
        <v>51.485938928930864</v>
      </c>
      <c r="C46" s="5">
        <v>47.338805064790172</v>
      </c>
      <c r="D46" s="5">
        <v>9.7630512642438898</v>
      </c>
      <c r="E46" s="5">
        <v>0.21938201544133618</v>
      </c>
      <c r="F46" s="5">
        <v>108.80717727340625</v>
      </c>
    </row>
    <row r="47" spans="1:6" x14ac:dyDescent="0.25">
      <c r="A47" s="12">
        <v>1985</v>
      </c>
      <c r="B47" s="5">
        <v>49.288761672653926</v>
      </c>
      <c r="C47" s="5">
        <v>39.746554642005414</v>
      </c>
      <c r="D47" s="5">
        <v>7.1984815442012771</v>
      </c>
      <c r="E47" s="5">
        <v>0.20386885990900713</v>
      </c>
      <c r="F47" s="5">
        <v>96.43766671876962</v>
      </c>
    </row>
    <row r="48" spans="1:6" x14ac:dyDescent="0.25">
      <c r="A48" s="12">
        <v>1986</v>
      </c>
      <c r="B48" s="5">
        <v>45.711054646196452</v>
      </c>
      <c r="C48" s="5">
        <v>37.013550715027449</v>
      </c>
      <c r="D48" s="5">
        <v>7.7661989222988614</v>
      </c>
      <c r="E48" s="5">
        <v>0.20866742197042562</v>
      </c>
      <c r="F48" s="5">
        <v>90.699471705493181</v>
      </c>
    </row>
    <row r="49" spans="1:6" x14ac:dyDescent="0.25">
      <c r="A49" s="12">
        <v>1987</v>
      </c>
      <c r="B49" s="5">
        <v>34.103154814346844</v>
      </c>
      <c r="C49" s="5">
        <v>35.07735092616894</v>
      </c>
      <c r="D49" s="5">
        <v>9.5954694848522557</v>
      </c>
      <c r="E49" s="5">
        <v>0.20528198630902261</v>
      </c>
      <c r="F49" s="5">
        <v>78.981257211677061</v>
      </c>
    </row>
    <row r="50" spans="1:6" x14ac:dyDescent="0.25">
      <c r="A50" s="12">
        <v>1988</v>
      </c>
      <c r="B50" s="5">
        <v>44.25962431989209</v>
      </c>
      <c r="C50" s="5">
        <v>45.665571434163411</v>
      </c>
      <c r="D50" s="5">
        <v>10.296430784031553</v>
      </c>
      <c r="E50" s="5">
        <v>0.25501103078174892</v>
      </c>
      <c r="F50" s="5">
        <v>100.4766375688688</v>
      </c>
    </row>
    <row r="51" spans="1:6" x14ac:dyDescent="0.25">
      <c r="A51" s="12">
        <v>1989</v>
      </c>
      <c r="B51" s="5">
        <v>43.615901002397017</v>
      </c>
      <c r="C51" s="5">
        <v>42.179214222665671</v>
      </c>
      <c r="D51" s="5">
        <v>8.2312340022163131</v>
      </c>
      <c r="E51" s="5">
        <v>0.25410787259835466</v>
      </c>
      <c r="F51" s="5">
        <v>94.280457099877353</v>
      </c>
    </row>
    <row r="52" spans="1:6" x14ac:dyDescent="0.25">
      <c r="A52" s="12">
        <v>1990</v>
      </c>
      <c r="B52" s="5">
        <v>52.650418094617521</v>
      </c>
      <c r="C52" s="5">
        <v>36.85450070920259</v>
      </c>
      <c r="D52" s="5">
        <v>7.4443470263270761</v>
      </c>
      <c r="E52" s="5">
        <v>0.23227328865527511</v>
      </c>
      <c r="F52" s="5">
        <v>97.181539118802476</v>
      </c>
    </row>
    <row r="53" spans="1:6" x14ac:dyDescent="0.25">
      <c r="A53" s="12">
        <v>1991</v>
      </c>
      <c r="B53" s="5">
        <v>44.741566829606938</v>
      </c>
      <c r="C53" s="5">
        <v>33.343606164704184</v>
      </c>
      <c r="D53" s="5">
        <v>9.2384736920618433</v>
      </c>
      <c r="E53" s="5">
        <v>0.2218734610272029</v>
      </c>
      <c r="F53" s="5">
        <v>87.545520147400168</v>
      </c>
    </row>
    <row r="54" spans="1:6" x14ac:dyDescent="0.25">
      <c r="A54" s="12">
        <v>1992</v>
      </c>
      <c r="B54" s="5">
        <v>39.522078429686871</v>
      </c>
      <c r="C54" s="5">
        <v>40.43786376317378</v>
      </c>
      <c r="D54" s="5">
        <v>14.169863954001741</v>
      </c>
      <c r="E54" s="5">
        <v>0.31046506482256297</v>
      </c>
      <c r="F54" s="5">
        <v>94.440271211684959</v>
      </c>
    </row>
    <row r="55" spans="1:6" x14ac:dyDescent="0.25">
      <c r="A55" s="12">
        <v>1993</v>
      </c>
      <c r="B55" s="5">
        <v>33.604205835089083</v>
      </c>
      <c r="C55" s="5">
        <v>42.783008027729224</v>
      </c>
      <c r="D55" s="5">
        <v>13.433844570902528</v>
      </c>
      <c r="E55" s="5">
        <v>0.27179250674983807</v>
      </c>
      <c r="F55" s="5">
        <v>90.092850940470655</v>
      </c>
    </row>
    <row r="56" spans="1:6" x14ac:dyDescent="0.25">
      <c r="A56" s="12">
        <v>1994</v>
      </c>
      <c r="B56" s="5">
        <v>49.546281075289237</v>
      </c>
      <c r="C56" s="5">
        <v>39.076611474096381</v>
      </c>
      <c r="D56" s="5">
        <v>8.2184291254973374</v>
      </c>
      <c r="E56" s="5">
        <v>0.2423591147539835</v>
      </c>
      <c r="F56" s="5">
        <v>97.083680789636944</v>
      </c>
    </row>
    <row r="57" spans="1:6" x14ac:dyDescent="0.25">
      <c r="A57" s="12">
        <v>1995</v>
      </c>
      <c r="B57" s="5">
        <v>46.231292403264995</v>
      </c>
      <c r="C57" s="5">
        <v>33.831601249699034</v>
      </c>
      <c r="D57" s="5">
        <v>9.1717427737022135</v>
      </c>
      <c r="E57" s="5">
        <v>0.23832616205389598</v>
      </c>
      <c r="F57" s="5">
        <v>89.472962588720137</v>
      </c>
    </row>
    <row r="58" spans="1:6" x14ac:dyDescent="0.25">
      <c r="A58" s="12">
        <v>1996</v>
      </c>
      <c r="B58" s="5">
        <v>36.292601400094107</v>
      </c>
      <c r="C58" s="5">
        <v>37.72825254569765</v>
      </c>
      <c r="D58" s="5">
        <v>11.274041509766782</v>
      </c>
      <c r="E58" s="5">
        <v>0.15718285981311367</v>
      </c>
      <c r="F58" s="5">
        <v>85.452078315371651</v>
      </c>
    </row>
    <row r="59" spans="1:6" x14ac:dyDescent="0.25">
      <c r="A59" s="12">
        <v>1997</v>
      </c>
      <c r="B59" s="5">
        <v>49.525644527071044</v>
      </c>
      <c r="C59" s="5">
        <v>33.962315221502514</v>
      </c>
      <c r="D59" s="5">
        <v>7.1496469668493061</v>
      </c>
      <c r="E59" s="5">
        <v>0.12905730394878387</v>
      </c>
      <c r="F59" s="5">
        <v>90.766664019371646</v>
      </c>
    </row>
    <row r="60" spans="1:6" x14ac:dyDescent="0.25">
      <c r="A60" s="12">
        <v>1998</v>
      </c>
      <c r="B60" s="5">
        <v>61.584425965013445</v>
      </c>
      <c r="C60" s="5">
        <v>32.635033285645555</v>
      </c>
      <c r="D60" s="5">
        <v>7.865964637043005</v>
      </c>
      <c r="E60" s="5">
        <v>0.13588772884393993</v>
      </c>
      <c r="F60" s="5">
        <v>102.22131161654595</v>
      </c>
    </row>
    <row r="61" spans="1:6" x14ac:dyDescent="0.25">
      <c r="A61" s="12">
        <v>1999</v>
      </c>
      <c r="B61" s="5">
        <v>36.465487914640931</v>
      </c>
      <c r="C61" s="5">
        <v>33.276452299070584</v>
      </c>
      <c r="D61" s="5">
        <v>9.0441190722097264</v>
      </c>
      <c r="E61" s="5">
        <v>0.12558303493914405</v>
      </c>
      <c r="F61" s="5">
        <v>78.911642320860381</v>
      </c>
    </row>
    <row r="62" spans="1:6" x14ac:dyDescent="0.25">
      <c r="A62" s="12">
        <v>2000</v>
      </c>
      <c r="B62" s="5">
        <v>74.850958899527924</v>
      </c>
      <c r="C62" s="5">
        <v>31.333451700731711</v>
      </c>
      <c r="D62" s="5">
        <v>7.6196535989933087</v>
      </c>
      <c r="E62" s="5">
        <v>0.1478256267563875</v>
      </c>
      <c r="F62" s="5">
        <v>113.95188982600934</v>
      </c>
    </row>
    <row r="63" spans="1:6" x14ac:dyDescent="0.25">
      <c r="A63" s="12">
        <v>2001</v>
      </c>
      <c r="B63" s="5">
        <v>56.13168499970589</v>
      </c>
      <c r="C63" s="5">
        <v>20.928513358788596</v>
      </c>
      <c r="D63" s="5">
        <v>9.0267123029779661</v>
      </c>
      <c r="E63" s="5">
        <v>0.13890606211585352</v>
      </c>
      <c r="F63" s="5">
        <v>86.225816723588309</v>
      </c>
    </row>
    <row r="64" spans="1:6" x14ac:dyDescent="0.25">
      <c r="A64" s="12">
        <v>2002</v>
      </c>
      <c r="B64" s="5">
        <v>84.332223245874445</v>
      </c>
      <c r="C64" s="5">
        <v>14.120039315925309</v>
      </c>
      <c r="D64" s="5">
        <v>5.9867202651222664</v>
      </c>
      <c r="E64" s="5">
        <v>0.16237249269722454</v>
      </c>
      <c r="F64" s="5">
        <v>104.60135531961926</v>
      </c>
    </row>
    <row r="65" spans="1:6" x14ac:dyDescent="0.25">
      <c r="A65" s="12">
        <v>2003</v>
      </c>
      <c r="B65" s="5">
        <v>72.755903293647677</v>
      </c>
      <c r="C65" s="5">
        <v>12.937342270488969</v>
      </c>
      <c r="D65" s="5">
        <v>8.8197373466375613</v>
      </c>
      <c r="E65" s="5">
        <v>5.1872566427220518E-2</v>
      </c>
      <c r="F65" s="5">
        <v>94.564855477201434</v>
      </c>
    </row>
    <row r="66" spans="1:6" x14ac:dyDescent="0.25">
      <c r="A66" s="12">
        <v>2004</v>
      </c>
      <c r="B66" s="5">
        <v>69.639937560034397</v>
      </c>
      <c r="C66" s="5">
        <v>16.628748015107639</v>
      </c>
      <c r="D66" s="5">
        <v>14.944571904104528</v>
      </c>
      <c r="E66" s="5">
        <v>3.0973384251054843E-2</v>
      </c>
      <c r="F66" s="5">
        <v>101.24423086349761</v>
      </c>
    </row>
    <row r="67" spans="1:6" x14ac:dyDescent="0.25">
      <c r="A67" s="12">
        <v>2005</v>
      </c>
      <c r="B67" s="5">
        <v>57.739264771287949</v>
      </c>
      <c r="C67" s="5">
        <v>13.292041694677605</v>
      </c>
      <c r="D67" s="5">
        <v>13.658830104320597</v>
      </c>
      <c r="E67" s="5">
        <v>3.2868841322619247E-2</v>
      </c>
      <c r="F67" s="5">
        <v>84.723005411608781</v>
      </c>
    </row>
    <row r="68" spans="1:6" x14ac:dyDescent="0.25">
      <c r="A68" s="12">
        <v>2006</v>
      </c>
      <c r="B68" s="5">
        <v>60.649609747434887</v>
      </c>
      <c r="C68" s="5">
        <v>0</v>
      </c>
      <c r="D68" s="5">
        <v>14.940997632745551</v>
      </c>
      <c r="E68" s="5">
        <v>3.9021588202201384E-2</v>
      </c>
      <c r="F68" s="5">
        <v>75.629628968382647</v>
      </c>
    </row>
    <row r="69" spans="1:6" x14ac:dyDescent="0.25">
      <c r="A69" s="12">
        <v>2007</v>
      </c>
      <c r="B69" s="5">
        <v>63.362578192605426</v>
      </c>
      <c r="C69" s="5">
        <v>0</v>
      </c>
      <c r="D69" s="5">
        <v>23.527447956903348</v>
      </c>
      <c r="E69" s="5">
        <v>4.5124984186181008E-2</v>
      </c>
      <c r="F69" s="5">
        <v>86.935151133694959</v>
      </c>
    </row>
    <row r="70" spans="1:6" x14ac:dyDescent="0.25">
      <c r="A70" s="12">
        <v>2008</v>
      </c>
      <c r="B70" s="5">
        <v>75.490197645830591</v>
      </c>
      <c r="C70" s="5">
        <v>0</v>
      </c>
      <c r="D70" s="5">
        <v>23.902341950851678</v>
      </c>
      <c r="E70" s="5">
        <v>5.0597900469502556E-2</v>
      </c>
      <c r="F70" s="5">
        <v>99.443137497151767</v>
      </c>
    </row>
    <row r="71" spans="1:6" x14ac:dyDescent="0.25">
      <c r="A71" s="12">
        <v>2009</v>
      </c>
      <c r="B71" s="5">
        <v>42.485016762216183</v>
      </c>
      <c r="C71" s="5">
        <v>21.867570486782981</v>
      </c>
      <c r="D71" s="5">
        <v>19.066883943574233</v>
      </c>
      <c r="E71" s="5">
        <v>3.6841966583792823E-2</v>
      </c>
      <c r="F71" s="5">
        <v>83.456313159157176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Traylor, Jonathan P.</cp:lastModifiedBy>
  <dcterms:created xsi:type="dcterms:W3CDTF">2012-07-25T15:44:30Z</dcterms:created>
  <dcterms:modified xsi:type="dcterms:W3CDTF">2012-11-14T17:13:33Z</dcterms:modified>
</cp:coreProperties>
</file>