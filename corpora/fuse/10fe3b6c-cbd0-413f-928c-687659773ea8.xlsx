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tif" ContentType="image/tif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autoCompressPictures="0"/>
  <bookViews>
    <workbookView xWindow="0" yWindow="60" windowWidth="15600" windowHeight="11700"/>
  </bookViews>
  <sheets>
    <sheet name="Yearly Calendar" sheetId="1" r:id="rId1"/>
  </sheets>
  <definedNames>
    <definedName name="AprSun1">DATE(CalendarYear,4,1)-WEEKDAY(DATE(CalendarYear,4,1))</definedName>
    <definedName name="AugSun1">DATE(CalendarYear,8,1)-WEEKDAY(DATE(CalendarYear,8,1))</definedName>
    <definedName name="CalendarYear">'Yearly Calendar'!$C$1</definedName>
    <definedName name="DecSun1">DATE(CalendarYear,12,1)-WEEKDAY(DATE(CalendarYear,12,1))</definedName>
    <definedName name="FebSun1">DATE(CalendarYear,2,1)-WEEKDAY(DATE(CalendarYear,2,1))</definedName>
    <definedName name="JanSun1">DATE(CalendarYear,1,1)-WEEKDAY(DATE(CalendarYear,1,1))</definedName>
    <definedName name="JulSun1">DATE(CalendarYear,7,1)-WEEKDAY(DATE(CalendarYear,7,1))</definedName>
    <definedName name="JunSun1">DATE(CalendarYear,6,1)-WEEKDAY(DATE(CalendarYear,6,1))</definedName>
    <definedName name="MarSun1">DATE(CalendarYear,3,1)-WEEKDAY(DATE(CalendarYear,3,1))</definedName>
    <definedName name="MaySun1">DATE(CalendarYear,5,1)-WEEKDAY(DATE(CalendarYear,5,1))</definedName>
    <definedName name="NovSun1">DATE(CalendarYear,11,1)-WEEKDAY(DATE(CalendarYear,11,1))</definedName>
    <definedName name="OctSun1">DATE(CalendarYear,10,1)-WEEKDAY(DATE(CalendarYear,10,1))</definedName>
    <definedName name="_xlnm.Print_Area" localSheetId="0">'Yearly Calendar'!$B$1:$X$77</definedName>
    <definedName name="SepSun1">DATE(CalendarYear,9,1)-WEEKDAY(DATE(CalendarYear,9,1))</definedName>
  </definedNames>
  <calcPr calcId="145621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11" i="1" l="1"/>
  <c r="D11" i="1"/>
  <c r="E11" i="1"/>
  <c r="F11" i="1"/>
  <c r="G11" i="1"/>
  <c r="H11" i="1"/>
  <c r="I11" i="1"/>
  <c r="K11" i="1"/>
  <c r="L11" i="1"/>
  <c r="M11" i="1"/>
  <c r="N11" i="1"/>
  <c r="O11" i="1"/>
  <c r="P11" i="1"/>
  <c r="Q11" i="1"/>
  <c r="C12" i="1"/>
  <c r="D12" i="1"/>
  <c r="E12" i="1"/>
  <c r="F12" i="1"/>
  <c r="G12" i="1"/>
  <c r="H12" i="1"/>
  <c r="I12" i="1"/>
  <c r="K12" i="1"/>
  <c r="L12" i="1"/>
  <c r="M12" i="1"/>
  <c r="N12" i="1"/>
  <c r="O12" i="1"/>
  <c r="P12" i="1"/>
  <c r="Q12" i="1"/>
  <c r="Q77" i="1" l="1"/>
  <c r="P77" i="1"/>
  <c r="O77" i="1"/>
  <c r="N77" i="1"/>
  <c r="M77" i="1"/>
  <c r="L77" i="1"/>
  <c r="K77" i="1"/>
  <c r="Q76" i="1"/>
  <c r="P76" i="1"/>
  <c r="O76" i="1"/>
  <c r="N76" i="1"/>
  <c r="M76" i="1"/>
  <c r="L76" i="1"/>
  <c r="K76" i="1"/>
  <c r="Q75" i="1"/>
  <c r="P75" i="1"/>
  <c r="O75" i="1"/>
  <c r="N75" i="1"/>
  <c r="M75" i="1"/>
  <c r="L75" i="1"/>
  <c r="K75" i="1"/>
  <c r="Q74" i="1"/>
  <c r="P74" i="1"/>
  <c r="O74" i="1"/>
  <c r="N74" i="1"/>
  <c r="M74" i="1"/>
  <c r="L74" i="1"/>
  <c r="K74" i="1"/>
  <c r="Q73" i="1"/>
  <c r="P73" i="1"/>
  <c r="O73" i="1"/>
  <c r="N73" i="1"/>
  <c r="M73" i="1"/>
  <c r="L73" i="1"/>
  <c r="K73" i="1"/>
  <c r="Q72" i="1"/>
  <c r="P72" i="1"/>
  <c r="O72" i="1"/>
  <c r="N72" i="1"/>
  <c r="M72" i="1"/>
  <c r="L72" i="1"/>
  <c r="K72" i="1"/>
  <c r="I77" i="1"/>
  <c r="H77" i="1"/>
  <c r="G77" i="1"/>
  <c r="F77" i="1"/>
  <c r="E77" i="1"/>
  <c r="D77" i="1"/>
  <c r="C77" i="1"/>
  <c r="I76" i="1"/>
  <c r="H76" i="1"/>
  <c r="G76" i="1"/>
  <c r="F76" i="1"/>
  <c r="E76" i="1"/>
  <c r="D76" i="1"/>
  <c r="C76" i="1"/>
  <c r="I75" i="1"/>
  <c r="H75" i="1"/>
  <c r="G75" i="1"/>
  <c r="F75" i="1"/>
  <c r="E75" i="1"/>
  <c r="D75" i="1"/>
  <c r="C75" i="1"/>
  <c r="I74" i="1"/>
  <c r="H74" i="1"/>
  <c r="G74" i="1"/>
  <c r="F74" i="1"/>
  <c r="E74" i="1"/>
  <c r="D74" i="1"/>
  <c r="C74" i="1"/>
  <c r="I73" i="1"/>
  <c r="H73" i="1"/>
  <c r="G73" i="1"/>
  <c r="F73" i="1"/>
  <c r="E73" i="1"/>
  <c r="D73" i="1"/>
  <c r="C73" i="1"/>
  <c r="I72" i="1"/>
  <c r="H72" i="1"/>
  <c r="G72" i="1"/>
  <c r="F72" i="1"/>
  <c r="E72" i="1"/>
  <c r="D72" i="1"/>
  <c r="C72" i="1"/>
  <c r="Q68" i="1"/>
  <c r="P68" i="1"/>
  <c r="O68" i="1"/>
  <c r="N68" i="1"/>
  <c r="M68" i="1"/>
  <c r="L68" i="1"/>
  <c r="K68" i="1"/>
  <c r="Q67" i="1"/>
  <c r="P67" i="1"/>
  <c r="O67" i="1"/>
  <c r="N67" i="1"/>
  <c r="M67" i="1"/>
  <c r="L67" i="1"/>
  <c r="K67" i="1"/>
  <c r="Q66" i="1"/>
  <c r="P66" i="1"/>
  <c r="O66" i="1"/>
  <c r="N66" i="1"/>
  <c r="M66" i="1"/>
  <c r="L66" i="1"/>
  <c r="K66" i="1"/>
  <c r="Q65" i="1"/>
  <c r="P65" i="1"/>
  <c r="O65" i="1"/>
  <c r="N65" i="1"/>
  <c r="M65" i="1"/>
  <c r="L65" i="1"/>
  <c r="K65" i="1"/>
  <c r="Q64" i="1"/>
  <c r="P64" i="1"/>
  <c r="O64" i="1"/>
  <c r="N64" i="1"/>
  <c r="M64" i="1"/>
  <c r="L64" i="1"/>
  <c r="K64" i="1"/>
  <c r="Q63" i="1"/>
  <c r="P63" i="1"/>
  <c r="O63" i="1"/>
  <c r="N63" i="1"/>
  <c r="M63" i="1"/>
  <c r="L63" i="1"/>
  <c r="K63" i="1"/>
  <c r="I68" i="1"/>
  <c r="H68" i="1"/>
  <c r="G68" i="1"/>
  <c r="F68" i="1"/>
  <c r="E68" i="1"/>
  <c r="D68" i="1"/>
  <c r="C68" i="1"/>
  <c r="I67" i="1"/>
  <c r="H67" i="1"/>
  <c r="G67" i="1"/>
  <c r="F67" i="1"/>
  <c r="E67" i="1"/>
  <c r="D67" i="1"/>
  <c r="C67" i="1"/>
  <c r="I66" i="1"/>
  <c r="H66" i="1"/>
  <c r="G66" i="1"/>
  <c r="F66" i="1"/>
  <c r="E66" i="1"/>
  <c r="D66" i="1"/>
  <c r="C66" i="1"/>
  <c r="I65" i="1"/>
  <c r="H65" i="1"/>
  <c r="G65" i="1"/>
  <c r="F65" i="1"/>
  <c r="E65" i="1"/>
  <c r="D65" i="1"/>
  <c r="C65" i="1"/>
  <c r="I64" i="1"/>
  <c r="H64" i="1"/>
  <c r="G64" i="1"/>
  <c r="F64" i="1"/>
  <c r="E64" i="1"/>
  <c r="D64" i="1"/>
  <c r="C64" i="1"/>
  <c r="I63" i="1"/>
  <c r="H63" i="1"/>
  <c r="G63" i="1"/>
  <c r="F63" i="1"/>
  <c r="E63" i="1"/>
  <c r="D63" i="1"/>
  <c r="C63" i="1"/>
  <c r="Q59" i="1"/>
  <c r="P59" i="1"/>
  <c r="O59" i="1"/>
  <c r="N59" i="1"/>
  <c r="M59" i="1"/>
  <c r="L59" i="1"/>
  <c r="K59" i="1"/>
  <c r="Q58" i="1"/>
  <c r="P58" i="1"/>
  <c r="O58" i="1"/>
  <c r="N58" i="1"/>
  <c r="M58" i="1"/>
  <c r="L58" i="1"/>
  <c r="K58" i="1"/>
  <c r="Q57" i="1"/>
  <c r="P57" i="1"/>
  <c r="O57" i="1"/>
  <c r="N57" i="1"/>
  <c r="M57" i="1"/>
  <c r="L57" i="1"/>
  <c r="K57" i="1"/>
  <c r="Q56" i="1"/>
  <c r="P56" i="1"/>
  <c r="O56" i="1"/>
  <c r="N56" i="1"/>
  <c r="M56" i="1"/>
  <c r="L56" i="1"/>
  <c r="K56" i="1"/>
  <c r="Q55" i="1"/>
  <c r="P55" i="1"/>
  <c r="O55" i="1"/>
  <c r="N55" i="1"/>
  <c r="M55" i="1"/>
  <c r="L55" i="1"/>
  <c r="K55" i="1"/>
  <c r="Q54" i="1"/>
  <c r="P54" i="1"/>
  <c r="O54" i="1"/>
  <c r="N54" i="1"/>
  <c r="M54" i="1"/>
  <c r="L54" i="1"/>
  <c r="K54" i="1"/>
  <c r="I59" i="1"/>
  <c r="H59" i="1"/>
  <c r="G59" i="1"/>
  <c r="F59" i="1"/>
  <c r="E59" i="1"/>
  <c r="D59" i="1"/>
  <c r="C59" i="1"/>
  <c r="I58" i="1"/>
  <c r="H58" i="1"/>
  <c r="G58" i="1"/>
  <c r="F58" i="1"/>
  <c r="E58" i="1"/>
  <c r="D58" i="1"/>
  <c r="C58" i="1"/>
  <c r="I57" i="1"/>
  <c r="H57" i="1"/>
  <c r="G57" i="1"/>
  <c r="F57" i="1"/>
  <c r="E57" i="1"/>
  <c r="D57" i="1"/>
  <c r="C57" i="1"/>
  <c r="I56" i="1"/>
  <c r="H56" i="1"/>
  <c r="G56" i="1"/>
  <c r="F56" i="1"/>
  <c r="E56" i="1"/>
  <c r="D56" i="1"/>
  <c r="C56" i="1"/>
  <c r="I55" i="1"/>
  <c r="H55" i="1"/>
  <c r="G55" i="1"/>
  <c r="F55" i="1"/>
  <c r="E55" i="1"/>
  <c r="D55" i="1"/>
  <c r="C55" i="1"/>
  <c r="I54" i="1"/>
  <c r="H54" i="1"/>
  <c r="G54" i="1"/>
  <c r="F54" i="1"/>
  <c r="E54" i="1"/>
  <c r="D54" i="1"/>
  <c r="Q49" i="1"/>
  <c r="P49" i="1"/>
  <c r="O49" i="1"/>
  <c r="N49" i="1"/>
  <c r="M49" i="1"/>
  <c r="L49" i="1"/>
  <c r="K49" i="1"/>
  <c r="Q46" i="1"/>
  <c r="P46" i="1"/>
  <c r="O46" i="1"/>
  <c r="N46" i="1"/>
  <c r="M46" i="1"/>
  <c r="L46" i="1"/>
  <c r="K46" i="1"/>
  <c r="Q44" i="1"/>
  <c r="P44" i="1"/>
  <c r="O44" i="1"/>
  <c r="N44" i="1"/>
  <c r="M44" i="1"/>
  <c r="L44" i="1"/>
  <c r="K44" i="1"/>
  <c r="Q43" i="1"/>
  <c r="P43" i="1"/>
  <c r="O43" i="1"/>
  <c r="N43" i="1"/>
  <c r="M43" i="1"/>
  <c r="L43" i="1"/>
  <c r="K43" i="1"/>
  <c r="Q40" i="1"/>
  <c r="P40" i="1"/>
  <c r="O40" i="1"/>
  <c r="N40" i="1"/>
  <c r="M40" i="1"/>
  <c r="L40" i="1"/>
  <c r="K40" i="1"/>
  <c r="Q39" i="1"/>
  <c r="P39" i="1"/>
  <c r="O39" i="1"/>
  <c r="N39" i="1"/>
  <c r="M39" i="1"/>
  <c r="L39" i="1"/>
  <c r="K39" i="1"/>
  <c r="I49" i="1"/>
  <c r="H49" i="1"/>
  <c r="G49" i="1"/>
  <c r="F49" i="1"/>
  <c r="E49" i="1"/>
  <c r="D49" i="1"/>
  <c r="C49" i="1"/>
  <c r="I46" i="1"/>
  <c r="H46" i="1"/>
  <c r="G46" i="1"/>
  <c r="F46" i="1"/>
  <c r="E46" i="1"/>
  <c r="D46" i="1"/>
  <c r="C46" i="1"/>
  <c r="I44" i="1"/>
  <c r="H44" i="1"/>
  <c r="G44" i="1"/>
  <c r="F44" i="1"/>
  <c r="E44" i="1"/>
  <c r="D44" i="1"/>
  <c r="C44" i="1"/>
  <c r="I43" i="1"/>
  <c r="H43" i="1"/>
  <c r="G43" i="1"/>
  <c r="F43" i="1"/>
  <c r="E43" i="1"/>
  <c r="D43" i="1"/>
  <c r="C43" i="1"/>
  <c r="I40" i="1"/>
  <c r="H40" i="1"/>
  <c r="G40" i="1"/>
  <c r="F40" i="1"/>
  <c r="E40" i="1"/>
  <c r="D40" i="1"/>
  <c r="C40" i="1"/>
  <c r="I39" i="1"/>
  <c r="H39" i="1"/>
  <c r="G39" i="1"/>
  <c r="F39" i="1"/>
  <c r="E39" i="1"/>
  <c r="D39" i="1"/>
  <c r="C39" i="1"/>
  <c r="Q29" i="1"/>
  <c r="P29" i="1"/>
  <c r="O29" i="1"/>
  <c r="N29" i="1"/>
  <c r="M29" i="1"/>
  <c r="L29" i="1"/>
  <c r="K29" i="1"/>
  <c r="Q28" i="1"/>
  <c r="P28" i="1"/>
  <c r="O28" i="1"/>
  <c r="N28" i="1"/>
  <c r="M28" i="1"/>
  <c r="L28" i="1"/>
  <c r="K28" i="1"/>
  <c r="Q27" i="1"/>
  <c r="P27" i="1"/>
  <c r="O27" i="1"/>
  <c r="N27" i="1"/>
  <c r="M27" i="1"/>
  <c r="L27" i="1"/>
  <c r="K27" i="1"/>
  <c r="Q26" i="1"/>
  <c r="P26" i="1"/>
  <c r="O26" i="1"/>
  <c r="N26" i="1"/>
  <c r="M26" i="1"/>
  <c r="L26" i="1"/>
  <c r="K26" i="1"/>
  <c r="Q24" i="1"/>
  <c r="P24" i="1"/>
  <c r="O24" i="1"/>
  <c r="N24" i="1"/>
  <c r="M24" i="1"/>
  <c r="L24" i="1"/>
  <c r="K24" i="1"/>
  <c r="Q23" i="1"/>
  <c r="P23" i="1"/>
  <c r="O23" i="1"/>
  <c r="N23" i="1"/>
  <c r="M23" i="1"/>
  <c r="L23" i="1"/>
  <c r="K23" i="1"/>
  <c r="I29" i="1"/>
  <c r="H29" i="1"/>
  <c r="G29" i="1"/>
  <c r="F29" i="1"/>
  <c r="E29" i="1"/>
  <c r="D29" i="1"/>
  <c r="C29" i="1"/>
  <c r="I28" i="1"/>
  <c r="H28" i="1"/>
  <c r="G28" i="1"/>
  <c r="F28" i="1"/>
  <c r="E28" i="1"/>
  <c r="D28" i="1"/>
  <c r="C28" i="1"/>
  <c r="I27" i="1"/>
  <c r="H27" i="1"/>
  <c r="G27" i="1"/>
  <c r="F27" i="1"/>
  <c r="E27" i="1"/>
  <c r="D27" i="1"/>
  <c r="C27" i="1"/>
  <c r="I26" i="1"/>
  <c r="H26" i="1"/>
  <c r="G26" i="1"/>
  <c r="F26" i="1"/>
  <c r="E26" i="1"/>
  <c r="D26" i="1"/>
  <c r="C26" i="1"/>
  <c r="I24" i="1"/>
  <c r="H24" i="1"/>
  <c r="G24" i="1"/>
  <c r="F24" i="1"/>
  <c r="E24" i="1"/>
  <c r="D24" i="1"/>
  <c r="C24" i="1"/>
  <c r="I23" i="1"/>
  <c r="H23" i="1"/>
  <c r="G23" i="1"/>
  <c r="F23" i="1"/>
  <c r="E23" i="1"/>
  <c r="D23" i="1"/>
  <c r="C23" i="1"/>
  <c r="Q17" i="1"/>
  <c r="P17" i="1"/>
  <c r="O17" i="1"/>
  <c r="N17" i="1"/>
  <c r="M17" i="1"/>
  <c r="L17" i="1"/>
  <c r="K17" i="1"/>
  <c r="Q14" i="1"/>
  <c r="P14" i="1"/>
  <c r="O14" i="1"/>
  <c r="N14" i="1"/>
  <c r="M14" i="1"/>
  <c r="L14" i="1"/>
  <c r="K14" i="1"/>
  <c r="Q13" i="1"/>
  <c r="P13" i="1"/>
  <c r="O13" i="1"/>
  <c r="N13" i="1"/>
  <c r="M13" i="1"/>
  <c r="L13" i="1"/>
  <c r="K13" i="1"/>
  <c r="Q9" i="1"/>
  <c r="P9" i="1"/>
  <c r="O9" i="1"/>
  <c r="N9" i="1"/>
  <c r="M9" i="1"/>
  <c r="L9" i="1"/>
  <c r="K9" i="1"/>
  <c r="I17" i="1"/>
  <c r="H17" i="1"/>
  <c r="G17" i="1"/>
  <c r="F17" i="1"/>
  <c r="E17" i="1"/>
  <c r="D17" i="1"/>
  <c r="C17" i="1"/>
  <c r="I14" i="1"/>
  <c r="H14" i="1"/>
  <c r="G14" i="1"/>
  <c r="F14" i="1"/>
  <c r="E14" i="1"/>
  <c r="D14" i="1"/>
  <c r="C14" i="1"/>
  <c r="I13" i="1"/>
  <c r="H13" i="1"/>
  <c r="G13" i="1"/>
  <c r="F13" i="1"/>
  <c r="E13" i="1"/>
  <c r="D13" i="1"/>
  <c r="C13" i="1"/>
  <c r="I9" i="1"/>
  <c r="H9" i="1"/>
  <c r="G9" i="1"/>
  <c r="F9" i="1"/>
  <c r="E9" i="1"/>
  <c r="D9" i="1"/>
  <c r="C9" i="1"/>
</calcChain>
</file>

<file path=xl/sharedStrings.xml><?xml version="1.0" encoding="utf-8"?>
<sst xmlns="http://schemas.openxmlformats.org/spreadsheetml/2006/main" count="148" uniqueCount="63">
  <si>
    <t>S</t>
  </si>
  <si>
    <t>M</t>
  </si>
  <si>
    <t>T</t>
  </si>
  <si>
    <t>W</t>
  </si>
  <si>
    <t>F</t>
  </si>
  <si>
    <t>IMPORTANT DATES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</si>
  <si>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</si>
  <si>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</si>
  <si>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</si>
  <si>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</si>
  <si>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</si>
  <si>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</si>
  <si>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</si>
  <si>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</si>
  <si>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</si>
  <si>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</si>
  <si>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</si>
  <si>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</si>
  <si>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SAE Government Industry Meeting</t>
  </si>
  <si>
    <t>SAE World Congress</t>
  </si>
  <si>
    <t>Arch T. Colwell Cooperative Engineering Medal - Nominations Due</t>
  </si>
  <si>
    <t>SAE AHQ with Holiday Luncheon</t>
  </si>
  <si>
    <t>MVC mtg dates</t>
  </si>
  <si>
    <t>Other events</t>
  </si>
  <si>
    <t>SAE Detroit Section - State of the Industry</t>
  </si>
  <si>
    <r>
      <t xml:space="preserve">SAE Technical Standards Board Mtg. (report) </t>
    </r>
    <r>
      <rPr>
        <b/>
        <sz val="10"/>
        <color rgb="FFFF0000"/>
        <rFont val="Calibri"/>
        <family val="2"/>
        <scheme val="minor"/>
      </rPr>
      <t>!</t>
    </r>
  </si>
  <si>
    <t>JULY - MVC does not meet</t>
  </si>
  <si>
    <t>SAE Detroit Section - Ford Fusion</t>
  </si>
  <si>
    <r>
      <t xml:space="preserve">TSB Award Nominations DUE </t>
    </r>
    <r>
      <rPr>
        <b/>
        <sz val="10"/>
        <color rgb="FFFF0000"/>
        <rFont val="Calibri"/>
        <family val="2"/>
        <scheme val="minor"/>
      </rPr>
      <t>!</t>
    </r>
  </si>
  <si>
    <t>Pat</t>
  </si>
  <si>
    <t>Jana</t>
  </si>
  <si>
    <t>Nikki</t>
  </si>
  <si>
    <t>Jill</t>
  </si>
  <si>
    <t>Lorie</t>
  </si>
  <si>
    <t>Roxanne</t>
  </si>
  <si>
    <t>January 30-February 1, 2013</t>
  </si>
  <si>
    <t>February 21, 2013</t>
  </si>
  <si>
    <t>March 19, 2013</t>
  </si>
  <si>
    <t>SAE Detroit Section - Toyota Avalon</t>
  </si>
  <si>
    <t>April 16 -18, 2013</t>
  </si>
  <si>
    <t>April 17, 2013</t>
  </si>
  <si>
    <t xml:space="preserve">SAE Detroit Section </t>
  </si>
  <si>
    <t>April 18, 2013</t>
  </si>
  <si>
    <t>May 14, 2013</t>
  </si>
  <si>
    <t>SAE Detroit Section - General Motors</t>
  </si>
  <si>
    <t>July 1, 2013</t>
  </si>
  <si>
    <t>August 13, 2013</t>
  </si>
  <si>
    <t>North American International  Powertrain Conference</t>
  </si>
  <si>
    <t>September 18-20, 2013</t>
  </si>
  <si>
    <t>SAE 2013 ComVec</t>
  </si>
  <si>
    <t>Oct 1-3, 2013</t>
  </si>
  <si>
    <t>November 19, 2013</t>
  </si>
  <si>
    <t>SAE Detroit Section</t>
  </si>
  <si>
    <t>December 19, 2013</t>
  </si>
  <si>
    <t>December 31, 2013</t>
  </si>
  <si>
    <t>May 9-10, 2012</t>
  </si>
  <si>
    <t>November 6-7, 2013</t>
  </si>
  <si>
    <r>
      <t xml:space="preserve">SAE technical Standards Board Mtg. (report) </t>
    </r>
    <r>
      <rPr>
        <sz val="10"/>
        <color rgb="FFFF0000"/>
        <rFont val="Calibri"/>
        <family val="2"/>
        <scheme val="minor"/>
      </rPr>
      <t>!</t>
    </r>
  </si>
  <si>
    <t>May  23, 2013</t>
  </si>
  <si>
    <t>Oct. 24, 2012</t>
  </si>
  <si>
    <t>MVC Meeting - Location TBD</t>
  </si>
  <si>
    <t>MVC Meeting Toyota Technical Center</t>
  </si>
  <si>
    <t>MVC @ Cobo ( 2:00 pm - 4:00 pm) Room D2-13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</si>
</sst>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"/>
    <numFmt numFmtId="165" formatCode="[$-F800]dddd\,\ mmmm\ dd\,\ yyyy"/>
  </numFmts>
  <fonts count="28" x14ac:knownFonts="1"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ajor"/>
    </font>
    <font>
      <b/>
      <sz val="26"/>
      <color theme="0"/>
      <name val="Calibri"/>
      <family val="2"/>
      <scheme val="major"/>
    </font>
    <font>
      <sz val="8"/>
      <color theme="0"/>
      <name val="Calibri"/>
      <family val="2"/>
      <scheme val="minor"/>
    </font>
    <font>
      <b/>
      <sz val="13.5"/>
      <color theme="0"/>
      <name val="Calibri"/>
      <family val="2"/>
      <scheme val="major"/>
    </font>
    <font>
      <b/>
      <sz val="8"/>
      <color theme="0" tint="-0.249977111117893"/>
      <name val="Calibri"/>
      <family val="2"/>
      <scheme val="minor"/>
    </font>
    <font>
      <u/>
      <sz val="8"/>
      <color theme="10"/>
      <name val="Calibri"/>
      <family val="2"/>
      <scheme val="minor"/>
    </font>
    <font>
      <sz val="8"/>
      <color rgb="FF336699"/>
      <name val="Calibri"/>
      <family val="2"/>
      <scheme val="minor"/>
    </font>
    <font>
      <b/>
      <sz val="12"/>
      <color rgb="FF336699"/>
      <name val="Calibri"/>
      <family val="2"/>
      <scheme val="major"/>
    </font>
    <font>
      <sz val="10"/>
      <color theme="1" tint="0.14999847407452621"/>
      <name val="Calibri"/>
      <family val="2"/>
      <scheme val="minor"/>
    </font>
    <font>
      <sz val="10"/>
      <color rgb="FF33669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8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u/>
      <sz val="10"/>
      <name val="Calibri"/>
      <family val="2"/>
      <scheme val="minor"/>
    </font>
    <font>
      <b/>
      <sz val="10"/>
      <color theme="1" tint="0.14999847407452621"/>
      <name val="Calibri"/>
      <family val="2"/>
      <scheme val="minor"/>
    </font>
    <font>
      <i/>
      <sz val="9.5"/>
      <color rgb="FF336699"/>
      <name val="Calibri"/>
      <family val="2"/>
      <scheme val="major"/>
    </font>
    <font>
      <b/>
      <sz val="9.5"/>
      <color rgb="FF002060"/>
      <name val="Calibri"/>
      <family val="2"/>
      <scheme val="major"/>
    </font>
    <font>
      <sz val="10"/>
      <color rgb="FF00CCFF"/>
      <name val="Calibri"/>
      <family val="2"/>
      <scheme val="minor"/>
    </font>
    <font>
      <b/>
      <sz val="8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366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336699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69">
    <xf numFmtId="0" fontId="0" fillId="0" borderId="0" xfId="0"/>
    <xf numFmtId="0" fontId="0" fillId="0" borderId="0" xfId="0" applyFont="1"/>
    <xf numFmtId="0" fontId="0" fillId="0" borderId="0" xfId="0" applyFont="1" applyFill="1" applyBorder="1"/>
    <xf numFmtId="164" fontId="0" fillId="0" borderId="0" xfId="0" applyNumberFormat="1" applyFont="1" applyFill="1" applyBorder="1" applyAlignment="1">
      <alignment horizontal="center"/>
    </xf>
    <xf numFmtId="0" fontId="2" fillId="0" borderId="0" xfId="0" applyFont="1" applyFill="1" applyBorder="1" applyAlignment="1"/>
    <xf numFmtId="49" fontId="0" fillId="0" borderId="0" xfId="0" applyNumberFormat="1" applyFont="1"/>
    <xf numFmtId="0" fontId="6" fillId="0" borderId="0" xfId="0" applyFont="1" applyFill="1" applyBorder="1" applyAlignment="1">
      <alignment horizontal="center"/>
    </xf>
    <xf numFmtId="0" fontId="0" fillId="2" borderId="0" xfId="0" applyFont="1" applyFill="1"/>
    <xf numFmtId="0" fontId="0" fillId="2" borderId="0" xfId="0" applyFill="1"/>
    <xf numFmtId="0" fontId="5" fillId="2" borderId="0" xfId="0" applyFont="1" applyFill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/>
    <xf numFmtId="0" fontId="8" fillId="0" borderId="0" xfId="0" applyFont="1" applyFill="1" applyBorder="1"/>
    <xf numFmtId="0" fontId="9" fillId="0" borderId="0" xfId="0" applyFont="1" applyFill="1" applyBorder="1" applyAlignment="1"/>
    <xf numFmtId="0" fontId="8" fillId="2" borderId="0" xfId="0" applyFont="1" applyFill="1" applyBorder="1"/>
    <xf numFmtId="0" fontId="8" fillId="0" borderId="0" xfId="0" applyFont="1"/>
    <xf numFmtId="164" fontId="8" fillId="0" borderId="0" xfId="0" applyNumberFormat="1" applyFont="1" applyFill="1" applyBorder="1"/>
    <xf numFmtId="164" fontId="8" fillId="2" borderId="0" xfId="0" applyNumberFormat="1" applyFont="1" applyFill="1" applyBorder="1"/>
    <xf numFmtId="164" fontId="8" fillId="0" borderId="0" xfId="0" applyNumberFormat="1" applyFont="1" applyFill="1" applyBorder="1" applyAlignment="1">
      <alignment horizontal="center"/>
    </xf>
    <xf numFmtId="0" fontId="8" fillId="2" borderId="0" xfId="0" applyFont="1" applyFill="1"/>
    <xf numFmtId="49" fontId="10" fillId="0" borderId="0" xfId="0" applyNumberFormat="1" applyFont="1" applyAlignment="1">
      <alignment horizontal="left"/>
    </xf>
    <xf numFmtId="0" fontId="12" fillId="0" borderId="0" xfId="0" applyFont="1"/>
    <xf numFmtId="0" fontId="11" fillId="0" borderId="0" xfId="0" applyFont="1"/>
    <xf numFmtId="0" fontId="11" fillId="0" borderId="0" xfId="0" applyFont="1" applyFill="1" applyBorder="1"/>
    <xf numFmtId="49" fontId="12" fillId="0" borderId="0" xfId="0" applyNumberFormat="1" applyFont="1" applyAlignment="1">
      <alignment horizontal="left"/>
    </xf>
    <xf numFmtId="164" fontId="11" fillId="0" borderId="0" xfId="0" applyNumberFormat="1" applyFont="1" applyFill="1" applyBorder="1"/>
    <xf numFmtId="49" fontId="13" fillId="0" borderId="1" xfId="0" applyNumberFormat="1" applyFont="1" applyBorder="1"/>
    <xf numFmtId="49" fontId="13" fillId="0" borderId="0" xfId="0" applyNumberFormat="1" applyFont="1"/>
    <xf numFmtId="49" fontId="11" fillId="0" borderId="0" xfId="0" applyNumberFormat="1" applyFont="1"/>
    <xf numFmtId="49" fontId="12" fillId="0" borderId="0" xfId="0" applyNumberFormat="1" applyFont="1"/>
    <xf numFmtId="0" fontId="14" fillId="0" borderId="0" xfId="0" applyFont="1" applyFill="1" applyBorder="1"/>
    <xf numFmtId="0" fontId="14" fillId="0" borderId="0" xfId="0" applyFont="1" applyFill="1" applyBorder="1" applyAlignment="1">
      <alignment horizontal="center"/>
    </xf>
    <xf numFmtId="164" fontId="14" fillId="0" borderId="0" xfId="0" applyNumberFormat="1" applyFont="1" applyFill="1" applyBorder="1" applyAlignment="1">
      <alignment horizontal="center"/>
    </xf>
    <xf numFmtId="164" fontId="14" fillId="0" borderId="0" xfId="0" applyNumberFormat="1" applyFont="1" applyFill="1" applyBorder="1"/>
    <xf numFmtId="0" fontId="14" fillId="0" borderId="0" xfId="0" applyFont="1"/>
    <xf numFmtId="0" fontId="15" fillId="0" borderId="0" xfId="0" applyFont="1"/>
    <xf numFmtId="49" fontId="12" fillId="0" borderId="0" xfId="0" applyNumberFormat="1" applyFont="1" applyFill="1" applyBorder="1" applyAlignment="1">
      <alignment horizontal="left"/>
    </xf>
    <xf numFmtId="49" fontId="16" fillId="0" borderId="0" xfId="0" applyNumberFormat="1" applyFont="1" applyFill="1" applyBorder="1" applyAlignment="1">
      <alignment horizontal="left"/>
    </xf>
    <xf numFmtId="49" fontId="16" fillId="0" borderId="0" xfId="0" applyNumberFormat="1" applyFont="1" applyAlignment="1">
      <alignment horizontal="left"/>
    </xf>
    <xf numFmtId="49" fontId="18" fillId="0" borderId="0" xfId="1" applyNumberFormat="1" applyFont="1" applyAlignment="1">
      <alignment horizontal="left"/>
    </xf>
    <xf numFmtId="0" fontId="16" fillId="0" borderId="0" xfId="0" applyFont="1"/>
    <xf numFmtId="0" fontId="19" fillId="0" borderId="0" xfId="0" quotePrefix="1" applyFont="1" applyFill="1" applyBorder="1"/>
    <xf numFmtId="49" fontId="20" fillId="0" borderId="0" xfId="1" applyNumberFormat="1" applyFont="1" applyAlignment="1">
      <alignment horizontal="left"/>
    </xf>
    <xf numFmtId="49" fontId="20" fillId="0" borderId="0" xfId="1" applyNumberFormat="1" applyFont="1" applyFill="1" applyBorder="1" applyAlignment="1">
      <alignment horizontal="left"/>
    </xf>
    <xf numFmtId="0" fontId="11" fillId="3" borderId="0" xfId="0" applyFont="1" applyFill="1" applyBorder="1"/>
    <xf numFmtId="49" fontId="19" fillId="0" borderId="0" xfId="1" applyNumberFormat="1" applyFont="1" applyAlignment="1">
      <alignment horizontal="left"/>
    </xf>
    <xf numFmtId="49" fontId="18" fillId="0" borderId="0" xfId="1" applyNumberFormat="1" applyFont="1" applyFill="1" applyBorder="1" applyAlignment="1">
      <alignment horizontal="left"/>
    </xf>
    <xf numFmtId="49" fontId="17" fillId="0" borderId="0" xfId="1" applyNumberFormat="1" applyFont="1" applyFill="1" applyBorder="1" applyAlignment="1">
      <alignment horizontal="left"/>
    </xf>
    <xf numFmtId="49" fontId="21" fillId="0" borderId="0" xfId="0" applyNumberFormat="1" applyFont="1" applyAlignment="1">
      <alignment horizontal="left"/>
    </xf>
    <xf numFmtId="49" fontId="19" fillId="0" borderId="0" xfId="1" applyNumberFormat="1" applyFont="1" applyFill="1" applyBorder="1" applyAlignment="1">
      <alignment horizontal="left"/>
    </xf>
    <xf numFmtId="0" fontId="22" fillId="0" borderId="0" xfId="0" applyFont="1" applyFill="1" applyBorder="1" applyAlignment="1"/>
    <xf numFmtId="0" fontId="23" fillId="0" borderId="0" xfId="0" applyFont="1" applyFill="1" applyBorder="1" applyAlignment="1">
      <alignment horizontal="left"/>
    </xf>
    <xf numFmtId="0" fontId="23" fillId="0" borderId="0" xfId="0" applyFont="1" applyFill="1" applyBorder="1" applyAlignment="1"/>
    <xf numFmtId="164" fontId="14" fillId="4" borderId="0" xfId="0" applyNumberFormat="1" applyFont="1" applyFill="1" applyBorder="1" applyAlignment="1">
      <alignment horizontal="center"/>
    </xf>
    <xf numFmtId="0" fontId="3" fillId="2" borderId="0" xfId="0" applyFont="1" applyFill="1" applyBorder="1" applyAlignment="1">
      <alignment horizontal="left" vertical="center"/>
    </xf>
    <xf numFmtId="0" fontId="24" fillId="4" borderId="0" xfId="0" applyFont="1" applyFill="1"/>
    <xf numFmtId="164" fontId="25" fillId="0" borderId="0" xfId="0" applyNumberFormat="1" applyFont="1" applyFill="1" applyBorder="1" applyAlignment="1">
      <alignment horizontal="center"/>
    </xf>
    <xf numFmtId="49" fontId="13" fillId="0" borderId="0" xfId="0" applyNumberFormat="1" applyFont="1" applyBorder="1"/>
    <xf numFmtId="165" fontId="16" fillId="0" borderId="0" xfId="0" applyNumberFormat="1" applyFont="1" applyAlignment="1">
      <alignment horizontal="left"/>
    </xf>
    <xf numFmtId="49" fontId="26" fillId="0" borderId="0" xfId="1" applyNumberFormat="1" applyFont="1" applyFill="1" applyBorder="1" applyAlignment="1">
      <alignment horizontal="left"/>
    </xf>
    <xf numFmtId="49" fontId="12" fillId="0" borderId="0" xfId="1" applyNumberFormat="1" applyFont="1" applyFill="1" applyBorder="1" applyAlignment="1">
      <alignment horizontal="left"/>
    </xf>
    <xf numFmtId="49" fontId="16" fillId="0" borderId="0" xfId="1" applyNumberFormat="1" applyFont="1" applyFill="1" applyBorder="1" applyAlignment="1">
      <alignment horizontal="left"/>
    </xf>
    <xf numFmtId="49" fontId="16" fillId="0" borderId="0" xfId="1" applyNumberFormat="1" applyFont="1" applyAlignment="1">
      <alignment horizontal="left"/>
    </xf>
    <xf numFmtId="49" fontId="12" fillId="0" borderId="0" xfId="1" applyNumberFormat="1" applyFont="1" applyAlignment="1">
      <alignment horizontal="left"/>
    </xf>
    <xf numFmtId="49" fontId="26" fillId="0" borderId="0" xfId="1" applyNumberFormat="1" applyFont="1" applyAlignment="1">
      <alignment horizontal="left"/>
    </xf>
    <xf numFmtId="164" fontId="14" fillId="3" borderId="0" xfId="0" applyNumberFormat="1" applyFont="1" applyFill="1" applyBorder="1" applyAlignment="1">
      <alignment horizontal="center"/>
    </xf>
    <xf numFmtId="49" fontId="17" fillId="0" borderId="0" xfId="0" applyNumberFormat="1" applyFont="1" applyAlignment="1">
      <alignment horizontal="left"/>
    </xf>
    <xf numFmtId="49" fontId="27" fillId="0" borderId="0" xfId="1" applyNumberFormat="1" applyFont="1" applyFill="1" applyBorder="1" applyAlignment="1">
      <alignment horizontal="left"/>
    </xf>
    <xf numFmtId="0" fontId="3" fillId="2" borderId="0" xfId="0" applyFont="1" applyFill="1" applyBorder="1" applyAlignment="1">
      <alignment horizontal="left" vertical="center"/>
    </xf>
  </cellXfs>
  <cellStyles count="2">
    <cellStyle name="Hyperlink" xfId="1" builtinId="8"/>
    <cellStyle name="Normal" xfId="0" builtinId="0" customBuiltin="1"/>
  </cellStyles>
  <dxfs count="0"/>
  <tableStyles count="0" defaultTableStyle="TableStyleMedium2" defaultPivotStyle="PivotStyleLight16"/>
  <colors>
    <mruColors>
      <color rgb="FF00CCFF"/>
      <color rgb="FF3366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Spin" dx="16" fmlaLink="$C$1" max="2999" min="1900" page="10" val="2013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ti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0</xdr:row>
          <xdr:rowOff>38100</xdr:rowOff>
        </xdr:from>
        <xdr:to>
          <xdr:col>1</xdr:col>
          <xdr:colOff>266700</xdr:colOff>
          <xdr:row>0</xdr:row>
          <xdr:rowOff>342900</xdr:rowOff>
        </xdr:to>
        <xdr:sp macro="" textlink="">
          <xdr:nvSpPr>
            <xdr:cNvPr id="1033" name="Spinner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xdr:twoCellAnchor>
    <xdr:from>
      <xdr:col>1</xdr:col>
      <xdr:colOff>38100</xdr:colOff>
      <xdr:row>3</xdr:row>
      <xdr:rowOff>9526</xdr:rowOff>
    </xdr:from>
    <xdr:to>
      <xdr:col>10</xdr:col>
      <xdr:colOff>123825</xdr:colOff>
      <xdr:row>4</xdr:row>
      <xdr:rowOff>66675</xdr:rowOff>
    </xdr:to>
    <xdr:sp macro="" textlink="">
      <xdr:nvSpPr>
        <xdr:cNvPr id="6" name="Instructions"/>
        <xdr:cNvSpPr txBox="1"/>
      </xdr:nvSpPr>
      <xdr:spPr>
        <a:xfrm>
          <a:off x="180975" y="390526"/>
          <a:ext cx="2667000" cy="2476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tIns="0" bIns="0" rtlCol="0" anchor="t"/>
        <a:lstStyle/>
        <a:p>
          <a:pPr algn="l"/>
          <a:r>
            <a:rPr lang="en-US" sz="1000" b="0" i="1">
              <a:solidFill>
                <a:schemeClr val="accent5"/>
              </a:solidFill>
            </a:rPr>
            <a:t>To change the calendar</a:t>
          </a:r>
          <a:r>
            <a:rPr lang="en-US" sz="1000" b="0" i="1" baseline="0">
              <a:solidFill>
                <a:schemeClr val="accent5"/>
              </a:solidFill>
            </a:rPr>
            <a:t> year, click the spinner</a:t>
          </a:r>
          <a:endParaRPr lang="en-US" sz="1000" b="0" i="1">
            <a:solidFill>
              <a:schemeClr val="accent5"/>
            </a:solidFill>
          </a:endParaRPr>
        </a:p>
      </xdr:txBody>
    </xdr:sp>
    <xdr:clientData fPrintsWithSheet="0"/>
  </xdr:twoCellAnchor>
  <xdr:twoCellAnchor editAs="oneCell">
    <xdr:from>
      <xdr:col>19</xdr:col>
      <xdr:colOff>257175</xdr:colOff>
      <xdr:row>75</xdr:row>
      <xdr:rowOff>171450</xdr:rowOff>
    </xdr:from>
    <xdr:to>
      <xdr:col>20</xdr:col>
      <xdr:colOff>1972235</xdr:colOff>
      <xdr:row>77</xdr:row>
      <xdr:rowOff>9525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72075" y="10458450"/>
          <a:ext cx="2010335" cy="219075"/>
        </a:xfrm>
        <a:prstGeom prst="rect">
          <a:avLst/>
        </a:prstGeom>
      </xdr:spPr>
    </xdr:pic>
    <xdr:clientData/>
  </xdr:twoCellAnchor>
</xdr:wsDr>
</file>

<file path=xl/theme/_rels/theme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Civic">
  <a:themeElements>
    <a:clrScheme name="Small Business Calendar 2">
      <a:dk1>
        <a:sysClr val="windowText" lastClr="000000"/>
      </a:dk1>
      <a:lt1>
        <a:sysClr val="window" lastClr="FFFFFF"/>
      </a:lt1>
      <a:dk2>
        <a:srgbClr val="646B86"/>
      </a:dk2>
      <a:lt2>
        <a:srgbClr val="C5D1D7"/>
      </a:lt2>
      <a:accent1>
        <a:srgbClr val="D16349"/>
      </a:accent1>
      <a:accent2>
        <a:srgbClr val="CCB400"/>
      </a:accent2>
      <a:accent3>
        <a:srgbClr val="8CADAE"/>
      </a:accent3>
      <a:accent4>
        <a:srgbClr val="8C7B70"/>
      </a:accent4>
      <a:accent5>
        <a:srgbClr val="8FB08C"/>
      </a:accent5>
      <a:accent6>
        <a:srgbClr val="D19049"/>
      </a:accent6>
      <a:hlink>
        <a:srgbClr val="8FB08C"/>
      </a:hlink>
      <a:folHlink>
        <a:srgbClr val="694F07"/>
      </a:folHlink>
    </a:clrScheme>
    <a:fontScheme name="Custom 2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Civic">
      <a:fillStyleLst>
        <a:solidFill>
          <a:schemeClr val="phClr"/>
        </a:solidFill>
        <a:solidFill>
          <a:schemeClr val="phClr">
            <a:tint val="45000"/>
          </a:schemeClr>
        </a:solidFill>
        <a:solidFill>
          <a:schemeClr val="phClr">
            <a:tint val="95000"/>
          </a:schemeClr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11429" cap="flat" cmpd="sng" algn="ctr">
          <a:solidFill>
            <a:schemeClr val="phClr"/>
          </a:solidFill>
          <a:prstDash val="sysDash"/>
        </a:ln>
        <a:ln w="200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25400" dir="5400000" rotWithShape="0">
              <a:srgbClr val="000000">
                <a:alpha val="4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contourW="9525" prstMaterial="matte">
            <a:bevelT w="0" h="0"/>
            <a:contourClr>
              <a:schemeClr val="phClr">
                <a:shade val="70000"/>
                <a:satMod val="105000"/>
              </a:schemeClr>
            </a:contourClr>
          </a:sp3d>
        </a:effectStyle>
        <a:effectStyle>
          <a:effectLst>
            <a:outerShdw blurRad="50800" dist="25400" dir="5400000" rotWithShape="0">
              <a:srgbClr val="000000">
                <a:alpha val="45000"/>
              </a:srgbClr>
            </a:outerShdw>
          </a:effectLst>
          <a:scene3d>
            <a:camera prst="orthographicFront" fov="0">
              <a:rot lat="0" lon="0" rev="0"/>
            </a:camera>
            <a:lightRig rig="soft" dir="b">
              <a:rot lat="0" lon="0" rev="0"/>
            </a:lightRig>
          </a:scene3d>
          <a:sp3d prstMaterial="dkEdge">
            <a:bevelT w="63500" h="63500" prst="cross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shade val="70000"/>
                <a:satMod val="115000"/>
              </a:schemeClr>
              <a:schemeClr val="phClr">
                <a:tint val="85000"/>
              </a:schemeClr>
            </a:duotone>
          </a:blip>
          <a:tile tx="0" ty="0" sx="85000" sy="85000" flip="none" algn="tl"/>
        </a:blipFill>
        <a:blipFill>
          <a:blip xmlns:r="http://schemas.openxmlformats.org/officeDocument/2006/relationships" r:embed="rId2">
            <a:duotone>
              <a:schemeClr val="phClr">
                <a:shade val="65000"/>
                <a:satMod val="115000"/>
              </a:schemeClr>
              <a:schemeClr val="phClr">
                <a:tint val="85000"/>
              </a:schemeClr>
            </a:duotone>
          </a:blip>
          <a:tile tx="0" ty="0" sx="65000" sy="65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enableFormatConditionsCalculation="0">
    <tabColor theme="8"/>
    <pageSetUpPr fitToPage="1"/>
  </sheetPr>
  <dimension ref="B1:AQ91"/>
  <sheetViews>
    <sheetView showGridLines="0" tabSelected="1" topLeftCell="A7" zoomScaleNormal="100" workbookViewId="0">
      <selection activeCell="Q20" sqref="Q20"/>
    </sheetView>
  </sheetViews>
  <sheetFormatPr defaultColWidth="9.5" defaultRowHeight="11.25" x14ac:dyDescent="0.2"/>
  <cols>
    <col min="1" max="1" width="2.5" style="1" customWidth="1"/>
    <col min="2" max="2" width="5.1640625" style="1" customWidth="1"/>
    <col min="3" max="17" width="5" style="1" customWidth="1"/>
    <col min="18" max="18" width="2.1640625" style="1" customWidth="1"/>
    <col min="19" max="19" width="1.1640625" style="7" customWidth="1"/>
    <col min="20" max="20" width="5.1640625" customWidth="1"/>
    <col min="21" max="21" width="42" style="1" customWidth="1"/>
    <col min="22" max="22" width="20.1640625" style="1" customWidth="1"/>
    <col min="23" max="23" width="4.83203125" style="1" customWidth="1"/>
    <col min="24" max="24" width="16" style="1" customWidth="1"/>
    <col min="25" max="44" width="9.33203125" style="1" customWidth="1"/>
    <col min="45" max="45" width="9.5" style="1" customWidth="1"/>
    <col min="46" max="16384" width="9.5" style="1"/>
  </cols>
  <sheetData>
    <row r="1" spans="2:43" ht="30" customHeight="1" x14ac:dyDescent="0.2">
      <c r="B1" s="7"/>
      <c r="C1" s="68">
        <v>2013</v>
      </c>
      <c r="D1" s="68"/>
      <c r="E1" s="68"/>
      <c r="F1" s="68"/>
      <c r="G1" s="10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T1" s="8"/>
      <c r="U1" s="9" t="s">
        <v>5</v>
      </c>
      <c r="V1" s="9"/>
      <c r="W1" s="7"/>
      <c r="X1" s="7"/>
      <c r="Y1"/>
      <c r="Z1"/>
      <c r="AA1"/>
      <c r="AB1"/>
    </row>
    <row r="2" spans="2:43" ht="30" customHeight="1" x14ac:dyDescent="0.2">
      <c r="B2" s="7"/>
      <c r="C2" s="54"/>
      <c r="D2" s="54"/>
      <c r="E2" s="54"/>
      <c r="F2" s="54"/>
      <c r="G2" s="10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T2" s="8"/>
      <c r="U2" s="9"/>
      <c r="V2" s="9"/>
      <c r="W2" s="7"/>
      <c r="X2" s="7"/>
      <c r="Y2"/>
      <c r="Z2"/>
      <c r="AA2"/>
      <c r="AB2"/>
    </row>
    <row r="3" spans="2:43" ht="30" customHeight="1" x14ac:dyDescent="0.2">
      <c r="B3" s="7"/>
      <c r="C3" s="54"/>
      <c r="D3" s="54"/>
      <c r="E3" s="54"/>
      <c r="F3" s="54"/>
      <c r="G3" s="10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T3" s="8"/>
      <c r="U3" s="9"/>
      <c r="V3" s="9"/>
      <c r="W3" s="7"/>
      <c r="X3" s="7"/>
      <c r="Y3"/>
      <c r="Z3"/>
      <c r="AA3"/>
      <c r="AB3"/>
    </row>
    <row r="4" spans="2:43" ht="15" customHeight="1" x14ac:dyDescent="0.2"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T4" s="21"/>
      <c r="U4" s="58">
        <v>41303</v>
      </c>
      <c r="V4" s="21"/>
      <c r="W4" s="55"/>
      <c r="X4" s="40" t="s">
        <v>22</v>
      </c>
    </row>
    <row r="5" spans="2:43" s="15" customFormat="1" ht="15" customHeight="1" x14ac:dyDescent="0.25">
      <c r="B5" s="12"/>
      <c r="C5" s="51" t="s">
        <v>6</v>
      </c>
      <c r="D5" s="13"/>
      <c r="E5" s="13"/>
      <c r="F5" s="13"/>
      <c r="G5" s="13"/>
      <c r="H5" s="13"/>
      <c r="I5" s="50" t="s">
        <v>32</v>
      </c>
      <c r="J5" s="13"/>
      <c r="K5" s="52" t="s">
        <v>7</v>
      </c>
      <c r="L5" s="13"/>
      <c r="M5" s="13"/>
      <c r="N5" s="13"/>
      <c r="O5" s="13"/>
      <c r="P5" s="13"/>
      <c r="Q5" s="50" t="s">
        <v>29</v>
      </c>
      <c r="R5" s="12"/>
      <c r="S5" s="14"/>
      <c r="T5" s="22"/>
      <c r="U5" s="36" t="s">
        <v>27</v>
      </c>
      <c r="V5" s="37"/>
      <c r="W5" s="44"/>
      <c r="X5" s="41" t="s">
        <v>23</v>
      </c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</row>
    <row r="6" spans="2:43" s="15" customFormat="1" ht="15" customHeight="1" x14ac:dyDescent="0.25">
      <c r="B6" s="12"/>
      <c r="C6" s="51"/>
      <c r="D6" s="13"/>
      <c r="E6" s="13"/>
      <c r="F6" s="13"/>
      <c r="G6" s="13"/>
      <c r="H6" s="13"/>
      <c r="I6" s="50"/>
      <c r="J6" s="13"/>
      <c r="K6" s="52"/>
      <c r="L6" s="13"/>
      <c r="M6" s="13"/>
      <c r="N6" s="13"/>
      <c r="O6" s="13"/>
      <c r="P6" s="13"/>
      <c r="Q6" s="50"/>
      <c r="R6" s="12"/>
      <c r="S6" s="14"/>
      <c r="T6" s="22"/>
      <c r="U6" s="36"/>
      <c r="V6" s="37"/>
      <c r="W6" s="23"/>
      <c r="X6" s="41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</row>
    <row r="7" spans="2:43" s="15" customFormat="1" ht="15" customHeight="1" x14ac:dyDescent="0.25">
      <c r="B7" s="12"/>
      <c r="C7" s="51"/>
      <c r="D7" s="13"/>
      <c r="E7" s="13"/>
      <c r="F7" s="13"/>
      <c r="G7" s="13"/>
      <c r="H7" s="13"/>
      <c r="I7" s="50"/>
      <c r="J7" s="13"/>
      <c r="K7" s="52"/>
      <c r="L7" s="13"/>
      <c r="M7" s="13"/>
      <c r="N7" s="13"/>
      <c r="O7" s="13"/>
      <c r="P7" s="13"/>
      <c r="Q7" s="50"/>
      <c r="R7" s="12"/>
      <c r="S7" s="14"/>
      <c r="T7" s="22"/>
      <c r="U7" s="37" t="s">
        <v>35</v>
      </c>
      <c r="V7" s="37"/>
      <c r="W7" s="23"/>
      <c r="X7" s="41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</row>
    <row r="8" spans="2:43" ht="15" customHeight="1" x14ac:dyDescent="0.2">
      <c r="B8" s="30"/>
      <c r="C8" s="6" t="s">
        <v>0</v>
      </c>
      <c r="D8" s="6" t="s">
        <v>1</v>
      </c>
      <c r="E8" s="6" t="s">
        <v>2</v>
      </c>
      <c r="F8" s="6" t="s">
        <v>3</v>
      </c>
      <c r="G8" s="6" t="s">
        <v>2</v>
      </c>
      <c r="H8" s="6" t="s">
        <v>4</v>
      </c>
      <c r="I8" s="6" t="s">
        <v>0</v>
      </c>
      <c r="J8" s="31"/>
      <c r="K8" s="6" t="s">
        <v>0</v>
      </c>
      <c r="L8" s="6" t="s">
        <v>1</v>
      </c>
      <c r="M8" s="6" t="s">
        <v>2</v>
      </c>
      <c r="N8" s="6" t="s">
        <v>3</v>
      </c>
      <c r="O8" s="6" t="s">
        <v>2</v>
      </c>
      <c r="P8" s="6" t="s">
        <v>4</v>
      </c>
      <c r="Q8" s="6" t="s">
        <v>0</v>
      </c>
      <c r="R8" s="2"/>
      <c r="T8" s="21"/>
      <c r="U8" s="63" t="s">
        <v>18</v>
      </c>
      <c r="V8" s="39"/>
      <c r="W8" s="21"/>
      <c r="X8" s="21"/>
      <c r="AA8" s="2"/>
      <c r="AI8" s="2"/>
      <c r="AQ8" s="2"/>
    </row>
    <row r="9" spans="2:43" ht="15" customHeight="1" x14ac:dyDescent="0.2">
      <c r="B9" s="30"/>
      <c r="C9" s="32" t="str">
        <f>IF(DAY(JanSun1)=1,"",IF(AND(YEAR(JanSun1+1)=CalendarYear,MONTH(JanSun1+1)=1),JanSun1+1,""))</f>
        <v/>
      </c>
      <c r="D9" s="32" t="str">
        <f>IF(DAY(JanSun1)=1,"",IF(AND(YEAR(JanSun1+2)=CalendarYear,MONTH(JanSun1+2)=1),JanSun1+2,""))</f>
        <v/>
      </c>
      <c r="E9" s="32">
        <f>IF(DAY(JanSun1)=1,"",IF(AND(YEAR(JanSun1+3)=CalendarYear,MONTH(JanSun1+3)=1),JanSun1+3,""))</f>
        <v>41275</v>
      </c>
      <c r="F9" s="32">
        <f>IF(DAY(JanSun1)=1,"",IF(AND(YEAR(JanSun1+4)=CalendarYear,MONTH(JanSun1+4)=1),JanSun1+4,""))</f>
        <v>41276</v>
      </c>
      <c r="G9" s="32">
        <f>IF(DAY(JanSun1)=1,"",IF(AND(YEAR(JanSun1+5)=CalendarYear,MONTH(JanSun1+5)=1),JanSun1+5,""))</f>
        <v>41277</v>
      </c>
      <c r="H9" s="32">
        <f>IF(DAY(JanSun1)=1,"",IF(AND(YEAR(JanSun1+6)=CalendarYear,MONTH(JanSun1+6)=1),JanSun1+6,""))</f>
        <v>41278</v>
      </c>
      <c r="I9" s="32">
        <f>IF(DAY(JanSun1)=1,IF(AND(YEAR(JanSun1)=CalendarYear,MONTH(JanSun1)=1),JanSun1,""),IF(AND(YEAR(JanSun1+7)=CalendarYear,MONTH(JanSun1+7)=1),JanSun1+7,""))</f>
        <v>41279</v>
      </c>
      <c r="J9" s="32"/>
      <c r="K9" s="32" t="str">
        <f>IF(DAY(FebSun1)=1,"",IF(AND(YEAR(FebSun1+1)=CalendarYear,MONTH(FebSun1+1)=2),FebSun1+1,""))</f>
        <v/>
      </c>
      <c r="L9" s="32" t="str">
        <f>IF(DAY(FebSun1)=1,"",IF(AND(YEAR(FebSun1+2)=CalendarYear,MONTH(FebSun1+2)=2),FebSun1+2,""))</f>
        <v/>
      </c>
      <c r="M9" s="32" t="str">
        <f>IF(DAY(FebSun1)=1,"",IF(AND(YEAR(FebSun1+3)=CalendarYear,MONTH(FebSun1+3)=2),FebSun1+3,""))</f>
        <v/>
      </c>
      <c r="N9" s="32" t="str">
        <f>IF(DAY(FebSun1)=1,"",IF(AND(YEAR(FebSun1+4)=CalendarYear,MONTH(FebSun1+4)=2),FebSun1+4,""))</f>
        <v/>
      </c>
      <c r="O9" s="32" t="str">
        <f>IF(DAY(FebSun1)=1,"",IF(AND(YEAR(FebSun1+5)=CalendarYear,MONTH(FebSun1+5)=2),FebSun1+5,""))</f>
        <v/>
      </c>
      <c r="P9" s="65">
        <f>IF(DAY(FebSun1)=1,"",IF(AND(YEAR(FebSun1+6)=CalendarYear,MONTH(FebSun1+6)=2),FebSun1+6,""))</f>
        <v>41306</v>
      </c>
      <c r="Q9" s="32">
        <f>IF(DAY(FebSun1)=1,IF(AND(YEAR(FebSun1)=CalendarYear,MONTH(FebSun1)=2),FebSun1,""),IF(AND(YEAR(FebSun1+7)=CalendarYear,MONTH(FebSun1+7)=2),FebSun1+7,""))</f>
        <v>41307</v>
      </c>
      <c r="R9" s="2"/>
      <c r="T9" s="21"/>
      <c r="U9" s="38"/>
      <c r="V9" s="38"/>
      <c r="W9" s="21"/>
      <c r="X9" s="21"/>
      <c r="AA9" s="2"/>
      <c r="AI9" s="2"/>
      <c r="AQ9" s="2"/>
    </row>
    <row r="10" spans="2:43" ht="15" customHeight="1" x14ac:dyDescent="0.2">
      <c r="B10" s="30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2"/>
      <c r="T10" s="21"/>
      <c r="U10" s="38" t="s">
        <v>36</v>
      </c>
      <c r="V10" s="38"/>
      <c r="W10" s="21"/>
      <c r="X10" s="21"/>
      <c r="AA10" s="2"/>
      <c r="AI10" s="2"/>
      <c r="AQ10" s="2"/>
    </row>
    <row r="11" spans="2:43" ht="15" customHeight="1" x14ac:dyDescent="0.2">
      <c r="B11" s="30"/>
      <c r="C11" s="32">
        <f>IF(DAY(JanSun1)=1,IF(AND(YEAR(JanSun1+1)=CalendarYear,MONTH(JanSun1+1)=1),JanSun1+1,""),IF(AND(YEAR(JanSun1+8)=CalendarYear,MONTH(JanSun1+8)=1),JanSun1+8,""))</f>
        <v>41280</v>
      </c>
      <c r="D11" s="32">
        <f>IF(DAY(JanSun1)=1,IF(AND(YEAR(JanSun1+2)=CalendarYear,MONTH(JanSun1+2)=1),JanSun1+2,""),IF(AND(YEAR(JanSun1+9)=CalendarYear,MONTH(JanSun1+9)=1),JanSun1+9,""))</f>
        <v>41281</v>
      </c>
      <c r="E11" s="32">
        <f>IF(DAY(JanSun1)=1,IF(AND(YEAR(JanSun1+3)=CalendarYear,MONTH(JanSun1+3)=1),JanSun1+3,""),IF(AND(YEAR(JanSun1+10)=CalendarYear,MONTH(JanSun1+10)=1),JanSun1+10,""))</f>
        <v>41282</v>
      </c>
      <c r="F11" s="32">
        <f>IF(DAY(JanSun1)=1,IF(AND(YEAR(JanSun1+4)=CalendarYear,MONTH(JanSun1+4)=1),JanSun1+4,""),IF(AND(YEAR(JanSun1+11)=CalendarYear,MONTH(JanSun1+11)=1),JanSun1+11,""))</f>
        <v>41283</v>
      </c>
      <c r="G11" s="32">
        <f>IF(DAY(JanSun1)=1,IF(AND(YEAR(JanSun1+5)=CalendarYear,MONTH(JanSun1+5)=1),JanSun1+5,""),IF(AND(YEAR(JanSun1+12)=CalendarYear,MONTH(JanSun1+12)=1),JanSun1+12,""))</f>
        <v>41284</v>
      </c>
      <c r="H11" s="32">
        <f>IF(DAY(JanSun1)=1,IF(AND(YEAR(JanSun1+6)=CalendarYear,MONTH(JanSun1+6)=1),JanSun1+6,""),IF(AND(YEAR(JanSun1+13)=CalendarYear,MONTH(JanSun1+13)=1),JanSun1+13,""))</f>
        <v>41285</v>
      </c>
      <c r="I11" s="32">
        <f>IF(DAY(JanSun1)=1,IF(AND(YEAR(JanSun1+7)=CalendarYear,MONTH(JanSun1+7)=1),JanSun1+7,""),IF(AND(YEAR(JanSun1+14)=CalendarYear,MONTH(JanSun1+14)=1),JanSun1+14,""))</f>
        <v>41286</v>
      </c>
      <c r="J11" s="32"/>
      <c r="K11" s="32">
        <f>IF(DAY(FebSun1)=1,IF(AND(YEAR(FebSun1+1)=CalendarYear,MONTH(FebSun1+1)=2),FebSun1+1,""),IF(AND(YEAR(FebSun1+8)=CalendarYear,MONTH(FebSun1+8)=2),FebSun1+8,""))</f>
        <v>41308</v>
      </c>
      <c r="L11" s="32">
        <f>IF(DAY(FebSun1)=1,IF(AND(YEAR(FebSun1+2)=CalendarYear,MONTH(FebSun1+2)=2),FebSun1+2,""),IF(AND(YEAR(FebSun1+9)=CalendarYear,MONTH(FebSun1+9)=2),FebSun1+9,""))</f>
        <v>41309</v>
      </c>
      <c r="M11" s="32">
        <f>IF(DAY(FebSun1)=1,IF(AND(YEAR(FebSun1+3)=CalendarYear,MONTH(FebSun1+3)=2),FebSun1+3,""),IF(AND(YEAR(FebSun1+10)=CalendarYear,MONTH(FebSun1+10)=2),FebSun1+10,""))</f>
        <v>41310</v>
      </c>
      <c r="N11" s="32">
        <f>IF(DAY(FebSun1)=1,IF(AND(YEAR(FebSun1+4)=CalendarYear,MONTH(FebSun1+4)=2),FebSun1+4,""),IF(AND(YEAR(FebSun1+11)=CalendarYear,MONTH(FebSun1+11)=2),FebSun1+11,""))</f>
        <v>41311</v>
      </c>
      <c r="O11" s="32">
        <f>IF(DAY(FebSun1)=1,IF(AND(YEAR(FebSun1+5)=CalendarYear,MONTH(FebSun1+5)=2),FebSun1+5,""),IF(AND(YEAR(FebSun1+12)=CalendarYear,MONTH(FebSun1+12)=2),FebSun1+12,""))</f>
        <v>41312</v>
      </c>
      <c r="P11" s="32">
        <f>IF(DAY(FebSun1)=1,IF(AND(YEAR(FebSun1+6)=CalendarYear,MONTH(FebSun1+6)=2),FebSun1+6,""),IF(AND(YEAR(FebSun1+13)=CalendarYear,MONTH(FebSun1+13)=2),FebSun1+13,""))</f>
        <v>41313</v>
      </c>
      <c r="Q11" s="32">
        <f>IF(DAY(FebSun1)=1,IF(AND(YEAR(FebSun1+7)=CalendarYear,MONTH(FebSun1+7)=2),FebSun1+7,""),IF(AND(YEAR(FebSun1+14)=CalendarYear,MONTH(FebSun1+14)=2),FebSun1+14,""))</f>
        <v>41314</v>
      </c>
      <c r="R11" s="2"/>
      <c r="T11" s="21"/>
      <c r="U11" s="59" t="s">
        <v>24</v>
      </c>
      <c r="V11" s="43"/>
      <c r="W11" s="21"/>
      <c r="X11" s="21"/>
      <c r="AA11" s="2"/>
      <c r="AI11" s="2"/>
      <c r="AQ11" s="2"/>
    </row>
    <row r="12" spans="2:43" ht="15" customHeight="1" x14ac:dyDescent="0.2">
      <c r="B12" s="30"/>
      <c r="C12" s="32">
        <f>IF(DAY(JanSun1)=1,IF(AND(YEAR(JanSun1+8)=CalendarYear,MONTH(JanSun1+8)=1),JanSun1+8,""),IF(AND(YEAR(JanSun1+15)=CalendarYear,MONTH(JanSun1+15)=1),JanSun1+15,""))</f>
        <v>41287</v>
      </c>
      <c r="D12" s="32">
        <f>IF(DAY(JanSun1)=1,IF(AND(YEAR(JanSun1+9)=CalendarYear,MONTH(JanSun1+9)=1),JanSun1+9,""),IF(AND(YEAR(JanSun1+16)=CalendarYear,MONTH(JanSun1+16)=1),JanSun1+16,""))</f>
        <v>41288</v>
      </c>
      <c r="E12" s="32">
        <f>IF(DAY(JanSun1)=1,IF(AND(YEAR(JanSun1+10)=CalendarYear,MONTH(JanSun1+10)=1),JanSun1+10,""),IF(AND(YEAR(JanSun1+17)=CalendarYear,MONTH(JanSun1+17)=1),JanSun1+17,""))</f>
        <v>41289</v>
      </c>
      <c r="F12" s="32">
        <f>IF(DAY(JanSun1)=1,IF(AND(YEAR(JanSun1+11)=CalendarYear,MONTH(JanSun1+11)=1),JanSun1+11,""),IF(AND(YEAR(JanSun1+18)=CalendarYear,MONTH(JanSun1+18)=1),JanSun1+18,""))</f>
        <v>41290</v>
      </c>
      <c r="G12" s="32">
        <f>IF(DAY(JanSun1)=1,IF(AND(YEAR(JanSun1+12)=CalendarYear,MONTH(JanSun1+12)=1),JanSun1+12,""),IF(AND(YEAR(JanSun1+19)=CalendarYear,MONTH(JanSun1+19)=1),JanSun1+19,""))</f>
        <v>41291</v>
      </c>
      <c r="H12" s="32">
        <f>IF(DAY(JanSun1)=1,IF(AND(YEAR(JanSun1+13)=CalendarYear,MONTH(JanSun1+13)=1),JanSun1+13,""),IF(AND(YEAR(JanSun1+20)=CalendarYear,MONTH(JanSun1+20)=1),JanSun1+20,""))</f>
        <v>41292</v>
      </c>
      <c r="I12" s="32">
        <f>IF(DAY(JanSun1)=1,IF(AND(YEAR(JanSun1+14)=CalendarYear,MONTH(JanSun1+14)=1),JanSun1+14,""),IF(AND(YEAR(JanSun1+21)=CalendarYear,MONTH(JanSun1+21)=1),JanSun1+21,""))</f>
        <v>41293</v>
      </c>
      <c r="J12" s="32"/>
      <c r="K12" s="32">
        <f>IF(DAY(FebSun1)=1,IF(AND(YEAR(FebSun1+8)=CalendarYear,MONTH(FebSun1+8)=2),FebSun1+8,""),IF(AND(YEAR(FebSun1+15)=CalendarYear,MONTH(FebSun1+15)=2),FebSun1+15,""))</f>
        <v>41315</v>
      </c>
      <c r="L12" s="32">
        <f>IF(DAY(FebSun1)=1,IF(AND(YEAR(FebSun1+9)=CalendarYear,MONTH(FebSun1+9)=2),FebSun1+9,""),IF(AND(YEAR(FebSun1+16)=CalendarYear,MONTH(FebSun1+16)=2),FebSun1+16,""))</f>
        <v>41316</v>
      </c>
      <c r="M12" s="32">
        <f>IF(DAY(FebSun1)=1,IF(AND(YEAR(FebSun1+10)=CalendarYear,MONTH(FebSun1+10)=2),FebSun1+10,""),IF(AND(YEAR(FebSun1+17)=CalendarYear,MONTH(FebSun1+17)=2),FebSun1+17,""))</f>
        <v>41317</v>
      </c>
      <c r="N12" s="32">
        <f>IF(DAY(FebSun1)=1,IF(AND(YEAR(FebSun1+11)=CalendarYear,MONTH(FebSun1+11)=2),FebSun1+11,""),IF(AND(YEAR(FebSun1+18)=CalendarYear,MONTH(FebSun1+18)=2),FebSun1+18,""))</f>
        <v>41318</v>
      </c>
      <c r="O12" s="32">
        <f>IF(DAY(FebSun1)=1,IF(AND(YEAR(FebSun1+12)=CalendarYear,MONTH(FebSun1+12)=2),FebSun1+12,""),IF(AND(YEAR(FebSun1+19)=CalendarYear,MONTH(FebSun1+19)=2),FebSun1+19,""))</f>
        <v>41319</v>
      </c>
      <c r="P12" s="32">
        <f>IF(DAY(FebSun1)=1,IF(AND(YEAR(FebSun1+13)=CalendarYear,MONTH(FebSun1+13)=2),FebSun1+13,""),IF(AND(YEAR(FebSun1+20)=CalendarYear,MONTH(FebSun1+20)=2),FebSun1+20,""))</f>
        <v>41320</v>
      </c>
      <c r="Q12" s="32">
        <f>IF(DAY(FebSun1)=1,IF(AND(YEAR(FebSun1+14)=CalendarYear,MONTH(FebSun1+14)=2),FebSun1+14,""),IF(AND(YEAR(FebSun1+21)=CalendarYear,MONTH(FebSun1+21)=2),FebSun1+21,""))</f>
        <v>41321</v>
      </c>
      <c r="R12" s="2"/>
      <c r="T12" s="21"/>
      <c r="U12" s="45"/>
      <c r="V12" s="45"/>
      <c r="W12" s="21"/>
      <c r="X12" s="21"/>
      <c r="AA12" s="2"/>
      <c r="AI12" s="2"/>
      <c r="AQ12" s="2"/>
    </row>
    <row r="13" spans="2:43" ht="15" customHeight="1" x14ac:dyDescent="0.2">
      <c r="B13" s="30"/>
      <c r="C13" s="32">
        <f>IF(DAY(JanSun1)=1,IF(AND(YEAR(JanSun1+15)=CalendarYear,MONTH(JanSun1+15)=1),JanSun1+15,""),IF(AND(YEAR(JanSun1+22)=CalendarYear,MONTH(JanSun1+22)=1),JanSun1+22,""))</f>
        <v>41294</v>
      </c>
      <c r="D13" s="32">
        <f>IF(DAY(JanSun1)=1,IF(AND(YEAR(JanSun1+16)=CalendarYear,MONTH(JanSun1+16)=1),JanSun1+16,""),IF(AND(YEAR(JanSun1+23)=CalendarYear,MONTH(JanSun1+23)=1),JanSun1+23,""))</f>
        <v>41295</v>
      </c>
      <c r="E13" s="32">
        <f>IF(DAY(JanSun1)=1,IF(AND(YEAR(JanSun1+17)=CalendarYear,MONTH(JanSun1+17)=1),JanSun1+17,""),IF(AND(YEAR(JanSun1+24)=CalendarYear,MONTH(JanSun1+24)=1),JanSun1+24,""))</f>
        <v>41296</v>
      </c>
      <c r="F13" s="32">
        <f>IF(DAY(JanSun1)=1,IF(AND(YEAR(JanSun1+18)=CalendarYear,MONTH(JanSun1+18)=1),JanSun1+18,""),IF(AND(YEAR(JanSun1+25)=CalendarYear,MONTH(JanSun1+25)=1),JanSun1+25,""))</f>
        <v>41297</v>
      </c>
      <c r="G13" s="53">
        <f>IF(DAY(JanSun1)=1,IF(AND(YEAR(JanSun1+19)=CalendarYear,MONTH(JanSun1+19)=1),JanSun1+19,""),IF(AND(YEAR(JanSun1+26)=CalendarYear,MONTH(JanSun1+26)=1),JanSun1+26,""))</f>
        <v>41298</v>
      </c>
      <c r="H13" s="32">
        <f>IF(DAY(JanSun1)=1,IF(AND(YEAR(JanSun1+20)=CalendarYear,MONTH(JanSun1+20)=1),JanSun1+20,""),IF(AND(YEAR(JanSun1+27)=CalendarYear,MONTH(JanSun1+27)=1),JanSun1+27,""))</f>
        <v>41299</v>
      </c>
      <c r="I13" s="32">
        <f>IF(DAY(JanSun1)=1,IF(AND(YEAR(JanSun1+21)=CalendarYear,MONTH(JanSun1+21)=1),JanSun1+21,""),IF(AND(YEAR(JanSun1+28)=CalendarYear,MONTH(JanSun1+28)=1),JanSun1+28,""))</f>
        <v>41300</v>
      </c>
      <c r="J13" s="32"/>
      <c r="K13" s="32">
        <f>IF(DAY(FebSun1)=1,IF(AND(YEAR(FebSun1+15)=CalendarYear,MONTH(FebSun1+15)=2),FebSun1+15,""),IF(AND(YEAR(FebSun1+22)=CalendarYear,MONTH(FebSun1+22)=2),FebSun1+22,""))</f>
        <v>41322</v>
      </c>
      <c r="L13" s="32">
        <f>IF(DAY(FebSun1)=1,IF(AND(YEAR(FebSun1+16)=CalendarYear,MONTH(FebSun1+16)=2),FebSun1+16,""),IF(AND(YEAR(FebSun1+23)=CalendarYear,MONTH(FebSun1+23)=2),FebSun1+23,""))</f>
        <v>41323</v>
      </c>
      <c r="M13" s="32">
        <f>IF(DAY(FebSun1)=1,IF(AND(YEAR(FebSun1+17)=CalendarYear,MONTH(FebSun1+17)=2),FebSun1+17,""),IF(AND(YEAR(FebSun1+24)=CalendarYear,MONTH(FebSun1+24)=2),FebSun1+24,""))</f>
        <v>41324</v>
      </c>
      <c r="N13" s="32">
        <f>IF(DAY(FebSun1)=1,IF(AND(YEAR(FebSun1+18)=CalendarYear,MONTH(FebSun1+18)=2),FebSun1+18,""),IF(AND(YEAR(FebSun1+25)=CalendarYear,MONTH(FebSun1+25)=2),FebSun1+25,""))</f>
        <v>41325</v>
      </c>
      <c r="O13" s="65">
        <f>IF(DAY(FebSun1)=1,IF(AND(YEAR(FebSun1+19)=CalendarYear,MONTH(FebSun1+19)=2),FebSun1+19,""),IF(AND(YEAR(FebSun1+26)=CalendarYear,MONTH(FebSun1+26)=2),FebSun1+26,""))</f>
        <v>41326</v>
      </c>
      <c r="P13" s="32">
        <f>IF(DAY(FebSun1)=1,IF(AND(YEAR(FebSun1+20)=CalendarYear,MONTH(FebSun1+20)=2),FebSun1+20,""),IF(AND(YEAR(FebSun1+27)=CalendarYear,MONTH(FebSun1+27)=2),FebSun1+27,""))</f>
        <v>41327</v>
      </c>
      <c r="Q13" s="32">
        <f>IF(DAY(FebSun1)=1,IF(AND(YEAR(FebSun1+21)=CalendarYear,MONTH(FebSun1+21)=2),FebSun1+21,""),IF(AND(YEAR(FebSun1+28)=CalendarYear,MONTH(FebSun1+28)=2),FebSun1+28,""))</f>
        <v>41328</v>
      </c>
      <c r="R13" s="2"/>
      <c r="T13" s="21"/>
      <c r="U13" s="38" t="s">
        <v>37</v>
      </c>
      <c r="V13" s="24"/>
      <c r="W13" s="21"/>
      <c r="X13" s="21"/>
      <c r="AA13" s="2"/>
      <c r="AI13" s="2"/>
      <c r="AQ13" s="2"/>
    </row>
    <row r="14" spans="2:43" ht="15" customHeight="1" x14ac:dyDescent="0.2">
      <c r="B14" s="30"/>
      <c r="C14" s="32">
        <f>IF(DAY(JanSun1)=1,IF(AND(YEAR(JanSun1+22)=CalendarYear,MONTH(JanSun1+22)=1),JanSun1+22,""),IF(AND(YEAR(JanSun1+29)=CalendarYear,MONTH(JanSun1+29)=1),JanSun1+29,""))</f>
        <v>41301</v>
      </c>
      <c r="D14" s="32">
        <f>IF(DAY(JanSun1)=1,IF(AND(YEAR(JanSun1+23)=CalendarYear,MONTH(JanSun1+23)=1),JanSun1+23,""),IF(AND(YEAR(JanSun1+30)=CalendarYear,MONTH(JanSun1+30)=1),JanSun1+30,""))</f>
        <v>41302</v>
      </c>
      <c r="E14" s="65">
        <f>IF(DAY(JanSun1)=1,IF(AND(YEAR(JanSun1+24)=CalendarYear,MONTH(JanSun1+24)=1),JanSun1+24,""),IF(AND(YEAR(JanSun1+31)=CalendarYear,MONTH(JanSun1+31)=1),JanSun1+31,""))</f>
        <v>41303</v>
      </c>
      <c r="F14" s="65">
        <f>IF(DAY(JanSun1)=1,IF(AND(YEAR(JanSun1+25)=CalendarYear,MONTH(JanSun1+25)=1),JanSun1+25,""),IF(AND(YEAR(JanSun1+32)=CalendarYear,MONTH(JanSun1+32)=1),JanSun1+32,""))</f>
        <v>41304</v>
      </c>
      <c r="G14" s="65">
        <f>IF(DAY(JanSun1)=1,IF(AND(YEAR(JanSun1+26)=CalendarYear,MONTH(JanSun1+26)=1),JanSun1+26,""),IF(AND(YEAR(JanSun1+33)=CalendarYear,MONTH(JanSun1+33)=1),JanSun1+33,""))</f>
        <v>41305</v>
      </c>
      <c r="H14" s="32" t="str">
        <f>IF(DAY(JanSun1)=1,IF(AND(YEAR(JanSun1+27)=CalendarYear,MONTH(JanSun1+27)=1),JanSun1+27,""),IF(AND(YEAR(JanSun1+34)=CalendarYear,MONTH(JanSun1+34)=1),JanSun1+34,""))</f>
        <v/>
      </c>
      <c r="I14" s="32" t="str">
        <f>IF(DAY(JanSun1)=1,IF(AND(YEAR(JanSun1+28)=CalendarYear,MONTH(JanSun1+28)=1),JanSun1+28,""),IF(AND(YEAR(JanSun1+35)=CalendarYear,MONTH(JanSun1+35)=1),JanSun1+35,""))</f>
        <v/>
      </c>
      <c r="J14" s="32"/>
      <c r="K14" s="32">
        <f>IF(DAY(FebSun1)=1,IF(AND(YEAR(FebSun1+22)=CalendarYear,MONTH(FebSun1+22)=2),FebSun1+22,""),IF(AND(YEAR(FebSun1+29)=CalendarYear,MONTH(FebSun1+29)=2),FebSun1+29,""))</f>
        <v>41329</v>
      </c>
      <c r="L14" s="32">
        <f>IF(DAY(FebSun1)=1,IF(AND(YEAR(FebSun1+23)=CalendarYear,MONTH(FebSun1+23)=2),FebSun1+23,""),IF(AND(YEAR(FebSun1+30)=CalendarYear,MONTH(FebSun1+30)=2),FebSun1+30,""))</f>
        <v>41330</v>
      </c>
      <c r="M14" s="32">
        <f>IF(DAY(FebSun1)=1,IF(AND(YEAR(FebSun1+24)=CalendarYear,MONTH(FebSun1+24)=2),FebSun1+24,""),IF(AND(YEAR(FebSun1+31)=CalendarYear,MONTH(FebSun1+31)=2),FebSun1+31,""))</f>
        <v>41331</v>
      </c>
      <c r="N14" s="32">
        <f>IF(DAY(FebSun1)=1,IF(AND(YEAR(FebSun1+25)=CalendarYear,MONTH(FebSun1+25)=2),FebSun1+25,""),IF(AND(YEAR(FebSun1+32)=CalendarYear,MONTH(FebSun1+32)=2),FebSun1+32,""))</f>
        <v>41332</v>
      </c>
      <c r="O14" s="53">
        <f>IF(DAY(FebSun1)=1,IF(AND(YEAR(FebSun1+26)=CalendarYear,MONTH(FebSun1+26)=2),FebSun1+26,""),IF(AND(YEAR(FebSun1+33)=CalendarYear,MONTH(FebSun1+33)=2),FebSun1+33,""))</f>
        <v>41333</v>
      </c>
      <c r="P14" s="32" t="str">
        <f>IF(DAY(FebSun1)=1,IF(AND(YEAR(FebSun1+27)=CalendarYear,MONTH(FebSun1+27)=2),FebSun1+27,""),IF(AND(YEAR(FebSun1+34)=CalendarYear,MONTH(FebSun1+34)=2),FebSun1+34,""))</f>
        <v/>
      </c>
      <c r="Q14" s="32" t="str">
        <f>IF(DAY(FebSun1)=1,IF(AND(YEAR(FebSun1+28)=CalendarYear,MONTH(FebSun1+28)=2),FebSun1+28,""),IF(AND(YEAR(FebSun1+35)=CalendarYear,MONTH(FebSun1+35)=2),FebSun1+35,""))</f>
        <v/>
      </c>
      <c r="R14" s="2"/>
      <c r="T14" s="21"/>
      <c r="U14" s="36" t="s">
        <v>38</v>
      </c>
      <c r="V14" s="37"/>
      <c r="W14" s="21"/>
      <c r="X14" s="21"/>
      <c r="AA14" s="2"/>
      <c r="AI14" s="2"/>
      <c r="AQ14" s="2"/>
    </row>
    <row r="15" spans="2:43" ht="15" customHeight="1" x14ac:dyDescent="0.2">
      <c r="B15" s="30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2"/>
      <c r="T15" s="21"/>
      <c r="U15" s="36"/>
      <c r="V15" s="37"/>
      <c r="W15" s="21"/>
      <c r="X15" s="21"/>
      <c r="AA15" s="2"/>
      <c r="AI15" s="2"/>
      <c r="AQ15" s="2"/>
    </row>
    <row r="16" spans="2:43" ht="15" customHeight="1" x14ac:dyDescent="0.2">
      <c r="B16" s="30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2"/>
      <c r="T16" s="21"/>
      <c r="U16" s="37" t="s">
        <v>39</v>
      </c>
      <c r="V16" s="37"/>
      <c r="W16" s="21"/>
      <c r="X16" s="21"/>
      <c r="AA16" s="2"/>
      <c r="AI16" s="2"/>
      <c r="AQ16" s="2"/>
    </row>
    <row r="17" spans="2:43" ht="15" customHeight="1" x14ac:dyDescent="0.2">
      <c r="B17" s="2"/>
      <c r="C17" s="3" t="str">
        <f>IF(DAY(JanSun1)=1,IF(AND(YEAR(JanSun1+29)=CalendarYear,MONTH(JanSun1+29)=1),JanSun1+29,""),IF(AND(YEAR(JanSun1+36)=CalendarYear,MONTH(JanSun1+36)=1),JanSun1+36,""))</f>
        <v/>
      </c>
      <c r="D17" s="3" t="str">
        <f>IF(DAY(JanSun1)=1,IF(AND(YEAR(JanSun1+30)=CalendarYear,MONTH(JanSun1+30)=1),JanSun1+30,""),IF(AND(YEAR(JanSun1+37)=CalendarYear,MONTH(JanSun1+37)=1),JanSun1+37,""))</f>
        <v/>
      </c>
      <c r="E17" s="3" t="str">
        <f>IF(DAY(JanSun1)=1,IF(AND(YEAR(JanSun1+31)=CalendarYear,MONTH(JanSun1+31)=1),JanSun1+31,""),IF(AND(YEAR(JanSun1+38)=CalendarYear,MONTH(JanSun1+38)=1),JanSun1+38,""))</f>
        <v/>
      </c>
      <c r="F17" s="3" t="str">
        <f>IF(DAY(JanSun1)=1,IF(AND(YEAR(JanSun1+32)=CalendarYear,MONTH(JanSun1+32)=1),JanSun1+32,""),IF(AND(YEAR(JanSun1+39)=CalendarYear,MONTH(JanSun1+39)=1),JanSun1+39,""))</f>
        <v/>
      </c>
      <c r="G17" s="3" t="str">
        <f>IF(DAY(JanSun1)=1,IF(AND(YEAR(JanSun1+33)=CalendarYear,MONTH(JanSun1+33)=1),JanSun1+33,""),IF(AND(YEAR(JanSun1+40)=CalendarYear,MONTH(JanSun1+40)=1),JanSun1+40,""))</f>
        <v/>
      </c>
      <c r="H17" s="3" t="str">
        <f>IF(DAY(JanSun1)=1,IF(AND(YEAR(JanSun1+34)=CalendarYear,MONTH(JanSun1+34)=1),JanSun1+34,""),IF(AND(YEAR(JanSun1+41)=CalendarYear,MONTH(JanSun1+41)=1),JanSun1+41,""))</f>
        <v/>
      </c>
      <c r="I17" s="3" t="str">
        <f>IF(DAY(JanSun1)=1,IF(AND(YEAR(JanSun1+35)=CalendarYear,MONTH(JanSun1+35)=1),JanSun1+35,""),IF(AND(YEAR(JanSun1+42)=CalendarYear,MONTH(JanSun1+42)=1),JanSun1+42,""))</f>
        <v/>
      </c>
      <c r="J17" s="3"/>
      <c r="K17" s="3" t="str">
        <f>IF(DAY(FebSun1)=1,IF(AND(YEAR(FebSun1+29)=CalendarYear,MONTH(FebSun1+29)=2),FebSun1+29,""),IF(AND(YEAR(FebSun1+36)=CalendarYear,MONTH(FebSun1+36)=2),FebSun1+36,""))</f>
        <v/>
      </c>
      <c r="L17" s="3" t="str">
        <f>IF(DAY(FebSun1)=1,IF(AND(YEAR(FebSun1+30)=CalendarYear,MONTH(FebSun1+30)=2),FebSun1+30,""),IF(AND(YEAR(FebSun1+37)=CalendarYear,MONTH(FebSun1+37)=2),FebSun1+37,""))</f>
        <v/>
      </c>
      <c r="M17" s="3" t="str">
        <f>IF(DAY(FebSun1)=1,IF(AND(YEAR(FebSun1+31)=CalendarYear,MONTH(FebSun1+31)=2),FebSun1+31,""),IF(AND(YEAR(FebSun1+38)=CalendarYear,MONTH(FebSun1+38)=2),FebSun1+38,""))</f>
        <v/>
      </c>
      <c r="N17" s="3" t="str">
        <f>IF(DAY(FebSun1)=1,IF(AND(YEAR(FebSun1+32)=CalendarYear,MONTH(FebSun1+32)=2),FebSun1+32,""),IF(AND(YEAR(FebSun1+39)=CalendarYear,MONTH(FebSun1+39)=2),FebSun1+39,""))</f>
        <v/>
      </c>
      <c r="O17" s="3" t="str">
        <f>IF(DAY(FebSun1)=1,IF(AND(YEAR(FebSun1+33)=CalendarYear,MONTH(FebSun1+33)=2),FebSun1+33,""),IF(AND(YEAR(FebSun1+40)=CalendarYear,MONTH(FebSun1+40)=2),FebSun1+40,""))</f>
        <v/>
      </c>
      <c r="P17" s="3" t="str">
        <f>IF(DAY(FebSun1)=1,IF(AND(YEAR(FebSun1+34)=CalendarYear,MONTH(FebSun1+34)=2),FebSun1+34,""),IF(AND(YEAR(FebSun1+41)=CalendarYear,MONTH(FebSun1+41)=2),FebSun1+41,""))</f>
        <v/>
      </c>
      <c r="Q17" s="3" t="str">
        <f>IF(DAY(FebSun1)=1,IF(AND(YEAR(FebSun1+35)=CalendarYear,MONTH(FebSun1+35)=2),FebSun1+35,""),IF(AND(YEAR(FebSun1+42)=CalendarYear,MONTH(FebSun1+42)=2),FebSun1+42,""))</f>
        <v/>
      </c>
      <c r="R17" s="2"/>
      <c r="T17" s="21"/>
      <c r="U17" s="64" t="s">
        <v>19</v>
      </c>
      <c r="V17" s="42"/>
      <c r="W17" s="21"/>
      <c r="X17" s="21"/>
      <c r="AA17" s="2"/>
      <c r="AI17" s="2"/>
      <c r="AQ17" s="2"/>
    </row>
    <row r="18" spans="2:43" ht="15" customHeight="1" x14ac:dyDescent="0.2">
      <c r="B18" s="2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2"/>
      <c r="T18" s="21"/>
      <c r="U18" s="42"/>
      <c r="V18" s="42"/>
      <c r="W18" s="21"/>
      <c r="X18" s="21"/>
      <c r="AA18" s="2"/>
      <c r="AI18" s="2"/>
      <c r="AQ18" s="2"/>
    </row>
    <row r="19" spans="2:43" ht="15" customHeight="1" x14ac:dyDescent="0.2">
      <c r="B19" s="2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2"/>
      <c r="T19" s="21"/>
      <c r="U19" s="38" t="s">
        <v>40</v>
      </c>
      <c r="V19" s="38"/>
      <c r="W19" s="21"/>
      <c r="X19" s="21"/>
      <c r="AA19" s="2"/>
      <c r="AI19" s="2"/>
      <c r="AQ19" s="2"/>
    </row>
    <row r="20" spans="2:43" s="15" customFormat="1" ht="15" customHeight="1" x14ac:dyDescent="0.25">
      <c r="B20" s="12"/>
      <c r="C20" s="52" t="s">
        <v>8</v>
      </c>
      <c r="D20" s="13"/>
      <c r="E20" s="13"/>
      <c r="F20" s="13"/>
      <c r="G20" s="13"/>
      <c r="H20" s="13"/>
      <c r="I20" s="50" t="s">
        <v>31</v>
      </c>
      <c r="J20" s="16"/>
      <c r="K20" s="52" t="s">
        <v>9</v>
      </c>
      <c r="L20" s="13"/>
      <c r="M20" s="13"/>
      <c r="N20" s="13"/>
      <c r="O20" s="13"/>
      <c r="P20" s="13"/>
      <c r="Q20" s="50" t="s">
        <v>32</v>
      </c>
      <c r="R20" s="12"/>
      <c r="S20" s="17"/>
      <c r="T20" s="22"/>
      <c r="U20" s="59" t="s">
        <v>41</v>
      </c>
      <c r="V20" s="43"/>
      <c r="W20" s="25"/>
      <c r="X20" s="25"/>
      <c r="Y20" s="16"/>
      <c r="Z20" s="16"/>
      <c r="AA20" s="12"/>
      <c r="AB20" s="16"/>
      <c r="AC20" s="16"/>
      <c r="AD20" s="16"/>
      <c r="AE20" s="16"/>
      <c r="AF20" s="16"/>
      <c r="AG20" s="16"/>
      <c r="AH20" s="16"/>
      <c r="AI20" s="12"/>
      <c r="AJ20" s="16"/>
      <c r="AK20" s="16"/>
      <c r="AL20" s="16"/>
      <c r="AM20" s="16"/>
      <c r="AN20" s="16"/>
      <c r="AO20" s="16"/>
      <c r="AP20" s="16"/>
      <c r="AQ20" s="12"/>
    </row>
    <row r="21" spans="2:43" ht="15" customHeight="1" x14ac:dyDescent="0.25">
      <c r="B21" s="2"/>
      <c r="C21" s="6" t="s">
        <v>0</v>
      </c>
      <c r="D21" s="6" t="s">
        <v>1</v>
      </c>
      <c r="E21" s="6" t="s">
        <v>2</v>
      </c>
      <c r="F21" s="6" t="s">
        <v>3</v>
      </c>
      <c r="G21" s="6" t="s">
        <v>2</v>
      </c>
      <c r="H21" s="6" t="s">
        <v>4</v>
      </c>
      <c r="I21" s="6" t="s">
        <v>0</v>
      </c>
      <c r="J21" s="4"/>
      <c r="K21" s="6" t="s">
        <v>0</v>
      </c>
      <c r="L21" s="6" t="s">
        <v>1</v>
      </c>
      <c r="M21" s="6" t="s">
        <v>2</v>
      </c>
      <c r="N21" s="6" t="s">
        <v>3</v>
      </c>
      <c r="O21" s="6" t="s">
        <v>2</v>
      </c>
      <c r="P21" s="6" t="s">
        <v>4</v>
      </c>
      <c r="Q21" s="6" t="s">
        <v>0</v>
      </c>
      <c r="R21" s="2"/>
      <c r="T21" s="21"/>
      <c r="U21" s="45"/>
      <c r="V21" s="45"/>
      <c r="W21" s="21"/>
      <c r="X21" s="21"/>
      <c r="AA21" s="2"/>
      <c r="AI21" s="2"/>
      <c r="AQ21" s="2"/>
    </row>
    <row r="22" spans="2:43" ht="15" customHeight="1" x14ac:dyDescent="0.25">
      <c r="B22" s="2"/>
      <c r="C22" s="6"/>
      <c r="D22" s="6"/>
      <c r="E22" s="6"/>
      <c r="F22" s="6"/>
      <c r="G22" s="6"/>
      <c r="H22" s="6"/>
      <c r="I22" s="6"/>
      <c r="J22" s="4"/>
      <c r="K22" s="6"/>
      <c r="L22" s="6"/>
      <c r="M22" s="6"/>
      <c r="N22" s="6"/>
      <c r="O22" s="6"/>
      <c r="P22" s="6"/>
      <c r="Q22" s="6"/>
      <c r="R22" s="2"/>
      <c r="T22" s="21"/>
      <c r="U22" s="45" t="s">
        <v>42</v>
      </c>
      <c r="V22" s="45"/>
      <c r="W22" s="21"/>
      <c r="X22" s="21"/>
      <c r="AA22" s="2"/>
      <c r="AI22" s="2"/>
      <c r="AQ22" s="2"/>
    </row>
    <row r="23" spans="2:43" ht="15" customHeight="1" x14ac:dyDescent="0.2">
      <c r="B23" s="2"/>
      <c r="C23" s="32" t="str">
        <f>IF(DAY(MarSun1)=1,"",IF(AND(YEAR(MarSun1+1)=CalendarYear,MONTH(MarSun1+1)=3),MarSun1+1,""))</f>
        <v/>
      </c>
      <c r="D23" s="32" t="str">
        <f>IF(DAY(MarSun1)=1,"",IF(AND(YEAR(MarSun1+2)=CalendarYear,MONTH(MarSun1+2)=3),MarSun1+2,""))</f>
        <v/>
      </c>
      <c r="E23" s="32" t="str">
        <f>IF(DAY(MarSun1)=1,"",IF(AND(YEAR(MarSun1+3)=CalendarYear,MONTH(MarSun1+3)=3),MarSun1+3,""))</f>
        <v/>
      </c>
      <c r="F23" s="32" t="str">
        <f>IF(DAY(MarSun1)=1,"",IF(AND(YEAR(MarSun1+4)=CalendarYear,MONTH(MarSun1+4)=3),MarSun1+4,""))</f>
        <v/>
      </c>
      <c r="G23" s="32" t="str">
        <f>IF(DAY(MarSun1)=1,"",IF(AND(YEAR(MarSun1+5)=CalendarYear,MONTH(MarSun1+5)=3),MarSun1+5,""))</f>
        <v/>
      </c>
      <c r="H23" s="32">
        <f>IF(DAY(MarSun1)=1,"",IF(AND(YEAR(MarSun1+6)=CalendarYear,MONTH(MarSun1+6)=3),MarSun1+6,""))</f>
        <v>41334</v>
      </c>
      <c r="I23" s="32">
        <f>IF(DAY(MarSun1)=1,IF(AND(YEAR(MarSun1)=CalendarYear,MONTH(MarSun1)=3),MarSun1,""),IF(AND(YEAR(MarSun1+7)=CalendarYear,MONTH(MarSun1+7)=3),MarSun1+7,""))</f>
        <v>41335</v>
      </c>
      <c r="J23" s="31"/>
      <c r="K23" s="32" t="str">
        <f>IF(DAY(AprSun1)=1,"",IF(AND(YEAR(AprSun1+1)=CalendarYear,MONTH(AprSun1+1)=4),AprSun1+1,""))</f>
        <v/>
      </c>
      <c r="L23" s="32">
        <f>IF(DAY(AprSun1)=1,"",IF(AND(YEAR(AprSun1+2)=CalendarYear,MONTH(AprSun1+2)=4),AprSun1+2,""))</f>
        <v>41365</v>
      </c>
      <c r="M23" s="32">
        <f>IF(DAY(AprSun1)=1,"",IF(AND(YEAR(AprSun1+3)=CalendarYear,MONTH(AprSun1+3)=4),AprSun1+3,""))</f>
        <v>41366</v>
      </c>
      <c r="N23" s="32">
        <f>IF(DAY(AprSun1)=1,"",IF(AND(YEAR(AprSun1+4)=CalendarYear,MONTH(AprSun1+4)=4),AprSun1+4,""))</f>
        <v>41367</v>
      </c>
      <c r="O23" s="32">
        <f>IF(DAY(AprSun1)=1,"",IF(AND(YEAR(AprSun1+5)=CalendarYear,MONTH(AprSun1+5)=4),AprSun1+5,""))</f>
        <v>41368</v>
      </c>
      <c r="P23" s="32">
        <f>IF(DAY(AprSun1)=1,"",IF(AND(YEAR(AprSun1+6)=CalendarYear,MONTH(AprSun1+6)=4),AprSun1+6,""))</f>
        <v>41369</v>
      </c>
      <c r="Q23" s="32">
        <f>IF(DAY(AprSun1)=1,IF(AND(YEAR(AprSun1)=CalendarYear,MONTH(AprSun1)=4),AprSun1,""),IF(AND(YEAR(AprSun1+7)=CalendarYear,MONTH(AprSun1+7)=4),AprSun1+7,""))</f>
        <v>41370</v>
      </c>
      <c r="R23" s="2"/>
      <c r="T23" s="21"/>
      <c r="U23" s="24" t="s">
        <v>62</v>
      </c>
      <c r="V23" s="24"/>
      <c r="W23" s="21"/>
      <c r="X23" s="21"/>
      <c r="AA23" s="2"/>
      <c r="AI23" s="2"/>
      <c r="AQ23" s="2"/>
    </row>
    <row r="24" spans="2:43" ht="15" customHeight="1" x14ac:dyDescent="0.2">
      <c r="B24" s="2"/>
      <c r="C24" s="32">
        <f>IF(DAY(MarSun1)=1,IF(AND(YEAR(MarSun1+1)=CalendarYear,MONTH(MarSun1+1)=3),MarSun1+1,""),IF(AND(YEAR(MarSun1+8)=CalendarYear,MONTH(MarSun1+8)=3),MarSun1+8,""))</f>
        <v>41336</v>
      </c>
      <c r="D24" s="32">
        <f>IF(DAY(MarSun1)=1,IF(AND(YEAR(MarSun1+2)=CalendarYear,MONTH(MarSun1+2)=3),MarSun1+2,""),IF(AND(YEAR(MarSun1+9)=CalendarYear,MONTH(MarSun1+9)=3),MarSun1+9,""))</f>
        <v>41337</v>
      </c>
      <c r="E24" s="32">
        <f>IF(DAY(MarSun1)=1,IF(AND(YEAR(MarSun1+3)=CalendarYear,MONTH(MarSun1+3)=3),MarSun1+3,""),IF(AND(YEAR(MarSun1+10)=CalendarYear,MONTH(MarSun1+10)=3),MarSun1+10,""))</f>
        <v>41338</v>
      </c>
      <c r="F24" s="32">
        <f>IF(DAY(MarSun1)=1,IF(AND(YEAR(MarSun1+4)=CalendarYear,MONTH(MarSun1+4)=3),MarSun1+4,""),IF(AND(YEAR(MarSun1+11)=CalendarYear,MONTH(MarSun1+11)=3),MarSun1+11,""))</f>
        <v>41339</v>
      </c>
      <c r="G24" s="32">
        <f>IF(DAY(MarSun1)=1,IF(AND(YEAR(MarSun1+5)=CalendarYear,MONTH(MarSun1+5)=3),MarSun1+5,""),IF(AND(YEAR(MarSun1+12)=CalendarYear,MONTH(MarSun1+12)=3),MarSun1+12,""))</f>
        <v>41340</v>
      </c>
      <c r="H24" s="32">
        <f>IF(DAY(MarSun1)=1,IF(AND(YEAR(MarSun1+6)=CalendarYear,MONTH(MarSun1+6)=3),MarSun1+6,""),IF(AND(YEAR(MarSun1+13)=CalendarYear,MONTH(MarSun1+13)=3),MarSun1+13,""))</f>
        <v>41341</v>
      </c>
      <c r="I24" s="32">
        <f>IF(DAY(MarSun1)=1,IF(AND(YEAR(MarSun1+7)=CalendarYear,MONTH(MarSun1+7)=3),MarSun1+7,""),IF(AND(YEAR(MarSun1+14)=CalendarYear,MONTH(MarSun1+14)=3),MarSun1+14,""))</f>
        <v>41342</v>
      </c>
      <c r="J24" s="32"/>
      <c r="K24" s="32">
        <f>IF(DAY(AprSun1)=1,IF(AND(YEAR(AprSun1+1)=CalendarYear,MONTH(AprSun1+1)=4),AprSun1+1,""),IF(AND(YEAR(AprSun1+8)=CalendarYear,MONTH(AprSun1+8)=4),AprSun1+8,""))</f>
        <v>41371</v>
      </c>
      <c r="L24" s="32">
        <f>IF(DAY(AprSun1)=1,IF(AND(YEAR(AprSun1+2)=CalendarYear,MONTH(AprSun1+2)=4),AprSun1+2,""),IF(AND(YEAR(AprSun1+9)=CalendarYear,MONTH(AprSun1+9)=4),AprSun1+9,""))</f>
        <v>41372</v>
      </c>
      <c r="M24" s="32">
        <f>IF(DAY(AprSun1)=1,IF(AND(YEAR(AprSun1+3)=CalendarYear,MONTH(AprSun1+3)=4),AprSun1+3,""),IF(AND(YEAR(AprSun1+10)=CalendarYear,MONTH(AprSun1+10)=4),AprSun1+10,""))</f>
        <v>41373</v>
      </c>
      <c r="N24" s="32">
        <f>IF(DAY(AprSun1)=1,IF(AND(YEAR(AprSun1+4)=CalendarYear,MONTH(AprSun1+4)=4),AprSun1+4,""),IF(AND(YEAR(AprSun1+11)=CalendarYear,MONTH(AprSun1+11)=4),AprSun1+11,""))</f>
        <v>41374</v>
      </c>
      <c r="O24" s="32">
        <f>IF(DAY(AprSun1)=1,IF(AND(YEAR(AprSun1+5)=CalendarYear,MONTH(AprSun1+5)=4),AprSun1+5,""),IF(AND(YEAR(AprSun1+12)=CalendarYear,MONTH(AprSun1+12)=4),AprSun1+12,""))</f>
        <v>41375</v>
      </c>
      <c r="P24" s="32">
        <f>IF(DAY(AprSun1)=1,IF(AND(YEAR(AprSun1+6)=CalendarYear,MONTH(AprSun1+6)=4),AprSun1+6,""),IF(AND(YEAR(AprSun1+13)=CalendarYear,MONTH(AprSun1+13)=4),AprSun1+13,""))</f>
        <v>41376</v>
      </c>
      <c r="Q24" s="32">
        <f>IF(DAY(AprSun1)=1,IF(AND(YEAR(AprSun1+7)=CalendarYear,MONTH(AprSun1+7)=4),AprSun1+7,""),IF(AND(YEAR(AprSun1+14)=CalendarYear,MONTH(AprSun1+14)=4),AprSun1+14,""))</f>
        <v>41377</v>
      </c>
      <c r="R24" s="2"/>
      <c r="T24" s="21"/>
      <c r="U24" s="37"/>
      <c r="V24" s="37"/>
      <c r="W24" s="21"/>
      <c r="X24" s="21"/>
      <c r="AA24" s="2"/>
      <c r="AI24" s="2"/>
      <c r="AQ24" s="2"/>
    </row>
    <row r="25" spans="2:43" ht="15" customHeight="1" x14ac:dyDescent="0.2">
      <c r="B25" s="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2"/>
      <c r="T25" s="21"/>
      <c r="U25" s="37" t="s">
        <v>55</v>
      </c>
      <c r="V25" s="37"/>
      <c r="W25" s="21"/>
      <c r="X25" s="21"/>
      <c r="AA25" s="2"/>
      <c r="AI25" s="2"/>
      <c r="AQ25" s="2"/>
    </row>
    <row r="26" spans="2:43" ht="15" customHeight="1" x14ac:dyDescent="0.2">
      <c r="B26" s="2"/>
      <c r="C26" s="32">
        <f>IF(DAY(MarSun1)=1,IF(AND(YEAR(MarSun1+8)=CalendarYear,MONTH(MarSun1+8)=3),MarSun1+8,""),IF(AND(YEAR(MarSun1+15)=CalendarYear,MONTH(MarSun1+15)=3),MarSun1+15,""))</f>
        <v>41343</v>
      </c>
      <c r="D26" s="32">
        <f>IF(DAY(MarSun1)=1,IF(AND(YEAR(MarSun1+9)=CalendarYear,MONTH(MarSun1+9)=3),MarSun1+9,""),IF(AND(YEAR(MarSun1+16)=CalendarYear,MONTH(MarSun1+16)=3),MarSun1+16,""))</f>
        <v>41344</v>
      </c>
      <c r="E26" s="32">
        <f>IF(DAY(MarSun1)=1,IF(AND(YEAR(MarSun1+10)=CalendarYear,MONTH(MarSun1+10)=3),MarSun1+10,""),IF(AND(YEAR(MarSun1+17)=CalendarYear,MONTH(MarSun1+17)=3),MarSun1+17,""))</f>
        <v>41345</v>
      </c>
      <c r="F26" s="32">
        <f>IF(DAY(MarSun1)=1,IF(AND(YEAR(MarSun1+11)=CalendarYear,MONTH(MarSun1+11)=3),MarSun1+11,""),IF(AND(YEAR(MarSun1+18)=CalendarYear,MONTH(MarSun1+18)=3),MarSun1+18,""))</f>
        <v>41346</v>
      </c>
      <c r="G26" s="32">
        <f>IF(DAY(MarSun1)=1,IF(AND(YEAR(MarSun1+12)=CalendarYear,MONTH(MarSun1+12)=3),MarSun1+12,""),IF(AND(YEAR(MarSun1+19)=CalendarYear,MONTH(MarSun1+19)=3),MarSun1+19,""))</f>
        <v>41347</v>
      </c>
      <c r="H26" s="32">
        <f>IF(DAY(MarSun1)=1,IF(AND(YEAR(MarSun1+13)=CalendarYear,MONTH(MarSun1+13)=3),MarSun1+13,""),IF(AND(YEAR(MarSun1+20)=CalendarYear,MONTH(MarSun1+20)=3),MarSun1+20,""))</f>
        <v>41348</v>
      </c>
      <c r="I26" s="32">
        <f>IF(DAY(MarSun1)=1,IF(AND(YEAR(MarSun1+14)=CalendarYear,MONTH(MarSun1+14)=3),MarSun1+14,""),IF(AND(YEAR(MarSun1+21)=CalendarYear,MONTH(MarSun1+21)=3),MarSun1+21,""))</f>
        <v>41349</v>
      </c>
      <c r="J26" s="32"/>
      <c r="K26" s="32">
        <f>IF(DAY(AprSun1)=1,IF(AND(YEAR(AprSun1+8)=CalendarYear,MONTH(AprSun1+8)=4),AprSun1+8,""),IF(AND(YEAR(AprSun1+15)=CalendarYear,MONTH(AprSun1+15)=4),AprSun1+15,""))</f>
        <v>41378</v>
      </c>
      <c r="L26" s="32">
        <f>IF(DAY(AprSun1)=1,IF(AND(YEAR(AprSun1+9)=CalendarYear,MONTH(AprSun1+9)=4),AprSun1+9,""),IF(AND(YEAR(AprSun1+16)=CalendarYear,MONTH(AprSun1+16)=4),AprSun1+16,""))</f>
        <v>41379</v>
      </c>
      <c r="M26" s="32">
        <f>IF(DAY(AprSun1)=1,IF(AND(YEAR(AprSun1+10)=CalendarYear,MONTH(AprSun1+10)=4),AprSun1+10,""),IF(AND(YEAR(AprSun1+17)=CalendarYear,MONTH(AprSun1+17)=4),AprSun1+17,""))</f>
        <v>41380</v>
      </c>
      <c r="N26" s="65">
        <f>IF(DAY(AprSun1)=1,IF(AND(YEAR(AprSun1+11)=CalendarYear,MONTH(AprSun1+11)=4),AprSun1+11,""),IF(AND(YEAR(AprSun1+18)=CalendarYear,MONTH(AprSun1+18)=4),AprSun1+18,""))</f>
        <v>41381</v>
      </c>
      <c r="O26" s="53">
        <f>IF(DAY(AprSun1)=1,IF(AND(YEAR(AprSun1+12)=CalendarYear,MONTH(AprSun1+12)=4),AprSun1+12,""),IF(AND(YEAR(AprSun1+19)=CalendarYear,MONTH(AprSun1+19)=4),AprSun1+19,""))</f>
        <v>41382</v>
      </c>
      <c r="P26" s="32">
        <f>IF(DAY(AprSun1)=1,IF(AND(YEAR(AprSun1+13)=CalendarYear,MONTH(AprSun1+13)=4),AprSun1+13,""),IF(AND(YEAR(AprSun1+20)=CalendarYear,MONTH(AprSun1+20)=4),AprSun1+20,""))</f>
        <v>41383</v>
      </c>
      <c r="Q26" s="32">
        <f>IF(DAY(AprSun1)=1,IF(AND(YEAR(AprSun1+14)=CalendarYear,MONTH(AprSun1+14)=4),AprSun1+14,""),IF(AND(YEAR(AprSun1+21)=CalendarYear,MONTH(AprSun1+21)=4),AprSun1+21,""))</f>
        <v>41384</v>
      </c>
      <c r="R26" s="2"/>
      <c r="T26" s="21"/>
      <c r="U26" s="24" t="s">
        <v>25</v>
      </c>
      <c r="V26" s="24"/>
      <c r="W26" s="21"/>
      <c r="X26" s="21"/>
      <c r="AA26" s="2"/>
      <c r="AI26" s="2"/>
      <c r="AQ26" s="2"/>
    </row>
    <row r="27" spans="2:43" ht="15" customHeight="1" x14ac:dyDescent="0.2">
      <c r="B27" s="2"/>
      <c r="C27" s="32">
        <f>IF(DAY(MarSun1)=1,IF(AND(YEAR(MarSun1+15)=CalendarYear,MONTH(MarSun1+15)=3),MarSun1+15,""),IF(AND(YEAR(MarSun1+22)=CalendarYear,MONTH(MarSun1+22)=3),MarSun1+22,""))</f>
        <v>41350</v>
      </c>
      <c r="D27" s="32">
        <f>IF(DAY(MarSun1)=1,IF(AND(YEAR(MarSun1+16)=CalendarYear,MONTH(MarSun1+16)=3),MarSun1+16,""),IF(AND(YEAR(MarSun1+23)=CalendarYear,MONTH(MarSun1+23)=3),MarSun1+23,""))</f>
        <v>41351</v>
      </c>
      <c r="E27" s="65">
        <f>IF(DAY(MarSun1)=1,IF(AND(YEAR(MarSun1+17)=CalendarYear,MONTH(MarSun1+17)=3),MarSun1+17,""),IF(AND(YEAR(MarSun1+24)=CalendarYear,MONTH(MarSun1+24)=3),MarSun1+24,""))</f>
        <v>41352</v>
      </c>
      <c r="F27" s="32">
        <f>IF(DAY(MarSun1)=1,IF(AND(YEAR(MarSun1+18)=CalendarYear,MONTH(MarSun1+18)=3),MarSun1+18,""),IF(AND(YEAR(MarSun1+25)=CalendarYear,MONTH(MarSun1+25)=3),MarSun1+25,""))</f>
        <v>41353</v>
      </c>
      <c r="G27" s="32">
        <f>IF(DAY(MarSun1)=1,IF(AND(YEAR(MarSun1+19)=CalendarYear,MONTH(MarSun1+19)=3),MarSun1+19,""),IF(AND(YEAR(MarSun1+26)=CalendarYear,MONTH(MarSun1+26)=3),MarSun1+26,""))</f>
        <v>41354</v>
      </c>
      <c r="H27" s="32">
        <f>IF(DAY(MarSun1)=1,IF(AND(YEAR(MarSun1+20)=CalendarYear,MONTH(MarSun1+20)=3),MarSun1+20,""),IF(AND(YEAR(MarSun1+27)=CalendarYear,MONTH(MarSun1+27)=3),MarSun1+27,""))</f>
        <v>41355</v>
      </c>
      <c r="I27" s="32">
        <f>IF(DAY(MarSun1)=1,IF(AND(YEAR(MarSun1+21)=CalendarYear,MONTH(MarSun1+21)=3),MarSun1+21,""),IF(AND(YEAR(MarSun1+28)=CalendarYear,MONTH(MarSun1+28)=3),MarSun1+28,""))</f>
        <v>41356</v>
      </c>
      <c r="J27" s="32"/>
      <c r="K27" s="32">
        <f>IF(DAY(AprSun1)=1,IF(AND(YEAR(AprSun1+15)=CalendarYear,MONTH(AprSun1+15)=4),AprSun1+15,""),IF(AND(YEAR(AprSun1+22)=CalendarYear,MONTH(AprSun1+22)=4),AprSun1+22,""))</f>
        <v>41385</v>
      </c>
      <c r="L27" s="32">
        <f>IF(DAY(AprSun1)=1,IF(AND(YEAR(AprSun1+16)=CalendarYear,MONTH(AprSun1+16)=4),AprSun1+16,""),IF(AND(YEAR(AprSun1+23)=CalendarYear,MONTH(AprSun1+23)=4),AprSun1+23,""))</f>
        <v>41386</v>
      </c>
      <c r="M27" s="32">
        <f>IF(DAY(AprSun1)=1,IF(AND(YEAR(AprSun1+17)=CalendarYear,MONTH(AprSun1+17)=4),AprSun1+17,""),IF(AND(YEAR(AprSun1+24)=CalendarYear,MONTH(AprSun1+24)=4),AprSun1+24,""))</f>
        <v>41387</v>
      </c>
      <c r="N27" s="32">
        <f>IF(DAY(AprSun1)=1,IF(AND(YEAR(AprSun1+18)=CalendarYear,MONTH(AprSun1+18)=4),AprSun1+18,""),IF(AND(YEAR(AprSun1+25)=CalendarYear,MONTH(AprSun1+25)=4),AprSun1+25,""))</f>
        <v>41388</v>
      </c>
      <c r="O27" s="32">
        <f>IF(DAY(AprSun1)=1,IF(AND(YEAR(AprSun1+19)=CalendarYear,MONTH(AprSun1+19)=4),AprSun1+19,""),IF(AND(YEAR(AprSun1+26)=CalendarYear,MONTH(AprSun1+26)=4),AprSun1+26,""))</f>
        <v>41389</v>
      </c>
      <c r="P27" s="32">
        <f>IF(DAY(AprSun1)=1,IF(AND(YEAR(AprSun1+20)=CalendarYear,MONTH(AprSun1+20)=4),AprSun1+20,""),IF(AND(YEAR(AprSun1+27)=CalendarYear,MONTH(AprSun1+27)=4),AprSun1+27,""))</f>
        <v>41390</v>
      </c>
      <c r="Q27" s="32">
        <f>IF(DAY(AprSun1)=1,IF(AND(YEAR(AprSun1+21)=CalendarYear,MONTH(AprSun1+21)=4),AprSun1+21,""),IF(AND(YEAR(AprSun1+28)=CalendarYear,MONTH(AprSun1+28)=4),AprSun1+28,""))</f>
        <v>41391</v>
      </c>
      <c r="R27" s="2"/>
      <c r="T27" s="21"/>
      <c r="U27" s="38"/>
      <c r="V27" s="38"/>
      <c r="W27" s="21"/>
      <c r="X27" s="21"/>
      <c r="AA27" s="2"/>
      <c r="AI27" s="2"/>
      <c r="AQ27" s="2"/>
    </row>
    <row r="28" spans="2:43" ht="15" customHeight="1" x14ac:dyDescent="0.2">
      <c r="B28" s="2"/>
      <c r="C28" s="32">
        <f>IF(DAY(MarSun1)=1,IF(AND(YEAR(MarSun1+22)=CalendarYear,MONTH(MarSun1+22)=3),MarSun1+22,""),IF(AND(YEAR(MarSun1+29)=CalendarYear,MONTH(MarSun1+29)=3),MarSun1+29,""))</f>
        <v>41357</v>
      </c>
      <c r="D28" s="32">
        <f>IF(DAY(MarSun1)=1,IF(AND(YEAR(MarSun1+23)=CalendarYear,MONTH(MarSun1+23)=3),MarSun1+23,""),IF(AND(YEAR(MarSun1+30)=CalendarYear,MONTH(MarSun1+30)=3),MarSun1+30,""))</f>
        <v>41358</v>
      </c>
      <c r="E28" s="32">
        <f>IF(DAY(MarSun1)=1,IF(AND(YEAR(MarSun1+24)=CalendarYear,MONTH(MarSun1+24)=3),MarSun1+24,""),IF(AND(YEAR(MarSun1+31)=CalendarYear,MONTH(MarSun1+31)=3),MarSun1+31,""))</f>
        <v>41359</v>
      </c>
      <c r="F28" s="32">
        <f>IF(DAY(MarSun1)=1,IF(AND(YEAR(MarSun1+25)=CalendarYear,MONTH(MarSun1+25)=3),MarSun1+25,""),IF(AND(YEAR(MarSun1+32)=CalendarYear,MONTH(MarSun1+32)=3),MarSun1+32,""))</f>
        <v>41360</v>
      </c>
      <c r="G28" s="53">
        <f>IF(DAY(MarSun1)=1,IF(AND(YEAR(MarSun1+26)=CalendarYear,MONTH(MarSun1+26)=3),MarSun1+26,""),IF(AND(YEAR(MarSun1+33)=CalendarYear,MONTH(MarSun1+33)=3),MarSun1+33,""))</f>
        <v>41361</v>
      </c>
      <c r="H28" s="32">
        <f>IF(DAY(MarSun1)=1,IF(AND(YEAR(MarSun1+27)=CalendarYear,MONTH(MarSun1+27)=3),MarSun1+27,""),IF(AND(YEAR(MarSun1+34)=CalendarYear,MONTH(MarSun1+34)=3),MarSun1+34,""))</f>
        <v>41362</v>
      </c>
      <c r="I28" s="32">
        <f>IF(DAY(MarSun1)=1,IF(AND(YEAR(MarSun1+28)=CalendarYear,MONTH(MarSun1+28)=3),MarSun1+28,""),IF(AND(YEAR(MarSun1+35)=CalendarYear,MONTH(MarSun1+35)=3),MarSun1+35,""))</f>
        <v>41363</v>
      </c>
      <c r="J28" s="32"/>
      <c r="K28" s="32">
        <f>IF(DAY(AprSun1)=1,IF(AND(YEAR(AprSun1+22)=CalendarYear,MONTH(AprSun1+22)=4),AprSun1+22,""),IF(AND(YEAR(AprSun1+29)=CalendarYear,MONTH(AprSun1+29)=4),AprSun1+29,""))</f>
        <v>41392</v>
      </c>
      <c r="L28" s="32">
        <f>IF(DAY(AprSun1)=1,IF(AND(YEAR(AprSun1+23)=CalendarYear,MONTH(AprSun1+23)=4),AprSun1+23,""),IF(AND(YEAR(AprSun1+30)=CalendarYear,MONTH(AprSun1+30)=4),AprSun1+30,""))</f>
        <v>41393</v>
      </c>
      <c r="M28" s="32">
        <f>IF(DAY(AprSun1)=1,IF(AND(YEAR(AprSun1+24)=CalendarYear,MONTH(AprSun1+24)=4),AprSun1+24,""),IF(AND(YEAR(AprSun1+31)=CalendarYear,MONTH(AprSun1+31)=4),AprSun1+31,""))</f>
        <v>41394</v>
      </c>
      <c r="N28" s="32" t="str">
        <f>IF(DAY(AprSun1)=1,IF(AND(YEAR(AprSun1+25)=CalendarYear,MONTH(AprSun1+25)=4),AprSun1+25,""),IF(AND(YEAR(AprSun1+32)=CalendarYear,MONTH(AprSun1+32)=4),AprSun1+32,""))</f>
        <v/>
      </c>
      <c r="O28" s="32" t="str">
        <f>IF(DAY(AprSun1)=1,IF(AND(YEAR(AprSun1+26)=CalendarYear,MONTH(AprSun1+26)=4),AprSun1+26,""),IF(AND(YEAR(AprSun1+33)=CalendarYear,MONTH(AprSun1+33)=4),AprSun1+33,""))</f>
        <v/>
      </c>
      <c r="P28" s="32" t="str">
        <f>IF(DAY(AprSun1)=1,IF(AND(YEAR(AprSun1+27)=CalendarYear,MONTH(AprSun1+27)=4),AprSun1+27,""),IF(AND(YEAR(AprSun1+34)=CalendarYear,MONTH(AprSun1+34)=4),AprSun1+34,""))</f>
        <v/>
      </c>
      <c r="Q28" s="32" t="str">
        <f>IF(DAY(AprSun1)=1,IF(AND(YEAR(AprSun1+28)=CalendarYear,MONTH(AprSun1+28)=4),AprSun1+28,""),IF(AND(YEAR(AprSun1+35)=CalendarYear,MONTH(AprSun1+35)=4),AprSun1+35,""))</f>
        <v/>
      </c>
      <c r="R28" s="2"/>
      <c r="T28" s="21"/>
      <c r="U28" s="61" t="s">
        <v>43</v>
      </c>
      <c r="V28" s="46"/>
      <c r="W28" s="21"/>
      <c r="X28" s="21"/>
      <c r="AA28" s="2"/>
      <c r="AI28" s="2"/>
      <c r="AQ28" s="2"/>
    </row>
    <row r="29" spans="2:43" ht="15" customHeight="1" x14ac:dyDescent="0.2">
      <c r="B29" s="2"/>
      <c r="C29" s="3">
        <f>IF(DAY(MarSun1)=1,IF(AND(YEAR(MarSun1+29)=CalendarYear,MONTH(MarSun1+29)=3),MarSun1+29,""),IF(AND(YEAR(MarSun1+36)=CalendarYear,MONTH(MarSun1+36)=3),MarSun1+36,""))</f>
        <v>41364</v>
      </c>
      <c r="D29" s="3" t="str">
        <f>IF(DAY(MarSun1)=1,IF(AND(YEAR(MarSun1+30)=CalendarYear,MONTH(MarSun1+30)=3),MarSun1+30,""),IF(AND(YEAR(MarSun1+37)=CalendarYear,MONTH(MarSun1+37)=3),MarSun1+37,""))</f>
        <v/>
      </c>
      <c r="E29" s="3" t="str">
        <f>IF(DAY(MarSun1)=1,IF(AND(YEAR(MarSun1+31)=CalendarYear,MONTH(MarSun1+31)=3),MarSun1+31,""),IF(AND(YEAR(MarSun1+38)=CalendarYear,MONTH(MarSun1+38)=3),MarSun1+38,""))</f>
        <v/>
      </c>
      <c r="F29" s="3" t="str">
        <f>IF(DAY(MarSun1)=1,IF(AND(YEAR(MarSun1+32)=CalendarYear,MONTH(MarSun1+32)=3),MarSun1+32,""),IF(AND(YEAR(MarSun1+39)=CalendarYear,MONTH(MarSun1+39)=3),MarSun1+39,""))</f>
        <v/>
      </c>
      <c r="G29" s="3" t="str">
        <f>IF(DAY(MarSun1)=1,IF(AND(YEAR(MarSun1+33)=CalendarYear,MONTH(MarSun1+33)=3),MarSun1+33,""),IF(AND(YEAR(MarSun1+40)=CalendarYear,MONTH(MarSun1+40)=3),MarSun1+40,""))</f>
        <v/>
      </c>
      <c r="H29" s="3" t="str">
        <f>IF(DAY(MarSun1)=1,IF(AND(YEAR(MarSun1+34)=CalendarYear,MONTH(MarSun1+34)=3),MarSun1+34,""),IF(AND(YEAR(MarSun1+41)=CalendarYear,MONTH(MarSun1+41)=3),MarSun1+41,""))</f>
        <v/>
      </c>
      <c r="I29" s="3" t="str">
        <f>IF(DAY(MarSun1)=1,IF(AND(YEAR(MarSun1+35)=CalendarYear,MONTH(MarSun1+35)=3),MarSun1+35,""),IF(AND(YEAR(MarSun1+42)=CalendarYear,MONTH(MarSun1+42)=3),MarSun1+42,""))</f>
        <v/>
      </c>
      <c r="J29" s="3"/>
      <c r="K29" s="3" t="str">
        <f>IF(DAY(AprSun1)=1,IF(AND(YEAR(AprSun1+29)=CalendarYear,MONTH(AprSun1+29)=4),AprSun1+29,""),IF(AND(YEAR(AprSun1+36)=CalendarYear,MONTH(AprSun1+36)=4),AprSun1+36,""))</f>
        <v/>
      </c>
      <c r="L29" s="3" t="str">
        <f>IF(DAY(AprSun1)=1,IF(AND(YEAR(AprSun1+30)=CalendarYear,MONTH(AprSun1+30)=4),AprSun1+30,""),IF(AND(YEAR(AprSun1+37)=CalendarYear,MONTH(AprSun1+37)=4),AprSun1+37,""))</f>
        <v/>
      </c>
      <c r="M29" s="3" t="str">
        <f>IF(DAY(AprSun1)=1,IF(AND(YEAR(AprSun1+31)=CalendarYear,MONTH(AprSun1+31)=4),AprSun1+31,""),IF(AND(YEAR(AprSun1+38)=CalendarYear,MONTH(AprSun1+38)=4),AprSun1+38,""))</f>
        <v/>
      </c>
      <c r="N29" s="3" t="str">
        <f>IF(DAY(AprSun1)=1,IF(AND(YEAR(AprSun1+32)=CalendarYear,MONTH(AprSun1+32)=4),AprSun1+32,""),IF(AND(YEAR(AprSun1+39)=CalendarYear,MONTH(AprSun1+39)=4),AprSun1+39,""))</f>
        <v/>
      </c>
      <c r="O29" s="3" t="str">
        <f>IF(DAY(AprSun1)=1,IF(AND(YEAR(AprSun1+33)=CalendarYear,MONTH(AprSun1+33)=4),AprSun1+33,""),IF(AND(YEAR(AprSun1+40)=CalendarYear,MONTH(AprSun1+40)=4),AprSun1+40,""))</f>
        <v/>
      </c>
      <c r="P29" s="3" t="str">
        <f>IF(DAY(AprSun1)=1,IF(AND(YEAR(AprSun1+34)=CalendarYear,MONTH(AprSun1+34)=4),AprSun1+34,""),IF(AND(YEAR(AprSun1+41)=CalendarYear,MONTH(AprSun1+41)=4),AprSun1+41,""))</f>
        <v/>
      </c>
      <c r="Q29" s="3" t="str">
        <f>IF(DAY(AprSun1)=1,IF(AND(YEAR(AprSun1+35)=CalendarYear,MONTH(AprSun1+35)=4),AprSun1+35,""),IF(AND(YEAR(AprSun1+42)=CalendarYear,MONTH(AprSun1+42)=4),AprSun1+42,""))</f>
        <v/>
      </c>
      <c r="R29" s="2"/>
      <c r="T29" s="21"/>
      <c r="U29" s="24" t="s">
        <v>44</v>
      </c>
      <c r="V29" s="38"/>
      <c r="W29" s="21"/>
      <c r="X29" s="21"/>
      <c r="AA29" s="2"/>
      <c r="AI29" s="2"/>
      <c r="AQ29" s="2"/>
    </row>
    <row r="30" spans="2:43" ht="15" customHeight="1" x14ac:dyDescent="0.2">
      <c r="B30" s="2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2"/>
      <c r="T30" s="21"/>
      <c r="U30" s="38"/>
      <c r="V30" s="38"/>
      <c r="W30" s="21"/>
      <c r="X30" s="21"/>
      <c r="AA30" s="2"/>
      <c r="AI30" s="2"/>
      <c r="AQ30" s="2"/>
    </row>
    <row r="31" spans="2:43" ht="15" customHeight="1" x14ac:dyDescent="0.2">
      <c r="B31" s="2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2"/>
      <c r="T31" s="21"/>
      <c r="U31" s="38" t="s">
        <v>58</v>
      </c>
      <c r="V31" s="38"/>
      <c r="W31" s="21"/>
      <c r="X31" s="21"/>
      <c r="AA31" s="2"/>
      <c r="AI31" s="2"/>
      <c r="AQ31" s="2"/>
    </row>
    <row r="32" spans="2:43" ht="15" customHeight="1" x14ac:dyDescent="0.2">
      <c r="B32" s="2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2"/>
      <c r="T32" s="21"/>
      <c r="U32" s="66" t="s">
        <v>61</v>
      </c>
      <c r="V32" s="38"/>
      <c r="W32" s="21"/>
      <c r="X32" s="21"/>
      <c r="AA32" s="2"/>
      <c r="AI32" s="2"/>
      <c r="AQ32" s="2"/>
    </row>
    <row r="33" spans="2:43" ht="15" customHeight="1" x14ac:dyDescent="0.2">
      <c r="B33" s="2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2"/>
      <c r="T33" s="21"/>
      <c r="U33" s="38"/>
      <c r="V33" s="38"/>
      <c r="W33" s="21"/>
      <c r="X33" s="21"/>
      <c r="AA33" s="2"/>
      <c r="AI33" s="2"/>
      <c r="AQ33" s="2"/>
    </row>
    <row r="34" spans="2:43" ht="15" customHeight="1" x14ac:dyDescent="0.2">
      <c r="B34" s="2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2"/>
      <c r="T34" s="21"/>
      <c r="U34" s="38" t="s">
        <v>45</v>
      </c>
      <c r="V34" s="38"/>
      <c r="W34" s="21"/>
      <c r="X34" s="21"/>
      <c r="AA34" s="2"/>
      <c r="AI34" s="2"/>
      <c r="AQ34" s="2"/>
    </row>
    <row r="35" spans="2:43" ht="15" customHeight="1" x14ac:dyDescent="0.2">
      <c r="B35" s="2"/>
      <c r="J35" s="3"/>
      <c r="R35" s="2"/>
      <c r="T35" s="21"/>
      <c r="U35" s="24" t="s">
        <v>20</v>
      </c>
      <c r="V35" s="24"/>
      <c r="W35" s="21"/>
      <c r="X35" s="21"/>
      <c r="AA35" s="2"/>
      <c r="AI35" s="2"/>
      <c r="AQ35" s="2"/>
    </row>
    <row r="36" spans="2:43" ht="15" customHeight="1" x14ac:dyDescent="0.2">
      <c r="B36" s="2"/>
      <c r="J36" s="3"/>
      <c r="R36" s="2"/>
      <c r="T36" s="21"/>
      <c r="U36" s="24"/>
      <c r="V36" s="24"/>
      <c r="W36" s="21"/>
      <c r="X36" s="21"/>
      <c r="AA36" s="2"/>
      <c r="AI36" s="2"/>
      <c r="AQ36" s="2"/>
    </row>
    <row r="37" spans="2:43" s="15" customFormat="1" ht="15" customHeight="1" x14ac:dyDescent="0.25">
      <c r="B37" s="12"/>
      <c r="C37" s="52" t="s">
        <v>10</v>
      </c>
      <c r="D37" s="13"/>
      <c r="E37" s="13"/>
      <c r="F37" s="13"/>
      <c r="G37" s="13"/>
      <c r="H37" s="13"/>
      <c r="I37" s="50" t="s">
        <v>34</v>
      </c>
      <c r="J37" s="18"/>
      <c r="K37" s="52" t="s">
        <v>11</v>
      </c>
      <c r="L37" s="13"/>
      <c r="M37" s="13"/>
      <c r="N37" s="13"/>
      <c r="O37" s="13"/>
      <c r="P37" s="50" t="s">
        <v>33</v>
      </c>
      <c r="Q37" s="13"/>
      <c r="R37" s="12"/>
      <c r="S37" s="17"/>
      <c r="T37" s="22"/>
      <c r="U37" s="47" t="s">
        <v>26</v>
      </c>
      <c r="V37" s="47"/>
      <c r="W37" s="25"/>
      <c r="X37" s="25"/>
      <c r="Y37" s="16"/>
      <c r="Z37" s="16"/>
      <c r="AA37" s="12"/>
      <c r="AB37" s="16"/>
      <c r="AC37" s="16"/>
      <c r="AD37" s="16"/>
      <c r="AE37" s="16"/>
      <c r="AF37" s="16"/>
      <c r="AG37" s="16"/>
      <c r="AH37" s="16"/>
      <c r="AI37" s="12"/>
      <c r="AJ37" s="16"/>
      <c r="AK37" s="16"/>
      <c r="AL37" s="16"/>
      <c r="AM37" s="16"/>
      <c r="AN37" s="16"/>
      <c r="AO37" s="16"/>
      <c r="AP37" s="16"/>
      <c r="AQ37" s="12"/>
    </row>
    <row r="38" spans="2:43" ht="15" customHeight="1" x14ac:dyDescent="0.2">
      <c r="B38" s="2"/>
      <c r="C38" s="6" t="s">
        <v>0</v>
      </c>
      <c r="D38" s="6" t="s">
        <v>1</v>
      </c>
      <c r="E38" s="6" t="s">
        <v>2</v>
      </c>
      <c r="F38" s="6" t="s">
        <v>3</v>
      </c>
      <c r="G38" s="6" t="s">
        <v>2</v>
      </c>
      <c r="H38" s="6" t="s">
        <v>4</v>
      </c>
      <c r="I38" s="6" t="s">
        <v>0</v>
      </c>
      <c r="J38" s="33"/>
      <c r="K38" s="6" t="s">
        <v>0</v>
      </c>
      <c r="L38" s="6" t="s">
        <v>1</v>
      </c>
      <c r="M38" s="6" t="s">
        <v>2</v>
      </c>
      <c r="N38" s="6" t="s">
        <v>3</v>
      </c>
      <c r="O38" s="6" t="s">
        <v>2</v>
      </c>
      <c r="P38" s="6" t="s">
        <v>4</v>
      </c>
      <c r="Q38" s="6" t="s">
        <v>0</v>
      </c>
      <c r="R38" s="2"/>
      <c r="T38" s="21"/>
      <c r="U38" s="48"/>
      <c r="V38" s="48"/>
      <c r="W38" s="21"/>
      <c r="X38" s="21"/>
      <c r="AA38" s="2"/>
      <c r="AI38" s="2"/>
      <c r="AQ38" s="2"/>
    </row>
    <row r="39" spans="2:43" ht="15" customHeight="1" x14ac:dyDescent="0.25">
      <c r="B39" s="2"/>
      <c r="C39" s="32" t="str">
        <f>IF(DAY(MaySun1)=1,"",IF(AND(YEAR(MaySun1+1)=CalendarYear,MONTH(MaySun1+1)=5),MaySun1+1,""))</f>
        <v/>
      </c>
      <c r="D39" s="32" t="str">
        <f>IF(DAY(MaySun1)=1,"",IF(AND(YEAR(MaySun1+2)=CalendarYear,MONTH(MaySun1+2)=5),MaySun1+2,""))</f>
        <v/>
      </c>
      <c r="E39" s="32" t="str">
        <f>IF(DAY(MaySun1)=1,"",IF(AND(YEAR(MaySun1+3)=CalendarYear,MONTH(MaySun1+3)=5),MaySun1+3,""))</f>
        <v/>
      </c>
      <c r="F39" s="32">
        <f>IF(DAY(MaySun1)=1,"",IF(AND(YEAR(MaySun1+4)=CalendarYear,MONTH(MaySun1+4)=5),MaySun1+4,""))</f>
        <v>41395</v>
      </c>
      <c r="G39" s="32">
        <f>IF(DAY(MaySun1)=1,"",IF(AND(YEAR(MaySun1+5)=CalendarYear,MONTH(MaySun1+5)=5),MaySun1+5,""))</f>
        <v>41396</v>
      </c>
      <c r="H39" s="32">
        <f>IF(DAY(MaySun1)=1,"",IF(AND(YEAR(MaySun1+6)=CalendarYear,MONTH(MaySun1+6)=5),MaySun1+6,""))</f>
        <v>41397</v>
      </c>
      <c r="I39" s="32">
        <f>IF(DAY(MaySun1)=1,IF(AND(YEAR(MaySun1)=CalendarYear,MONTH(MaySun1)=5),MaySun1,""),IF(AND(YEAR(MaySun1+7)=CalendarYear,MONTH(MaySun1+7)=5),MaySun1+7,""))</f>
        <v>41398</v>
      </c>
      <c r="J39" s="4"/>
      <c r="K39" s="32" t="str">
        <f>IF(DAY(JunSun1)=1,"",IF(AND(YEAR(JunSun1+1)=CalendarYear,MONTH(JunSun1+1)=6),JunSun1+1,""))</f>
        <v/>
      </c>
      <c r="L39" s="32" t="str">
        <f>IF(DAY(JunSun1)=1,"",IF(AND(YEAR(JunSun1+2)=CalendarYear,MONTH(JunSun1+2)=6),JunSun1+2,""))</f>
        <v/>
      </c>
      <c r="M39" s="32" t="str">
        <f>IF(DAY(JunSun1)=1,"",IF(AND(YEAR(JunSun1+3)=CalendarYear,MONTH(JunSun1+3)=6),JunSun1+3,""))</f>
        <v/>
      </c>
      <c r="N39" s="32" t="str">
        <f>IF(DAY(JunSun1)=1,"",IF(AND(YEAR(JunSun1+4)=CalendarYear,MONTH(JunSun1+4)=6),JunSun1+4,""))</f>
        <v/>
      </c>
      <c r="O39" s="32" t="str">
        <f>IF(DAY(JunSun1)=1,"",IF(AND(YEAR(JunSun1+5)=CalendarYear,MONTH(JunSun1+5)=6),JunSun1+5,""))</f>
        <v/>
      </c>
      <c r="P39" s="32" t="str">
        <f>IF(DAY(JunSun1)=1,"",IF(AND(YEAR(JunSun1+6)=CalendarYear,MONTH(JunSun1+6)=6),JunSun1+6,""))</f>
        <v/>
      </c>
      <c r="Q39" s="32">
        <f>IF(DAY(JunSun1)=1,IF(AND(YEAR(JunSun1)=CalendarYear,MONTH(JunSun1)=6),JunSun1,""),IF(AND(YEAR(JunSun1+7)=CalendarYear,MONTH(JunSun1+7)=6),JunSun1+7,""))</f>
        <v>41426</v>
      </c>
      <c r="R39" s="2"/>
      <c r="T39" s="21"/>
      <c r="U39" s="62" t="s">
        <v>46</v>
      </c>
      <c r="V39" s="39"/>
      <c r="W39" s="21"/>
      <c r="X39" s="21"/>
      <c r="AA39" s="2"/>
      <c r="AI39" s="2"/>
      <c r="AQ39" s="2"/>
    </row>
    <row r="40" spans="2:43" ht="15" customHeight="1" x14ac:dyDescent="0.2">
      <c r="B40" s="2"/>
      <c r="C40" s="32">
        <f>IF(DAY(MaySun1)=1,IF(AND(YEAR(MaySun1+1)=CalendarYear,MONTH(MaySun1+1)=5),MaySun1+1,""),IF(AND(YEAR(MaySun1+8)=CalendarYear,MONTH(MaySun1+8)=5),MaySun1+8,""))</f>
        <v>41399</v>
      </c>
      <c r="D40" s="32">
        <f>IF(DAY(MaySun1)=1,IF(AND(YEAR(MaySun1+2)=CalendarYear,MONTH(MaySun1+2)=5),MaySun1+2,""),IF(AND(YEAR(MaySun1+9)=CalendarYear,MONTH(MaySun1+9)=5),MaySun1+9,""))</f>
        <v>41400</v>
      </c>
      <c r="E40" s="32">
        <f>IF(DAY(MaySun1)=1,IF(AND(YEAR(MaySun1+3)=CalendarYear,MONTH(MaySun1+3)=5),MaySun1+3,""),IF(AND(YEAR(MaySun1+10)=CalendarYear,MONTH(MaySun1+10)=5),MaySun1+10,""))</f>
        <v>41401</v>
      </c>
      <c r="F40" s="32">
        <f>IF(DAY(MaySun1)=1,IF(AND(YEAR(MaySun1+4)=CalendarYear,MONTH(MaySun1+4)=5),MaySun1+4,""),IF(AND(YEAR(MaySun1+11)=CalendarYear,MONTH(MaySun1+11)=5),MaySun1+11,""))</f>
        <v>41402</v>
      </c>
      <c r="G40" s="65">
        <f>IF(DAY(MaySun1)=1,IF(AND(YEAR(MaySun1+5)=CalendarYear,MONTH(MaySun1+5)=5),MaySun1+5,""),IF(AND(YEAR(MaySun1+12)=CalendarYear,MONTH(MaySun1+12)=5),MaySun1+12,""))</f>
        <v>41403</v>
      </c>
      <c r="H40" s="65">
        <f>IF(DAY(MaySun1)=1,IF(AND(YEAR(MaySun1+6)=CalendarYear,MONTH(MaySun1+6)=5),MaySun1+6,""),IF(AND(YEAR(MaySun1+13)=CalendarYear,MONTH(MaySun1+13)=5),MaySun1+13,""))</f>
        <v>41404</v>
      </c>
      <c r="I40" s="32">
        <f>IF(DAY(MaySun1)=1,IF(AND(YEAR(MaySun1+7)=CalendarYear,MONTH(MaySun1+7)=5),MaySun1+7,""),IF(AND(YEAR(MaySun1+14)=CalendarYear,MONTH(MaySun1+14)=5),MaySun1+14,""))</f>
        <v>41405</v>
      </c>
      <c r="J40" s="31"/>
      <c r="K40" s="32">
        <f>IF(DAY(JunSun1)=1,IF(AND(YEAR(JunSun1+1)=CalendarYear,MONTH(JunSun1+1)=6),JunSun1+1,""),IF(AND(YEAR(JunSun1+8)=CalendarYear,MONTH(JunSun1+8)=6),JunSun1+8,""))</f>
        <v>41427</v>
      </c>
      <c r="L40" s="32">
        <f>IF(DAY(JunSun1)=1,IF(AND(YEAR(JunSun1+2)=CalendarYear,MONTH(JunSun1+2)=6),JunSun1+2,""),IF(AND(YEAR(JunSun1+9)=CalendarYear,MONTH(JunSun1+9)=6),JunSun1+9,""))</f>
        <v>41428</v>
      </c>
      <c r="M40" s="32">
        <f>IF(DAY(JunSun1)=1,IF(AND(YEAR(JunSun1+3)=CalendarYear,MONTH(JunSun1+3)=6),JunSun1+3,""),IF(AND(YEAR(JunSun1+10)=CalendarYear,MONTH(JunSun1+10)=6),JunSun1+10,""))</f>
        <v>41429</v>
      </c>
      <c r="N40" s="32">
        <f>IF(DAY(JunSun1)=1,IF(AND(YEAR(JunSun1+4)=CalendarYear,MONTH(JunSun1+4)=6),JunSun1+4,""),IF(AND(YEAR(JunSun1+11)=CalendarYear,MONTH(JunSun1+11)=6),JunSun1+11,""))</f>
        <v>41430</v>
      </c>
      <c r="O40" s="32">
        <f>IF(DAY(JunSun1)=1,IF(AND(YEAR(JunSun1+5)=CalendarYear,MONTH(JunSun1+5)=6),JunSun1+5,""),IF(AND(YEAR(JunSun1+12)=CalendarYear,MONTH(JunSun1+12)=6),JunSun1+12,""))</f>
        <v>41431</v>
      </c>
      <c r="P40" s="32">
        <f>IF(DAY(JunSun1)=1,IF(AND(YEAR(JunSun1+6)=CalendarYear,MONTH(JunSun1+6)=6),JunSun1+6,""),IF(AND(YEAR(JunSun1+13)=CalendarYear,MONTH(JunSun1+13)=6),JunSun1+13,""))</f>
        <v>41432</v>
      </c>
      <c r="Q40" s="32">
        <f>IF(DAY(JunSun1)=1,IF(AND(YEAR(JunSun1+7)=CalendarYear,MONTH(JunSun1+7)=6),JunSun1+7,""),IF(AND(YEAR(JunSun1+14)=CalendarYear,MONTH(JunSun1+14)=6),JunSun1+14,""))</f>
        <v>41433</v>
      </c>
      <c r="R40" s="2"/>
      <c r="T40" s="21"/>
      <c r="U40" s="36" t="s">
        <v>41</v>
      </c>
      <c r="V40" s="37"/>
      <c r="W40" s="21"/>
      <c r="X40" s="21"/>
      <c r="AA40" s="2"/>
      <c r="AI40" s="2"/>
      <c r="AQ40" s="2"/>
    </row>
    <row r="41" spans="2:43" ht="15" customHeight="1" x14ac:dyDescent="0.2">
      <c r="B41" s="2"/>
      <c r="C41" s="32"/>
      <c r="D41" s="32"/>
      <c r="E41" s="32"/>
      <c r="F41" s="32"/>
      <c r="G41" s="32"/>
      <c r="H41" s="32"/>
      <c r="I41" s="32"/>
      <c r="J41" s="31"/>
      <c r="K41" s="32"/>
      <c r="L41" s="32"/>
      <c r="M41" s="32"/>
      <c r="N41" s="32"/>
      <c r="O41" s="32"/>
      <c r="P41" s="32"/>
      <c r="Q41" s="32"/>
      <c r="R41" s="2"/>
      <c r="T41" s="21"/>
      <c r="U41" s="36"/>
      <c r="V41" s="37"/>
      <c r="W41" s="21"/>
      <c r="X41" s="21"/>
      <c r="AA41" s="2"/>
      <c r="AI41" s="2"/>
      <c r="AQ41" s="2"/>
    </row>
    <row r="42" spans="2:43" ht="15" customHeight="1" x14ac:dyDescent="0.2">
      <c r="B42" s="2"/>
      <c r="C42" s="32"/>
      <c r="D42" s="32"/>
      <c r="E42" s="32"/>
      <c r="F42" s="32"/>
      <c r="G42" s="32"/>
      <c r="H42" s="32"/>
      <c r="I42" s="32"/>
      <c r="J42" s="31"/>
      <c r="K42" s="32"/>
      <c r="L42" s="32"/>
      <c r="M42" s="32"/>
      <c r="N42" s="32"/>
      <c r="O42" s="32"/>
      <c r="P42" s="32"/>
      <c r="Q42" s="32"/>
      <c r="R42" s="2"/>
      <c r="T42" s="21"/>
      <c r="U42" s="37" t="s">
        <v>48</v>
      </c>
      <c r="V42" s="37"/>
      <c r="W42" s="21"/>
      <c r="X42" s="21"/>
      <c r="AA42" s="2"/>
      <c r="AI42" s="2"/>
      <c r="AQ42" s="2"/>
    </row>
    <row r="43" spans="2:43" ht="15" customHeight="1" x14ac:dyDescent="0.2">
      <c r="B43" s="2"/>
      <c r="C43" s="32">
        <f>IF(DAY(MaySun1)=1,IF(AND(YEAR(MaySun1+8)=CalendarYear,MONTH(MaySun1+8)=5),MaySun1+8,""),IF(AND(YEAR(MaySun1+15)=CalendarYear,MONTH(MaySun1+15)=5),MaySun1+15,""))</f>
        <v>41406</v>
      </c>
      <c r="D43" s="32">
        <f>IF(DAY(MaySun1)=1,IF(AND(YEAR(MaySun1+9)=CalendarYear,MONTH(MaySun1+9)=5),MaySun1+9,""),IF(AND(YEAR(MaySun1+16)=CalendarYear,MONTH(MaySun1+16)=5),MaySun1+16,""))</f>
        <v>41407</v>
      </c>
      <c r="E43" s="65">
        <f>IF(DAY(MaySun1)=1,IF(AND(YEAR(MaySun1+10)=CalendarYear,MONTH(MaySun1+10)=5),MaySun1+10,""),IF(AND(YEAR(MaySun1+17)=CalendarYear,MONTH(MaySun1+17)=5),MaySun1+17,""))</f>
        <v>41408</v>
      </c>
      <c r="F43" s="32">
        <f>IF(DAY(MaySun1)=1,IF(AND(YEAR(MaySun1+11)=CalendarYear,MONTH(MaySun1+11)=5),MaySun1+11,""),IF(AND(YEAR(MaySun1+18)=CalendarYear,MONTH(MaySun1+18)=5),MaySun1+18,""))</f>
        <v>41409</v>
      </c>
      <c r="G43" s="32">
        <f>IF(DAY(MaySun1)=1,IF(AND(YEAR(MaySun1+12)=CalendarYear,MONTH(MaySun1+12)=5),MaySun1+12,""),IF(AND(YEAR(MaySun1+19)=CalendarYear,MONTH(MaySun1+19)=5),MaySun1+19,""))</f>
        <v>41410</v>
      </c>
      <c r="H43" s="32">
        <f>IF(DAY(MaySun1)=1,IF(AND(YEAR(MaySun1+13)=CalendarYear,MONTH(MaySun1+13)=5),MaySun1+13,""),IF(AND(YEAR(MaySun1+20)=CalendarYear,MONTH(MaySun1+20)=5),MaySun1+20,""))</f>
        <v>41411</v>
      </c>
      <c r="I43" s="32">
        <f>IF(DAY(MaySun1)=1,IF(AND(YEAR(MaySun1+14)=CalendarYear,MONTH(MaySun1+14)=5),MaySun1+14,""),IF(AND(YEAR(MaySun1+21)=CalendarYear,MONTH(MaySun1+21)=5),MaySun1+21,""))</f>
        <v>41412</v>
      </c>
      <c r="J43" s="32"/>
      <c r="K43" s="32">
        <f>IF(DAY(JunSun1)=1,IF(AND(YEAR(JunSun1+8)=CalendarYear,MONTH(JunSun1+8)=6),JunSun1+8,""),IF(AND(YEAR(JunSun1+15)=CalendarYear,MONTH(JunSun1+15)=6),JunSun1+15,""))</f>
        <v>41434</v>
      </c>
      <c r="L43" s="32">
        <f>IF(DAY(JunSun1)=1,IF(AND(YEAR(JunSun1+9)=CalendarYear,MONTH(JunSun1+9)=6),JunSun1+9,""),IF(AND(YEAR(JunSun1+16)=CalendarYear,MONTH(JunSun1+16)=6),JunSun1+16,""))</f>
        <v>41435</v>
      </c>
      <c r="M43" s="32">
        <f>IF(DAY(JunSun1)=1,IF(AND(YEAR(JunSun1+10)=CalendarYear,MONTH(JunSun1+10)=6),JunSun1+10,""),IF(AND(YEAR(JunSun1+17)=CalendarYear,MONTH(JunSun1+17)=6),JunSun1+17,""))</f>
        <v>41436</v>
      </c>
      <c r="N43" s="32">
        <f>IF(DAY(JunSun1)=1,IF(AND(YEAR(JunSun1+11)=CalendarYear,MONTH(JunSun1+11)=6),JunSun1+11,""),IF(AND(YEAR(JunSun1+18)=CalendarYear,MONTH(JunSun1+18)=6),JunSun1+18,""))</f>
        <v>41437</v>
      </c>
      <c r="O43" s="32">
        <f>IF(DAY(JunSun1)=1,IF(AND(YEAR(JunSun1+12)=CalendarYear,MONTH(JunSun1+12)=6),JunSun1+12,""),IF(AND(YEAR(JunSun1+19)=CalendarYear,MONTH(JunSun1+19)=6),JunSun1+19,""))</f>
        <v>41438</v>
      </c>
      <c r="P43" s="32">
        <f>IF(DAY(JunSun1)=1,IF(AND(YEAR(JunSun1+13)=CalendarYear,MONTH(JunSun1+13)=6),JunSun1+13,""),IF(AND(YEAR(JunSun1+20)=CalendarYear,MONTH(JunSun1+20)=6),JunSun1+20,""))</f>
        <v>41439</v>
      </c>
      <c r="Q43" s="32">
        <f>IF(DAY(JunSun1)=1,IF(AND(YEAR(JunSun1+14)=CalendarYear,MONTH(JunSun1+14)=6),JunSun1+14,""),IF(AND(YEAR(JunSun1+21)=CalendarYear,MONTH(JunSun1+21)=6),JunSun1+21,""))</f>
        <v>41440</v>
      </c>
      <c r="R43" s="2"/>
      <c r="T43" s="21"/>
      <c r="U43" s="63" t="s">
        <v>47</v>
      </c>
      <c r="V43" s="39"/>
      <c r="W43" s="21"/>
      <c r="X43" s="21"/>
      <c r="AA43" s="2"/>
      <c r="AI43" s="2"/>
      <c r="AQ43" s="2"/>
    </row>
    <row r="44" spans="2:43" ht="15" customHeight="1" x14ac:dyDescent="0.2">
      <c r="B44" s="2"/>
      <c r="C44" s="32">
        <f>IF(DAY(MaySun1)=1,IF(AND(YEAR(MaySun1+15)=CalendarYear,MONTH(MaySun1+15)=5),MaySun1+15,""),IF(AND(YEAR(MaySun1+22)=CalendarYear,MONTH(MaySun1+22)=5),MaySun1+22,""))</f>
        <v>41413</v>
      </c>
      <c r="D44" s="32">
        <f>IF(DAY(MaySun1)=1,IF(AND(YEAR(MaySun1+16)=CalendarYear,MONTH(MaySun1+16)=5),MaySun1+16,""),IF(AND(YEAR(MaySun1+23)=CalendarYear,MONTH(MaySun1+23)=5),MaySun1+23,""))</f>
        <v>41414</v>
      </c>
      <c r="E44" s="32">
        <f>IF(DAY(MaySun1)=1,IF(AND(YEAR(MaySun1+17)=CalendarYear,MONTH(MaySun1+17)=5),MaySun1+17,""),IF(AND(YEAR(MaySun1+24)=CalendarYear,MONTH(MaySun1+24)=5),MaySun1+24,""))</f>
        <v>41415</v>
      </c>
      <c r="F44" s="32">
        <f>IF(DAY(MaySun1)=1,IF(AND(YEAR(MaySun1+18)=CalendarYear,MONTH(MaySun1+18)=5),MaySun1+18,""),IF(AND(YEAR(MaySun1+25)=CalendarYear,MONTH(MaySun1+25)=5),MaySun1+25,""))</f>
        <v>41416</v>
      </c>
      <c r="G44" s="53">
        <f>IF(DAY(MaySun1)=1,IF(AND(YEAR(MaySun1+19)=CalendarYear,MONTH(MaySun1+19)=5),MaySun1+19,""),IF(AND(YEAR(MaySun1+26)=CalendarYear,MONTH(MaySun1+26)=5),MaySun1+26,""))</f>
        <v>41417</v>
      </c>
      <c r="H44" s="32">
        <f>IF(DAY(MaySun1)=1,IF(AND(YEAR(MaySun1+20)=CalendarYear,MONTH(MaySun1+20)=5),MaySun1+20,""),IF(AND(YEAR(MaySun1+27)=CalendarYear,MONTH(MaySun1+27)=5),MaySun1+27,""))</f>
        <v>41418</v>
      </c>
      <c r="I44" s="32">
        <f>IF(DAY(MaySun1)=1,IF(AND(YEAR(MaySun1+21)=CalendarYear,MONTH(MaySun1+21)=5),MaySun1+21,""),IF(AND(YEAR(MaySun1+28)=CalendarYear,MONTH(MaySun1+28)=5),MaySun1+28,""))</f>
        <v>41419</v>
      </c>
      <c r="J44" s="32"/>
      <c r="K44" s="32">
        <f>IF(DAY(JunSun1)=1,IF(AND(YEAR(JunSun1+15)=CalendarYear,MONTH(JunSun1+15)=6),JunSun1+15,""),IF(AND(YEAR(JunSun1+22)=CalendarYear,MONTH(JunSun1+22)=6),JunSun1+22,""))</f>
        <v>41441</v>
      </c>
      <c r="L44" s="32">
        <f>IF(DAY(JunSun1)=1,IF(AND(YEAR(JunSun1+16)=CalendarYear,MONTH(JunSun1+16)=6),JunSun1+16,""),IF(AND(YEAR(JunSun1+23)=CalendarYear,MONTH(JunSun1+23)=6),JunSun1+23,""))</f>
        <v>41442</v>
      </c>
      <c r="M44" s="32">
        <f>IF(DAY(JunSun1)=1,IF(AND(YEAR(JunSun1+17)=CalendarYear,MONTH(JunSun1+17)=6),JunSun1+17,""),IF(AND(YEAR(JunSun1+24)=CalendarYear,MONTH(JunSun1+24)=6),JunSun1+24,""))</f>
        <v>41443</v>
      </c>
      <c r="N44" s="32">
        <f>IF(DAY(JunSun1)=1,IF(AND(YEAR(JunSun1+18)=CalendarYear,MONTH(JunSun1+18)=6),JunSun1+18,""),IF(AND(YEAR(JunSun1+25)=CalendarYear,MONTH(JunSun1+25)=6),JunSun1+25,""))</f>
        <v>41444</v>
      </c>
      <c r="O44" s="32">
        <f>IF(DAY(JunSun1)=1,IF(AND(YEAR(JunSun1+19)=CalendarYear,MONTH(JunSun1+19)=6),JunSun1+19,""),IF(AND(YEAR(JunSun1+26)=CalendarYear,MONTH(JunSun1+26)=6),JunSun1+26,""))</f>
        <v>41445</v>
      </c>
      <c r="P44" s="32">
        <f>IF(DAY(JunSun1)=1,IF(AND(YEAR(JunSun1+20)=CalendarYear,MONTH(JunSun1+20)=6),JunSun1+20,""),IF(AND(YEAR(JunSun1+27)=CalendarYear,MONTH(JunSun1+27)=6),JunSun1+27,""))</f>
        <v>41446</v>
      </c>
      <c r="Q44" s="32">
        <f>IF(DAY(JunSun1)=1,IF(AND(YEAR(JunSun1+21)=CalendarYear,MONTH(JunSun1+21)=6),JunSun1+21,""),IF(AND(YEAR(JunSun1+28)=CalendarYear,MONTH(JunSun1+28)=6),JunSun1+28,""))</f>
        <v>41447</v>
      </c>
      <c r="R44" s="2"/>
      <c r="T44" s="21"/>
      <c r="U44" s="38"/>
      <c r="V44" s="38"/>
      <c r="W44" s="21"/>
      <c r="X44" s="21"/>
      <c r="AA44" s="2"/>
      <c r="AI44" s="2"/>
      <c r="AQ44" s="2"/>
    </row>
    <row r="45" spans="2:43" ht="15" customHeight="1" x14ac:dyDescent="0.2">
      <c r="B45" s="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2"/>
      <c r="T45" s="21"/>
      <c r="U45" s="38" t="s">
        <v>50</v>
      </c>
      <c r="V45" s="38"/>
      <c r="W45" s="21"/>
      <c r="X45" s="21"/>
      <c r="AA45" s="2"/>
      <c r="AI45" s="2"/>
      <c r="AQ45" s="2"/>
    </row>
    <row r="46" spans="2:43" ht="15" customHeight="1" x14ac:dyDescent="0.2">
      <c r="B46" s="2"/>
      <c r="C46" s="32">
        <f>IF(DAY(MaySun1)=1,IF(AND(YEAR(MaySun1+22)=CalendarYear,MONTH(MaySun1+22)=5),MaySun1+22,""),IF(AND(YEAR(MaySun1+29)=CalendarYear,MONTH(MaySun1+29)=5),MaySun1+29,""))</f>
        <v>41420</v>
      </c>
      <c r="D46" s="32">
        <f>IF(DAY(MaySun1)=1,IF(AND(YEAR(MaySun1+23)=CalendarYear,MONTH(MaySun1+23)=5),MaySun1+23,""),IF(AND(YEAR(MaySun1+30)=CalendarYear,MONTH(MaySun1+30)=5),MaySun1+30,""))</f>
        <v>41421</v>
      </c>
      <c r="E46" s="32">
        <f>IF(DAY(MaySun1)=1,IF(AND(YEAR(MaySun1+24)=CalendarYear,MONTH(MaySun1+24)=5),MaySun1+24,""),IF(AND(YEAR(MaySun1+31)=CalendarYear,MONTH(MaySun1+31)=5),MaySun1+31,""))</f>
        <v>41422</v>
      </c>
      <c r="F46" s="32">
        <f>IF(DAY(MaySun1)=1,IF(AND(YEAR(MaySun1+25)=CalendarYear,MONTH(MaySun1+25)=5),MaySun1+25,""),IF(AND(YEAR(MaySun1+32)=CalendarYear,MONTH(MaySun1+32)=5),MaySun1+32,""))</f>
        <v>41423</v>
      </c>
      <c r="G46" s="32">
        <f>IF(DAY(MaySun1)=1,IF(AND(YEAR(MaySun1+26)=CalendarYear,MONTH(MaySun1+26)=5),MaySun1+26,""),IF(AND(YEAR(MaySun1+33)=CalendarYear,MONTH(MaySun1+33)=5),MaySun1+33,""))</f>
        <v>41424</v>
      </c>
      <c r="H46" s="32">
        <f>IF(DAY(MaySun1)=1,IF(AND(YEAR(MaySun1+27)=CalendarYear,MONTH(MaySun1+27)=5),MaySun1+27,""),IF(AND(YEAR(MaySun1+34)=CalendarYear,MONTH(MaySun1+34)=5),MaySun1+34,""))</f>
        <v>41425</v>
      </c>
      <c r="I46" s="32" t="str">
        <f>IF(DAY(MaySun1)=1,IF(AND(YEAR(MaySun1+28)=CalendarYear,MONTH(MaySun1+28)=5),MaySun1+28,""),IF(AND(YEAR(MaySun1+35)=CalendarYear,MONTH(MaySun1+35)=5),MaySun1+35,""))</f>
        <v/>
      </c>
      <c r="J46" s="32"/>
      <c r="K46" s="32">
        <f>IF(DAY(JunSun1)=1,IF(AND(YEAR(JunSun1+22)=CalendarYear,MONTH(JunSun1+22)=6),JunSun1+22,""),IF(AND(YEAR(JunSun1+29)=CalendarYear,MONTH(JunSun1+29)=6),JunSun1+29,""))</f>
        <v>41448</v>
      </c>
      <c r="L46" s="32">
        <f>IF(DAY(JunSun1)=1,IF(AND(YEAR(JunSun1+23)=CalendarYear,MONTH(JunSun1+23)=6),JunSun1+23,""),IF(AND(YEAR(JunSun1+30)=CalendarYear,MONTH(JunSun1+30)=6),JunSun1+30,""))</f>
        <v>41449</v>
      </c>
      <c r="M46" s="32">
        <f>IF(DAY(JunSun1)=1,IF(AND(YEAR(JunSun1+24)=CalendarYear,MONTH(JunSun1+24)=6),JunSun1+24,""),IF(AND(YEAR(JunSun1+31)=CalendarYear,MONTH(JunSun1+31)=6),JunSun1+31,""))</f>
        <v>41450</v>
      </c>
      <c r="N46" s="32">
        <f>IF(DAY(JunSun1)=1,IF(AND(YEAR(JunSun1+25)=CalendarYear,MONTH(JunSun1+25)=6),JunSun1+25,""),IF(AND(YEAR(JunSun1+32)=CalendarYear,MONTH(JunSun1+32)=6),JunSun1+32,""))</f>
        <v>41451</v>
      </c>
      <c r="O46" s="53">
        <f>IF(DAY(JunSun1)=1,IF(AND(YEAR(JunSun1+26)=CalendarYear,MONTH(JunSun1+26)=6),JunSun1+26,""),IF(AND(YEAR(JunSun1+33)=CalendarYear,MONTH(JunSun1+33)=6),JunSun1+33,""))</f>
        <v>41452</v>
      </c>
      <c r="P46" s="32">
        <f>IF(DAY(JunSun1)=1,IF(AND(YEAR(JunSun1+27)=CalendarYear,MONTH(JunSun1+27)=6),JunSun1+27,""),IF(AND(YEAR(JunSun1+34)=CalendarYear,MONTH(JunSun1+34)=6),JunSun1+34,""))</f>
        <v>41453</v>
      </c>
      <c r="Q46" s="32">
        <f>IF(DAY(JunSun1)=1,IF(AND(YEAR(JunSun1+28)=CalendarYear,MONTH(JunSun1+28)=6),JunSun1+28,""),IF(AND(YEAR(JunSun1+35)=CalendarYear,MONTH(JunSun1+35)=6),JunSun1+35,""))</f>
        <v>41454</v>
      </c>
      <c r="R46" s="2"/>
      <c r="T46" s="21"/>
      <c r="U46" s="60" t="s">
        <v>49</v>
      </c>
      <c r="V46" s="46"/>
      <c r="W46" s="21"/>
      <c r="X46" s="21"/>
      <c r="AA46" s="2"/>
      <c r="AI46" s="2"/>
      <c r="AQ46" s="2"/>
    </row>
    <row r="47" spans="2:43" ht="15" customHeight="1" x14ac:dyDescent="0.2">
      <c r="B47" s="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2"/>
      <c r="T47" s="21"/>
      <c r="U47" s="60"/>
      <c r="V47" s="46"/>
      <c r="W47" s="21"/>
      <c r="X47" s="21"/>
      <c r="AA47" s="2"/>
      <c r="AI47" s="2"/>
      <c r="AQ47" s="2"/>
    </row>
    <row r="48" spans="2:43" ht="15" customHeight="1" x14ac:dyDescent="0.2">
      <c r="B48" s="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2"/>
      <c r="T48" s="21"/>
      <c r="U48" s="61" t="s">
        <v>59</v>
      </c>
      <c r="V48" s="46"/>
      <c r="W48" s="21"/>
      <c r="X48" s="21"/>
      <c r="AA48" s="2"/>
      <c r="AI48" s="2"/>
      <c r="AQ48" s="2"/>
    </row>
    <row r="49" spans="2:43" ht="15" customHeight="1" x14ac:dyDescent="0.2">
      <c r="B49" s="2"/>
      <c r="C49" s="3" t="str">
        <f>IF(DAY(MaySun1)=1,IF(AND(YEAR(MaySun1+29)=CalendarYear,MONTH(MaySun1+29)=5),MaySun1+29,""),IF(AND(YEAR(MaySun1+36)=CalendarYear,MONTH(MaySun1+36)=5),MaySun1+36,""))</f>
        <v/>
      </c>
      <c r="D49" s="3" t="str">
        <f>IF(DAY(MaySun1)=1,IF(AND(YEAR(MaySun1+30)=CalendarYear,MONTH(MaySun1+30)=5),MaySun1+30,""),IF(AND(YEAR(MaySun1+37)=CalendarYear,MONTH(MaySun1+37)=5),MaySun1+37,""))</f>
        <v/>
      </c>
      <c r="E49" s="3" t="str">
        <f>IF(DAY(MaySun1)=1,IF(AND(YEAR(MaySun1+31)=CalendarYear,MONTH(MaySun1+31)=5),MaySun1+31,""),IF(AND(YEAR(MaySun1+38)=CalendarYear,MONTH(MaySun1+38)=5),MaySun1+38,""))</f>
        <v/>
      </c>
      <c r="F49" s="3" t="str">
        <f>IF(DAY(MaySun1)=1,IF(AND(YEAR(MaySun1+32)=CalendarYear,MONTH(MaySun1+32)=5),MaySun1+32,""),IF(AND(YEAR(MaySun1+39)=CalendarYear,MONTH(MaySun1+39)=5),MaySun1+39,""))</f>
        <v/>
      </c>
      <c r="G49" s="3" t="str">
        <f>IF(DAY(MaySun1)=1,IF(AND(YEAR(MaySun1+33)=CalendarYear,MONTH(MaySun1+33)=5),MaySun1+33,""),IF(AND(YEAR(MaySun1+40)=CalendarYear,MONTH(MaySun1+40)=5),MaySun1+40,""))</f>
        <v/>
      </c>
      <c r="H49" s="3" t="str">
        <f>IF(DAY(MaySun1)=1,IF(AND(YEAR(MaySun1+34)=CalendarYear,MONTH(MaySun1+34)=5),MaySun1+34,""),IF(AND(YEAR(MaySun1+41)=CalendarYear,MONTH(MaySun1+41)=5),MaySun1+41,""))</f>
        <v/>
      </c>
      <c r="I49" s="3" t="str">
        <f>IF(DAY(MaySun1)=1,IF(AND(YEAR(MaySun1+35)=CalendarYear,MONTH(MaySun1+35)=5),MaySun1+35,""),IF(AND(YEAR(MaySun1+42)=CalendarYear,MONTH(MaySun1+42)=5),MaySun1+42,""))</f>
        <v/>
      </c>
      <c r="J49" s="3"/>
      <c r="K49" s="3">
        <f>IF(DAY(JunSun1)=1,IF(AND(YEAR(JunSun1+29)=CalendarYear,MONTH(JunSun1+29)=6),JunSun1+29,""),IF(AND(YEAR(JunSun1+36)=CalendarYear,MONTH(JunSun1+36)=6),JunSun1+36,""))</f>
        <v>41455</v>
      </c>
      <c r="L49" s="3" t="str">
        <f>IF(DAY(JunSun1)=1,IF(AND(YEAR(JunSun1+30)=CalendarYear,MONTH(JunSun1+30)=6),JunSun1+30,""),IF(AND(YEAR(JunSun1+37)=CalendarYear,MONTH(JunSun1+37)=6),JunSun1+37,""))</f>
        <v/>
      </c>
      <c r="M49" s="3" t="str">
        <f>IF(DAY(JunSun1)=1,IF(AND(YEAR(JunSun1+31)=CalendarYear,MONTH(JunSun1+31)=6),JunSun1+31,""),IF(AND(YEAR(JunSun1+38)=CalendarYear,MONTH(JunSun1+38)=6),JunSun1+38,""))</f>
        <v/>
      </c>
      <c r="N49" s="3" t="str">
        <f>IF(DAY(JunSun1)=1,IF(AND(YEAR(JunSun1+32)=CalendarYear,MONTH(JunSun1+32)=6),JunSun1+32,""),IF(AND(YEAR(JunSun1+39)=CalendarYear,MONTH(JunSun1+39)=6),JunSun1+39,""))</f>
        <v/>
      </c>
      <c r="O49" s="3" t="str">
        <f>IF(DAY(JunSun1)=1,IF(AND(YEAR(JunSun1+33)=CalendarYear,MONTH(JunSun1+33)=6),JunSun1+33,""),IF(AND(YEAR(JunSun1+40)=CalendarYear,MONTH(JunSun1+40)=6),JunSun1+40,""))</f>
        <v/>
      </c>
      <c r="P49" s="3" t="str">
        <f>IF(DAY(JunSun1)=1,IF(AND(YEAR(JunSun1+34)=CalendarYear,MONTH(JunSun1+34)=6),JunSun1+34,""),IF(AND(YEAR(JunSun1+41)=CalendarYear,MONTH(JunSun1+41)=6),JunSun1+41,""))</f>
        <v/>
      </c>
      <c r="Q49" s="3" t="str">
        <f>IF(DAY(JunSun1)=1,IF(AND(YEAR(JunSun1+35)=CalendarYear,MONTH(JunSun1+35)=6),JunSun1+35,""),IF(AND(YEAR(JunSun1+42)=CalendarYear,MONTH(JunSun1+42)=6),JunSun1+42,""))</f>
        <v/>
      </c>
      <c r="R49" s="2"/>
      <c r="T49" s="21"/>
      <c r="U49" s="67" t="s">
        <v>60</v>
      </c>
      <c r="V49" s="38"/>
      <c r="W49" s="21"/>
      <c r="X49" s="21"/>
      <c r="AA49" s="2"/>
      <c r="AI49" s="2"/>
      <c r="AQ49" s="2"/>
    </row>
    <row r="50" spans="2:43" ht="15" customHeight="1" x14ac:dyDescent="0.2">
      <c r="B50" s="2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2"/>
      <c r="T50" s="21"/>
      <c r="U50" s="67"/>
      <c r="V50" s="38"/>
      <c r="W50" s="21"/>
      <c r="X50" s="21"/>
      <c r="AA50" s="2"/>
      <c r="AI50" s="2"/>
      <c r="AQ50" s="2"/>
    </row>
    <row r="51" spans="2:43" ht="15" customHeight="1" x14ac:dyDescent="0.2">
      <c r="B51" s="2"/>
      <c r="J51" s="3"/>
      <c r="R51" s="2"/>
      <c r="T51" s="21"/>
      <c r="U51" s="61" t="s">
        <v>56</v>
      </c>
      <c r="V51" s="39"/>
      <c r="W51" s="21"/>
      <c r="X51" s="21"/>
      <c r="AA51" s="2"/>
      <c r="AI51" s="2"/>
      <c r="AQ51" s="2"/>
    </row>
    <row r="52" spans="2:43" s="15" customFormat="1" ht="15" customHeight="1" x14ac:dyDescent="0.25">
      <c r="B52" s="12"/>
      <c r="C52" s="52" t="s">
        <v>12</v>
      </c>
      <c r="D52" s="13"/>
      <c r="E52" s="13"/>
      <c r="F52" s="13"/>
      <c r="G52" s="13"/>
      <c r="H52" s="13"/>
      <c r="I52" s="50"/>
      <c r="J52" s="18"/>
      <c r="K52" s="52" t="s">
        <v>13</v>
      </c>
      <c r="L52" s="13"/>
      <c r="M52" s="13"/>
      <c r="N52" s="13"/>
      <c r="O52" s="13"/>
      <c r="P52" s="13"/>
      <c r="Q52" s="50" t="s">
        <v>32</v>
      </c>
      <c r="S52" s="14"/>
      <c r="T52" s="22"/>
      <c r="U52" s="24" t="s">
        <v>57</v>
      </c>
      <c r="V52" s="49"/>
      <c r="W52" s="23"/>
      <c r="X52" s="23"/>
      <c r="Y52" s="12"/>
      <c r="Z52" s="12"/>
      <c r="AA52" s="12"/>
      <c r="AI52" s="12"/>
      <c r="AQ52" s="12"/>
    </row>
    <row r="53" spans="2:43" ht="15" customHeight="1" x14ac:dyDescent="0.2">
      <c r="C53" s="6" t="s">
        <v>0</v>
      </c>
      <c r="D53" s="6" t="s">
        <v>1</v>
      </c>
      <c r="E53" s="6" t="s">
        <v>2</v>
      </c>
      <c r="F53" s="6" t="s">
        <v>3</v>
      </c>
      <c r="G53" s="6" t="s">
        <v>2</v>
      </c>
      <c r="H53" s="6" t="s">
        <v>4</v>
      </c>
      <c r="I53" s="6" t="s">
        <v>0</v>
      </c>
      <c r="J53" s="32"/>
      <c r="K53" s="6" t="s">
        <v>0</v>
      </c>
      <c r="L53" s="6" t="s">
        <v>1</v>
      </c>
      <c r="M53" s="6" t="s">
        <v>2</v>
      </c>
      <c r="N53" s="6" t="s">
        <v>3</v>
      </c>
      <c r="O53" s="6" t="s">
        <v>2</v>
      </c>
      <c r="P53" s="6" t="s">
        <v>4</v>
      </c>
      <c r="Q53" s="6" t="s">
        <v>0</v>
      </c>
      <c r="T53" s="21"/>
      <c r="U53" s="24"/>
      <c r="V53" s="24"/>
      <c r="W53" s="21"/>
      <c r="X53" s="21"/>
    </row>
    <row r="54" spans="2:43" ht="15" customHeight="1" x14ac:dyDescent="0.2">
      <c r="C54" s="32"/>
      <c r="D54" s="65">
        <f>IF(DAY(JulSun1)=1,"",IF(AND(YEAR(JulSun1+2)=CalendarYear,MONTH(JulSun1+2)=7),JulSun1+2,""))</f>
        <v>41456</v>
      </c>
      <c r="E54" s="32">
        <f>IF(DAY(JulSun1)=1,"",IF(AND(YEAR(JulSun1+3)=CalendarYear,MONTH(JulSun1+3)=7),JulSun1+3,""))</f>
        <v>41457</v>
      </c>
      <c r="F54" s="32">
        <f>IF(DAY(JulSun1)=1,"",IF(AND(YEAR(JulSun1+4)=CalendarYear,MONTH(JulSun1+4)=7),JulSun1+4,""))</f>
        <v>41458</v>
      </c>
      <c r="G54" s="32">
        <f>IF(DAY(JulSun1)=1,"",IF(AND(YEAR(JulSun1+5)=CalendarYear,MONTH(JulSun1+5)=7),JulSun1+5,""))</f>
        <v>41459</v>
      </c>
      <c r="H54" s="32">
        <f>IF(DAY(JulSun1)=1,"",IF(AND(YEAR(JulSun1+6)=CalendarYear,MONTH(JulSun1+6)=7),JulSun1+6,""))</f>
        <v>41460</v>
      </c>
      <c r="I54" s="32">
        <f>IF(DAY(JulSun1)=1,IF(AND(YEAR(JulSun1)=CalendarYear,MONTH(JulSun1)=7),JulSun1,""),IF(AND(YEAR(JulSun1+7)=CalendarYear,MONTH(JulSun1+7)=7),JulSun1+7,""))</f>
        <v>41461</v>
      </c>
      <c r="J54" s="30"/>
      <c r="K54" s="32" t="str">
        <f>IF(DAY(AugSun1)=1,"",IF(AND(YEAR(AugSun1+1)=CalendarYear,MONTH(AugSun1+1)=8),AugSun1+1,""))</f>
        <v/>
      </c>
      <c r="L54" s="32" t="str">
        <f>IF(DAY(AugSun1)=1,"",IF(AND(YEAR(AugSun1+2)=CalendarYear,MONTH(AugSun1+2)=8),AugSun1+2,""))</f>
        <v/>
      </c>
      <c r="M54" s="32" t="str">
        <f>IF(DAY(AugSun1)=1,"",IF(AND(YEAR(AugSun1+3)=CalendarYear,MONTH(AugSun1+3)=8),AugSun1+3,""))</f>
        <v/>
      </c>
      <c r="N54" s="32" t="str">
        <f>IF(DAY(AugSun1)=1,"",IF(AND(YEAR(AugSun1+4)=CalendarYear,MONTH(AugSun1+4)=8),AugSun1+4,""))</f>
        <v/>
      </c>
      <c r="O54" s="32">
        <f>IF(DAY(AugSun1)=1,"",IF(AND(YEAR(AugSun1+5)=CalendarYear,MONTH(AugSun1+5)=8),AugSun1+5,""))</f>
        <v>41487</v>
      </c>
      <c r="P54" s="32">
        <f>IF(DAY(AugSun1)=1,"",IF(AND(YEAR(AugSun1+6)=CalendarYear,MONTH(AugSun1+6)=8),AugSun1+6,""))</f>
        <v>41488</v>
      </c>
      <c r="Q54" s="32">
        <f>IF(DAY(AugSun1)=1,IF(AND(YEAR(AugSun1)=CalendarYear,MONTH(AugSun1)=8),AugSun1,""),IF(AND(YEAR(AugSun1+7)=CalendarYear,MONTH(AugSun1+7)=8),AugSun1+7,""))</f>
        <v>41489</v>
      </c>
      <c r="T54" s="21"/>
      <c r="U54" s="62" t="s">
        <v>51</v>
      </c>
      <c r="V54" s="38"/>
      <c r="W54" s="21"/>
      <c r="X54" s="21"/>
    </row>
    <row r="55" spans="2:43" ht="15" customHeight="1" x14ac:dyDescent="0.2">
      <c r="C55" s="32">
        <f>IF(DAY(JulSun1)=1,IF(AND(YEAR(JulSun1+1)=CalendarYear,MONTH(JulSun1+1)=7),JulSun1+1,""),IF(AND(YEAR(JulSun1+8)=CalendarYear,MONTH(JulSun1+8)=7),JulSun1+8,""))</f>
        <v>41462</v>
      </c>
      <c r="D55" s="32">
        <f>IF(DAY(JulSun1)=1,IF(AND(YEAR(JulSun1+2)=CalendarYear,MONTH(JulSun1+2)=7),JulSun1+2,""),IF(AND(YEAR(JulSun1+9)=CalendarYear,MONTH(JulSun1+9)=7),JulSun1+9,""))</f>
        <v>41463</v>
      </c>
      <c r="E55" s="32">
        <f>IF(DAY(JulSun1)=1,IF(AND(YEAR(JulSun1+3)=CalendarYear,MONTH(JulSun1+3)=7),JulSun1+3,""),IF(AND(YEAR(JulSun1+10)=CalendarYear,MONTH(JulSun1+10)=7),JulSun1+10,""))</f>
        <v>41464</v>
      </c>
      <c r="F55" s="32">
        <f>IF(DAY(JulSun1)=1,IF(AND(YEAR(JulSun1+4)=CalendarYear,MONTH(JulSun1+4)=7),JulSun1+4,""),IF(AND(YEAR(JulSun1+11)=CalendarYear,MONTH(JulSun1+11)=7),JulSun1+11,""))</f>
        <v>41465</v>
      </c>
      <c r="G55" s="32">
        <f>IF(DAY(JulSun1)=1,IF(AND(YEAR(JulSun1+5)=CalendarYear,MONTH(JulSun1+5)=7),JulSun1+5,""),IF(AND(YEAR(JulSun1+12)=CalendarYear,MONTH(JulSun1+12)=7),JulSun1+12,""))</f>
        <v>41466</v>
      </c>
      <c r="H55" s="32">
        <f>IF(DAY(JulSun1)=1,IF(AND(YEAR(JulSun1+6)=CalendarYear,MONTH(JulSun1+6)=7),JulSun1+6,""),IF(AND(YEAR(JulSun1+13)=CalendarYear,MONTH(JulSun1+13)=7),JulSun1+13,""))</f>
        <v>41467</v>
      </c>
      <c r="I55" s="32">
        <f>IF(DAY(JulSun1)=1,IF(AND(YEAR(JulSun1+7)=CalendarYear,MONTH(JulSun1+7)=7),JulSun1+7,""),IF(AND(YEAR(JulSun1+14)=CalendarYear,MONTH(JulSun1+14)=7),JulSun1+14,""))</f>
        <v>41468</v>
      </c>
      <c r="J55" s="34"/>
      <c r="K55" s="32">
        <f>IF(DAY(AugSun1)=1,IF(AND(YEAR(AugSun1+1)=CalendarYear,MONTH(AugSun1+1)=8),AugSun1+1,""),IF(AND(YEAR(AugSun1+8)=CalendarYear,MONTH(AugSun1+8)=8),AugSun1+8,""))</f>
        <v>41490</v>
      </c>
      <c r="L55" s="32">
        <f>IF(DAY(AugSun1)=1,IF(AND(YEAR(AugSun1+2)=CalendarYear,MONTH(AugSun1+2)=8),AugSun1+2,""),IF(AND(YEAR(AugSun1+9)=CalendarYear,MONTH(AugSun1+9)=8),AugSun1+9,""))</f>
        <v>41491</v>
      </c>
      <c r="M55" s="32">
        <f>IF(DAY(AugSun1)=1,IF(AND(YEAR(AugSun1+3)=CalendarYear,MONTH(AugSun1+3)=8),AugSun1+3,""),IF(AND(YEAR(AugSun1+10)=CalendarYear,MONTH(AugSun1+10)=8),AugSun1+10,""))</f>
        <v>41492</v>
      </c>
      <c r="N55" s="32">
        <f>IF(DAY(AugSun1)=1,IF(AND(YEAR(AugSun1+4)=CalendarYear,MONTH(AugSun1+4)=8),AugSun1+4,""),IF(AND(YEAR(AugSun1+11)=CalendarYear,MONTH(AugSun1+11)=8),AugSun1+11,""))</f>
        <v>41493</v>
      </c>
      <c r="O55" s="32">
        <f>IF(DAY(AugSun1)=1,IF(AND(YEAR(AugSun1+5)=CalendarYear,MONTH(AugSun1+5)=8),AugSun1+5,""),IF(AND(YEAR(AugSun1+12)=CalendarYear,MONTH(AugSun1+12)=8),AugSun1+12,""))</f>
        <v>41494</v>
      </c>
      <c r="P55" s="32">
        <f>IF(DAY(AugSun1)=1,IF(AND(YEAR(AugSun1+6)=CalendarYear,MONTH(AugSun1+6)=8),AugSun1+6,""),IF(AND(YEAR(AugSun1+13)=CalendarYear,MONTH(AugSun1+13)=8),AugSun1+13,""))</f>
        <v>41495</v>
      </c>
      <c r="Q55" s="32">
        <f>IF(DAY(AugSun1)=1,IF(AND(YEAR(AugSun1+7)=CalendarYear,MONTH(AugSun1+7)=8),AugSun1+7,""),IF(AND(YEAR(AugSun1+14)=CalendarYear,MONTH(AugSun1+14)=8),AugSun1+14,""))</f>
        <v>41496</v>
      </c>
      <c r="T55" s="21"/>
      <c r="U55" s="59" t="s">
        <v>52</v>
      </c>
      <c r="V55" s="36"/>
      <c r="W55" s="21"/>
      <c r="X55" s="21"/>
    </row>
    <row r="56" spans="2:43" ht="15" customHeight="1" x14ac:dyDescent="0.2">
      <c r="C56" s="32">
        <f>IF(DAY(JulSun1)=1,IF(AND(YEAR(JulSun1+8)=CalendarYear,MONTH(JulSun1+8)=7),JulSun1+8,""),IF(AND(YEAR(JulSun1+15)=CalendarYear,MONTH(JulSun1+15)=7),JulSun1+15,""))</f>
        <v>41469</v>
      </c>
      <c r="D56" s="32">
        <f>IF(DAY(JulSun1)=1,IF(AND(YEAR(JulSun1+9)=CalendarYear,MONTH(JulSun1+9)=7),JulSun1+9,""),IF(AND(YEAR(JulSun1+16)=CalendarYear,MONTH(JulSun1+16)=7),JulSun1+16,""))</f>
        <v>41470</v>
      </c>
      <c r="E56" s="32">
        <f>IF(DAY(JulSun1)=1,IF(AND(YEAR(JulSun1+10)=CalendarYear,MONTH(JulSun1+10)=7),JulSun1+10,""),IF(AND(YEAR(JulSun1+17)=CalendarYear,MONTH(JulSun1+17)=7),JulSun1+17,""))</f>
        <v>41471</v>
      </c>
      <c r="F56" s="32">
        <f>IF(DAY(JulSun1)=1,IF(AND(YEAR(JulSun1+11)=CalendarYear,MONTH(JulSun1+11)=7),JulSun1+11,""),IF(AND(YEAR(JulSun1+18)=CalendarYear,MONTH(JulSun1+18)=7),JulSun1+18,""))</f>
        <v>41472</v>
      </c>
      <c r="G56" s="32">
        <f>IF(DAY(JulSun1)=1,IF(AND(YEAR(JulSun1+12)=CalendarYear,MONTH(JulSun1+12)=7),JulSun1+12,""),IF(AND(YEAR(JulSun1+19)=CalendarYear,MONTH(JulSun1+19)=7),JulSun1+19,""))</f>
        <v>41473</v>
      </c>
      <c r="H56" s="32">
        <f>IF(DAY(JulSun1)=1,IF(AND(YEAR(JulSun1+13)=CalendarYear,MONTH(JulSun1+13)=7),JulSun1+13,""),IF(AND(YEAR(JulSun1+20)=CalendarYear,MONTH(JulSun1+20)=7),JulSun1+20,""))</f>
        <v>41474</v>
      </c>
      <c r="I56" s="32">
        <f>IF(DAY(JulSun1)=1,IF(AND(YEAR(JulSun1+14)=CalendarYear,MONTH(JulSun1+14)=7),JulSun1+14,""),IF(AND(YEAR(JulSun1+21)=CalendarYear,MONTH(JulSun1+21)=7),JulSun1+21,""))</f>
        <v>41475</v>
      </c>
      <c r="J56" s="34"/>
      <c r="K56" s="32">
        <f>IF(DAY(AugSun1)=1,IF(AND(YEAR(AugSun1+8)=CalendarYear,MONTH(AugSun1+8)=8),AugSun1+8,""),IF(AND(YEAR(AugSun1+15)=CalendarYear,MONTH(AugSun1+15)=8),AugSun1+15,""))</f>
        <v>41497</v>
      </c>
      <c r="L56" s="32">
        <f>IF(DAY(AugSun1)=1,IF(AND(YEAR(AugSun1+9)=CalendarYear,MONTH(AugSun1+9)=8),AugSun1+9,""),IF(AND(YEAR(AugSun1+16)=CalendarYear,MONTH(AugSun1+16)=8),AugSun1+16,""))</f>
        <v>41498</v>
      </c>
      <c r="M56" s="65">
        <f>IF(DAY(AugSun1)=1,IF(AND(YEAR(AugSun1+10)=CalendarYear,MONTH(AugSun1+10)=8),AugSun1+10,""),IF(AND(YEAR(AugSun1+17)=CalendarYear,MONTH(AugSun1+17)=8),AugSun1+17,""))</f>
        <v>41499</v>
      </c>
      <c r="N56" s="32">
        <f>IF(DAY(AugSun1)=1,IF(AND(YEAR(AugSun1+11)=CalendarYear,MONTH(AugSun1+11)=8),AugSun1+11,""),IF(AND(YEAR(AugSun1+18)=CalendarYear,MONTH(AugSun1+18)=8),AugSun1+18,""))</f>
        <v>41500</v>
      </c>
      <c r="O56" s="32">
        <f>IF(DAY(AugSun1)=1,IF(AND(YEAR(AugSun1+12)=CalendarYear,MONTH(AugSun1+12)=8),AugSun1+12,""),IF(AND(YEAR(AugSun1+19)=CalendarYear,MONTH(AugSun1+19)=8),AugSun1+19,""))</f>
        <v>41501</v>
      </c>
      <c r="P56" s="32">
        <f>IF(DAY(AugSun1)=1,IF(AND(YEAR(AugSun1+13)=CalendarYear,MONTH(AugSun1+13)=8),AugSun1+13,""),IF(AND(YEAR(AugSun1+20)=CalendarYear,MONTH(AugSun1+20)=8),AugSun1+20,""))</f>
        <v>41502</v>
      </c>
      <c r="Q56" s="32">
        <f>IF(DAY(AugSun1)=1,IF(AND(YEAR(AugSun1+14)=CalendarYear,MONTH(AugSun1+14)=8),AugSun1+14,""),IF(AND(YEAR(AugSun1+21)=CalendarYear,MONTH(AugSun1+21)=8),AugSun1+21,""))</f>
        <v>41503</v>
      </c>
      <c r="T56" s="21"/>
      <c r="U56" s="24"/>
      <c r="V56" s="38"/>
      <c r="W56" s="21"/>
      <c r="X56" s="21"/>
    </row>
    <row r="57" spans="2:43" ht="15" customHeight="1" x14ac:dyDescent="0.2">
      <c r="C57" s="32">
        <f>IF(DAY(JulSun1)=1,IF(AND(YEAR(JulSun1+15)=CalendarYear,MONTH(JulSun1+15)=7),JulSun1+15,""),IF(AND(YEAR(JulSun1+22)=CalendarYear,MONTH(JulSun1+22)=7),JulSun1+22,""))</f>
        <v>41476</v>
      </c>
      <c r="D57" s="32">
        <f>IF(DAY(JulSun1)=1,IF(AND(YEAR(JulSun1+16)=CalendarYear,MONTH(JulSun1+16)=7),JulSun1+16,""),IF(AND(YEAR(JulSun1+23)=CalendarYear,MONTH(JulSun1+23)=7),JulSun1+23,""))</f>
        <v>41477</v>
      </c>
      <c r="E57" s="32">
        <f>IF(DAY(JulSun1)=1,IF(AND(YEAR(JulSun1+17)=CalendarYear,MONTH(JulSun1+17)=7),JulSun1+17,""),IF(AND(YEAR(JulSun1+24)=CalendarYear,MONTH(JulSun1+24)=7),JulSun1+24,""))</f>
        <v>41478</v>
      </c>
      <c r="F57" s="32">
        <f>IF(DAY(JulSun1)=1,IF(AND(YEAR(JulSun1+18)=CalendarYear,MONTH(JulSun1+18)=7),JulSun1+18,""),IF(AND(YEAR(JulSun1+25)=CalendarYear,MONTH(JulSun1+25)=7),JulSun1+25,""))</f>
        <v>41479</v>
      </c>
      <c r="G57" s="56">
        <f>IF(DAY(JulSun1)=1,IF(AND(YEAR(JulSun1+19)=CalendarYear,MONTH(JulSun1+19)=7),JulSun1+19,""),IF(AND(YEAR(JulSun1+26)=CalendarYear,MONTH(JulSun1+26)=7),JulSun1+26,""))</f>
        <v>41480</v>
      </c>
      <c r="H57" s="32">
        <f>IF(DAY(JulSun1)=1,IF(AND(YEAR(JulSun1+20)=CalendarYear,MONTH(JulSun1+20)=7),JulSun1+20,""),IF(AND(YEAR(JulSun1+27)=CalendarYear,MONTH(JulSun1+27)=7),JulSun1+27,""))</f>
        <v>41481</v>
      </c>
      <c r="I57" s="32">
        <f>IF(DAY(JulSun1)=1,IF(AND(YEAR(JulSun1+21)=CalendarYear,MONTH(JulSun1+21)=7),JulSun1+21,""),IF(AND(YEAR(JulSun1+28)=CalendarYear,MONTH(JulSun1+28)=7),JulSun1+28,""))</f>
        <v>41482</v>
      </c>
      <c r="J57" s="34"/>
      <c r="K57" s="32">
        <f>IF(DAY(AugSun1)=1,IF(AND(YEAR(AugSun1+15)=CalendarYear,MONTH(AugSun1+15)=8),AugSun1+15,""),IF(AND(YEAR(AugSun1+22)=CalendarYear,MONTH(AugSun1+22)=8),AugSun1+22,""))</f>
        <v>41504</v>
      </c>
      <c r="L57" s="32">
        <f>IF(DAY(AugSun1)=1,IF(AND(YEAR(AugSun1+16)=CalendarYear,MONTH(AugSun1+16)=8),AugSun1+16,""),IF(AND(YEAR(AugSun1+23)=CalendarYear,MONTH(AugSun1+23)=8),AugSun1+23,""))</f>
        <v>41505</v>
      </c>
      <c r="M57" s="32">
        <f>IF(DAY(AugSun1)=1,IF(AND(YEAR(AugSun1+17)=CalendarYear,MONTH(AugSun1+17)=8),AugSun1+17,""),IF(AND(YEAR(AugSun1+24)=CalendarYear,MONTH(AugSun1+24)=8),AugSun1+24,""))</f>
        <v>41506</v>
      </c>
      <c r="N57" s="32">
        <f>IF(DAY(AugSun1)=1,IF(AND(YEAR(AugSun1+18)=CalendarYear,MONTH(AugSun1+18)=8),AugSun1+18,""),IF(AND(YEAR(AugSun1+25)=CalendarYear,MONTH(AugSun1+25)=8),AugSun1+25,""))</f>
        <v>41507</v>
      </c>
      <c r="O57" s="53">
        <f>IF(DAY(AugSun1)=1,IF(AND(YEAR(AugSun1+19)=CalendarYear,MONTH(AugSun1+19)=8),AugSun1+19,""),IF(AND(YEAR(AugSun1+26)=CalendarYear,MONTH(AugSun1+26)=8),AugSun1+26,""))</f>
        <v>41508</v>
      </c>
      <c r="P57" s="32">
        <f>IF(DAY(AugSun1)=1,IF(AND(YEAR(AugSun1+20)=CalendarYear,MONTH(AugSun1+20)=8),AugSun1+20,""),IF(AND(YEAR(AugSun1+27)=CalendarYear,MONTH(AugSun1+27)=8),AugSun1+27,""))</f>
        <v>41509</v>
      </c>
      <c r="Q57" s="32">
        <f>IF(DAY(AugSun1)=1,IF(AND(YEAR(AugSun1+21)=CalendarYear,MONTH(AugSun1+21)=8),AugSun1+21,""),IF(AND(YEAR(AugSun1+28)=CalendarYear,MONTH(AugSun1+28)=8),AugSun1+28,""))</f>
        <v>41510</v>
      </c>
      <c r="T57" s="21"/>
      <c r="U57" s="38" t="s">
        <v>53</v>
      </c>
      <c r="V57" s="24"/>
      <c r="W57" s="21"/>
      <c r="X57" s="21"/>
    </row>
    <row r="58" spans="2:43" ht="15" customHeight="1" x14ac:dyDescent="0.2">
      <c r="C58" s="32">
        <f>IF(DAY(JulSun1)=1,IF(AND(YEAR(JulSun1+22)=CalendarYear,MONTH(JulSun1+22)=7),JulSun1+22,""),IF(AND(YEAR(JulSun1+29)=CalendarYear,MONTH(JulSun1+29)=7),JulSun1+29,""))</f>
        <v>41483</v>
      </c>
      <c r="D58" s="32">
        <f>IF(DAY(JulSun1)=1,IF(AND(YEAR(JulSun1+23)=CalendarYear,MONTH(JulSun1+23)=7),JulSun1+23,""),IF(AND(YEAR(JulSun1+30)=CalendarYear,MONTH(JulSun1+30)=7),JulSun1+30,""))</f>
        <v>41484</v>
      </c>
      <c r="E58" s="32">
        <f>IF(DAY(JulSun1)=1,IF(AND(YEAR(JulSun1+24)=CalendarYear,MONTH(JulSun1+24)=7),JulSun1+24,""),IF(AND(YEAR(JulSun1+31)=CalendarYear,MONTH(JulSun1+31)=7),JulSun1+31,""))</f>
        <v>41485</v>
      </c>
      <c r="F58" s="32">
        <f>IF(DAY(JulSun1)=1,IF(AND(YEAR(JulSun1+25)=CalendarYear,MONTH(JulSun1+25)=7),JulSun1+25,""),IF(AND(YEAR(JulSun1+32)=CalendarYear,MONTH(JulSun1+32)=7),JulSun1+32,""))</f>
        <v>41486</v>
      </c>
      <c r="G58" s="32" t="str">
        <f>IF(DAY(JulSun1)=1,IF(AND(YEAR(JulSun1+26)=CalendarYear,MONTH(JulSun1+26)=7),JulSun1+26,""),IF(AND(YEAR(JulSun1+33)=CalendarYear,MONTH(JulSun1+33)=7),JulSun1+33,""))</f>
        <v/>
      </c>
      <c r="H58" s="32" t="str">
        <f>IF(DAY(JulSun1)=1,IF(AND(YEAR(JulSun1+27)=CalendarYear,MONTH(JulSun1+27)=7),JulSun1+27,""),IF(AND(YEAR(JulSun1+34)=CalendarYear,MONTH(JulSun1+34)=7),JulSun1+34,""))</f>
        <v/>
      </c>
      <c r="I58" s="32" t="str">
        <f>IF(DAY(JulSun1)=1,IF(AND(YEAR(JulSun1+28)=CalendarYear,MONTH(JulSun1+28)=7),JulSun1+28,""),IF(AND(YEAR(JulSun1+35)=CalendarYear,MONTH(JulSun1+35)=7),JulSun1+35,""))</f>
        <v/>
      </c>
      <c r="J58" s="34"/>
      <c r="K58" s="32">
        <f>IF(DAY(AugSun1)=1,IF(AND(YEAR(AugSun1+22)=CalendarYear,MONTH(AugSun1+22)=8),AugSun1+22,""),IF(AND(YEAR(AugSun1+29)=CalendarYear,MONTH(AugSun1+29)=8),AugSun1+29,""))</f>
        <v>41511</v>
      </c>
      <c r="L58" s="32">
        <f>IF(DAY(AugSun1)=1,IF(AND(YEAR(AugSun1+23)=CalendarYear,MONTH(AugSun1+23)=8),AugSun1+23,""),IF(AND(YEAR(AugSun1+30)=CalendarYear,MONTH(AugSun1+30)=8),AugSun1+30,""))</f>
        <v>41512</v>
      </c>
      <c r="M58" s="32">
        <f>IF(DAY(AugSun1)=1,IF(AND(YEAR(AugSun1+24)=CalendarYear,MONTH(AugSun1+24)=8),AugSun1+24,""),IF(AND(YEAR(AugSun1+31)=CalendarYear,MONTH(AugSun1+31)=8),AugSun1+31,""))</f>
        <v>41513</v>
      </c>
      <c r="N58" s="32">
        <f>IF(DAY(AugSun1)=1,IF(AND(YEAR(AugSun1+25)=CalendarYear,MONTH(AugSun1+25)=8),AugSun1+25,""),IF(AND(YEAR(AugSun1+32)=CalendarYear,MONTH(AugSun1+32)=8),AugSun1+32,""))</f>
        <v>41514</v>
      </c>
      <c r="O58" s="32">
        <f>IF(DAY(AugSun1)=1,IF(AND(YEAR(AugSun1+26)=CalendarYear,MONTH(AugSun1+26)=8),AugSun1+26,""),IF(AND(YEAR(AugSun1+33)=CalendarYear,MONTH(AugSun1+33)=8),AugSun1+33,""))</f>
        <v>41515</v>
      </c>
      <c r="P58" s="32">
        <f>IF(DAY(AugSun1)=1,IF(AND(YEAR(AugSun1+27)=CalendarYear,MONTH(AugSun1+27)=8),AugSun1+27,""),IF(AND(YEAR(AugSun1+34)=CalendarYear,MONTH(AugSun1+34)=8),AugSun1+34,""))</f>
        <v>41516</v>
      </c>
      <c r="Q58" s="32">
        <f>IF(DAY(AugSun1)=1,IF(AND(YEAR(AugSun1+28)=CalendarYear,MONTH(AugSun1+28)=8),AugSun1+28,""),IF(AND(YEAR(AugSun1+35)=CalendarYear,MONTH(AugSun1+35)=8),AugSun1+35,""))</f>
        <v>41517</v>
      </c>
      <c r="T58" s="21"/>
      <c r="U58" s="24" t="s">
        <v>21</v>
      </c>
      <c r="V58" s="37"/>
      <c r="W58" s="21"/>
      <c r="X58" s="21"/>
    </row>
    <row r="59" spans="2:43" ht="15" customHeight="1" x14ac:dyDescent="0.2">
      <c r="C59" s="3" t="str">
        <f>IF(DAY(JulSun1)=1,IF(AND(YEAR(JulSun1+29)=CalendarYear,MONTH(JulSun1+29)=7),JulSun1+29,""),IF(AND(YEAR(JulSun1+36)=CalendarYear,MONTH(JulSun1+36)=7),JulSun1+36,""))</f>
        <v/>
      </c>
      <c r="D59" s="3" t="str">
        <f>IF(DAY(JulSun1)=1,IF(AND(YEAR(JulSun1+30)=CalendarYear,MONTH(JulSun1+30)=7),JulSun1+30,""),IF(AND(YEAR(JulSun1+37)=CalendarYear,MONTH(JulSun1+37)=7),JulSun1+37,""))</f>
        <v/>
      </c>
      <c r="E59" s="3" t="str">
        <f>IF(DAY(JulSun1)=1,IF(AND(YEAR(JulSun1+31)=CalendarYear,MONTH(JulSun1+31)=7),JulSun1+31,""),IF(AND(YEAR(JulSun1+38)=CalendarYear,MONTH(JulSun1+38)=7),JulSun1+38,""))</f>
        <v/>
      </c>
      <c r="F59" s="3" t="str">
        <f>IF(DAY(JulSun1)=1,IF(AND(YEAR(JulSun1+32)=CalendarYear,MONTH(JulSun1+32)=7),JulSun1+32,""),IF(AND(YEAR(JulSun1+39)=CalendarYear,MONTH(JulSun1+39)=7),JulSun1+39,""))</f>
        <v/>
      </c>
      <c r="G59" s="3" t="str">
        <f>IF(DAY(JulSun1)=1,IF(AND(YEAR(JulSun1+33)=CalendarYear,MONTH(JulSun1+33)=7),JulSun1+33,""),IF(AND(YEAR(JulSun1+40)=CalendarYear,MONTH(JulSun1+40)=7),JulSun1+40,""))</f>
        <v/>
      </c>
      <c r="H59" s="3" t="str">
        <f>IF(DAY(JulSun1)=1,IF(AND(YEAR(JulSun1+34)=CalendarYear,MONTH(JulSun1+34)=7),JulSun1+34,""),IF(AND(YEAR(JulSun1+41)=CalendarYear,MONTH(JulSun1+41)=7),JulSun1+41,""))</f>
        <v/>
      </c>
      <c r="I59" s="3" t="str">
        <f>IF(DAY(JulSun1)=1,IF(AND(YEAR(JulSun1+35)=CalendarYear,MONTH(JulSun1+35)=7),JulSun1+35,""),IF(AND(YEAR(JulSun1+42)=CalendarYear,MONTH(JulSun1+42)=7),JulSun1+42,""))</f>
        <v/>
      </c>
      <c r="K59" s="3" t="str">
        <f>IF(DAY(AugSun1)=1,IF(AND(YEAR(AugSun1+29)=CalendarYear,MONTH(AugSun1+29)=8),AugSun1+29,""),IF(AND(YEAR(AugSun1+36)=CalendarYear,MONTH(AugSun1+36)=8),AugSun1+36,""))</f>
        <v/>
      </c>
      <c r="L59" s="3" t="str">
        <f>IF(DAY(AugSun1)=1,IF(AND(YEAR(AugSun1+30)=CalendarYear,MONTH(AugSun1+30)=8),AugSun1+30,""),IF(AND(YEAR(AugSun1+37)=CalendarYear,MONTH(AugSun1+37)=8),AugSun1+37,""))</f>
        <v/>
      </c>
      <c r="M59" s="3" t="str">
        <f>IF(DAY(AugSun1)=1,IF(AND(YEAR(AugSun1+31)=CalendarYear,MONTH(AugSun1+31)=8),AugSun1+31,""),IF(AND(YEAR(AugSun1+38)=CalendarYear,MONTH(AugSun1+38)=8),AugSun1+38,""))</f>
        <v/>
      </c>
      <c r="N59" s="3" t="str">
        <f>IF(DAY(AugSun1)=1,IF(AND(YEAR(AugSun1+32)=CalendarYear,MONTH(AugSun1+32)=8),AugSun1+32,""),IF(AND(YEAR(AugSun1+39)=CalendarYear,MONTH(AugSun1+39)=8),AugSun1+39,""))</f>
        <v/>
      </c>
      <c r="O59" s="3" t="str">
        <f>IF(DAY(AugSun1)=1,IF(AND(YEAR(AugSun1+33)=CalendarYear,MONTH(AugSun1+33)=8),AugSun1+33,""),IF(AND(YEAR(AugSun1+40)=CalendarYear,MONTH(AugSun1+40)=8),AugSun1+40,""))</f>
        <v/>
      </c>
      <c r="P59" s="3" t="str">
        <f>IF(DAY(AugSun1)=1,IF(AND(YEAR(AugSun1+34)=CalendarYear,MONTH(AugSun1+34)=8),AugSun1+34,""),IF(AND(YEAR(AugSun1+41)=CalendarYear,MONTH(AugSun1+41)=8),AugSun1+41,""))</f>
        <v/>
      </c>
      <c r="Q59" s="3" t="str">
        <f>IF(DAY(AugSun1)=1,IF(AND(YEAR(AugSun1+35)=CalendarYear,MONTH(AugSun1+35)=8),AugSun1+35,""),IF(AND(YEAR(AugSun1+42)=CalendarYear,MONTH(AugSun1+42)=8),AugSun1+42,""))</f>
        <v/>
      </c>
      <c r="T59" s="21"/>
      <c r="U59" s="38"/>
      <c r="V59" s="24"/>
      <c r="W59" s="21"/>
      <c r="X59" s="21"/>
    </row>
    <row r="60" spans="2:43" ht="15" customHeight="1" x14ac:dyDescent="0.2">
      <c r="C60" s="3"/>
      <c r="D60" s="3"/>
      <c r="E60" s="3"/>
      <c r="F60" s="3"/>
      <c r="G60" s="3"/>
      <c r="H60" s="3"/>
      <c r="I60" s="3"/>
      <c r="K60" s="3"/>
      <c r="L60" s="3"/>
      <c r="M60" s="3"/>
      <c r="N60" s="3"/>
      <c r="O60" s="3"/>
      <c r="P60" s="3"/>
      <c r="Q60" s="3"/>
      <c r="T60" s="21"/>
      <c r="U60" s="38" t="s">
        <v>54</v>
      </c>
      <c r="V60" s="38"/>
      <c r="W60" s="21"/>
      <c r="X60" s="21"/>
    </row>
    <row r="61" spans="2:43" s="15" customFormat="1" ht="15" customHeight="1" x14ac:dyDescent="0.25">
      <c r="C61" s="52" t="s">
        <v>14</v>
      </c>
      <c r="D61" s="13"/>
      <c r="E61" s="13"/>
      <c r="F61" s="13"/>
      <c r="G61" s="13"/>
      <c r="H61" s="13"/>
      <c r="I61" s="50" t="s">
        <v>29</v>
      </c>
      <c r="K61" s="52" t="s">
        <v>15</v>
      </c>
      <c r="L61" s="13"/>
      <c r="M61" s="13"/>
      <c r="N61" s="13"/>
      <c r="O61" s="13"/>
      <c r="P61" s="50" t="s">
        <v>31</v>
      </c>
      <c r="Q61" s="13"/>
      <c r="S61" s="19"/>
      <c r="T61" s="22"/>
      <c r="U61" s="24" t="s">
        <v>28</v>
      </c>
      <c r="V61" s="24"/>
      <c r="W61" s="22"/>
      <c r="X61" s="22"/>
    </row>
    <row r="62" spans="2:43" ht="15" customHeight="1" x14ac:dyDescent="0.2">
      <c r="C62" s="6" t="s">
        <v>0</v>
      </c>
      <c r="D62" s="6" t="s">
        <v>1</v>
      </c>
      <c r="E62" s="6" t="s">
        <v>2</v>
      </c>
      <c r="F62" s="6" t="s">
        <v>3</v>
      </c>
      <c r="G62" s="6" t="s">
        <v>2</v>
      </c>
      <c r="H62" s="6" t="s">
        <v>4</v>
      </c>
      <c r="I62" s="6" t="s">
        <v>0</v>
      </c>
      <c r="J62" s="34"/>
      <c r="K62" s="6" t="s">
        <v>0</v>
      </c>
      <c r="L62" s="6" t="s">
        <v>1</v>
      </c>
      <c r="M62" s="6" t="s">
        <v>2</v>
      </c>
      <c r="N62" s="6" t="s">
        <v>3</v>
      </c>
      <c r="O62" s="6" t="s">
        <v>2</v>
      </c>
      <c r="P62" s="6" t="s">
        <v>4</v>
      </c>
      <c r="Q62" s="6" t="s">
        <v>0</v>
      </c>
      <c r="T62" s="21"/>
      <c r="U62" s="24"/>
      <c r="W62" s="21"/>
      <c r="X62" s="21"/>
    </row>
    <row r="63" spans="2:43" ht="15" customHeight="1" x14ac:dyDescent="0.2">
      <c r="C63" s="32">
        <f>IF(DAY(SepSun1)=1,"",IF(AND(YEAR(SepSun1+1)=CalendarYear,MONTH(SepSun1+1)=9),SepSun1+1,""))</f>
        <v>41518</v>
      </c>
      <c r="D63" s="32">
        <f>IF(DAY(SepSun1)=1,"",IF(AND(YEAR(SepSun1+2)=CalendarYear,MONTH(SepSun1+2)=9),SepSun1+2,""))</f>
        <v>41519</v>
      </c>
      <c r="E63" s="32">
        <f>IF(DAY(SepSun1)=1,"",IF(AND(YEAR(SepSun1+3)=CalendarYear,MONTH(SepSun1+3)=9),SepSun1+3,""))</f>
        <v>41520</v>
      </c>
      <c r="F63" s="32">
        <f>IF(DAY(SepSun1)=1,"",IF(AND(YEAR(SepSun1+4)=CalendarYear,MONTH(SepSun1+4)=9),SepSun1+4,""))</f>
        <v>41521</v>
      </c>
      <c r="G63" s="32">
        <f>IF(DAY(SepSun1)=1,"",IF(AND(YEAR(SepSun1+5)=CalendarYear,MONTH(SepSun1+5)=9),SepSun1+5,""))</f>
        <v>41522</v>
      </c>
      <c r="H63" s="32">
        <f>IF(DAY(SepSun1)=1,"",IF(AND(YEAR(SepSun1+6)=CalendarYear,MONTH(SepSun1+6)=9),SepSun1+6,""))</f>
        <v>41523</v>
      </c>
      <c r="I63" s="32">
        <f>IF(DAY(SepSun1)=1,IF(AND(YEAR(SepSun1)=CalendarYear,MONTH(SepSun1)=9),SepSun1,""),IF(AND(YEAR(SepSun1+7)=CalendarYear,MONTH(SepSun1+7)=9),SepSun1+7,""))</f>
        <v>41524</v>
      </c>
      <c r="J63" s="34"/>
      <c r="K63" s="32" t="str">
        <f>IF(DAY(OctSun1)=1,"",IF(AND(YEAR(OctSun1+1)=CalendarYear,MONTH(OctSun1+1)=10),OctSun1+1,""))</f>
        <v/>
      </c>
      <c r="L63" s="32" t="str">
        <f>IF(DAY(OctSun1)=1,"",IF(AND(YEAR(OctSun1+2)=CalendarYear,MONTH(OctSun1+2)=10),OctSun1+2,""))</f>
        <v/>
      </c>
      <c r="M63" s="65">
        <f>IF(DAY(OctSun1)=1,"",IF(AND(YEAR(OctSun1+3)=CalendarYear,MONTH(OctSun1+3)=10),OctSun1+3,""))</f>
        <v>41548</v>
      </c>
      <c r="N63" s="65">
        <f>IF(DAY(OctSun1)=1,"",IF(AND(YEAR(OctSun1+4)=CalendarYear,MONTH(OctSun1+4)=10),OctSun1+4,""))</f>
        <v>41549</v>
      </c>
      <c r="O63" s="65">
        <f>IF(DAY(OctSun1)=1,"",IF(AND(YEAR(OctSun1+5)=CalendarYear,MONTH(OctSun1+5)=10),OctSun1+5,""))</f>
        <v>41550</v>
      </c>
      <c r="P63" s="32">
        <f>IF(DAY(OctSun1)=1,"",IF(AND(YEAR(OctSun1+6)=CalendarYear,MONTH(OctSun1+6)=10),OctSun1+6,""))</f>
        <v>41551</v>
      </c>
      <c r="Q63" s="32">
        <f>IF(DAY(OctSun1)=1,IF(AND(YEAR(OctSun1)=CalendarYear,MONTH(OctSun1)=10),OctSun1,""),IF(AND(YEAR(OctSun1+7)=CalendarYear,MONTH(OctSun1+7)=10),OctSun1+7,""))</f>
        <v>41552</v>
      </c>
      <c r="T63" s="21"/>
      <c r="U63" s="38"/>
      <c r="W63" s="21"/>
      <c r="X63" s="21"/>
    </row>
    <row r="64" spans="2:43" ht="15" customHeight="1" x14ac:dyDescent="0.2">
      <c r="C64" s="32">
        <f>IF(DAY(SepSun1)=1,IF(AND(YEAR(SepSun1+1)=CalendarYear,MONTH(SepSun1+1)=9),SepSun1+1,""),IF(AND(YEAR(SepSun1+8)=CalendarYear,MONTH(SepSun1+8)=9),SepSun1+8,""))</f>
        <v>41525</v>
      </c>
      <c r="D64" s="32">
        <f>IF(DAY(SepSun1)=1,IF(AND(YEAR(SepSun1+2)=CalendarYear,MONTH(SepSun1+2)=9),SepSun1+2,""),IF(AND(YEAR(SepSun1+9)=CalendarYear,MONTH(SepSun1+9)=9),SepSun1+9,""))</f>
        <v>41526</v>
      </c>
      <c r="E64" s="32">
        <f>IF(DAY(SepSun1)=1,IF(AND(YEAR(SepSun1+3)=CalendarYear,MONTH(SepSun1+3)=9),SepSun1+3,""),IF(AND(YEAR(SepSun1+10)=CalendarYear,MONTH(SepSun1+10)=9),SepSun1+10,""))</f>
        <v>41527</v>
      </c>
      <c r="F64" s="32">
        <f>IF(DAY(SepSun1)=1,IF(AND(YEAR(SepSun1+4)=CalendarYear,MONTH(SepSun1+4)=9),SepSun1+4,""),IF(AND(YEAR(SepSun1+11)=CalendarYear,MONTH(SepSun1+11)=9),SepSun1+11,""))</f>
        <v>41528</v>
      </c>
      <c r="G64" s="32">
        <f>IF(DAY(SepSun1)=1,IF(AND(YEAR(SepSun1+5)=CalendarYear,MONTH(SepSun1+5)=9),SepSun1+5,""),IF(AND(YEAR(SepSun1+12)=CalendarYear,MONTH(SepSun1+12)=9),SepSun1+12,""))</f>
        <v>41529</v>
      </c>
      <c r="H64" s="32">
        <f>IF(DAY(SepSun1)=1,IF(AND(YEAR(SepSun1+6)=CalendarYear,MONTH(SepSun1+6)=9),SepSun1+6,""),IF(AND(YEAR(SepSun1+13)=CalendarYear,MONTH(SepSun1+13)=9),SepSun1+13,""))</f>
        <v>41530</v>
      </c>
      <c r="I64" s="32">
        <f>IF(DAY(SepSun1)=1,IF(AND(YEAR(SepSun1+7)=CalendarYear,MONTH(SepSun1+7)=9),SepSun1+7,""),IF(AND(YEAR(SepSun1+14)=CalendarYear,MONTH(SepSun1+14)=9),SepSun1+14,""))</f>
        <v>41531</v>
      </c>
      <c r="J64" s="34"/>
      <c r="K64" s="32">
        <f>IF(DAY(OctSun1)=1,IF(AND(YEAR(OctSun1+1)=CalendarYear,MONTH(OctSun1+1)=10),OctSun1+1,""),IF(AND(YEAR(OctSun1+8)=CalendarYear,MONTH(OctSun1+8)=10),OctSun1+8,""))</f>
        <v>41553</v>
      </c>
      <c r="L64" s="32">
        <f>IF(DAY(OctSun1)=1,IF(AND(YEAR(OctSun1+2)=CalendarYear,MONTH(OctSun1+2)=10),OctSun1+2,""),IF(AND(YEAR(OctSun1+9)=CalendarYear,MONTH(OctSun1+9)=10),OctSun1+9,""))</f>
        <v>41554</v>
      </c>
      <c r="M64" s="32">
        <f>IF(DAY(OctSun1)=1,IF(AND(YEAR(OctSun1+3)=CalendarYear,MONTH(OctSun1+3)=10),OctSun1+3,""),IF(AND(YEAR(OctSun1+10)=CalendarYear,MONTH(OctSun1+10)=10),OctSun1+10,""))</f>
        <v>41555</v>
      </c>
      <c r="N64" s="32">
        <f>IF(DAY(OctSun1)=1,IF(AND(YEAR(OctSun1+4)=CalendarYear,MONTH(OctSun1+4)=10),OctSun1+4,""),IF(AND(YEAR(OctSun1+11)=CalendarYear,MONTH(OctSun1+11)=10),OctSun1+11,""))</f>
        <v>41556</v>
      </c>
      <c r="O64" s="32">
        <f>IF(DAY(OctSun1)=1,IF(AND(YEAR(OctSun1+5)=CalendarYear,MONTH(OctSun1+5)=10),OctSun1+5,""),IF(AND(YEAR(OctSun1+12)=CalendarYear,MONTH(OctSun1+12)=10),OctSun1+12,""))</f>
        <v>41557</v>
      </c>
      <c r="P64" s="32">
        <f>IF(DAY(OctSun1)=1,IF(AND(YEAR(OctSun1+6)=CalendarYear,MONTH(OctSun1+6)=10),OctSun1+6,""),IF(AND(YEAR(OctSun1+13)=CalendarYear,MONTH(OctSun1+13)=10),OctSun1+13,""))</f>
        <v>41558</v>
      </c>
      <c r="Q64" s="32">
        <f>IF(DAY(OctSun1)=1,IF(AND(YEAR(OctSun1+7)=CalendarYear,MONTH(OctSun1+7)=10),OctSun1+7,""),IF(AND(YEAR(OctSun1+14)=CalendarYear,MONTH(OctSun1+14)=10),OctSun1+14,""))</f>
        <v>41559</v>
      </c>
      <c r="T64" s="21"/>
      <c r="U64" s="24"/>
      <c r="W64" s="21"/>
      <c r="X64" s="21"/>
    </row>
    <row r="65" spans="3:24" ht="15" customHeight="1" x14ac:dyDescent="0.2">
      <c r="C65" s="32">
        <f>IF(DAY(SepSun1)=1,IF(AND(YEAR(SepSun1+8)=CalendarYear,MONTH(SepSun1+8)=9),SepSun1+8,""),IF(AND(YEAR(SepSun1+15)=CalendarYear,MONTH(SepSun1+15)=9),SepSun1+15,""))</f>
        <v>41532</v>
      </c>
      <c r="D65" s="32">
        <f>IF(DAY(SepSun1)=1,IF(AND(YEAR(SepSun1+9)=CalendarYear,MONTH(SepSun1+9)=9),SepSun1+9,""),IF(AND(YEAR(SepSun1+16)=CalendarYear,MONTH(SepSun1+16)=9),SepSun1+16,""))</f>
        <v>41533</v>
      </c>
      <c r="E65" s="32">
        <f>IF(DAY(SepSun1)=1,IF(AND(YEAR(SepSun1+10)=CalendarYear,MONTH(SepSun1+10)=9),SepSun1+10,""),IF(AND(YEAR(SepSun1+17)=CalendarYear,MONTH(SepSun1+17)=9),SepSun1+17,""))</f>
        <v>41534</v>
      </c>
      <c r="F65" s="65">
        <f>IF(DAY(SepSun1)=1,IF(AND(YEAR(SepSun1+11)=CalendarYear,MONTH(SepSun1+11)=9),SepSun1+11,""),IF(AND(YEAR(SepSun1+18)=CalendarYear,MONTH(SepSun1+18)=9),SepSun1+18,""))</f>
        <v>41535</v>
      </c>
      <c r="G65" s="65">
        <f>IF(DAY(SepSun1)=1,IF(AND(YEAR(SepSun1+12)=CalendarYear,MONTH(SepSun1+12)=9),SepSun1+12,""),IF(AND(YEAR(SepSun1+19)=CalendarYear,MONTH(SepSun1+19)=9),SepSun1+19,""))</f>
        <v>41536</v>
      </c>
      <c r="H65" s="65">
        <f>IF(DAY(SepSun1)=1,IF(AND(YEAR(SepSun1+13)=CalendarYear,MONTH(SepSun1+13)=9),SepSun1+13,""),IF(AND(YEAR(SepSun1+20)=CalendarYear,MONTH(SepSun1+20)=9),SepSun1+20,""))</f>
        <v>41537</v>
      </c>
      <c r="I65" s="32">
        <f>IF(DAY(SepSun1)=1,IF(AND(YEAR(SepSun1+14)=CalendarYear,MONTH(SepSun1+14)=9),SepSun1+14,""),IF(AND(YEAR(SepSun1+21)=CalendarYear,MONTH(SepSun1+21)=9),SepSun1+21,""))</f>
        <v>41538</v>
      </c>
      <c r="J65" s="34"/>
      <c r="K65" s="32">
        <f>IF(DAY(OctSun1)=1,IF(AND(YEAR(OctSun1+8)=CalendarYear,MONTH(OctSun1+8)=10),OctSun1+8,""),IF(AND(YEAR(OctSun1+15)=CalendarYear,MONTH(OctSun1+15)=10),OctSun1+15,""))</f>
        <v>41560</v>
      </c>
      <c r="L65" s="32">
        <f>IF(DAY(OctSun1)=1,IF(AND(YEAR(OctSun1+9)=CalendarYear,MONTH(OctSun1+9)=10),OctSun1+9,""),IF(AND(YEAR(OctSun1+16)=CalendarYear,MONTH(OctSun1+16)=10),OctSun1+16,""))</f>
        <v>41561</v>
      </c>
      <c r="M65" s="32">
        <f>IF(DAY(OctSun1)=1,IF(AND(YEAR(OctSun1+10)=CalendarYear,MONTH(OctSun1+10)=10),OctSun1+10,""),IF(AND(YEAR(OctSun1+17)=CalendarYear,MONTH(OctSun1+17)=10),OctSun1+17,""))</f>
        <v>41562</v>
      </c>
      <c r="N65" s="32">
        <f>IF(DAY(OctSun1)=1,IF(AND(YEAR(OctSun1+11)=CalendarYear,MONTH(OctSun1+11)=10),OctSun1+11,""),IF(AND(YEAR(OctSun1+18)=CalendarYear,MONTH(OctSun1+18)=10),OctSun1+18,""))</f>
        <v>41563</v>
      </c>
      <c r="O65" s="32">
        <f>IF(DAY(OctSun1)=1,IF(AND(YEAR(OctSun1+12)=CalendarYear,MONTH(OctSun1+12)=10),OctSun1+12,""),IF(AND(YEAR(OctSun1+19)=CalendarYear,MONTH(OctSun1+19)=10),OctSun1+19,""))</f>
        <v>41564</v>
      </c>
      <c r="P65" s="32">
        <f>IF(DAY(OctSun1)=1,IF(AND(YEAR(OctSun1+13)=CalendarYear,MONTH(OctSun1+13)=10),OctSun1+13,""),IF(AND(YEAR(OctSun1+20)=CalendarYear,MONTH(OctSun1+20)=10),OctSun1+20,""))</f>
        <v>41565</v>
      </c>
      <c r="Q65" s="32">
        <f>IF(DAY(OctSun1)=1,IF(AND(YEAR(OctSun1+14)=CalendarYear,MONTH(OctSun1+14)=10),OctSun1+14,""),IF(AND(YEAR(OctSun1+21)=CalendarYear,MONTH(OctSun1+21)=10),OctSun1+21,""))</f>
        <v>41566</v>
      </c>
      <c r="T65" s="21"/>
      <c r="V65" s="20"/>
      <c r="W65" s="21"/>
      <c r="X65" s="21"/>
    </row>
    <row r="66" spans="3:24" ht="15" customHeight="1" x14ac:dyDescent="0.2">
      <c r="C66" s="32">
        <f>IF(DAY(SepSun1)=1,IF(AND(YEAR(SepSun1+15)=CalendarYear,MONTH(SepSun1+15)=9),SepSun1+15,""),IF(AND(YEAR(SepSun1+22)=CalendarYear,MONTH(SepSun1+22)=9),SepSun1+22,""))</f>
        <v>41539</v>
      </c>
      <c r="D66" s="32">
        <f>IF(DAY(SepSun1)=1,IF(AND(YEAR(SepSun1+16)=CalendarYear,MONTH(SepSun1+16)=9),SepSun1+16,""),IF(AND(YEAR(SepSun1+23)=CalendarYear,MONTH(SepSun1+23)=9),SepSun1+23,""))</f>
        <v>41540</v>
      </c>
      <c r="E66" s="32">
        <f>IF(DAY(SepSun1)=1,IF(AND(YEAR(SepSun1+17)=CalendarYear,MONTH(SepSun1+17)=9),SepSun1+17,""),IF(AND(YEAR(SepSun1+24)=CalendarYear,MONTH(SepSun1+24)=9),SepSun1+24,""))</f>
        <v>41541</v>
      </c>
      <c r="F66" s="32">
        <f>IF(DAY(SepSun1)=1,IF(AND(YEAR(SepSun1+18)=CalendarYear,MONTH(SepSun1+18)=9),SepSun1+18,""),IF(AND(YEAR(SepSun1+25)=CalendarYear,MONTH(SepSun1+25)=9),SepSun1+25,""))</f>
        <v>41542</v>
      </c>
      <c r="G66" s="53">
        <f>IF(DAY(SepSun1)=1,IF(AND(YEAR(SepSun1+19)=CalendarYear,MONTH(SepSun1+19)=9),SepSun1+19,""),IF(AND(YEAR(SepSun1+26)=CalendarYear,MONTH(SepSun1+26)=9),SepSun1+26,""))</f>
        <v>41543</v>
      </c>
      <c r="H66" s="32">
        <f>IF(DAY(SepSun1)=1,IF(AND(YEAR(SepSun1+20)=CalendarYear,MONTH(SepSun1+20)=9),SepSun1+20,""),IF(AND(YEAR(SepSun1+27)=CalendarYear,MONTH(SepSun1+27)=9),SepSun1+27,""))</f>
        <v>41544</v>
      </c>
      <c r="I66" s="32">
        <f>IF(DAY(SepSun1)=1,IF(AND(YEAR(SepSun1+21)=CalendarYear,MONTH(SepSun1+21)=9),SepSun1+21,""),IF(AND(YEAR(SepSun1+28)=CalendarYear,MONTH(SepSun1+28)=9),SepSun1+28,""))</f>
        <v>41545</v>
      </c>
      <c r="J66" s="34"/>
      <c r="K66" s="32">
        <f>IF(DAY(OctSun1)=1,IF(AND(YEAR(OctSun1+15)=CalendarYear,MONTH(OctSun1+15)=10),OctSun1+15,""),IF(AND(YEAR(OctSun1+22)=CalendarYear,MONTH(OctSun1+22)=10),OctSun1+22,""))</f>
        <v>41567</v>
      </c>
      <c r="L66" s="32">
        <f>IF(DAY(OctSun1)=1,IF(AND(YEAR(OctSun1+16)=CalendarYear,MONTH(OctSun1+16)=10),OctSun1+16,""),IF(AND(YEAR(OctSun1+23)=CalendarYear,MONTH(OctSun1+23)=10),OctSun1+23,""))</f>
        <v>41568</v>
      </c>
      <c r="M66" s="32">
        <f>IF(DAY(OctSun1)=1,IF(AND(YEAR(OctSun1+17)=CalendarYear,MONTH(OctSun1+17)=10),OctSun1+17,""),IF(AND(YEAR(OctSun1+24)=CalendarYear,MONTH(OctSun1+24)=10),OctSun1+24,""))</f>
        <v>41569</v>
      </c>
      <c r="N66" s="32">
        <f>IF(DAY(OctSun1)=1,IF(AND(YEAR(OctSun1+18)=CalendarYear,MONTH(OctSun1+18)=10),OctSun1+18,""),IF(AND(YEAR(OctSun1+25)=CalendarYear,MONTH(OctSun1+25)=10),OctSun1+25,""))</f>
        <v>41570</v>
      </c>
      <c r="O66" s="53">
        <f>IF(DAY(OctSun1)=1,IF(AND(YEAR(OctSun1+19)=CalendarYear,MONTH(OctSun1+19)=10),OctSun1+19,""),IF(AND(YEAR(OctSun1+26)=CalendarYear,MONTH(OctSun1+26)=10),OctSun1+26,""))</f>
        <v>41571</v>
      </c>
      <c r="P66" s="32">
        <f>IF(DAY(OctSun1)=1,IF(AND(YEAR(OctSun1+20)=CalendarYear,MONTH(OctSun1+20)=10),OctSun1+20,""),IF(AND(YEAR(OctSun1+27)=CalendarYear,MONTH(OctSun1+27)=10),OctSun1+27,""))</f>
        <v>41572</v>
      </c>
      <c r="Q66" s="32">
        <f>IF(DAY(OctSun1)=1,IF(AND(YEAR(OctSun1+21)=CalendarYear,MONTH(OctSun1+21)=10),OctSun1+21,""),IF(AND(YEAR(OctSun1+28)=CalendarYear,MONTH(OctSun1+28)=10),OctSun1+28,""))</f>
        <v>41573</v>
      </c>
      <c r="T66" s="21"/>
      <c r="V66" s="57"/>
      <c r="W66" s="21"/>
      <c r="X66" s="21"/>
    </row>
    <row r="67" spans="3:24" ht="15" customHeight="1" x14ac:dyDescent="0.2">
      <c r="C67" s="32">
        <f>IF(DAY(SepSun1)=1,IF(AND(YEAR(SepSun1+22)=CalendarYear,MONTH(SepSun1+22)=9),SepSun1+22,""),IF(AND(YEAR(SepSun1+29)=CalendarYear,MONTH(SepSun1+29)=9),SepSun1+29,""))</f>
        <v>41546</v>
      </c>
      <c r="D67" s="32">
        <f>IF(DAY(SepSun1)=1,IF(AND(YEAR(SepSun1+23)=CalendarYear,MONTH(SepSun1+23)=9),SepSun1+23,""),IF(AND(YEAR(SepSun1+30)=CalendarYear,MONTH(SepSun1+30)=9),SepSun1+30,""))</f>
        <v>41547</v>
      </c>
      <c r="E67" s="32" t="str">
        <f>IF(DAY(SepSun1)=1,IF(AND(YEAR(SepSun1+24)=CalendarYear,MONTH(SepSun1+24)=9),SepSun1+24,""),IF(AND(YEAR(SepSun1+31)=CalendarYear,MONTH(SepSun1+31)=9),SepSun1+31,""))</f>
        <v/>
      </c>
      <c r="F67" s="32" t="str">
        <f>IF(DAY(SepSun1)=1,IF(AND(YEAR(SepSun1+25)=CalendarYear,MONTH(SepSun1+25)=9),SepSun1+25,""),IF(AND(YEAR(SepSun1+32)=CalendarYear,MONTH(SepSun1+32)=9),SepSun1+32,""))</f>
        <v/>
      </c>
      <c r="G67" s="32" t="str">
        <f>IF(DAY(SepSun1)=1,IF(AND(YEAR(SepSun1+26)=CalendarYear,MONTH(SepSun1+26)=9),SepSun1+26,""),IF(AND(YEAR(SepSun1+33)=CalendarYear,MONTH(SepSun1+33)=9),SepSun1+33,""))</f>
        <v/>
      </c>
      <c r="H67" s="32" t="str">
        <f>IF(DAY(SepSun1)=1,IF(AND(YEAR(SepSun1+27)=CalendarYear,MONTH(SepSun1+27)=9),SepSun1+27,""),IF(AND(YEAR(SepSun1+34)=CalendarYear,MONTH(SepSun1+34)=9),SepSun1+34,""))</f>
        <v/>
      </c>
      <c r="I67" s="32" t="str">
        <f>IF(DAY(SepSun1)=1,IF(AND(YEAR(SepSun1+28)=CalendarYear,MONTH(SepSun1+28)=9),SepSun1+28,""),IF(AND(YEAR(SepSun1+35)=CalendarYear,MONTH(SepSun1+35)=9),SepSun1+35,""))</f>
        <v/>
      </c>
      <c r="J67" s="34"/>
      <c r="K67" s="32">
        <f>IF(DAY(OctSun1)=1,IF(AND(YEAR(OctSun1+22)=CalendarYear,MONTH(OctSun1+22)=10),OctSun1+22,""),IF(AND(YEAR(OctSun1+29)=CalendarYear,MONTH(OctSun1+29)=10),OctSun1+29,""))</f>
        <v>41574</v>
      </c>
      <c r="L67" s="32">
        <f>IF(DAY(OctSun1)=1,IF(AND(YEAR(OctSun1+23)=CalendarYear,MONTH(OctSun1+23)=10),OctSun1+23,""),IF(AND(YEAR(OctSun1+30)=CalendarYear,MONTH(OctSun1+30)=10),OctSun1+30,""))</f>
        <v>41575</v>
      </c>
      <c r="M67" s="32">
        <f>IF(DAY(OctSun1)=1,IF(AND(YEAR(OctSun1+24)=CalendarYear,MONTH(OctSun1+24)=10),OctSun1+24,""),IF(AND(YEAR(OctSun1+31)=CalendarYear,MONTH(OctSun1+31)=10),OctSun1+31,""))</f>
        <v>41576</v>
      </c>
      <c r="N67" s="32">
        <f>IF(DAY(OctSun1)=1,IF(AND(YEAR(OctSun1+25)=CalendarYear,MONTH(OctSun1+25)=10),OctSun1+25,""),IF(AND(YEAR(OctSun1+32)=CalendarYear,MONTH(OctSun1+32)=10),OctSun1+32,""))</f>
        <v>41577</v>
      </c>
      <c r="O67" s="32">
        <f>IF(DAY(OctSun1)=1,IF(AND(YEAR(OctSun1+26)=CalendarYear,MONTH(OctSun1+26)=10),OctSun1+26,""),IF(AND(YEAR(OctSun1+33)=CalendarYear,MONTH(OctSun1+33)=10),OctSun1+33,""))</f>
        <v>41578</v>
      </c>
      <c r="P67" s="32" t="str">
        <f>IF(DAY(OctSun1)=1,IF(AND(YEAR(OctSun1+27)=CalendarYear,MONTH(OctSun1+27)=10),OctSun1+27,""),IF(AND(YEAR(OctSun1+34)=CalendarYear,MONTH(OctSun1+34)=10),OctSun1+34,""))</f>
        <v/>
      </c>
      <c r="Q67" s="32" t="str">
        <f>IF(DAY(OctSun1)=1,IF(AND(YEAR(OctSun1+28)=CalendarYear,MONTH(OctSun1+28)=10),OctSun1+28,""),IF(AND(YEAR(OctSun1+35)=CalendarYear,MONTH(OctSun1+35)=10),OctSun1+35,""))</f>
        <v/>
      </c>
      <c r="T67" s="21"/>
      <c r="V67" s="27"/>
      <c r="W67" s="21"/>
      <c r="X67" s="21"/>
    </row>
    <row r="68" spans="3:24" ht="15" customHeight="1" x14ac:dyDescent="0.2">
      <c r="C68" s="32" t="str">
        <f>IF(DAY(SepSun1)=1,IF(AND(YEAR(SepSun1+29)=CalendarYear,MONTH(SepSun1+29)=9),SepSun1+29,""),IF(AND(YEAR(SepSun1+36)=CalendarYear,MONTH(SepSun1+36)=9),SepSun1+36,""))</f>
        <v/>
      </c>
      <c r="D68" s="32" t="str">
        <f>IF(DAY(SepSun1)=1,IF(AND(YEAR(SepSun1+30)=CalendarYear,MONTH(SepSun1+30)=9),SepSun1+30,""),IF(AND(YEAR(SepSun1+37)=CalendarYear,MONTH(SepSun1+37)=9),SepSun1+37,""))</f>
        <v/>
      </c>
      <c r="E68" s="32" t="str">
        <f>IF(DAY(SepSun1)=1,IF(AND(YEAR(SepSun1+31)=CalendarYear,MONTH(SepSun1+31)=9),SepSun1+31,""),IF(AND(YEAR(SepSun1+38)=CalendarYear,MONTH(SepSun1+38)=9),SepSun1+38,""))</f>
        <v/>
      </c>
      <c r="F68" s="32" t="str">
        <f>IF(DAY(SepSun1)=1,IF(AND(YEAR(SepSun1+32)=CalendarYear,MONTH(SepSun1+32)=9),SepSun1+32,""),IF(AND(YEAR(SepSun1+39)=CalendarYear,MONTH(SepSun1+39)=9),SepSun1+39,""))</f>
        <v/>
      </c>
      <c r="G68" s="32" t="str">
        <f>IF(DAY(SepSun1)=1,IF(AND(YEAR(SepSun1+33)=CalendarYear,MONTH(SepSun1+33)=9),SepSun1+33,""),IF(AND(YEAR(SepSun1+40)=CalendarYear,MONTH(SepSun1+40)=9),SepSun1+40,""))</f>
        <v/>
      </c>
      <c r="H68" s="32" t="str">
        <f>IF(DAY(SepSun1)=1,IF(AND(YEAR(SepSun1+34)=CalendarYear,MONTH(SepSun1+34)=9),SepSun1+34,""),IF(AND(YEAR(SepSun1+41)=CalendarYear,MONTH(SepSun1+41)=9),SepSun1+41,""))</f>
        <v/>
      </c>
      <c r="I68" s="32" t="str">
        <f>IF(DAY(SepSun1)=1,IF(AND(YEAR(SepSun1+35)=CalendarYear,MONTH(SepSun1+35)=9),SepSun1+35,""),IF(AND(YEAR(SepSun1+42)=CalendarYear,MONTH(SepSun1+42)=9),SepSun1+42,""))</f>
        <v/>
      </c>
      <c r="J68" s="34"/>
      <c r="K68" s="32" t="str">
        <f>IF(DAY(OctSun1)=1,IF(AND(YEAR(OctSun1+29)=CalendarYear,MONTH(OctSun1+29)=10),OctSun1+29,""),IF(AND(YEAR(OctSun1+36)=CalendarYear,MONTH(OctSun1+36)=10),OctSun1+36,""))</f>
        <v/>
      </c>
      <c r="L68" s="32" t="str">
        <f>IF(DAY(OctSun1)=1,IF(AND(YEAR(OctSun1+30)=CalendarYear,MONTH(OctSun1+30)=10),OctSun1+30,""),IF(AND(YEAR(OctSun1+37)=CalendarYear,MONTH(OctSun1+37)=10),OctSun1+37,""))</f>
        <v/>
      </c>
      <c r="M68" s="32" t="str">
        <f>IF(DAY(OctSun1)=1,IF(AND(YEAR(OctSun1+31)=CalendarYear,MONTH(OctSun1+31)=10),OctSun1+31,""),IF(AND(YEAR(OctSun1+38)=CalendarYear,MONTH(OctSun1+38)=10),OctSun1+38,""))</f>
        <v/>
      </c>
      <c r="N68" s="32" t="str">
        <f>IF(DAY(OctSun1)=1,IF(AND(YEAR(OctSun1+32)=CalendarYear,MONTH(OctSun1+32)=10),OctSun1+32,""),IF(AND(YEAR(OctSun1+39)=CalendarYear,MONTH(OctSun1+39)=10),OctSun1+39,""))</f>
        <v/>
      </c>
      <c r="O68" s="32" t="str">
        <f>IF(DAY(OctSun1)=1,IF(AND(YEAR(OctSun1+33)=CalendarYear,MONTH(OctSun1+33)=10),OctSun1+33,""),IF(AND(YEAR(OctSun1+40)=CalendarYear,MONTH(OctSun1+40)=10),OctSun1+40,""))</f>
        <v/>
      </c>
      <c r="P68" s="32" t="str">
        <f>IF(DAY(OctSun1)=1,IF(AND(YEAR(OctSun1+34)=CalendarYear,MONTH(OctSun1+34)=10),OctSun1+34,""),IF(AND(YEAR(OctSun1+41)=CalendarYear,MONTH(OctSun1+41)=10),OctSun1+41,""))</f>
        <v/>
      </c>
      <c r="Q68" s="32" t="str">
        <f>IF(DAY(OctSun1)=1,IF(AND(YEAR(OctSun1+35)=CalendarYear,MONTH(OctSun1+35)=10),OctSun1+35,""),IF(AND(YEAR(OctSun1+42)=CalendarYear,MONTH(OctSun1+42)=10),OctSun1+42,""))</f>
        <v/>
      </c>
      <c r="T68" s="21"/>
      <c r="V68" s="27"/>
      <c r="W68" s="21"/>
      <c r="X68" s="21"/>
    </row>
    <row r="69" spans="3:24" ht="15" customHeight="1" x14ac:dyDescent="0.2">
      <c r="C69" s="2"/>
      <c r="D69" s="2"/>
      <c r="E69" s="2"/>
      <c r="F69" s="2"/>
      <c r="G69" s="2"/>
      <c r="H69" s="2"/>
      <c r="I69" s="2"/>
      <c r="T69" s="21"/>
      <c r="U69" s="26"/>
      <c r="V69" s="27"/>
      <c r="W69" s="21"/>
      <c r="X69" s="21"/>
    </row>
    <row r="70" spans="3:24" s="15" customFormat="1" ht="15" customHeight="1" x14ac:dyDescent="0.25">
      <c r="C70" s="52" t="s">
        <v>16</v>
      </c>
      <c r="D70" s="13"/>
      <c r="E70" s="13"/>
      <c r="F70" s="13"/>
      <c r="G70" s="13"/>
      <c r="H70" s="13"/>
      <c r="I70" s="50" t="s">
        <v>30</v>
      </c>
      <c r="K70" s="52" t="s">
        <v>17</v>
      </c>
      <c r="L70" s="13"/>
      <c r="M70" s="13"/>
      <c r="N70" s="13"/>
      <c r="O70" s="13"/>
      <c r="P70" s="50" t="s">
        <v>34</v>
      </c>
      <c r="Q70" s="50"/>
      <c r="S70" s="19"/>
      <c r="T70" s="22"/>
      <c r="U70" s="27"/>
      <c r="V70" s="28"/>
      <c r="W70" s="22"/>
      <c r="X70" s="22"/>
    </row>
    <row r="71" spans="3:24" ht="15" customHeight="1" x14ac:dyDescent="0.2">
      <c r="C71" s="6" t="s">
        <v>0</v>
      </c>
      <c r="D71" s="6" t="s">
        <v>1</v>
      </c>
      <c r="E71" s="6" t="s">
        <v>2</v>
      </c>
      <c r="F71" s="6" t="s">
        <v>3</v>
      </c>
      <c r="G71" s="6" t="s">
        <v>2</v>
      </c>
      <c r="H71" s="6" t="s">
        <v>4</v>
      </c>
      <c r="I71" s="6" t="s">
        <v>0</v>
      </c>
      <c r="J71" s="35"/>
      <c r="K71" s="6" t="s">
        <v>0</v>
      </c>
      <c r="L71" s="6" t="s">
        <v>1</v>
      </c>
      <c r="M71" s="6" t="s">
        <v>2</v>
      </c>
      <c r="N71" s="6" t="s">
        <v>3</v>
      </c>
      <c r="O71" s="6" t="s">
        <v>2</v>
      </c>
      <c r="P71" s="6" t="s">
        <v>4</v>
      </c>
      <c r="Q71" s="6" t="s">
        <v>0</v>
      </c>
      <c r="T71" s="21"/>
      <c r="U71" s="27"/>
      <c r="V71" s="27"/>
      <c r="W71" s="21"/>
      <c r="X71" s="21"/>
    </row>
    <row r="72" spans="3:24" ht="15" customHeight="1" x14ac:dyDescent="0.2">
      <c r="C72" s="32" t="str">
        <f>IF(DAY(NovSun1)=1,"",IF(AND(YEAR(NovSun1+1)=CalendarYear,MONTH(NovSun1+1)=11),NovSun1+1,""))</f>
        <v/>
      </c>
      <c r="D72" s="32" t="str">
        <f>IF(DAY(NovSun1)=1,"",IF(AND(YEAR(NovSun1+2)=CalendarYear,MONTH(NovSun1+2)=11),NovSun1+2,""))</f>
        <v/>
      </c>
      <c r="E72" s="32" t="str">
        <f>IF(DAY(NovSun1)=1,"",IF(AND(YEAR(NovSun1+3)=CalendarYear,MONTH(NovSun1+3)=11),NovSun1+3,""))</f>
        <v/>
      </c>
      <c r="F72" s="32" t="str">
        <f>IF(DAY(NovSun1)=1,"",IF(AND(YEAR(NovSun1+4)=CalendarYear,MONTH(NovSun1+4)=11),NovSun1+4,""))</f>
        <v/>
      </c>
      <c r="G72" s="32" t="str">
        <f>IF(DAY(NovSun1)=1,"",IF(AND(YEAR(NovSun1+5)=CalendarYear,MONTH(NovSun1+5)=11),NovSun1+5,""))</f>
        <v/>
      </c>
      <c r="H72" s="32">
        <f>IF(DAY(NovSun1)=1,"",IF(AND(YEAR(NovSun1+6)=CalendarYear,MONTH(NovSun1+6)=11),NovSun1+6,""))</f>
        <v>41579</v>
      </c>
      <c r="I72" s="32">
        <f>IF(DAY(NovSun1)=1,IF(AND(YEAR(NovSun1)=CalendarYear,MONTH(NovSun1)=11),NovSun1,""),IF(AND(YEAR(NovSun1+7)=CalendarYear,MONTH(NovSun1+7)=11),NovSun1+7,""))</f>
        <v>41580</v>
      </c>
      <c r="J72" s="34"/>
      <c r="K72" s="32">
        <f>IF(DAY(DecSun1)=1,"",IF(AND(YEAR(DecSun1+1)=CalendarYear,MONTH(DecSun1+1)=12),DecSun1+1,""))</f>
        <v>41609</v>
      </c>
      <c r="L72" s="32">
        <f>IF(DAY(DecSun1)=1,"",IF(AND(YEAR(DecSun1+2)=CalendarYear,MONTH(DecSun1+2)=12),DecSun1+2,""))</f>
        <v>41610</v>
      </c>
      <c r="M72" s="32">
        <f>IF(DAY(DecSun1)=1,"",IF(AND(YEAR(DecSun1+3)=CalendarYear,MONTH(DecSun1+3)=12),DecSun1+3,""))</f>
        <v>41611</v>
      </c>
      <c r="N72" s="32">
        <f>IF(DAY(DecSun1)=1,"",IF(AND(YEAR(DecSun1+4)=CalendarYear,MONTH(DecSun1+4)=12),DecSun1+4,""))</f>
        <v>41612</v>
      </c>
      <c r="O72" s="32">
        <f>IF(DAY(DecSun1)=1,"",IF(AND(YEAR(DecSun1+5)=CalendarYear,MONTH(DecSun1+5)=12),DecSun1+5,""))</f>
        <v>41613</v>
      </c>
      <c r="P72" s="32">
        <f>IF(DAY(DecSun1)=1,"",IF(AND(YEAR(DecSun1+6)=CalendarYear,MONTH(DecSun1+6)=12),DecSun1+6,""))</f>
        <v>41614</v>
      </c>
      <c r="Q72" s="32">
        <f>IF(DAY(DecSun1)=1,IF(AND(YEAR(DecSun1)=CalendarYear,MONTH(DecSun1)=12),DecSun1,""),IF(AND(YEAR(DecSun1+7)=CalendarYear,MONTH(DecSun1+7)=12),DecSun1+7,""))</f>
        <v>41615</v>
      </c>
      <c r="T72" s="21"/>
      <c r="U72" s="27"/>
      <c r="V72" s="27"/>
      <c r="W72" s="21"/>
      <c r="X72" s="21"/>
    </row>
    <row r="73" spans="3:24" ht="15" customHeight="1" x14ac:dyDescent="0.2">
      <c r="C73" s="32">
        <f>IF(DAY(NovSun1)=1,IF(AND(YEAR(NovSun1+1)=CalendarYear,MONTH(NovSun1+1)=11),NovSun1+1,""),IF(AND(YEAR(NovSun1+8)=CalendarYear,MONTH(NovSun1+8)=11),NovSun1+8,""))</f>
        <v>41581</v>
      </c>
      <c r="D73" s="32">
        <f>IF(DAY(NovSun1)=1,IF(AND(YEAR(NovSun1+2)=CalendarYear,MONTH(NovSun1+2)=11),NovSun1+2,""),IF(AND(YEAR(NovSun1+9)=CalendarYear,MONTH(NovSun1+9)=11),NovSun1+9,""))</f>
        <v>41582</v>
      </c>
      <c r="E73" s="32">
        <f>IF(DAY(NovSun1)=1,IF(AND(YEAR(NovSun1+3)=CalendarYear,MONTH(NovSun1+3)=11),NovSun1+3,""),IF(AND(YEAR(NovSun1+10)=CalendarYear,MONTH(NovSun1+10)=11),NovSun1+10,""))</f>
        <v>41583</v>
      </c>
      <c r="F73" s="65">
        <f>IF(DAY(NovSun1)=1,IF(AND(YEAR(NovSun1+4)=CalendarYear,MONTH(NovSun1+4)=11),NovSun1+4,""),IF(AND(YEAR(NovSun1+11)=CalendarYear,MONTH(NovSun1+11)=11),NovSun1+11,""))</f>
        <v>41584</v>
      </c>
      <c r="G73" s="65">
        <f>IF(DAY(NovSun1)=1,IF(AND(YEAR(NovSun1+5)=CalendarYear,MONTH(NovSun1+5)=11),NovSun1+5,""),IF(AND(YEAR(NovSun1+12)=CalendarYear,MONTH(NovSun1+12)=11),NovSun1+12,""))</f>
        <v>41585</v>
      </c>
      <c r="H73" s="32">
        <f>IF(DAY(NovSun1)=1,IF(AND(YEAR(NovSun1+6)=CalendarYear,MONTH(NovSun1+6)=11),NovSun1+6,""),IF(AND(YEAR(NovSun1+13)=CalendarYear,MONTH(NovSun1+13)=11),NovSun1+13,""))</f>
        <v>41586</v>
      </c>
      <c r="I73" s="32">
        <f>IF(DAY(NovSun1)=1,IF(AND(YEAR(NovSun1+7)=CalendarYear,MONTH(NovSun1+7)=11),NovSun1+7,""),IF(AND(YEAR(NovSun1+14)=CalendarYear,MONTH(NovSun1+14)=11),NovSun1+14,""))</f>
        <v>41587</v>
      </c>
      <c r="J73" s="34"/>
      <c r="K73" s="32">
        <f>IF(DAY(DecSun1)=1,IF(AND(YEAR(DecSun1+1)=CalendarYear,MONTH(DecSun1+1)=12),DecSun1+1,""),IF(AND(YEAR(DecSun1+8)=CalendarYear,MONTH(DecSun1+8)=12),DecSun1+8,""))</f>
        <v>41616</v>
      </c>
      <c r="L73" s="32">
        <f>IF(DAY(DecSun1)=1,IF(AND(YEAR(DecSun1+2)=CalendarYear,MONTH(DecSun1+2)=12),DecSun1+2,""),IF(AND(YEAR(DecSun1+9)=CalendarYear,MONTH(DecSun1+9)=12),DecSun1+9,""))</f>
        <v>41617</v>
      </c>
      <c r="M73" s="32">
        <f>IF(DAY(DecSun1)=1,IF(AND(YEAR(DecSun1+3)=CalendarYear,MONTH(DecSun1+3)=12),DecSun1+3,""),IF(AND(YEAR(DecSun1+10)=CalendarYear,MONTH(DecSun1+10)=12),DecSun1+10,""))</f>
        <v>41618</v>
      </c>
      <c r="N73" s="32">
        <f>IF(DAY(DecSun1)=1,IF(AND(YEAR(DecSun1+4)=CalendarYear,MONTH(DecSun1+4)=12),DecSun1+4,""),IF(AND(YEAR(DecSun1+11)=CalendarYear,MONTH(DecSun1+11)=12),DecSun1+11,""))</f>
        <v>41619</v>
      </c>
      <c r="O73" s="32">
        <f>IF(DAY(DecSun1)=1,IF(AND(YEAR(DecSun1+5)=CalendarYear,MONTH(DecSun1+5)=12),DecSun1+5,""),IF(AND(YEAR(DecSun1+12)=CalendarYear,MONTH(DecSun1+12)=12),DecSun1+12,""))</f>
        <v>41620</v>
      </c>
      <c r="P73" s="32">
        <f>IF(DAY(DecSun1)=1,IF(AND(YEAR(DecSun1+6)=CalendarYear,MONTH(DecSun1+6)=12),DecSun1+6,""),IF(AND(YEAR(DecSun1+13)=CalendarYear,MONTH(DecSun1+13)=12),DecSun1+13,""))</f>
        <v>41621</v>
      </c>
      <c r="Q73" s="32">
        <f>IF(DAY(DecSun1)=1,IF(AND(YEAR(DecSun1+7)=CalendarYear,MONTH(DecSun1+7)=12),DecSun1+7,""),IF(AND(YEAR(DecSun1+14)=CalendarYear,MONTH(DecSun1+14)=12),DecSun1+14,""))</f>
        <v>41622</v>
      </c>
      <c r="T73" s="21"/>
      <c r="U73" s="28"/>
      <c r="V73" s="29"/>
      <c r="W73" s="21"/>
      <c r="X73" s="21"/>
    </row>
    <row r="74" spans="3:24" ht="15" customHeight="1" x14ac:dyDescent="0.2">
      <c r="C74" s="32">
        <f>IF(DAY(NovSun1)=1,IF(AND(YEAR(NovSun1+8)=CalendarYear,MONTH(NovSun1+8)=11),NovSun1+8,""),IF(AND(YEAR(NovSun1+15)=CalendarYear,MONTH(NovSun1+15)=11),NovSun1+15,""))</f>
        <v>41588</v>
      </c>
      <c r="D74" s="32">
        <f>IF(DAY(NovSun1)=1,IF(AND(YEAR(NovSun1+9)=CalendarYear,MONTH(NovSun1+9)=11),NovSun1+9,""),IF(AND(YEAR(NovSun1+16)=CalendarYear,MONTH(NovSun1+16)=11),NovSun1+16,""))</f>
        <v>41589</v>
      </c>
      <c r="E74" s="32">
        <f>IF(DAY(NovSun1)=1,IF(AND(YEAR(NovSun1+10)=CalendarYear,MONTH(NovSun1+10)=11),NovSun1+10,""),IF(AND(YEAR(NovSun1+17)=CalendarYear,MONTH(NovSun1+17)=11),NovSun1+17,""))</f>
        <v>41590</v>
      </c>
      <c r="F74" s="32">
        <f>IF(DAY(NovSun1)=1,IF(AND(YEAR(NovSun1+11)=CalendarYear,MONTH(NovSun1+11)=11),NovSun1+11,""),IF(AND(YEAR(NovSun1+18)=CalendarYear,MONTH(NovSun1+18)=11),NovSun1+18,""))</f>
        <v>41591</v>
      </c>
      <c r="G74" s="32">
        <f>IF(DAY(NovSun1)=1,IF(AND(YEAR(NovSun1+12)=CalendarYear,MONTH(NovSun1+12)=11),NovSun1+12,""),IF(AND(YEAR(NovSun1+19)=CalendarYear,MONTH(NovSun1+19)=11),NovSun1+19,""))</f>
        <v>41592</v>
      </c>
      <c r="H74" s="32">
        <f>IF(DAY(NovSun1)=1,IF(AND(YEAR(NovSun1+13)=CalendarYear,MONTH(NovSun1+13)=11),NovSun1+13,""),IF(AND(YEAR(NovSun1+20)=CalendarYear,MONTH(NovSun1+20)=11),NovSun1+20,""))</f>
        <v>41593</v>
      </c>
      <c r="I74" s="32">
        <f>IF(DAY(NovSun1)=1,IF(AND(YEAR(NovSun1+14)=CalendarYear,MONTH(NovSun1+14)=11),NovSun1+14,""),IF(AND(YEAR(NovSun1+21)=CalendarYear,MONTH(NovSun1+21)=11),NovSun1+21,""))</f>
        <v>41594</v>
      </c>
      <c r="J74" s="34"/>
      <c r="K74" s="32">
        <f>IF(DAY(DecSun1)=1,IF(AND(YEAR(DecSun1+8)=CalendarYear,MONTH(DecSun1+8)=12),DecSun1+8,""),IF(AND(YEAR(DecSun1+15)=CalendarYear,MONTH(DecSun1+15)=12),DecSun1+15,""))</f>
        <v>41623</v>
      </c>
      <c r="L74" s="32">
        <f>IF(DAY(DecSun1)=1,IF(AND(YEAR(DecSun1+9)=CalendarYear,MONTH(DecSun1+9)=12),DecSun1+9,""),IF(AND(YEAR(DecSun1+16)=CalendarYear,MONTH(DecSun1+16)=12),DecSun1+16,""))</f>
        <v>41624</v>
      </c>
      <c r="M74" s="32">
        <f>IF(DAY(DecSun1)=1,IF(AND(YEAR(DecSun1+10)=CalendarYear,MONTH(DecSun1+10)=12),DecSun1+10,""),IF(AND(YEAR(DecSun1+17)=CalendarYear,MONTH(DecSun1+17)=12),DecSun1+17,""))</f>
        <v>41625</v>
      </c>
      <c r="N74" s="32">
        <f>IF(DAY(DecSun1)=1,IF(AND(YEAR(DecSun1+11)=CalendarYear,MONTH(DecSun1+11)=12),DecSun1+11,""),IF(AND(YEAR(DecSun1+18)=CalendarYear,MONTH(DecSun1+18)=12),DecSun1+18,""))</f>
        <v>41626</v>
      </c>
      <c r="O74" s="53">
        <f>IF(DAY(DecSun1)=1,IF(AND(YEAR(DecSun1+12)=CalendarYear,MONTH(DecSun1+12)=12),DecSun1+12,""),IF(AND(YEAR(DecSun1+19)=CalendarYear,MONTH(DecSun1+19)=12),DecSun1+19,""))</f>
        <v>41627</v>
      </c>
      <c r="P74" s="32">
        <f>IF(DAY(DecSun1)=1,IF(AND(YEAR(DecSun1+13)=CalendarYear,MONTH(DecSun1+13)=12),DecSun1+13,""),IF(AND(YEAR(DecSun1+20)=CalendarYear,MONTH(DecSun1+20)=12),DecSun1+20,""))</f>
        <v>41628</v>
      </c>
      <c r="Q74" s="32">
        <f>IF(DAY(DecSun1)=1,IF(AND(YEAR(DecSun1+14)=CalendarYear,MONTH(DecSun1+14)=12),DecSun1+14,""),IF(AND(YEAR(DecSun1+21)=CalendarYear,MONTH(DecSun1+21)=12),DecSun1+21,""))</f>
        <v>41629</v>
      </c>
      <c r="T74" s="21"/>
      <c r="U74" s="27"/>
      <c r="V74" s="29"/>
      <c r="W74" s="21"/>
      <c r="X74" s="21"/>
    </row>
    <row r="75" spans="3:24" ht="15" customHeight="1" x14ac:dyDescent="0.2">
      <c r="C75" s="32">
        <f>IF(DAY(NovSun1)=1,IF(AND(YEAR(NovSun1+15)=CalendarYear,MONTH(NovSun1+15)=11),NovSun1+15,""),IF(AND(YEAR(NovSun1+22)=CalendarYear,MONTH(NovSun1+22)=11),NovSun1+22,""))</f>
        <v>41595</v>
      </c>
      <c r="D75" s="32">
        <f>IF(DAY(NovSun1)=1,IF(AND(YEAR(NovSun1+16)=CalendarYear,MONTH(NovSun1+16)=11),NovSun1+16,""),IF(AND(YEAR(NovSun1+23)=CalendarYear,MONTH(NovSun1+23)=11),NovSun1+23,""))</f>
        <v>41596</v>
      </c>
      <c r="E75" s="65">
        <f>IF(DAY(NovSun1)=1,IF(AND(YEAR(NovSun1+17)=CalendarYear,MONTH(NovSun1+17)=11),NovSun1+17,""),IF(AND(YEAR(NovSun1+24)=CalendarYear,MONTH(NovSun1+24)=11),NovSun1+24,""))</f>
        <v>41597</v>
      </c>
      <c r="F75" s="32">
        <f>IF(DAY(NovSun1)=1,IF(AND(YEAR(NovSun1+18)=CalendarYear,MONTH(NovSun1+18)=11),NovSun1+18,""),IF(AND(YEAR(NovSun1+25)=CalendarYear,MONTH(NovSun1+25)=11),NovSun1+25,""))</f>
        <v>41598</v>
      </c>
      <c r="G75" s="53">
        <f>IF(DAY(NovSun1)=1,IF(AND(YEAR(NovSun1+19)=CalendarYear,MONTH(NovSun1+19)=11),NovSun1+19,""),IF(AND(YEAR(NovSun1+26)=CalendarYear,MONTH(NovSun1+26)=11),NovSun1+26,""))</f>
        <v>41599</v>
      </c>
      <c r="H75" s="32">
        <f>IF(DAY(NovSun1)=1,IF(AND(YEAR(NovSun1+20)=CalendarYear,MONTH(NovSun1+20)=11),NovSun1+20,""),IF(AND(YEAR(NovSun1+27)=CalendarYear,MONTH(NovSun1+27)=11),NovSun1+27,""))</f>
        <v>41600</v>
      </c>
      <c r="I75" s="32">
        <f>IF(DAY(NovSun1)=1,IF(AND(YEAR(NovSun1+21)=CalendarYear,MONTH(NovSun1+21)=11),NovSun1+21,""),IF(AND(YEAR(NovSun1+28)=CalendarYear,MONTH(NovSun1+28)=11),NovSun1+28,""))</f>
        <v>41601</v>
      </c>
      <c r="J75" s="34"/>
      <c r="K75" s="32">
        <f>IF(DAY(DecSun1)=1,IF(AND(YEAR(DecSun1+15)=CalendarYear,MONTH(DecSun1+15)=12),DecSun1+15,""),IF(AND(YEAR(DecSun1+22)=CalendarYear,MONTH(DecSun1+22)=12),DecSun1+22,""))</f>
        <v>41630</v>
      </c>
      <c r="L75" s="32">
        <f>IF(DAY(DecSun1)=1,IF(AND(YEAR(DecSun1+16)=CalendarYear,MONTH(DecSun1+16)=12),DecSun1+16,""),IF(AND(YEAR(DecSun1+23)=CalendarYear,MONTH(DecSun1+23)=12),DecSun1+23,""))</f>
        <v>41631</v>
      </c>
      <c r="M75" s="32">
        <f>IF(DAY(DecSun1)=1,IF(AND(YEAR(DecSun1+17)=CalendarYear,MONTH(DecSun1+17)=12),DecSun1+17,""),IF(AND(YEAR(DecSun1+24)=CalendarYear,MONTH(DecSun1+24)=12),DecSun1+24,""))</f>
        <v>41632</v>
      </c>
      <c r="N75" s="32">
        <f>IF(DAY(DecSun1)=1,IF(AND(YEAR(DecSun1+18)=CalendarYear,MONTH(DecSun1+18)=12),DecSun1+18,""),IF(AND(YEAR(DecSun1+25)=CalendarYear,MONTH(DecSun1+25)=12),DecSun1+25,""))</f>
        <v>41633</v>
      </c>
      <c r="O75" s="32">
        <f>IF(DAY(DecSun1)=1,IF(AND(YEAR(DecSun1+19)=CalendarYear,MONTH(DecSun1+19)=12),DecSun1+19,""),IF(AND(YEAR(DecSun1+26)=CalendarYear,MONTH(DecSun1+26)=12),DecSun1+26,""))</f>
        <v>41634</v>
      </c>
      <c r="P75" s="32">
        <f>IF(DAY(DecSun1)=1,IF(AND(YEAR(DecSun1+20)=CalendarYear,MONTH(DecSun1+20)=12),DecSun1+20,""),IF(AND(YEAR(DecSun1+27)=CalendarYear,MONTH(DecSun1+27)=12),DecSun1+27,""))</f>
        <v>41635</v>
      </c>
      <c r="Q75" s="32">
        <f>IF(DAY(DecSun1)=1,IF(AND(YEAR(DecSun1+21)=CalendarYear,MONTH(DecSun1+21)=12),DecSun1+21,""),IF(AND(YEAR(DecSun1+28)=CalendarYear,MONTH(DecSun1+28)=12),DecSun1+28,""))</f>
        <v>41636</v>
      </c>
      <c r="T75" s="21"/>
      <c r="U75" s="27"/>
      <c r="V75" s="29"/>
      <c r="W75" s="21"/>
      <c r="X75" s="21"/>
    </row>
    <row r="76" spans="3:24" ht="15" customHeight="1" x14ac:dyDescent="0.2">
      <c r="C76" s="32">
        <f>IF(DAY(NovSun1)=1,IF(AND(YEAR(NovSun1+22)=CalendarYear,MONTH(NovSun1+22)=11),NovSun1+22,""),IF(AND(YEAR(NovSun1+29)=CalendarYear,MONTH(NovSun1+29)=11),NovSun1+29,""))</f>
        <v>41602</v>
      </c>
      <c r="D76" s="32">
        <f>IF(DAY(NovSun1)=1,IF(AND(YEAR(NovSun1+23)=CalendarYear,MONTH(NovSun1+23)=11),NovSun1+23,""),IF(AND(YEAR(NovSun1+30)=CalendarYear,MONTH(NovSun1+30)=11),NovSun1+30,""))</f>
        <v>41603</v>
      </c>
      <c r="E76" s="32">
        <f>IF(DAY(NovSun1)=1,IF(AND(YEAR(NovSun1+24)=CalendarYear,MONTH(NovSun1+24)=11),NovSun1+24,""),IF(AND(YEAR(NovSun1+31)=CalendarYear,MONTH(NovSun1+31)=11),NovSun1+31,""))</f>
        <v>41604</v>
      </c>
      <c r="F76" s="32">
        <f>IF(DAY(NovSun1)=1,IF(AND(YEAR(NovSun1+25)=CalendarYear,MONTH(NovSun1+25)=11),NovSun1+25,""),IF(AND(YEAR(NovSun1+32)=CalendarYear,MONTH(NovSun1+32)=11),NovSun1+32,""))</f>
        <v>41605</v>
      </c>
      <c r="G76" s="32">
        <f>IF(DAY(NovSun1)=1,IF(AND(YEAR(NovSun1+26)=CalendarYear,MONTH(NovSun1+26)=11),NovSun1+26,""),IF(AND(YEAR(NovSun1+33)=CalendarYear,MONTH(NovSun1+33)=11),NovSun1+33,""))</f>
        <v>41606</v>
      </c>
      <c r="H76" s="32">
        <f>IF(DAY(NovSun1)=1,IF(AND(YEAR(NovSun1+27)=CalendarYear,MONTH(NovSun1+27)=11),NovSun1+27,""),IF(AND(YEAR(NovSun1+34)=CalendarYear,MONTH(NovSun1+34)=11),NovSun1+34,""))</f>
        <v>41607</v>
      </c>
      <c r="I76" s="32">
        <f>IF(DAY(NovSun1)=1,IF(AND(YEAR(NovSun1+28)=CalendarYear,MONTH(NovSun1+28)=11),NovSun1+28,""),IF(AND(YEAR(NovSun1+35)=CalendarYear,MONTH(NovSun1+35)=11),NovSun1+35,""))</f>
        <v>41608</v>
      </c>
      <c r="J76" s="34"/>
      <c r="K76" s="32">
        <f>IF(DAY(DecSun1)=1,IF(AND(YEAR(DecSun1+22)=CalendarYear,MONTH(DecSun1+22)=12),DecSun1+22,""),IF(AND(YEAR(DecSun1+29)=CalendarYear,MONTH(DecSun1+29)=12),DecSun1+29,""))</f>
        <v>41637</v>
      </c>
      <c r="L76" s="32">
        <f>IF(DAY(DecSun1)=1,IF(AND(YEAR(DecSun1+23)=CalendarYear,MONTH(DecSun1+23)=12),DecSun1+23,""),IF(AND(YEAR(DecSun1+30)=CalendarYear,MONTH(DecSun1+30)=12),DecSun1+30,""))</f>
        <v>41638</v>
      </c>
      <c r="M76" s="65">
        <f>IF(DAY(DecSun1)=1,IF(AND(YEAR(DecSun1+24)=CalendarYear,MONTH(DecSun1+24)=12),DecSun1+24,""),IF(AND(YEAR(DecSun1+31)=CalendarYear,MONTH(DecSun1+31)=12),DecSun1+31,""))</f>
        <v>41639</v>
      </c>
      <c r="N76" s="32" t="str">
        <f>IF(DAY(DecSun1)=1,IF(AND(YEAR(DecSun1+25)=CalendarYear,MONTH(DecSun1+25)=12),DecSun1+25,""),IF(AND(YEAR(DecSun1+32)=CalendarYear,MONTH(DecSun1+32)=12),DecSun1+32,""))</f>
        <v/>
      </c>
      <c r="O76" s="32" t="str">
        <f>IF(DAY(DecSun1)=1,IF(AND(YEAR(DecSun1+26)=CalendarYear,MONTH(DecSun1+26)=12),DecSun1+26,""),IF(AND(YEAR(DecSun1+33)=CalendarYear,MONTH(DecSun1+33)=12),DecSun1+33,""))</f>
        <v/>
      </c>
      <c r="P76" s="32" t="str">
        <f>IF(DAY(DecSun1)=1,IF(AND(YEAR(DecSun1+27)=CalendarYear,MONTH(DecSun1+27)=12),DecSun1+27,""),IF(AND(YEAR(DecSun1+34)=CalendarYear,MONTH(DecSun1+34)=12),DecSun1+34,""))</f>
        <v/>
      </c>
      <c r="Q76" s="32" t="str">
        <f>IF(DAY(DecSun1)=1,IF(AND(YEAR(DecSun1+28)=CalendarYear,MONTH(DecSun1+28)=12),DecSun1+28,""),IF(AND(YEAR(DecSun1+35)=CalendarYear,MONTH(DecSun1+35)=12),DecSun1+35,""))</f>
        <v/>
      </c>
      <c r="T76" s="21"/>
      <c r="U76" s="29"/>
      <c r="V76" s="29"/>
      <c r="W76" s="21"/>
      <c r="X76" s="21"/>
    </row>
    <row r="77" spans="3:24" ht="15" customHeight="1" x14ac:dyDescent="0.2">
      <c r="C77" s="32" t="str">
        <f>IF(DAY(NovSun1)=1,IF(AND(YEAR(NovSun1+29)=CalendarYear,MONTH(NovSun1+29)=11),NovSun1+29,""),IF(AND(YEAR(NovSun1+36)=CalendarYear,MONTH(NovSun1+36)=11),NovSun1+36,""))</f>
        <v/>
      </c>
      <c r="D77" s="32" t="str">
        <f>IF(DAY(NovSun1)=1,IF(AND(YEAR(NovSun1+30)=CalendarYear,MONTH(NovSun1+30)=11),NovSun1+30,""),IF(AND(YEAR(NovSun1+37)=CalendarYear,MONTH(NovSun1+37)=11),NovSun1+37,""))</f>
        <v/>
      </c>
      <c r="E77" s="32" t="str">
        <f>IF(DAY(NovSun1)=1,IF(AND(YEAR(NovSun1+31)=CalendarYear,MONTH(NovSun1+31)=11),NovSun1+31,""),IF(AND(YEAR(NovSun1+38)=CalendarYear,MONTH(NovSun1+38)=11),NovSun1+38,""))</f>
        <v/>
      </c>
      <c r="F77" s="32" t="str">
        <f>IF(DAY(NovSun1)=1,IF(AND(YEAR(NovSun1+32)=CalendarYear,MONTH(NovSun1+32)=11),NovSun1+32,""),IF(AND(YEAR(NovSun1+39)=CalendarYear,MONTH(NovSun1+39)=11),NovSun1+39,""))</f>
        <v/>
      </c>
      <c r="G77" s="32" t="str">
        <f>IF(DAY(NovSun1)=1,IF(AND(YEAR(NovSun1+33)=CalendarYear,MONTH(NovSun1+33)=11),NovSun1+33,""),IF(AND(YEAR(NovSun1+40)=CalendarYear,MONTH(NovSun1+40)=11),NovSun1+40,""))</f>
        <v/>
      </c>
      <c r="H77" s="32" t="str">
        <f>IF(DAY(NovSun1)=1,IF(AND(YEAR(NovSun1+34)=CalendarYear,MONTH(NovSun1+34)=11),NovSun1+34,""),IF(AND(YEAR(NovSun1+41)=CalendarYear,MONTH(NovSun1+41)=11),NovSun1+41,""))</f>
        <v/>
      </c>
      <c r="I77" s="32" t="str">
        <f>IF(DAY(NovSun1)=1,IF(AND(YEAR(NovSun1+35)=CalendarYear,MONTH(NovSun1+35)=11),NovSun1+35,""),IF(AND(YEAR(NovSun1+42)=CalendarYear,MONTH(NovSun1+42)=11),NovSun1+42,""))</f>
        <v/>
      </c>
      <c r="J77" s="34"/>
      <c r="K77" s="32" t="str">
        <f>IF(DAY(DecSun1)=1,IF(AND(YEAR(DecSun1+29)=CalendarYear,MONTH(DecSun1+29)=12),DecSun1+29,""),IF(AND(YEAR(DecSun1+36)=CalendarYear,MONTH(DecSun1+36)=12),DecSun1+36,""))</f>
        <v/>
      </c>
      <c r="L77" s="32" t="str">
        <f>IF(DAY(DecSun1)=1,IF(AND(YEAR(DecSun1+30)=CalendarYear,MONTH(DecSun1+30)=12),DecSun1+30,""),IF(AND(YEAR(DecSun1+37)=CalendarYear,MONTH(DecSun1+37)=12),DecSun1+37,""))</f>
        <v/>
      </c>
      <c r="M77" s="32" t="str">
        <f>IF(DAY(DecSun1)=1,IF(AND(YEAR(DecSun1+31)=CalendarYear,MONTH(DecSun1+31)=12),DecSun1+31,""),IF(AND(YEAR(DecSun1+38)=CalendarYear,MONTH(DecSun1+38)=12),DecSun1+38,""))</f>
        <v/>
      </c>
      <c r="N77" s="32" t="str">
        <f>IF(DAY(DecSun1)=1,IF(AND(YEAR(DecSun1+32)=CalendarYear,MONTH(DecSun1+32)=12),DecSun1+32,""),IF(AND(YEAR(DecSun1+39)=CalendarYear,MONTH(DecSun1+39)=12),DecSun1+39,""))</f>
        <v/>
      </c>
      <c r="O77" s="32" t="str">
        <f>IF(DAY(DecSun1)=1,IF(AND(YEAR(DecSun1+33)=CalendarYear,MONTH(DecSun1+33)=12),DecSun1+33,""),IF(AND(YEAR(DecSun1+40)=CalendarYear,MONTH(DecSun1+40)=12),DecSun1+40,""))</f>
        <v/>
      </c>
      <c r="P77" s="32" t="str">
        <f>IF(DAY(DecSun1)=1,IF(AND(YEAR(DecSun1+34)=CalendarYear,MONTH(DecSun1+34)=12),DecSun1+34,""),IF(AND(YEAR(DecSun1+41)=CalendarYear,MONTH(DecSun1+41)=12),DecSun1+41,""))</f>
        <v/>
      </c>
      <c r="Q77" s="32" t="str">
        <f>IF(DAY(DecSun1)=1,IF(AND(YEAR(DecSun1+35)=CalendarYear,MONTH(DecSun1+35)=12),DecSun1+35,""),IF(AND(YEAR(DecSun1+42)=CalendarYear,MONTH(DecSun1+42)=12),DecSun1+42,""))</f>
        <v/>
      </c>
      <c r="T77" s="21"/>
      <c r="U77" s="29"/>
      <c r="V77" s="29"/>
      <c r="W77" s="21"/>
      <c r="X77" s="21"/>
    </row>
    <row r="78" spans="3:24" ht="15" customHeight="1" x14ac:dyDescent="0.2">
      <c r="K78" s="2"/>
      <c r="L78" s="2"/>
      <c r="M78" s="2"/>
      <c r="N78" s="2"/>
      <c r="O78" s="2"/>
      <c r="P78" s="2"/>
      <c r="Q78" s="2"/>
      <c r="U78" s="29"/>
      <c r="V78" s="5"/>
    </row>
    <row r="79" spans="3:24" ht="15" customHeight="1" x14ac:dyDescent="0.2">
      <c r="U79" s="29"/>
      <c r="V79" s="5"/>
    </row>
    <row r="80" spans="3:24" ht="15" customHeight="1" x14ac:dyDescent="0.2">
      <c r="U80" s="29"/>
    </row>
    <row r="81" spans="21:21" ht="15" customHeight="1" x14ac:dyDescent="0.2">
      <c r="U81"/>
    </row>
    <row r="82" spans="21:21" ht="15" customHeight="1" x14ac:dyDescent="0.2">
      <c r="U82" s="5"/>
    </row>
    <row r="83" spans="21:21" ht="15" customHeight="1" x14ac:dyDescent="0.2"/>
    <row r="84" spans="21:21" ht="15" customHeight="1" x14ac:dyDescent="0.2"/>
    <row r="85" spans="21:21" ht="15" customHeight="1" x14ac:dyDescent="0.2"/>
    <row r="86" spans="21:21" ht="15" customHeight="1" x14ac:dyDescent="0.2"/>
    <row r="87" spans="21:21" ht="15" customHeight="1" x14ac:dyDescent="0.2"/>
    <row r="88" spans="21:21" ht="15" customHeight="1" x14ac:dyDescent="0.2"/>
    <row r="89" spans="21:21" ht="15" customHeight="1" x14ac:dyDescent="0.2"/>
    <row r="90" spans="21:21" ht="15" customHeight="1" x14ac:dyDescent="0.2"/>
    <row r="91" spans="21:21" ht="15" customHeight="1" x14ac:dyDescent="0.2"/>
  </sheetData>
  <sheetProtection selectLockedCells="1" selectUnlockedCells="1"/>
  <mergeCells count="1">
    <mergeCell ref="C1:F1"/>
  </mergeCells>
  <phoneticPr fontId="1" type="noConversion"/>
  <dataValidations count="1">
    <dataValidation allowBlank="1" showInputMessage="1" showErrorMessage="1" errorTitle="Invalid Year" error="Enter a year from 1900 to 9999, or use the scroll bar to find a year." sqref="C1:C3"/>
  </dataValidations>
  <printOptions horizontalCentered="1" verticalCentered="1"/>
  <pageMargins left="0.5" right="0.5" top="0.5" bottom="0.5" header="0.3" footer="0.3"/>
  <pageSetup scale="62" orientation="portrait" verticalDpi="4294967293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3" r:id="rId4" name="Spinner">
              <controlPr defaultSize="0" print="0" autoPict="0" altText="Use the spinner button to change calendar year or enter year in cell B1.">
                <anchor moveWithCells="1">
                  <from>
                    <xdr:col>1</xdr:col>
                    <xdr:colOff>114300</xdr:colOff>
                    <xdr:row>0</xdr:row>
                    <xdr:rowOff>38100</xdr:rowOff>
                  </from>
                  <to>
                    <xdr:col>1</xdr:col>
                    <xdr:colOff>266700</xdr:colOff>
                    <xdr:row>0</xdr:row>
                    <xdr:rowOff>342900</xdr:rowOff>
                  </to>
                </anchor>
              </controlPr>
            </control>
          </mc:Choice>
        </mc:AlternateContent>
      </controls>
    </mc:Choice>
  </mc:AlternateContent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C8BFFD9F-6A0C-42EC-9832-59014C8F6D2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Yearly Calendar</vt:lpstr>
      <vt:lpstr>CalendarYear</vt:lpstr>
      <vt:lpstr>'Yearly Calendar'!Print_Area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2012-01-13T16:08:09Z</dcterms:created>
  <dcterms:modified xsi:type="dcterms:W3CDTF">2013-03-28T17:45:42Z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TC025512569991</vt:lpwstr>
  </property>
</Properties>
</file>