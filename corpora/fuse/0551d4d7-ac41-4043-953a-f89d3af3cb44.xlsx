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8195" windowHeight="11820"/>
  </bookViews>
  <sheets>
    <sheet name="Texas Ratio (2)" sheetId="1" r:id="rId1"/>
  </sheets>
  <definedNames>
    <definedName name="AnnulzationFactor" localSheetId="0">#REF!</definedName>
    <definedName name="AnnulzationFactor">#REF!</definedName>
    <definedName name="AQ" localSheetId="0">#REF!</definedName>
    <definedName name="AQ">#REF!</definedName>
    <definedName name="AQ_Common" localSheetId="0">#REF!</definedName>
    <definedName name="AQ_Common">#REF!</definedName>
    <definedName name="Asset_Quality" localSheetId="0">#REF!</definedName>
    <definedName name="Asset_Quality">#REF!</definedName>
    <definedName name="Asset_Quality_2" localSheetId="0">#REF!</definedName>
    <definedName name="Asset_Quality_2">#REF!</definedName>
    <definedName name="Avg_Bal" localSheetId="0">#REF!</definedName>
    <definedName name="Avg_Bal">#REF!</definedName>
    <definedName name="BS" localSheetId="0">#REF!</definedName>
    <definedName name="BS">#REF!</definedName>
    <definedName name="BS_Ana" localSheetId="0">#REF!</definedName>
    <definedName name="BS_Ana">#REF!</definedName>
    <definedName name="Canary_Report" localSheetId="0">#REF!</definedName>
    <definedName name="Canary_Report">#REF!</definedName>
    <definedName name="Cap_Ade" localSheetId="0">#REF!</definedName>
    <definedName name="Cap_Ade">#REF!</definedName>
    <definedName name="CCR" localSheetId="0">#REF!</definedName>
    <definedName name="CCR">#REF!</definedName>
    <definedName name="ChargeOffs" localSheetId="0">#REF!</definedName>
    <definedName name="ChargeOffs">#REF!</definedName>
    <definedName name="Dep_Borr" localSheetId="0">#REF!</definedName>
    <definedName name="Dep_Borr">#REF!</definedName>
    <definedName name="Dep_Comp" localSheetId="0">#REF!</definedName>
    <definedName name="Dep_Comp">#REF!</definedName>
    <definedName name="DI" localSheetId="0">#REF!</definedName>
    <definedName name="DI">#REF!</definedName>
    <definedName name="Eq_Detail" localSheetId="0">#REF!</definedName>
    <definedName name="Eq_Detail">#REF!</definedName>
    <definedName name="FV" localSheetId="0">#REF!</definedName>
    <definedName name="FV">#REF!</definedName>
    <definedName name="HC" localSheetId="0">#REF!</definedName>
    <definedName name="HC">#REF!</definedName>
    <definedName name="HC_B" localSheetId="0">#REF!</definedName>
    <definedName name="HC_B">#REF!</definedName>
    <definedName name="HC_C" localSheetId="0">#REF!</definedName>
    <definedName name="HC_C">#REF!</definedName>
    <definedName name="HC_E" localSheetId="0">#REF!</definedName>
    <definedName name="HC_E">#REF!</definedName>
    <definedName name="HC_K" localSheetId="0">#REF!</definedName>
    <definedName name="HC_K">#REF!</definedName>
    <definedName name="HC_M" localSheetId="0">#REF!</definedName>
    <definedName name="HC_M">#REF!</definedName>
    <definedName name="HC_N" localSheetId="0">#REF!</definedName>
    <definedName name="HC_N">#REF!</definedName>
    <definedName name="HC_Q" localSheetId="0">#REF!</definedName>
    <definedName name="HC_Q">#REF!</definedName>
    <definedName name="HC_R" localSheetId="0">#REF!</definedName>
    <definedName name="HC_R">#REF!</definedName>
    <definedName name="HC_V" localSheetId="0">#REF!</definedName>
    <definedName name="HC_V">#REF!</definedName>
    <definedName name="HI" localSheetId="0">#REF!</definedName>
    <definedName name="HI">#REF!</definedName>
    <definedName name="HI_B" localSheetId="0">#REF!</definedName>
    <definedName name="HI_B">#REF!</definedName>
    <definedName name="Inc_St" localSheetId="0">#REF!</definedName>
    <definedName name="Inc_St">#REF!</definedName>
    <definedName name="IncExp_Detail" localSheetId="0">#REF!</definedName>
    <definedName name="IncExp_Detail">#REF!</definedName>
    <definedName name="Loan_and_Lease" localSheetId="0">#REF!</definedName>
    <definedName name="Loan_and_Lease">#REF!</definedName>
    <definedName name="Loan_Comp" localSheetId="0">#REF!</definedName>
    <definedName name="Loan_Comp">#REF!</definedName>
    <definedName name="Man_Rec" localSheetId="0">#REF!</definedName>
    <definedName name="Man_Rec">#REF!</definedName>
    <definedName name="NCL_Loans" localSheetId="0">#REF!</definedName>
    <definedName name="NCL_Loans">#REF!</definedName>
    <definedName name="NCO_AvgAssets" localSheetId="0">#REF!</definedName>
    <definedName name="NCO_AvgAssets">#REF!</definedName>
    <definedName name="NCOs" localSheetId="0">#REF!</definedName>
    <definedName name="NCOs">#REF!</definedName>
    <definedName name="NPA" localSheetId="0">#REF!</definedName>
    <definedName name="NPA">#REF!</definedName>
    <definedName name="PD" localSheetId="0">#REF!</definedName>
    <definedName name="PD">#REF!</definedName>
    <definedName name="Perf_Ana" localSheetId="0">#REF!</definedName>
    <definedName name="Perf_Ana">#REF!</definedName>
    <definedName name="_xlnm.Print_Area" localSheetId="0">'Texas Ratio (2)'!$B$3:$F$138</definedName>
    <definedName name="RB" localSheetId="0">#REF!</definedName>
    <definedName name="RB">#REF!</definedName>
    <definedName name="RC_B" localSheetId="0">#REF!</definedName>
    <definedName name="RC_B">#REF!</definedName>
    <definedName name="RC_C" localSheetId="0">#REF!</definedName>
    <definedName name="RC_C">#REF!</definedName>
    <definedName name="RC_E" localSheetId="0">#REF!</definedName>
    <definedName name="RC_E">#REF!</definedName>
    <definedName name="RC_K" localSheetId="0">#REF!</definedName>
    <definedName name="RC_K">#REF!</definedName>
    <definedName name="RC_M" localSheetId="0">#REF!</definedName>
    <definedName name="RC_M">#REF!</definedName>
    <definedName name="RC_N" localSheetId="0">#REF!</definedName>
    <definedName name="RC_N">#REF!</definedName>
    <definedName name="RC_Q" localSheetId="0">#REF!</definedName>
    <definedName name="RC_Q">#REF!</definedName>
    <definedName name="RC_R" localSheetId="0">#REF!</definedName>
    <definedName name="RC_R">#REF!</definedName>
    <definedName name="RC_V" localSheetId="0">#REF!</definedName>
    <definedName name="RC_V">#REF!</definedName>
    <definedName name="Recoveries" localSheetId="0">#REF!</definedName>
    <definedName name="Recoveries">#REF!</definedName>
    <definedName name="Res_MotBk" localSheetId="0">#REF!</definedName>
    <definedName name="Res_MotBk">#REF!</definedName>
    <definedName name="RI" localSheetId="0">#REF!</definedName>
    <definedName name="RI">#REF!</definedName>
    <definedName name="RI_B" localSheetId="0">#REF!</definedName>
    <definedName name="RI_B">#REF!</definedName>
    <definedName name="SB_FL" localSheetId="0">#REF!</definedName>
    <definedName name="SB_FL">#REF!</definedName>
    <definedName name="SC" localSheetId="0">#REF!</definedName>
    <definedName name="SC">#REF!</definedName>
    <definedName name="Sec" localSheetId="0">#REF!</definedName>
    <definedName name="Sec">#REF!</definedName>
    <definedName name="SI" localSheetId="0">#REF!</definedName>
    <definedName name="SI">#REF!</definedName>
    <definedName name="SI_HC" localSheetId="0">#REF!</definedName>
    <definedName name="SI_HC">#REF!</definedName>
    <definedName name="SI_VIE" localSheetId="0">#REF!</definedName>
    <definedName name="SI_VIE">#REF!</definedName>
    <definedName name="SO" localSheetId="0">#REF!</definedName>
    <definedName name="SO">#REF!</definedName>
    <definedName name="VA" localSheetId="0">#REF!</definedName>
    <definedName name="VA">#REF!</definedName>
    <definedName name="YC" localSheetId="0">#REF!</definedName>
    <definedName name="YC">#REF!</definedName>
    <definedName name="Yield_Cost" localSheetId="0">#REF!</definedName>
    <definedName name="Yield_Cost">#REF!</definedName>
    <definedName name="Yield_Cost_2" localSheetId="0">#REF!</definedName>
    <definedName name="Yield_Cost_2">#REF!</definedName>
  </definedNames>
  <calcPr calcId="145621"/>
</workbook>
</file>

<file path=xl/calcChain.xml><?xml version="1.0" encoding="utf-8"?>
<calcChain xmlns="http://schemas.openxmlformats.org/spreadsheetml/2006/main">
  <c r="D138" i="1" l="1"/>
  <c r="D127" i="1"/>
  <c r="E24" i="1" s="1"/>
  <c r="D24" i="1" s="1"/>
  <c r="D119" i="1"/>
  <c r="D95" i="1"/>
  <c r="D85" i="1"/>
  <c r="D77" i="1"/>
  <c r="D66" i="1"/>
  <c r="D130" i="1" s="1"/>
  <c r="E29" i="1"/>
  <c r="E23" i="1"/>
  <c r="D23" i="1" s="1"/>
  <c r="E22" i="1"/>
  <c r="D22" i="1" s="1"/>
  <c r="E19" i="1"/>
  <c r="D19" i="1" s="1"/>
  <c r="E18" i="1"/>
  <c r="E20" i="1" s="1"/>
  <c r="D20" i="1" s="1"/>
  <c r="E15" i="1"/>
  <c r="D15" i="1" s="1"/>
  <c r="E14" i="1"/>
  <c r="D14" i="1" s="1"/>
  <c r="E13" i="1"/>
  <c r="D13" i="1" s="1"/>
  <c r="E12" i="1"/>
  <c r="D12" i="1" s="1"/>
  <c r="E25" i="1" l="1"/>
  <c r="D25" i="1" s="1"/>
  <c r="E16" i="1"/>
  <c r="D18" i="1"/>
  <c r="E27" i="1" l="1"/>
  <c r="D31" i="1" s="1"/>
  <c r="D16" i="1"/>
  <c r="D37" i="1" l="1"/>
  <c r="D35" i="1"/>
  <c r="D36" i="1"/>
</calcChain>
</file>

<file path=xl/sharedStrings.xml><?xml version="1.0" encoding="utf-8"?>
<sst xmlns="http://schemas.openxmlformats.org/spreadsheetml/2006/main" count="117" uniqueCount="116">
  <si>
    <t>Company Name</t>
  </si>
  <si>
    <t>TIB-The Independent BankersBank</t>
  </si>
  <si>
    <t>City</t>
  </si>
  <si>
    <t>Irving</t>
  </si>
  <si>
    <t>State</t>
  </si>
  <si>
    <t>TX</t>
  </si>
  <si>
    <t>End of Period Date</t>
  </si>
  <si>
    <t>TEXAS RATIO SUMMARY</t>
  </si>
  <si>
    <t>Percentage</t>
  </si>
  <si>
    <t>Value</t>
  </si>
  <si>
    <t>Nonaccrual Loans (+)</t>
  </si>
  <si>
    <t>Restructured Loans (+)</t>
  </si>
  <si>
    <t>Nonaccrual Debt Secs and OA's (+)</t>
  </si>
  <si>
    <t>Adjustment for Govt Guaranteed Loans (-)</t>
  </si>
  <si>
    <t>Total Adjusted NonAccrual &amp; Restructured</t>
  </si>
  <si>
    <t>Other Real Estate Owned (+)</t>
  </si>
  <si>
    <t>Adjustment for FDIC Loss Share - OREO (-)</t>
  </si>
  <si>
    <t>Total Adjusted Other Real Estate Owned</t>
  </si>
  <si>
    <t>Loans &amp; Leases 90 Days PD (+)</t>
  </si>
  <si>
    <t>Debt Secs and Other Assets 90 Days PD (+)</t>
  </si>
  <si>
    <t>Adjustment for Govt Guaranteed 90 Days PD (-)</t>
  </si>
  <si>
    <t>Total Adjusted 90 Days Past Due</t>
  </si>
  <si>
    <t>Total Problem Assets</t>
  </si>
  <si>
    <t>Tangible Equity and ALLL</t>
  </si>
  <si>
    <t>TEXAS RATIO CALCULATION</t>
  </si>
  <si>
    <t>TIB TEXAS RATIO CALCULATIONS</t>
  </si>
  <si>
    <t>Ratio</t>
  </si>
  <si>
    <t>Texas Ratio (Less FDIC loss share and government guaranty) &lt; 75%</t>
  </si>
  <si>
    <t>Texas Ratio (Less FDIC loss share, restructured loans)</t>
  </si>
  <si>
    <t>Texas Ratio (Less FDIC, OREO)</t>
  </si>
  <si>
    <t>SNL TEXAS RATIO CALCULATIONS</t>
  </si>
  <si>
    <t>Texas Ratio (Less FDIC loss share and government guaranty)</t>
  </si>
  <si>
    <t>Texas Ratio (Tangible Common Equity)</t>
  </si>
  <si>
    <t>Texas Ratio (Tangible Equity)</t>
  </si>
  <si>
    <t>NAccr:1-4 Constructions Lns (RCONF176)</t>
  </si>
  <si>
    <t>NAccr:Oth Con, Dev, &amp; LndLns (RCONF177)</t>
  </si>
  <si>
    <t>NAccr:Farm Loans (RCON3495)</t>
  </si>
  <si>
    <t>NAccr:Rev 1-4 Fam (HE Lines) (RCON5400)</t>
  </si>
  <si>
    <t>NAccr:Cl-end Frst Lien 1-4 (RCONC229)</t>
  </si>
  <si>
    <t>NAccr:Cl-end Jr Lien 1-4 (RCONC230)</t>
  </si>
  <si>
    <t>NAccr:Multifamily Loans (RCON3501)</t>
  </si>
  <si>
    <t>NAccr:Lns Sec by Ownr-Occ RE (RCONF182)</t>
  </si>
  <si>
    <t>NAccr:Other Prop Loans (RCONF183)</t>
  </si>
  <si>
    <t>NAccr:Foreign RE Loans (RCFNB574)</t>
  </si>
  <si>
    <t>NAccr:Tot Lns Dep Inst/Accpt (RCONB836/RCFD5379+RCFD5382)</t>
  </si>
  <si>
    <t>NAccr:Agricultural Prod Loans (RCON1583/RCFD1583)</t>
  </si>
  <si>
    <t>NAccr:Total Comm &amp; Ind Lns (RCON1608/RCFD1253+RCFD1256)</t>
  </si>
  <si>
    <t>NAccr:Credit Card Loans (RCONB577/RCFDB577)</t>
  </si>
  <si>
    <t>NAccr:Automobile Lns (RCONK215/RCFDK215)</t>
  </si>
  <si>
    <t>NAccr:Oth Cons Lns (RCONK218/RCFDK218)</t>
  </si>
  <si>
    <t>NAccr:Foreign Govt Loans (RCON5391/RCFD5391)</t>
  </si>
  <si>
    <t>NAccr:All Other Loans (RCON5461)</t>
  </si>
  <si>
    <t>NAccr:Total Leases (RCON1228/RCFDF168+RCFDF171)</t>
  </si>
  <si>
    <t>Total Nonaccrual Loans</t>
  </si>
  <si>
    <t>CHECK Total Loans Nonaccrual ($000)</t>
  </si>
  <si>
    <r>
      <t xml:space="preserve">Memo: Restr Loans 1-4 Family (RCONF576) </t>
    </r>
    <r>
      <rPr>
        <i/>
        <sz val="10"/>
        <rFont val="Calibri"/>
        <family val="2"/>
      </rPr>
      <t>in compliance w/modified terms</t>
    </r>
  </si>
  <si>
    <t>Memo: Restr Constr Lns 1-4 Family (RCONK158)</t>
  </si>
  <si>
    <t>Memo Restr: Constr Loans Other (RCONK159)</t>
  </si>
  <si>
    <t>Memo Restr: Secured by Multifamily (RCONK160)</t>
  </si>
  <si>
    <t>Memo Restr: CRE Owner-Occ Lns (RCONK161)</t>
  </si>
  <si>
    <t>Memo Restr: CRE Other Prop Lns (RCONK162)</t>
  </si>
  <si>
    <t>Memo Restr: Comm &amp; Ind Loans (RCONK256)</t>
  </si>
  <si>
    <t>Memo Restr: Other Loans (RCONK165/RCFDK165)</t>
  </si>
  <si>
    <r>
      <t>Total Restructured Loans</t>
    </r>
    <r>
      <rPr>
        <b/>
        <i/>
        <sz val="10"/>
        <rFont val="Calibri"/>
        <family val="2"/>
      </rPr>
      <t xml:space="preserve"> in compliance w/modified terms</t>
    </r>
  </si>
  <si>
    <t>CHECK Memo Restr: Total Restructed Lns ($000)</t>
  </si>
  <si>
    <t>Total Nonaccr Secs and OA's (RCON3507)</t>
  </si>
  <si>
    <t>NAccr: Guaranteed Loans Less GNMA (RCONK041/RCFDK041)</t>
  </si>
  <si>
    <t>NAccr: Rebooked GNMA Loans (RCONK044/RCFDK044)</t>
  </si>
  <si>
    <t>NAccr: FDIC: Portion Lns Protect (RCONK104/RCFDK104)</t>
  </si>
  <si>
    <t>Total Nonaccrual Guaranteed Loans</t>
  </si>
  <si>
    <t>CHECK NAccr:Guaranteed Portion- Lns ($000)</t>
  </si>
  <si>
    <t>ORE:Const&amp;Land Dev-Dom Off (RCON5508)</t>
  </si>
  <si>
    <t>ORE:Farmland-Dom Off (RCON5509)</t>
  </si>
  <si>
    <t>ORE:1-4 Family Prop-Dom Off (RCON5510)</t>
  </si>
  <si>
    <t>ORE:Multifamily Res Prop-Dom (RCON5511)</t>
  </si>
  <si>
    <t>ORE:Nonfarm/NonRes-Dom Off (RCON5512)</t>
  </si>
  <si>
    <t>ORE: Foreclosed Prop-GNMA Lns (RCONC979)</t>
  </si>
  <si>
    <t>ORE:In Foreign Offices (RCFN5513)</t>
  </si>
  <si>
    <t>Total Other Real Estate</t>
  </si>
  <si>
    <t>CHECK Total Other Real Estate (RCON2150)</t>
  </si>
  <si>
    <t>FDIC Loss Share: OREO: Max Recovery (RCONK192/RCFDK192)</t>
  </si>
  <si>
    <t>90+PD:1-4 Constructions Lns (RCONF174)</t>
  </si>
  <si>
    <t>90+PD:Oth Con, Dev, &amp; LndLns (RCONF175)</t>
  </si>
  <si>
    <t>90+PD:Farm Loans (RCON3494)</t>
  </si>
  <si>
    <t>90+PD:Rev 1-4 Fam (HE Lines) (RCON5399)</t>
  </si>
  <si>
    <t>90+PD:Cl-end Frst Lien 1-4 (RCONC237)</t>
  </si>
  <si>
    <t>90+PD:Cl-end Jr Lien 1-4 (RCONC239)</t>
  </si>
  <si>
    <t>90+PD:Multifamily Loans (RCON3500)</t>
  </si>
  <si>
    <t>90+PD:Lns Sec by Ownr-Occ RE (RCONF180)</t>
  </si>
  <si>
    <t>90+PD:Other Prop Loans (RCONF181)</t>
  </si>
  <si>
    <t>90+PD:Foreign RE Loans (RCFNB573/RCFNB573)</t>
  </si>
  <si>
    <t>90+PD:Tot Lns Dep Inst/Accpt (RCONB835/RCFD5378+RCFD5381)</t>
  </si>
  <si>
    <t>90+PD:Agricultural Loans (RCON1597/RCFD1597)</t>
  </si>
  <si>
    <t>90+PD:Total Comm &amp; Ind Lns (RCON1607/RCFD1252+RCFD1255)</t>
  </si>
  <si>
    <t>90+PD:Credit Card Loans (RCONB576/RCFDB576)</t>
  </si>
  <si>
    <t>90+PD:Automobile Lns (RCONK214/RCFDK214)</t>
  </si>
  <si>
    <t>90+PD:Oth Cons Lns (RCONK217/RCFDK217)</t>
  </si>
  <si>
    <t>90+PD:Foreign Govt Loans (RCON5390/RCFD5390)</t>
  </si>
  <si>
    <t>90+PD:All Other Loans (RCON5460)</t>
  </si>
  <si>
    <t>90+PD:Total Leases (RCON1227/RCFDF167+RCFDF170)</t>
  </si>
  <si>
    <t>Total Loans &amp; Leases 90 Days PD</t>
  </si>
  <si>
    <t>CHECK Total Loans &amp; Leases 90dPD</t>
  </si>
  <si>
    <t>Total Secs and OA's 90 Days PD (RCON3506)</t>
  </si>
  <si>
    <t>90+PD: Guaranteed Loans Less GNMA (RCONK040/RCFDK040)</t>
  </si>
  <si>
    <t>90+PD: Rebooked GNMA Loans (RCONK043/RCFDK043)</t>
  </si>
  <si>
    <t>90+PD: FDIC: Portion Lns Protect (RCONK103/RCFDK103)</t>
  </si>
  <si>
    <t>Total 90+ PD: Guaranteed Portion of Loans</t>
  </si>
  <si>
    <t>CHECK 90+PD:Guaranteed Portion- Lns ($000)</t>
  </si>
  <si>
    <t>Total Adj Problem Assets</t>
  </si>
  <si>
    <t>CHECK Adj NPA +Adj Loans 90PD ($000)</t>
  </si>
  <si>
    <t>Plus: Bank Equity Capital (RCON3210)</t>
  </si>
  <si>
    <t>Less: Goodwill (RCON3163)</t>
  </si>
  <si>
    <t>Less: Other Intangible Assets (RCON0426)</t>
  </si>
  <si>
    <t>Plus: Intangible Assets:Mortgage Serv Rights (RCON3164)</t>
  </si>
  <si>
    <t>Plus: Total Reserves (RCON3123)</t>
  </si>
  <si>
    <t>Total Tangible Equity and ALLL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</si>
</sst>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0.0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b/>
      <sz val="10"/>
      <name val="Calibri"/>
      <family val="2"/>
    </font>
    <font>
      <b/>
      <u/>
      <sz val="10"/>
      <name val="Calibri"/>
      <family val="2"/>
    </font>
    <font>
      <sz val="8"/>
      <name val="Arial"/>
      <family val="2"/>
    </font>
    <font>
      <u/>
      <sz val="10"/>
      <name val="Calibri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8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1"/>
      <color indexed="63"/>
      <name val="Calibri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b/>
      <sz val="12"/>
      <color indexed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i/>
      <sz val="8"/>
      <color indexed="9"/>
      <name val="Arial"/>
      <family val="2"/>
    </font>
    <font>
      <b/>
      <sz val="8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94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2" applyNumberFormat="0" applyAlignment="0" applyProtection="0"/>
    <xf numFmtId="0" fontId="13" fillId="20" borderId="12" applyNumberFormat="0" applyAlignment="0" applyProtection="0"/>
    <xf numFmtId="0" fontId="13" fillId="20" borderId="12" applyNumberFormat="0" applyAlignment="0" applyProtection="0"/>
    <xf numFmtId="0" fontId="13" fillId="20" borderId="12" applyNumberFormat="0" applyAlignment="0" applyProtection="0"/>
    <xf numFmtId="0" fontId="13" fillId="20" borderId="12" applyNumberFormat="0" applyAlignment="0" applyProtection="0"/>
    <xf numFmtId="0" fontId="13" fillId="20" borderId="12" applyNumberFormat="0" applyAlignment="0" applyProtection="0"/>
    <xf numFmtId="0" fontId="13" fillId="20" borderId="12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 applyNumberFormat="0" applyFill="0" applyBorder="0" applyProtection="0">
      <alignment wrapText="1"/>
    </xf>
    <xf numFmtId="0" fontId="1" fillId="0" borderId="0" applyNumberFormat="0" applyFill="0" applyBorder="0" applyProtection="0">
      <alignment horizontal="justify" vertical="top" wrapText="1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7" borderId="12" applyNumberFormat="0" applyAlignment="0" applyProtection="0"/>
    <xf numFmtId="0" fontId="21" fillId="7" borderId="12" applyNumberFormat="0" applyAlignment="0" applyProtection="0"/>
    <xf numFmtId="0" fontId="21" fillId="7" borderId="12" applyNumberFormat="0" applyAlignment="0" applyProtection="0"/>
    <xf numFmtId="0" fontId="21" fillId="7" borderId="12" applyNumberFormat="0" applyAlignment="0" applyProtection="0"/>
    <xf numFmtId="0" fontId="21" fillId="7" borderId="12" applyNumberFormat="0" applyAlignment="0" applyProtection="0"/>
    <xf numFmtId="0" fontId="21" fillId="7" borderId="12" applyNumberFormat="0" applyAlignment="0" applyProtection="0"/>
    <xf numFmtId="0" fontId="21" fillId="7" borderId="12" applyNumberFormat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6" fillId="0" borderId="0"/>
    <xf numFmtId="0" fontId="1" fillId="0" borderId="0"/>
    <xf numFmtId="0" fontId="10" fillId="0" borderId="0"/>
    <xf numFmtId="0" fontId="1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0" fillId="0" borderId="0"/>
    <xf numFmtId="0" fontId="24" fillId="0" borderId="0"/>
    <xf numFmtId="0" fontId="24" fillId="0" borderId="0"/>
    <xf numFmtId="0" fontId="6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24" fillId="0" borderId="0"/>
    <xf numFmtId="0" fontId="1" fillId="0" borderId="0"/>
    <xf numFmtId="0" fontId="10" fillId="0" borderId="0"/>
    <xf numFmtId="0" fontId="2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/>
    <xf numFmtId="0" fontId="10" fillId="0" borderId="0"/>
    <xf numFmtId="0" fontId="1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23" borderId="18" applyNumberFormat="0" applyFont="0" applyAlignment="0" applyProtection="0"/>
    <xf numFmtId="0" fontId="24" fillId="23" borderId="18" applyNumberFormat="0" applyFont="0" applyAlignment="0" applyProtection="0"/>
    <xf numFmtId="0" fontId="24" fillId="23" borderId="18" applyNumberFormat="0" applyFont="0" applyAlignment="0" applyProtection="0"/>
    <xf numFmtId="0" fontId="24" fillId="23" borderId="18" applyNumberFormat="0" applyFont="0" applyAlignment="0" applyProtection="0"/>
    <xf numFmtId="0" fontId="24" fillId="23" borderId="18" applyNumberFormat="0" applyFont="0" applyAlignment="0" applyProtection="0"/>
    <xf numFmtId="0" fontId="24" fillId="23" borderId="18" applyNumberFormat="0" applyFont="0" applyAlignment="0" applyProtection="0"/>
    <xf numFmtId="0" fontId="24" fillId="23" borderId="18" applyNumberFormat="0" applyFont="0" applyAlignment="0" applyProtection="0"/>
    <xf numFmtId="0" fontId="28" fillId="20" borderId="19" applyNumberFormat="0" applyAlignment="0" applyProtection="0"/>
    <xf numFmtId="0" fontId="28" fillId="20" borderId="19" applyNumberFormat="0" applyAlignment="0" applyProtection="0"/>
    <xf numFmtId="0" fontId="28" fillId="20" borderId="19" applyNumberFormat="0" applyAlignment="0" applyProtection="0"/>
    <xf numFmtId="0" fontId="28" fillId="20" borderId="19" applyNumberFormat="0" applyAlignment="0" applyProtection="0"/>
    <xf numFmtId="0" fontId="28" fillId="20" borderId="19" applyNumberFormat="0" applyAlignment="0" applyProtection="0"/>
    <xf numFmtId="0" fontId="28" fillId="20" borderId="19" applyNumberFormat="0" applyAlignment="0" applyProtection="0"/>
    <xf numFmtId="0" fontId="28" fillId="20" borderId="19" applyNumberFormat="0" applyAlignment="0" applyProtection="0"/>
    <xf numFmtId="0" fontId="29" fillId="24" borderId="0" applyNumberFormat="0" applyBorder="0" applyAlignment="0" applyProtection="0"/>
    <xf numFmtId="0" fontId="30" fillId="0" borderId="0" applyNumberFormat="0" applyFill="0" applyBorder="0" applyAlignment="0" applyProtection="0"/>
    <xf numFmtId="0" fontId="31" fillId="24" borderId="0" applyNumberFormat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Protection="0">
      <alignment horizontal="center"/>
    </xf>
    <xf numFmtId="0" fontId="35" fillId="25" borderId="0" applyNumberFormat="0" applyBorder="0" applyAlignment="0" applyProtection="0"/>
    <xf numFmtId="0" fontId="1" fillId="0" borderId="0" applyNumberFormat="0" applyFont="0" applyFill="0" applyBorder="0" applyProtection="0">
      <alignment horizontal="right"/>
    </xf>
    <xf numFmtId="0" fontId="1" fillId="0" borderId="0" applyNumberFormat="0" applyFon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" fillId="26" borderId="0" applyNumberFormat="0" applyFont="0" applyBorder="0" applyAlignment="0" applyProtection="0"/>
    <xf numFmtId="165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0" applyNumberFormat="0" applyFon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3" applyFont="1" applyFill="1" applyBorder="1"/>
    <xf numFmtId="0" fontId="3" fillId="0" borderId="0" xfId="3" applyNumberFormat="1" applyFont="1" applyFill="1" applyBorder="1"/>
    <xf numFmtId="0" fontId="2" fillId="0" borderId="1" xfId="3" applyFont="1" applyFill="1" applyBorder="1"/>
    <xf numFmtId="0" fontId="3" fillId="0" borderId="2" xfId="3" applyNumberFormat="1" applyFont="1" applyFill="1" applyBorder="1"/>
    <xf numFmtId="0" fontId="2" fillId="0" borderId="2" xfId="3" applyFont="1" applyFill="1" applyBorder="1"/>
    <xf numFmtId="0" fontId="2" fillId="0" borderId="3" xfId="3" applyFont="1" applyFill="1" applyBorder="1"/>
    <xf numFmtId="0" fontId="2" fillId="0" borderId="4" xfId="3" applyFont="1" applyBorder="1"/>
    <xf numFmtId="0" fontId="4" fillId="0" borderId="0" xfId="3" applyFont="1" applyBorder="1"/>
    <xf numFmtId="0" fontId="4" fillId="0" borderId="0" xfId="3" applyFont="1" applyBorder="1" applyAlignment="1">
      <alignment horizontal="left"/>
    </xf>
    <xf numFmtId="0" fontId="2" fillId="0" borderId="0" xfId="3" applyFont="1" applyBorder="1" applyAlignment="1">
      <alignment horizontal="left"/>
    </xf>
    <xf numFmtId="0" fontId="2" fillId="0" borderId="5" xfId="3" applyFont="1" applyBorder="1"/>
    <xf numFmtId="0" fontId="2" fillId="0" borderId="0" xfId="3" applyFont="1"/>
    <xf numFmtId="3" fontId="4" fillId="0" borderId="0" xfId="3" applyNumberFormat="1" applyFont="1" applyBorder="1" applyAlignment="1">
      <alignment horizontal="left"/>
    </xf>
    <xf numFmtId="3" fontId="2" fillId="0" borderId="0" xfId="3" applyNumberFormat="1" applyFont="1" applyBorder="1" applyAlignment="1">
      <alignment horizontal="left"/>
    </xf>
    <xf numFmtId="14" fontId="4" fillId="0" borderId="0" xfId="3" applyNumberFormat="1" applyFont="1" applyBorder="1" applyAlignment="1">
      <alignment horizontal="left"/>
    </xf>
    <xf numFmtId="0" fontId="2" fillId="0" borderId="6" xfId="3" applyFont="1" applyBorder="1"/>
    <xf numFmtId="0" fontId="4" fillId="0" borderId="7" xfId="3" applyFont="1" applyBorder="1"/>
    <xf numFmtId="14" fontId="4" fillId="0" borderId="7" xfId="3" applyNumberFormat="1" applyFont="1" applyBorder="1" applyAlignment="1">
      <alignment horizontal="left"/>
    </xf>
    <xf numFmtId="3" fontId="2" fillId="0" borderId="7" xfId="3" applyNumberFormat="1" applyFont="1" applyBorder="1" applyAlignment="1">
      <alignment horizontal="left"/>
    </xf>
    <xf numFmtId="0" fontId="2" fillId="0" borderId="8" xfId="3" applyFont="1" applyBorder="1"/>
    <xf numFmtId="0" fontId="2" fillId="0" borderId="0" xfId="3" applyFont="1" applyBorder="1"/>
    <xf numFmtId="0" fontId="2" fillId="0" borderId="0" xfId="3" applyFont="1" applyBorder="1" applyAlignment="1">
      <alignment horizontal="right"/>
    </xf>
    <xf numFmtId="0" fontId="5" fillId="0" borderId="0" xfId="3" applyFont="1" applyBorder="1"/>
    <xf numFmtId="0" fontId="5" fillId="0" borderId="0" xfId="3" applyFont="1" applyBorder="1" applyAlignment="1">
      <alignment horizontal="left"/>
    </xf>
    <xf numFmtId="3" fontId="5" fillId="0" borderId="0" xfId="3" applyNumberFormat="1" applyFont="1" applyBorder="1" applyAlignment="1">
      <alignment horizontal="center"/>
    </xf>
    <xf numFmtId="0" fontId="2" fillId="0" borderId="0" xfId="3" applyFont="1" applyBorder="1" applyAlignment="1">
      <alignment horizontal="center"/>
    </xf>
    <xf numFmtId="10" fontId="2" fillId="0" borderId="0" xfId="2" applyNumberFormat="1" applyFont="1" applyBorder="1" applyAlignment="1">
      <alignment horizontal="center"/>
    </xf>
    <xf numFmtId="3" fontId="2" fillId="0" borderId="0" xfId="3" applyNumberFormat="1" applyFont="1" applyBorder="1" applyAlignment="1">
      <alignment horizontal="center"/>
    </xf>
    <xf numFmtId="3" fontId="2" fillId="0" borderId="5" xfId="3" applyNumberFormat="1" applyFont="1" applyBorder="1" applyAlignment="1">
      <alignment horizontal="right"/>
    </xf>
    <xf numFmtId="3" fontId="4" fillId="0" borderId="0" xfId="3" applyNumberFormat="1" applyFont="1"/>
    <xf numFmtId="3" fontId="7" fillId="0" borderId="0" xfId="3" applyNumberFormat="1" applyFont="1" applyBorder="1" applyAlignment="1">
      <alignment horizontal="center"/>
    </xf>
    <xf numFmtId="10" fontId="4" fillId="0" borderId="0" xfId="2" applyNumberFormat="1" applyFont="1" applyBorder="1" applyAlignment="1">
      <alignment horizontal="center"/>
    </xf>
    <xf numFmtId="3" fontId="4" fillId="0" borderId="0" xfId="3" applyNumberFormat="1" applyFont="1" applyBorder="1" applyAlignment="1">
      <alignment horizontal="center"/>
    </xf>
    <xf numFmtId="10" fontId="4" fillId="0" borderId="0" xfId="3" applyNumberFormat="1" applyFont="1"/>
    <xf numFmtId="10" fontId="2" fillId="0" borderId="0" xfId="3" applyNumberFormat="1" applyFont="1" applyBorder="1" applyAlignment="1">
      <alignment horizontal="center"/>
    </xf>
    <xf numFmtId="0" fontId="4" fillId="0" borderId="0" xfId="3" applyFont="1"/>
    <xf numFmtId="0" fontId="4" fillId="0" borderId="0" xfId="3" applyFont="1" applyBorder="1" applyAlignment="1">
      <alignment horizontal="center"/>
    </xf>
    <xf numFmtId="10" fontId="4" fillId="0" borderId="0" xfId="2" applyNumberFormat="1" applyFont="1" applyBorder="1"/>
    <xf numFmtId="10" fontId="4" fillId="0" borderId="7" xfId="2" applyNumberFormat="1" applyFont="1" applyBorder="1"/>
    <xf numFmtId="3" fontId="2" fillId="0" borderId="7" xfId="3" applyNumberFormat="1" applyFont="1" applyBorder="1" applyAlignment="1">
      <alignment horizontal="right"/>
    </xf>
    <xf numFmtId="3" fontId="2" fillId="0" borderId="0" xfId="3" applyNumberFormat="1" applyFont="1" applyBorder="1" applyAlignment="1">
      <alignment horizontal="right"/>
    </xf>
    <xf numFmtId="10" fontId="5" fillId="0" borderId="0" xfId="2" applyNumberFormat="1" applyFont="1" applyBorder="1" applyAlignment="1">
      <alignment horizontal="center"/>
    </xf>
    <xf numFmtId="10" fontId="5" fillId="0" borderId="7" xfId="2" applyNumberFormat="1" applyFont="1" applyBorder="1" applyAlignment="1">
      <alignment horizontal="right"/>
    </xf>
    <xf numFmtId="10" fontId="5" fillId="0" borderId="0" xfId="2" applyNumberFormat="1" applyFont="1" applyBorder="1" applyAlignment="1">
      <alignment horizontal="right"/>
    </xf>
    <xf numFmtId="2" fontId="4" fillId="0" borderId="0" xfId="2" applyNumberFormat="1" applyFont="1" applyBorder="1" applyAlignment="1">
      <alignment horizontal="center"/>
    </xf>
    <xf numFmtId="3" fontId="7" fillId="0" borderId="0" xfId="3" applyNumberFormat="1" applyFont="1" applyBorder="1" applyAlignment="1">
      <alignment horizontal="right"/>
    </xf>
    <xf numFmtId="0" fontId="2" fillId="0" borderId="9" xfId="3" applyFont="1" applyBorder="1"/>
    <xf numFmtId="0" fontId="4" fillId="0" borderId="10" xfId="3" applyFont="1" applyBorder="1"/>
    <xf numFmtId="2" fontId="4" fillId="0" borderId="10" xfId="2" applyNumberFormat="1" applyFont="1" applyBorder="1"/>
    <xf numFmtId="3" fontId="7" fillId="0" borderId="10" xfId="3" applyNumberFormat="1" applyFont="1" applyBorder="1" applyAlignment="1">
      <alignment horizontal="right"/>
    </xf>
    <xf numFmtId="0" fontId="2" fillId="0" borderId="11" xfId="3" applyFont="1" applyBorder="1"/>
    <xf numFmtId="2" fontId="4" fillId="0" borderId="0" xfId="2" applyNumberFormat="1" applyFont="1" applyBorder="1"/>
    <xf numFmtId="0" fontId="2" fillId="0" borderId="0" xfId="3" applyFont="1" applyFill="1"/>
    <xf numFmtId="0" fontId="2" fillId="0" borderId="0" xfId="3" applyFont="1" applyAlignment="1">
      <alignment horizontal="left"/>
    </xf>
    <xf numFmtId="3" fontId="4" fillId="0" borderId="0" xfId="3" applyNumberFormat="1" applyFont="1" applyBorder="1" applyAlignment="1">
      <alignment horizontal="right"/>
    </xf>
    <xf numFmtId="3" fontId="2" fillId="0" borderId="0" xfId="3" applyNumberFormat="1" applyFont="1" applyAlignment="1">
      <alignment horizontal="right"/>
    </xf>
    <xf numFmtId="3" fontId="4" fillId="0" borderId="0" xfId="3" applyNumberFormat="1" applyFont="1" applyAlignment="1">
      <alignment horizontal="right"/>
    </xf>
    <xf numFmtId="3" fontId="2" fillId="0" borderId="0" xfId="3" applyNumberFormat="1" applyFont="1"/>
    <xf numFmtId="3" fontId="4" fillId="0" borderId="0" xfId="3" applyNumberFormat="1" applyFont="1" applyBorder="1"/>
    <xf numFmtId="0" fontId="4" fillId="0" borderId="0" xfId="3" applyFont="1" applyFill="1"/>
    <xf numFmtId="0" fontId="1" fillId="0" borderId="0" xfId="3"/>
    <xf numFmtId="0" fontId="1" fillId="0" borderId="0" xfId="3" applyFont="1"/>
    <xf numFmtId="0" fontId="2" fillId="0" borderId="0" xfId="3" applyFont="1" applyFill="1" applyAlignment="1">
      <alignment wrapText="1"/>
    </xf>
    <xf numFmtId="0" fontId="4" fillId="0" borderId="0" xfId="3" applyFont="1" applyFill="1" applyAlignment="1">
      <alignment horizontal="left"/>
    </xf>
    <xf numFmtId="0" fontId="2" fillId="0" borderId="0" xfId="3" applyFont="1" applyAlignment="1">
      <alignment horizontal="right"/>
    </xf>
    <xf numFmtId="164" fontId="2" fillId="0" borderId="0" xfId="1" applyNumberFormat="1" applyFont="1" applyFill="1"/>
    <xf numFmtId="164" fontId="2" fillId="0" borderId="0" xfId="1" applyNumberFormat="1" applyFont="1" applyFill="1" applyAlignment="1">
      <alignment horizontal="right"/>
    </xf>
  </cellXfs>
  <cellStyles count="394">
    <cellStyle name="20% - Accent1 2" xfId="4"/>
    <cellStyle name="20% - Accent1 2 2" xfId="5"/>
    <cellStyle name="20% - Accent1 2 3" xfId="6"/>
    <cellStyle name="20% - Accent1 3" xfId="7"/>
    <cellStyle name="20% - Accent1 4" xfId="8"/>
    <cellStyle name="20% - Accent1 5" xfId="9"/>
    <cellStyle name="20% - Accent1 6" xfId="10"/>
    <cellStyle name="20% - Accent2 2" xfId="11"/>
    <cellStyle name="20% - Accent2 2 2" xfId="12"/>
    <cellStyle name="20% - Accent2 2 3" xfId="13"/>
    <cellStyle name="20% - Accent2 3" xfId="14"/>
    <cellStyle name="20% - Accent2 4" xfId="15"/>
    <cellStyle name="20% - Accent2 5" xfId="16"/>
    <cellStyle name="20% - Accent2 6" xfId="17"/>
    <cellStyle name="20% - Accent3 2" xfId="18"/>
    <cellStyle name="20% - Accent3 2 2" xfId="19"/>
    <cellStyle name="20% - Accent3 2 3" xfId="20"/>
    <cellStyle name="20% - Accent3 3" xfId="21"/>
    <cellStyle name="20% - Accent3 4" xfId="22"/>
    <cellStyle name="20% - Accent3 5" xfId="23"/>
    <cellStyle name="20% - Accent3 6" xfId="24"/>
    <cellStyle name="20% - Accent4 2" xfId="25"/>
    <cellStyle name="20% - Accent4 2 2" xfId="26"/>
    <cellStyle name="20% - Accent4 2 3" xfId="27"/>
    <cellStyle name="20% - Accent4 3" xfId="28"/>
    <cellStyle name="20% - Accent4 4" xfId="29"/>
    <cellStyle name="20% - Accent4 5" xfId="30"/>
    <cellStyle name="20% - Accent4 6" xfId="31"/>
    <cellStyle name="20% - Accent5 2" xfId="32"/>
    <cellStyle name="20% - Accent5 2 2" xfId="33"/>
    <cellStyle name="20% - Accent5 2 3" xfId="34"/>
    <cellStyle name="20% - Accent5 3" xfId="35"/>
    <cellStyle name="20% - Accent5 4" xfId="36"/>
    <cellStyle name="20% - Accent5 5" xfId="37"/>
    <cellStyle name="20% - Accent5 6" xfId="38"/>
    <cellStyle name="20% - Accent6 2" xfId="39"/>
    <cellStyle name="20% - Accent6 2 2" xfId="40"/>
    <cellStyle name="20% - Accent6 2 3" xfId="41"/>
    <cellStyle name="20% - Accent6 3" xfId="42"/>
    <cellStyle name="20% - Accent6 4" xfId="43"/>
    <cellStyle name="20% - Accent6 5" xfId="44"/>
    <cellStyle name="20% - Accent6 6" xfId="45"/>
    <cellStyle name="40% - Accent1 2" xfId="46"/>
    <cellStyle name="40% - Accent1 2 2" xfId="47"/>
    <cellStyle name="40% - Accent1 2 3" xfId="48"/>
    <cellStyle name="40% - Accent1 3" xfId="49"/>
    <cellStyle name="40% - Accent1 4" xfId="50"/>
    <cellStyle name="40% - Accent1 5" xfId="51"/>
    <cellStyle name="40% - Accent1 6" xfId="52"/>
    <cellStyle name="40% - Accent2 2" xfId="53"/>
    <cellStyle name="40% - Accent2 2 2" xfId="54"/>
    <cellStyle name="40% - Accent2 2 3" xfId="55"/>
    <cellStyle name="40% - Accent2 3" xfId="56"/>
    <cellStyle name="40% - Accent2 4" xfId="57"/>
    <cellStyle name="40% - Accent2 5" xfId="58"/>
    <cellStyle name="40% - Accent2 6" xfId="59"/>
    <cellStyle name="40% - Accent3 2" xfId="60"/>
    <cellStyle name="40% - Accent3 2 2" xfId="61"/>
    <cellStyle name="40% - Accent3 2 3" xfId="62"/>
    <cellStyle name="40% - Accent3 3" xfId="63"/>
    <cellStyle name="40% - Accent3 4" xfId="64"/>
    <cellStyle name="40% - Accent3 5" xfId="65"/>
    <cellStyle name="40% - Accent3 6" xfId="66"/>
    <cellStyle name="40% - Accent4 2" xfId="67"/>
    <cellStyle name="40% - Accent4 2 2" xfId="68"/>
    <cellStyle name="40% - Accent4 2 3" xfId="69"/>
    <cellStyle name="40% - Accent4 3" xfId="70"/>
    <cellStyle name="40% - Accent4 4" xfId="71"/>
    <cellStyle name="40% - Accent4 5" xfId="72"/>
    <cellStyle name="40% - Accent4 6" xfId="73"/>
    <cellStyle name="40% - Accent5 2" xfId="74"/>
    <cellStyle name="40% - Accent5 2 2" xfId="75"/>
    <cellStyle name="40% - Accent5 2 3" xfId="76"/>
    <cellStyle name="40% - Accent5 3" xfId="77"/>
    <cellStyle name="40% - Accent5 4" xfId="78"/>
    <cellStyle name="40% - Accent5 5" xfId="79"/>
    <cellStyle name="40% - Accent5 6" xfId="80"/>
    <cellStyle name="40% - Accent6 2" xfId="81"/>
    <cellStyle name="40% - Accent6 2 2" xfId="82"/>
    <cellStyle name="40% - Accent6 2 3" xfId="83"/>
    <cellStyle name="40% - Accent6 3" xfId="84"/>
    <cellStyle name="40% - Accent6 4" xfId="85"/>
    <cellStyle name="40% - Accent6 5" xfId="86"/>
    <cellStyle name="40% - Accent6 6" xfId="87"/>
    <cellStyle name="60% - Accent1 2" xfId="88"/>
    <cellStyle name="60% - Accent1 2 2" xfId="89"/>
    <cellStyle name="60% - Accent1 2 3" xfId="90"/>
    <cellStyle name="60% - Accent1 3" xfId="91"/>
    <cellStyle name="60% - Accent1 4" xfId="92"/>
    <cellStyle name="60% - Accent1 5" xfId="93"/>
    <cellStyle name="60% - Accent1 6" xfId="94"/>
    <cellStyle name="60% - Accent2 2" xfId="95"/>
    <cellStyle name="60% - Accent2 2 2" xfId="96"/>
    <cellStyle name="60% - Accent2 2 3" xfId="97"/>
    <cellStyle name="60% - Accent2 3" xfId="98"/>
    <cellStyle name="60% - Accent2 4" xfId="99"/>
    <cellStyle name="60% - Accent2 5" xfId="100"/>
    <cellStyle name="60% - Accent2 6" xfId="101"/>
    <cellStyle name="60% - Accent3 2" xfId="102"/>
    <cellStyle name="60% - Accent3 2 2" xfId="103"/>
    <cellStyle name="60% - Accent3 2 3" xfId="104"/>
    <cellStyle name="60% - Accent3 3" xfId="105"/>
    <cellStyle name="60% - Accent3 4" xfId="106"/>
    <cellStyle name="60% - Accent3 5" xfId="107"/>
    <cellStyle name="60% - Accent3 6" xfId="108"/>
    <cellStyle name="60% - Accent4 2" xfId="109"/>
    <cellStyle name="60% - Accent4 2 2" xfId="110"/>
    <cellStyle name="60% - Accent4 2 3" xfId="111"/>
    <cellStyle name="60% - Accent4 3" xfId="112"/>
    <cellStyle name="60% - Accent4 4" xfId="113"/>
    <cellStyle name="60% - Accent4 5" xfId="114"/>
    <cellStyle name="60% - Accent4 6" xfId="115"/>
    <cellStyle name="60% - Accent5 2" xfId="116"/>
    <cellStyle name="60% - Accent5 2 2" xfId="117"/>
    <cellStyle name="60% - Accent5 2 3" xfId="118"/>
    <cellStyle name="60% - Accent5 3" xfId="119"/>
    <cellStyle name="60% - Accent5 4" xfId="120"/>
    <cellStyle name="60% - Accent5 5" xfId="121"/>
    <cellStyle name="60% - Accent5 6" xfId="122"/>
    <cellStyle name="60% - Accent6 2" xfId="123"/>
    <cellStyle name="60% - Accent6 2 2" xfId="124"/>
    <cellStyle name="60% - Accent6 2 3" xfId="125"/>
    <cellStyle name="60% - Accent6 3" xfId="126"/>
    <cellStyle name="60% - Accent6 4" xfId="127"/>
    <cellStyle name="60% - Accent6 5" xfId="128"/>
    <cellStyle name="60% - Accent6 6" xfId="129"/>
    <cellStyle name="Accent1 2" xfId="130"/>
    <cellStyle name="Accent1 2 2" xfId="131"/>
    <cellStyle name="Accent1 2 3" xfId="132"/>
    <cellStyle name="Accent1 3" xfId="133"/>
    <cellStyle name="Accent1 4" xfId="134"/>
    <cellStyle name="Accent1 5" xfId="135"/>
    <cellStyle name="Accent1 6" xfId="136"/>
    <cellStyle name="Accent2 2" xfId="137"/>
    <cellStyle name="Accent2 2 2" xfId="138"/>
    <cellStyle name="Accent2 2 3" xfId="139"/>
    <cellStyle name="Accent2 3" xfId="140"/>
    <cellStyle name="Accent2 4" xfId="141"/>
    <cellStyle name="Accent2 5" xfId="142"/>
    <cellStyle name="Accent2 6" xfId="143"/>
    <cellStyle name="Accent3 2" xfId="144"/>
    <cellStyle name="Accent3 2 2" xfId="145"/>
    <cellStyle name="Accent3 2 3" xfId="146"/>
    <cellStyle name="Accent3 3" xfId="147"/>
    <cellStyle name="Accent3 4" xfId="148"/>
    <cellStyle name="Accent3 5" xfId="149"/>
    <cellStyle name="Accent3 6" xfId="150"/>
    <cellStyle name="Accent4 2" xfId="151"/>
    <cellStyle name="Accent4 2 2" xfId="152"/>
    <cellStyle name="Accent4 2 3" xfId="153"/>
    <cellStyle name="Accent4 3" xfId="154"/>
    <cellStyle name="Accent4 4" xfId="155"/>
    <cellStyle name="Accent4 5" xfId="156"/>
    <cellStyle name="Accent4 6" xfId="157"/>
    <cellStyle name="Accent5 2" xfId="158"/>
    <cellStyle name="Accent5 2 2" xfId="159"/>
    <cellStyle name="Accent5 2 3" xfId="160"/>
    <cellStyle name="Accent5 3" xfId="161"/>
    <cellStyle name="Accent5 4" xfId="162"/>
    <cellStyle name="Accent5 5" xfId="163"/>
    <cellStyle name="Accent5 6" xfId="164"/>
    <cellStyle name="Accent6 2" xfId="165"/>
    <cellStyle name="Accent6 2 2" xfId="166"/>
    <cellStyle name="Accent6 2 3" xfId="167"/>
    <cellStyle name="Accent6 3" xfId="168"/>
    <cellStyle name="Accent6 4" xfId="169"/>
    <cellStyle name="Accent6 5" xfId="170"/>
    <cellStyle name="Accent6 6" xfId="171"/>
    <cellStyle name="Bad 2" xfId="172"/>
    <cellStyle name="Bad 2 2" xfId="173"/>
    <cellStyle name="Bad 2 3" xfId="174"/>
    <cellStyle name="Bad 3" xfId="175"/>
    <cellStyle name="Bad 4" xfId="176"/>
    <cellStyle name="Bad 5" xfId="177"/>
    <cellStyle name="Bad 6" xfId="178"/>
    <cellStyle name="Calculation 2" xfId="179"/>
    <cellStyle name="Calculation 2 2" xfId="180"/>
    <cellStyle name="Calculation 2 3" xfId="181"/>
    <cellStyle name="Calculation 3" xfId="182"/>
    <cellStyle name="Calculation 4" xfId="183"/>
    <cellStyle name="Calculation 5" xfId="184"/>
    <cellStyle name="Calculation 6" xfId="185"/>
    <cellStyle name="Check Cell 2" xfId="186"/>
    <cellStyle name="Check Cell 2 2" xfId="187"/>
    <cellStyle name="Check Cell 2 3" xfId="188"/>
    <cellStyle name="Check Cell 3" xfId="189"/>
    <cellStyle name="Check Cell 4" xfId="190"/>
    <cellStyle name="Check Cell 5" xfId="191"/>
    <cellStyle name="Check Cell 6" xfId="192"/>
    <cellStyle name="Comma" xfId="1" builtinId="3"/>
    <cellStyle name="Explanatory Text 2" xfId="193"/>
    <cellStyle name="Explanatory Text 2 2" xfId="194"/>
    <cellStyle name="Explanatory Text 2 3" xfId="195"/>
    <cellStyle name="Explanatory Text 3" xfId="196"/>
    <cellStyle name="Explanatory Text 4" xfId="197"/>
    <cellStyle name="Explanatory Text 5" xfId="198"/>
    <cellStyle name="Explanatory Text 6" xfId="199"/>
    <cellStyle name="Good 2" xfId="200"/>
    <cellStyle name="Good 2 2" xfId="201"/>
    <cellStyle name="Good 2 3" xfId="202"/>
    <cellStyle name="Good 3" xfId="203"/>
    <cellStyle name="Good 4" xfId="204"/>
    <cellStyle name="Good 5" xfId="205"/>
    <cellStyle name="Good 6" xfId="206"/>
    <cellStyle name="Heading 1 2" xfId="207"/>
    <cellStyle name="Heading 1 2 2" xfId="208"/>
    <cellStyle name="Heading 1 2 3" xfId="209"/>
    <cellStyle name="Heading 1 3" xfId="210"/>
    <cellStyle name="Heading 1 4" xfId="211"/>
    <cellStyle name="Heading 1 5" xfId="212"/>
    <cellStyle name="Heading 1 6" xfId="213"/>
    <cellStyle name="Heading 2 2" xfId="214"/>
    <cellStyle name="Heading 2 2 2" xfId="215"/>
    <cellStyle name="Heading 2 2 3" xfId="216"/>
    <cellStyle name="Heading 2 3" xfId="217"/>
    <cellStyle name="Heading 2 4" xfId="218"/>
    <cellStyle name="Heading 2 5" xfId="219"/>
    <cellStyle name="Heading 2 6" xfId="220"/>
    <cellStyle name="Heading 3 2" xfId="221"/>
    <cellStyle name="Heading 3 2 2" xfId="222"/>
    <cellStyle name="Heading 3 2 3" xfId="223"/>
    <cellStyle name="Heading 3 3" xfId="224"/>
    <cellStyle name="Heading 3 4" xfId="225"/>
    <cellStyle name="Heading 3 5" xfId="226"/>
    <cellStyle name="Heading 3 6" xfId="227"/>
    <cellStyle name="Heading 4 2" xfId="228"/>
    <cellStyle name="Heading 4 2 2" xfId="229"/>
    <cellStyle name="Heading 4 2 3" xfId="230"/>
    <cellStyle name="Heading 4 3" xfId="231"/>
    <cellStyle name="Heading 4 4" xfId="232"/>
    <cellStyle name="Heading 4 5" xfId="233"/>
    <cellStyle name="Heading 4 6" xfId="234"/>
    <cellStyle name="HeadlineStyle" xfId="235"/>
    <cellStyle name="HeadlineStyleJustified" xfId="236"/>
    <cellStyle name="Hyperlink 2" xfId="237"/>
    <cellStyle name="Hyperlink 2 10" xfId="238"/>
    <cellStyle name="Hyperlink 2 11" xfId="239"/>
    <cellStyle name="Hyperlink 2 12" xfId="240"/>
    <cellStyle name="Hyperlink 2 13" xfId="241"/>
    <cellStyle name="Hyperlink 2 14" xfId="242"/>
    <cellStyle name="Hyperlink 2 15" xfId="243"/>
    <cellStyle name="Hyperlink 2 16" xfId="244"/>
    <cellStyle name="Hyperlink 2 2" xfId="245"/>
    <cellStyle name="Hyperlink 2 3" xfId="246"/>
    <cellStyle name="Hyperlink 2 4" xfId="247"/>
    <cellStyle name="Hyperlink 2 5" xfId="248"/>
    <cellStyle name="Hyperlink 2 6" xfId="249"/>
    <cellStyle name="Hyperlink 2 7" xfId="250"/>
    <cellStyle name="Hyperlink 2 8" xfId="251"/>
    <cellStyle name="Hyperlink 2 9" xfId="252"/>
    <cellStyle name="Hyperlink 2_BHC_Data" xfId="253"/>
    <cellStyle name="Input 2" xfId="254"/>
    <cellStyle name="Input 2 2" xfId="255"/>
    <cellStyle name="Input 2 3" xfId="256"/>
    <cellStyle name="Input 3" xfId="257"/>
    <cellStyle name="Input 4" xfId="258"/>
    <cellStyle name="Input 5" xfId="259"/>
    <cellStyle name="Input 6" xfId="260"/>
    <cellStyle name="Linked Cell 2" xfId="261"/>
    <cellStyle name="Linked Cell 2 2" xfId="262"/>
    <cellStyle name="Linked Cell 2 3" xfId="263"/>
    <cellStyle name="Linked Cell 3" xfId="264"/>
    <cellStyle name="Linked Cell 4" xfId="265"/>
    <cellStyle name="Linked Cell 5" xfId="266"/>
    <cellStyle name="Linked Cell 6" xfId="267"/>
    <cellStyle name="Neutral 2" xfId="268"/>
    <cellStyle name="Neutral 2 2" xfId="269"/>
    <cellStyle name="Neutral 2 3" xfId="270"/>
    <cellStyle name="Neutral 3" xfId="271"/>
    <cellStyle name="Neutral 4" xfId="272"/>
    <cellStyle name="Neutral 5" xfId="273"/>
    <cellStyle name="Neutral 6" xfId="274"/>
    <cellStyle name="Normal" xfId="0" builtinId="0"/>
    <cellStyle name="Normal 10" xfId="275"/>
    <cellStyle name="Normal 10 2" xfId="276"/>
    <cellStyle name="Normal 11" xfId="277"/>
    <cellStyle name="Normal 11 2" xfId="278"/>
    <cellStyle name="Normal 12" xfId="279"/>
    <cellStyle name="Normal 13" xfId="280"/>
    <cellStyle name="Normal 14" xfId="281"/>
    <cellStyle name="Normal 15" xfId="282"/>
    <cellStyle name="Normal 16" xfId="283"/>
    <cellStyle name="Normal 17" xfId="284"/>
    <cellStyle name="Normal 18" xfId="285"/>
    <cellStyle name="Normal 19" xfId="286"/>
    <cellStyle name="Normal 2" xfId="287"/>
    <cellStyle name="Normal 2 2" xfId="288"/>
    <cellStyle name="Normal 2 24" xfId="289"/>
    <cellStyle name="Normal 2 25" xfId="290"/>
    <cellStyle name="Normal 2 27" xfId="291"/>
    <cellStyle name="Normal 2 29" xfId="292"/>
    <cellStyle name="Normal 2 3" xfId="293"/>
    <cellStyle name="Normal 2 31" xfId="294"/>
    <cellStyle name="Normal 20" xfId="295"/>
    <cellStyle name="Normal 21" xfId="296"/>
    <cellStyle name="Normal 22" xfId="297"/>
    <cellStyle name="Normal 23" xfId="298"/>
    <cellStyle name="Normal 24" xfId="299"/>
    <cellStyle name="Normal 25 10" xfId="300"/>
    <cellStyle name="Normal 25 11" xfId="301"/>
    <cellStyle name="Normal 25 12" xfId="302"/>
    <cellStyle name="Normal 25 13" xfId="303"/>
    <cellStyle name="Normal 25 14" xfId="304"/>
    <cellStyle name="Normal 25 15" xfId="305"/>
    <cellStyle name="Normal 25 2" xfId="306"/>
    <cellStyle name="Normal 25 3" xfId="307"/>
    <cellStyle name="Normal 25 4" xfId="308"/>
    <cellStyle name="Normal 25 5" xfId="309"/>
    <cellStyle name="Normal 25 6" xfId="310"/>
    <cellStyle name="Normal 25 7" xfId="311"/>
    <cellStyle name="Normal 25 8" xfId="312"/>
    <cellStyle name="Normal 25 9" xfId="313"/>
    <cellStyle name="Normal 26" xfId="314"/>
    <cellStyle name="Normal 27" xfId="315"/>
    <cellStyle name="Normal 28" xfId="316"/>
    <cellStyle name="Normal 29" xfId="317"/>
    <cellStyle name="Normal 3" xfId="318"/>
    <cellStyle name="Normal 31" xfId="319"/>
    <cellStyle name="Normal 31 2" xfId="320"/>
    <cellStyle name="Normal 32" xfId="321"/>
    <cellStyle name="Normal 33" xfId="322"/>
    <cellStyle name="Normal 34" xfId="323"/>
    <cellStyle name="Normal 35" xfId="324"/>
    <cellStyle name="Normal 37" xfId="325"/>
    <cellStyle name="Normal 38" xfId="326"/>
    <cellStyle name="Normal 4" xfId="327"/>
    <cellStyle name="Normal 40" xfId="328"/>
    <cellStyle name="Normal 41" xfId="329"/>
    <cellStyle name="Normal 5" xfId="330"/>
    <cellStyle name="Normal 51" xfId="331"/>
    <cellStyle name="Normal 52" xfId="332"/>
    <cellStyle name="Normal 53" xfId="333"/>
    <cellStyle name="Normal 55" xfId="334"/>
    <cellStyle name="Normal 6" xfId="335"/>
    <cellStyle name="Normal 7" xfId="336"/>
    <cellStyle name="Normal 8" xfId="337"/>
    <cellStyle name="Normal 9" xfId="338"/>
    <cellStyle name="Normal_remodeledTIB TEAR SHEET 1Q2012" xfId="3"/>
    <cellStyle name="Note 2" xfId="339"/>
    <cellStyle name="Note 2 2" xfId="340"/>
    <cellStyle name="Note 2 3" xfId="341"/>
    <cellStyle name="Note 3" xfId="342"/>
    <cellStyle name="Note 4" xfId="343"/>
    <cellStyle name="Note 5" xfId="344"/>
    <cellStyle name="Note 6" xfId="345"/>
    <cellStyle name="Output 2" xfId="346"/>
    <cellStyle name="Output 2 2" xfId="347"/>
    <cellStyle name="Output 2 3" xfId="348"/>
    <cellStyle name="Output 3" xfId="349"/>
    <cellStyle name="Output 4" xfId="350"/>
    <cellStyle name="Output 5" xfId="351"/>
    <cellStyle name="Output 6" xfId="352"/>
    <cellStyle name="Percent" xfId="2" builtinId="5"/>
    <cellStyle name="Style 21" xfId="353"/>
    <cellStyle name="Style 22" xfId="354"/>
    <cellStyle name="Style 23" xfId="355"/>
    <cellStyle name="Style 24" xfId="356"/>
    <cellStyle name="Style 25" xfId="357"/>
    <cellStyle name="Style 26" xfId="358"/>
    <cellStyle name="Style 27" xfId="359"/>
    <cellStyle name="Style 28" xfId="360"/>
    <cellStyle name="Style 29" xfId="361"/>
    <cellStyle name="Style 30" xfId="362"/>
    <cellStyle name="Style 31" xfId="363"/>
    <cellStyle name="Style 32" xfId="364"/>
    <cellStyle name="Style 33" xfId="365"/>
    <cellStyle name="Style 34" xfId="366"/>
    <cellStyle name="Style 35" xfId="367"/>
    <cellStyle name="Style 36" xfId="368"/>
    <cellStyle name="Style 39" xfId="369"/>
    <cellStyle name="Title 2" xfId="370"/>
    <cellStyle name="Title 2 2" xfId="371"/>
    <cellStyle name="Title 2 3" xfId="372"/>
    <cellStyle name="Title 3" xfId="373"/>
    <cellStyle name="Title 3 2" xfId="374"/>
    <cellStyle name="Title 4" xfId="375"/>
    <cellStyle name="Title 4 2" xfId="376"/>
    <cellStyle name="Title 5" xfId="377"/>
    <cellStyle name="Title 6" xfId="378"/>
    <cellStyle name="Title 7" xfId="379"/>
    <cellStyle name="Total 2" xfId="380"/>
    <cellStyle name="Total 2 2" xfId="381"/>
    <cellStyle name="Total 2 3" xfId="382"/>
    <cellStyle name="Total 3" xfId="383"/>
    <cellStyle name="Total 4" xfId="384"/>
    <cellStyle name="Total 5" xfId="385"/>
    <cellStyle name="Total 6" xfId="386"/>
    <cellStyle name="Warning Text 2" xfId="387"/>
    <cellStyle name="Warning Text 2 2" xfId="388"/>
    <cellStyle name="Warning Text 2 3" xfId="389"/>
    <cellStyle name="Warning Text 3" xfId="390"/>
    <cellStyle name="Warning Text 4" xfId="391"/>
    <cellStyle name="Warning Text 5" xfId="392"/>
    <cellStyle name="Warning Text 6" xfId="39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7"/>
    <pageSetUpPr fitToPage="1"/>
  </sheetPr>
  <dimension ref="B2:G145"/>
  <sheetViews>
    <sheetView tabSelected="1" zoomScaleNormal="100" workbookViewId="0">
      <selection activeCell="G18" sqref="G18"/>
    </sheetView>
  </sheetViews>
  <sheetFormatPr defaultColWidth="9.140625" defaultRowHeight="12.75" outlineLevelRow="1" x14ac:dyDescent="0.2"/>
  <cols>
    <col min="1" max="1" width="8" style="12" bestFit="1" customWidth="1"/>
    <col min="2" max="2" width="4.42578125" style="12" customWidth="1"/>
    <col min="3" max="3" width="63" style="12" bestFit="1" customWidth="1"/>
    <col min="4" max="5" width="11.85546875" style="12" customWidth="1"/>
    <col min="6" max="6" width="5.28515625" style="12" customWidth="1"/>
    <col min="7" max="7" width="24.42578125" style="12" bestFit="1" customWidth="1"/>
    <col min="8" max="16384" width="9.140625" style="12"/>
  </cols>
  <sheetData>
    <row r="2" spans="2:7" s="1" customFormat="1" ht="13.5" thickBot="1" x14ac:dyDescent="0.25">
      <c r="C2" s="2"/>
    </row>
    <row r="3" spans="2:7" s="1" customFormat="1" x14ac:dyDescent="0.2">
      <c r="B3" s="3"/>
      <c r="C3" s="4"/>
      <c r="D3" s="5"/>
      <c r="E3" s="5"/>
      <c r="F3" s="6"/>
    </row>
    <row r="4" spans="2:7" x14ac:dyDescent="0.2">
      <c r="B4" s="7"/>
      <c r="C4" s="8" t="s">
        <v>0</v>
      </c>
      <c r="D4" s="9" t="s">
        <v>1</v>
      </c>
      <c r="E4" s="10"/>
      <c r="F4" s="11"/>
    </row>
    <row r="5" spans="2:7" x14ac:dyDescent="0.2">
      <c r="B5" s="7"/>
      <c r="C5" s="8" t="s">
        <v>2</v>
      </c>
      <c r="D5" s="13" t="s">
        <v>3</v>
      </c>
      <c r="E5" s="14"/>
      <c r="F5" s="11"/>
    </row>
    <row r="6" spans="2:7" x14ac:dyDescent="0.2">
      <c r="B6" s="7"/>
      <c r="C6" s="8" t="s">
        <v>4</v>
      </c>
      <c r="D6" s="13" t="s">
        <v>5</v>
      </c>
      <c r="E6" s="14"/>
      <c r="F6" s="11"/>
    </row>
    <row r="7" spans="2:7" x14ac:dyDescent="0.2">
      <c r="B7" s="7"/>
      <c r="C7" s="8" t="s">
        <v>6</v>
      </c>
      <c r="D7" s="15">
        <v>41090</v>
      </c>
      <c r="E7" s="14"/>
      <c r="F7" s="11"/>
    </row>
    <row r="8" spans="2:7" x14ac:dyDescent="0.2">
      <c r="B8" s="16"/>
      <c r="C8" s="17"/>
      <c r="D8" s="18"/>
      <c r="E8" s="19"/>
      <c r="F8" s="20"/>
    </row>
    <row r="9" spans="2:7" x14ac:dyDescent="0.2">
      <c r="B9" s="7"/>
      <c r="C9" s="21"/>
      <c r="D9" s="22"/>
      <c r="E9" s="22"/>
      <c r="F9" s="11"/>
    </row>
    <row r="10" spans="2:7" x14ac:dyDescent="0.2">
      <c r="B10" s="7"/>
      <c r="C10" s="23" t="s">
        <v>7</v>
      </c>
      <c r="D10" s="24" t="s">
        <v>8</v>
      </c>
      <c r="E10" s="25" t="s">
        <v>9</v>
      </c>
      <c r="F10" s="11"/>
    </row>
    <row r="11" spans="2:7" x14ac:dyDescent="0.2">
      <c r="B11" s="7"/>
      <c r="C11" s="21"/>
      <c r="D11" s="26"/>
      <c r="E11" s="26"/>
      <c r="F11" s="11"/>
    </row>
    <row r="12" spans="2:7" x14ac:dyDescent="0.2">
      <c r="B12" s="7"/>
      <c r="C12" s="21" t="s">
        <v>10</v>
      </c>
      <c r="D12" s="27">
        <f>E12/$E$29</f>
        <v>3.5388440847507301E-2</v>
      </c>
      <c r="E12" s="28">
        <f>D66</f>
        <v>7486</v>
      </c>
      <c r="F12" s="29"/>
      <c r="G12" s="30"/>
    </row>
    <row r="13" spans="2:7" x14ac:dyDescent="0.2">
      <c r="B13" s="7"/>
      <c r="C13" s="21" t="s">
        <v>11</v>
      </c>
      <c r="D13" s="27">
        <f>E13/$E$29</f>
        <v>1.6134217020109861E-2</v>
      </c>
      <c r="E13" s="28">
        <f>D77</f>
        <v>3413</v>
      </c>
      <c r="F13" s="29"/>
      <c r="G13" s="30"/>
    </row>
    <row r="14" spans="2:7" x14ac:dyDescent="0.2">
      <c r="B14" s="7"/>
      <c r="C14" s="21" t="s">
        <v>12</v>
      </c>
      <c r="D14" s="27">
        <f>E14/$E$29</f>
        <v>0</v>
      </c>
      <c r="E14" s="28">
        <f>+D80</f>
        <v>0</v>
      </c>
      <c r="F14" s="29"/>
      <c r="G14" s="30"/>
    </row>
    <row r="15" spans="2:7" x14ac:dyDescent="0.2">
      <c r="B15" s="7"/>
      <c r="C15" s="21" t="s">
        <v>13</v>
      </c>
      <c r="D15" s="27">
        <f>E15/$E$29</f>
        <v>2.2218230294320643E-4</v>
      </c>
      <c r="E15" s="31">
        <f>D85</f>
        <v>47</v>
      </c>
      <c r="F15" s="29"/>
      <c r="G15" s="30"/>
    </row>
    <row r="16" spans="2:7" x14ac:dyDescent="0.2">
      <c r="B16" s="7"/>
      <c r="C16" s="8" t="s">
        <v>14</v>
      </c>
      <c r="D16" s="32">
        <f>E16/$E$29</f>
        <v>5.1300475564673959E-2</v>
      </c>
      <c r="E16" s="33">
        <f>+E12+E13+E14-E15</f>
        <v>10852</v>
      </c>
      <c r="F16" s="29"/>
      <c r="G16" s="34"/>
    </row>
    <row r="17" spans="2:7" x14ac:dyDescent="0.2">
      <c r="B17" s="7"/>
      <c r="C17" s="21"/>
      <c r="D17" s="35"/>
      <c r="E17" s="28"/>
      <c r="F17" s="29"/>
      <c r="G17" s="30"/>
    </row>
    <row r="18" spans="2:7" x14ac:dyDescent="0.2">
      <c r="B18" s="7"/>
      <c r="C18" s="21" t="s">
        <v>15</v>
      </c>
      <c r="D18" s="27">
        <f>E18/$E$29</f>
        <v>9.0243833259272561E-3</v>
      </c>
      <c r="E18" s="28">
        <f>D95</f>
        <v>1909</v>
      </c>
      <c r="F18" s="29"/>
      <c r="G18" s="30"/>
    </row>
    <row r="19" spans="2:7" x14ac:dyDescent="0.2">
      <c r="B19" s="7"/>
      <c r="C19" s="21" t="s">
        <v>16</v>
      </c>
      <c r="D19" s="27">
        <f>E19/$E$29</f>
        <v>0</v>
      </c>
      <c r="E19" s="31">
        <f>D98</f>
        <v>0</v>
      </c>
      <c r="F19" s="29"/>
      <c r="G19" s="30"/>
    </row>
    <row r="20" spans="2:7" x14ac:dyDescent="0.2">
      <c r="B20" s="7"/>
      <c r="C20" s="8" t="s">
        <v>17</v>
      </c>
      <c r="D20" s="32">
        <f>E20/$E$29</f>
        <v>9.0243833259272561E-3</v>
      </c>
      <c r="E20" s="33">
        <f>+E18-E19</f>
        <v>1909</v>
      </c>
      <c r="F20" s="29"/>
      <c r="G20" s="34"/>
    </row>
    <row r="21" spans="2:7" x14ac:dyDescent="0.2">
      <c r="B21" s="7"/>
      <c r="C21" s="8"/>
      <c r="D21" s="26"/>
      <c r="E21" s="33"/>
      <c r="F21" s="29"/>
      <c r="G21" s="36"/>
    </row>
    <row r="22" spans="2:7" x14ac:dyDescent="0.2">
      <c r="B22" s="7"/>
      <c r="C22" s="21" t="s">
        <v>18</v>
      </c>
      <c r="D22" s="27">
        <f>E22/$E$29</f>
        <v>1.4701850258582382E-3</v>
      </c>
      <c r="E22" s="28">
        <f>D119</f>
        <v>311</v>
      </c>
      <c r="F22" s="29"/>
      <c r="G22" s="30"/>
    </row>
    <row r="23" spans="2:7" x14ac:dyDescent="0.2">
      <c r="B23" s="7"/>
      <c r="C23" s="21" t="s">
        <v>19</v>
      </c>
      <c r="D23" s="27">
        <f>E23/$E$29</f>
        <v>0</v>
      </c>
      <c r="E23" s="28">
        <f>D122</f>
        <v>0</v>
      </c>
      <c r="F23" s="29"/>
      <c r="G23" s="30"/>
    </row>
    <row r="24" spans="2:7" x14ac:dyDescent="0.2">
      <c r="B24" s="7"/>
      <c r="C24" s="21" t="s">
        <v>20</v>
      </c>
      <c r="D24" s="27">
        <f>E24/$E$29</f>
        <v>0</v>
      </c>
      <c r="E24" s="31">
        <f>D127</f>
        <v>0</v>
      </c>
      <c r="F24" s="29"/>
      <c r="G24" s="30"/>
    </row>
    <row r="25" spans="2:7" x14ac:dyDescent="0.2">
      <c r="B25" s="7"/>
      <c r="C25" s="8" t="s">
        <v>21</v>
      </c>
      <c r="D25" s="32">
        <f>E25/$E$29</f>
        <v>1.4701850258582382E-3</v>
      </c>
      <c r="E25" s="33">
        <f>+E22+E23-E24</f>
        <v>311</v>
      </c>
      <c r="F25" s="29"/>
      <c r="G25" s="34"/>
    </row>
    <row r="26" spans="2:7" x14ac:dyDescent="0.2">
      <c r="B26" s="7"/>
      <c r="C26" s="8"/>
      <c r="D26" s="26"/>
      <c r="E26" s="37"/>
      <c r="F26" s="29"/>
      <c r="G26" s="34"/>
    </row>
    <row r="27" spans="2:7" x14ac:dyDescent="0.2">
      <c r="B27" s="7"/>
      <c r="C27" s="8" t="s">
        <v>22</v>
      </c>
      <c r="D27" s="32"/>
      <c r="E27" s="33">
        <f>+E16+E20+E25</f>
        <v>13072</v>
      </c>
      <c r="F27" s="29"/>
      <c r="G27" s="36"/>
    </row>
    <row r="28" spans="2:7" x14ac:dyDescent="0.2">
      <c r="B28" s="7"/>
      <c r="C28" s="8"/>
      <c r="D28" s="26"/>
      <c r="E28" s="37"/>
      <c r="F28" s="29"/>
      <c r="G28" s="36"/>
    </row>
    <row r="29" spans="2:7" x14ac:dyDescent="0.2">
      <c r="B29" s="7"/>
      <c r="C29" s="8" t="s">
        <v>23</v>
      </c>
      <c r="D29" s="26"/>
      <c r="E29" s="33">
        <f>+D138</f>
        <v>211538</v>
      </c>
      <c r="F29" s="29"/>
      <c r="G29" s="30"/>
    </row>
    <row r="30" spans="2:7" x14ac:dyDescent="0.2">
      <c r="B30" s="7"/>
      <c r="C30" s="8"/>
      <c r="D30" s="26"/>
      <c r="E30" s="37"/>
      <c r="F30" s="29"/>
      <c r="G30" s="36"/>
    </row>
    <row r="31" spans="2:7" x14ac:dyDescent="0.2">
      <c r="B31" s="7"/>
      <c r="C31" s="8" t="s">
        <v>24</v>
      </c>
      <c r="D31" s="32">
        <f>E27/E29</f>
        <v>6.1795043916459451E-2</v>
      </c>
      <c r="E31" s="26"/>
      <c r="F31" s="29"/>
      <c r="G31" s="38"/>
    </row>
    <row r="32" spans="2:7" x14ac:dyDescent="0.2">
      <c r="B32" s="16"/>
      <c r="C32" s="17"/>
      <c r="D32" s="39"/>
      <c r="E32" s="40"/>
      <c r="F32" s="20"/>
    </row>
    <row r="33" spans="2:6" x14ac:dyDescent="0.2">
      <c r="B33" s="7"/>
      <c r="C33" s="8"/>
      <c r="D33" s="38"/>
      <c r="E33" s="41"/>
      <c r="F33" s="11"/>
    </row>
    <row r="34" spans="2:6" x14ac:dyDescent="0.2">
      <c r="B34" s="7"/>
      <c r="C34" s="8" t="s">
        <v>25</v>
      </c>
      <c r="D34" s="42" t="s">
        <v>26</v>
      </c>
      <c r="E34" s="25"/>
      <c r="F34" s="11"/>
    </row>
    <row r="35" spans="2:6" x14ac:dyDescent="0.2">
      <c r="B35" s="7"/>
      <c r="C35" s="8" t="s">
        <v>27</v>
      </c>
      <c r="D35" s="32">
        <f>D31</f>
        <v>6.1795043916459451E-2</v>
      </c>
      <c r="E35" s="13"/>
      <c r="F35" s="11"/>
    </row>
    <row r="36" spans="2:6" x14ac:dyDescent="0.2">
      <c r="B36" s="7"/>
      <c r="C36" s="8" t="s">
        <v>28</v>
      </c>
      <c r="D36" s="32">
        <f>D31-D13</f>
        <v>4.5660826896349593E-2</v>
      </c>
      <c r="E36" s="28"/>
      <c r="F36" s="11"/>
    </row>
    <row r="37" spans="2:6" x14ac:dyDescent="0.2">
      <c r="B37" s="7"/>
      <c r="C37" s="8" t="s">
        <v>29</v>
      </c>
      <c r="D37" s="32">
        <f>D31-D20</f>
        <v>5.2770660590532197E-2</v>
      </c>
      <c r="E37" s="28"/>
      <c r="F37" s="11"/>
    </row>
    <row r="38" spans="2:6" x14ac:dyDescent="0.2">
      <c r="B38" s="16"/>
      <c r="C38" s="17"/>
      <c r="D38" s="43"/>
      <c r="E38" s="40"/>
      <c r="F38" s="20"/>
    </row>
    <row r="39" spans="2:6" x14ac:dyDescent="0.2">
      <c r="B39" s="7"/>
      <c r="C39" s="8"/>
      <c r="D39" s="44"/>
      <c r="E39" s="41"/>
      <c r="F39" s="11"/>
    </row>
    <row r="40" spans="2:6" x14ac:dyDescent="0.2">
      <c r="B40" s="7"/>
      <c r="C40" s="8" t="s">
        <v>30</v>
      </c>
      <c r="D40" s="42" t="s">
        <v>26</v>
      </c>
      <c r="E40" s="41"/>
      <c r="F40" s="11"/>
    </row>
    <row r="41" spans="2:6" x14ac:dyDescent="0.2">
      <c r="B41" s="7"/>
      <c r="C41" s="8" t="s">
        <v>31</v>
      </c>
      <c r="D41" s="45">
        <v>6.18</v>
      </c>
      <c r="E41" s="46"/>
      <c r="F41" s="11"/>
    </row>
    <row r="42" spans="2:6" x14ac:dyDescent="0.2">
      <c r="B42" s="7"/>
      <c r="C42" s="8" t="s">
        <v>32</v>
      </c>
      <c r="D42" s="45">
        <v>6.2</v>
      </c>
      <c r="E42" s="41"/>
      <c r="F42" s="11"/>
    </row>
    <row r="43" spans="2:6" x14ac:dyDescent="0.2">
      <c r="B43" s="7"/>
      <c r="C43" s="8" t="s">
        <v>33</v>
      </c>
      <c r="D43" s="45">
        <v>6.2</v>
      </c>
      <c r="E43" s="41"/>
      <c r="F43" s="11"/>
    </row>
    <row r="44" spans="2:6" ht="13.5" thickBot="1" x14ac:dyDescent="0.25">
      <c r="B44" s="47"/>
      <c r="C44" s="48"/>
      <c r="D44" s="49"/>
      <c r="E44" s="50"/>
      <c r="F44" s="51"/>
    </row>
    <row r="45" spans="2:6" x14ac:dyDescent="0.2">
      <c r="B45" s="21"/>
      <c r="C45" s="8"/>
      <c r="D45" s="52"/>
      <c r="E45" s="46"/>
      <c r="F45" s="21"/>
    </row>
    <row r="46" spans="2:6" s="36" customFormat="1" x14ac:dyDescent="0.2">
      <c r="C46" s="53"/>
      <c r="D46" s="54"/>
      <c r="E46" s="55"/>
    </row>
    <row r="47" spans="2:6" outlineLevel="1" x14ac:dyDescent="0.2">
      <c r="C47" s="12" t="s">
        <v>34</v>
      </c>
      <c r="D47" s="56">
        <v>0</v>
      </c>
      <c r="E47" s="41"/>
    </row>
    <row r="48" spans="2:6" outlineLevel="1" x14ac:dyDescent="0.2">
      <c r="C48" s="12" t="s">
        <v>35</v>
      </c>
      <c r="D48" s="56">
        <v>0</v>
      </c>
      <c r="E48" s="41"/>
    </row>
    <row r="49" spans="3:5" outlineLevel="1" x14ac:dyDescent="0.2">
      <c r="C49" s="12" t="s">
        <v>36</v>
      </c>
      <c r="D49" s="56">
        <v>0</v>
      </c>
      <c r="E49" s="41"/>
    </row>
    <row r="50" spans="3:5" outlineLevel="1" x14ac:dyDescent="0.2">
      <c r="C50" s="12" t="s">
        <v>37</v>
      </c>
      <c r="D50" s="56">
        <v>0</v>
      </c>
      <c r="E50" s="41"/>
    </row>
    <row r="51" spans="3:5" outlineLevel="1" x14ac:dyDescent="0.2">
      <c r="C51" s="12" t="s">
        <v>38</v>
      </c>
      <c r="D51" s="56">
        <v>1183</v>
      </c>
      <c r="E51" s="41"/>
    </row>
    <row r="52" spans="3:5" outlineLevel="1" x14ac:dyDescent="0.2">
      <c r="C52" s="12" t="s">
        <v>39</v>
      </c>
      <c r="D52" s="56">
        <v>0</v>
      </c>
      <c r="E52" s="41"/>
    </row>
    <row r="53" spans="3:5" outlineLevel="1" x14ac:dyDescent="0.2">
      <c r="C53" s="12" t="s">
        <v>40</v>
      </c>
      <c r="D53" s="56">
        <v>0</v>
      </c>
      <c r="E53" s="41"/>
    </row>
    <row r="54" spans="3:5" outlineLevel="1" x14ac:dyDescent="0.2">
      <c r="C54" s="12" t="s">
        <v>41</v>
      </c>
      <c r="D54" s="56">
        <v>2110</v>
      </c>
      <c r="E54" s="41"/>
    </row>
    <row r="55" spans="3:5" outlineLevel="1" x14ac:dyDescent="0.2">
      <c r="C55" s="12" t="s">
        <v>42</v>
      </c>
      <c r="D55" s="56">
        <v>4044</v>
      </c>
      <c r="E55" s="41"/>
    </row>
    <row r="56" spans="3:5" outlineLevel="1" x14ac:dyDescent="0.2">
      <c r="C56" s="12" t="s">
        <v>43</v>
      </c>
      <c r="D56" s="56">
        <v>0</v>
      </c>
      <c r="E56" s="41"/>
    </row>
    <row r="57" spans="3:5" outlineLevel="1" x14ac:dyDescent="0.2">
      <c r="C57" s="12" t="s">
        <v>44</v>
      </c>
      <c r="D57" s="56">
        <v>0</v>
      </c>
      <c r="E57" s="41"/>
    </row>
    <row r="58" spans="3:5" outlineLevel="1" x14ac:dyDescent="0.2">
      <c r="C58" s="12" t="s">
        <v>45</v>
      </c>
      <c r="D58" s="56">
        <v>0</v>
      </c>
      <c r="E58" s="41"/>
    </row>
    <row r="59" spans="3:5" outlineLevel="1" x14ac:dyDescent="0.2">
      <c r="C59" s="12" t="s">
        <v>46</v>
      </c>
      <c r="D59" s="56">
        <v>0</v>
      </c>
      <c r="E59" s="41"/>
    </row>
    <row r="60" spans="3:5" outlineLevel="1" x14ac:dyDescent="0.2">
      <c r="C60" s="12" t="s">
        <v>47</v>
      </c>
      <c r="D60" s="56">
        <v>0</v>
      </c>
      <c r="E60" s="41"/>
    </row>
    <row r="61" spans="3:5" outlineLevel="1" x14ac:dyDescent="0.2">
      <c r="C61" s="12" t="s">
        <v>48</v>
      </c>
      <c r="D61" s="56">
        <v>0</v>
      </c>
      <c r="E61" s="41"/>
    </row>
    <row r="62" spans="3:5" outlineLevel="1" x14ac:dyDescent="0.2">
      <c r="C62" s="12" t="s">
        <v>49</v>
      </c>
      <c r="D62" s="56">
        <v>0</v>
      </c>
      <c r="E62" s="41"/>
    </row>
    <row r="63" spans="3:5" outlineLevel="1" x14ac:dyDescent="0.2">
      <c r="C63" s="12" t="s">
        <v>50</v>
      </c>
      <c r="D63" s="56">
        <v>0</v>
      </c>
      <c r="E63" s="41"/>
    </row>
    <row r="64" spans="3:5" outlineLevel="1" x14ac:dyDescent="0.2">
      <c r="C64" s="12" t="s">
        <v>51</v>
      </c>
      <c r="D64" s="56">
        <v>149</v>
      </c>
      <c r="E64" s="41"/>
    </row>
    <row r="65" spans="3:6" outlineLevel="1" x14ac:dyDescent="0.2">
      <c r="C65" s="12" t="s">
        <v>52</v>
      </c>
      <c r="D65" s="56">
        <v>0</v>
      </c>
      <c r="E65" s="41"/>
    </row>
    <row r="66" spans="3:6" x14ac:dyDescent="0.2">
      <c r="C66" s="36" t="s">
        <v>53</v>
      </c>
      <c r="D66" s="57">
        <f>SUM(D47:D65)</f>
        <v>7486</v>
      </c>
      <c r="E66" s="46"/>
      <c r="F66" s="58"/>
    </row>
    <row r="67" spans="3:6" s="36" customFormat="1" x14ac:dyDescent="0.2">
      <c r="C67" s="36" t="s">
        <v>54</v>
      </c>
      <c r="D67" s="57">
        <v>7486</v>
      </c>
      <c r="E67" s="55"/>
    </row>
    <row r="68" spans="3:6" x14ac:dyDescent="0.2">
      <c r="D68" s="56"/>
      <c r="E68" s="41"/>
    </row>
    <row r="69" spans="3:6" outlineLevel="1" x14ac:dyDescent="0.2">
      <c r="C69" s="12" t="s">
        <v>55</v>
      </c>
      <c r="D69" s="56">
        <v>177</v>
      </c>
      <c r="E69" s="41"/>
    </row>
    <row r="70" spans="3:6" outlineLevel="1" x14ac:dyDescent="0.2">
      <c r="C70" s="12" t="s">
        <v>56</v>
      </c>
      <c r="D70" s="56">
        <v>0</v>
      </c>
      <c r="E70" s="41"/>
    </row>
    <row r="71" spans="3:6" outlineLevel="1" x14ac:dyDescent="0.2">
      <c r="C71" s="12" t="s">
        <v>57</v>
      </c>
      <c r="D71" s="56">
        <v>0</v>
      </c>
      <c r="E71" s="41"/>
    </row>
    <row r="72" spans="3:6" outlineLevel="1" x14ac:dyDescent="0.2">
      <c r="C72" s="12" t="s">
        <v>58</v>
      </c>
      <c r="D72" s="56">
        <v>0</v>
      </c>
      <c r="E72" s="46"/>
    </row>
    <row r="73" spans="3:6" s="36" customFormat="1" outlineLevel="1" x14ac:dyDescent="0.2">
      <c r="C73" s="12" t="s">
        <v>59</v>
      </c>
      <c r="D73" s="56">
        <v>3236</v>
      </c>
      <c r="E73" s="59"/>
    </row>
    <row r="74" spans="3:6" outlineLevel="1" x14ac:dyDescent="0.2">
      <c r="C74" s="12" t="s">
        <v>60</v>
      </c>
      <c r="D74" s="56">
        <v>0</v>
      </c>
      <c r="E74" s="41"/>
    </row>
    <row r="75" spans="3:6" outlineLevel="1" x14ac:dyDescent="0.2">
      <c r="C75" s="12" t="s">
        <v>61</v>
      </c>
      <c r="D75" s="56">
        <v>0</v>
      </c>
      <c r="E75" s="59"/>
    </row>
    <row r="76" spans="3:6" outlineLevel="1" x14ac:dyDescent="0.2">
      <c r="C76" s="53" t="s">
        <v>62</v>
      </c>
      <c r="D76" s="56">
        <v>0</v>
      </c>
      <c r="E76" s="59"/>
    </row>
    <row r="77" spans="3:6" x14ac:dyDescent="0.2">
      <c r="C77" s="60" t="s">
        <v>63</v>
      </c>
      <c r="D77" s="30">
        <f>SUM(D69:D76)</f>
        <v>3413</v>
      </c>
      <c r="E77" s="59"/>
    </row>
    <row r="78" spans="3:6" x14ac:dyDescent="0.2">
      <c r="C78" s="60" t="s">
        <v>64</v>
      </c>
      <c r="D78" s="30">
        <v>3413</v>
      </c>
      <c r="E78" s="61"/>
    </row>
    <row r="79" spans="3:6" x14ac:dyDescent="0.2">
      <c r="D79" s="56"/>
      <c r="E79" s="61"/>
    </row>
    <row r="80" spans="3:6" x14ac:dyDescent="0.2">
      <c r="C80" s="36" t="s">
        <v>65</v>
      </c>
      <c r="D80" s="57">
        <v>0</v>
      </c>
      <c r="E80" s="62"/>
    </row>
    <row r="81" spans="3:6" x14ac:dyDescent="0.2">
      <c r="D81" s="56"/>
    </row>
    <row r="82" spans="3:6" outlineLevel="1" x14ac:dyDescent="0.2">
      <c r="C82" s="53" t="s">
        <v>66</v>
      </c>
      <c r="D82" s="56">
        <v>47</v>
      </c>
    </row>
    <row r="83" spans="3:6" outlineLevel="1" x14ac:dyDescent="0.2">
      <c r="C83" s="53" t="s">
        <v>67</v>
      </c>
      <c r="D83" s="56">
        <v>0</v>
      </c>
    </row>
    <row r="84" spans="3:6" outlineLevel="1" x14ac:dyDescent="0.2">
      <c r="C84" s="63" t="s">
        <v>68</v>
      </c>
      <c r="D84" s="56">
        <v>0</v>
      </c>
    </row>
    <row r="85" spans="3:6" x14ac:dyDescent="0.2">
      <c r="C85" s="60" t="s">
        <v>69</v>
      </c>
      <c r="D85" s="57">
        <f>SUM(D82:D84)</f>
        <v>47</v>
      </c>
    </row>
    <row r="86" spans="3:6" x14ac:dyDescent="0.2">
      <c r="C86" s="64" t="s">
        <v>70</v>
      </c>
      <c r="D86" s="57">
        <v>47</v>
      </c>
    </row>
    <row r="87" spans="3:6" x14ac:dyDescent="0.2">
      <c r="D87" s="56"/>
      <c r="E87" s="61"/>
    </row>
    <row r="88" spans="3:6" outlineLevel="1" x14ac:dyDescent="0.2">
      <c r="C88" s="53" t="s">
        <v>71</v>
      </c>
      <c r="D88" s="56">
        <v>0</v>
      </c>
      <c r="E88" s="61"/>
      <c r="F88" s="53"/>
    </row>
    <row r="89" spans="3:6" outlineLevel="1" x14ac:dyDescent="0.2">
      <c r="C89" s="53" t="s">
        <v>72</v>
      </c>
      <c r="D89" s="56">
        <v>0</v>
      </c>
      <c r="E89" s="61"/>
      <c r="F89" s="53"/>
    </row>
    <row r="90" spans="3:6" outlineLevel="1" x14ac:dyDescent="0.2">
      <c r="C90" s="53" t="s">
        <v>73</v>
      </c>
      <c r="D90" s="56">
        <v>80</v>
      </c>
      <c r="E90" s="61"/>
      <c r="F90" s="53"/>
    </row>
    <row r="91" spans="3:6" outlineLevel="1" x14ac:dyDescent="0.2">
      <c r="C91" s="53" t="s">
        <v>74</v>
      </c>
      <c r="D91" s="56">
        <v>0</v>
      </c>
      <c r="E91" s="61"/>
      <c r="F91" s="53"/>
    </row>
    <row r="92" spans="3:6" outlineLevel="1" x14ac:dyDescent="0.2">
      <c r="C92" s="53" t="s">
        <v>75</v>
      </c>
      <c r="D92" s="56">
        <v>1829</v>
      </c>
      <c r="E92" s="61"/>
      <c r="F92" s="53"/>
    </row>
    <row r="93" spans="3:6" outlineLevel="1" x14ac:dyDescent="0.2">
      <c r="C93" s="53" t="s">
        <v>76</v>
      </c>
      <c r="D93" s="56">
        <v>0</v>
      </c>
      <c r="E93" s="61"/>
      <c r="F93" s="53"/>
    </row>
    <row r="94" spans="3:6" outlineLevel="1" x14ac:dyDescent="0.2">
      <c r="C94" s="53" t="s">
        <v>77</v>
      </c>
      <c r="D94" s="56"/>
      <c r="E94" s="61"/>
      <c r="F94" s="53"/>
    </row>
    <row r="95" spans="3:6" x14ac:dyDescent="0.2">
      <c r="C95" s="60" t="s">
        <v>78</v>
      </c>
      <c r="D95" s="30">
        <f>SUM(D88:D94)</f>
        <v>1909</v>
      </c>
    </row>
    <row r="96" spans="3:6" x14ac:dyDescent="0.2">
      <c r="C96" s="36" t="s">
        <v>79</v>
      </c>
      <c r="D96" s="57">
        <v>1909</v>
      </c>
    </row>
    <row r="97" spans="3:4" x14ac:dyDescent="0.2">
      <c r="D97" s="56"/>
    </row>
    <row r="98" spans="3:4" x14ac:dyDescent="0.2">
      <c r="C98" s="60" t="s">
        <v>80</v>
      </c>
      <c r="D98" s="57">
        <v>0</v>
      </c>
    </row>
    <row r="99" spans="3:4" x14ac:dyDescent="0.2">
      <c r="D99" s="56"/>
    </row>
    <row r="100" spans="3:4" outlineLevel="1" x14ac:dyDescent="0.2">
      <c r="C100" s="12" t="s">
        <v>81</v>
      </c>
      <c r="D100" s="56">
        <v>0</v>
      </c>
    </row>
    <row r="101" spans="3:4" outlineLevel="1" x14ac:dyDescent="0.2">
      <c r="C101" s="12" t="s">
        <v>82</v>
      </c>
      <c r="D101" s="56">
        <v>0</v>
      </c>
    </row>
    <row r="102" spans="3:4" outlineLevel="1" x14ac:dyDescent="0.2">
      <c r="C102" s="12" t="s">
        <v>83</v>
      </c>
      <c r="D102" s="56">
        <v>0</v>
      </c>
    </row>
    <row r="103" spans="3:4" outlineLevel="1" x14ac:dyDescent="0.2">
      <c r="C103" s="12" t="s">
        <v>84</v>
      </c>
      <c r="D103" s="56">
        <v>0</v>
      </c>
    </row>
    <row r="104" spans="3:4" outlineLevel="1" x14ac:dyDescent="0.2">
      <c r="C104" s="12" t="s">
        <v>85</v>
      </c>
      <c r="D104" s="56">
        <v>0</v>
      </c>
    </row>
    <row r="105" spans="3:4" outlineLevel="1" x14ac:dyDescent="0.2">
      <c r="C105" s="12" t="s">
        <v>86</v>
      </c>
      <c r="D105" s="56">
        <v>0</v>
      </c>
    </row>
    <row r="106" spans="3:4" outlineLevel="1" x14ac:dyDescent="0.2">
      <c r="C106" s="12" t="s">
        <v>87</v>
      </c>
      <c r="D106" s="56">
        <v>0</v>
      </c>
    </row>
    <row r="107" spans="3:4" outlineLevel="1" x14ac:dyDescent="0.2">
      <c r="C107" s="12" t="s">
        <v>88</v>
      </c>
      <c r="D107" s="56">
        <v>0</v>
      </c>
    </row>
    <row r="108" spans="3:4" outlineLevel="1" x14ac:dyDescent="0.2">
      <c r="C108" s="12" t="s">
        <v>89</v>
      </c>
      <c r="D108" s="56">
        <v>0</v>
      </c>
    </row>
    <row r="109" spans="3:4" outlineLevel="1" x14ac:dyDescent="0.2">
      <c r="C109" s="12" t="s">
        <v>90</v>
      </c>
      <c r="D109" s="56">
        <v>0</v>
      </c>
    </row>
    <row r="110" spans="3:4" outlineLevel="1" x14ac:dyDescent="0.2">
      <c r="C110" s="53" t="s">
        <v>91</v>
      </c>
      <c r="D110" s="56">
        <v>0</v>
      </c>
    </row>
    <row r="111" spans="3:4" outlineLevel="1" x14ac:dyDescent="0.2">
      <c r="C111" s="12" t="s">
        <v>92</v>
      </c>
      <c r="D111" s="56">
        <v>0</v>
      </c>
    </row>
    <row r="112" spans="3:4" outlineLevel="1" x14ac:dyDescent="0.2">
      <c r="C112" s="53" t="s">
        <v>93</v>
      </c>
      <c r="D112" s="56">
        <v>131</v>
      </c>
    </row>
    <row r="113" spans="3:7" outlineLevel="1" x14ac:dyDescent="0.2">
      <c r="C113" s="12" t="s">
        <v>94</v>
      </c>
      <c r="D113" s="56">
        <v>180</v>
      </c>
    </row>
    <row r="114" spans="3:7" outlineLevel="1" x14ac:dyDescent="0.2">
      <c r="C114" s="12" t="s">
        <v>95</v>
      </c>
      <c r="D114" s="56">
        <v>0</v>
      </c>
    </row>
    <row r="115" spans="3:7" outlineLevel="1" x14ac:dyDescent="0.2">
      <c r="C115" s="12" t="s">
        <v>96</v>
      </c>
      <c r="D115" s="56"/>
    </row>
    <row r="116" spans="3:7" outlineLevel="1" x14ac:dyDescent="0.2">
      <c r="C116" s="12" t="s">
        <v>97</v>
      </c>
      <c r="D116" s="56">
        <v>0</v>
      </c>
    </row>
    <row r="117" spans="3:7" outlineLevel="1" x14ac:dyDescent="0.2">
      <c r="C117" s="12" t="s">
        <v>98</v>
      </c>
      <c r="D117" s="56">
        <v>0</v>
      </c>
      <c r="G117" s="65"/>
    </row>
    <row r="118" spans="3:7" outlineLevel="1" x14ac:dyDescent="0.2">
      <c r="C118" s="53" t="s">
        <v>99</v>
      </c>
      <c r="D118" s="56">
        <v>0</v>
      </c>
    </row>
    <row r="119" spans="3:7" x14ac:dyDescent="0.2">
      <c r="C119" s="36" t="s">
        <v>100</v>
      </c>
      <c r="D119" s="57">
        <f>SUM(D100:D118)</f>
        <v>311</v>
      </c>
    </row>
    <row r="120" spans="3:7" x14ac:dyDescent="0.2">
      <c r="C120" s="36" t="s">
        <v>101</v>
      </c>
      <c r="D120" s="57">
        <v>311</v>
      </c>
    </row>
    <row r="121" spans="3:7" x14ac:dyDescent="0.2">
      <c r="D121" s="56"/>
      <c r="E121" s="61"/>
    </row>
    <row r="122" spans="3:7" x14ac:dyDescent="0.2">
      <c r="C122" s="36" t="s">
        <v>102</v>
      </c>
      <c r="D122" s="57">
        <v>0</v>
      </c>
      <c r="E122" s="61"/>
    </row>
    <row r="123" spans="3:7" x14ac:dyDescent="0.2">
      <c r="D123" s="56"/>
    </row>
    <row r="124" spans="3:7" outlineLevel="1" x14ac:dyDescent="0.2">
      <c r="C124" s="53" t="s">
        <v>103</v>
      </c>
      <c r="D124" s="56">
        <v>0</v>
      </c>
    </row>
    <row r="125" spans="3:7" outlineLevel="1" x14ac:dyDescent="0.2">
      <c r="C125" s="53" t="s">
        <v>104</v>
      </c>
      <c r="D125" s="56">
        <v>0</v>
      </c>
    </row>
    <row r="126" spans="3:7" outlineLevel="1" x14ac:dyDescent="0.2">
      <c r="C126" s="53" t="s">
        <v>105</v>
      </c>
      <c r="D126" s="56">
        <v>0</v>
      </c>
    </row>
    <row r="127" spans="3:7" x14ac:dyDescent="0.2">
      <c r="C127" s="60" t="s">
        <v>106</v>
      </c>
      <c r="D127" s="57">
        <f>SUM(D124:D126)</f>
        <v>0</v>
      </c>
    </row>
    <row r="128" spans="3:7" x14ac:dyDescent="0.2">
      <c r="C128" s="60" t="s">
        <v>107</v>
      </c>
      <c r="D128" s="57">
        <v>0</v>
      </c>
    </row>
    <row r="129" spans="3:7" x14ac:dyDescent="0.2">
      <c r="D129" s="56"/>
    </row>
    <row r="130" spans="3:7" x14ac:dyDescent="0.2">
      <c r="C130" s="36" t="s">
        <v>108</v>
      </c>
      <c r="D130" s="57">
        <f>D66+D77+D80-D85+D95-D98+D119+D122-D127</f>
        <v>13072</v>
      </c>
    </row>
    <row r="131" spans="3:7" x14ac:dyDescent="0.2">
      <c r="C131" s="36" t="s">
        <v>109</v>
      </c>
      <c r="D131" s="57">
        <v>13072</v>
      </c>
    </row>
    <row r="132" spans="3:7" x14ac:dyDescent="0.2">
      <c r="D132" s="56"/>
    </row>
    <row r="133" spans="3:7" x14ac:dyDescent="0.2">
      <c r="C133" s="36" t="s">
        <v>110</v>
      </c>
      <c r="D133" s="56">
        <v>203274</v>
      </c>
    </row>
    <row r="134" spans="3:7" x14ac:dyDescent="0.2">
      <c r="C134" s="36" t="s">
        <v>111</v>
      </c>
      <c r="D134" s="56">
        <v>1000</v>
      </c>
      <c r="G134" s="58"/>
    </row>
    <row r="135" spans="3:7" x14ac:dyDescent="0.2">
      <c r="C135" s="60" t="s">
        <v>112</v>
      </c>
      <c r="D135" s="56">
        <v>16613</v>
      </c>
    </row>
    <row r="136" spans="3:7" x14ac:dyDescent="0.2">
      <c r="C136" s="60" t="s">
        <v>113</v>
      </c>
      <c r="D136" s="56">
        <v>8817</v>
      </c>
    </row>
    <row r="137" spans="3:7" x14ac:dyDescent="0.2">
      <c r="C137" s="36" t="s">
        <v>114</v>
      </c>
      <c r="D137" s="56">
        <v>17060</v>
      </c>
    </row>
    <row r="138" spans="3:7" x14ac:dyDescent="0.2">
      <c r="C138" s="36" t="s">
        <v>115</v>
      </c>
      <c r="D138" s="30">
        <f>+D133-D134-D135+D136+D137</f>
        <v>211538</v>
      </c>
    </row>
    <row r="139" spans="3:7" s="53" customFormat="1" x14ac:dyDescent="0.2">
      <c r="D139" s="66"/>
    </row>
    <row r="140" spans="3:7" s="53" customFormat="1" x14ac:dyDescent="0.2">
      <c r="D140" s="67"/>
    </row>
    <row r="141" spans="3:7" s="53" customFormat="1" x14ac:dyDescent="0.2">
      <c r="D141" s="67"/>
    </row>
    <row r="142" spans="3:7" x14ac:dyDescent="0.2">
      <c r="C142" s="61"/>
      <c r="D142" s="62"/>
    </row>
    <row r="143" spans="3:7" x14ac:dyDescent="0.2">
      <c r="C143" s="61"/>
      <c r="D143" s="62"/>
    </row>
    <row r="144" spans="3:7" x14ac:dyDescent="0.2">
      <c r="C144" s="61"/>
      <c r="D144" s="62"/>
    </row>
    <row r="145" spans="3:4" x14ac:dyDescent="0.2">
      <c r="C145" s="61"/>
      <c r="D145" s="62"/>
    </row>
  </sheetData>
  <printOptions horizontalCentered="1"/>
  <pageMargins left="0.5" right="0.5" top="1" bottom="0.85" header="0.5" footer="0.39"/>
  <pageSetup fitToHeight="4" orientation="portrait" verticalDpi="1200" r:id="rId1"/>
  <headerFooter alignWithMargins="0">
    <oddHeader xml:space="preserve">&amp;C&amp;"Calibri,Bold"&amp;12TEXAS RATIO </oddHeader>
  </headerFooter>
  <rowBreaks count="2" manualBreakCount="2">
    <brk id="46" min="1" max="8" man="1"/>
    <brk id="97" min="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Texas Ratio (2)</vt:lpstr>
      <vt:lpstr>'Texas Ratio (2)'!Print_Area</vt:lpstr>
    </vt:vector>
  </TitlesOfParts>
  <Company>TIB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Fetsch</dc:creator>
  <cp:lastModifiedBy>FreemaL</cp:lastModifiedBy>
  <dcterms:created xsi:type="dcterms:W3CDTF">2012-08-02T15:44:14Z</dcterms:created>
  <dcterms:modified xsi:type="dcterms:W3CDTF">2012-08-09T19:08:00Z</dcterms:modified>
</cp:coreProperties>
</file>