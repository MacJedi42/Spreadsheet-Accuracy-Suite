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filterPrivacy="1" showInkAnnotation="0" autoCompressPictures="0"/>
  <bookViews>
    <workbookView xWindow="18000" yWindow="-80" windowWidth="20320" windowHeight="2356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F15" i="1"/>
  <c r="F12"/>
  <c r="K4"/>
  <c r="J4"/>
  <c r="C22"/>
  <c r="C13"/>
  <c r="F22"/>
  <c r="C12"/>
  <c r="F24"/>
  <c r="C24"/>
  <c r="C11"/>
  <c r="F26"/>
  <c r="F25"/>
  <c r="C26"/>
  <c r="C25"/>
</calcChain>
</file>

<file path=xl/sharedStrings.xml><?xml version="1.0" encoding="utf-8"?>
<sst xmlns="http://schemas.openxmlformats.org/spreadsheetml/2006/main" count="28" uniqueCount="24">
  <si>
    <t>g</t>
    <phoneticPr fontId="1" type="noConversion"/>
  </si>
  <si>
    <t>k2</t>
    <phoneticPr fontId="1" type="noConversion"/>
  </si>
  <si>
    <t>k1</t>
    <phoneticPr fontId="1" type="noConversion"/>
  </si>
  <si>
    <t>GROUP 1</t>
    <phoneticPr fontId="1" type="noConversion"/>
  </si>
  <si>
    <t>Group 2</t>
    <phoneticPr fontId="1" type="noConversion"/>
  </si>
  <si>
    <t>Vert. Sep at pull (m)</t>
    <phoneticPr fontId="1" type="noConversion"/>
  </si>
  <si>
    <t>Horiz. Sep at pull (m)</t>
    <phoneticPr fontId="1" type="noConversion"/>
  </si>
  <si>
    <t>Time between pulls (s)</t>
    <phoneticPr fontId="1" type="noConversion"/>
  </si>
  <si>
    <t>Total throw(m)</t>
    <phoneticPr fontId="1" type="noConversion"/>
  </si>
  <si>
    <t>Freefall time (s)</t>
    <phoneticPr fontId="1" type="noConversion"/>
  </si>
  <si>
    <t>Group 1 pull (m)</t>
    <phoneticPr fontId="1" type="noConversion"/>
  </si>
  <si>
    <t>Group 2 pull (m)</t>
    <phoneticPr fontId="1" type="noConversion"/>
  </si>
  <si>
    <t>Group 2 TV (m/s)</t>
    <phoneticPr fontId="1" type="noConversion"/>
  </si>
  <si>
    <t>Group 1 TV (m/s)</t>
    <phoneticPr fontId="1" type="noConversion"/>
  </si>
  <si>
    <t>Altitude (m)</t>
    <phoneticPr fontId="1" type="noConversion"/>
  </si>
  <si>
    <t>Run in speed (m/s)</t>
    <phoneticPr fontId="1" type="noConversion"/>
  </si>
  <si>
    <t>MPH</t>
    <phoneticPr fontId="1" type="noConversion"/>
  </si>
  <si>
    <t>Feet</t>
    <phoneticPr fontId="1" type="noConversion"/>
  </si>
  <si>
    <t>Metres</t>
    <phoneticPr fontId="1" type="noConversion"/>
  </si>
  <si>
    <t>Metres per second (m/s)</t>
    <phoneticPr fontId="1" type="noConversion"/>
  </si>
  <si>
    <t>Convert to standard units</t>
    <phoneticPr fontId="1" type="noConversion"/>
  </si>
  <si>
    <t>Exit seperation (s)</t>
    <phoneticPr fontId="1" type="noConversion"/>
  </si>
  <si>
    <t>Horizontal V (m/s) at pull height</t>
    <phoneticPr fontId="1" type="noConversion"/>
  </si>
  <si>
    <t>Vertical V (m/s) at pull height</t>
    <phoneticPr fontId="1" type="noConversion"/>
  </si>
</sst>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sz val="10"/>
      <name val="Verdana"/>
    </font>
    <font>
      <sz val="8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B3:K26"/>
  <sheetViews>
    <sheetView tabSelected="1" topLeftCell="B1" zoomScale="150" zoomScaleNormal="150" zoomScalePageLayoutView="150" workbookViewId="0">
      <selection activeCell="D31" sqref="D31"/>
    </sheetView>
  </sheetViews>
  <sheetFormatPr baseColWidth="10" defaultRowHeight="13"/>
  <cols>
    <col min="2" max="2" width="24.5703125" bestFit="1" customWidth="1"/>
    <col min="3" max="3" width="12" bestFit="1" customWidth="1"/>
    <col min="4" max="4" width="13.85546875" bestFit="1" customWidth="1"/>
    <col min="5" max="5" width="19.5703125" bestFit="1" customWidth="1"/>
    <col min="6" max="6" width="16.85546875" bestFit="1" customWidth="1"/>
    <col min="7" max="7" width="13.140625" bestFit="1" customWidth="1"/>
    <col min="10" max="11" width="11.7109375" bestFit="1" customWidth="1"/>
  </cols>
  <sheetData>
    <row r="3" spans="2:11">
      <c r="B3" t="s">
        <v>15</v>
      </c>
      <c r="C3" t="s">
        <v>14</v>
      </c>
      <c r="D3" t="s">
        <v>13</v>
      </c>
      <c r="E3" t="s">
        <v>12</v>
      </c>
      <c r="F3" t="s">
        <v>10</v>
      </c>
      <c r="G3" t="s">
        <v>11</v>
      </c>
      <c r="I3" t="s">
        <v>0</v>
      </c>
      <c r="J3" t="s">
        <v>2</v>
      </c>
      <c r="K3" t="s">
        <v>1</v>
      </c>
    </row>
    <row r="4" spans="2:11">
      <c r="B4" s="1">
        <v>35</v>
      </c>
      <c r="C4" s="1">
        <v>4000</v>
      </c>
      <c r="D4" s="1">
        <v>53</v>
      </c>
      <c r="E4" s="1">
        <v>53</v>
      </c>
      <c r="F4" s="1">
        <v>1067</v>
      </c>
      <c r="G4" s="1">
        <v>1067</v>
      </c>
      <c r="I4" s="2">
        <v>9.81</v>
      </c>
      <c r="J4" s="3">
        <f>I4/(D4^2)</f>
        <v>3.4923460306158778E-3</v>
      </c>
      <c r="K4" s="3">
        <f>I4/(E4^2)</f>
        <v>3.4923460306158778E-3</v>
      </c>
    </row>
    <row r="9" spans="2:11">
      <c r="B9" t="s">
        <v>21</v>
      </c>
      <c r="C9" s="1">
        <v>5</v>
      </c>
      <c r="E9" t="s">
        <v>20</v>
      </c>
    </row>
    <row r="11" spans="2:11">
      <c r="B11" t="s">
        <v>6</v>
      </c>
      <c r="C11">
        <f>F24+C9*B4-C24</f>
        <v>175</v>
      </c>
      <c r="E11" t="s">
        <v>16</v>
      </c>
      <c r="F11" s="1">
        <v>120</v>
      </c>
    </row>
    <row r="12" spans="2:11">
      <c r="B12" t="s">
        <v>7</v>
      </c>
      <c r="C12" s="2">
        <f>F22+C9-C22</f>
        <v>4.9999999999999929</v>
      </c>
      <c r="E12" t="s">
        <v>19</v>
      </c>
      <c r="F12">
        <f>F11/3600*1609.344</f>
        <v>53.644800000000004</v>
      </c>
    </row>
    <row r="13" spans="2:11">
      <c r="B13" t="s">
        <v>5</v>
      </c>
      <c r="C13">
        <f>(C4-F4)-(1/K4)*LN(COSH(((I4*K4)^0.5)*(C22-C9)))</f>
        <v>264.99999951307973</v>
      </c>
    </row>
    <row r="14" spans="2:11">
      <c r="E14" t="s">
        <v>17</v>
      </c>
      <c r="F14" s="1">
        <v>13000</v>
      </c>
    </row>
    <row r="15" spans="2:11">
      <c r="E15" t="s">
        <v>18</v>
      </c>
      <c r="F15">
        <f>(F14*0.3048)</f>
        <v>3962.4</v>
      </c>
    </row>
    <row r="20" spans="2:6">
      <c r="B20" t="s">
        <v>3</v>
      </c>
      <c r="E20" t="s">
        <v>4</v>
      </c>
    </row>
    <row r="22" spans="2:6">
      <c r="B22" t="s">
        <v>9</v>
      </c>
      <c r="C22">
        <f>(1/((I4*J4)^0.5))*ACOSH(EXP(J4*(C4-F4)))</f>
        <v>59.084454502149676</v>
      </c>
      <c r="E22" t="s">
        <v>9</v>
      </c>
      <c r="F22">
        <f>(1/((I4*K4)^0.5))*ACOSH(EXP(K4*(C4-G4)))</f>
        <v>59.084454502149676</v>
      </c>
    </row>
    <row r="24" spans="2:6">
      <c r="B24" t="s">
        <v>8</v>
      </c>
      <c r="C24">
        <f>1/J4*LN(B4*J4*C22+1)</f>
        <v>603.26657531870103</v>
      </c>
      <c r="E24" t="s">
        <v>8</v>
      </c>
      <c r="F24">
        <f>(1/K4)*LN(B4*K4*F22+1)</f>
        <v>603.26657531870103</v>
      </c>
    </row>
    <row r="25" spans="2:6">
      <c r="B25" t="s">
        <v>22</v>
      </c>
      <c r="C25">
        <f>B4/(B4*J4*C22+1)</f>
        <v>4.2568626923639945</v>
      </c>
      <c r="E25" t="s">
        <v>22</v>
      </c>
      <c r="F25">
        <f>B4/(B4*K4*F22+1)</f>
        <v>4.2568626923639945</v>
      </c>
    </row>
    <row r="26" spans="2:6">
      <c r="B26" t="s">
        <v>23</v>
      </c>
      <c r="C26">
        <f>((I4/J4)^0.5)*TANH(((I4*J4)^0.5)*C22)</f>
        <v>52.999999966407302</v>
      </c>
      <c r="E26" t="s">
        <v>23</v>
      </c>
      <c r="F26">
        <f>((I4/K4)^0.5)*TANH(((I4*K4)^0.5)*F22)</f>
        <v>52.999999966407302</v>
      </c>
    </row>
  </sheetData>
  <phoneticPr fontId="1" type="noConversion"/>
  <pageMargins left="0.75" right="0.75" top="1" bottom="1" header="0.5" footer="0.5"/>
  <pageSetup paperSize="1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2012-09-17T15:55:10Z</dcterms:created>
  <dcterms:modified xsi:type="dcterms:W3CDTF">2012-09-17T19:04:02Z</dcterms:modified>
</cp:coreProperties>
</file>