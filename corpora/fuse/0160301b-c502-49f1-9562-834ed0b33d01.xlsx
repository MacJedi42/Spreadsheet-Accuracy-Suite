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5480" windowHeight="11640"/>
  </bookViews>
  <sheets>
    <sheet name="WFIS Data" sheetId="1" r:id="rId1"/>
    <sheet name="BLS Table Data" sheetId="4" r:id="rId2"/>
    <sheet name="Cost Study" sheetId="3" r:id="rId3"/>
    <sheet name="Proposed Cost Study" sheetId="5" r:id="rId4"/>
  </sheets>
  <definedNames>
    <definedName name="_xlnm.Print_Titles" localSheetId="0">'WFIS Data'!$1:$3</definedName>
  </definedNames>
  <calcPr calcId="125725"/>
</workbook>
</file>

<file path=xl/calcChain.xml><?xml version="1.0" encoding="utf-8"?>
<calcChain xmlns="http://schemas.openxmlformats.org/spreadsheetml/2006/main">
  <c r="L29" i="5"/>
  <c r="G47" i="4"/>
  <c r="G46"/>
  <c r="G48" s="1"/>
  <c r="H47"/>
  <c r="F47"/>
  <c r="E47"/>
  <c r="D47"/>
  <c r="H46"/>
  <c r="F46"/>
  <c r="F48" s="1"/>
  <c r="E46"/>
  <c r="E48" s="1"/>
  <c r="D46"/>
  <c r="D48" s="1"/>
  <c r="D23" i="5"/>
  <c r="D45"/>
  <c r="L42"/>
  <c r="L41"/>
  <c r="L40"/>
  <c r="L37"/>
  <c r="L36"/>
  <c r="J36" s="1"/>
  <c r="D36"/>
  <c r="L35"/>
  <c r="J35" s="1"/>
  <c r="D35"/>
  <c r="L34"/>
  <c r="J34" s="1"/>
  <c r="D34"/>
  <c r="D37" s="1"/>
  <c r="L31"/>
  <c r="L30"/>
  <c r="J30" s="1"/>
  <c r="D30"/>
  <c r="J29"/>
  <c r="L25"/>
  <c r="J25" s="1"/>
  <c r="D25"/>
  <c r="L24"/>
  <c r="J24" s="1"/>
  <c r="D24"/>
  <c r="L23"/>
  <c r="J23" s="1"/>
  <c r="L22"/>
  <c r="D22"/>
  <c r="L19"/>
  <c r="L18"/>
  <c r="J18" s="1"/>
  <c r="D18"/>
  <c r="L17"/>
  <c r="J17" s="1"/>
  <c r="D17"/>
  <c r="L16"/>
  <c r="J16" s="1"/>
  <c r="D16"/>
  <c r="L13"/>
  <c r="L12"/>
  <c r="J12" s="1"/>
  <c r="D12"/>
  <c r="L11"/>
  <c r="J11" s="1"/>
  <c r="D11"/>
  <c r="L10"/>
  <c r="J10" s="1"/>
  <c r="D10"/>
  <c r="L7"/>
  <c r="F36" s="1"/>
  <c r="D7"/>
  <c r="E35" s="1"/>
  <c r="L6"/>
  <c r="J6"/>
  <c r="F6"/>
  <c r="A2"/>
  <c r="A1"/>
  <c r="D3" s="1"/>
  <c r="A2" i="3"/>
  <c r="A1"/>
  <c r="D13" i="5" l="1"/>
  <c r="D40" s="1"/>
  <c r="J13"/>
  <c r="J40" s="1"/>
  <c r="J19"/>
  <c r="L26"/>
  <c r="F7"/>
  <c r="D46"/>
  <c r="K23" s="1"/>
  <c r="H23" s="1"/>
  <c r="J7"/>
  <c r="K11"/>
  <c r="H11" s="1"/>
  <c r="J37"/>
  <c r="D19"/>
  <c r="D31"/>
  <c r="J22"/>
  <c r="J26" s="1"/>
  <c r="J31"/>
  <c r="H48" i="4"/>
  <c r="D26" i="5"/>
  <c r="D41" s="1"/>
  <c r="D42" s="1"/>
  <c r="G3"/>
  <c r="K3"/>
  <c r="K22"/>
  <c r="E10"/>
  <c r="F11"/>
  <c r="E12"/>
  <c r="E16"/>
  <c r="F17"/>
  <c r="E18"/>
  <c r="E22"/>
  <c r="F23"/>
  <c r="E24"/>
  <c r="F25"/>
  <c r="F29"/>
  <c r="E30"/>
  <c r="E34"/>
  <c r="K34"/>
  <c r="F35"/>
  <c r="E36"/>
  <c r="E7"/>
  <c r="K7"/>
  <c r="F10"/>
  <c r="E11"/>
  <c r="F12"/>
  <c r="F16"/>
  <c r="E17"/>
  <c r="F18"/>
  <c r="F22"/>
  <c r="E23"/>
  <c r="F24"/>
  <c r="E25"/>
  <c r="E29"/>
  <c r="E31" s="1"/>
  <c r="F30"/>
  <c r="F34"/>
  <c r="D7" i="3"/>
  <c r="D29"/>
  <c r="D45"/>
  <c r="D46" s="1"/>
  <c r="L42"/>
  <c r="L41"/>
  <c r="L40"/>
  <c r="L37"/>
  <c r="L36"/>
  <c r="J36" s="1"/>
  <c r="D36"/>
  <c r="L35"/>
  <c r="J35" s="1"/>
  <c r="D35"/>
  <c r="L34"/>
  <c r="J34" s="1"/>
  <c r="D34"/>
  <c r="L31"/>
  <c r="L30"/>
  <c r="J30" s="1"/>
  <c r="D30"/>
  <c r="L29"/>
  <c r="J29" s="1"/>
  <c r="J31" s="1"/>
  <c r="L25"/>
  <c r="J25" s="1"/>
  <c r="D25"/>
  <c r="L24"/>
  <c r="J24" s="1"/>
  <c r="D24"/>
  <c r="L23"/>
  <c r="J23" s="1"/>
  <c r="D23"/>
  <c r="K23" s="1"/>
  <c r="H23" s="1"/>
  <c r="L22"/>
  <c r="L26" s="1"/>
  <c r="D22"/>
  <c r="D26" s="1"/>
  <c r="L19"/>
  <c r="L18"/>
  <c r="J18" s="1"/>
  <c r="D18"/>
  <c r="L17"/>
  <c r="J17" s="1"/>
  <c r="D17"/>
  <c r="L16"/>
  <c r="J16" s="1"/>
  <c r="D16"/>
  <c r="L13"/>
  <c r="L12"/>
  <c r="J12" s="1"/>
  <c r="D12"/>
  <c r="L11"/>
  <c r="J11" s="1"/>
  <c r="D11"/>
  <c r="L10"/>
  <c r="J10" s="1"/>
  <c r="J13" s="1"/>
  <c r="J40" s="1"/>
  <c r="D10"/>
  <c r="L7"/>
  <c r="L6"/>
  <c r="J6" s="1"/>
  <c r="D3"/>
  <c r="K3" s="1"/>
  <c r="H43" i="4"/>
  <c r="G43"/>
  <c r="F43"/>
  <c r="E43"/>
  <c r="D43"/>
  <c r="H42"/>
  <c r="G42"/>
  <c r="F42"/>
  <c r="E42"/>
  <c r="D42"/>
  <c r="H41"/>
  <c r="G41"/>
  <c r="F41"/>
  <c r="E41"/>
  <c r="D41"/>
  <c r="H38"/>
  <c r="G38"/>
  <c r="F38"/>
  <c r="E38"/>
  <c r="D38"/>
  <c r="F37"/>
  <c r="E37"/>
  <c r="D37"/>
  <c r="H36"/>
  <c r="G36"/>
  <c r="F36"/>
  <c r="E36"/>
  <c r="D36"/>
  <c r="F35"/>
  <c r="E35"/>
  <c r="D35"/>
  <c r="H32"/>
  <c r="G32"/>
  <c r="F32"/>
  <c r="E32"/>
  <c r="D32"/>
  <c r="F31"/>
  <c r="E31"/>
  <c r="D31"/>
  <c r="F30"/>
  <c r="E30"/>
  <c r="D30"/>
  <c r="H27"/>
  <c r="G27"/>
  <c r="F27"/>
  <c r="E27"/>
  <c r="D27"/>
  <c r="F26"/>
  <c r="E26"/>
  <c r="D26"/>
  <c r="F25"/>
  <c r="E25"/>
  <c r="D25"/>
  <c r="F24"/>
  <c r="E24"/>
  <c r="D24"/>
  <c r="F23"/>
  <c r="E23"/>
  <c r="D23"/>
  <c r="H20"/>
  <c r="G20"/>
  <c r="F20"/>
  <c r="E20"/>
  <c r="D20"/>
  <c r="F19"/>
  <c r="E19"/>
  <c r="D19"/>
  <c r="F18"/>
  <c r="E18"/>
  <c r="D18"/>
  <c r="F17"/>
  <c r="E17"/>
  <c r="D17"/>
  <c r="H14"/>
  <c r="G14"/>
  <c r="F14"/>
  <c r="E14"/>
  <c r="D14"/>
  <c r="H13"/>
  <c r="G13"/>
  <c r="F13"/>
  <c r="E13"/>
  <c r="D13"/>
  <c r="F12"/>
  <c r="E12"/>
  <c r="D12"/>
  <c r="F11"/>
  <c r="E11"/>
  <c r="D11"/>
  <c r="H8"/>
  <c r="G8"/>
  <c r="F8"/>
  <c r="E8"/>
  <c r="D8"/>
  <c r="F7"/>
  <c r="E7"/>
  <c r="D7"/>
  <c r="H3"/>
  <c r="K12" i="5" l="1"/>
  <c r="H12" s="1"/>
  <c r="D6"/>
  <c r="E6" s="1"/>
  <c r="F37"/>
  <c r="K10"/>
  <c r="K16"/>
  <c r="K25"/>
  <c r="H25" s="1"/>
  <c r="J41"/>
  <c r="J42" s="1"/>
  <c r="K24"/>
  <c r="H24" s="1"/>
  <c r="K35"/>
  <c r="H35" s="1"/>
  <c r="K36"/>
  <c r="H36" s="1"/>
  <c r="K30"/>
  <c r="H30" s="1"/>
  <c r="K18"/>
  <c r="H18" s="1"/>
  <c r="K17"/>
  <c r="H17" s="1"/>
  <c r="K29"/>
  <c r="H29" s="1"/>
  <c r="H31" s="1"/>
  <c r="I31" s="1"/>
  <c r="H7"/>
  <c r="K6"/>
  <c r="H6" s="1"/>
  <c r="H22"/>
  <c r="F19"/>
  <c r="E37"/>
  <c r="G37" s="1"/>
  <c r="F31"/>
  <c r="G31" s="1"/>
  <c r="E26"/>
  <c r="E13"/>
  <c r="G13" s="1"/>
  <c r="H34"/>
  <c r="H10"/>
  <c r="H13" s="1"/>
  <c r="H16"/>
  <c r="F26"/>
  <c r="F13"/>
  <c r="F40" s="1"/>
  <c r="E19"/>
  <c r="G19" s="1"/>
  <c r="F30" i="3"/>
  <c r="K25"/>
  <c r="H25" s="1"/>
  <c r="D31"/>
  <c r="J19"/>
  <c r="J37"/>
  <c r="F6"/>
  <c r="F7"/>
  <c r="E36"/>
  <c r="F10"/>
  <c r="F11"/>
  <c r="F12"/>
  <c r="F22"/>
  <c r="F23"/>
  <c r="F24"/>
  <c r="F25"/>
  <c r="F34"/>
  <c r="F35"/>
  <c r="F36"/>
  <c r="J7"/>
  <c r="F16"/>
  <c r="F17"/>
  <c r="F18"/>
  <c r="J22"/>
  <c r="J26" s="1"/>
  <c r="J41" s="1"/>
  <c r="J42" s="1"/>
  <c r="F29"/>
  <c r="G3"/>
  <c r="D19"/>
  <c r="D13"/>
  <c r="D40" s="1"/>
  <c r="D37"/>
  <c r="D41"/>
  <c r="D42" s="1"/>
  <c r="K36"/>
  <c r="H36" s="1"/>
  <c r="K34"/>
  <c r="K30"/>
  <c r="H30" s="1"/>
  <c r="K24"/>
  <c r="H24" s="1"/>
  <c r="K22"/>
  <c r="K18"/>
  <c r="H18" s="1"/>
  <c r="K16"/>
  <c r="K12"/>
  <c r="H12" s="1"/>
  <c r="K10"/>
  <c r="E7"/>
  <c r="K7"/>
  <c r="E11"/>
  <c r="K11"/>
  <c r="H11" s="1"/>
  <c r="E17"/>
  <c r="K17"/>
  <c r="H17" s="1"/>
  <c r="E23"/>
  <c r="E25"/>
  <c r="E29"/>
  <c r="K29"/>
  <c r="E35"/>
  <c r="K35"/>
  <c r="H35" s="1"/>
  <c r="E10"/>
  <c r="E12"/>
  <c r="E16"/>
  <c r="E18"/>
  <c r="E22"/>
  <c r="E24"/>
  <c r="E30"/>
  <c r="E34"/>
  <c r="K13" i="5" l="1"/>
  <c r="K40" s="1"/>
  <c r="G26"/>
  <c r="H19"/>
  <c r="I19" s="1"/>
  <c r="H37"/>
  <c r="I37" s="1"/>
  <c r="F31" i="3"/>
  <c r="F41" i="5"/>
  <c r="K19"/>
  <c r="K37"/>
  <c r="K26"/>
  <c r="K31"/>
  <c r="H26"/>
  <c r="H41" s="1"/>
  <c r="I41" s="1"/>
  <c r="F42"/>
  <c r="H40"/>
  <c r="I13"/>
  <c r="E40"/>
  <c r="G40" s="1"/>
  <c r="E41"/>
  <c r="G41" s="1"/>
  <c r="H7" i="3"/>
  <c r="D6"/>
  <c r="E6" s="1"/>
  <c r="E37"/>
  <c r="F19"/>
  <c r="F37"/>
  <c r="F26"/>
  <c r="F41" s="1"/>
  <c r="F13"/>
  <c r="F40" s="1"/>
  <c r="E26"/>
  <c r="G26" s="1"/>
  <c r="E19"/>
  <c r="G19" s="1"/>
  <c r="E13"/>
  <c r="H10"/>
  <c r="H13" s="1"/>
  <c r="H40" s="1"/>
  <c r="K13"/>
  <c r="K40" s="1"/>
  <c r="H16"/>
  <c r="H19" s="1"/>
  <c r="I19" s="1"/>
  <c r="K19"/>
  <c r="K26"/>
  <c r="H22"/>
  <c r="H26" s="1"/>
  <c r="E31"/>
  <c r="G31" s="1"/>
  <c r="K31"/>
  <c r="H29"/>
  <c r="H31" s="1"/>
  <c r="I31" s="1"/>
  <c r="K6"/>
  <c r="H6" s="1"/>
  <c r="H34"/>
  <c r="H37" s="1"/>
  <c r="I37" s="1"/>
  <c r="K37"/>
  <c r="F42" l="1"/>
  <c r="E40"/>
  <c r="G40" s="1"/>
  <c r="G13"/>
  <c r="G37"/>
  <c r="K41" i="5"/>
  <c r="K42" s="1"/>
  <c r="I26"/>
  <c r="H42"/>
  <c r="I40"/>
  <c r="E42"/>
  <c r="G42" s="1"/>
  <c r="E41" i="3"/>
  <c r="G41" s="1"/>
  <c r="I13"/>
  <c r="K41"/>
  <c r="K42" s="1"/>
  <c r="H41"/>
  <c r="I41" s="1"/>
  <c r="I26"/>
  <c r="I42" i="5" l="1"/>
  <c r="E42" i="3"/>
  <c r="G42" s="1"/>
  <c r="I40"/>
  <c r="H42"/>
  <c r="I42" l="1"/>
</calcChain>
</file>

<file path=xl/comments1.xml><?xml version="1.0" encoding="utf-8"?>
<comments xmlns="http://schemas.openxmlformats.org/spreadsheetml/2006/main">
  <authors>
    <author>Martin McCaulay</author>
  </authors>
  <commentList>
    <comment ref="C7" authorId="0">
      <text>
        <r>
          <rPr>
            <b/>
            <sz val="8"/>
            <color indexed="81"/>
            <rFont val="Tahoma"/>
            <family val="2"/>
          </rPr>
          <t>Martin McCaulay:</t>
        </r>
        <r>
          <rPr>
            <sz val="8"/>
            <color indexed="81"/>
            <rFont val="Tahoma"/>
            <family val="2"/>
          </rPr>
          <t xml:space="preserve">
including payroll, insurance, retirement and savings, and legally required benefits</t>
        </r>
      </text>
    </comment>
    <comment ref="C8" authorId="0">
      <text>
        <r>
          <rPr>
            <b/>
            <sz val="8"/>
            <color indexed="81"/>
            <rFont val="Tahoma"/>
            <family val="2"/>
          </rPr>
          <t>Martin McCaulay:</t>
        </r>
        <r>
          <rPr>
            <sz val="8"/>
            <color indexed="81"/>
            <rFont val="Tahoma"/>
            <family val="2"/>
          </rPr>
          <t xml:space="preserve">
including wages and salaries, paid leave, and supplemental pay; excluding severance pay, relocation, and education costs</t>
        </r>
      </text>
    </comment>
  </commentList>
</comments>
</file>

<file path=xl/comments2.xml><?xml version="1.0" encoding="utf-8"?>
<comments xmlns="http://schemas.openxmlformats.org/spreadsheetml/2006/main">
  <authors>
    <author>Martin McCaulay</author>
  </authors>
  <commentList>
    <comment ref="C6" authorId="0">
      <text>
        <r>
          <rPr>
            <b/>
            <sz val="8"/>
            <color indexed="81"/>
            <rFont val="Tahoma"/>
            <family val="2"/>
          </rPr>
          <t>Martin McCaulay:</t>
        </r>
        <r>
          <rPr>
            <sz val="8"/>
            <color indexed="81"/>
            <rFont val="Tahoma"/>
            <family val="2"/>
          </rPr>
          <t xml:space="preserve">
including payroll, insurance, retirement and savings, and legally required benefits</t>
        </r>
      </text>
    </comment>
    <comment ref="C7" authorId="0">
      <text>
        <r>
          <rPr>
            <b/>
            <sz val="8"/>
            <color indexed="81"/>
            <rFont val="Tahoma"/>
            <family val="2"/>
          </rPr>
          <t>Martin McCaulay:</t>
        </r>
        <r>
          <rPr>
            <sz val="8"/>
            <color indexed="81"/>
            <rFont val="Tahoma"/>
            <family val="2"/>
          </rPr>
          <t xml:space="preserve">
including wages and salaries, paid leave, and supplemental pay; excluding severance pay, relocation, and education costs</t>
        </r>
      </text>
    </comment>
  </commentList>
</comments>
</file>

<file path=xl/comments3.xml><?xml version="1.0" encoding="utf-8"?>
<comments xmlns="http://schemas.openxmlformats.org/spreadsheetml/2006/main">
  <authors>
    <author>Martin McCaulay</author>
  </authors>
  <commentList>
    <comment ref="C6" authorId="0">
      <text>
        <r>
          <rPr>
            <b/>
            <sz val="8"/>
            <color indexed="81"/>
            <rFont val="Tahoma"/>
            <family val="2"/>
          </rPr>
          <t>Martin McCaulay:</t>
        </r>
        <r>
          <rPr>
            <sz val="8"/>
            <color indexed="81"/>
            <rFont val="Tahoma"/>
            <family val="2"/>
          </rPr>
          <t xml:space="preserve">
including payroll, insurance, retirement and savings, and legally required benefits</t>
        </r>
      </text>
    </comment>
    <comment ref="C7" authorId="0">
      <text>
        <r>
          <rPr>
            <b/>
            <sz val="8"/>
            <color indexed="81"/>
            <rFont val="Tahoma"/>
            <family val="2"/>
          </rPr>
          <t>Martin McCaulay:</t>
        </r>
        <r>
          <rPr>
            <sz val="8"/>
            <color indexed="81"/>
            <rFont val="Tahoma"/>
            <family val="2"/>
          </rPr>
          <t xml:space="preserve">
including wages and salaries, paid leave, and supplemental pay; excluding severance pay, relocation, and education costs</t>
        </r>
      </text>
    </comment>
  </commentList>
</comments>
</file>

<file path=xl/sharedStrings.xml><?xml version="1.0" encoding="utf-8"?>
<sst xmlns="http://schemas.openxmlformats.org/spreadsheetml/2006/main" count="254" uniqueCount="155">
  <si>
    <t>U.S. Department of Energy
Report of Contractor Expenditures for Employee Supplemental Compensation</t>
  </si>
  <si>
    <t>DoE Summary for Calendar Year 2009</t>
  </si>
  <si>
    <t>No. of Employees</t>
  </si>
  <si>
    <t>Exempt:</t>
  </si>
  <si>
    <t>Bargaining Unit:</t>
  </si>
  <si>
    <t>Nonexempt Nonbargaining Unit:</t>
  </si>
  <si>
    <t>Retiree:</t>
  </si>
  <si>
    <t>Types of Expenditure</t>
  </si>
  <si>
    <t>Total</t>
  </si>
  <si>
    <t>Gross Payroll</t>
  </si>
  <si>
    <t xml:space="preserve"> Annual Base Pay</t>
  </si>
  <si>
    <t xml:space="preserve">  Straight-Time Pay Worked:</t>
  </si>
  <si>
    <t xml:space="preserve">  Paid-Time off:</t>
  </si>
  <si>
    <t xml:space="preserve">    Vacation Pay</t>
  </si>
  <si>
    <t xml:space="preserve">    Vacation Pay in Lieu:</t>
  </si>
  <si>
    <t xml:space="preserve">    Holiday Pay:</t>
  </si>
  <si>
    <t xml:space="preserve">    Holiday Pay in Lieu:</t>
  </si>
  <si>
    <t xml:space="preserve">    Sick Leave Pay:</t>
  </si>
  <si>
    <t xml:space="preserve">    Personal Leave Bank:</t>
  </si>
  <si>
    <t xml:space="preserve">    Personal Leave Pay:</t>
  </si>
  <si>
    <t xml:space="preserve">    Parental Leave:</t>
  </si>
  <si>
    <t xml:space="preserve">    Supplemental Pay:</t>
  </si>
  <si>
    <t xml:space="preserve">    Other Paid Leave Pay:</t>
  </si>
  <si>
    <t xml:space="preserve">   Overtime Pay:</t>
  </si>
  <si>
    <t xml:space="preserve">    Straight Time Portion:</t>
  </si>
  <si>
    <t xml:space="preserve">    Premium Portion:</t>
  </si>
  <si>
    <t xml:space="preserve">   Severance Pay:</t>
  </si>
  <si>
    <t xml:space="preserve">   Other Pay:</t>
  </si>
  <si>
    <t xml:space="preserve">    Shift Differential:</t>
  </si>
  <si>
    <t xml:space="preserve">    Lump Sum Payment:</t>
  </si>
  <si>
    <t xml:space="preserve">    Performance Incentive Compensation:</t>
  </si>
  <si>
    <t xml:space="preserve">    Cash Award:</t>
  </si>
  <si>
    <t xml:space="preserve">    Non Performance-Based Bonuses:</t>
  </si>
  <si>
    <t xml:space="preserve">    Facility Closing Retention Bonus:</t>
  </si>
  <si>
    <t xml:space="preserve">    Voluntary Separation Bonus:</t>
  </si>
  <si>
    <t xml:space="preserve">    Relocation/Housing Allowance-Direct:</t>
  </si>
  <si>
    <t xml:space="preserve">    Relocation/Housing Allowance-Other:</t>
  </si>
  <si>
    <t xml:space="preserve">    Remote/Isolation Pay:</t>
  </si>
  <si>
    <t xml:space="preserve">    Hazard Duty Pay:</t>
  </si>
  <si>
    <t xml:space="preserve">    Expatriate Allowance:</t>
  </si>
  <si>
    <t xml:space="preserve">    Education Allowance-Pay:</t>
  </si>
  <si>
    <t xml:space="preserve">    Other Overtime Payment:</t>
  </si>
  <si>
    <t xml:space="preserve">    Geographic Differential Pay:</t>
  </si>
  <si>
    <t xml:space="preserve">    Dependent Care:</t>
  </si>
  <si>
    <t xml:space="preserve">    Misc. Compensation:</t>
  </si>
  <si>
    <t>Legally Required Insurance:</t>
  </si>
  <si>
    <t xml:space="preserve">   Social Security:</t>
  </si>
  <si>
    <t xml:space="preserve">   Other Retirement Insurance:</t>
  </si>
  <si>
    <t xml:space="preserve">   Unemployment:</t>
  </si>
  <si>
    <t xml:space="preserve">     Unemployment - Federal:</t>
  </si>
  <si>
    <t xml:space="preserve">     Unemployment - State:</t>
  </si>
  <si>
    <t xml:space="preserve">   Occupational Injury &amp; Illness:</t>
  </si>
  <si>
    <t xml:space="preserve">     State Workman's Compensation:</t>
  </si>
  <si>
    <t xml:space="preserve">     Benefits Under EEOICPA - Subtitle D:</t>
  </si>
  <si>
    <t xml:space="preserve">     Other Legacy Benefits / Health Studies:</t>
  </si>
  <si>
    <t xml:space="preserve">   Other Legally Required Insurance:</t>
  </si>
  <si>
    <t>Life/Death Benefits:</t>
  </si>
  <si>
    <t xml:space="preserve">   Life Insurance:</t>
  </si>
  <si>
    <t xml:space="preserve">   Death Benefits:</t>
  </si>
  <si>
    <t>Medical/Medically Related:</t>
  </si>
  <si>
    <t xml:space="preserve">   Insured Active Medical:</t>
  </si>
  <si>
    <t xml:space="preserve">   Self-Insured Active Medical:</t>
  </si>
  <si>
    <t xml:space="preserve">   Dental Active:</t>
  </si>
  <si>
    <t xml:space="preserve">   Vision/Prescription-Active:</t>
  </si>
  <si>
    <t xml:space="preserve">   Misc. Medical-Active:</t>
  </si>
  <si>
    <t xml:space="preserve">   Insured Retiree Medical:</t>
  </si>
  <si>
    <t xml:space="preserve">   Self-Insured Retiree Medical:</t>
  </si>
  <si>
    <t xml:space="preserve">   Dental-Retiree:</t>
  </si>
  <si>
    <t xml:space="preserve">   Vision/Prescription-Retiree:</t>
  </si>
  <si>
    <t xml:space="preserve">   Misc. Medical-Retiree:</t>
  </si>
  <si>
    <t xml:space="preserve">   Short-Term Disability:</t>
  </si>
  <si>
    <t xml:space="preserve">   Long-Term Disability:</t>
  </si>
  <si>
    <t xml:space="preserve">   Displaced Worker:</t>
  </si>
  <si>
    <t>Retirement:</t>
  </si>
  <si>
    <t xml:space="preserve">    Defined Contribution:</t>
  </si>
  <si>
    <t xml:space="preserve">      Savings/Thrift Plan:</t>
  </si>
  <si>
    <t xml:space="preserve">    Defined Benefits:</t>
  </si>
  <si>
    <t xml:space="preserve">    Disbursments:</t>
  </si>
  <si>
    <t xml:space="preserve">    Expenses:</t>
  </si>
  <si>
    <t>Other:</t>
  </si>
  <si>
    <t xml:space="preserve">    Vacation/Holiday Funds:</t>
  </si>
  <si>
    <t xml:space="preserve">    Employee Assistance Program:</t>
  </si>
  <si>
    <t xml:space="preserve">    Misc. Benefits:</t>
  </si>
  <si>
    <t>TOTAL BENEFITS</t>
  </si>
  <si>
    <t>TOTAL COMPENSATION</t>
  </si>
  <si>
    <t>US Bureau of Labor Statistics Wtd Ave</t>
  </si>
  <si>
    <t>US Bureau of Labor Statistics Table 5</t>
  </si>
  <si>
    <t>US Bureau of Labor Statistics Table 8</t>
  </si>
  <si>
    <t>Actual Amount</t>
  </si>
  <si>
    <t>Percent of Payroll</t>
  </si>
  <si>
    <t>Cost per FTE</t>
  </si>
  <si>
    <t>Per Capita Cost Ratio</t>
  </si>
  <si>
    <t>Cost per hour</t>
  </si>
  <si>
    <t>Mgmt, professional &amp; related</t>
  </si>
  <si>
    <t>500 workers or more</t>
  </si>
  <si>
    <t>A.</t>
  </si>
  <si>
    <t>PAYROLL</t>
  </si>
  <si>
    <t>B.</t>
  </si>
  <si>
    <t>TOTAL B</t>
  </si>
  <si>
    <t>C.</t>
  </si>
  <si>
    <t>SUPPLEMENTAL PAY</t>
  </si>
  <si>
    <t>Overtime and premium</t>
  </si>
  <si>
    <t>Shift differentials</t>
  </si>
  <si>
    <t>TOTAL C</t>
  </si>
  <si>
    <t>D.</t>
  </si>
  <si>
    <t>Short-Term Disability</t>
  </si>
  <si>
    <t>Long-Term Disability</t>
  </si>
  <si>
    <t>TOTAL D</t>
  </si>
  <si>
    <t>E.</t>
  </si>
  <si>
    <t>RETIREMENT AND SAVINGS</t>
  </si>
  <si>
    <t>TOTAL E</t>
  </si>
  <si>
    <t>F.</t>
  </si>
  <si>
    <t xml:space="preserve">LEGALLY REQUIRED PAYMENTS: </t>
  </si>
  <si>
    <t>Social Security and Medicare</t>
  </si>
  <si>
    <t>Federal and State Unemployment Payments</t>
  </si>
  <si>
    <t>TOTAL F</t>
  </si>
  <si>
    <t>G.</t>
  </si>
  <si>
    <t>Total G</t>
  </si>
  <si>
    <t xml:space="preserve">employees = </t>
  </si>
  <si>
    <t xml:space="preserve">hours worked = </t>
  </si>
  <si>
    <t>Nonproduction bonuses</t>
  </si>
  <si>
    <t>Defined Contribution</t>
  </si>
  <si>
    <t>December 2009 Bureau of Labor Statistics Table Data</t>
  </si>
  <si>
    <t xml:space="preserve">Defined Benefit </t>
  </si>
  <si>
    <t xml:space="preserve">Defined Benefit Pension Plan </t>
  </si>
  <si>
    <t>Total Compensation</t>
  </si>
  <si>
    <t>PAID LEAVE</t>
  </si>
  <si>
    <t>Vacation</t>
  </si>
  <si>
    <t>Holidays</t>
  </si>
  <si>
    <t>Sick and Personal</t>
  </si>
  <si>
    <t>INSURANCE</t>
  </si>
  <si>
    <t>Life</t>
  </si>
  <si>
    <t>Health</t>
  </si>
  <si>
    <t>Workers' Compensation</t>
  </si>
  <si>
    <t>Paid Leave</t>
  </si>
  <si>
    <t xml:space="preserve">Payroll </t>
  </si>
  <si>
    <t>Insurance plus Retirement and Savings</t>
  </si>
  <si>
    <t>OP Office:</t>
  </si>
  <si>
    <t>Facility:</t>
  </si>
  <si>
    <t>Contractor:</t>
  </si>
  <si>
    <t>Contract Number:</t>
  </si>
  <si>
    <t>Payroll</t>
  </si>
  <si>
    <t>Benefits</t>
  </si>
  <si>
    <t>Total H</t>
  </si>
  <si>
    <t>H.</t>
  </si>
  <si>
    <t>COST STUDY RESULTS</t>
  </si>
  <si>
    <t>COST STUDY BENEFITS</t>
  </si>
  <si>
    <t>Defined Benefit Normal Cost</t>
  </si>
  <si>
    <t>Health - Actives Only</t>
  </si>
  <si>
    <t>PROPOSED COST STUDY RESULTS</t>
  </si>
  <si>
    <t>COST STUDY PAYROLL AND BENEFITS</t>
  </si>
  <si>
    <t>Percent Above Average</t>
  </si>
  <si>
    <t>Sample Operations Office</t>
  </si>
  <si>
    <t>Sample Facility</t>
  </si>
  <si>
    <t>Sample Contractor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</si>
</sst>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[$-1010409]General"/>
    <numFmt numFmtId="165" formatCode="[$-1010409]m/d/yyyy"/>
    <numFmt numFmtId="166" formatCode="0.0%"/>
    <numFmt numFmtId="167" formatCode="&quot;$&quot;#,##0"/>
    <numFmt numFmtId="168" formatCode="&quot;$&quot;#,##0.00"/>
  </numFmts>
  <fonts count="17">
    <font>
      <sz val="10"/>
      <name val="Arial"/>
      <charset val="1"/>
    </font>
    <font>
      <sz val="10"/>
      <name val="Arial"/>
      <family val="2"/>
    </font>
    <font>
      <sz val="10"/>
      <color indexed="8"/>
      <name val="Arial"/>
      <family val="2"/>
    </font>
    <font>
      <sz val="6"/>
      <color indexed="8"/>
      <name val="Tahoma"/>
      <family val="2"/>
    </font>
    <font>
      <sz val="6"/>
      <color indexed="8"/>
      <name val="Arial"/>
      <family val="2"/>
    </font>
    <font>
      <b/>
      <sz val="6"/>
      <color indexed="8"/>
      <name val="Tahoma"/>
      <family val="2"/>
    </font>
    <font>
      <b/>
      <i/>
      <sz val="8"/>
      <color indexed="18"/>
      <name val="Times New Roman"/>
      <family val="1"/>
    </font>
    <font>
      <b/>
      <i/>
      <sz val="10"/>
      <color indexed="18"/>
      <name val="Times New Roman"/>
      <family val="1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CC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wrapText="1"/>
    </xf>
    <xf numFmtId="43" fontId="1" fillId="0" borderId="0" applyFont="0" applyFill="0" applyBorder="0" applyAlignment="0" applyProtection="0">
      <alignment wrapText="1"/>
    </xf>
    <xf numFmtId="9" fontId="1" fillId="0" borderId="0" applyFont="0" applyFill="0" applyBorder="0" applyAlignment="0" applyProtection="0">
      <alignment wrapText="1"/>
    </xf>
  </cellStyleXfs>
  <cellXfs count="103">
    <xf numFmtId="0" fontId="0" fillId="0" borderId="0" xfId="0">
      <alignment wrapText="1"/>
    </xf>
    <xf numFmtId="165" fontId="6" fillId="0" borderId="0" xfId="0" applyNumberFormat="1" applyFont="1" applyFill="1" applyBorder="1" applyAlignment="1">
      <alignment horizontal="left" vertical="top" wrapText="1"/>
    </xf>
    <xf numFmtId="165" fontId="6" fillId="0" borderId="0" xfId="0" applyNumberFormat="1" applyFont="1" applyFill="1" applyAlignment="1">
      <alignment horizontal="left" vertical="top" wrapText="1"/>
    </xf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Alignment="1">
      <alignment horizontal="left" vertical="top" wrapText="1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Alignment="1"/>
    <xf numFmtId="37" fontId="9" fillId="0" borderId="0" xfId="0" applyNumberFormat="1" applyFont="1" applyBorder="1" applyAlignment="1" applyProtection="1">
      <alignment horizontal="center"/>
    </xf>
    <xf numFmtId="0" fontId="0" fillId="0" borderId="0" xfId="0" applyAlignment="1">
      <alignment horizontal="center"/>
    </xf>
    <xf numFmtId="9" fontId="10" fillId="0" borderId="0" xfId="0" applyNumberFormat="1" applyFont="1" applyAlignment="1">
      <alignment horizontal="center"/>
    </xf>
    <xf numFmtId="9" fontId="10" fillId="0" borderId="0" xfId="0" applyNumberFormat="1" applyFont="1" applyBorder="1" applyAlignment="1">
      <alignment horizontal="center"/>
    </xf>
    <xf numFmtId="37" fontId="11" fillId="0" borderId="0" xfId="0" applyNumberFormat="1" applyFont="1" applyAlignment="1" applyProtection="1"/>
    <xf numFmtId="166" fontId="10" fillId="0" borderId="3" xfId="0" quotePrefix="1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3" xfId="0" quotePrefix="1" applyFont="1" applyFill="1" applyBorder="1" applyAlignment="1">
      <alignment horizontal="center" vertical="center" wrapText="1"/>
    </xf>
    <xf numFmtId="37" fontId="9" fillId="0" borderId="0" xfId="0" applyNumberFormat="1" applyFont="1" applyAlignment="1" applyProtection="1"/>
    <xf numFmtId="37" fontId="9" fillId="0" borderId="0" xfId="0" applyNumberFormat="1" applyFont="1" applyAlignment="1" applyProtection="1">
      <alignment horizontal="left"/>
    </xf>
    <xf numFmtId="167" fontId="9" fillId="0" borderId="0" xfId="0" applyNumberFormat="1" applyFont="1" applyFill="1" applyAlignment="1" applyProtection="1"/>
    <xf numFmtId="166" fontId="9" fillId="0" borderId="0" xfId="2" applyNumberFormat="1" applyFont="1" applyAlignment="1" applyProtection="1">
      <alignment horizontal="center"/>
    </xf>
    <xf numFmtId="0" fontId="0" fillId="0" borderId="0" xfId="0" applyFill="1" applyAlignment="1">
      <alignment horizontal="center"/>
    </xf>
    <xf numFmtId="37" fontId="11" fillId="0" borderId="0" xfId="0" applyNumberFormat="1" applyFont="1" applyAlignment="1" applyProtection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 applyFill="1" applyAlignment="1"/>
    <xf numFmtId="168" fontId="0" fillId="0" borderId="0" xfId="0" applyNumberFormat="1" applyAlignment="1">
      <alignment horizontal="center"/>
    </xf>
    <xf numFmtId="0" fontId="0" fillId="0" borderId="0" xfId="0" applyFill="1" applyAlignment="1"/>
    <xf numFmtId="166" fontId="0" fillId="0" borderId="5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7" fontId="12" fillId="0" borderId="0" xfId="0" applyNumberFormat="1" applyFont="1" applyAlignment="1"/>
    <xf numFmtId="167" fontId="0" fillId="0" borderId="0" xfId="0" applyNumberFormat="1" applyFill="1" applyAlignment="1">
      <alignment horizontal="center"/>
    </xf>
    <xf numFmtId="168" fontId="0" fillId="0" borderId="0" xfId="0" applyNumberFormat="1" applyFill="1" applyAlignment="1">
      <alignment horizontal="center"/>
    </xf>
    <xf numFmtId="168" fontId="0" fillId="4" borderId="0" xfId="0" applyNumberFormat="1" applyFill="1" applyAlignment="1">
      <alignment horizontal="center"/>
    </xf>
    <xf numFmtId="167" fontId="12" fillId="0" borderId="0" xfId="0" applyNumberFormat="1" applyFont="1" applyFill="1" applyAlignment="1">
      <alignment horizontal="right"/>
    </xf>
    <xf numFmtId="166" fontId="0" fillId="0" borderId="0" xfId="0" applyNumberFormat="1" applyAlignment="1"/>
    <xf numFmtId="167" fontId="13" fillId="0" borderId="0" xfId="0" quotePrefix="1" applyNumberFormat="1" applyFont="1" applyFill="1" applyAlignment="1">
      <alignment horizontal="right"/>
    </xf>
    <xf numFmtId="10" fontId="0" fillId="0" borderId="0" xfId="0" applyNumberFormat="1" applyBorder="1" applyAlignment="1">
      <alignment horizontal="center"/>
    </xf>
    <xf numFmtId="37" fontId="11" fillId="0" borderId="0" xfId="0" applyNumberFormat="1" applyFont="1" applyFill="1" applyAlignment="1" applyProtection="1"/>
    <xf numFmtId="166" fontId="0" fillId="0" borderId="5" xfId="0" applyNumberFormat="1" applyFill="1" applyBorder="1" applyAlignment="1">
      <alignment horizontal="center"/>
    </xf>
    <xf numFmtId="167" fontId="0" fillId="0" borderId="5" xfId="0" applyNumberFormat="1" applyFill="1" applyBorder="1" applyAlignment="1">
      <alignment horizontal="center"/>
    </xf>
    <xf numFmtId="168" fontId="0" fillId="0" borderId="5" xfId="0" applyNumberFormat="1" applyFill="1" applyBorder="1" applyAlignment="1">
      <alignment horizontal="center"/>
    </xf>
    <xf numFmtId="168" fontId="0" fillId="4" borderId="5" xfId="0" applyNumberFormat="1" applyFill="1" applyBorder="1" applyAlignment="1">
      <alignment horizontal="center"/>
    </xf>
    <xf numFmtId="37" fontId="11" fillId="0" borderId="0" xfId="0" quotePrefix="1" applyNumberFormat="1" applyFont="1" applyAlignment="1" applyProtection="1">
      <alignment horizontal="left"/>
    </xf>
    <xf numFmtId="166" fontId="12" fillId="0" borderId="0" xfId="0" applyNumberFormat="1" applyFont="1" applyAlignment="1">
      <alignment horizontal="center"/>
    </xf>
    <xf numFmtId="166" fontId="12" fillId="0" borderId="0" xfId="0" applyNumberFormat="1" applyFont="1" applyFill="1" applyAlignment="1">
      <alignment horizontal="center"/>
    </xf>
    <xf numFmtId="166" fontId="10" fillId="0" borderId="0" xfId="0" applyNumberFormat="1" applyFont="1" applyFill="1" applyAlignment="1">
      <alignment horizontal="center"/>
    </xf>
    <xf numFmtId="167" fontId="12" fillId="0" borderId="0" xfId="0" applyNumberFormat="1" applyFont="1" applyAlignment="1">
      <alignment horizontal="center"/>
    </xf>
    <xf numFmtId="167" fontId="12" fillId="0" borderId="0" xfId="0" applyNumberFormat="1" applyFont="1" applyFill="1" applyAlignment="1">
      <alignment horizontal="center"/>
    </xf>
    <xf numFmtId="168" fontId="12" fillId="0" borderId="0" xfId="0" applyNumberFormat="1" applyFont="1" applyAlignment="1">
      <alignment horizontal="center"/>
    </xf>
    <xf numFmtId="168" fontId="12" fillId="0" borderId="0" xfId="0" applyNumberFormat="1" applyFont="1" applyFill="1" applyAlignment="1">
      <alignment horizontal="center"/>
    </xf>
    <xf numFmtId="37" fontId="11" fillId="0" borderId="0" xfId="0" applyNumberFormat="1" applyFont="1" applyAlignment="1" applyProtection="1">
      <alignment horizontal="left"/>
    </xf>
    <xf numFmtId="166" fontId="13" fillId="0" borderId="0" xfId="0" applyNumberFormat="1" applyFont="1" applyFill="1" applyAlignment="1">
      <alignment horizontal="center"/>
    </xf>
    <xf numFmtId="37" fontId="11" fillId="0" borderId="0" xfId="0" quotePrefix="1" applyNumberFormat="1" applyFont="1" applyFill="1" applyAlignment="1" applyProtection="1">
      <alignment horizontal="left"/>
    </xf>
    <xf numFmtId="0" fontId="14" fillId="0" borderId="0" xfId="0" applyFont="1" applyBorder="1" applyAlignment="1">
      <alignment horizontal="center"/>
    </xf>
    <xf numFmtId="37" fontId="11" fillId="0" borderId="0" xfId="0" quotePrefix="1" applyNumberFormat="1" applyFont="1" applyAlignment="1" applyProtection="1">
      <alignment horizontal="center"/>
    </xf>
    <xf numFmtId="167" fontId="0" fillId="0" borderId="0" xfId="0" applyNumberFormat="1" applyFill="1" applyBorder="1" applyAlignment="1">
      <alignment horizontal="center"/>
    </xf>
    <xf numFmtId="168" fontId="0" fillId="0" borderId="0" xfId="0" applyNumberFormat="1" applyFill="1" applyBorder="1" applyAlignment="1">
      <alignment horizontal="center"/>
    </xf>
    <xf numFmtId="168" fontId="0" fillId="4" borderId="0" xfId="0" applyNumberFormat="1" applyFill="1" applyBorder="1" applyAlignment="1">
      <alignment horizontal="center"/>
    </xf>
    <xf numFmtId="37" fontId="11" fillId="0" borderId="0" xfId="0" applyNumberFormat="1" applyFont="1" applyFill="1" applyAlignment="1" applyProtection="1">
      <alignment horizontal="left"/>
    </xf>
    <xf numFmtId="167" fontId="0" fillId="0" borderId="0" xfId="0" applyNumberFormat="1" applyAlignment="1"/>
    <xf numFmtId="37" fontId="9" fillId="0" borderId="0" xfId="0" quotePrefix="1" applyNumberFormat="1" applyFont="1" applyFill="1" applyAlignment="1" applyProtection="1">
      <alignment horizontal="left"/>
    </xf>
    <xf numFmtId="37" fontId="9" fillId="0" borderId="0" xfId="0" applyNumberFormat="1" applyFont="1" applyFill="1" applyAlignment="1" applyProtection="1"/>
    <xf numFmtId="10" fontId="13" fillId="0" borderId="0" xfId="0" applyNumberFormat="1" applyFont="1" applyBorder="1" applyAlignment="1">
      <alignment horizontal="center"/>
    </xf>
    <xf numFmtId="167" fontId="12" fillId="0" borderId="5" xfId="0" applyNumberFormat="1" applyFont="1" applyFill="1" applyBorder="1" applyAlignment="1">
      <alignment horizontal="right"/>
    </xf>
    <xf numFmtId="167" fontId="13" fillId="0" borderId="0" xfId="0" applyNumberFormat="1" applyFont="1" applyFill="1" applyAlignment="1">
      <alignment horizontal="right"/>
    </xf>
    <xf numFmtId="164" fontId="0" fillId="0" borderId="0" xfId="0" applyNumberFormat="1">
      <alignment wrapText="1"/>
    </xf>
    <xf numFmtId="0" fontId="0" fillId="0" borderId="0" xfId="0" applyBorder="1" applyAlignment="1">
      <alignment horizontal="centerContinuous"/>
    </xf>
    <xf numFmtId="167" fontId="11" fillId="0" borderId="0" xfId="1" applyNumberFormat="1" applyFont="1" applyFill="1" applyAlignment="1">
      <alignment horizontal="right"/>
    </xf>
    <xf numFmtId="167" fontId="12" fillId="0" borderId="0" xfId="0" applyNumberFormat="1" applyFont="1" applyFill="1" applyBorder="1" applyAlignment="1">
      <alignment horizontal="right"/>
    </xf>
    <xf numFmtId="167" fontId="12" fillId="0" borderId="0" xfId="0" applyNumberFormat="1" applyFont="1" applyFill="1" applyAlignment="1"/>
    <xf numFmtId="0" fontId="12" fillId="0" borderId="0" xfId="0" applyFont="1" applyFill="1" applyAlignment="1"/>
    <xf numFmtId="3" fontId="11" fillId="0" borderId="0" xfId="0" applyNumberFormat="1" applyFont="1" applyFill="1" applyAlignment="1" applyProtection="1">
      <alignment horizontal="left"/>
    </xf>
    <xf numFmtId="0" fontId="3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right" vertical="top" wrapText="1"/>
    </xf>
    <xf numFmtId="37" fontId="9" fillId="0" borderId="1" xfId="0" applyNumberFormat="1" applyFont="1" applyBorder="1" applyAlignment="1" applyProtection="1">
      <alignment horizontal="center" vertical="center" wrapText="1"/>
    </xf>
    <xf numFmtId="164" fontId="3" fillId="5" borderId="0" xfId="0" applyNumberFormat="1" applyFont="1" applyFill="1" applyBorder="1" applyAlignment="1">
      <alignment horizontal="right" vertical="top" wrapText="1"/>
    </xf>
    <xf numFmtId="0" fontId="3" fillId="5" borderId="0" xfId="0" applyFont="1" applyFill="1" applyBorder="1" applyAlignment="1">
      <alignment horizontal="right" vertical="top" wrapText="1"/>
    </xf>
    <xf numFmtId="164" fontId="5" fillId="5" borderId="0" xfId="0" applyNumberFormat="1" applyFont="1" applyFill="1" applyBorder="1" applyAlignment="1">
      <alignment horizontal="right" vertical="top" wrapText="1"/>
    </xf>
    <xf numFmtId="166" fontId="10" fillId="6" borderId="0" xfId="0" applyNumberFormat="1" applyFont="1" applyFill="1" applyAlignment="1">
      <alignment horizontal="center"/>
    </xf>
    <xf numFmtId="37" fontId="9" fillId="0" borderId="1" xfId="0" applyNumberFormat="1" applyFont="1" applyBorder="1" applyAlignment="1" applyProtection="1">
      <alignment horizontal="center" vertical="center" wrapText="1"/>
    </xf>
    <xf numFmtId="37" fontId="2" fillId="0" borderId="0" xfId="0" applyNumberFormat="1" applyFont="1" applyAlignment="1" applyProtection="1"/>
    <xf numFmtId="37" fontId="2" fillId="0" borderId="0" xfId="0" applyNumberFormat="1" applyFont="1" applyAlignment="1" applyProtection="1">
      <alignment horizontal="left"/>
    </xf>
    <xf numFmtId="167" fontId="12" fillId="4" borderId="0" xfId="0" applyNumberFormat="1" applyFont="1" applyFill="1" applyAlignment="1">
      <alignment horizontal="right"/>
    </xf>
    <xf numFmtId="0" fontId="3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right" vertical="top" wrapText="1"/>
    </xf>
    <xf numFmtId="0" fontId="7" fillId="3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right" vertical="top" wrapText="1"/>
    </xf>
    <xf numFmtId="0" fontId="4" fillId="5" borderId="0" xfId="0" applyFont="1" applyFill="1" applyBorder="1" applyAlignment="1">
      <alignment horizontal="left" vertical="top" wrapText="1"/>
    </xf>
    <xf numFmtId="0" fontId="3" fillId="5" borderId="0" xfId="0" applyFont="1" applyFill="1" applyBorder="1" applyAlignment="1">
      <alignment horizontal="left" vertical="top" wrapText="1"/>
    </xf>
    <xf numFmtId="37" fontId="8" fillId="0" borderId="0" xfId="0" applyNumberFormat="1" applyFont="1" applyBorder="1" applyAlignment="1" applyProtection="1">
      <alignment horizontal="center"/>
    </xf>
    <xf numFmtId="37" fontId="8" fillId="0" borderId="0" xfId="0" quotePrefix="1" applyNumberFormat="1" applyFont="1" applyBorder="1" applyAlignment="1" applyProtection="1">
      <alignment horizontal="center"/>
    </xf>
    <xf numFmtId="37" fontId="9" fillId="0" borderId="1" xfId="0" applyNumberFormat="1" applyFont="1" applyBorder="1" applyAlignment="1" applyProtection="1">
      <alignment horizontal="center" vertical="center" wrapText="1"/>
    </xf>
    <xf numFmtId="0" fontId="0" fillId="0" borderId="2" xfId="0" applyBorder="1">
      <alignment wrapText="1"/>
    </xf>
    <xf numFmtId="0" fontId="0" fillId="0" borderId="4" xfId="0" applyBorder="1">
      <alignment wrapText="1"/>
    </xf>
    <xf numFmtId="164" fontId="3" fillId="0" borderId="0" xfId="0" applyNumberFormat="1" applyFont="1" applyFill="1" applyBorder="1" applyAlignment="1">
      <alignment horizontal="right" vertical="top" wrapText="1"/>
    </xf>
    <xf numFmtId="3" fontId="3" fillId="0" borderId="0" xfId="0" applyNumberFormat="1" applyFont="1" applyFill="1" applyBorder="1" applyAlignment="1">
      <alignment horizontal="righ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CCFF99"/>
      <color rgb="FFFFFF66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Q126"/>
  <sheetViews>
    <sheetView showGridLines="0" tabSelected="1" workbookViewId="0">
      <pane ySplit="3" topLeftCell="A4" activePane="bottomLeft" state="frozenSplit"/>
      <selection pane="bottomLeft" activeCell="A4" sqref="A4:C4"/>
    </sheetView>
  </sheetViews>
  <sheetFormatPr defaultRowHeight="12.75"/>
  <cols>
    <col min="1" max="1" width="12" customWidth="1"/>
    <col min="2" max="2" width="5.140625" customWidth="1"/>
    <col min="3" max="3" width="6.85546875" customWidth="1"/>
    <col min="4" max="6" width="13.7109375" customWidth="1"/>
    <col min="7" max="7" width="6.85546875" customWidth="1"/>
    <col min="8" max="8" width="5.140625" customWidth="1"/>
    <col min="9" max="9" width="0.140625" customWidth="1"/>
    <col min="10" max="10" width="12" customWidth="1"/>
    <col min="11" max="12" width="0.140625" customWidth="1"/>
    <col min="14" max="14" width="10" bestFit="1" customWidth="1"/>
  </cols>
  <sheetData>
    <row r="1" spans="1:13" ht="18" customHeight="1">
      <c r="A1" s="1"/>
      <c r="B1" s="92" t="s">
        <v>0</v>
      </c>
      <c r="C1" s="92"/>
      <c r="D1" s="92"/>
      <c r="E1" s="92"/>
      <c r="F1" s="92"/>
      <c r="G1" s="92"/>
      <c r="H1" s="92"/>
      <c r="I1" s="92"/>
      <c r="J1" s="93"/>
      <c r="K1" s="93"/>
      <c r="L1" s="1"/>
    </row>
    <row r="2" spans="1:13" ht="18" customHeight="1">
      <c r="A2" s="1"/>
      <c r="B2" s="92"/>
      <c r="C2" s="92"/>
      <c r="D2" s="92"/>
      <c r="E2" s="92"/>
      <c r="F2" s="92"/>
      <c r="G2" s="92"/>
      <c r="H2" s="92"/>
      <c r="I2" s="92"/>
      <c r="J2" s="2"/>
      <c r="K2" s="2"/>
      <c r="L2" s="1"/>
    </row>
    <row r="3" spans="1:13" ht="18" customHeight="1">
      <c r="A3" s="1"/>
      <c r="B3" s="92" t="s">
        <v>1</v>
      </c>
      <c r="C3" s="92"/>
      <c r="D3" s="92"/>
      <c r="E3" s="92"/>
      <c r="F3" s="92"/>
      <c r="G3" s="92"/>
      <c r="H3" s="92"/>
      <c r="I3" s="92"/>
      <c r="J3" s="2"/>
      <c r="K3" s="2"/>
      <c r="L3" s="1"/>
    </row>
    <row r="4" spans="1:13" ht="12.75" customHeight="1">
      <c r="A4" s="88" t="s">
        <v>137</v>
      </c>
      <c r="B4" s="88"/>
      <c r="C4" s="88"/>
      <c r="D4" s="94" t="s">
        <v>152</v>
      </c>
      <c r="E4" s="94"/>
      <c r="F4" s="94"/>
      <c r="G4" s="91"/>
      <c r="H4" s="91"/>
      <c r="I4" s="91"/>
      <c r="J4" s="91"/>
      <c r="K4" s="3"/>
      <c r="L4" s="4"/>
    </row>
    <row r="5" spans="1:13" ht="12.75" customHeight="1">
      <c r="A5" s="88" t="s">
        <v>138</v>
      </c>
      <c r="B5" s="88"/>
      <c r="C5" s="88"/>
      <c r="D5" s="95" t="s">
        <v>153</v>
      </c>
      <c r="E5" s="95"/>
      <c r="F5" s="95"/>
      <c r="G5" s="91"/>
      <c r="H5" s="91"/>
      <c r="I5" s="91"/>
      <c r="J5" s="91"/>
      <c r="K5" s="3"/>
      <c r="L5" s="4"/>
    </row>
    <row r="6" spans="1:13" ht="12.75" customHeight="1">
      <c r="A6" s="88" t="s">
        <v>139</v>
      </c>
      <c r="B6" s="88"/>
      <c r="C6" s="88"/>
      <c r="D6" s="95" t="s">
        <v>154</v>
      </c>
      <c r="E6" s="95"/>
      <c r="F6" s="95"/>
      <c r="G6" s="91"/>
      <c r="H6" s="91"/>
      <c r="I6" s="91"/>
      <c r="J6" s="91"/>
      <c r="K6" s="3"/>
      <c r="L6" s="4"/>
    </row>
    <row r="7" spans="1:13">
      <c r="A7" s="88" t="s">
        <v>140</v>
      </c>
      <c r="B7" s="88"/>
      <c r="C7" s="88"/>
      <c r="D7" s="88"/>
      <c r="E7" s="88"/>
      <c r="F7" s="88"/>
      <c r="G7" s="91"/>
      <c r="H7" s="91"/>
      <c r="I7" s="91"/>
      <c r="J7" s="91"/>
      <c r="K7" s="3"/>
      <c r="L7" s="4"/>
    </row>
    <row r="8" spans="1:13">
      <c r="A8" s="88"/>
      <c r="B8" s="88"/>
      <c r="C8" s="88"/>
      <c r="D8" s="75"/>
      <c r="E8" s="75"/>
      <c r="F8" s="75"/>
      <c r="G8" s="91"/>
      <c r="H8" s="91"/>
      <c r="I8" s="91"/>
      <c r="J8" s="91"/>
      <c r="K8" s="3"/>
      <c r="L8" s="4"/>
    </row>
    <row r="9" spans="1:13">
      <c r="A9" s="88"/>
      <c r="B9" s="88"/>
      <c r="C9" s="88"/>
      <c r="D9" s="76" t="s">
        <v>2</v>
      </c>
      <c r="E9" s="75"/>
      <c r="F9" s="75"/>
      <c r="G9" s="91"/>
      <c r="H9" s="91"/>
      <c r="I9" s="91"/>
      <c r="J9" s="91"/>
      <c r="K9" s="3"/>
      <c r="L9" s="4"/>
    </row>
    <row r="10" spans="1:13">
      <c r="A10" s="88" t="s">
        <v>3</v>
      </c>
      <c r="B10" s="88"/>
      <c r="C10" s="88"/>
      <c r="D10" s="79">
        <v>800</v>
      </c>
      <c r="E10" s="75"/>
      <c r="F10" s="75"/>
      <c r="G10" s="91"/>
      <c r="H10" s="91"/>
      <c r="I10" s="91"/>
      <c r="J10" s="91"/>
      <c r="K10" s="3"/>
      <c r="L10" s="4"/>
    </row>
    <row r="11" spans="1:13">
      <c r="A11" s="88" t="s">
        <v>4</v>
      </c>
      <c r="B11" s="88"/>
      <c r="C11" s="88"/>
      <c r="D11" s="79">
        <v>500</v>
      </c>
      <c r="E11" s="75"/>
      <c r="F11" s="75"/>
      <c r="G11" s="91"/>
      <c r="H11" s="91"/>
      <c r="I11" s="91"/>
      <c r="J11" s="91"/>
      <c r="K11" s="3"/>
      <c r="L11" s="4"/>
    </row>
    <row r="12" spans="1:13" ht="12.75" customHeight="1">
      <c r="A12" s="88" t="s">
        <v>5</v>
      </c>
      <c r="B12" s="88"/>
      <c r="C12" s="88"/>
      <c r="D12" s="79">
        <v>100</v>
      </c>
      <c r="E12" s="75"/>
      <c r="F12" s="75"/>
      <c r="G12" s="91"/>
      <c r="H12" s="91"/>
      <c r="I12" s="91"/>
      <c r="J12" s="91"/>
      <c r="K12" s="3"/>
      <c r="L12" s="4"/>
    </row>
    <row r="13" spans="1:13">
      <c r="A13" s="88" t="s">
        <v>6</v>
      </c>
      <c r="B13" s="88"/>
      <c r="C13" s="88"/>
      <c r="D13" s="79">
        <v>600</v>
      </c>
      <c r="E13" s="75"/>
      <c r="F13" s="75"/>
      <c r="G13" s="91"/>
      <c r="H13" s="91"/>
      <c r="I13" s="91"/>
      <c r="J13" s="91"/>
      <c r="K13" s="3"/>
      <c r="L13" s="4"/>
    </row>
    <row r="14" spans="1:13">
      <c r="A14" s="88"/>
      <c r="B14" s="88"/>
      <c r="C14" s="88"/>
      <c r="D14" s="80"/>
      <c r="E14" s="75"/>
      <c r="F14" s="75"/>
      <c r="G14" s="91"/>
      <c r="H14" s="91"/>
      <c r="I14" s="91"/>
      <c r="J14" s="91"/>
      <c r="K14" s="3"/>
      <c r="L14" s="4"/>
    </row>
    <row r="15" spans="1:13" ht="12.75" customHeight="1">
      <c r="A15" s="88" t="s">
        <v>7</v>
      </c>
      <c r="B15" s="88"/>
      <c r="C15" s="88"/>
      <c r="D15" s="80" t="s">
        <v>8</v>
      </c>
      <c r="E15" s="77"/>
      <c r="F15" s="77"/>
      <c r="G15" s="77"/>
      <c r="H15" s="77"/>
      <c r="I15" s="77"/>
      <c r="J15" s="77"/>
      <c r="K15" s="3"/>
      <c r="L15" s="4"/>
    </row>
    <row r="16" spans="1:13">
      <c r="A16" s="90" t="s">
        <v>9</v>
      </c>
      <c r="B16" s="90"/>
      <c r="C16" s="90"/>
      <c r="D16" s="79">
        <v>100000000</v>
      </c>
      <c r="E16" s="101"/>
      <c r="H16" s="87"/>
      <c r="I16" s="87"/>
      <c r="J16" s="101"/>
      <c r="K16" s="101"/>
      <c r="L16" s="101"/>
      <c r="M16" s="101"/>
    </row>
    <row r="17" spans="1:13">
      <c r="A17" s="90" t="s">
        <v>10</v>
      </c>
      <c r="B17" s="90"/>
      <c r="C17" s="90"/>
      <c r="D17" s="79">
        <v>94000000</v>
      </c>
      <c r="E17" s="101"/>
      <c r="H17" s="87"/>
      <c r="I17" s="87"/>
      <c r="J17" s="101"/>
      <c r="K17" s="101"/>
      <c r="L17" s="101"/>
      <c r="M17" s="101"/>
    </row>
    <row r="18" spans="1:13" ht="12.75" customHeight="1">
      <c r="A18" s="90" t="s">
        <v>11</v>
      </c>
      <c r="B18" s="90"/>
      <c r="C18" s="90"/>
      <c r="D18" s="79">
        <v>80000000</v>
      </c>
      <c r="E18" s="101"/>
      <c r="H18" s="87"/>
      <c r="I18" s="87"/>
      <c r="J18" s="101"/>
      <c r="K18" s="101"/>
      <c r="L18" s="101"/>
      <c r="M18" s="101"/>
    </row>
    <row r="19" spans="1:13">
      <c r="A19" s="90" t="s">
        <v>12</v>
      </c>
      <c r="B19" s="90"/>
      <c r="C19" s="90"/>
      <c r="D19" s="79">
        <v>14000000</v>
      </c>
      <c r="E19" s="101"/>
      <c r="H19" s="87"/>
      <c r="I19" s="87"/>
      <c r="J19" s="101"/>
      <c r="K19" s="101"/>
      <c r="L19" s="101"/>
      <c r="M19" s="101"/>
    </row>
    <row r="20" spans="1:13">
      <c r="A20" s="88" t="s">
        <v>13</v>
      </c>
      <c r="B20" s="88"/>
      <c r="C20" s="88"/>
      <c r="D20" s="79">
        <v>7000000</v>
      </c>
      <c r="E20" s="101"/>
      <c r="H20" s="87"/>
      <c r="I20" s="87"/>
      <c r="J20" s="101"/>
      <c r="K20" s="101"/>
      <c r="L20" s="101"/>
      <c r="M20" s="101"/>
    </row>
    <row r="21" spans="1:13" ht="12.75" customHeight="1">
      <c r="A21" s="88" t="s">
        <v>14</v>
      </c>
      <c r="B21" s="88"/>
      <c r="C21" s="88"/>
      <c r="D21" s="79">
        <v>0</v>
      </c>
      <c r="E21" s="101"/>
      <c r="H21" s="87"/>
      <c r="I21" s="87"/>
      <c r="J21" s="101"/>
      <c r="K21" s="101"/>
      <c r="L21" s="101"/>
      <c r="M21" s="101"/>
    </row>
    <row r="22" spans="1:13">
      <c r="A22" s="88" t="s">
        <v>15</v>
      </c>
      <c r="B22" s="88"/>
      <c r="C22" s="88"/>
      <c r="D22" s="79">
        <v>4000000</v>
      </c>
      <c r="E22" s="101"/>
      <c r="H22" s="87"/>
      <c r="I22" s="87"/>
      <c r="J22" s="101"/>
      <c r="K22" s="101"/>
      <c r="L22" s="101"/>
      <c r="M22" s="101"/>
    </row>
    <row r="23" spans="1:13" ht="12.75" customHeight="1">
      <c r="A23" s="88" t="s">
        <v>16</v>
      </c>
      <c r="B23" s="88"/>
      <c r="C23" s="88"/>
      <c r="D23" s="79">
        <v>0</v>
      </c>
      <c r="E23" s="101"/>
      <c r="H23" s="87"/>
      <c r="I23" s="87"/>
      <c r="J23" s="101"/>
      <c r="K23" s="101"/>
      <c r="L23" s="101"/>
      <c r="M23" s="101"/>
    </row>
    <row r="24" spans="1:13">
      <c r="A24" s="88" t="s">
        <v>17</v>
      </c>
      <c r="B24" s="88"/>
      <c r="C24" s="88"/>
      <c r="D24" s="79">
        <v>2000000</v>
      </c>
      <c r="E24" s="101"/>
      <c r="H24" s="87"/>
      <c r="I24" s="87"/>
      <c r="J24" s="101"/>
      <c r="K24" s="101"/>
      <c r="L24" s="101"/>
      <c r="M24" s="101"/>
    </row>
    <row r="25" spans="1:13" ht="12.75" customHeight="1">
      <c r="A25" s="88" t="s">
        <v>18</v>
      </c>
      <c r="B25" s="88"/>
      <c r="C25" s="88"/>
      <c r="D25" s="79">
        <v>1000000</v>
      </c>
      <c r="E25" s="101"/>
      <c r="H25" s="87"/>
      <c r="I25" s="87"/>
      <c r="J25" s="101"/>
      <c r="K25" s="101"/>
      <c r="L25" s="101"/>
      <c r="M25" s="101"/>
    </row>
    <row r="26" spans="1:13" ht="12.75" customHeight="1">
      <c r="A26" s="88" t="s">
        <v>19</v>
      </c>
      <c r="B26" s="88"/>
      <c r="C26" s="88"/>
      <c r="D26" s="79">
        <v>0</v>
      </c>
      <c r="E26" s="101"/>
      <c r="H26" s="87"/>
      <c r="I26" s="87"/>
      <c r="J26" s="101"/>
      <c r="K26" s="101"/>
      <c r="L26" s="101"/>
      <c r="M26" s="101"/>
    </row>
    <row r="27" spans="1:13">
      <c r="A27" s="88" t="s">
        <v>20</v>
      </c>
      <c r="B27" s="88"/>
      <c r="C27" s="88"/>
      <c r="D27" s="79">
        <v>0</v>
      </c>
      <c r="E27" s="101"/>
      <c r="H27" s="87"/>
      <c r="I27" s="87"/>
      <c r="J27" s="101"/>
      <c r="K27" s="101"/>
      <c r="L27" s="101"/>
      <c r="M27" s="101"/>
    </row>
    <row r="28" spans="1:13">
      <c r="A28" s="88" t="s">
        <v>21</v>
      </c>
      <c r="B28" s="88"/>
      <c r="C28" s="88"/>
      <c r="D28" s="79">
        <v>0</v>
      </c>
      <c r="E28" s="101"/>
      <c r="H28" s="87"/>
      <c r="I28" s="87"/>
      <c r="J28" s="101"/>
      <c r="K28" s="101"/>
      <c r="L28" s="101"/>
      <c r="M28" s="101"/>
    </row>
    <row r="29" spans="1:13" ht="12.75" customHeight="1">
      <c r="A29" s="88" t="s">
        <v>22</v>
      </c>
      <c r="B29" s="88"/>
      <c r="C29" s="88"/>
      <c r="D29" s="79">
        <v>0</v>
      </c>
      <c r="E29" s="101"/>
      <c r="H29" s="87"/>
      <c r="I29" s="87"/>
      <c r="J29" s="101"/>
      <c r="K29" s="101"/>
      <c r="L29" s="101"/>
      <c r="M29" s="101"/>
    </row>
    <row r="30" spans="1:13">
      <c r="A30" s="90" t="s">
        <v>23</v>
      </c>
      <c r="B30" s="90"/>
      <c r="C30" s="90"/>
      <c r="D30" s="79">
        <v>3000000</v>
      </c>
      <c r="E30" s="101"/>
      <c r="H30" s="87"/>
      <c r="I30" s="87"/>
      <c r="J30" s="101"/>
      <c r="K30" s="101"/>
      <c r="L30" s="101"/>
      <c r="M30" s="101"/>
    </row>
    <row r="31" spans="1:13" ht="12.75" customHeight="1">
      <c r="A31" s="88" t="s">
        <v>24</v>
      </c>
      <c r="B31" s="88"/>
      <c r="C31" s="88"/>
      <c r="D31" s="79">
        <v>2000000</v>
      </c>
      <c r="E31" s="101"/>
      <c r="H31" s="87"/>
      <c r="I31" s="87"/>
      <c r="J31" s="101"/>
      <c r="K31" s="101"/>
      <c r="L31" s="101"/>
      <c r="M31" s="101"/>
    </row>
    <row r="32" spans="1:13">
      <c r="A32" s="88" t="s">
        <v>25</v>
      </c>
      <c r="B32" s="88"/>
      <c r="C32" s="88"/>
      <c r="D32" s="79">
        <v>1000000</v>
      </c>
      <c r="E32" s="101"/>
      <c r="H32" s="87"/>
      <c r="I32" s="87"/>
      <c r="J32" s="101"/>
      <c r="K32" s="101"/>
      <c r="L32" s="101"/>
      <c r="M32" s="101"/>
    </row>
    <row r="33" spans="1:17">
      <c r="A33" s="90" t="s">
        <v>26</v>
      </c>
      <c r="B33" s="90"/>
      <c r="C33" s="90"/>
      <c r="D33" s="79">
        <v>0</v>
      </c>
      <c r="E33" s="101"/>
      <c r="H33" s="87"/>
      <c r="I33" s="87"/>
      <c r="J33" s="101"/>
      <c r="K33" s="101"/>
      <c r="L33" s="101"/>
      <c r="M33" s="101"/>
      <c r="N33" s="68"/>
    </row>
    <row r="34" spans="1:17">
      <c r="A34" s="90" t="s">
        <v>27</v>
      </c>
      <c r="B34" s="90"/>
      <c r="C34" s="90"/>
      <c r="D34" s="79">
        <v>3000000</v>
      </c>
      <c r="E34" s="101"/>
      <c r="H34" s="87"/>
      <c r="I34" s="87"/>
      <c r="J34" s="101"/>
      <c r="K34" s="101"/>
      <c r="L34" s="101"/>
      <c r="M34" s="101"/>
    </row>
    <row r="35" spans="1:17">
      <c r="A35" s="88" t="s">
        <v>28</v>
      </c>
      <c r="B35" s="88"/>
      <c r="C35" s="88"/>
      <c r="D35" s="79">
        <v>500000</v>
      </c>
      <c r="E35" s="101"/>
      <c r="H35" s="87"/>
      <c r="I35" s="87"/>
      <c r="J35" s="101"/>
      <c r="K35" s="101"/>
      <c r="L35" s="101"/>
      <c r="M35" s="101"/>
      <c r="N35" s="68"/>
    </row>
    <row r="36" spans="1:17" ht="12.75" customHeight="1">
      <c r="A36" s="88" t="s">
        <v>29</v>
      </c>
      <c r="B36" s="88"/>
      <c r="C36" s="88"/>
      <c r="D36" s="79">
        <v>0</v>
      </c>
      <c r="E36" s="101"/>
      <c r="H36" s="87"/>
      <c r="I36" s="87"/>
      <c r="J36" s="101"/>
      <c r="K36" s="101"/>
      <c r="L36" s="101"/>
      <c r="M36" s="101"/>
      <c r="N36" s="68"/>
    </row>
    <row r="37" spans="1:17" ht="12.75" customHeight="1">
      <c r="A37" s="88" t="s">
        <v>30</v>
      </c>
      <c r="B37" s="88"/>
      <c r="C37" s="88"/>
      <c r="D37" s="79">
        <v>2500000</v>
      </c>
      <c r="E37" s="101"/>
      <c r="H37" s="87"/>
      <c r="I37" s="87"/>
      <c r="J37" s="101"/>
      <c r="K37" s="101"/>
      <c r="L37" s="101"/>
      <c r="M37" s="101"/>
      <c r="N37" s="68"/>
    </row>
    <row r="38" spans="1:17">
      <c r="A38" s="88" t="s">
        <v>31</v>
      </c>
      <c r="B38" s="88"/>
      <c r="C38" s="88"/>
      <c r="D38" s="79">
        <v>0</v>
      </c>
      <c r="E38" s="101"/>
      <c r="H38" s="87"/>
      <c r="I38" s="87"/>
      <c r="J38" s="101"/>
      <c r="K38" s="101"/>
      <c r="L38" s="101"/>
      <c r="M38" s="101"/>
      <c r="N38" s="68"/>
    </row>
    <row r="39" spans="1:17" ht="12.75" customHeight="1">
      <c r="A39" s="88" t="s">
        <v>32</v>
      </c>
      <c r="B39" s="88"/>
      <c r="C39" s="88"/>
      <c r="D39" s="79">
        <v>0</v>
      </c>
      <c r="E39" s="101"/>
      <c r="H39" s="87"/>
      <c r="I39" s="87"/>
      <c r="J39" s="101"/>
      <c r="K39" s="101"/>
      <c r="L39" s="101"/>
      <c r="M39" s="101"/>
      <c r="N39" s="68"/>
      <c r="P39" s="68"/>
      <c r="Q39" s="68"/>
    </row>
    <row r="40" spans="1:17" ht="12.75" customHeight="1">
      <c r="A40" s="88" t="s">
        <v>33</v>
      </c>
      <c r="B40" s="88"/>
      <c r="C40" s="88"/>
      <c r="D40" s="79">
        <v>0</v>
      </c>
      <c r="E40" s="101"/>
      <c r="H40" s="87"/>
      <c r="I40" s="87"/>
      <c r="J40" s="101"/>
      <c r="K40" s="101"/>
      <c r="L40" s="101"/>
      <c r="M40" s="101"/>
      <c r="N40" s="68"/>
    </row>
    <row r="41" spans="1:17" ht="12.75" customHeight="1">
      <c r="A41" s="88" t="s">
        <v>34</v>
      </c>
      <c r="B41" s="88"/>
      <c r="C41" s="88"/>
      <c r="D41" s="79">
        <v>0</v>
      </c>
      <c r="E41" s="101"/>
      <c r="H41" s="87"/>
      <c r="I41" s="87"/>
      <c r="J41" s="101"/>
      <c r="K41" s="101"/>
      <c r="L41" s="101"/>
      <c r="M41" s="101"/>
      <c r="N41" s="68"/>
      <c r="P41" s="68"/>
      <c r="Q41" s="68"/>
    </row>
    <row r="42" spans="1:17" ht="12.75" customHeight="1">
      <c r="A42" s="88" t="s">
        <v>35</v>
      </c>
      <c r="B42" s="88"/>
      <c r="C42" s="88"/>
      <c r="D42" s="79">
        <v>0</v>
      </c>
      <c r="E42" s="101"/>
      <c r="H42" s="87"/>
      <c r="I42" s="87"/>
      <c r="J42" s="101"/>
      <c r="K42" s="101"/>
      <c r="L42" s="101"/>
      <c r="M42" s="101"/>
      <c r="N42" s="68"/>
    </row>
    <row r="43" spans="1:17" ht="12.75" customHeight="1">
      <c r="A43" s="88" t="s">
        <v>36</v>
      </c>
      <c r="B43" s="88"/>
      <c r="C43" s="88"/>
      <c r="D43" s="79">
        <v>0</v>
      </c>
      <c r="E43" s="101"/>
      <c r="H43" s="87"/>
      <c r="I43" s="87"/>
      <c r="J43" s="101"/>
      <c r="K43" s="101"/>
      <c r="L43" s="101"/>
      <c r="M43" s="101"/>
      <c r="N43" s="68"/>
    </row>
    <row r="44" spans="1:17" ht="12.75" customHeight="1">
      <c r="A44" s="88" t="s">
        <v>37</v>
      </c>
      <c r="B44" s="88"/>
      <c r="C44" s="88"/>
      <c r="D44" s="79">
        <v>0</v>
      </c>
      <c r="E44" s="101"/>
      <c r="H44" s="87"/>
      <c r="I44" s="87"/>
      <c r="J44" s="101"/>
      <c r="K44" s="101"/>
      <c r="L44" s="101"/>
      <c r="M44" s="101"/>
      <c r="N44" s="68"/>
    </row>
    <row r="45" spans="1:17">
      <c r="A45" s="88" t="s">
        <v>38</v>
      </c>
      <c r="B45" s="88"/>
      <c r="C45" s="88"/>
      <c r="D45" s="79">
        <v>0</v>
      </c>
      <c r="E45" s="101"/>
      <c r="H45" s="87"/>
      <c r="I45" s="87"/>
      <c r="J45" s="101"/>
      <c r="K45" s="101"/>
      <c r="L45" s="101"/>
      <c r="M45" s="101"/>
      <c r="N45" s="68"/>
    </row>
    <row r="46" spans="1:17" ht="12.75" customHeight="1">
      <c r="A46" s="88" t="s">
        <v>39</v>
      </c>
      <c r="B46" s="88"/>
      <c r="C46" s="88"/>
      <c r="D46" s="79">
        <v>0</v>
      </c>
      <c r="E46" s="101"/>
      <c r="H46" s="87"/>
      <c r="I46" s="87"/>
      <c r="J46" s="101"/>
      <c r="K46" s="101"/>
      <c r="L46" s="101"/>
      <c r="M46" s="101"/>
      <c r="N46" s="68"/>
    </row>
    <row r="47" spans="1:17" ht="12.75" customHeight="1">
      <c r="A47" s="88" t="s">
        <v>40</v>
      </c>
      <c r="B47" s="88"/>
      <c r="C47" s="88"/>
      <c r="D47" s="79">
        <v>0</v>
      </c>
      <c r="E47" s="101"/>
      <c r="H47" s="87"/>
      <c r="I47" s="87"/>
      <c r="J47" s="101"/>
      <c r="K47" s="101"/>
      <c r="L47" s="101"/>
      <c r="M47" s="101"/>
      <c r="N47" s="68"/>
    </row>
    <row r="48" spans="1:17" ht="12.75" customHeight="1">
      <c r="A48" s="88" t="s">
        <v>41</v>
      </c>
      <c r="B48" s="88"/>
      <c r="C48" s="88"/>
      <c r="D48" s="79">
        <v>0</v>
      </c>
      <c r="E48" s="101"/>
      <c r="H48" s="87"/>
      <c r="I48" s="87"/>
      <c r="J48" s="101"/>
      <c r="K48" s="101"/>
      <c r="L48" s="101"/>
      <c r="M48" s="101"/>
      <c r="N48" s="68"/>
    </row>
    <row r="49" spans="1:14" ht="12.75" customHeight="1">
      <c r="A49" s="88" t="s">
        <v>42</v>
      </c>
      <c r="B49" s="88"/>
      <c r="C49" s="88"/>
      <c r="D49" s="79">
        <v>0</v>
      </c>
      <c r="E49" s="101"/>
      <c r="H49" s="87"/>
      <c r="I49" s="87"/>
      <c r="J49" s="101"/>
      <c r="K49" s="101"/>
      <c r="L49" s="101"/>
      <c r="M49" s="101"/>
      <c r="N49" s="68"/>
    </row>
    <row r="50" spans="1:14">
      <c r="A50" s="88" t="s">
        <v>43</v>
      </c>
      <c r="B50" s="88"/>
      <c r="C50" s="88"/>
      <c r="D50" s="79">
        <v>0</v>
      </c>
      <c r="E50" s="101"/>
      <c r="H50" s="87"/>
      <c r="I50" s="87"/>
      <c r="J50" s="101"/>
      <c r="K50" s="101"/>
      <c r="L50" s="101"/>
      <c r="M50" s="101"/>
      <c r="N50" s="68"/>
    </row>
    <row r="51" spans="1:14" ht="12.75" customHeight="1">
      <c r="A51" s="88" t="s">
        <v>44</v>
      </c>
      <c r="B51" s="88"/>
      <c r="C51" s="88"/>
      <c r="D51" s="79">
        <v>0</v>
      </c>
      <c r="E51" s="101"/>
      <c r="H51" s="87"/>
      <c r="I51" s="87"/>
      <c r="J51" s="101"/>
      <c r="K51" s="101"/>
      <c r="L51" s="101"/>
      <c r="M51" s="101"/>
      <c r="N51" s="68"/>
    </row>
    <row r="52" spans="1:14">
      <c r="A52" s="88"/>
      <c r="B52" s="88"/>
      <c r="C52" s="88"/>
      <c r="D52" s="80"/>
      <c r="E52" s="77"/>
      <c r="H52" s="87"/>
      <c r="I52" s="87"/>
      <c r="J52" s="101"/>
      <c r="K52" s="101"/>
      <c r="L52" s="101"/>
      <c r="M52" s="101"/>
      <c r="N52" s="68"/>
    </row>
    <row r="53" spans="1:14" ht="12.75" customHeight="1">
      <c r="A53" s="90" t="s">
        <v>45</v>
      </c>
      <c r="B53" s="90"/>
      <c r="C53" s="90"/>
      <c r="D53" s="79">
        <v>8700000</v>
      </c>
      <c r="E53" s="101"/>
      <c r="H53" s="87"/>
      <c r="I53" s="87"/>
      <c r="J53" s="101"/>
      <c r="K53" s="101"/>
      <c r="L53" s="101"/>
      <c r="M53" s="101"/>
    </row>
    <row r="54" spans="1:14">
      <c r="A54" s="88" t="s">
        <v>46</v>
      </c>
      <c r="B54" s="88"/>
      <c r="C54" s="88"/>
      <c r="D54" s="79">
        <v>7000000</v>
      </c>
      <c r="E54" s="101"/>
      <c r="H54" s="87"/>
      <c r="I54" s="87"/>
      <c r="J54" s="101"/>
      <c r="K54" s="101"/>
      <c r="L54" s="101"/>
      <c r="M54" s="101"/>
      <c r="N54" s="68"/>
    </row>
    <row r="55" spans="1:14" ht="12.75" customHeight="1">
      <c r="A55" s="88" t="s">
        <v>47</v>
      </c>
      <c r="B55" s="88"/>
      <c r="C55" s="88"/>
      <c r="D55" s="79">
        <v>0</v>
      </c>
      <c r="E55" s="101"/>
      <c r="H55" s="87"/>
      <c r="I55" s="87"/>
      <c r="J55" s="101"/>
      <c r="K55" s="101"/>
      <c r="L55" s="101"/>
      <c r="M55" s="101"/>
    </row>
    <row r="56" spans="1:14">
      <c r="A56" s="88" t="s">
        <v>48</v>
      </c>
      <c r="B56" s="88"/>
      <c r="C56" s="88"/>
      <c r="D56" s="79">
        <v>400000</v>
      </c>
      <c r="E56" s="101"/>
      <c r="H56" s="87"/>
      <c r="I56" s="87"/>
      <c r="J56" s="101"/>
      <c r="K56" s="101"/>
      <c r="L56" s="101"/>
      <c r="M56" s="101"/>
    </row>
    <row r="57" spans="1:14" ht="12.75" customHeight="1">
      <c r="A57" s="88" t="s">
        <v>49</v>
      </c>
      <c r="B57" s="88"/>
      <c r="C57" s="88"/>
      <c r="D57" s="79">
        <v>0</v>
      </c>
      <c r="E57" s="101"/>
      <c r="H57" s="87"/>
      <c r="I57" s="87"/>
      <c r="J57" s="101"/>
      <c r="K57" s="101"/>
      <c r="L57" s="101"/>
      <c r="M57" s="101"/>
    </row>
    <row r="58" spans="1:14" ht="12.75" customHeight="1">
      <c r="A58" s="88" t="s">
        <v>50</v>
      </c>
      <c r="B58" s="88"/>
      <c r="C58" s="88"/>
      <c r="D58" s="79">
        <v>400000</v>
      </c>
      <c r="E58" s="101"/>
      <c r="H58" s="87"/>
      <c r="I58" s="87"/>
      <c r="J58" s="101"/>
      <c r="K58" s="101"/>
      <c r="L58" s="101"/>
      <c r="M58" s="101"/>
    </row>
    <row r="59" spans="1:14" ht="12.75" customHeight="1">
      <c r="A59" s="88" t="s">
        <v>51</v>
      </c>
      <c r="B59" s="88"/>
      <c r="C59" s="88"/>
      <c r="D59" s="79">
        <v>600000</v>
      </c>
      <c r="E59" s="101"/>
      <c r="H59" s="87"/>
      <c r="I59" s="87"/>
      <c r="J59" s="101"/>
      <c r="K59" s="101"/>
      <c r="L59" s="101"/>
      <c r="M59" s="101"/>
    </row>
    <row r="60" spans="1:14" ht="12.75" customHeight="1">
      <c r="A60" s="88" t="s">
        <v>52</v>
      </c>
      <c r="B60" s="88"/>
      <c r="C60" s="88"/>
      <c r="D60" s="79">
        <v>600000</v>
      </c>
      <c r="E60" s="101"/>
      <c r="H60" s="87"/>
      <c r="I60" s="87"/>
      <c r="J60" s="101"/>
      <c r="K60" s="101"/>
      <c r="L60" s="101"/>
      <c r="M60" s="101"/>
    </row>
    <row r="61" spans="1:14" ht="12.75" customHeight="1">
      <c r="A61" s="88" t="s">
        <v>53</v>
      </c>
      <c r="B61" s="88"/>
      <c r="C61" s="88"/>
      <c r="D61" s="79">
        <v>0</v>
      </c>
      <c r="E61" s="101"/>
      <c r="H61" s="87"/>
      <c r="I61" s="87"/>
      <c r="J61" s="101"/>
      <c r="K61" s="101"/>
      <c r="L61" s="101"/>
      <c r="M61" s="101"/>
    </row>
    <row r="62" spans="1:14" ht="12.75" customHeight="1">
      <c r="A62" s="88" t="s">
        <v>54</v>
      </c>
      <c r="B62" s="88"/>
      <c r="C62" s="88"/>
      <c r="D62" s="79">
        <v>0</v>
      </c>
      <c r="E62" s="101"/>
      <c r="H62" s="87"/>
      <c r="I62" s="87"/>
      <c r="J62" s="101"/>
      <c r="K62" s="101"/>
      <c r="L62" s="101"/>
      <c r="M62" s="101"/>
    </row>
    <row r="63" spans="1:14" ht="12.75" customHeight="1">
      <c r="A63" s="88" t="s">
        <v>55</v>
      </c>
      <c r="B63" s="88"/>
      <c r="C63" s="88"/>
      <c r="D63" s="79">
        <v>0</v>
      </c>
      <c r="E63" s="101"/>
      <c r="H63" s="87"/>
      <c r="I63" s="87"/>
      <c r="J63" s="101"/>
      <c r="K63" s="101"/>
      <c r="L63" s="101"/>
      <c r="M63" s="101"/>
    </row>
    <row r="64" spans="1:14">
      <c r="A64" s="90" t="s">
        <v>56</v>
      </c>
      <c r="B64" s="90"/>
      <c r="C64" s="90"/>
      <c r="D64" s="79">
        <v>500000</v>
      </c>
      <c r="E64" s="101"/>
      <c r="H64" s="87"/>
      <c r="I64" s="87"/>
      <c r="J64" s="101"/>
      <c r="K64" s="101"/>
      <c r="L64" s="101"/>
      <c r="M64" s="101"/>
    </row>
    <row r="65" spans="1:13">
      <c r="A65" s="88" t="s">
        <v>57</v>
      </c>
      <c r="B65" s="88"/>
      <c r="C65" s="88"/>
      <c r="D65" s="79">
        <v>500000</v>
      </c>
      <c r="E65" s="101"/>
      <c r="H65" s="87"/>
      <c r="I65" s="87"/>
      <c r="J65" s="101"/>
      <c r="K65" s="101"/>
      <c r="L65" s="101"/>
      <c r="M65" s="101"/>
    </row>
    <row r="66" spans="1:13">
      <c r="A66" s="88" t="s">
        <v>58</v>
      </c>
      <c r="B66" s="88"/>
      <c r="C66" s="88"/>
      <c r="D66" s="79">
        <v>0</v>
      </c>
      <c r="E66" s="101"/>
      <c r="H66" s="87"/>
      <c r="I66" s="87"/>
      <c r="J66" s="101"/>
      <c r="K66" s="101"/>
      <c r="L66" s="101"/>
      <c r="M66" s="101"/>
    </row>
    <row r="67" spans="1:13" ht="12.75" customHeight="1">
      <c r="A67" s="90" t="s">
        <v>59</v>
      </c>
      <c r="B67" s="90"/>
      <c r="C67" s="90"/>
      <c r="D67" s="79">
        <v>18300000</v>
      </c>
      <c r="E67" s="101"/>
      <c r="H67" s="87"/>
      <c r="I67" s="87"/>
      <c r="J67" s="101"/>
      <c r="K67" s="101"/>
      <c r="L67" s="101"/>
      <c r="M67" s="101"/>
    </row>
    <row r="68" spans="1:13" ht="12.75" customHeight="1">
      <c r="A68" s="88" t="s">
        <v>60</v>
      </c>
      <c r="B68" s="88"/>
      <c r="C68" s="88"/>
      <c r="D68" s="79">
        <v>6000000</v>
      </c>
      <c r="E68" s="101"/>
      <c r="H68" s="87"/>
      <c r="I68" s="87"/>
      <c r="J68" s="101"/>
      <c r="K68" s="101"/>
      <c r="L68" s="101"/>
      <c r="M68" s="101"/>
    </row>
    <row r="69" spans="1:13" ht="12.75" customHeight="1">
      <c r="A69" s="88" t="s">
        <v>61</v>
      </c>
      <c r="B69" s="88"/>
      <c r="C69" s="88"/>
      <c r="D69" s="79">
        <v>2000000</v>
      </c>
      <c r="E69" s="101"/>
      <c r="H69" s="87"/>
      <c r="I69" s="87"/>
      <c r="J69" s="101"/>
      <c r="K69" s="101"/>
      <c r="L69" s="101"/>
      <c r="M69" s="101"/>
    </row>
    <row r="70" spans="1:13">
      <c r="A70" s="88" t="s">
        <v>62</v>
      </c>
      <c r="B70" s="88"/>
      <c r="C70" s="88"/>
      <c r="D70" s="79">
        <v>700000</v>
      </c>
      <c r="E70" s="101"/>
      <c r="H70" s="87"/>
      <c r="I70" s="87"/>
      <c r="J70" s="101"/>
      <c r="K70" s="101"/>
      <c r="L70" s="101"/>
      <c r="M70" s="101"/>
    </row>
    <row r="71" spans="1:13" ht="12.75" customHeight="1">
      <c r="A71" s="88" t="s">
        <v>63</v>
      </c>
      <c r="B71" s="88"/>
      <c r="C71" s="88"/>
      <c r="D71" s="79">
        <v>1000000</v>
      </c>
      <c r="E71" s="101"/>
      <c r="H71" s="87"/>
      <c r="I71" s="87"/>
      <c r="J71" s="101"/>
      <c r="K71" s="101"/>
      <c r="L71" s="101"/>
      <c r="M71" s="101"/>
    </row>
    <row r="72" spans="1:13" ht="12.75" customHeight="1">
      <c r="A72" s="88" t="s">
        <v>64</v>
      </c>
      <c r="B72" s="88"/>
      <c r="C72" s="88"/>
      <c r="D72" s="79">
        <v>300000</v>
      </c>
      <c r="E72" s="101"/>
      <c r="H72" s="87"/>
      <c r="I72" s="87"/>
      <c r="J72" s="101"/>
      <c r="K72" s="101"/>
      <c r="L72" s="101"/>
      <c r="M72" s="101"/>
    </row>
    <row r="73" spans="1:13" ht="12.75" customHeight="1">
      <c r="A73" s="88" t="s">
        <v>65</v>
      </c>
      <c r="B73" s="88"/>
      <c r="C73" s="88"/>
      <c r="D73" s="79">
        <v>800000</v>
      </c>
      <c r="E73" s="101"/>
      <c r="H73" s="87"/>
      <c r="I73" s="87"/>
      <c r="J73" s="101"/>
      <c r="K73" s="101"/>
      <c r="L73" s="101"/>
      <c r="M73" s="101"/>
    </row>
    <row r="74" spans="1:13" ht="12.75" customHeight="1">
      <c r="A74" s="88" t="s">
        <v>66</v>
      </c>
      <c r="B74" s="88"/>
      <c r="C74" s="88"/>
      <c r="D74" s="79">
        <v>300000</v>
      </c>
      <c r="E74" s="101"/>
      <c r="H74" s="87"/>
      <c r="I74" s="87"/>
      <c r="J74" s="101"/>
      <c r="K74" s="101"/>
      <c r="L74" s="101"/>
      <c r="M74" s="101"/>
    </row>
    <row r="75" spans="1:13">
      <c r="A75" s="88" t="s">
        <v>67</v>
      </c>
      <c r="B75" s="88"/>
      <c r="C75" s="88"/>
      <c r="D75" s="79">
        <v>0</v>
      </c>
      <c r="E75" s="101"/>
      <c r="H75" s="87"/>
      <c r="I75" s="87"/>
      <c r="J75" s="101"/>
      <c r="K75" s="101"/>
      <c r="L75" s="101"/>
      <c r="M75" s="101"/>
    </row>
    <row r="76" spans="1:13" ht="12.75" customHeight="1">
      <c r="A76" s="88" t="s">
        <v>68</v>
      </c>
      <c r="B76" s="88"/>
      <c r="C76" s="88"/>
      <c r="D76" s="79">
        <v>200000</v>
      </c>
      <c r="E76" s="101"/>
      <c r="H76" s="87"/>
      <c r="I76" s="87"/>
      <c r="J76" s="101"/>
      <c r="K76" s="101"/>
      <c r="L76" s="101"/>
      <c r="M76" s="101"/>
    </row>
    <row r="77" spans="1:13" ht="12.75" customHeight="1">
      <c r="A77" s="88" t="s">
        <v>69</v>
      </c>
      <c r="B77" s="88"/>
      <c r="C77" s="88"/>
      <c r="D77" s="79">
        <v>200000</v>
      </c>
      <c r="E77" s="101"/>
      <c r="H77" s="87"/>
      <c r="I77" s="87"/>
      <c r="J77" s="101"/>
      <c r="K77" s="101"/>
      <c r="L77" s="101"/>
      <c r="M77" s="101"/>
    </row>
    <row r="78" spans="1:13" ht="12.75" customHeight="1">
      <c r="A78" s="88" t="s">
        <v>70</v>
      </c>
      <c r="B78" s="88"/>
      <c r="C78" s="88"/>
      <c r="D78" s="79">
        <v>250000</v>
      </c>
      <c r="E78" s="101"/>
      <c r="H78" s="87"/>
      <c r="I78" s="87"/>
      <c r="J78" s="101"/>
      <c r="K78" s="101"/>
      <c r="L78" s="101"/>
      <c r="M78" s="101"/>
    </row>
    <row r="79" spans="1:13" ht="12.75" customHeight="1">
      <c r="A79" s="88" t="s">
        <v>71</v>
      </c>
      <c r="B79" s="88"/>
      <c r="C79" s="88"/>
      <c r="D79" s="79">
        <v>250000</v>
      </c>
      <c r="E79" s="101"/>
      <c r="H79" s="87"/>
      <c r="I79" s="87"/>
      <c r="J79" s="101"/>
      <c r="K79" s="101"/>
      <c r="L79" s="101"/>
      <c r="M79" s="101"/>
    </row>
    <row r="80" spans="1:13">
      <c r="A80" s="88" t="s">
        <v>72</v>
      </c>
      <c r="B80" s="88"/>
      <c r="C80" s="88"/>
      <c r="D80" s="79">
        <v>0</v>
      </c>
      <c r="E80" s="101"/>
      <c r="H80" s="87"/>
      <c r="I80" s="87"/>
      <c r="J80" s="101"/>
      <c r="K80" s="101"/>
      <c r="L80" s="101"/>
      <c r="M80" s="101"/>
    </row>
    <row r="81" spans="1:13">
      <c r="A81" s="90" t="s">
        <v>73</v>
      </c>
      <c r="B81" s="90"/>
      <c r="C81" s="90"/>
      <c r="D81" s="79">
        <v>16000000</v>
      </c>
      <c r="E81" s="101"/>
      <c r="H81" s="87"/>
      <c r="I81" s="87"/>
      <c r="J81" s="101"/>
      <c r="K81" s="101"/>
      <c r="L81" s="101"/>
      <c r="M81" s="101"/>
    </row>
    <row r="82" spans="1:13" ht="12.75" customHeight="1">
      <c r="A82" s="88" t="s">
        <v>74</v>
      </c>
      <c r="B82" s="88"/>
      <c r="C82" s="88"/>
      <c r="D82" s="79">
        <v>6000000</v>
      </c>
      <c r="E82" s="101"/>
      <c r="H82" s="87"/>
      <c r="I82" s="87"/>
      <c r="J82" s="101"/>
      <c r="K82" s="101"/>
      <c r="L82" s="101"/>
      <c r="M82" s="101"/>
    </row>
    <row r="83" spans="1:13" ht="12.75" customHeight="1">
      <c r="A83" s="88" t="s">
        <v>75</v>
      </c>
      <c r="B83" s="88"/>
      <c r="C83" s="88"/>
      <c r="D83" s="79">
        <v>0</v>
      </c>
      <c r="E83" s="101"/>
      <c r="H83" s="87"/>
      <c r="I83" s="87"/>
      <c r="J83" s="101"/>
      <c r="K83" s="101"/>
      <c r="L83" s="101"/>
      <c r="M83" s="101"/>
    </row>
    <row r="84" spans="1:13">
      <c r="A84" s="88" t="s">
        <v>76</v>
      </c>
      <c r="B84" s="88"/>
      <c r="C84" s="88"/>
      <c r="D84" s="79">
        <v>10000000</v>
      </c>
      <c r="E84" s="101"/>
      <c r="H84" s="87"/>
      <c r="I84" s="87"/>
      <c r="J84" s="101"/>
      <c r="K84" s="101"/>
      <c r="L84" s="101"/>
      <c r="M84" s="101"/>
    </row>
    <row r="85" spans="1:13">
      <c r="A85" s="88" t="s">
        <v>77</v>
      </c>
      <c r="B85" s="88"/>
      <c r="C85" s="88"/>
      <c r="D85" s="79">
        <v>0</v>
      </c>
      <c r="E85" s="101"/>
      <c r="H85" s="87"/>
      <c r="I85" s="87"/>
      <c r="J85" s="101"/>
      <c r="K85" s="101"/>
      <c r="L85" s="101"/>
      <c r="M85" s="101"/>
    </row>
    <row r="86" spans="1:13">
      <c r="A86" s="88" t="s">
        <v>78</v>
      </c>
      <c r="B86" s="88"/>
      <c r="C86" s="88"/>
      <c r="D86" s="79">
        <v>0</v>
      </c>
      <c r="E86" s="101"/>
      <c r="H86" s="87"/>
      <c r="I86" s="87"/>
      <c r="J86" s="101"/>
      <c r="K86" s="101"/>
      <c r="L86" s="101"/>
      <c r="M86" s="101"/>
    </row>
    <row r="87" spans="1:13">
      <c r="A87" s="90" t="s">
        <v>79</v>
      </c>
      <c r="B87" s="90"/>
      <c r="C87" s="90"/>
      <c r="D87" s="79">
        <v>0</v>
      </c>
      <c r="E87" s="101"/>
      <c r="H87" s="87"/>
      <c r="I87" s="87"/>
      <c r="J87" s="101"/>
      <c r="K87" s="101"/>
      <c r="L87" s="101"/>
      <c r="M87" s="101"/>
    </row>
    <row r="88" spans="1:13" ht="12.75" customHeight="1">
      <c r="A88" s="88" t="s">
        <v>80</v>
      </c>
      <c r="B88" s="88"/>
      <c r="C88" s="88"/>
      <c r="D88" s="79">
        <v>0</v>
      </c>
      <c r="E88" s="101"/>
      <c r="F88" s="87"/>
      <c r="G88" s="87"/>
      <c r="H88" s="87"/>
      <c r="I88" s="87"/>
      <c r="J88" s="101"/>
      <c r="K88" s="101"/>
      <c r="L88" s="101"/>
      <c r="M88" s="101"/>
    </row>
    <row r="89" spans="1:13">
      <c r="A89" s="88" t="s">
        <v>43</v>
      </c>
      <c r="B89" s="88"/>
      <c r="C89" s="88"/>
      <c r="D89" s="79">
        <v>0</v>
      </c>
      <c r="E89" s="101"/>
      <c r="F89" s="87"/>
      <c r="G89" s="87"/>
      <c r="H89" s="87"/>
      <c r="I89" s="87"/>
      <c r="J89" s="101"/>
      <c r="K89" s="101"/>
      <c r="L89" s="101"/>
      <c r="M89" s="101"/>
    </row>
    <row r="90" spans="1:13" ht="12.75" customHeight="1">
      <c r="A90" s="88" t="s">
        <v>81</v>
      </c>
      <c r="B90" s="88"/>
      <c r="C90" s="88"/>
      <c r="D90" s="79">
        <v>0</v>
      </c>
      <c r="E90" s="101"/>
      <c r="F90" s="87"/>
      <c r="G90" s="87"/>
      <c r="H90" s="87"/>
      <c r="I90" s="87"/>
      <c r="J90" s="101"/>
      <c r="K90" s="101"/>
      <c r="L90" s="101"/>
      <c r="M90" s="101"/>
    </row>
    <row r="91" spans="1:13">
      <c r="A91" s="88" t="s">
        <v>82</v>
      </c>
      <c r="B91" s="88"/>
      <c r="C91" s="88"/>
      <c r="D91" s="79">
        <v>0</v>
      </c>
      <c r="E91" s="101"/>
      <c r="F91" s="87"/>
      <c r="G91" s="87"/>
      <c r="H91" s="87"/>
      <c r="I91" s="87"/>
      <c r="J91" s="101"/>
      <c r="K91" s="101"/>
      <c r="L91" s="101"/>
      <c r="M91" s="101"/>
    </row>
    <row r="92" spans="1:13">
      <c r="A92" s="89" t="s">
        <v>83</v>
      </c>
      <c r="B92" s="89"/>
      <c r="C92" s="89"/>
      <c r="D92" s="81">
        <v>60000000</v>
      </c>
      <c r="E92" s="101"/>
      <c r="F92" s="102"/>
      <c r="G92" s="87"/>
      <c r="H92" s="87"/>
      <c r="I92" s="87"/>
      <c r="J92" s="102"/>
      <c r="K92" s="3"/>
      <c r="L92" s="4"/>
      <c r="M92" s="101"/>
    </row>
    <row r="93" spans="1:13" ht="12.75" customHeight="1">
      <c r="A93" s="89" t="s">
        <v>84</v>
      </c>
      <c r="B93" s="89"/>
      <c r="C93" s="89"/>
      <c r="D93" s="81">
        <v>143500000</v>
      </c>
      <c r="E93" s="101"/>
      <c r="F93" s="102"/>
      <c r="G93" s="87"/>
      <c r="H93" s="87"/>
      <c r="I93" s="87"/>
      <c r="J93" s="87"/>
      <c r="K93" s="3"/>
      <c r="L93" s="4"/>
    </row>
    <row r="94" spans="1:13">
      <c r="E94" s="77"/>
      <c r="F94" s="77"/>
      <c r="G94" s="77"/>
      <c r="H94" s="77"/>
      <c r="I94" s="77"/>
      <c r="J94" s="77"/>
    </row>
    <row r="95" spans="1:13">
      <c r="E95" s="77"/>
      <c r="F95" s="77"/>
      <c r="G95" s="77"/>
      <c r="H95" s="77"/>
      <c r="I95" s="77"/>
      <c r="J95" s="77"/>
    </row>
    <row r="96" spans="1:13">
      <c r="E96" s="77"/>
      <c r="F96" s="77"/>
      <c r="G96" s="77"/>
      <c r="H96" s="77"/>
      <c r="I96" s="77"/>
      <c r="J96" s="77"/>
    </row>
    <row r="97" spans="5:10">
      <c r="E97" s="77"/>
      <c r="F97" s="77"/>
      <c r="G97" s="77"/>
      <c r="H97" s="77"/>
      <c r="I97" s="77"/>
      <c r="J97" s="77"/>
    </row>
    <row r="98" spans="5:10">
      <c r="E98" s="77"/>
      <c r="F98" s="77"/>
      <c r="G98" s="77"/>
      <c r="H98" s="77"/>
      <c r="I98" s="77"/>
      <c r="J98" s="77"/>
    </row>
    <row r="99" spans="5:10">
      <c r="E99" s="77"/>
      <c r="F99" s="77"/>
      <c r="G99" s="77"/>
      <c r="H99" s="77"/>
      <c r="I99" s="77"/>
      <c r="J99" s="77"/>
    </row>
    <row r="100" spans="5:10">
      <c r="E100" s="77"/>
      <c r="F100" s="77"/>
      <c r="G100" s="77"/>
      <c r="H100" s="77"/>
      <c r="I100" s="77"/>
      <c r="J100" s="77"/>
    </row>
    <row r="126" spans="12:12" ht="2.1" customHeight="1">
      <c r="L126" s="4"/>
    </row>
  </sheetData>
  <mergeCells count="119">
    <mergeCell ref="B1:I2"/>
    <mergeCell ref="J1:K1"/>
    <mergeCell ref="B3:I3"/>
    <mergeCell ref="A8:C8"/>
    <mergeCell ref="G8:H8"/>
    <mergeCell ref="I8:J8"/>
    <mergeCell ref="A9:C9"/>
    <mergeCell ref="G9:H9"/>
    <mergeCell ref="I9:J9"/>
    <mergeCell ref="A4:C4"/>
    <mergeCell ref="G4:H4"/>
    <mergeCell ref="I4:J4"/>
    <mergeCell ref="A5:C5"/>
    <mergeCell ref="G5:H5"/>
    <mergeCell ref="I5:J5"/>
    <mergeCell ref="A6:C6"/>
    <mergeCell ref="G6:H6"/>
    <mergeCell ref="I6:J6"/>
    <mergeCell ref="A7:C7"/>
    <mergeCell ref="G7:H7"/>
    <mergeCell ref="I7:J7"/>
    <mergeCell ref="D4:F4"/>
    <mergeCell ref="D5:F5"/>
    <mergeCell ref="D6:F6"/>
    <mergeCell ref="D7:F7"/>
    <mergeCell ref="A13:C13"/>
    <mergeCell ref="G13:H13"/>
    <mergeCell ref="I13:J13"/>
    <mergeCell ref="A14:C14"/>
    <mergeCell ref="G14:H14"/>
    <mergeCell ref="I14:J14"/>
    <mergeCell ref="A15:C15"/>
    <mergeCell ref="A16:C16"/>
    <mergeCell ref="A10:C10"/>
    <mergeCell ref="G10:H10"/>
    <mergeCell ref="I10:J10"/>
    <mergeCell ref="A11:C11"/>
    <mergeCell ref="G11:H11"/>
    <mergeCell ref="I11:J11"/>
    <mergeCell ref="A12:C12"/>
    <mergeCell ref="G12:H12"/>
    <mergeCell ref="I12:J12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9:C89"/>
    <mergeCell ref="A90:C90"/>
    <mergeCell ref="A91:C91"/>
    <mergeCell ref="A92:C92"/>
    <mergeCell ref="A93:C93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</mergeCells>
  <pageMargins left="1" right="1" top="1" bottom="1" header="1" footer="1"/>
  <pageSetup scale="81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topLeftCell="A2" workbookViewId="0">
      <selection activeCell="G11" sqref="G11"/>
    </sheetView>
  </sheetViews>
  <sheetFormatPr defaultRowHeight="12.75"/>
  <cols>
    <col min="1" max="1" width="3" style="7" bestFit="1" customWidth="1"/>
    <col min="2" max="2" width="3.85546875" style="7" customWidth="1"/>
    <col min="3" max="3" width="40.5703125" style="7" customWidth="1"/>
    <col min="4" max="4" width="15" style="9" bestFit="1" customWidth="1"/>
    <col min="5" max="5" width="15" style="9" customWidth="1"/>
    <col min="6" max="6" width="15.28515625" style="7" customWidth="1"/>
    <col min="7" max="7" width="15" style="7" bestFit="1" customWidth="1"/>
    <col min="8" max="8" width="16.28515625" style="5" customWidth="1"/>
    <col min="9" max="9" width="13.85546875" style="5" customWidth="1"/>
    <col min="10" max="10" width="10.140625" style="6" customWidth="1"/>
    <col min="11" max="11" width="12.42578125" style="6" customWidth="1"/>
    <col min="12" max="16384" width="9.140625" style="7"/>
  </cols>
  <sheetData>
    <row r="1" spans="1:11" ht="15.75">
      <c r="A1" s="96"/>
      <c r="B1" s="96"/>
      <c r="C1" s="96"/>
      <c r="D1" s="96"/>
      <c r="E1" s="96"/>
      <c r="F1" s="96"/>
      <c r="G1" s="96"/>
      <c r="H1" s="69"/>
    </row>
    <row r="2" spans="1:11" ht="15.75">
      <c r="A2" s="97" t="s">
        <v>122</v>
      </c>
      <c r="B2" s="97"/>
      <c r="C2" s="97"/>
      <c r="D2" s="97"/>
      <c r="E2" s="97"/>
      <c r="F2" s="97"/>
      <c r="G2" s="97"/>
      <c r="H2" s="69"/>
    </row>
    <row r="3" spans="1:11" ht="13.5" thickBot="1">
      <c r="A3" s="8"/>
      <c r="B3" s="9"/>
      <c r="C3" s="9"/>
      <c r="F3" s="5"/>
      <c r="G3" s="10">
        <v>0.4</v>
      </c>
      <c r="H3" s="11">
        <f>1-G3</f>
        <v>0.6</v>
      </c>
    </row>
    <row r="4" spans="1:11" ht="39" thickBot="1">
      <c r="A4" s="12"/>
      <c r="B4" s="12"/>
      <c r="C4" s="12"/>
      <c r="D4" s="13" t="s">
        <v>85</v>
      </c>
      <c r="E4" s="13" t="s">
        <v>85</v>
      </c>
      <c r="F4" s="13" t="s">
        <v>85</v>
      </c>
      <c r="G4" s="13" t="s">
        <v>86</v>
      </c>
      <c r="H4" s="13" t="s">
        <v>87</v>
      </c>
    </row>
    <row r="5" spans="1:11" ht="39" thickBot="1">
      <c r="A5" s="12"/>
      <c r="B5" s="12"/>
      <c r="C5" s="12"/>
      <c r="D5" s="14" t="s">
        <v>89</v>
      </c>
      <c r="E5" s="14" t="s">
        <v>90</v>
      </c>
      <c r="F5" s="14" t="s">
        <v>92</v>
      </c>
      <c r="G5" s="15" t="s">
        <v>93</v>
      </c>
      <c r="H5" s="14" t="s">
        <v>94</v>
      </c>
    </row>
    <row r="6" spans="1:11" ht="22.5" customHeight="1">
      <c r="A6" s="16" t="s">
        <v>95</v>
      </c>
      <c r="B6" s="17" t="s">
        <v>96</v>
      </c>
      <c r="C6" s="16"/>
      <c r="D6" s="20"/>
      <c r="E6" s="7"/>
      <c r="H6" s="7"/>
    </row>
    <row r="7" spans="1:11">
      <c r="A7" s="12"/>
      <c r="B7" s="21"/>
      <c r="C7" s="12" t="s">
        <v>125</v>
      </c>
      <c r="D7" s="23">
        <f>F7/F$8</f>
        <v>1.2394897071614961</v>
      </c>
      <c r="E7" s="33">
        <f>F7*2080</f>
        <v>88920</v>
      </c>
      <c r="F7" s="34">
        <f>ROUND(G$3*G7+H$3*H7,2)</f>
        <v>42.75</v>
      </c>
      <c r="G7" s="35">
        <v>48.19</v>
      </c>
      <c r="H7" s="35">
        <v>39.130000000000003</v>
      </c>
    </row>
    <row r="8" spans="1:11">
      <c r="A8" s="12"/>
      <c r="B8" s="21"/>
      <c r="C8" s="12" t="s">
        <v>135</v>
      </c>
      <c r="D8" s="23">
        <f>F8/F$8</f>
        <v>1</v>
      </c>
      <c r="E8" s="33">
        <f>F8*2080</f>
        <v>71739.199999999997</v>
      </c>
      <c r="F8" s="34">
        <f>ROUND(G$3*G8+H$3*H8,2)</f>
        <v>34.49</v>
      </c>
      <c r="G8" s="34">
        <f>G7-G38-G42</f>
        <v>39.82</v>
      </c>
      <c r="H8" s="34">
        <f>H7-H38-H42</f>
        <v>30.94</v>
      </c>
    </row>
    <row r="9" spans="1:11">
      <c r="A9" s="12"/>
      <c r="B9" s="12"/>
      <c r="C9" s="21"/>
      <c r="D9" s="23"/>
      <c r="E9" s="38"/>
      <c r="F9" s="38"/>
      <c r="G9" s="38"/>
      <c r="H9" s="38"/>
    </row>
    <row r="10" spans="1:11">
      <c r="A10" s="16" t="s">
        <v>97</v>
      </c>
      <c r="B10" s="17" t="s">
        <v>126</v>
      </c>
      <c r="C10" s="16"/>
      <c r="D10" s="23"/>
      <c r="E10" s="25"/>
      <c r="F10" s="27"/>
      <c r="H10" s="7"/>
    </row>
    <row r="11" spans="1:11">
      <c r="A11" s="12"/>
      <c r="B11" s="21"/>
      <c r="C11" s="12" t="s">
        <v>127</v>
      </c>
      <c r="D11" s="23">
        <f>F11/F$8</f>
        <v>5.5088431429399821E-2</v>
      </c>
      <c r="E11" s="33">
        <f>F11*2080</f>
        <v>3952</v>
      </c>
      <c r="F11" s="34">
        <f>ROUND(G$3*G11+H$3*H11,2)</f>
        <v>1.9</v>
      </c>
      <c r="G11" s="35">
        <v>2.09</v>
      </c>
      <c r="H11" s="35">
        <v>1.78</v>
      </c>
      <c r="J11" s="31"/>
      <c r="K11" s="39"/>
    </row>
    <row r="12" spans="1:11">
      <c r="A12" s="12"/>
      <c r="B12" s="21"/>
      <c r="C12" s="12" t="s">
        <v>128</v>
      </c>
      <c r="D12" s="23">
        <f>F12/F$8</f>
        <v>3.1893302406494635E-2</v>
      </c>
      <c r="E12" s="33">
        <f>F12*2080</f>
        <v>2288</v>
      </c>
      <c r="F12" s="34">
        <f>ROUND(G$3*G12+H$3*H12,2)</f>
        <v>1.1000000000000001</v>
      </c>
      <c r="G12" s="35">
        <v>1.26</v>
      </c>
      <c r="H12" s="35">
        <v>1</v>
      </c>
      <c r="J12" s="31"/>
      <c r="K12" s="39"/>
    </row>
    <row r="13" spans="1:11">
      <c r="A13" s="12"/>
      <c r="B13" s="21"/>
      <c r="C13" s="40" t="s">
        <v>129</v>
      </c>
      <c r="D13" s="41">
        <f>F13/F$8</f>
        <v>1.8556103218324151E-2</v>
      </c>
      <c r="E13" s="42">
        <f>F13*2080</f>
        <v>1331.2</v>
      </c>
      <c r="F13" s="43">
        <f>ROUND(G$3*G13+H$3*H13,2)</f>
        <v>0.64</v>
      </c>
      <c r="G13" s="44">
        <f>0.53+0.17</f>
        <v>0.70000000000000007</v>
      </c>
      <c r="H13" s="44">
        <f>0.45+0.15</f>
        <v>0.6</v>
      </c>
      <c r="J13" s="31"/>
      <c r="K13" s="39"/>
    </row>
    <row r="14" spans="1:11">
      <c r="A14" s="12"/>
      <c r="B14" s="12"/>
      <c r="C14" s="45" t="s">
        <v>98</v>
      </c>
      <c r="D14" s="47">
        <f>SUM(D11:D13)</f>
        <v>0.10553783705421861</v>
      </c>
      <c r="E14" s="50">
        <f>SUM(E11:E13)</f>
        <v>7571.2</v>
      </c>
      <c r="F14" s="52">
        <f>SUM(F11:F13)</f>
        <v>3.64</v>
      </c>
      <c r="G14" s="52">
        <f>SUM(G11:G13)</f>
        <v>4.05</v>
      </c>
      <c r="H14" s="52">
        <f>SUM(H11:H13)</f>
        <v>3.3800000000000003</v>
      </c>
      <c r="J14" s="31"/>
      <c r="K14" s="39"/>
    </row>
    <row r="15" spans="1:11">
      <c r="A15" s="12"/>
      <c r="B15" s="12"/>
      <c r="C15" s="53"/>
      <c r="D15" s="54"/>
      <c r="E15" s="50"/>
      <c r="F15" s="52"/>
      <c r="G15" s="52"/>
      <c r="H15" s="52"/>
      <c r="J15" s="31"/>
      <c r="K15" s="39"/>
    </row>
    <row r="16" spans="1:11">
      <c r="A16" s="16" t="s">
        <v>99</v>
      </c>
      <c r="B16" s="16" t="s">
        <v>100</v>
      </c>
      <c r="C16" s="21"/>
      <c r="D16" s="23"/>
      <c r="E16" s="33"/>
      <c r="F16" s="33"/>
      <c r="G16" s="33"/>
      <c r="H16" s="33"/>
    </row>
    <row r="17" spans="1:11">
      <c r="A17" s="12"/>
      <c r="B17" s="12"/>
      <c r="C17" s="12" t="s">
        <v>101</v>
      </c>
      <c r="D17" s="23">
        <f>F17/F$8</f>
        <v>8.9881124963757612E-3</v>
      </c>
      <c r="E17" s="33">
        <f>F17*2080</f>
        <v>644.79999999999995</v>
      </c>
      <c r="F17" s="34">
        <f>ROUND(G$3*G17+H$3*H17,2)</f>
        <v>0.31</v>
      </c>
      <c r="G17" s="35">
        <v>0.19</v>
      </c>
      <c r="H17" s="35">
        <v>0.39</v>
      </c>
    </row>
    <row r="18" spans="1:11">
      <c r="A18" s="12"/>
      <c r="B18" s="12"/>
      <c r="C18" s="12" t="s">
        <v>102</v>
      </c>
      <c r="D18" s="23">
        <f>F18/F$8</f>
        <v>4.9289649173673532E-3</v>
      </c>
      <c r="E18" s="33">
        <f>F18*2080</f>
        <v>353.6</v>
      </c>
      <c r="F18" s="34">
        <f>ROUND(G$3*G18+H$3*H18,2)</f>
        <v>0.17</v>
      </c>
      <c r="G18" s="35">
        <v>0.13</v>
      </c>
      <c r="H18" s="35">
        <v>0.2</v>
      </c>
    </row>
    <row r="19" spans="1:11">
      <c r="A19" s="12"/>
      <c r="B19" s="40"/>
      <c r="C19" s="55" t="s">
        <v>120</v>
      </c>
      <c r="D19" s="41">
        <f>F19/F$8</f>
        <v>2.9283850391417801E-2</v>
      </c>
      <c r="E19" s="42">
        <f>F19*2080</f>
        <v>2100.8000000000002</v>
      </c>
      <c r="F19" s="43">
        <f>ROUND(G$3*G19+H$3*H19,2)</f>
        <v>1.01</v>
      </c>
      <c r="G19" s="44">
        <v>1.32</v>
      </c>
      <c r="H19" s="44">
        <v>0.81</v>
      </c>
      <c r="J19" s="56"/>
      <c r="K19" s="56"/>
    </row>
    <row r="20" spans="1:11">
      <c r="A20" s="12"/>
      <c r="B20" s="40"/>
      <c r="C20" s="45" t="s">
        <v>103</v>
      </c>
      <c r="D20" s="47">
        <f>SUM(D17:D19)</f>
        <v>4.3200927805160917E-2</v>
      </c>
      <c r="E20" s="50">
        <f>SUM(E17:E19)</f>
        <v>3099.2000000000003</v>
      </c>
      <c r="F20" s="52">
        <f>SUM(F17:F19)</f>
        <v>1.49</v>
      </c>
      <c r="G20" s="52">
        <f>SUM(G17:G19)</f>
        <v>1.6400000000000001</v>
      </c>
      <c r="H20" s="52">
        <f>SUM(H17:H19)</f>
        <v>1.4000000000000001</v>
      </c>
    </row>
    <row r="21" spans="1:11">
      <c r="A21" s="12"/>
      <c r="B21" s="12"/>
      <c r="C21" s="21"/>
      <c r="D21" s="23"/>
      <c r="E21" s="33"/>
      <c r="F21" s="34"/>
      <c r="G21" s="34"/>
      <c r="H21" s="34"/>
    </row>
    <row r="22" spans="1:11">
      <c r="A22" s="16" t="s">
        <v>104</v>
      </c>
      <c r="B22" s="16" t="s">
        <v>130</v>
      </c>
      <c r="C22" s="21"/>
      <c r="D22" s="23"/>
      <c r="E22" s="33"/>
      <c r="F22" s="34"/>
      <c r="G22" s="34"/>
      <c r="H22" s="34"/>
    </row>
    <row r="23" spans="1:11">
      <c r="A23" s="12"/>
      <c r="B23" s="57"/>
      <c r="C23" s="53" t="s">
        <v>131</v>
      </c>
      <c r="D23" s="23">
        <f>F23/F$8</f>
        <v>2.029573789504204E-3</v>
      </c>
      <c r="E23" s="58">
        <f>F23*2080</f>
        <v>145.60000000000002</v>
      </c>
      <c r="F23" s="59">
        <f>ROUND(G$3*G23+H$3*H23,2)</f>
        <v>7.0000000000000007E-2</v>
      </c>
      <c r="G23" s="60">
        <v>0.08</v>
      </c>
      <c r="H23" s="60">
        <v>7.0000000000000007E-2</v>
      </c>
      <c r="J23" s="31"/>
      <c r="K23" s="39"/>
    </row>
    <row r="24" spans="1:11">
      <c r="A24" s="12"/>
      <c r="B24" s="57"/>
      <c r="C24" s="53" t="s">
        <v>132</v>
      </c>
      <c r="D24" s="47">
        <f>F24/F$8</f>
        <v>9.0750942302116541E-2</v>
      </c>
      <c r="E24" s="50">
        <f>F24*2080</f>
        <v>6510.4</v>
      </c>
      <c r="F24" s="52">
        <f>ROUND(G$3*G24+H$3*H24,2)</f>
        <v>3.13</v>
      </c>
      <c r="G24" s="35">
        <v>2.94</v>
      </c>
      <c r="H24" s="35">
        <v>3.26</v>
      </c>
      <c r="J24" s="31"/>
      <c r="K24" s="39"/>
    </row>
    <row r="25" spans="1:11">
      <c r="A25" s="12"/>
      <c r="B25" s="21"/>
      <c r="C25" s="53" t="s">
        <v>105</v>
      </c>
      <c r="D25" s="23">
        <f>F25/F$8</f>
        <v>2.8993911278631487E-3</v>
      </c>
      <c r="E25" s="33">
        <f>F25*2080</f>
        <v>208</v>
      </c>
      <c r="F25" s="34">
        <f>ROUND(G$3*G25+H$3*H25,2)</f>
        <v>0.1</v>
      </c>
      <c r="G25" s="35">
        <v>0.09</v>
      </c>
      <c r="H25" s="35">
        <v>0.1</v>
      </c>
      <c r="J25" s="31"/>
      <c r="K25" s="39"/>
    </row>
    <row r="26" spans="1:11">
      <c r="A26" s="12"/>
      <c r="B26" s="21"/>
      <c r="C26" s="61" t="s">
        <v>106</v>
      </c>
      <c r="D26" s="41">
        <f>F26/F$8</f>
        <v>2.6094520150768338E-3</v>
      </c>
      <c r="E26" s="42">
        <f>F26*2080</f>
        <v>187.2</v>
      </c>
      <c r="F26" s="43">
        <f>ROUND(G$3*G26+H$3*H26,2)</f>
        <v>0.09</v>
      </c>
      <c r="G26" s="44">
        <v>0.09</v>
      </c>
      <c r="H26" s="44">
        <v>0.09</v>
      </c>
      <c r="J26" s="31"/>
      <c r="K26" s="39"/>
    </row>
    <row r="27" spans="1:11">
      <c r="A27" s="12"/>
      <c r="B27" s="21"/>
      <c r="C27" s="45" t="s">
        <v>107</v>
      </c>
      <c r="D27" s="47">
        <f>SUM(D23:D26)</f>
        <v>9.8289359234560725E-2</v>
      </c>
      <c r="E27" s="50">
        <f>SUM(E23:E26)</f>
        <v>7051.2</v>
      </c>
      <c r="F27" s="52">
        <f>SUM(F23:F26)</f>
        <v>3.3899999999999997</v>
      </c>
      <c r="G27" s="52">
        <f>SUM(G23:G26)</f>
        <v>3.1999999999999997</v>
      </c>
      <c r="H27" s="52">
        <f>SUM(H23:H26)</f>
        <v>3.5199999999999996</v>
      </c>
      <c r="J27" s="31"/>
      <c r="K27" s="39"/>
    </row>
    <row r="28" spans="1:11">
      <c r="A28" s="12"/>
      <c r="B28" s="21"/>
      <c r="C28" s="53"/>
      <c r="D28" s="23"/>
      <c r="E28" s="33"/>
      <c r="F28" s="34"/>
      <c r="G28" s="34"/>
      <c r="H28" s="34"/>
    </row>
    <row r="29" spans="1:11">
      <c r="A29" s="16" t="s">
        <v>108</v>
      </c>
      <c r="B29" s="16" t="s">
        <v>109</v>
      </c>
      <c r="C29" s="21"/>
      <c r="D29" s="23"/>
      <c r="E29" s="33"/>
      <c r="F29" s="34"/>
      <c r="G29" s="34"/>
      <c r="H29" s="34"/>
    </row>
    <row r="30" spans="1:11">
      <c r="A30" s="16"/>
      <c r="B30" s="21"/>
      <c r="C30" s="53" t="s">
        <v>124</v>
      </c>
      <c r="D30" s="23">
        <f>F30/F$8</f>
        <v>2.14554943461873E-2</v>
      </c>
      <c r="E30" s="33">
        <f>F30*2080</f>
        <v>1539.2</v>
      </c>
      <c r="F30" s="34">
        <f>ROUND(G$3*G30+H$3*H30,2)</f>
        <v>0.74</v>
      </c>
      <c r="G30" s="35">
        <v>0.6</v>
      </c>
      <c r="H30" s="35">
        <v>0.84</v>
      </c>
      <c r="J30" s="31"/>
      <c r="K30" s="39"/>
    </row>
    <row r="31" spans="1:11">
      <c r="A31" s="16"/>
      <c r="B31" s="21"/>
      <c r="C31" s="53" t="s">
        <v>121</v>
      </c>
      <c r="D31" s="41">
        <f>F31/F$8</f>
        <v>3.1893302406494635E-2</v>
      </c>
      <c r="E31" s="42">
        <f>F31*2080</f>
        <v>2288</v>
      </c>
      <c r="F31" s="43">
        <f>ROUND(G$3*G31+H$3*H31,2)</f>
        <v>1.1000000000000001</v>
      </c>
      <c r="G31" s="44">
        <v>1.21</v>
      </c>
      <c r="H31" s="44">
        <v>1.02</v>
      </c>
      <c r="J31" s="31"/>
      <c r="K31" s="39"/>
    </row>
    <row r="32" spans="1:11">
      <c r="A32" s="12"/>
      <c r="B32" s="21"/>
      <c r="C32" s="53" t="s">
        <v>110</v>
      </c>
      <c r="D32" s="47">
        <f>SUM(D30:D31)</f>
        <v>5.3348796752681935E-2</v>
      </c>
      <c r="E32" s="50">
        <f>SUM(E30:E31)</f>
        <v>3827.2</v>
      </c>
      <c r="F32" s="52">
        <f>SUM(F30:F31)</f>
        <v>1.84</v>
      </c>
      <c r="G32" s="52">
        <f>SUM(G30:G31)</f>
        <v>1.81</v>
      </c>
      <c r="H32" s="52">
        <f>SUM(H30:H31)</f>
        <v>1.8599999999999999</v>
      </c>
      <c r="J32" s="31"/>
      <c r="K32" s="39"/>
    </row>
    <row r="33" spans="1:12">
      <c r="A33" s="12"/>
      <c r="B33" s="12"/>
      <c r="C33" s="12"/>
      <c r="D33" s="23"/>
      <c r="E33" s="33"/>
      <c r="F33" s="33"/>
      <c r="G33" s="33"/>
      <c r="H33" s="33"/>
    </row>
    <row r="34" spans="1:12">
      <c r="A34" s="16" t="s">
        <v>111</v>
      </c>
      <c r="B34" s="17" t="s">
        <v>112</v>
      </c>
      <c r="C34" s="16"/>
      <c r="D34" s="23"/>
      <c r="E34" s="25"/>
      <c r="F34" s="27"/>
      <c r="H34" s="7"/>
    </row>
    <row r="35" spans="1:12">
      <c r="A35" s="12"/>
      <c r="B35" s="21"/>
      <c r="C35" s="12" t="s">
        <v>113</v>
      </c>
      <c r="D35" s="23">
        <f>F35/F$8</f>
        <v>7.1904899971006089E-2</v>
      </c>
      <c r="E35" s="33">
        <f>F35*2080</f>
        <v>5158.3999999999996</v>
      </c>
      <c r="F35" s="34">
        <f>ROUND(G$3*G35+H$3*H35,2)</f>
        <v>2.48</v>
      </c>
      <c r="G35" s="35">
        <v>2.82</v>
      </c>
      <c r="H35" s="35">
        <v>2.2599999999999998</v>
      </c>
      <c r="J35" s="31"/>
      <c r="K35" s="39"/>
    </row>
    <row r="36" spans="1:12">
      <c r="A36" s="12"/>
      <c r="B36" s="21"/>
      <c r="C36" s="12" t="s">
        <v>114</v>
      </c>
      <c r="D36" s="23">
        <f>F36/F$8</f>
        <v>4.9289649173673532E-3</v>
      </c>
      <c r="E36" s="33">
        <f>F36*2080</f>
        <v>353.6</v>
      </c>
      <c r="F36" s="34">
        <f>ROUND(G$3*G36+H$3*H36,2)</f>
        <v>0.17</v>
      </c>
      <c r="G36" s="35">
        <f>0.03+0.15</f>
        <v>0.18</v>
      </c>
      <c r="H36" s="35">
        <f>0.03+0.13</f>
        <v>0.16</v>
      </c>
      <c r="J36" s="31"/>
      <c r="K36" s="39"/>
    </row>
    <row r="37" spans="1:12">
      <c r="A37" s="12"/>
      <c r="B37" s="21"/>
      <c r="C37" s="12" t="s">
        <v>133</v>
      </c>
      <c r="D37" s="41">
        <f>F37/F$8</f>
        <v>1.1017686285879964E-2</v>
      </c>
      <c r="E37" s="42">
        <f>F37*2080</f>
        <v>790.4</v>
      </c>
      <c r="F37" s="43">
        <f>ROUND(G$3*G37+H$3*H37,2)</f>
        <v>0.38</v>
      </c>
      <c r="G37" s="44">
        <v>0.36</v>
      </c>
      <c r="H37" s="44">
        <v>0.39</v>
      </c>
      <c r="J37" s="31"/>
      <c r="K37" s="39"/>
    </row>
    <row r="38" spans="1:12">
      <c r="A38" s="12"/>
      <c r="B38" s="12"/>
      <c r="C38" s="45" t="s">
        <v>115</v>
      </c>
      <c r="D38" s="23">
        <f>SUM(D35:D37)</f>
        <v>8.7851551174253417E-2</v>
      </c>
      <c r="E38" s="50">
        <f>SUM(E35:E37)</f>
        <v>6302.4</v>
      </c>
      <c r="F38" s="52">
        <f>SUM(F35:F37)</f>
        <v>3.03</v>
      </c>
      <c r="G38" s="52">
        <f>SUM(G35:G37)</f>
        <v>3.36</v>
      </c>
      <c r="H38" s="52">
        <f>SUM(H35:H37)</f>
        <v>2.81</v>
      </c>
      <c r="J38" s="31"/>
      <c r="K38" s="39"/>
    </row>
    <row r="39" spans="1:12">
      <c r="A39" s="12"/>
      <c r="B39" s="40"/>
      <c r="C39" s="55"/>
      <c r="D39" s="23"/>
      <c r="E39" s="33"/>
      <c r="F39" s="33"/>
      <c r="G39" s="33"/>
      <c r="H39" s="33"/>
    </row>
    <row r="40" spans="1:12">
      <c r="A40" s="17" t="s">
        <v>116</v>
      </c>
      <c r="B40" s="63" t="s">
        <v>146</v>
      </c>
      <c r="C40" s="64"/>
      <c r="J40" s="65"/>
      <c r="K40" s="65"/>
    </row>
    <row r="41" spans="1:12">
      <c r="A41" s="17"/>
      <c r="B41" s="63"/>
      <c r="C41" s="12" t="s">
        <v>134</v>
      </c>
      <c r="D41" s="23">
        <f>D14</f>
        <v>0.10553783705421861</v>
      </c>
      <c r="E41" s="33">
        <f>E14</f>
        <v>7571.2</v>
      </c>
      <c r="F41" s="34">
        <f>F14</f>
        <v>3.64</v>
      </c>
      <c r="G41" s="34">
        <f>G14</f>
        <v>4.05</v>
      </c>
      <c r="H41" s="34">
        <f>H14</f>
        <v>3.3800000000000003</v>
      </c>
      <c r="J41" s="65"/>
      <c r="K41" s="65"/>
    </row>
    <row r="42" spans="1:12">
      <c r="A42" s="17"/>
      <c r="B42" s="63"/>
      <c r="C42" s="12" t="s">
        <v>136</v>
      </c>
      <c r="D42" s="41">
        <f>D27+D32</f>
        <v>0.15163815598724267</v>
      </c>
      <c r="E42" s="42">
        <f>E27+E32</f>
        <v>10878.4</v>
      </c>
      <c r="F42" s="43">
        <f>F27+F32</f>
        <v>5.2299999999999995</v>
      </c>
      <c r="G42" s="43">
        <f>G27+G32</f>
        <v>5.01</v>
      </c>
      <c r="H42" s="43">
        <f>H27+H32</f>
        <v>5.379999999999999</v>
      </c>
      <c r="J42" s="65"/>
      <c r="K42" s="65"/>
    </row>
    <row r="43" spans="1:12">
      <c r="A43" s="17"/>
      <c r="B43" s="63"/>
      <c r="C43" s="12" t="s">
        <v>117</v>
      </c>
      <c r="D43" s="47">
        <f>SUM(D41:D42)</f>
        <v>0.25717599304146127</v>
      </c>
      <c r="E43" s="50">
        <f>SUM(E41:E42)</f>
        <v>18449.599999999999</v>
      </c>
      <c r="F43" s="52">
        <f>SUM(F41:F42)</f>
        <v>8.8699999999999992</v>
      </c>
      <c r="G43" s="52">
        <f>SUM(G41:G42)</f>
        <v>9.0599999999999987</v>
      </c>
      <c r="H43" s="52">
        <f>SUM(H41:H42)</f>
        <v>8.76</v>
      </c>
      <c r="J43" s="65"/>
      <c r="K43" s="65"/>
    </row>
    <row r="44" spans="1:12">
      <c r="A44" s="17"/>
      <c r="B44" s="63"/>
      <c r="C44" s="64"/>
      <c r="D44" s="23"/>
      <c r="E44" s="50"/>
      <c r="F44" s="52"/>
      <c r="G44" s="52"/>
      <c r="H44" s="52"/>
      <c r="J44" s="65"/>
      <c r="K44" s="65"/>
    </row>
    <row r="45" spans="1:12">
      <c r="A45" s="17" t="s">
        <v>144</v>
      </c>
      <c r="B45" s="63" t="s">
        <v>150</v>
      </c>
      <c r="C45" s="64"/>
      <c r="D45" s="27"/>
      <c r="F45" s="9"/>
      <c r="G45" s="48"/>
      <c r="H45" s="9"/>
      <c r="J45" s="5"/>
      <c r="K45" s="5"/>
      <c r="L45" s="5"/>
    </row>
    <row r="46" spans="1:12">
      <c r="A46" s="17"/>
      <c r="B46" s="63"/>
      <c r="C46" s="84" t="s">
        <v>141</v>
      </c>
      <c r="D46" s="23">
        <f>D8</f>
        <v>1</v>
      </c>
      <c r="E46" s="33">
        <f>E8</f>
        <v>71739.199999999997</v>
      </c>
      <c r="F46" s="34">
        <f>F8</f>
        <v>34.49</v>
      </c>
      <c r="G46" s="34">
        <f>G8</f>
        <v>39.82</v>
      </c>
      <c r="H46" s="34">
        <f>H8</f>
        <v>30.94</v>
      </c>
      <c r="J46" s="5"/>
      <c r="K46" s="5"/>
      <c r="L46" s="5"/>
    </row>
    <row r="47" spans="1:12">
      <c r="A47" s="17"/>
      <c r="B47" s="63"/>
      <c r="C47" s="84" t="s">
        <v>142</v>
      </c>
      <c r="D47" s="41">
        <f>D43</f>
        <v>0.25717599304146127</v>
      </c>
      <c r="E47" s="42">
        <f>E43</f>
        <v>18449.599999999999</v>
      </c>
      <c r="F47" s="43">
        <f>F43</f>
        <v>8.8699999999999992</v>
      </c>
      <c r="G47" s="43">
        <f>G43</f>
        <v>9.0599999999999987</v>
      </c>
      <c r="H47" s="43">
        <f>H43</f>
        <v>8.76</v>
      </c>
      <c r="J47" s="5"/>
      <c r="K47" s="5"/>
      <c r="L47" s="5"/>
    </row>
    <row r="48" spans="1:12">
      <c r="A48" s="17"/>
      <c r="B48" s="63"/>
      <c r="C48" s="84" t="s">
        <v>143</v>
      </c>
      <c r="D48" s="47">
        <f>SUM(D46:D47)</f>
        <v>1.2571759930414612</v>
      </c>
      <c r="E48" s="50">
        <f>SUM(E46:E47)</f>
        <v>90188.799999999988</v>
      </c>
      <c r="F48" s="52">
        <f>SUM(F46:F47)</f>
        <v>43.36</v>
      </c>
      <c r="G48" s="52">
        <f>SUM(G46:G47)</f>
        <v>48.879999999999995</v>
      </c>
      <c r="H48" s="52">
        <f>SUM(H46:H47)</f>
        <v>39.700000000000003</v>
      </c>
      <c r="J48" s="5"/>
      <c r="K48" s="5"/>
      <c r="L48" s="5"/>
    </row>
  </sheetData>
  <mergeCells count="2">
    <mergeCell ref="A1:G1"/>
    <mergeCell ref="A2:G2"/>
  </mergeCells>
  <pageMargins left="0.7" right="0.7" top="0.75" bottom="0.75" header="0.3" footer="0.3"/>
  <pageSetup scale="8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8"/>
  <sheetViews>
    <sheetView zoomScaleNormal="100" workbookViewId="0">
      <selection activeCell="D29" sqref="D29"/>
    </sheetView>
  </sheetViews>
  <sheetFormatPr defaultRowHeight="12.75"/>
  <cols>
    <col min="1" max="1" width="3" style="7" bestFit="1" customWidth="1"/>
    <col min="2" max="2" width="3.85546875" style="7" customWidth="1"/>
    <col min="3" max="3" width="39.7109375" style="7" customWidth="1"/>
    <col min="4" max="4" width="14.85546875" style="7" customWidth="1"/>
    <col min="5" max="5" width="11.85546875" style="9" customWidth="1"/>
    <col min="6" max="6" width="14.85546875" style="9" customWidth="1"/>
    <col min="7" max="7" width="10.5703125" style="9" customWidth="1"/>
    <col min="8" max="8" width="13" style="9" customWidth="1"/>
    <col min="9" max="9" width="11.42578125" style="9" customWidth="1"/>
    <col min="10" max="10" width="14.85546875" style="9" customWidth="1"/>
    <col min="11" max="11" width="15.140625" style="7" customWidth="1"/>
    <col min="12" max="12" width="12.28515625" style="7" customWidth="1"/>
    <col min="13" max="13" width="13.85546875" style="5" customWidth="1"/>
    <col min="14" max="14" width="10.140625" style="6" customWidth="1"/>
    <col min="15" max="15" width="12.42578125" style="6" customWidth="1"/>
    <col min="16" max="16384" width="9.140625" style="7"/>
  </cols>
  <sheetData>
    <row r="1" spans="1:15" ht="15.75">
      <c r="A1" s="96" t="str">
        <f>'WFIS Data'!$D$5</f>
        <v>Sample Facility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5" ht="16.5" thickBot="1">
      <c r="A2" s="96" t="str">
        <f>'WFIS Data'!$D$6</f>
        <v>Sample Contractor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5" ht="51.75" thickBot="1">
      <c r="A3" s="12"/>
      <c r="B3" s="12"/>
      <c r="C3" s="12"/>
      <c r="D3" s="98" t="str">
        <f>A1</f>
        <v>Sample Facility</v>
      </c>
      <c r="E3" s="99"/>
      <c r="F3" s="13" t="s">
        <v>85</v>
      </c>
      <c r="G3" s="98" t="str">
        <f>D3</f>
        <v>Sample Facility</v>
      </c>
      <c r="H3" s="100"/>
      <c r="I3" s="99"/>
      <c r="J3" s="13" t="s">
        <v>85</v>
      </c>
      <c r="K3" s="78" t="str">
        <f>D3</f>
        <v>Sample Facility</v>
      </c>
      <c r="L3" s="13" t="s">
        <v>85</v>
      </c>
    </row>
    <row r="4" spans="1:15" ht="39" thickBot="1">
      <c r="A4" s="12"/>
      <c r="B4" s="12"/>
      <c r="C4" s="12"/>
      <c r="D4" s="14" t="s">
        <v>88</v>
      </c>
      <c r="E4" s="14" t="s">
        <v>89</v>
      </c>
      <c r="F4" s="14" t="s">
        <v>89</v>
      </c>
      <c r="G4" s="14" t="s">
        <v>151</v>
      </c>
      <c r="H4" s="14" t="s">
        <v>90</v>
      </c>
      <c r="I4" s="14" t="s">
        <v>91</v>
      </c>
      <c r="J4" s="14" t="s">
        <v>90</v>
      </c>
      <c r="K4" s="14" t="s">
        <v>92</v>
      </c>
      <c r="L4" s="14" t="s">
        <v>92</v>
      </c>
    </row>
    <row r="5" spans="1:15" ht="22.5" customHeight="1">
      <c r="A5" s="16" t="s">
        <v>95</v>
      </c>
      <c r="B5" s="17" t="s">
        <v>96</v>
      </c>
      <c r="C5" s="16"/>
      <c r="D5" s="18"/>
      <c r="E5" s="19"/>
      <c r="F5" s="20"/>
      <c r="G5" s="20"/>
      <c r="H5" s="7"/>
      <c r="I5" s="20"/>
      <c r="J5" s="7"/>
    </row>
    <row r="6" spans="1:15">
      <c r="A6" s="12"/>
      <c r="B6" s="21"/>
      <c r="C6" s="12" t="s">
        <v>125</v>
      </c>
      <c r="D6" s="32">
        <f>D7+D37+D41</f>
        <v>136500000</v>
      </c>
      <c r="E6" s="22">
        <f>D6/D$7</f>
        <v>1.365</v>
      </c>
      <c r="F6" s="23">
        <f>L6/L$7</f>
        <v>1.2394897071614961</v>
      </c>
      <c r="G6" s="48"/>
      <c r="H6" s="24">
        <f>K6*2080</f>
        <v>97500</v>
      </c>
      <c r="I6" s="48"/>
      <c r="J6" s="33">
        <f>L6*2080</f>
        <v>88920</v>
      </c>
      <c r="K6" s="26">
        <f>D6/D$46</f>
        <v>46.875</v>
      </c>
      <c r="L6" s="34">
        <f>'BLS Table Data'!F7</f>
        <v>42.75</v>
      </c>
    </row>
    <row r="7" spans="1:15">
      <c r="A7" s="12"/>
      <c r="B7" s="21"/>
      <c r="C7" s="12" t="s">
        <v>135</v>
      </c>
      <c r="D7" s="32">
        <f>'WFIS Data'!$D$16-'WFIS Data'!$D$33-SUM('WFIS Data'!D42:D43)-'WFIS Data'!$D$47</f>
        <v>100000000</v>
      </c>
      <c r="E7" s="22">
        <f>D7/D$7</f>
        <v>1</v>
      </c>
      <c r="F7" s="23">
        <f>L7/L$7</f>
        <v>1</v>
      </c>
      <c r="G7" s="23"/>
      <c r="H7" s="24">
        <f>K7*2080</f>
        <v>71428.571428571435</v>
      </c>
      <c r="I7" s="23"/>
      <c r="J7" s="33">
        <f>L7*2080</f>
        <v>71739.199999999997</v>
      </c>
      <c r="K7" s="26">
        <f>D7/D$46</f>
        <v>34.340659340659343</v>
      </c>
      <c r="L7" s="34">
        <f>'BLS Table Data'!F8</f>
        <v>34.49</v>
      </c>
    </row>
    <row r="8" spans="1:15">
      <c r="A8" s="12"/>
      <c r="B8" s="12"/>
      <c r="C8" s="21"/>
      <c r="D8" s="36"/>
      <c r="E8" s="37"/>
      <c r="F8" s="23"/>
      <c r="G8" s="23"/>
      <c r="H8" s="7"/>
      <c r="I8" s="23"/>
      <c r="J8" s="38"/>
      <c r="L8" s="38"/>
    </row>
    <row r="9" spans="1:15">
      <c r="A9" s="16" t="s">
        <v>97</v>
      </c>
      <c r="B9" s="17" t="s">
        <v>126</v>
      </c>
      <c r="C9" s="16"/>
      <c r="D9" s="36"/>
      <c r="E9" s="37"/>
      <c r="F9" s="23"/>
      <c r="G9" s="23"/>
      <c r="H9" s="7"/>
      <c r="I9" s="23"/>
      <c r="J9" s="25"/>
      <c r="L9" s="27"/>
    </row>
    <row r="10" spans="1:15">
      <c r="A10" s="12"/>
      <c r="B10" s="21"/>
      <c r="C10" s="12" t="s">
        <v>127</v>
      </c>
      <c r="D10" s="70">
        <f>'WFIS Data'!$D$20+'WFIS Data'!$D$21</f>
        <v>7000000</v>
      </c>
      <c r="E10" s="22">
        <f>D10/D$7</f>
        <v>7.0000000000000007E-2</v>
      </c>
      <c r="F10" s="23">
        <f>L10/L$7</f>
        <v>5.5088431429399821E-2</v>
      </c>
      <c r="G10" s="23"/>
      <c r="H10" s="24">
        <f>K10*2080</f>
        <v>5000</v>
      </c>
      <c r="I10" s="23"/>
      <c r="J10" s="33">
        <f>L10*2080</f>
        <v>3952</v>
      </c>
      <c r="K10" s="26">
        <f>D10/D$46</f>
        <v>2.4038461538461537</v>
      </c>
      <c r="L10" s="34">
        <f>'BLS Table Data'!F11</f>
        <v>1.9</v>
      </c>
      <c r="N10" s="31"/>
      <c r="O10" s="39"/>
    </row>
    <row r="11" spans="1:15">
      <c r="A11" s="12"/>
      <c r="B11" s="21"/>
      <c r="C11" s="12" t="s">
        <v>128</v>
      </c>
      <c r="D11" s="70">
        <f>'WFIS Data'!$D$22+'WFIS Data'!$D$23</f>
        <v>4000000</v>
      </c>
      <c r="E11" s="22">
        <f>D11/D$7</f>
        <v>0.04</v>
      </c>
      <c r="F11" s="23">
        <f>L11/L$7</f>
        <v>3.1893302406494635E-2</v>
      </c>
      <c r="G11" s="23"/>
      <c r="H11" s="24">
        <f>K11*2080</f>
        <v>2857.1428571428573</v>
      </c>
      <c r="I11" s="23"/>
      <c r="J11" s="33">
        <f>L11*2080</f>
        <v>2288</v>
      </c>
      <c r="K11" s="26">
        <f>D11/D$46</f>
        <v>1.3736263736263736</v>
      </c>
      <c r="L11" s="34">
        <f>'BLS Table Data'!F12</f>
        <v>1.1000000000000001</v>
      </c>
      <c r="N11" s="31"/>
      <c r="O11" s="39"/>
    </row>
    <row r="12" spans="1:15">
      <c r="A12" s="12"/>
      <c r="B12" s="21"/>
      <c r="C12" s="40" t="s">
        <v>129</v>
      </c>
      <c r="D12" s="66">
        <f>SUM('WFIS Data'!D24:D29)</f>
        <v>3000000</v>
      </c>
      <c r="E12" s="28">
        <f>D12/D$7</f>
        <v>0.03</v>
      </c>
      <c r="F12" s="41">
        <f>L12/L$7</f>
        <v>1.8556103218324151E-2</v>
      </c>
      <c r="G12" s="23"/>
      <c r="H12" s="29">
        <f>K12*2080</f>
        <v>2142.8571428571427</v>
      </c>
      <c r="I12" s="23"/>
      <c r="J12" s="42">
        <f>L12*2080</f>
        <v>1331.2</v>
      </c>
      <c r="K12" s="30">
        <f>D12/D$46</f>
        <v>1.0302197802197801</v>
      </c>
      <c r="L12" s="43">
        <f>'BLS Table Data'!F13</f>
        <v>0.64</v>
      </c>
      <c r="N12" s="31"/>
      <c r="O12" s="39"/>
    </row>
    <row r="13" spans="1:15">
      <c r="A13" s="12"/>
      <c r="B13" s="12"/>
      <c r="C13" s="45" t="s">
        <v>98</v>
      </c>
      <c r="D13" s="36">
        <f t="shared" ref="D13:K13" si="0">SUM(D10:D12)</f>
        <v>14000000</v>
      </c>
      <c r="E13" s="46">
        <f t="shared" si="0"/>
        <v>0.14000000000000001</v>
      </c>
      <c r="F13" s="47">
        <f t="shared" si="0"/>
        <v>0.10553783705421861</v>
      </c>
      <c r="G13" s="48">
        <f>E13-F13</f>
        <v>3.4462162945781402E-2</v>
      </c>
      <c r="H13" s="49">
        <f>SUM(H10:H12)</f>
        <v>10000</v>
      </c>
      <c r="I13" s="48">
        <f>H13/J13</f>
        <v>1.3207945900253593</v>
      </c>
      <c r="J13" s="50">
        <f t="shared" si="0"/>
        <v>7571.2</v>
      </c>
      <c r="K13" s="51">
        <f t="shared" si="0"/>
        <v>4.8076923076923075</v>
      </c>
      <c r="L13" s="52">
        <f>'BLS Table Data'!F14</f>
        <v>3.64</v>
      </c>
      <c r="N13" s="31"/>
      <c r="O13" s="39"/>
    </row>
    <row r="14" spans="1:15">
      <c r="A14" s="12"/>
      <c r="B14" s="12"/>
      <c r="C14" s="53"/>
      <c r="D14" s="36"/>
      <c r="E14" s="46"/>
      <c r="F14" s="54"/>
      <c r="G14" s="48"/>
      <c r="H14" s="49"/>
      <c r="I14" s="48"/>
      <c r="J14" s="50"/>
      <c r="K14" s="51"/>
      <c r="L14" s="52"/>
      <c r="N14" s="31"/>
      <c r="O14" s="39"/>
    </row>
    <row r="15" spans="1:15">
      <c r="A15" s="16" t="s">
        <v>99</v>
      </c>
      <c r="B15" s="16" t="s">
        <v>100</v>
      </c>
      <c r="C15" s="21"/>
      <c r="D15" s="36"/>
      <c r="E15" s="22"/>
      <c r="F15" s="23"/>
      <c r="G15" s="48"/>
      <c r="H15" s="24"/>
      <c r="I15" s="48"/>
      <c r="J15" s="33"/>
      <c r="K15" s="24"/>
      <c r="L15" s="33"/>
    </row>
    <row r="16" spans="1:15">
      <c r="A16" s="12"/>
      <c r="B16" s="12"/>
      <c r="C16" s="12" t="s">
        <v>101</v>
      </c>
      <c r="D16" s="36">
        <f>'WFIS Data'!$D$30</f>
        <v>3000000</v>
      </c>
      <c r="E16" s="22">
        <f>D16/D$7</f>
        <v>0.03</v>
      </c>
      <c r="F16" s="23">
        <f>L16/L$7</f>
        <v>8.9881124963757612E-3</v>
      </c>
      <c r="G16" s="48"/>
      <c r="H16" s="24">
        <f>K16*2080</f>
        <v>2142.8571428571427</v>
      </c>
      <c r="I16" s="48"/>
      <c r="J16" s="33">
        <f>L16*2080</f>
        <v>644.79999999999995</v>
      </c>
      <c r="K16" s="26">
        <f>D16/D$46</f>
        <v>1.0302197802197801</v>
      </c>
      <c r="L16" s="34">
        <f>'BLS Table Data'!F17</f>
        <v>0.31</v>
      </c>
    </row>
    <row r="17" spans="1:15">
      <c r="A17" s="12"/>
      <c r="B17" s="12"/>
      <c r="C17" s="12" t="s">
        <v>102</v>
      </c>
      <c r="D17" s="36">
        <f>SUM('WFIS Data'!D35:D36)+SUM('WFIS Data'!D42:D51)</f>
        <v>500000</v>
      </c>
      <c r="E17" s="22">
        <f>D17/D$7</f>
        <v>5.0000000000000001E-3</v>
      </c>
      <c r="F17" s="23">
        <f>L17/L$7</f>
        <v>4.9289649173673532E-3</v>
      </c>
      <c r="G17" s="48"/>
      <c r="H17" s="24">
        <f>K17*2080</f>
        <v>357.14285714285717</v>
      </c>
      <c r="I17" s="48"/>
      <c r="J17" s="33">
        <f>L17*2080</f>
        <v>353.6</v>
      </c>
      <c r="K17" s="26">
        <f>D17/D$46</f>
        <v>0.1717032967032967</v>
      </c>
      <c r="L17" s="34">
        <f>'BLS Table Data'!F18</f>
        <v>0.17</v>
      </c>
    </row>
    <row r="18" spans="1:15">
      <c r="A18" s="12"/>
      <c r="B18" s="40"/>
      <c r="C18" s="55" t="s">
        <v>120</v>
      </c>
      <c r="D18" s="66">
        <f>SUM('WFIS Data'!D37:D41)</f>
        <v>2500000</v>
      </c>
      <c r="E18" s="28">
        <f>D18/D$7</f>
        <v>2.5000000000000001E-2</v>
      </c>
      <c r="F18" s="41">
        <f>L18/L$7</f>
        <v>2.9283850391417801E-2</v>
      </c>
      <c r="G18" s="48"/>
      <c r="H18" s="29">
        <f>K18*2080</f>
        <v>1785.7142857142856</v>
      </c>
      <c r="I18" s="48"/>
      <c r="J18" s="42">
        <f>L18*2080</f>
        <v>2100.8000000000002</v>
      </c>
      <c r="K18" s="30">
        <f>D18/D$46</f>
        <v>0.85851648351648346</v>
      </c>
      <c r="L18" s="43">
        <f>'BLS Table Data'!F19</f>
        <v>1.01</v>
      </c>
      <c r="N18" s="56"/>
      <c r="O18" s="56"/>
    </row>
    <row r="19" spans="1:15">
      <c r="A19" s="12"/>
      <c r="B19" s="40"/>
      <c r="C19" s="45" t="s">
        <v>103</v>
      </c>
      <c r="D19" s="36">
        <f t="shared" ref="D19:K19" si="1">SUM(D16:D18)</f>
        <v>6000000</v>
      </c>
      <c r="E19" s="46">
        <f t="shared" si="1"/>
        <v>0.06</v>
      </c>
      <c r="F19" s="47">
        <f t="shared" si="1"/>
        <v>4.3200927805160917E-2</v>
      </c>
      <c r="G19" s="48">
        <f>E19-F19</f>
        <v>1.6799072194839081E-2</v>
      </c>
      <c r="H19" s="49">
        <f>SUM(H16:H18)</f>
        <v>4285.7142857142853</v>
      </c>
      <c r="I19" s="48">
        <f>H19/J19</f>
        <v>1.3828453425768858</v>
      </c>
      <c r="J19" s="50">
        <f t="shared" si="1"/>
        <v>3099.2000000000003</v>
      </c>
      <c r="K19" s="51">
        <f t="shared" si="1"/>
        <v>2.0604395604395602</v>
      </c>
      <c r="L19" s="52">
        <f>'BLS Table Data'!F20</f>
        <v>1.49</v>
      </c>
    </row>
    <row r="20" spans="1:15">
      <c r="A20" s="12"/>
      <c r="B20" s="12"/>
      <c r="C20" s="21"/>
      <c r="D20" s="36"/>
      <c r="E20" s="22"/>
      <c r="F20" s="23"/>
      <c r="G20" s="48"/>
      <c r="H20" s="24"/>
      <c r="I20" s="48"/>
      <c r="J20" s="33"/>
      <c r="K20" s="24"/>
      <c r="L20" s="34"/>
    </row>
    <row r="21" spans="1:15">
      <c r="A21" s="16" t="s">
        <v>104</v>
      </c>
      <c r="B21" s="16" t="s">
        <v>130</v>
      </c>
      <c r="C21" s="21"/>
      <c r="D21" s="36"/>
      <c r="E21" s="22"/>
      <c r="F21" s="23"/>
      <c r="G21" s="48"/>
      <c r="H21" s="24"/>
      <c r="I21" s="48"/>
      <c r="J21" s="33"/>
      <c r="K21" s="24"/>
      <c r="L21" s="34"/>
    </row>
    <row r="22" spans="1:15">
      <c r="A22" s="12"/>
      <c r="B22" s="57"/>
      <c r="C22" s="53" t="s">
        <v>131</v>
      </c>
      <c r="D22" s="71">
        <f>'WFIS Data'!$D$64</f>
        <v>500000</v>
      </c>
      <c r="E22" s="31">
        <f>D22/D$7</f>
        <v>5.0000000000000001E-3</v>
      </c>
      <c r="F22" s="23">
        <f>L22/L$7</f>
        <v>2.029573789504204E-3</v>
      </c>
      <c r="G22" s="48"/>
      <c r="H22" s="24">
        <f>K22*2080</f>
        <v>357.14285714285717</v>
      </c>
      <c r="I22" s="48"/>
      <c r="J22" s="58">
        <f>L22*2080</f>
        <v>145.60000000000002</v>
      </c>
      <c r="K22" s="26">
        <f>D22/D$46</f>
        <v>0.1717032967032967</v>
      </c>
      <c r="L22" s="59">
        <f>'BLS Table Data'!$F$23</f>
        <v>7.0000000000000007E-2</v>
      </c>
      <c r="N22" s="31"/>
      <c r="O22" s="39"/>
    </row>
    <row r="23" spans="1:15">
      <c r="A23" s="12"/>
      <c r="B23" s="57"/>
      <c r="C23" s="53" t="s">
        <v>132</v>
      </c>
      <c r="D23" s="70">
        <f>SUM('WFIS Data'!D68:D77)+'WFIS Data'!$D$80</f>
        <v>11500000</v>
      </c>
      <c r="E23" s="31">
        <f>D23/D$7</f>
        <v>0.115</v>
      </c>
      <c r="F23" s="47">
        <f>L23/L$7</f>
        <v>9.0750942302116541E-2</v>
      </c>
      <c r="G23" s="48"/>
      <c r="H23" s="24">
        <f>K23*2080</f>
        <v>8214.2857142857138</v>
      </c>
      <c r="I23" s="48"/>
      <c r="J23" s="50">
        <f>L23*2080</f>
        <v>6510.4</v>
      </c>
      <c r="K23" s="26">
        <f>D23/D$46</f>
        <v>3.9491758241758244</v>
      </c>
      <c r="L23" s="52">
        <f>'BLS Table Data'!F24</f>
        <v>3.13</v>
      </c>
      <c r="N23" s="31"/>
      <c r="O23" s="39"/>
    </row>
    <row r="24" spans="1:15">
      <c r="A24" s="12"/>
      <c r="B24" s="21"/>
      <c r="C24" s="53" t="s">
        <v>105</v>
      </c>
      <c r="D24" s="36">
        <f>'WFIS Data'!$D$78</f>
        <v>250000</v>
      </c>
      <c r="E24" s="22">
        <f>D24/D$7</f>
        <v>2.5000000000000001E-3</v>
      </c>
      <c r="F24" s="23">
        <f>L24/L$7</f>
        <v>2.8993911278631487E-3</v>
      </c>
      <c r="G24" s="48"/>
      <c r="H24" s="24">
        <f>K24*2080</f>
        <v>178.57142857142858</v>
      </c>
      <c r="I24" s="48"/>
      <c r="J24" s="33">
        <f>L24*2080</f>
        <v>208</v>
      </c>
      <c r="K24" s="26">
        <f>D24/D$46</f>
        <v>8.5851648351648352E-2</v>
      </c>
      <c r="L24" s="34">
        <f>'BLS Table Data'!F25</f>
        <v>0.1</v>
      </c>
      <c r="N24" s="31"/>
      <c r="O24" s="39"/>
    </row>
    <row r="25" spans="1:15">
      <c r="A25" s="12"/>
      <c r="B25" s="21"/>
      <c r="C25" s="61" t="s">
        <v>106</v>
      </c>
      <c r="D25" s="66">
        <f>'WFIS Data'!$D$79</f>
        <v>250000</v>
      </c>
      <c r="E25" s="28">
        <f>D25/D$7</f>
        <v>2.5000000000000001E-3</v>
      </c>
      <c r="F25" s="41">
        <f>L25/L$7</f>
        <v>2.6094520150768338E-3</v>
      </c>
      <c r="G25" s="48"/>
      <c r="H25" s="29">
        <f>K25*2080</f>
        <v>178.57142857142858</v>
      </c>
      <c r="I25" s="48"/>
      <c r="J25" s="42">
        <f>L25*2080</f>
        <v>187.2</v>
      </c>
      <c r="K25" s="30">
        <f>D25/D$46</f>
        <v>8.5851648351648352E-2</v>
      </c>
      <c r="L25" s="43">
        <f>'BLS Table Data'!F26</f>
        <v>0.09</v>
      </c>
      <c r="N25" s="31"/>
      <c r="O25" s="39"/>
    </row>
    <row r="26" spans="1:15">
      <c r="A26" s="12"/>
      <c r="B26" s="21"/>
      <c r="C26" s="45" t="s">
        <v>107</v>
      </c>
      <c r="D26" s="36">
        <f>SUM(D22:D25)</f>
        <v>12500000</v>
      </c>
      <c r="E26" s="46">
        <f>SUM(E22:E25)</f>
        <v>0.125</v>
      </c>
      <c r="F26" s="47">
        <f>SUM(F22:F25)</f>
        <v>9.8289359234560725E-2</v>
      </c>
      <c r="G26" s="48">
        <f>E26-F26</f>
        <v>2.6710640765439275E-2</v>
      </c>
      <c r="H26" s="49">
        <f>SUM(H22:H25)</f>
        <v>8928.5714285714294</v>
      </c>
      <c r="I26" s="48">
        <f>H26/J26</f>
        <v>1.2662485007617752</v>
      </c>
      <c r="J26" s="50">
        <f>SUM(J22:J25)</f>
        <v>7051.2</v>
      </c>
      <c r="K26" s="51">
        <f>SUM(K22:K25)</f>
        <v>4.2925824175824188</v>
      </c>
      <c r="L26" s="52">
        <f>SUM(L22:L25)</f>
        <v>3.3899999999999997</v>
      </c>
      <c r="N26" s="31"/>
      <c r="O26" s="39"/>
    </row>
    <row r="27" spans="1:15">
      <c r="A27" s="12"/>
      <c r="B27" s="21"/>
      <c r="C27" s="53"/>
      <c r="D27" s="36"/>
      <c r="E27" s="22"/>
      <c r="F27" s="23"/>
      <c r="G27" s="48"/>
      <c r="H27" s="24"/>
      <c r="I27" s="48"/>
      <c r="J27" s="33"/>
      <c r="K27" s="24"/>
      <c r="L27" s="34"/>
    </row>
    <row r="28" spans="1:15">
      <c r="A28" s="16" t="s">
        <v>108</v>
      </c>
      <c r="B28" s="16" t="s">
        <v>109</v>
      </c>
      <c r="C28" s="21"/>
      <c r="D28" s="36"/>
      <c r="E28" s="22"/>
      <c r="F28" s="23"/>
      <c r="G28" s="48"/>
      <c r="H28" s="24"/>
      <c r="I28" s="48"/>
      <c r="J28" s="33"/>
      <c r="K28" s="24"/>
      <c r="L28" s="34"/>
    </row>
    <row r="29" spans="1:15">
      <c r="A29" s="16"/>
      <c r="B29" s="21"/>
      <c r="C29" s="53" t="s">
        <v>123</v>
      </c>
      <c r="D29" s="36">
        <f>'WFIS Data'!$D$84</f>
        <v>10000000</v>
      </c>
      <c r="E29" s="22">
        <f>D29/D$7</f>
        <v>0.1</v>
      </c>
      <c r="F29" s="23">
        <f>L29/L$7</f>
        <v>2.14554943461873E-2</v>
      </c>
      <c r="G29" s="48"/>
      <c r="H29" s="24">
        <f>K29*2080</f>
        <v>7142.8571428571422</v>
      </c>
      <c r="I29" s="48"/>
      <c r="J29" s="33">
        <f>L29*2080</f>
        <v>1539.2</v>
      </c>
      <c r="K29" s="26">
        <f>D29/D$46</f>
        <v>3.4340659340659339</v>
      </c>
      <c r="L29" s="34">
        <f>'BLS Table Data'!F30</f>
        <v>0.74</v>
      </c>
      <c r="N29" s="31"/>
      <c r="O29" s="39"/>
    </row>
    <row r="30" spans="1:15">
      <c r="A30" s="16"/>
      <c r="B30" s="21"/>
      <c r="C30" s="53" t="s">
        <v>121</v>
      </c>
      <c r="D30" s="66">
        <f>MAX('WFIS Data'!D82:D83)+SUM('WFIS Data'!D85:D86)</f>
        <v>6000000</v>
      </c>
      <c r="E30" s="28">
        <f>D30/D$7</f>
        <v>0.06</v>
      </c>
      <c r="F30" s="41">
        <f>L30/L$7</f>
        <v>3.1893302406494635E-2</v>
      </c>
      <c r="G30" s="48"/>
      <c r="H30" s="29">
        <f>K30*2080</f>
        <v>4285.7142857142853</v>
      </c>
      <c r="I30" s="48"/>
      <c r="J30" s="42">
        <f>L30*2080</f>
        <v>2288</v>
      </c>
      <c r="K30" s="30">
        <f>D30/D$46</f>
        <v>2.0604395604395602</v>
      </c>
      <c r="L30" s="43">
        <f>'BLS Table Data'!F31</f>
        <v>1.1000000000000001</v>
      </c>
      <c r="N30" s="31"/>
      <c r="O30" s="39"/>
    </row>
    <row r="31" spans="1:15">
      <c r="A31" s="12"/>
      <c r="B31" s="21"/>
      <c r="C31" s="53" t="s">
        <v>110</v>
      </c>
      <c r="D31" s="36">
        <f t="shared" ref="D31:K31" si="2">SUM(D29:D30)</f>
        <v>16000000</v>
      </c>
      <c r="E31" s="46">
        <f t="shared" si="2"/>
        <v>0.16</v>
      </c>
      <c r="F31" s="47">
        <f t="shared" si="2"/>
        <v>5.3348796752681935E-2</v>
      </c>
      <c r="G31" s="48">
        <f>E31-F31</f>
        <v>0.10665120324731807</v>
      </c>
      <c r="H31" s="49">
        <f>SUM(H29:H30)</f>
        <v>11428.571428571428</v>
      </c>
      <c r="I31" s="48">
        <f>H31/J31</f>
        <v>2.9861442904921165</v>
      </c>
      <c r="J31" s="50">
        <f t="shared" si="2"/>
        <v>3827.2</v>
      </c>
      <c r="K31" s="51">
        <f t="shared" si="2"/>
        <v>5.4945054945054945</v>
      </c>
      <c r="L31" s="52">
        <f>'BLS Table Data'!F32</f>
        <v>1.84</v>
      </c>
      <c r="N31" s="31"/>
      <c r="O31" s="39"/>
    </row>
    <row r="32" spans="1:15">
      <c r="A32" s="12"/>
      <c r="B32" s="12"/>
      <c r="C32" s="12"/>
      <c r="D32" s="36"/>
      <c r="E32" s="22"/>
      <c r="F32" s="23"/>
      <c r="G32" s="48"/>
      <c r="H32" s="24"/>
      <c r="I32" s="48"/>
      <c r="J32" s="33"/>
      <c r="K32" s="24"/>
      <c r="L32" s="33"/>
    </row>
    <row r="33" spans="1:15">
      <c r="A33" s="16" t="s">
        <v>111</v>
      </c>
      <c r="B33" s="17" t="s">
        <v>112</v>
      </c>
      <c r="C33" s="16"/>
      <c r="D33" s="36"/>
      <c r="E33" s="37"/>
      <c r="F33" s="23"/>
      <c r="G33" s="48"/>
      <c r="H33" s="62"/>
      <c r="I33" s="48"/>
      <c r="J33" s="25"/>
      <c r="L33" s="27"/>
    </row>
    <row r="34" spans="1:15">
      <c r="A34" s="12"/>
      <c r="B34" s="21"/>
      <c r="C34" s="12" t="s">
        <v>113</v>
      </c>
      <c r="D34" s="70">
        <f>SUM('WFIS Data'!D54:D55)</f>
        <v>7000000</v>
      </c>
      <c r="E34" s="22">
        <f>D34/D$7</f>
        <v>7.0000000000000007E-2</v>
      </c>
      <c r="F34" s="23">
        <f>L34/L$7</f>
        <v>7.1904899971006089E-2</v>
      </c>
      <c r="G34" s="48"/>
      <c r="H34" s="24">
        <f>K34*2080</f>
        <v>5000</v>
      </c>
      <c r="I34" s="48"/>
      <c r="J34" s="33">
        <f>L34*2080</f>
        <v>5158.3999999999996</v>
      </c>
      <c r="K34" s="26">
        <f>D34/D$46</f>
        <v>2.4038461538461537</v>
      </c>
      <c r="L34" s="34">
        <f>'BLS Table Data'!F35</f>
        <v>2.48</v>
      </c>
      <c r="N34" s="31"/>
      <c r="O34" s="39"/>
    </row>
    <row r="35" spans="1:15">
      <c r="A35" s="12"/>
      <c r="B35" s="21"/>
      <c r="C35" s="12" t="s">
        <v>114</v>
      </c>
      <c r="D35" s="70">
        <f>'WFIS Data'!$D$56</f>
        <v>400000</v>
      </c>
      <c r="E35" s="22">
        <f>D35/D$7</f>
        <v>4.0000000000000001E-3</v>
      </c>
      <c r="F35" s="23">
        <f>L35/L$7</f>
        <v>4.9289649173673532E-3</v>
      </c>
      <c r="G35" s="48"/>
      <c r="H35" s="24">
        <f>K35*2080</f>
        <v>285.71428571428572</v>
      </c>
      <c r="I35" s="48"/>
      <c r="J35" s="33">
        <f>L35*2080</f>
        <v>353.6</v>
      </c>
      <c r="K35" s="26">
        <f>D35/D$46</f>
        <v>0.13736263736263737</v>
      </c>
      <c r="L35" s="34">
        <f>'BLS Table Data'!F36</f>
        <v>0.17</v>
      </c>
      <c r="N35" s="31"/>
      <c r="O35" s="39"/>
    </row>
    <row r="36" spans="1:15">
      <c r="A36" s="12"/>
      <c r="B36" s="21"/>
      <c r="C36" s="12" t="s">
        <v>133</v>
      </c>
      <c r="D36" s="66">
        <f>SUM('WFIS Data'!D60:D63)</f>
        <v>600000</v>
      </c>
      <c r="E36" s="28">
        <f>D36/D$7</f>
        <v>6.0000000000000001E-3</v>
      </c>
      <c r="F36" s="41">
        <f>L36/L$7</f>
        <v>1.1017686285879964E-2</v>
      </c>
      <c r="G36" s="48"/>
      <c r="H36" s="29">
        <f>K36*2080</f>
        <v>428.57142857142856</v>
      </c>
      <c r="I36" s="48"/>
      <c r="J36" s="42">
        <f>L36*2080</f>
        <v>790.4</v>
      </c>
      <c r="K36" s="30">
        <f>D36/D$46</f>
        <v>0.20604395604395603</v>
      </c>
      <c r="L36" s="43">
        <f>'BLS Table Data'!F37</f>
        <v>0.38</v>
      </c>
      <c r="N36" s="31"/>
      <c r="O36" s="39"/>
    </row>
    <row r="37" spans="1:15">
      <c r="A37" s="12"/>
      <c r="B37" s="12"/>
      <c r="C37" s="45" t="s">
        <v>115</v>
      </c>
      <c r="D37" s="36">
        <f t="shared" ref="D37:K37" si="3">SUM(D34:D36)</f>
        <v>8000000</v>
      </c>
      <c r="E37" s="22">
        <f t="shared" si="3"/>
        <v>8.0000000000000016E-2</v>
      </c>
      <c r="F37" s="23">
        <f t="shared" si="3"/>
        <v>8.7851551174253417E-2</v>
      </c>
      <c r="G37" s="48">
        <f>E37-F37</f>
        <v>-7.8515511742534017E-3</v>
      </c>
      <c r="H37" s="49">
        <f>SUM(H34:H36)</f>
        <v>5714.2857142857138</v>
      </c>
      <c r="I37" s="48">
        <f>H37/J37</f>
        <v>0.90668407500090664</v>
      </c>
      <c r="J37" s="50">
        <f t="shared" si="3"/>
        <v>6302.4</v>
      </c>
      <c r="K37" s="51">
        <f t="shared" si="3"/>
        <v>2.7472527472527473</v>
      </c>
      <c r="L37" s="52">
        <f>'BLS Table Data'!F38</f>
        <v>3.03</v>
      </c>
      <c r="N37" s="31"/>
      <c r="O37" s="39"/>
    </row>
    <row r="38" spans="1:15">
      <c r="A38" s="12"/>
      <c r="B38" s="40"/>
      <c r="C38" s="55"/>
      <c r="D38" s="36"/>
      <c r="E38" s="22"/>
      <c r="F38" s="23"/>
      <c r="G38" s="48"/>
      <c r="H38" s="24"/>
      <c r="I38" s="48"/>
      <c r="J38" s="33"/>
      <c r="K38" s="24"/>
      <c r="L38" s="33"/>
    </row>
    <row r="39" spans="1:15">
      <c r="A39" s="17" t="s">
        <v>116</v>
      </c>
      <c r="B39" s="63" t="s">
        <v>145</v>
      </c>
      <c r="C39" s="64"/>
      <c r="D39" s="27"/>
      <c r="G39" s="48"/>
      <c r="I39" s="48"/>
      <c r="N39" s="65"/>
      <c r="O39" s="65"/>
    </row>
    <row r="40" spans="1:15">
      <c r="A40" s="17"/>
      <c r="B40" s="63"/>
      <c r="C40" s="12" t="s">
        <v>134</v>
      </c>
      <c r="D40" s="72">
        <f>D13</f>
        <v>14000000</v>
      </c>
      <c r="E40" s="22">
        <f>E13</f>
        <v>0.14000000000000001</v>
      </c>
      <c r="F40" s="23">
        <f>F13</f>
        <v>0.10553783705421861</v>
      </c>
      <c r="G40" s="48">
        <f>E40-F40</f>
        <v>3.4462162945781402E-2</v>
      </c>
      <c r="H40" s="49">
        <f>H13</f>
        <v>10000</v>
      </c>
      <c r="I40" s="48">
        <f>H40/J40</f>
        <v>1.3207945900253593</v>
      </c>
      <c r="J40" s="49">
        <f>J13</f>
        <v>7571.2</v>
      </c>
      <c r="K40" s="52">
        <f>K13</f>
        <v>4.8076923076923075</v>
      </c>
      <c r="L40" s="52">
        <f>'BLS Table Data'!F41</f>
        <v>3.64</v>
      </c>
      <c r="N40" s="65"/>
      <c r="O40" s="65"/>
    </row>
    <row r="41" spans="1:15">
      <c r="A41" s="17"/>
      <c r="B41" s="63"/>
      <c r="C41" s="12" t="s">
        <v>136</v>
      </c>
      <c r="D41" s="66">
        <f>D26+D31</f>
        <v>28500000</v>
      </c>
      <c r="E41" s="28">
        <f>E26+E31</f>
        <v>0.28500000000000003</v>
      </c>
      <c r="F41" s="28">
        <f>F26+F31</f>
        <v>0.15163815598724267</v>
      </c>
      <c r="G41" s="48">
        <f>E41-F41</f>
        <v>0.13336184401275736</v>
      </c>
      <c r="H41" s="29">
        <f>H26+H31</f>
        <v>20357.142857142855</v>
      </c>
      <c r="I41" s="48">
        <f>H41/J41</f>
        <v>1.8713361208581092</v>
      </c>
      <c r="J41" s="29">
        <f>J26+J31</f>
        <v>10878.4</v>
      </c>
      <c r="K41" s="30">
        <f>K26+K31</f>
        <v>9.7870879120879124</v>
      </c>
      <c r="L41" s="43">
        <f>'BLS Table Data'!F42</f>
        <v>5.2299999999999995</v>
      </c>
      <c r="N41" s="65"/>
      <c r="O41" s="65"/>
    </row>
    <row r="42" spans="1:15">
      <c r="A42" s="17"/>
      <c r="B42" s="63"/>
      <c r="C42" s="12" t="s">
        <v>117</v>
      </c>
      <c r="D42" s="36">
        <f>SUM(D40:D41)</f>
        <v>42500000</v>
      </c>
      <c r="E42" s="46">
        <f>SUM(E40:E41)</f>
        <v>0.42500000000000004</v>
      </c>
      <c r="F42" s="47">
        <f>SUM(F40:F41)</f>
        <v>0.25717599304146127</v>
      </c>
      <c r="G42" s="82">
        <f>E42-F42</f>
        <v>0.16782400695853877</v>
      </c>
      <c r="H42" s="49">
        <f>SUM(H40:H41)</f>
        <v>30357.142857142855</v>
      </c>
      <c r="I42" s="82">
        <f>H42/J42</f>
        <v>1.6454092694227982</v>
      </c>
      <c r="J42" s="50">
        <f>SUM(J40:J41)</f>
        <v>18449.599999999999</v>
      </c>
      <c r="K42" s="51">
        <f>SUM(K40:K41)</f>
        <v>14.594780219780219</v>
      </c>
      <c r="L42" s="52">
        <f>'BLS Table Data'!F43</f>
        <v>8.8699999999999992</v>
      </c>
      <c r="N42" s="65"/>
      <c r="O42" s="65"/>
    </row>
    <row r="43" spans="1:15">
      <c r="A43" s="17"/>
      <c r="B43" s="63"/>
      <c r="C43" s="64"/>
      <c r="D43" s="73"/>
      <c r="F43" s="23"/>
      <c r="G43" s="23"/>
      <c r="H43" s="50"/>
      <c r="I43" s="23"/>
      <c r="J43" s="50"/>
      <c r="K43" s="52"/>
      <c r="L43" s="52"/>
      <c r="N43" s="65"/>
      <c r="O43" s="65"/>
    </row>
    <row r="44" spans="1:15">
      <c r="A44" s="17"/>
      <c r="B44" s="63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5"/>
      <c r="O44" s="65"/>
    </row>
    <row r="45" spans="1:15">
      <c r="A45" s="17"/>
      <c r="B45" s="63"/>
      <c r="C45" s="38" t="s">
        <v>118</v>
      </c>
      <c r="D45" s="74">
        <f>SUM('WFIS Data'!D10:D12)</f>
        <v>1400</v>
      </c>
      <c r="E45" s="46"/>
      <c r="F45" s="23"/>
      <c r="G45" s="23"/>
      <c r="H45" s="49"/>
      <c r="I45" s="7"/>
      <c r="J45" s="7"/>
      <c r="M45" s="7"/>
      <c r="N45" s="65"/>
      <c r="O45" s="65"/>
    </row>
    <row r="46" spans="1:15">
      <c r="A46" s="17"/>
      <c r="B46" s="63"/>
      <c r="C46" s="67" t="s">
        <v>119</v>
      </c>
      <c r="D46" s="74">
        <f>D45*2080</f>
        <v>2912000</v>
      </c>
      <c r="F46" s="23"/>
      <c r="G46" s="23"/>
      <c r="H46" s="49"/>
      <c r="I46" s="7"/>
      <c r="J46" s="7"/>
      <c r="M46" s="7"/>
      <c r="N46" s="65"/>
      <c r="O46" s="65"/>
    </row>
    <row r="47" spans="1:15">
      <c r="I47" s="7"/>
      <c r="J47" s="7"/>
      <c r="M47" s="7"/>
    </row>
    <row r="48" spans="1:15">
      <c r="I48" s="7"/>
      <c r="J48" s="7"/>
    </row>
  </sheetData>
  <mergeCells count="4">
    <mergeCell ref="A1:L1"/>
    <mergeCell ref="D3:E3"/>
    <mergeCell ref="G3:I3"/>
    <mergeCell ref="A2:L2"/>
  </mergeCells>
  <pageMargins left="0.7" right="0.7" top="0.75" bottom="0.75" header="0.3" footer="0.3"/>
  <pageSetup scale="75" orientation="landscape" r:id="rId1"/>
  <headerFooter>
    <oddHeader xml:space="preserve">&amp;C&amp;"Arial,Bold"&amp;12DOE Annual Cost Study for 2009 - Compared to December 2009 Bureau of Labor Statistics
</oddHeader>
    <oddFooter>&amp;R&amp;D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8"/>
  <sheetViews>
    <sheetView topLeftCell="B1" zoomScaleNormal="100" workbookViewId="0">
      <selection activeCell="C3" sqref="C3"/>
    </sheetView>
  </sheetViews>
  <sheetFormatPr defaultRowHeight="12.75"/>
  <cols>
    <col min="1" max="1" width="3" style="7" bestFit="1" customWidth="1"/>
    <col min="2" max="2" width="3.85546875" style="7" customWidth="1"/>
    <col min="3" max="3" width="39.7109375" style="7" customWidth="1"/>
    <col min="4" max="4" width="14.85546875" style="7" customWidth="1"/>
    <col min="5" max="5" width="11.85546875" style="9" customWidth="1"/>
    <col min="6" max="6" width="14.85546875" style="9" customWidth="1"/>
    <col min="7" max="7" width="10.5703125" style="9" customWidth="1"/>
    <col min="8" max="8" width="13" style="9" customWidth="1"/>
    <col min="9" max="9" width="11.42578125" style="9" customWidth="1"/>
    <col min="10" max="10" width="14.85546875" style="9" customWidth="1"/>
    <col min="11" max="11" width="15.140625" style="7" customWidth="1"/>
    <col min="12" max="12" width="12.28515625" style="7" customWidth="1"/>
    <col min="13" max="13" width="13.85546875" style="5" customWidth="1"/>
    <col min="14" max="14" width="10.140625" style="6" customWidth="1"/>
    <col min="15" max="15" width="12.42578125" style="6" customWidth="1"/>
    <col min="16" max="16384" width="9.140625" style="7"/>
  </cols>
  <sheetData>
    <row r="1" spans="1:15" ht="15.75">
      <c r="A1" s="96" t="str">
        <f>'WFIS Data'!$D$5</f>
        <v>Sample Facility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5" ht="16.5" thickBot="1">
      <c r="A2" s="96" t="str">
        <f>'WFIS Data'!$D$6</f>
        <v>Sample Contractor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5" ht="51.75" thickBot="1">
      <c r="A3" s="12"/>
      <c r="B3" s="12"/>
      <c r="C3" s="12"/>
      <c r="D3" s="98" t="str">
        <f>A1</f>
        <v>Sample Facility</v>
      </c>
      <c r="E3" s="99"/>
      <c r="F3" s="13" t="s">
        <v>85</v>
      </c>
      <c r="G3" s="98" t="str">
        <f>D3</f>
        <v>Sample Facility</v>
      </c>
      <c r="H3" s="100"/>
      <c r="I3" s="99"/>
      <c r="J3" s="13" t="s">
        <v>85</v>
      </c>
      <c r="K3" s="83" t="str">
        <f>D3</f>
        <v>Sample Facility</v>
      </c>
      <c r="L3" s="13" t="s">
        <v>85</v>
      </c>
    </row>
    <row r="4" spans="1:15" ht="39" thickBot="1">
      <c r="A4" s="12"/>
      <c r="B4" s="12"/>
      <c r="C4" s="12"/>
      <c r="D4" s="14" t="s">
        <v>88</v>
      </c>
      <c r="E4" s="14" t="s">
        <v>89</v>
      </c>
      <c r="F4" s="14" t="s">
        <v>89</v>
      </c>
      <c r="G4" s="14" t="s">
        <v>151</v>
      </c>
      <c r="H4" s="14" t="s">
        <v>90</v>
      </c>
      <c r="I4" s="14" t="s">
        <v>91</v>
      </c>
      <c r="J4" s="14" t="s">
        <v>90</v>
      </c>
      <c r="K4" s="14" t="s">
        <v>92</v>
      </c>
      <c r="L4" s="14" t="s">
        <v>92</v>
      </c>
    </row>
    <row r="5" spans="1:15" ht="22.5" customHeight="1">
      <c r="A5" s="16" t="s">
        <v>95</v>
      </c>
      <c r="B5" s="17" t="s">
        <v>96</v>
      </c>
      <c r="C5" s="16"/>
      <c r="D5" s="18"/>
      <c r="E5" s="19"/>
      <c r="F5" s="20"/>
      <c r="G5" s="20"/>
      <c r="H5" s="7"/>
      <c r="I5" s="20"/>
      <c r="J5" s="7"/>
    </row>
    <row r="6" spans="1:15">
      <c r="A6" s="12"/>
      <c r="B6" s="21"/>
      <c r="C6" s="12" t="s">
        <v>125</v>
      </c>
      <c r="D6" s="32">
        <f>D7+D37+D41</f>
        <v>130000000</v>
      </c>
      <c r="E6" s="22">
        <f>D6/D$7</f>
        <v>1.3</v>
      </c>
      <c r="F6" s="23">
        <f>L6/L$7</f>
        <v>1.2394897071614961</v>
      </c>
      <c r="G6" s="48"/>
      <c r="H6" s="24">
        <f>K6*2080</f>
        <v>92857.14285714287</v>
      </c>
      <c r="I6" s="48"/>
      <c r="J6" s="33">
        <f>L6*2080</f>
        <v>88920</v>
      </c>
      <c r="K6" s="26">
        <f>D6/D$46</f>
        <v>44.642857142857146</v>
      </c>
      <c r="L6" s="34">
        <f>'BLS Table Data'!F7</f>
        <v>42.75</v>
      </c>
    </row>
    <row r="7" spans="1:15">
      <c r="A7" s="12"/>
      <c r="B7" s="21"/>
      <c r="C7" s="12" t="s">
        <v>135</v>
      </c>
      <c r="D7" s="32">
        <f>'WFIS Data'!$D$16-'WFIS Data'!$D$33-SUM('WFIS Data'!D42:D43)-'WFIS Data'!$D$47</f>
        <v>100000000</v>
      </c>
      <c r="E7" s="22">
        <f>D7/D$7</f>
        <v>1</v>
      </c>
      <c r="F7" s="23">
        <f>L7/L$7</f>
        <v>1</v>
      </c>
      <c r="G7" s="23"/>
      <c r="H7" s="24">
        <f>K7*2080</f>
        <v>71428.571428571435</v>
      </c>
      <c r="I7" s="23"/>
      <c r="J7" s="33">
        <f>L7*2080</f>
        <v>71739.199999999997</v>
      </c>
      <c r="K7" s="26">
        <f>D7/D$46</f>
        <v>34.340659340659343</v>
      </c>
      <c r="L7" s="34">
        <f>'BLS Table Data'!F8</f>
        <v>34.49</v>
      </c>
    </row>
    <row r="8" spans="1:15">
      <c r="A8" s="12"/>
      <c r="B8" s="12"/>
      <c r="C8" s="21"/>
      <c r="D8" s="36"/>
      <c r="E8" s="37"/>
      <c r="F8" s="23"/>
      <c r="G8" s="23"/>
      <c r="H8" s="7"/>
      <c r="I8" s="23"/>
      <c r="J8" s="38"/>
      <c r="L8" s="38"/>
    </row>
    <row r="9" spans="1:15">
      <c r="A9" s="16" t="s">
        <v>97</v>
      </c>
      <c r="B9" s="17" t="s">
        <v>126</v>
      </c>
      <c r="C9" s="16"/>
      <c r="D9" s="36"/>
      <c r="E9" s="37"/>
      <c r="F9" s="23"/>
      <c r="G9" s="23"/>
      <c r="H9" s="7"/>
      <c r="I9" s="23"/>
      <c r="J9" s="25"/>
      <c r="L9" s="27"/>
    </row>
    <row r="10" spans="1:15">
      <c r="A10" s="12"/>
      <c r="B10" s="21"/>
      <c r="C10" s="12" t="s">
        <v>127</v>
      </c>
      <c r="D10" s="70">
        <f>'WFIS Data'!$D$20+'WFIS Data'!$D$21</f>
        <v>7000000</v>
      </c>
      <c r="E10" s="22">
        <f>D10/D$7</f>
        <v>7.0000000000000007E-2</v>
      </c>
      <c r="F10" s="23">
        <f>L10/L$7</f>
        <v>5.5088431429399821E-2</v>
      </c>
      <c r="G10" s="23"/>
      <c r="H10" s="24">
        <f>K10*2080</f>
        <v>5000</v>
      </c>
      <c r="I10" s="23"/>
      <c r="J10" s="33">
        <f>L10*2080</f>
        <v>3952</v>
      </c>
      <c r="K10" s="26">
        <f>D10/D$46</f>
        <v>2.4038461538461537</v>
      </c>
      <c r="L10" s="34">
        <f>'BLS Table Data'!F11</f>
        <v>1.9</v>
      </c>
      <c r="N10" s="31"/>
      <c r="O10" s="39"/>
    </row>
    <row r="11" spans="1:15">
      <c r="A11" s="12"/>
      <c r="B11" s="21"/>
      <c r="C11" s="12" t="s">
        <v>128</v>
      </c>
      <c r="D11" s="70">
        <f>'WFIS Data'!$D$22+'WFIS Data'!$D$23</f>
        <v>4000000</v>
      </c>
      <c r="E11" s="22">
        <f>D11/D$7</f>
        <v>0.04</v>
      </c>
      <c r="F11" s="23">
        <f>L11/L$7</f>
        <v>3.1893302406494635E-2</v>
      </c>
      <c r="G11" s="23"/>
      <c r="H11" s="24">
        <f>K11*2080</f>
        <v>2857.1428571428573</v>
      </c>
      <c r="I11" s="23"/>
      <c r="J11" s="33">
        <f>L11*2080</f>
        <v>2288</v>
      </c>
      <c r="K11" s="26">
        <f>D11/D$46</f>
        <v>1.3736263736263736</v>
      </c>
      <c r="L11" s="34">
        <f>'BLS Table Data'!F12</f>
        <v>1.1000000000000001</v>
      </c>
      <c r="N11" s="31"/>
      <c r="O11" s="39"/>
    </row>
    <row r="12" spans="1:15">
      <c r="A12" s="12"/>
      <c r="B12" s="21"/>
      <c r="C12" s="40" t="s">
        <v>129</v>
      </c>
      <c r="D12" s="66">
        <f>SUM('WFIS Data'!D24:D29)</f>
        <v>3000000</v>
      </c>
      <c r="E12" s="28">
        <f>D12/D$7</f>
        <v>0.03</v>
      </c>
      <c r="F12" s="41">
        <f>L12/L$7</f>
        <v>1.8556103218324151E-2</v>
      </c>
      <c r="G12" s="23"/>
      <c r="H12" s="29">
        <f>K12*2080</f>
        <v>2142.8571428571427</v>
      </c>
      <c r="I12" s="23"/>
      <c r="J12" s="42">
        <f>L12*2080</f>
        <v>1331.2</v>
      </c>
      <c r="K12" s="30">
        <f>D12/D$46</f>
        <v>1.0302197802197801</v>
      </c>
      <c r="L12" s="43">
        <f>'BLS Table Data'!F13</f>
        <v>0.64</v>
      </c>
      <c r="N12" s="31"/>
      <c r="O12" s="39"/>
    </row>
    <row r="13" spans="1:15">
      <c r="A13" s="12"/>
      <c r="B13" s="12"/>
      <c r="C13" s="45" t="s">
        <v>98</v>
      </c>
      <c r="D13" s="36">
        <f t="shared" ref="D13:K13" si="0">SUM(D10:D12)</f>
        <v>14000000</v>
      </c>
      <c r="E13" s="46">
        <f t="shared" si="0"/>
        <v>0.14000000000000001</v>
      </c>
      <c r="F13" s="47">
        <f t="shared" si="0"/>
        <v>0.10553783705421861</v>
      </c>
      <c r="G13" s="48">
        <f>E13-F13</f>
        <v>3.4462162945781402E-2</v>
      </c>
      <c r="H13" s="49">
        <f>SUM(H10:H12)</f>
        <v>10000</v>
      </c>
      <c r="I13" s="48">
        <f>H13/J13</f>
        <v>1.3207945900253593</v>
      </c>
      <c r="J13" s="50">
        <f t="shared" si="0"/>
        <v>7571.2</v>
      </c>
      <c r="K13" s="51">
        <f t="shared" si="0"/>
        <v>4.8076923076923075</v>
      </c>
      <c r="L13" s="52">
        <f>'BLS Table Data'!F14</f>
        <v>3.64</v>
      </c>
      <c r="N13" s="31"/>
      <c r="O13" s="39"/>
    </row>
    <row r="14" spans="1:15">
      <c r="A14" s="12"/>
      <c r="B14" s="12"/>
      <c r="C14" s="53"/>
      <c r="D14" s="36"/>
      <c r="E14" s="46"/>
      <c r="F14" s="54"/>
      <c r="G14" s="48"/>
      <c r="H14" s="49"/>
      <c r="I14" s="48"/>
      <c r="J14" s="50"/>
      <c r="K14" s="51"/>
      <c r="L14" s="52"/>
      <c r="N14" s="31"/>
      <c r="O14" s="39"/>
    </row>
    <row r="15" spans="1:15">
      <c r="A15" s="16" t="s">
        <v>99</v>
      </c>
      <c r="B15" s="16" t="s">
        <v>100</v>
      </c>
      <c r="C15" s="21"/>
      <c r="D15" s="36"/>
      <c r="E15" s="22"/>
      <c r="F15" s="23"/>
      <c r="G15" s="48"/>
      <c r="H15" s="24"/>
      <c r="I15" s="48"/>
      <c r="J15" s="33"/>
      <c r="K15" s="24"/>
      <c r="L15" s="33"/>
    </row>
    <row r="16" spans="1:15">
      <c r="A16" s="12"/>
      <c r="B16" s="12"/>
      <c r="C16" s="12" t="s">
        <v>101</v>
      </c>
      <c r="D16" s="36">
        <f>'WFIS Data'!$D$30</f>
        <v>3000000</v>
      </c>
      <c r="E16" s="22">
        <f>D16/D$7</f>
        <v>0.03</v>
      </c>
      <c r="F16" s="23">
        <f>L16/L$7</f>
        <v>8.9881124963757612E-3</v>
      </c>
      <c r="G16" s="48"/>
      <c r="H16" s="24">
        <f>K16*2080</f>
        <v>2142.8571428571427</v>
      </c>
      <c r="I16" s="48"/>
      <c r="J16" s="33">
        <f>L16*2080</f>
        <v>644.79999999999995</v>
      </c>
      <c r="K16" s="26">
        <f>D16/D$46</f>
        <v>1.0302197802197801</v>
      </c>
      <c r="L16" s="34">
        <f>'BLS Table Data'!F17</f>
        <v>0.31</v>
      </c>
    </row>
    <row r="17" spans="1:15">
      <c r="A17" s="12"/>
      <c r="B17" s="12"/>
      <c r="C17" s="12" t="s">
        <v>102</v>
      </c>
      <c r="D17" s="36">
        <f>SUM('WFIS Data'!D35:D36)+SUM('WFIS Data'!D42:D51)</f>
        <v>500000</v>
      </c>
      <c r="E17" s="22">
        <f>D17/D$7</f>
        <v>5.0000000000000001E-3</v>
      </c>
      <c r="F17" s="23">
        <f>L17/L$7</f>
        <v>4.9289649173673532E-3</v>
      </c>
      <c r="G17" s="48"/>
      <c r="H17" s="24">
        <f>K17*2080</f>
        <v>357.14285714285717</v>
      </c>
      <c r="I17" s="48"/>
      <c r="J17" s="33">
        <f>L17*2080</f>
        <v>353.6</v>
      </c>
      <c r="K17" s="26">
        <f>D17/D$46</f>
        <v>0.1717032967032967</v>
      </c>
      <c r="L17" s="34">
        <f>'BLS Table Data'!F18</f>
        <v>0.17</v>
      </c>
    </row>
    <row r="18" spans="1:15">
      <c r="A18" s="12"/>
      <c r="B18" s="40"/>
      <c r="C18" s="55" t="s">
        <v>120</v>
      </c>
      <c r="D18" s="66">
        <f>SUM('WFIS Data'!D37:D41)</f>
        <v>2500000</v>
      </c>
      <c r="E18" s="28">
        <f>D18/D$7</f>
        <v>2.5000000000000001E-2</v>
      </c>
      <c r="F18" s="41">
        <f>L18/L$7</f>
        <v>2.9283850391417801E-2</v>
      </c>
      <c r="G18" s="48"/>
      <c r="H18" s="29">
        <f>K18*2080</f>
        <v>1785.7142857142856</v>
      </c>
      <c r="I18" s="48"/>
      <c r="J18" s="42">
        <f>L18*2080</f>
        <v>2100.8000000000002</v>
      </c>
      <c r="K18" s="30">
        <f>D18/D$46</f>
        <v>0.85851648351648346</v>
      </c>
      <c r="L18" s="43">
        <f>'BLS Table Data'!F19</f>
        <v>1.01</v>
      </c>
      <c r="N18" s="56"/>
      <c r="O18" s="56"/>
    </row>
    <row r="19" spans="1:15">
      <c r="A19" s="12"/>
      <c r="B19" s="40"/>
      <c r="C19" s="45" t="s">
        <v>103</v>
      </c>
      <c r="D19" s="36">
        <f t="shared" ref="D19:K19" si="1">SUM(D16:D18)</f>
        <v>6000000</v>
      </c>
      <c r="E19" s="46">
        <f t="shared" si="1"/>
        <v>0.06</v>
      </c>
      <c r="F19" s="47">
        <f t="shared" si="1"/>
        <v>4.3200927805160917E-2</v>
      </c>
      <c r="G19" s="48">
        <f>E19-F19</f>
        <v>1.6799072194839081E-2</v>
      </c>
      <c r="H19" s="49">
        <f>SUM(H16:H18)</f>
        <v>4285.7142857142853</v>
      </c>
      <c r="I19" s="48">
        <f>H19/J19</f>
        <v>1.3828453425768858</v>
      </c>
      <c r="J19" s="50">
        <f t="shared" si="1"/>
        <v>3099.2000000000003</v>
      </c>
      <c r="K19" s="51">
        <f t="shared" si="1"/>
        <v>2.0604395604395602</v>
      </c>
      <c r="L19" s="52">
        <f>'BLS Table Data'!F20</f>
        <v>1.49</v>
      </c>
    </row>
    <row r="20" spans="1:15">
      <c r="A20" s="12"/>
      <c r="B20" s="12"/>
      <c r="C20" s="21"/>
      <c r="D20" s="36"/>
      <c r="E20" s="22"/>
      <c r="F20" s="23"/>
      <c r="G20" s="48"/>
      <c r="H20" s="24"/>
      <c r="I20" s="48"/>
      <c r="J20" s="33"/>
      <c r="K20" s="24"/>
      <c r="L20" s="34"/>
    </row>
    <row r="21" spans="1:15">
      <c r="A21" s="16" t="s">
        <v>104</v>
      </c>
      <c r="B21" s="16" t="s">
        <v>130</v>
      </c>
      <c r="C21" s="21"/>
      <c r="D21" s="36"/>
      <c r="E21" s="22"/>
      <c r="F21" s="23"/>
      <c r="G21" s="48"/>
      <c r="H21" s="24"/>
      <c r="I21" s="48"/>
      <c r="J21" s="33"/>
      <c r="K21" s="24"/>
      <c r="L21" s="34"/>
    </row>
    <row r="22" spans="1:15">
      <c r="A22" s="12"/>
      <c r="B22" s="57"/>
      <c r="C22" s="53" t="s">
        <v>131</v>
      </c>
      <c r="D22" s="71">
        <f>'WFIS Data'!$D$64</f>
        <v>500000</v>
      </c>
      <c r="E22" s="31">
        <f>D22/D$7</f>
        <v>5.0000000000000001E-3</v>
      </c>
      <c r="F22" s="23">
        <f>L22/L$7</f>
        <v>2.029573789504204E-3</v>
      </c>
      <c r="G22" s="48"/>
      <c r="H22" s="24">
        <f>K22*2080</f>
        <v>357.14285714285717</v>
      </c>
      <c r="I22" s="48"/>
      <c r="J22" s="58">
        <f>L22*2080</f>
        <v>145.60000000000002</v>
      </c>
      <c r="K22" s="26">
        <f>D22/D$46</f>
        <v>0.1717032967032967</v>
      </c>
      <c r="L22" s="59">
        <f>'BLS Table Data'!$F$23</f>
        <v>7.0000000000000007E-2</v>
      </c>
      <c r="N22" s="31"/>
      <c r="O22" s="39"/>
    </row>
    <row r="23" spans="1:15">
      <c r="A23" s="12"/>
      <c r="B23" s="57"/>
      <c r="C23" s="85" t="s">
        <v>148</v>
      </c>
      <c r="D23" s="70">
        <f>SUM('WFIS Data'!D68:D72)+'WFIS Data'!$D$80</f>
        <v>10000000</v>
      </c>
      <c r="E23" s="31">
        <f>D23/D$7</f>
        <v>0.1</v>
      </c>
      <c r="F23" s="47">
        <f>L23/L$7</f>
        <v>9.0750942302116541E-2</v>
      </c>
      <c r="G23" s="48"/>
      <c r="H23" s="24">
        <f>K23*2080</f>
        <v>7142.8571428571422</v>
      </c>
      <c r="I23" s="48"/>
      <c r="J23" s="50">
        <f>L23*2080</f>
        <v>6510.4</v>
      </c>
      <c r="K23" s="26">
        <f>D23/D$46</f>
        <v>3.4340659340659339</v>
      </c>
      <c r="L23" s="52">
        <f>'BLS Table Data'!F24</f>
        <v>3.13</v>
      </c>
      <c r="N23" s="31"/>
      <c r="O23" s="39"/>
    </row>
    <row r="24" spans="1:15">
      <c r="A24" s="12"/>
      <c r="B24" s="21"/>
      <c r="C24" s="53" t="s">
        <v>105</v>
      </c>
      <c r="D24" s="36">
        <f>'WFIS Data'!$D$78</f>
        <v>250000</v>
      </c>
      <c r="E24" s="22">
        <f>D24/D$7</f>
        <v>2.5000000000000001E-3</v>
      </c>
      <c r="F24" s="23">
        <f>L24/L$7</f>
        <v>2.8993911278631487E-3</v>
      </c>
      <c r="G24" s="48"/>
      <c r="H24" s="24">
        <f>K24*2080</f>
        <v>178.57142857142858</v>
      </c>
      <c r="I24" s="48"/>
      <c r="J24" s="33">
        <f>L24*2080</f>
        <v>208</v>
      </c>
      <c r="K24" s="26">
        <f>D24/D$46</f>
        <v>8.5851648351648352E-2</v>
      </c>
      <c r="L24" s="34">
        <f>'BLS Table Data'!F25</f>
        <v>0.1</v>
      </c>
      <c r="N24" s="31"/>
      <c r="O24" s="39"/>
    </row>
    <row r="25" spans="1:15">
      <c r="A25" s="12"/>
      <c r="B25" s="21"/>
      <c r="C25" s="61" t="s">
        <v>106</v>
      </c>
      <c r="D25" s="66">
        <f>'WFIS Data'!$D$79</f>
        <v>250000</v>
      </c>
      <c r="E25" s="28">
        <f>D25/D$7</f>
        <v>2.5000000000000001E-3</v>
      </c>
      <c r="F25" s="41">
        <f>L25/L$7</f>
        <v>2.6094520150768338E-3</v>
      </c>
      <c r="G25" s="48"/>
      <c r="H25" s="29">
        <f>K25*2080</f>
        <v>178.57142857142858</v>
      </c>
      <c r="I25" s="48"/>
      <c r="J25" s="42">
        <f>L25*2080</f>
        <v>187.2</v>
      </c>
      <c r="K25" s="30">
        <f>D25/D$46</f>
        <v>8.5851648351648352E-2</v>
      </c>
      <c r="L25" s="43">
        <f>'BLS Table Data'!F26</f>
        <v>0.09</v>
      </c>
      <c r="N25" s="31"/>
      <c r="O25" s="39"/>
    </row>
    <row r="26" spans="1:15">
      <c r="A26" s="12"/>
      <c r="B26" s="21"/>
      <c r="C26" s="45" t="s">
        <v>107</v>
      </c>
      <c r="D26" s="36">
        <f>SUM(D22:D25)</f>
        <v>11000000</v>
      </c>
      <c r="E26" s="46">
        <f>SUM(E22:E25)</f>
        <v>0.11000000000000001</v>
      </c>
      <c r="F26" s="47">
        <f>SUM(F22:F25)</f>
        <v>9.8289359234560725E-2</v>
      </c>
      <c r="G26" s="48">
        <f>E26-F26</f>
        <v>1.171064076543929E-2</v>
      </c>
      <c r="H26" s="49">
        <f>SUM(H22:H25)</f>
        <v>7857.142857142856</v>
      </c>
      <c r="I26" s="48">
        <f>H26/J26</f>
        <v>1.1142986806703619</v>
      </c>
      <c r="J26" s="50">
        <f>SUM(J22:J25)</f>
        <v>7051.2</v>
      </c>
      <c r="K26" s="51">
        <f>SUM(K22:K25)</f>
        <v>3.7774725274725269</v>
      </c>
      <c r="L26" s="52">
        <f>SUM(L22:L25)</f>
        <v>3.3899999999999997</v>
      </c>
      <c r="N26" s="31"/>
      <c r="O26" s="39"/>
    </row>
    <row r="27" spans="1:15">
      <c r="A27" s="12"/>
      <c r="B27" s="21"/>
      <c r="C27" s="53"/>
      <c r="D27" s="36"/>
      <c r="E27" s="22"/>
      <c r="F27" s="23"/>
      <c r="G27" s="48"/>
      <c r="H27" s="24"/>
      <c r="I27" s="48"/>
      <c r="J27" s="33"/>
      <c r="K27" s="24"/>
      <c r="L27" s="34"/>
    </row>
    <row r="28" spans="1:15">
      <c r="A28" s="16" t="s">
        <v>108</v>
      </c>
      <c r="B28" s="16" t="s">
        <v>109</v>
      </c>
      <c r="C28" s="21"/>
      <c r="D28" s="36"/>
      <c r="E28" s="22"/>
      <c r="F28" s="23"/>
      <c r="G28" s="48"/>
      <c r="H28" s="24"/>
      <c r="I28" s="48"/>
      <c r="J28" s="33"/>
      <c r="K28" s="24"/>
      <c r="L28" s="34"/>
    </row>
    <row r="29" spans="1:15">
      <c r="A29" s="16"/>
      <c r="B29" s="21"/>
      <c r="C29" s="85" t="s">
        <v>147</v>
      </c>
      <c r="D29" s="86">
        <v>5000000</v>
      </c>
      <c r="E29" s="22">
        <f>D29/D$7</f>
        <v>0.05</v>
      </c>
      <c r="F29" s="23">
        <f>L29/L$7</f>
        <v>2.14554943461873E-2</v>
      </c>
      <c r="G29" s="48"/>
      <c r="H29" s="24">
        <f>K29*2080</f>
        <v>3571.4285714285711</v>
      </c>
      <c r="I29" s="48"/>
      <c r="J29" s="33">
        <f>L29*2080</f>
        <v>1539.2</v>
      </c>
      <c r="K29" s="26">
        <f>D29/D$46</f>
        <v>1.7170329670329669</v>
      </c>
      <c r="L29" s="34">
        <f>'BLS Table Data'!F30</f>
        <v>0.74</v>
      </c>
      <c r="N29" s="31"/>
      <c r="O29" s="39"/>
    </row>
    <row r="30" spans="1:15">
      <c r="A30" s="16"/>
      <c r="B30" s="21"/>
      <c r="C30" s="53" t="s">
        <v>121</v>
      </c>
      <c r="D30" s="66">
        <f>MAX('WFIS Data'!D82:D83)+SUM('WFIS Data'!D85:D86)</f>
        <v>6000000</v>
      </c>
      <c r="E30" s="28">
        <f>D30/D$7</f>
        <v>0.06</v>
      </c>
      <c r="F30" s="41">
        <f>L30/L$7</f>
        <v>3.1893302406494635E-2</v>
      </c>
      <c r="G30" s="48"/>
      <c r="H30" s="29">
        <f>K30*2080</f>
        <v>4285.7142857142853</v>
      </c>
      <c r="I30" s="48"/>
      <c r="J30" s="42">
        <f>L30*2080</f>
        <v>2288</v>
      </c>
      <c r="K30" s="30">
        <f>D30/D$46</f>
        <v>2.0604395604395602</v>
      </c>
      <c r="L30" s="43">
        <f>'BLS Table Data'!F31</f>
        <v>1.1000000000000001</v>
      </c>
      <c r="N30" s="31"/>
      <c r="O30" s="39"/>
    </row>
    <row r="31" spans="1:15">
      <c r="A31" s="12"/>
      <c r="B31" s="21"/>
      <c r="C31" s="53" t="s">
        <v>110</v>
      </c>
      <c r="D31" s="36">
        <f t="shared" ref="D31:K31" si="2">SUM(D29:D30)</f>
        <v>11000000</v>
      </c>
      <c r="E31" s="46">
        <f t="shared" si="2"/>
        <v>0.11</v>
      </c>
      <c r="F31" s="47">
        <f t="shared" si="2"/>
        <v>5.3348796752681935E-2</v>
      </c>
      <c r="G31" s="48">
        <f>E31-F31</f>
        <v>5.6651203247318066E-2</v>
      </c>
      <c r="H31" s="49">
        <f>SUM(H29:H30)</f>
        <v>7857.1428571428569</v>
      </c>
      <c r="I31" s="48">
        <f>H31/J31</f>
        <v>2.0529741997133302</v>
      </c>
      <c r="J31" s="50">
        <f t="shared" si="2"/>
        <v>3827.2</v>
      </c>
      <c r="K31" s="51">
        <f t="shared" si="2"/>
        <v>3.7774725274725274</v>
      </c>
      <c r="L31" s="52">
        <f>'BLS Table Data'!F32</f>
        <v>1.84</v>
      </c>
      <c r="N31" s="31"/>
      <c r="O31" s="39"/>
    </row>
    <row r="32" spans="1:15">
      <c r="A32" s="12"/>
      <c r="B32" s="12"/>
      <c r="C32" s="12"/>
      <c r="D32" s="36"/>
      <c r="E32" s="22"/>
      <c r="F32" s="23"/>
      <c r="G32" s="48"/>
      <c r="H32" s="24"/>
      <c r="I32" s="48"/>
      <c r="J32" s="33"/>
      <c r="K32" s="24"/>
      <c r="L32" s="33"/>
    </row>
    <row r="33" spans="1:15">
      <c r="A33" s="16" t="s">
        <v>111</v>
      </c>
      <c r="B33" s="17" t="s">
        <v>112</v>
      </c>
      <c r="C33" s="16"/>
      <c r="D33" s="36"/>
      <c r="E33" s="37"/>
      <c r="F33" s="23"/>
      <c r="G33" s="48"/>
      <c r="H33" s="62"/>
      <c r="I33" s="48"/>
      <c r="J33" s="25"/>
      <c r="L33" s="27"/>
    </row>
    <row r="34" spans="1:15">
      <c r="A34" s="12"/>
      <c r="B34" s="21"/>
      <c r="C34" s="12" t="s">
        <v>113</v>
      </c>
      <c r="D34" s="70">
        <f>SUM('WFIS Data'!D54:D55)</f>
        <v>7000000</v>
      </c>
      <c r="E34" s="22">
        <f>D34/D$7</f>
        <v>7.0000000000000007E-2</v>
      </c>
      <c r="F34" s="23">
        <f>L34/L$7</f>
        <v>7.1904899971006089E-2</v>
      </c>
      <c r="G34" s="48"/>
      <c r="H34" s="24">
        <f>K34*2080</f>
        <v>5000</v>
      </c>
      <c r="I34" s="48"/>
      <c r="J34" s="33">
        <f>L34*2080</f>
        <v>5158.3999999999996</v>
      </c>
      <c r="K34" s="26">
        <f>D34/D$46</f>
        <v>2.4038461538461537</v>
      </c>
      <c r="L34" s="34">
        <f>'BLS Table Data'!F35</f>
        <v>2.48</v>
      </c>
      <c r="N34" s="31"/>
      <c r="O34" s="39"/>
    </row>
    <row r="35" spans="1:15">
      <c r="A35" s="12"/>
      <c r="B35" s="21"/>
      <c r="C35" s="12" t="s">
        <v>114</v>
      </c>
      <c r="D35" s="70">
        <f>'WFIS Data'!$D$56</f>
        <v>400000</v>
      </c>
      <c r="E35" s="22">
        <f>D35/D$7</f>
        <v>4.0000000000000001E-3</v>
      </c>
      <c r="F35" s="23">
        <f>L35/L$7</f>
        <v>4.9289649173673532E-3</v>
      </c>
      <c r="G35" s="48"/>
      <c r="H35" s="24">
        <f>K35*2080</f>
        <v>285.71428571428572</v>
      </c>
      <c r="I35" s="48"/>
      <c r="J35" s="33">
        <f>L35*2080</f>
        <v>353.6</v>
      </c>
      <c r="K35" s="26">
        <f>D35/D$46</f>
        <v>0.13736263736263737</v>
      </c>
      <c r="L35" s="34">
        <f>'BLS Table Data'!F36</f>
        <v>0.17</v>
      </c>
      <c r="N35" s="31"/>
      <c r="O35" s="39"/>
    </row>
    <row r="36" spans="1:15">
      <c r="A36" s="12"/>
      <c r="B36" s="21"/>
      <c r="C36" s="12" t="s">
        <v>133</v>
      </c>
      <c r="D36" s="66">
        <f>SUM('WFIS Data'!D60:D63)</f>
        <v>600000</v>
      </c>
      <c r="E36" s="28">
        <f>D36/D$7</f>
        <v>6.0000000000000001E-3</v>
      </c>
      <c r="F36" s="41">
        <f>L36/L$7</f>
        <v>1.1017686285879964E-2</v>
      </c>
      <c r="G36" s="48"/>
      <c r="H36" s="29">
        <f>K36*2080</f>
        <v>428.57142857142856</v>
      </c>
      <c r="I36" s="48"/>
      <c r="J36" s="42">
        <f>L36*2080</f>
        <v>790.4</v>
      </c>
      <c r="K36" s="30">
        <f>D36/D$46</f>
        <v>0.20604395604395603</v>
      </c>
      <c r="L36" s="43">
        <f>'BLS Table Data'!F37</f>
        <v>0.38</v>
      </c>
      <c r="N36" s="31"/>
      <c r="O36" s="39"/>
    </row>
    <row r="37" spans="1:15">
      <c r="A37" s="12"/>
      <c r="B37" s="12"/>
      <c r="C37" s="45" t="s">
        <v>115</v>
      </c>
      <c r="D37" s="36">
        <f t="shared" ref="D37:K37" si="3">SUM(D34:D36)</f>
        <v>8000000</v>
      </c>
      <c r="E37" s="22">
        <f t="shared" si="3"/>
        <v>8.0000000000000016E-2</v>
      </c>
      <c r="F37" s="23">
        <f t="shared" si="3"/>
        <v>8.7851551174253417E-2</v>
      </c>
      <c r="G37" s="48">
        <f>E37-F37</f>
        <v>-7.8515511742534017E-3</v>
      </c>
      <c r="H37" s="49">
        <f>SUM(H34:H36)</f>
        <v>5714.2857142857138</v>
      </c>
      <c r="I37" s="48">
        <f>H37/J37</f>
        <v>0.90668407500090664</v>
      </c>
      <c r="J37" s="50">
        <f t="shared" si="3"/>
        <v>6302.4</v>
      </c>
      <c r="K37" s="51">
        <f t="shared" si="3"/>
        <v>2.7472527472527473</v>
      </c>
      <c r="L37" s="52">
        <f>'BLS Table Data'!F38</f>
        <v>3.03</v>
      </c>
      <c r="N37" s="31"/>
      <c r="O37" s="39"/>
    </row>
    <row r="38" spans="1:15">
      <c r="A38" s="12"/>
      <c r="B38" s="40"/>
      <c r="C38" s="55"/>
      <c r="D38" s="36"/>
      <c r="E38" s="22"/>
      <c r="F38" s="23"/>
      <c r="G38" s="48"/>
      <c r="H38" s="24"/>
      <c r="I38" s="48"/>
      <c r="J38" s="33"/>
      <c r="K38" s="24"/>
      <c r="L38" s="33"/>
    </row>
    <row r="39" spans="1:15">
      <c r="A39" s="17" t="s">
        <v>116</v>
      </c>
      <c r="B39" s="63" t="s">
        <v>149</v>
      </c>
      <c r="C39" s="64"/>
      <c r="D39" s="27"/>
      <c r="G39" s="48"/>
      <c r="I39" s="48"/>
      <c r="N39" s="65"/>
      <c r="O39" s="65"/>
    </row>
    <row r="40" spans="1:15">
      <c r="A40" s="17"/>
      <c r="B40" s="63"/>
      <c r="C40" s="12" t="s">
        <v>134</v>
      </c>
      <c r="D40" s="72">
        <f>D13</f>
        <v>14000000</v>
      </c>
      <c r="E40" s="22">
        <f>E13</f>
        <v>0.14000000000000001</v>
      </c>
      <c r="F40" s="23">
        <f>F13</f>
        <v>0.10553783705421861</v>
      </c>
      <c r="G40" s="48">
        <f>E40-F40</f>
        <v>3.4462162945781402E-2</v>
      </c>
      <c r="H40" s="49">
        <f>H13</f>
        <v>10000</v>
      </c>
      <c r="I40" s="48">
        <f>H40/J40</f>
        <v>1.3207945900253593</v>
      </c>
      <c r="J40" s="49">
        <f>J13</f>
        <v>7571.2</v>
      </c>
      <c r="K40" s="52">
        <f>K13</f>
        <v>4.8076923076923075</v>
      </c>
      <c r="L40" s="52">
        <f>'BLS Table Data'!F41</f>
        <v>3.64</v>
      </c>
      <c r="N40" s="65"/>
      <c r="O40" s="65"/>
    </row>
    <row r="41" spans="1:15">
      <c r="A41" s="17"/>
      <c r="B41" s="63"/>
      <c r="C41" s="12" t="s">
        <v>136</v>
      </c>
      <c r="D41" s="66">
        <f>D26+D31</f>
        <v>22000000</v>
      </c>
      <c r="E41" s="28">
        <f>E26+E31</f>
        <v>0.22000000000000003</v>
      </c>
      <c r="F41" s="28">
        <f>F26+F31</f>
        <v>0.15163815598724267</v>
      </c>
      <c r="G41" s="48">
        <f>E41-F41</f>
        <v>6.8361844012757356E-2</v>
      </c>
      <c r="H41" s="29">
        <f>H26+H31</f>
        <v>15714.285714285714</v>
      </c>
      <c r="I41" s="48">
        <f>H41/J41</f>
        <v>1.4445401634694177</v>
      </c>
      <c r="J41" s="29">
        <f>J26+J31</f>
        <v>10878.4</v>
      </c>
      <c r="K41" s="30">
        <f>K26+K31</f>
        <v>7.5549450549450547</v>
      </c>
      <c r="L41" s="43">
        <f>'BLS Table Data'!F42</f>
        <v>5.2299999999999995</v>
      </c>
      <c r="N41" s="65"/>
      <c r="O41" s="65"/>
    </row>
    <row r="42" spans="1:15">
      <c r="A42" s="17"/>
      <c r="B42" s="63"/>
      <c r="C42" s="12" t="s">
        <v>117</v>
      </c>
      <c r="D42" s="36">
        <f>SUM(D40:D41)</f>
        <v>36000000</v>
      </c>
      <c r="E42" s="46">
        <f>SUM(E40:E41)</f>
        <v>0.36000000000000004</v>
      </c>
      <c r="F42" s="47">
        <f>SUM(F40:F41)</f>
        <v>0.25717599304146127</v>
      </c>
      <c r="G42" s="82">
        <f>E42-F42</f>
        <v>0.10282400695853877</v>
      </c>
      <c r="H42" s="49">
        <f>SUM(H40:H41)</f>
        <v>25714.285714285714</v>
      </c>
      <c r="I42" s="82">
        <f>H42/J42</f>
        <v>1.3937584399816645</v>
      </c>
      <c r="J42" s="50">
        <f>SUM(J40:J41)</f>
        <v>18449.599999999999</v>
      </c>
      <c r="K42" s="51">
        <f>SUM(K40:K41)</f>
        <v>12.362637362637361</v>
      </c>
      <c r="L42" s="52">
        <f>'BLS Table Data'!F43</f>
        <v>8.8699999999999992</v>
      </c>
      <c r="N42" s="65"/>
      <c r="O42" s="65"/>
    </row>
    <row r="43" spans="1:15">
      <c r="A43" s="17"/>
      <c r="B43" s="63"/>
      <c r="C43" s="64"/>
      <c r="D43" s="73"/>
      <c r="F43" s="23"/>
      <c r="G43" s="23"/>
      <c r="H43" s="50"/>
      <c r="I43" s="23"/>
      <c r="J43" s="50"/>
      <c r="K43" s="52"/>
      <c r="L43" s="52"/>
      <c r="N43" s="65"/>
      <c r="O43" s="65"/>
    </row>
    <row r="44" spans="1:15">
      <c r="A44" s="17"/>
      <c r="B44" s="63"/>
      <c r="C44" s="64"/>
      <c r="D44" s="73"/>
      <c r="F44" s="23"/>
      <c r="G44" s="64"/>
      <c r="H44" s="50"/>
      <c r="I44" s="23"/>
      <c r="J44" s="50"/>
      <c r="K44" s="52"/>
      <c r="L44" s="52"/>
      <c r="N44" s="65"/>
      <c r="O44" s="65"/>
    </row>
    <row r="45" spans="1:15">
      <c r="A45" s="17"/>
      <c r="B45" s="63"/>
      <c r="C45" s="38" t="s">
        <v>118</v>
      </c>
      <c r="D45" s="74">
        <f>SUM('WFIS Data'!D10:D12)</f>
        <v>1400</v>
      </c>
      <c r="E45" s="46"/>
      <c r="F45" s="23"/>
      <c r="G45" s="23"/>
      <c r="H45" s="49"/>
      <c r="I45" s="7"/>
      <c r="J45" s="7"/>
      <c r="M45" s="7"/>
      <c r="N45" s="65"/>
      <c r="O45" s="65"/>
    </row>
    <row r="46" spans="1:15">
      <c r="A46" s="17"/>
      <c r="B46" s="63"/>
      <c r="C46" s="67" t="s">
        <v>119</v>
      </c>
      <c r="D46" s="74">
        <f>D45*2080</f>
        <v>2912000</v>
      </c>
      <c r="F46" s="23"/>
      <c r="G46" s="23"/>
      <c r="H46" s="49"/>
      <c r="I46" s="7"/>
      <c r="J46" s="7"/>
      <c r="M46" s="7"/>
      <c r="N46" s="65"/>
      <c r="O46" s="65"/>
    </row>
    <row r="47" spans="1:15">
      <c r="I47" s="7"/>
      <c r="J47" s="7"/>
      <c r="M47" s="7"/>
    </row>
    <row r="48" spans="1:15">
      <c r="I48" s="7"/>
      <c r="J48" s="7"/>
    </row>
  </sheetData>
  <mergeCells count="4">
    <mergeCell ref="A1:L1"/>
    <mergeCell ref="A2:L2"/>
    <mergeCell ref="D3:E3"/>
    <mergeCell ref="G3:I3"/>
  </mergeCells>
  <pageMargins left="0.7" right="0.7" top="0.75" bottom="0.75" header="0.3" footer="0.3"/>
  <pageSetup scale="75" orientation="landscape" r:id="rId1"/>
  <headerFooter>
    <oddHeader xml:space="preserve">&amp;C&amp;"Arial,Bold"&amp;12DOE Annual Cost Study for 2009 - Compared to December 2009 Bureau of Labor Statistics
</oddHeader>
    <oddFooter>&amp;R&amp;D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WFIS Data</vt:lpstr>
      <vt:lpstr>BLS Table Data</vt:lpstr>
      <vt:lpstr>Cost Study</vt:lpstr>
      <vt:lpstr>Proposed Cost Study</vt:lpstr>
      <vt:lpstr>'WFIS Data'!Print_Titles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McCaulay</cp:lastModifiedBy>
  <cp:lastPrinted>2010-06-10T13:50:41Z</cp:lastPrinted>
  <dcterms:created xsi:type="dcterms:W3CDTF">2010-04-07T12:23:52Z</dcterms:created>
  <dcterms:modified xsi:type="dcterms:W3CDTF">2010-06-10T19:04:07Z</dcterms:modified>
</cp:coreProperties>
</file>