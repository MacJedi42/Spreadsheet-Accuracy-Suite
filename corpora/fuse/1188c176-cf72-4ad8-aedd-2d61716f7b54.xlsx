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12" windowWidth="25092" windowHeight="11460" tabRatio="356"/>
  </bookViews>
  <sheets>
    <sheet name="Input Data" sheetId="4" r:id="rId1"/>
    <sheet name="Risks" sheetId="1" r:id="rId2"/>
  </sheets>
  <definedNames>
    <definedName name="ACTIVITY_IMPACTED">'Input Data'!$F$101:$F$105</definedName>
    <definedName name="COST_IMPACT_CN">'Input Data'!$D$18:$D$22</definedName>
    <definedName name="COST_IMPACT_DESIGN">'Input Data'!$B$18:$B$22</definedName>
    <definedName name="COST_IMPACT_OTHER">'Input Data'!$E$18:$E$22</definedName>
    <definedName name="COST_IMPACT_PDE">'Input Data'!$A$18:$A$22</definedName>
    <definedName name="COST_IMPACT_ROW">'Input Data'!$C$18:$C$22</definedName>
    <definedName name="FUNCTIONAL_AREA">'Input Data'!$I$101:$I$112</definedName>
    <definedName name="LIKELIHOOD">'Input Data'!$G$18:$G$22</definedName>
    <definedName name="_xlnm.Print_Titles" localSheetId="0">'Input Data'!$10:$20</definedName>
    <definedName name="_xlnm.Print_Titles" localSheetId="1">Risks!#REF!</definedName>
    <definedName name="RESPONSE_TYPE">'Input Data'!$H$101:$H$104</definedName>
    <definedName name="SCHED_IMPACT_CN">'Input Data'!$L$18:$L$22</definedName>
    <definedName name="SCHED_IMPACT_DESIGN">'Input Data'!$J$18:$J$22</definedName>
    <definedName name="SCHED_IMPACT_OTHER">'Input Data'!$M$18:$M$22</definedName>
    <definedName name="SCHED_IMPACT_PDE">'Input Data'!$I$18:$I$22</definedName>
    <definedName name="SCHED_IMPACT_ROW">'Input Data'!$K$18:$K$22</definedName>
    <definedName name="STATUS">'Input Data'!$B$101:$B$103</definedName>
    <definedName name="THREAT_OR_OPP">'Input Data'!$D$101:$D$102</definedName>
  </definedNames>
  <calcPr calcId="145621"/>
</workbook>
</file>

<file path=xl/calcChain.xml><?xml version="1.0" encoding="utf-8"?>
<calcChain xmlns="http://schemas.openxmlformats.org/spreadsheetml/2006/main">
  <c r="Q177" i="1" l="1"/>
  <c r="P177" i="1"/>
  <c r="O177" i="1"/>
  <c r="N177" i="1"/>
  <c r="M177" i="1"/>
  <c r="Q176" i="1"/>
  <c r="P176" i="1"/>
  <c r="O176" i="1"/>
  <c r="N176" i="1"/>
  <c r="M176" i="1"/>
  <c r="Q175" i="1"/>
  <c r="P175" i="1"/>
  <c r="O175" i="1"/>
  <c r="N175" i="1"/>
  <c r="M175" i="1"/>
  <c r="Q174" i="1"/>
  <c r="P174" i="1"/>
  <c r="O174" i="1"/>
  <c r="N174" i="1"/>
  <c r="M174" i="1"/>
  <c r="Q173" i="1"/>
  <c r="P173" i="1"/>
  <c r="O173" i="1"/>
  <c r="N173" i="1"/>
  <c r="M173" i="1"/>
  <c r="Q166" i="1" l="1"/>
  <c r="P166" i="1"/>
  <c r="O166" i="1"/>
  <c r="N166" i="1"/>
  <c r="M166" i="1"/>
  <c r="Q165" i="1"/>
  <c r="P165" i="1"/>
  <c r="O165" i="1"/>
  <c r="N165" i="1"/>
  <c r="M165" i="1"/>
  <c r="Q164" i="1"/>
  <c r="P164" i="1"/>
  <c r="O164" i="1"/>
  <c r="N164" i="1"/>
  <c r="M164" i="1"/>
  <c r="Q163" i="1"/>
  <c r="P163" i="1"/>
  <c r="O163" i="1"/>
  <c r="N163" i="1"/>
  <c r="M163" i="1"/>
  <c r="Q162" i="1"/>
  <c r="P162" i="1"/>
  <c r="O162" i="1"/>
  <c r="N162" i="1"/>
  <c r="M162" i="1"/>
  <c r="Q155" i="1"/>
  <c r="P155" i="1"/>
  <c r="O155" i="1"/>
  <c r="N155" i="1"/>
  <c r="M155" i="1"/>
  <c r="Q154" i="1"/>
  <c r="P154" i="1"/>
  <c r="O154" i="1"/>
  <c r="N154" i="1"/>
  <c r="M154" i="1"/>
  <c r="Q153" i="1"/>
  <c r="P153" i="1"/>
  <c r="O153" i="1"/>
  <c r="N153" i="1"/>
  <c r="M153" i="1"/>
  <c r="Q152" i="1"/>
  <c r="P152" i="1"/>
  <c r="O152" i="1"/>
  <c r="N152" i="1"/>
  <c r="M152" i="1"/>
  <c r="Q151" i="1"/>
  <c r="P151" i="1"/>
  <c r="O151" i="1"/>
  <c r="N151" i="1"/>
  <c r="M151" i="1"/>
  <c r="Q144" i="1"/>
  <c r="P144" i="1"/>
  <c r="O144" i="1"/>
  <c r="N144" i="1"/>
  <c r="M144" i="1"/>
  <c r="Q143" i="1"/>
  <c r="P143" i="1"/>
  <c r="O143" i="1"/>
  <c r="N143" i="1"/>
  <c r="M143" i="1"/>
  <c r="Q142" i="1"/>
  <c r="P142" i="1"/>
  <c r="O142" i="1"/>
  <c r="N142" i="1"/>
  <c r="M142" i="1"/>
  <c r="Q141" i="1"/>
  <c r="P141" i="1"/>
  <c r="O141" i="1"/>
  <c r="N141" i="1"/>
  <c r="M141" i="1"/>
  <c r="Q140" i="1"/>
  <c r="P140" i="1"/>
  <c r="O140" i="1"/>
  <c r="N140" i="1"/>
  <c r="M140" i="1"/>
  <c r="Q133" i="1"/>
  <c r="P133" i="1"/>
  <c r="O133" i="1"/>
  <c r="N133" i="1"/>
  <c r="M133" i="1"/>
  <c r="Q132" i="1"/>
  <c r="P132" i="1"/>
  <c r="O132" i="1"/>
  <c r="N132" i="1"/>
  <c r="M132" i="1"/>
  <c r="Q131" i="1"/>
  <c r="P131" i="1"/>
  <c r="O131" i="1"/>
  <c r="N131" i="1"/>
  <c r="M131" i="1"/>
  <c r="Q130" i="1"/>
  <c r="P130" i="1"/>
  <c r="O130" i="1"/>
  <c r="N130" i="1"/>
  <c r="M130" i="1"/>
  <c r="Q129" i="1"/>
  <c r="P129" i="1"/>
  <c r="O129" i="1"/>
  <c r="N129" i="1"/>
  <c r="M129" i="1"/>
  <c r="Q122" i="1"/>
  <c r="P122" i="1"/>
  <c r="O122" i="1"/>
  <c r="N122" i="1"/>
  <c r="M122" i="1"/>
  <c r="Q121" i="1"/>
  <c r="P121" i="1"/>
  <c r="O121" i="1"/>
  <c r="N121" i="1"/>
  <c r="M121" i="1"/>
  <c r="Q120" i="1"/>
  <c r="P120" i="1"/>
  <c r="O120" i="1"/>
  <c r="N120" i="1"/>
  <c r="M120" i="1"/>
  <c r="Q119" i="1"/>
  <c r="P119" i="1"/>
  <c r="O119" i="1"/>
  <c r="N119" i="1"/>
  <c r="M119" i="1"/>
  <c r="Q118" i="1"/>
  <c r="P118" i="1"/>
  <c r="O118" i="1"/>
  <c r="N118" i="1"/>
  <c r="M118" i="1"/>
  <c r="Q111" i="1"/>
  <c r="P111" i="1"/>
  <c r="O111" i="1"/>
  <c r="N111" i="1"/>
  <c r="M111" i="1"/>
  <c r="Q110" i="1"/>
  <c r="P110" i="1"/>
  <c r="O110" i="1"/>
  <c r="N110" i="1"/>
  <c r="M110" i="1"/>
  <c r="Q109" i="1"/>
  <c r="P109" i="1"/>
  <c r="O109" i="1"/>
  <c r="N109" i="1"/>
  <c r="M109" i="1"/>
  <c r="Q108" i="1"/>
  <c r="P108" i="1"/>
  <c r="O108" i="1"/>
  <c r="N108" i="1"/>
  <c r="M108" i="1"/>
  <c r="Q107" i="1"/>
  <c r="P107" i="1"/>
  <c r="O107" i="1"/>
  <c r="N107" i="1"/>
  <c r="M107" i="1"/>
  <c r="Q100" i="1"/>
  <c r="P100" i="1"/>
  <c r="O100" i="1"/>
  <c r="N100" i="1"/>
  <c r="M100" i="1"/>
  <c r="Q99" i="1"/>
  <c r="P99" i="1"/>
  <c r="O99" i="1"/>
  <c r="N99" i="1"/>
  <c r="M99" i="1"/>
  <c r="Q98" i="1"/>
  <c r="P98" i="1"/>
  <c r="O98" i="1"/>
  <c r="N98" i="1"/>
  <c r="M98" i="1"/>
  <c r="Q97" i="1"/>
  <c r="P97" i="1"/>
  <c r="O97" i="1"/>
  <c r="N97" i="1"/>
  <c r="M97" i="1"/>
  <c r="Q96" i="1"/>
  <c r="P96" i="1"/>
  <c r="O96" i="1"/>
  <c r="N96" i="1"/>
  <c r="M96" i="1"/>
  <c r="Q89" i="1"/>
  <c r="P89" i="1"/>
  <c r="O89" i="1"/>
  <c r="N89" i="1"/>
  <c r="M89" i="1"/>
  <c r="Q88" i="1"/>
  <c r="P88" i="1"/>
  <c r="O88" i="1"/>
  <c r="N88" i="1"/>
  <c r="M88" i="1"/>
  <c r="Q87" i="1"/>
  <c r="P87" i="1"/>
  <c r="O87" i="1"/>
  <c r="N87" i="1"/>
  <c r="M87" i="1"/>
  <c r="Q86" i="1"/>
  <c r="P86" i="1"/>
  <c r="O86" i="1"/>
  <c r="N86" i="1"/>
  <c r="M86" i="1"/>
  <c r="Q85" i="1"/>
  <c r="P85" i="1"/>
  <c r="O85" i="1"/>
  <c r="N85" i="1"/>
  <c r="M85" i="1"/>
  <c r="Q78" i="1"/>
  <c r="P78" i="1"/>
  <c r="O78" i="1"/>
  <c r="N78" i="1"/>
  <c r="M78" i="1"/>
  <c r="Q77" i="1"/>
  <c r="P77" i="1"/>
  <c r="O77" i="1"/>
  <c r="N77" i="1"/>
  <c r="M77" i="1"/>
  <c r="Q76" i="1"/>
  <c r="P76" i="1"/>
  <c r="O76" i="1"/>
  <c r="N76" i="1"/>
  <c r="M76" i="1"/>
  <c r="Q75" i="1"/>
  <c r="P75" i="1"/>
  <c r="O75" i="1"/>
  <c r="N75" i="1"/>
  <c r="M75" i="1"/>
  <c r="Q74" i="1"/>
  <c r="P74" i="1"/>
  <c r="O74" i="1"/>
  <c r="N74" i="1"/>
  <c r="M74" i="1"/>
  <c r="Q67" i="1"/>
  <c r="P67" i="1"/>
  <c r="O67" i="1"/>
  <c r="N67" i="1"/>
  <c r="M67" i="1"/>
  <c r="Q66" i="1"/>
  <c r="P66" i="1"/>
  <c r="O66" i="1"/>
  <c r="N66" i="1"/>
  <c r="M66" i="1"/>
  <c r="Q65" i="1"/>
  <c r="P65" i="1"/>
  <c r="O65" i="1"/>
  <c r="N65" i="1"/>
  <c r="M65" i="1"/>
  <c r="Q64" i="1"/>
  <c r="P64" i="1"/>
  <c r="O64" i="1"/>
  <c r="N64" i="1"/>
  <c r="M64" i="1"/>
  <c r="Q63" i="1"/>
  <c r="P63" i="1"/>
  <c r="O63" i="1"/>
  <c r="N63" i="1"/>
  <c r="M63" i="1"/>
  <c r="Q56" i="1"/>
  <c r="P56" i="1"/>
  <c r="O56" i="1"/>
  <c r="N56" i="1"/>
  <c r="M56" i="1"/>
  <c r="Q55" i="1"/>
  <c r="P55" i="1"/>
  <c r="O55" i="1"/>
  <c r="N55" i="1"/>
  <c r="M55" i="1"/>
  <c r="Q54" i="1"/>
  <c r="P54" i="1"/>
  <c r="O54" i="1"/>
  <c r="N54" i="1"/>
  <c r="M54" i="1"/>
  <c r="Q53" i="1"/>
  <c r="P53" i="1"/>
  <c r="O53" i="1"/>
  <c r="N53" i="1"/>
  <c r="M53" i="1"/>
  <c r="Q52" i="1"/>
  <c r="P52" i="1"/>
  <c r="O52" i="1"/>
  <c r="N52" i="1"/>
  <c r="M52" i="1"/>
  <c r="Q45" i="1"/>
  <c r="P45" i="1"/>
  <c r="O45" i="1"/>
  <c r="N45" i="1"/>
  <c r="M45" i="1"/>
  <c r="Q44" i="1"/>
  <c r="P44" i="1"/>
  <c r="O44" i="1"/>
  <c r="N44" i="1"/>
  <c r="M44" i="1"/>
  <c r="Q43" i="1"/>
  <c r="P43" i="1"/>
  <c r="O43" i="1"/>
  <c r="N43" i="1"/>
  <c r="M43" i="1"/>
  <c r="Q42" i="1"/>
  <c r="P42" i="1"/>
  <c r="O42" i="1"/>
  <c r="N42" i="1"/>
  <c r="M42" i="1"/>
  <c r="Q41" i="1"/>
  <c r="P41" i="1"/>
  <c r="O41" i="1"/>
  <c r="N41" i="1"/>
  <c r="M41" i="1"/>
  <c r="Q34" i="1" l="1"/>
  <c r="P34" i="1"/>
  <c r="O34" i="1"/>
  <c r="N34" i="1"/>
  <c r="M34" i="1"/>
  <c r="Q33" i="1"/>
  <c r="P33" i="1"/>
  <c r="O33" i="1"/>
  <c r="N33" i="1"/>
  <c r="M33" i="1"/>
  <c r="Q32" i="1"/>
  <c r="P32" i="1"/>
  <c r="O32" i="1"/>
  <c r="N32" i="1"/>
  <c r="M32" i="1"/>
  <c r="Q31" i="1"/>
  <c r="P31" i="1"/>
  <c r="O31" i="1"/>
  <c r="N31" i="1"/>
  <c r="M31" i="1"/>
  <c r="Q30" i="1"/>
  <c r="P30" i="1"/>
  <c r="O30" i="1"/>
  <c r="N30" i="1"/>
  <c r="M30" i="1"/>
  <c r="Q23" i="1"/>
  <c r="P23" i="1"/>
  <c r="O23" i="1"/>
  <c r="N23" i="1"/>
  <c r="M23" i="1"/>
  <c r="Q22" i="1"/>
  <c r="P22" i="1"/>
  <c r="O22" i="1"/>
  <c r="N22" i="1"/>
  <c r="M22" i="1"/>
  <c r="Q21" i="1"/>
  <c r="P21" i="1"/>
  <c r="O21" i="1"/>
  <c r="N21" i="1"/>
  <c r="M21" i="1"/>
  <c r="Q20" i="1"/>
  <c r="P20" i="1"/>
  <c r="O20" i="1"/>
  <c r="N20" i="1"/>
  <c r="M20" i="1"/>
  <c r="Q19" i="1"/>
  <c r="P19" i="1"/>
  <c r="O19" i="1"/>
  <c r="N19" i="1"/>
  <c r="M19" i="1"/>
  <c r="Q12" i="1"/>
  <c r="P12" i="1"/>
  <c r="O12" i="1"/>
  <c r="N12" i="1"/>
  <c r="Q11" i="1"/>
  <c r="P11" i="1"/>
  <c r="O11" i="1"/>
  <c r="N11" i="1"/>
  <c r="Q10" i="1"/>
  <c r="P10" i="1"/>
  <c r="O10" i="1"/>
  <c r="N10" i="1"/>
  <c r="Q9" i="1"/>
  <c r="P9" i="1"/>
  <c r="O9" i="1"/>
  <c r="N9" i="1"/>
  <c r="Q8" i="1"/>
  <c r="P8" i="1"/>
  <c r="O8" i="1"/>
  <c r="N8" i="1"/>
  <c r="M12" i="1"/>
  <c r="M11" i="1"/>
  <c r="M10" i="1"/>
  <c r="M9" i="1"/>
  <c r="M8" i="1"/>
  <c r="A3" i="1" l="1"/>
</calcChain>
</file>

<file path=xl/comments1.xml><?xml version="1.0" encoding="utf-8"?>
<comments xmlns="http://schemas.openxmlformats.org/spreadsheetml/2006/main">
  <authors>
    <author>fdoehring</author>
  </authors>
  <commentList>
    <comment ref="B11" authorId="0">
      <text>
        <r>
          <rPr>
            <sz val="9"/>
            <color indexed="81"/>
            <rFont val="Tahoma"/>
            <family val="2"/>
          </rPr>
          <t>Current Design estimate in Millions (i.e. 1.05)</t>
        </r>
      </text>
    </comment>
    <comment ref="C11" authorId="0">
      <text>
        <r>
          <rPr>
            <sz val="9"/>
            <color indexed="81"/>
            <rFont val="Tahoma"/>
            <family val="2"/>
          </rPr>
          <t>Current RW estimate in Millions (i.e. 0.75)</t>
        </r>
      </text>
    </comment>
    <comment ref="D11" authorId="0">
      <text>
        <r>
          <rPr>
            <sz val="9"/>
            <color indexed="81"/>
            <rFont val="Tahoma"/>
            <family val="2"/>
          </rPr>
          <t>Current Construction estimate in Millions (i.e. 32.75)</t>
        </r>
      </text>
    </comment>
    <comment ref="J11" authorId="0">
      <text>
        <r>
          <rPr>
            <sz val="9"/>
            <color indexed="81"/>
            <rFont val="Tahoma"/>
            <family val="2"/>
          </rPr>
          <t>Duration of Design phase in Months from today</t>
        </r>
      </text>
    </comment>
    <comment ref="K11" authorId="0">
      <text>
        <r>
          <rPr>
            <sz val="9"/>
            <color indexed="81"/>
            <rFont val="Tahoma"/>
            <family val="2"/>
          </rPr>
          <t>Duration of R/W phase in Months from today.</t>
        </r>
      </text>
    </comment>
    <comment ref="L11" authorId="0">
      <text>
        <r>
          <rPr>
            <sz val="9"/>
            <color indexed="81"/>
            <rFont val="Tahoma"/>
            <family val="2"/>
          </rPr>
          <t>Duration of Construction phase in Months from Advertising</t>
        </r>
      </text>
    </comment>
    <comment ref="A16" authorId="0">
      <text>
        <r>
          <rPr>
            <sz val="9"/>
            <color indexed="81"/>
            <rFont val="Tahoma"/>
            <charset val="1"/>
          </rPr>
          <t xml:space="preserve">For Design, R/W, and Construction, define the dollar value that corresponds to each level of uncertainty.  For example, Very Low (VL) may be any risk with an impact less than $100K or $0.1M.  In this case, enter 0.1 in for the Low (L) level.  </t>
        </r>
      </text>
    </comment>
    <comment ref="I16" authorId="0">
      <text>
        <r>
          <rPr>
            <sz val="9"/>
            <color indexed="81"/>
            <rFont val="Tahoma"/>
            <family val="2"/>
          </rPr>
          <t>For Design, R/W, and Construction, define the number of days that corresponds to each level of uncertainty.  For example, Very Low (VL) may be any risk with an impact less than 7 days.  In this case, enter 7 for the Low (L) level.</t>
        </r>
        <r>
          <rPr>
            <b/>
            <sz val="9"/>
            <color indexed="81"/>
            <rFont val="Tahoma"/>
            <charset val="1"/>
          </rPr>
          <t xml:space="preserve">  </t>
        </r>
      </text>
    </comment>
  </commentList>
</comments>
</file>

<file path=xl/sharedStrings.xml><?xml version="1.0" encoding="utf-8"?>
<sst xmlns="http://schemas.openxmlformats.org/spreadsheetml/2006/main" count="588" uniqueCount="78">
  <si>
    <t>Risk Identification</t>
  </si>
  <si>
    <t>Qualitative Analysis</t>
  </si>
  <si>
    <t>Status</t>
  </si>
  <si>
    <t>Active</t>
  </si>
  <si>
    <t>Retired</t>
  </si>
  <si>
    <t>H</t>
  </si>
  <si>
    <t>L</t>
  </si>
  <si>
    <t>Risk Description</t>
  </si>
  <si>
    <t>Threat / 
Opportunity</t>
  </si>
  <si>
    <t>Risk Name</t>
  </si>
  <si>
    <t>Cost Impact</t>
  </si>
  <si>
    <t>M</t>
  </si>
  <si>
    <t>Risk ID</t>
  </si>
  <si>
    <t>Inactive</t>
  </si>
  <si>
    <t>Threat</t>
  </si>
  <si>
    <t>Opportunity</t>
  </si>
  <si>
    <t>PE</t>
  </si>
  <si>
    <t>R/W</t>
  </si>
  <si>
    <t>CN</t>
  </si>
  <si>
    <t>Date
Identified</t>
  </si>
  <si>
    <t>Schedule
Impact</t>
  </si>
  <si>
    <t>Project Name</t>
  </si>
  <si>
    <t>Probability</t>
  </si>
  <si>
    <t>VH</t>
  </si>
  <si>
    <t>VL</t>
  </si>
  <si>
    <t>Impact</t>
  </si>
  <si>
    <t>Risk Impact</t>
  </si>
  <si>
    <t>LOOKUPS, DO NOT TOUCH!!!!!!</t>
  </si>
  <si>
    <t xml:space="preserve">Response </t>
  </si>
  <si>
    <t>Type</t>
  </si>
  <si>
    <t>Response Description</t>
  </si>
  <si>
    <t>Functional 
Area</t>
  </si>
  <si>
    <t>Avoid</t>
  </si>
  <si>
    <t>Transfer</t>
  </si>
  <si>
    <t>Mitigate</t>
  </si>
  <si>
    <t>Accept</t>
  </si>
  <si>
    <t>Utilities and Railroads</t>
  </si>
  <si>
    <t>Phase
Impacted</t>
  </si>
  <si>
    <t>Construction</t>
  </si>
  <si>
    <t>Contracting &amp; Procurement</t>
  </si>
  <si>
    <t>Design / PS&amp;E</t>
  </si>
  <si>
    <t>Environmental &amp; Hydraulics</t>
  </si>
  <si>
    <t>Maintenance</t>
  </si>
  <si>
    <t>Management / Funding</t>
  </si>
  <si>
    <t>Project Management</t>
  </si>
  <si>
    <t>Right of Way</t>
  </si>
  <si>
    <t xml:space="preserve">Structures </t>
  </si>
  <si>
    <t>Geotech</t>
  </si>
  <si>
    <t>Traffic Management</t>
  </si>
  <si>
    <t>Functional Area</t>
  </si>
  <si>
    <t>RW</t>
  </si>
  <si>
    <t>Comments</t>
  </si>
  <si>
    <t>Other</t>
  </si>
  <si>
    <t>Schedule Impact</t>
  </si>
  <si>
    <t>Design</t>
  </si>
  <si>
    <t xml:space="preserve">Estimate Date </t>
  </si>
  <si>
    <t>Last Review Date</t>
  </si>
  <si>
    <t>Phone #</t>
  </si>
  <si>
    <t>Project Manager</t>
  </si>
  <si>
    <t>Likelihood</t>
  </si>
  <si>
    <t>Cost Input Comments</t>
  </si>
  <si>
    <t>Schedule Input Comments</t>
  </si>
  <si>
    <t>Qualitative Risk Input Data</t>
  </si>
  <si>
    <t>DESIGN</t>
  </si>
  <si>
    <t>activity impacted</t>
  </si>
  <si>
    <t xml:space="preserve">Date </t>
  </si>
  <si>
    <t>PIN</t>
  </si>
  <si>
    <t>Sample project</t>
  </si>
  <si>
    <t>CONST</t>
  </si>
  <si>
    <t>Submit for Ad Date:</t>
  </si>
  <si>
    <t xml:space="preserve"> </t>
  </si>
  <si>
    <t>Proj Phase:</t>
  </si>
  <si>
    <t>Current Cost Est. ($M)</t>
  </si>
  <si>
    <t>Current Schedule Duration (Mo.)</t>
  </si>
  <si>
    <t>Const</t>
  </si>
  <si>
    <t>Review Date:</t>
  </si>
  <si>
    <t>Secondary Responsibility</t>
  </si>
  <si>
    <t>Primary Responsibility</t>
  </si>
</sst>
</file>

<file path=xl/styles.xml><?xml version="1.0" encoding="utf-8"?>
<styleSheet xmlns="http://schemas.openxmlformats.org/spreadsheetml/2006/main" xmlns:mc="http://schemas.openxmlformats.org/markup-compatibility/2006" xmlns:x14ac="http://schemas.microsoft.com/office/spreadsheetml/2009/9/ac" mc:Ignorable="x14ac">
  <numFmts count="31">
    <numFmt numFmtId="164" formatCode="&quot;$&quot;0.00\ &quot;M&quot;"/>
    <numFmt numFmtId="165" formatCode="0.00\ &quot;Mo.&quot;"/>
    <numFmt numFmtId="166" formatCode="&quot;$&quot;#,##0.00"/>
    <numFmt numFmtId="167" formatCode="\V\L\ \&gt;&quot;$&quot;0.00"/>
    <numFmt numFmtId="168" formatCode="&quot;VL&quot;\ \&lt;\ &quot;$&quot;0.00\K"/>
    <numFmt numFmtId="169" formatCode="&quot;M&quot;\ \&gt;\ &quot;$&quot;0.00\K"/>
    <numFmt numFmtId="170" formatCode="&quot;L&quot;\ \&gt;&quot;$&quot;0.00&quot;K&quot;"/>
    <numFmt numFmtId="171" formatCode="&quot;H&quot;\ \&gt;&quot;$&quot;0.00&quot;K&quot;"/>
    <numFmt numFmtId="172" formatCode="&quot;VH &gt; &quot;&quot;$&quot;0.00&quot;K&quot;"/>
    <numFmt numFmtId="173" formatCode="&quot;VL&quot;\ \&lt;\ &quot;$&quot;0.00&quot;M&quot;"/>
    <numFmt numFmtId="174" formatCode="&quot;L&quot;\ \&gt;&quot;$&quot;0.00&quot;M&quot;"/>
    <numFmt numFmtId="175" formatCode="&quot;M &gt; &quot;&quot;$&quot;0.00&quot;M&quot;"/>
    <numFmt numFmtId="176" formatCode="&quot;H &gt; &quot;&quot;$&quot;0.00&quot;M&quot;"/>
    <numFmt numFmtId="177" formatCode="&quot;VH &gt; &quot;&quot;$&quot;0.00&quot;M&quot;"/>
    <numFmt numFmtId="178" formatCode="&quot;L &gt;&quot;\ 0%"/>
    <numFmt numFmtId="179" formatCode="&quot;M &gt;&quot;\ 0%"/>
    <numFmt numFmtId="180" formatCode="&quot;H &gt;&quot;\ 0%"/>
    <numFmt numFmtId="181" formatCode="&quot;VH &gt;&quot;\ 0%"/>
    <numFmt numFmtId="182" formatCode="&quot;VL &lt; &quot;\ 0.00\ &quot;Mo.&quot;"/>
    <numFmt numFmtId="183" formatCode="&quot;L &gt; &quot;\ 0.00\ &quot;Mo.&quot;"/>
    <numFmt numFmtId="184" formatCode="&quot;M &gt; &quot;\ 0.00\ &quot;Mo.&quot;"/>
    <numFmt numFmtId="185" formatCode="&quot;H &gt; &quot;\ 0.00\ &quot;Mo.&quot;"/>
    <numFmt numFmtId="186" formatCode="&quot;VH &gt; &quot;\ 0.00\ &quot;Mo.&quot;"/>
    <numFmt numFmtId="187" formatCode="&quot;VL &lt; &quot;\ 0.00\ &quot;Days&quot;"/>
    <numFmt numFmtId="188" formatCode="&quot;L &gt; &quot;\ 0.00\ &quot;Days&quot;"/>
    <numFmt numFmtId="189" formatCode="&quot;M &gt; &quot;\ 0.00\ &quot;Days&quot;"/>
    <numFmt numFmtId="190" formatCode="&quot;H &gt; &quot;\ 0.00\ &quot;Days&quot;"/>
    <numFmt numFmtId="191" formatCode="&quot;VH &gt; &quot;\ 0.00\ &quot;Days&quot;"/>
    <numFmt numFmtId="192" formatCode="&quot;VL &gt;&quot;\ 0%"/>
    <numFmt numFmtId="193" formatCode="&quot;VL &gt; &quot;\ 0.00\ &quot;Days&quot;"/>
    <numFmt numFmtId="194" formatCode="[$-409]mmmm\ d\,\ yyyy;@"/>
  </numFmts>
  <fonts count="15" x14ac:knownFonts="1">
    <font>
      <sz val="11"/>
      <color theme="1"/>
      <name val="Calibri"/>
      <family val="2"/>
      <scheme val="minor"/>
    </font>
    <font>
      <sz val="11"/>
      <color rgb="FF006100"/>
      <name val="Calibri"/>
      <family val="2"/>
      <scheme val="minor"/>
    </font>
    <font>
      <b/>
      <sz val="11"/>
      <color theme="1"/>
      <name val="Calibri"/>
      <family val="2"/>
      <scheme val="minor"/>
    </font>
    <font>
      <sz val="11"/>
      <color theme="1"/>
      <name val="Arial"/>
      <family val="2"/>
    </font>
    <font>
      <b/>
      <sz val="11"/>
      <color theme="1"/>
      <name val="Arial"/>
      <family val="2"/>
    </font>
    <font>
      <b/>
      <sz val="20"/>
      <color theme="1"/>
      <name val="Arial"/>
      <family val="2"/>
    </font>
    <font>
      <b/>
      <sz val="11"/>
      <color rgb="FF006100"/>
      <name val="Arial"/>
      <family val="2"/>
    </font>
    <font>
      <b/>
      <sz val="11"/>
      <color rgb="FFFF0000"/>
      <name val="Arial"/>
      <family val="2"/>
    </font>
    <font>
      <u/>
      <sz val="7.7"/>
      <color theme="10"/>
      <name val="Calibri"/>
      <family val="2"/>
    </font>
    <font>
      <b/>
      <sz val="10"/>
      <color theme="1"/>
      <name val="Arial"/>
      <family val="2"/>
    </font>
    <font>
      <sz val="10"/>
      <color theme="1"/>
      <name val="Arial"/>
      <family val="2"/>
    </font>
    <font>
      <b/>
      <sz val="14"/>
      <color theme="1"/>
      <name val="Arial"/>
      <family val="2"/>
    </font>
    <font>
      <sz val="9"/>
      <color indexed="81"/>
      <name val="Tahoma"/>
      <charset val="1"/>
    </font>
    <font>
      <b/>
      <sz val="9"/>
      <color indexed="81"/>
      <name val="Tahoma"/>
      <charset val="1"/>
    </font>
    <font>
      <sz val="9"/>
      <color indexed="81"/>
      <name val="Tahoma"/>
      <family val="2"/>
    </font>
  </fonts>
  <fills count="14">
    <fill>
      <patternFill patternType="none"/>
    </fill>
    <fill>
      <patternFill patternType="gray125"/>
    </fill>
    <fill>
      <patternFill patternType="solid">
        <fgColor rgb="FFC6EFCE"/>
      </patternFill>
    </fill>
    <fill>
      <patternFill patternType="solid">
        <fgColor theme="0" tint="-0.14999847407452621"/>
        <bgColor indexed="64"/>
      </patternFill>
    </fill>
    <fill>
      <patternFill patternType="solid">
        <fgColor theme="2" tint="-0.249977111117893"/>
        <bgColor indexed="64"/>
      </patternFill>
    </fill>
    <fill>
      <patternFill patternType="solid">
        <fgColor rgb="FFFFCCCC"/>
        <bgColor indexed="64"/>
      </patternFill>
    </fill>
    <fill>
      <patternFill patternType="solid">
        <fgColor rgb="FFFFFF99"/>
        <bgColor indexed="64"/>
      </patternFill>
    </fill>
    <fill>
      <patternFill patternType="solid">
        <fgColor rgb="FFFF0000"/>
        <bgColor indexed="64"/>
      </patternFill>
    </fill>
    <fill>
      <patternFill patternType="solid">
        <fgColor rgb="FFCCFFFF"/>
        <bgColor indexed="64"/>
      </patternFill>
    </fill>
    <fill>
      <patternFill patternType="solid">
        <fgColor rgb="FFFFFF00"/>
        <bgColor indexed="64"/>
      </patternFill>
    </fill>
    <fill>
      <patternFill patternType="solid">
        <fgColor theme="0"/>
        <bgColor indexed="64"/>
      </patternFill>
    </fill>
    <fill>
      <patternFill patternType="solid">
        <fgColor rgb="FFCCFFCC"/>
        <bgColor indexed="64"/>
      </patternFill>
    </fill>
    <fill>
      <patternFill patternType="solid">
        <fgColor rgb="FF00B0F0"/>
        <bgColor indexed="64"/>
      </patternFill>
    </fill>
    <fill>
      <patternFill patternType="solid">
        <fgColor theme="0" tint="-0.14996795556505021"/>
        <bgColor indexed="64"/>
      </patternFill>
    </fill>
  </fills>
  <borders count="42">
    <border>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auto="1"/>
      </left>
      <right style="thin">
        <color auto="1"/>
      </right>
      <top style="thin">
        <color auto="1"/>
      </top>
      <bottom style="thin">
        <color auto="1"/>
      </bottom>
      <diagonal/>
    </border>
    <border>
      <left/>
      <right style="thin">
        <color indexed="64"/>
      </right>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style="medium">
        <color indexed="64"/>
      </bottom>
      <diagonal/>
    </border>
    <border>
      <left style="medium">
        <color indexed="64"/>
      </left>
      <right style="hair">
        <color indexed="64"/>
      </right>
      <top style="hair">
        <color indexed="64"/>
      </top>
      <bottom style="medium">
        <color indexed="64"/>
      </bottom>
      <diagonal/>
    </border>
    <border>
      <left style="medium">
        <color auto="1"/>
      </left>
      <right style="hair">
        <color indexed="64"/>
      </right>
      <top style="medium">
        <color auto="1"/>
      </top>
      <bottom style="hair">
        <color indexed="64"/>
      </bottom>
      <diagonal/>
    </border>
    <border>
      <left style="hair">
        <color indexed="64"/>
      </left>
      <right style="hair">
        <color indexed="64"/>
      </right>
      <top style="medium">
        <color auto="1"/>
      </top>
      <bottom style="hair">
        <color indexed="64"/>
      </bottom>
      <diagonal/>
    </border>
    <border>
      <left style="thin">
        <color indexed="64"/>
      </left>
      <right/>
      <top style="thin">
        <color indexed="64"/>
      </top>
      <bottom/>
      <diagonal/>
    </border>
    <border>
      <left style="thin">
        <color indexed="64"/>
      </left>
      <right/>
      <top/>
      <bottom/>
      <diagonal/>
    </border>
    <border>
      <left style="hair">
        <color indexed="64"/>
      </left>
      <right style="thin">
        <color indexed="64"/>
      </right>
      <top style="medium">
        <color auto="1"/>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thin">
        <color indexed="64"/>
      </right>
      <top style="hair">
        <color indexed="64"/>
      </top>
      <bottom style="medium">
        <color indexed="64"/>
      </bottom>
      <diagonal/>
    </border>
    <border>
      <left/>
      <right/>
      <top style="thin">
        <color auto="1"/>
      </top>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style="thin">
        <color auto="1"/>
      </top>
      <bottom style="thin">
        <color auto="1"/>
      </bottom>
      <diagonal/>
    </border>
    <border>
      <left/>
      <right style="thick">
        <color indexed="64"/>
      </right>
      <top/>
      <bottom/>
      <diagonal/>
    </border>
    <border>
      <left style="thick">
        <color indexed="64"/>
      </left>
      <right style="thin">
        <color auto="1"/>
      </right>
      <top style="thin">
        <color auto="1"/>
      </top>
      <bottom style="thin">
        <color auto="1"/>
      </bottom>
      <diagonal/>
    </border>
    <border>
      <left/>
      <right style="thick">
        <color indexed="64"/>
      </right>
      <top style="thin">
        <color auto="1"/>
      </top>
      <bottom/>
      <diagonal/>
    </border>
    <border>
      <left/>
      <right style="thick">
        <color indexed="64"/>
      </right>
      <top/>
      <bottom style="thin">
        <color indexed="64"/>
      </bottom>
      <diagonal/>
    </border>
    <border>
      <left style="thick">
        <color indexed="64"/>
      </left>
      <right/>
      <top/>
      <bottom/>
      <diagonal/>
    </border>
    <border>
      <left/>
      <right style="thick">
        <color indexed="64"/>
      </right>
      <top style="thin">
        <color auto="1"/>
      </top>
      <bottom style="thin">
        <color auto="1"/>
      </bottom>
      <diagonal/>
    </border>
    <border>
      <left style="thick">
        <color indexed="64"/>
      </left>
      <right/>
      <top style="thin">
        <color indexed="64"/>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ck">
        <color indexed="64"/>
      </left>
      <right/>
      <top/>
      <bottom style="thin">
        <color auto="1"/>
      </bottom>
      <diagonal/>
    </border>
    <border>
      <left/>
      <right/>
      <top style="medium">
        <color indexed="64"/>
      </top>
      <bottom/>
      <diagonal/>
    </border>
    <border>
      <left style="thick">
        <color indexed="64"/>
      </left>
      <right style="thin">
        <color auto="1"/>
      </right>
      <top style="thin">
        <color auto="1"/>
      </top>
      <bottom/>
      <diagonal/>
    </border>
  </borders>
  <cellStyleXfs count="3">
    <xf numFmtId="0" fontId="0" fillId="0" borderId="0"/>
    <xf numFmtId="0" fontId="1" fillId="2" borderId="0" applyNumberFormat="0" applyBorder="0" applyAlignment="0" applyProtection="0"/>
    <xf numFmtId="0" fontId="8" fillId="0" borderId="0" applyNumberFormat="0" applyFill="0" applyBorder="0" applyAlignment="0" applyProtection="0">
      <alignment vertical="top"/>
      <protection locked="0"/>
    </xf>
  </cellStyleXfs>
  <cellXfs count="254">
    <xf numFmtId="0" fontId="0" fillId="0" borderId="0" xfId="0"/>
    <xf numFmtId="0" fontId="0" fillId="0" borderId="0" xfId="0" applyAlignment="1">
      <alignment horizontal="center"/>
    </xf>
    <xf numFmtId="0" fontId="0" fillId="0" borderId="0" xfId="0" applyFill="1" applyAlignment="1" applyProtection="1">
      <protection locked="0"/>
    </xf>
    <xf numFmtId="0" fontId="0" fillId="0" borderId="0" xfId="0" applyProtection="1">
      <protection locked="0"/>
    </xf>
    <xf numFmtId="0" fontId="3" fillId="0" borderId="10" xfId="0" applyFont="1" applyBorder="1" applyAlignment="1">
      <alignment horizontal="center"/>
    </xf>
    <xf numFmtId="0" fontId="3" fillId="0" borderId="6" xfId="0" applyFont="1" applyBorder="1" applyAlignment="1">
      <alignment horizontal="center"/>
    </xf>
    <xf numFmtId="0" fontId="0" fillId="7" borderId="0" xfId="0" applyFill="1" applyAlignment="1">
      <alignment horizontal="left"/>
    </xf>
    <xf numFmtId="0" fontId="0" fillId="0" borderId="0" xfId="0" applyFill="1" applyBorder="1" applyAlignment="1" applyProtection="1">
      <protection locked="0"/>
    </xf>
    <xf numFmtId="0" fontId="0" fillId="0" borderId="0" xfId="0" applyBorder="1"/>
    <xf numFmtId="164" fontId="0" fillId="0" borderId="0" xfId="0" applyNumberFormat="1" applyFill="1" applyBorder="1" applyAlignment="1" applyProtection="1">
      <protection locked="0"/>
    </xf>
    <xf numFmtId="0" fontId="2" fillId="0" borderId="0" xfId="0" applyFont="1" applyBorder="1" applyAlignment="1" applyProtection="1">
      <alignment horizontal="left" vertical="center"/>
      <protection locked="0"/>
    </xf>
    <xf numFmtId="0" fontId="4" fillId="8" borderId="8" xfId="0" applyFont="1" applyFill="1" applyBorder="1" applyAlignment="1" applyProtection="1">
      <alignment horizontal="center" vertical="center"/>
    </xf>
    <xf numFmtId="0" fontId="4" fillId="3" borderId="8" xfId="0" applyFont="1" applyFill="1" applyBorder="1" applyAlignment="1" applyProtection="1">
      <alignment horizontal="center" vertical="center"/>
    </xf>
    <xf numFmtId="0" fontId="4" fillId="3" borderId="10" xfId="0" applyFont="1" applyFill="1" applyBorder="1" applyAlignment="1" applyProtection="1">
      <alignment horizontal="center" vertical="center" textRotation="90" wrapText="1"/>
    </xf>
    <xf numFmtId="0" fontId="4" fillId="4" borderId="8" xfId="0" applyFont="1" applyFill="1" applyBorder="1" applyAlignment="1" applyProtection="1">
      <alignment horizontal="center" vertical="center" textRotation="90" wrapText="1"/>
    </xf>
    <xf numFmtId="0" fontId="6" fillId="2" borderId="17" xfId="1" applyFont="1" applyBorder="1" applyAlignment="1" applyProtection="1">
      <alignment horizontal="center" vertical="center" wrapText="1"/>
    </xf>
    <xf numFmtId="0" fontId="4" fillId="6" borderId="18" xfId="0" applyFont="1" applyFill="1" applyBorder="1" applyAlignment="1">
      <alignment horizontal="center" vertical="center"/>
    </xf>
    <xf numFmtId="0" fontId="7" fillId="5" borderId="18" xfId="0" applyFont="1" applyFill="1" applyBorder="1" applyAlignment="1">
      <alignment horizontal="center" vertical="center"/>
    </xf>
    <xf numFmtId="0" fontId="7" fillId="5" borderId="21" xfId="0" applyFont="1" applyFill="1" applyBorder="1" applyAlignment="1">
      <alignment horizontal="center" vertical="center"/>
    </xf>
    <xf numFmtId="0" fontId="6" fillId="2" borderId="13" xfId="1" applyFont="1" applyBorder="1" applyAlignment="1" applyProtection="1">
      <alignment horizontal="center" vertical="center" wrapText="1"/>
    </xf>
    <xf numFmtId="0" fontId="4" fillId="6" borderId="14" xfId="0" applyFont="1" applyFill="1" applyBorder="1" applyAlignment="1">
      <alignment horizontal="center" vertical="center"/>
    </xf>
    <xf numFmtId="0" fontId="7" fillId="5" borderId="14" xfId="0" applyFont="1" applyFill="1" applyBorder="1" applyAlignment="1">
      <alignment horizontal="center" vertical="center"/>
    </xf>
    <xf numFmtId="0" fontId="7" fillId="5" borderId="22" xfId="0" applyFont="1" applyFill="1" applyBorder="1" applyAlignment="1">
      <alignment horizontal="center" vertical="center"/>
    </xf>
    <xf numFmtId="0" fontId="6" fillId="2" borderId="14" xfId="1" applyFont="1" applyBorder="1" applyAlignment="1" applyProtection="1">
      <alignment horizontal="center" vertical="center" wrapText="1"/>
    </xf>
    <xf numFmtId="0" fontId="6" fillId="2" borderId="16" xfId="1" applyFont="1" applyBorder="1" applyAlignment="1" applyProtection="1">
      <alignment horizontal="center" vertical="center" wrapText="1"/>
    </xf>
    <xf numFmtId="0" fontId="6" fillId="2" borderId="15" xfId="1" applyFont="1" applyBorder="1" applyAlignment="1" applyProtection="1">
      <alignment horizontal="center" vertical="center" wrapText="1"/>
    </xf>
    <xf numFmtId="0" fontId="4" fillId="6" borderId="15" xfId="0" applyFont="1" applyFill="1" applyBorder="1" applyAlignment="1">
      <alignment horizontal="center" vertical="center"/>
    </xf>
    <xf numFmtId="0" fontId="7" fillId="5" borderId="23" xfId="0" applyFont="1" applyFill="1" applyBorder="1" applyAlignment="1">
      <alignment horizontal="center" vertical="center"/>
    </xf>
    <xf numFmtId="0" fontId="3" fillId="3" borderId="0" xfId="0" applyFont="1" applyFill="1" applyBorder="1" applyProtection="1">
      <protection locked="0"/>
    </xf>
    <xf numFmtId="0" fontId="3" fillId="3" borderId="12" xfId="0" applyFont="1" applyFill="1" applyBorder="1" applyProtection="1">
      <protection locked="0"/>
    </xf>
    <xf numFmtId="0" fontId="3" fillId="3" borderId="7" xfId="0" applyFont="1" applyFill="1" applyBorder="1" applyProtection="1">
      <protection locked="0"/>
    </xf>
    <xf numFmtId="0" fontId="3" fillId="3" borderId="7" xfId="0" applyFont="1" applyFill="1" applyBorder="1" applyAlignment="1" applyProtection="1">
      <alignment wrapText="1"/>
      <protection locked="0"/>
    </xf>
    <xf numFmtId="0" fontId="4" fillId="3" borderId="8" xfId="0" applyFont="1" applyFill="1" applyBorder="1" applyAlignment="1" applyProtection="1">
      <alignment horizontal="center" vertical="center" textRotation="90" wrapText="1"/>
    </xf>
    <xf numFmtId="0" fontId="3" fillId="3" borderId="19" xfId="0" applyFont="1" applyFill="1" applyBorder="1" applyProtection="1">
      <protection locked="0"/>
    </xf>
    <xf numFmtId="0" fontId="3" fillId="3" borderId="24" xfId="0" applyFont="1" applyFill="1" applyBorder="1" applyProtection="1">
      <protection locked="0"/>
    </xf>
    <xf numFmtId="0" fontId="3" fillId="3" borderId="20" xfId="0" applyFont="1" applyFill="1" applyBorder="1" applyProtection="1">
      <protection locked="0"/>
    </xf>
    <xf numFmtId="0" fontId="3" fillId="3" borderId="9" xfId="0" applyFont="1" applyFill="1" applyBorder="1" applyProtection="1">
      <protection locked="0"/>
    </xf>
    <xf numFmtId="0" fontId="4" fillId="8" borderId="8" xfId="0" applyFont="1" applyFill="1" applyBorder="1" applyAlignment="1" applyProtection="1">
      <alignment horizontal="center" vertical="center" textRotation="90"/>
    </xf>
    <xf numFmtId="0" fontId="2" fillId="8" borderId="8" xfId="0" applyFont="1" applyFill="1" applyBorder="1" applyAlignment="1" applyProtection="1">
      <alignment horizontal="center" vertical="center"/>
    </xf>
    <xf numFmtId="0" fontId="2" fillId="11" borderId="8" xfId="0" applyFont="1" applyFill="1" applyBorder="1" applyAlignment="1" applyProtection="1">
      <alignment horizontal="center" vertical="center"/>
    </xf>
    <xf numFmtId="0" fontId="2" fillId="11" borderId="10" xfId="0" applyFont="1" applyFill="1" applyBorder="1" applyAlignment="1" applyProtection="1">
      <alignment horizontal="center" vertical="center"/>
    </xf>
    <xf numFmtId="0" fontId="0" fillId="0" borderId="0" xfId="0" applyBorder="1" applyAlignment="1" applyProtection="1">
      <alignment vertical="center"/>
      <protection locked="0"/>
    </xf>
    <xf numFmtId="164" fontId="0" fillId="0" borderId="8" xfId="0" applyNumberFormat="1" applyFont="1" applyBorder="1" applyAlignment="1" applyProtection="1">
      <alignment vertical="center"/>
      <protection locked="0"/>
    </xf>
    <xf numFmtId="165" fontId="0" fillId="0" borderId="8" xfId="0" applyNumberFormat="1" applyFont="1" applyFill="1" applyBorder="1" applyAlignment="1" applyProtection="1">
      <alignment vertical="center"/>
      <protection locked="0"/>
    </xf>
    <xf numFmtId="165" fontId="0" fillId="0" borderId="10" xfId="0" applyNumberFormat="1" applyFont="1" applyFill="1" applyBorder="1" applyAlignment="1" applyProtection="1">
      <alignment vertical="center"/>
      <protection locked="0"/>
    </xf>
    <xf numFmtId="0" fontId="0" fillId="0" borderId="11" xfId="0" applyFont="1" applyBorder="1" applyAlignment="1">
      <alignment horizontal="center"/>
    </xf>
    <xf numFmtId="0" fontId="2" fillId="0" borderId="8" xfId="0" applyFont="1" applyFill="1" applyBorder="1" applyAlignment="1" applyProtection="1">
      <alignment horizontal="left" vertical="center"/>
    </xf>
    <xf numFmtId="0" fontId="2" fillId="8" borderId="10" xfId="0" applyFont="1" applyFill="1" applyBorder="1" applyAlignment="1" applyProtection="1">
      <alignment horizontal="center" vertical="center"/>
    </xf>
    <xf numFmtId="0" fontId="0" fillId="3" borderId="0" xfId="0" applyFill="1" applyBorder="1"/>
    <xf numFmtId="0" fontId="0" fillId="3" borderId="29" xfId="0" applyFill="1" applyBorder="1"/>
    <xf numFmtId="0" fontId="0" fillId="0" borderId="33" xfId="0" applyBorder="1" applyAlignment="1" applyProtection="1">
      <alignment vertical="center"/>
      <protection locked="0"/>
    </xf>
    <xf numFmtId="0" fontId="0" fillId="0" borderId="29" xfId="0" applyBorder="1"/>
    <xf numFmtId="0" fontId="2" fillId="8" borderId="30" xfId="0" applyFont="1" applyFill="1" applyBorder="1" applyAlignment="1" applyProtection="1">
      <alignment horizontal="center" vertical="center"/>
    </xf>
    <xf numFmtId="164" fontId="0" fillId="0" borderId="30" xfId="0" applyNumberFormat="1" applyFont="1" applyBorder="1" applyAlignment="1" applyProtection="1">
      <alignment vertical="center"/>
      <protection locked="0"/>
    </xf>
    <xf numFmtId="0" fontId="0" fillId="0" borderId="33" xfId="0" applyBorder="1"/>
    <xf numFmtId="0" fontId="2" fillId="0" borderId="33" xfId="0" applyFont="1" applyBorder="1" applyAlignment="1"/>
    <xf numFmtId="0" fontId="0" fillId="0" borderId="0" xfId="0" applyBorder="1" applyAlignment="1"/>
    <xf numFmtId="0" fontId="0" fillId="0" borderId="29" xfId="0" applyBorder="1" applyAlignment="1"/>
    <xf numFmtId="0" fontId="0" fillId="3" borderId="12" xfId="0" applyFill="1" applyBorder="1" applyAlignment="1" applyProtection="1">
      <alignment vertical="center"/>
      <protection locked="0"/>
    </xf>
    <xf numFmtId="0" fontId="0" fillId="3" borderId="7" xfId="0" applyFill="1" applyBorder="1" applyAlignment="1" applyProtection="1">
      <alignment vertical="center"/>
      <protection locked="0"/>
    </xf>
    <xf numFmtId="0" fontId="0" fillId="3" borderId="32" xfId="0" applyFill="1" applyBorder="1" applyAlignment="1" applyProtection="1">
      <alignment vertical="center"/>
      <protection locked="0"/>
    </xf>
    <xf numFmtId="167" fontId="0" fillId="0" borderId="0" xfId="0" applyNumberFormat="1"/>
    <xf numFmtId="0" fontId="2" fillId="0" borderId="19" xfId="0" applyFont="1" applyFill="1" applyBorder="1" applyAlignment="1" applyProtection="1">
      <alignment horizontal="center" vertical="center"/>
    </xf>
    <xf numFmtId="0" fontId="2" fillId="0" borderId="8" xfId="0" applyFont="1" applyBorder="1" applyAlignment="1">
      <alignment horizontal="center"/>
    </xf>
    <xf numFmtId="169" fontId="0" fillId="0" borderId="8" xfId="0" applyNumberFormat="1" applyBorder="1"/>
    <xf numFmtId="170" fontId="0" fillId="0" borderId="8" xfId="0" applyNumberFormat="1" applyBorder="1"/>
    <xf numFmtId="171" fontId="0" fillId="0" borderId="8" xfId="0" applyNumberFormat="1" applyBorder="1"/>
    <xf numFmtId="172" fontId="0" fillId="0" borderId="8" xfId="0" applyNumberFormat="1" applyBorder="1"/>
    <xf numFmtId="173" fontId="0" fillId="0" borderId="8" xfId="0" applyNumberFormat="1" applyBorder="1"/>
    <xf numFmtId="174" fontId="0" fillId="0" borderId="8" xfId="0" applyNumberFormat="1" applyBorder="1"/>
    <xf numFmtId="175" fontId="0" fillId="0" borderId="8" xfId="0" applyNumberFormat="1" applyBorder="1"/>
    <xf numFmtId="176" fontId="0" fillId="0" borderId="8" xfId="0" applyNumberFormat="1" applyBorder="1"/>
    <xf numFmtId="177" fontId="0" fillId="0" borderId="8" xfId="0" applyNumberFormat="1" applyBorder="1"/>
    <xf numFmtId="178" fontId="10" fillId="0" borderId="8" xfId="0" applyNumberFormat="1" applyFont="1" applyBorder="1" applyAlignment="1">
      <alignment horizontal="center"/>
    </xf>
    <xf numFmtId="179" fontId="10" fillId="0" borderId="8" xfId="0" applyNumberFormat="1" applyFont="1" applyBorder="1" applyAlignment="1">
      <alignment horizontal="center"/>
    </xf>
    <xf numFmtId="180" fontId="10" fillId="0" borderId="8" xfId="0" applyNumberFormat="1" applyFont="1" applyBorder="1" applyAlignment="1">
      <alignment horizontal="center"/>
    </xf>
    <xf numFmtId="181" fontId="10" fillId="0" borderId="8" xfId="0" applyNumberFormat="1" applyFont="1" applyBorder="1" applyAlignment="1">
      <alignment horizontal="center"/>
    </xf>
    <xf numFmtId="0" fontId="2" fillId="0" borderId="4" xfId="0" applyFont="1" applyFill="1" applyBorder="1" applyAlignment="1" applyProtection="1">
      <alignment horizontal="left" vertical="center"/>
    </xf>
    <xf numFmtId="0" fontId="0" fillId="0" borderId="7" xfId="0" applyBorder="1" applyAlignment="1">
      <alignment horizontal="center"/>
    </xf>
    <xf numFmtId="0" fontId="2" fillId="0" borderId="24" xfId="0" applyFont="1" applyBorder="1" applyAlignment="1">
      <alignment horizontal="center"/>
    </xf>
    <xf numFmtId="164" fontId="0" fillId="0" borderId="10" xfId="0" applyNumberFormat="1" applyFont="1" applyBorder="1" applyAlignment="1" applyProtection="1">
      <alignment vertical="center"/>
      <protection locked="0"/>
    </xf>
    <xf numFmtId="0" fontId="0" fillId="12" borderId="0" xfId="0" applyFill="1"/>
    <xf numFmtId="0" fontId="4" fillId="12" borderId="8" xfId="0" applyFont="1" applyFill="1" applyBorder="1" applyAlignment="1">
      <alignment horizontal="center"/>
    </xf>
    <xf numFmtId="0" fontId="4" fillId="12" borderId="8" xfId="0" applyFont="1" applyFill="1" applyBorder="1"/>
    <xf numFmtId="0" fontId="3" fillId="7" borderId="10" xfId="0" applyFont="1" applyFill="1" applyBorder="1" applyAlignment="1">
      <alignment horizontal="center"/>
    </xf>
    <xf numFmtId="0" fontId="3" fillId="7" borderId="8" xfId="0" applyFont="1" applyFill="1" applyBorder="1"/>
    <xf numFmtId="0" fontId="3" fillId="7" borderId="0" xfId="0" applyFont="1" applyFill="1" applyBorder="1" applyAlignment="1">
      <alignment horizontal="center"/>
    </xf>
    <xf numFmtId="0" fontId="0" fillId="7" borderId="0" xfId="0" applyFill="1"/>
    <xf numFmtId="182" fontId="0" fillId="0" borderId="8" xfId="0" applyNumberFormat="1" applyBorder="1"/>
    <xf numFmtId="183" fontId="0" fillId="0" borderId="8" xfId="0" applyNumberFormat="1" applyBorder="1"/>
    <xf numFmtId="184" fontId="0" fillId="0" borderId="8" xfId="0" applyNumberFormat="1" applyBorder="1"/>
    <xf numFmtId="185" fontId="0" fillId="0" borderId="8" xfId="0" applyNumberFormat="1" applyBorder="1"/>
    <xf numFmtId="186" fontId="0" fillId="0" borderId="8" xfId="0" applyNumberFormat="1" applyBorder="1"/>
    <xf numFmtId="187" fontId="0" fillId="0" borderId="8" xfId="0" applyNumberFormat="1" applyBorder="1"/>
    <xf numFmtId="188" fontId="0" fillId="0" borderId="8" xfId="0" applyNumberFormat="1" applyBorder="1"/>
    <xf numFmtId="189" fontId="0" fillId="0" borderId="8" xfId="0" applyNumberFormat="1" applyBorder="1"/>
    <xf numFmtId="190" fontId="0" fillId="0" borderId="8" xfId="0" applyNumberFormat="1" applyBorder="1"/>
    <xf numFmtId="191" fontId="0" fillId="0" borderId="8" xfId="0" applyNumberFormat="1" applyBorder="1"/>
    <xf numFmtId="168" fontId="0" fillId="0" borderId="30" xfId="0" applyNumberFormat="1" applyBorder="1"/>
    <xf numFmtId="170" fontId="0" fillId="0" borderId="30" xfId="0" applyNumberFormat="1" applyBorder="1"/>
    <xf numFmtId="169" fontId="0" fillId="0" borderId="30" xfId="0" applyNumberFormat="1" applyBorder="1"/>
    <xf numFmtId="171" fontId="0" fillId="0" borderId="30" xfId="0" applyNumberFormat="1" applyBorder="1"/>
    <xf numFmtId="172" fontId="0" fillId="0" borderId="30" xfId="0" applyNumberFormat="1" applyBorder="1"/>
    <xf numFmtId="0" fontId="2" fillId="0" borderId="11" xfId="0" applyFont="1" applyFill="1" applyBorder="1" applyAlignment="1" applyProtection="1">
      <alignment horizontal="left" vertical="center"/>
    </xf>
    <xf numFmtId="167" fontId="0" fillId="0" borderId="8" xfId="0" applyNumberFormat="1" applyBorder="1"/>
    <xf numFmtId="192" fontId="10" fillId="0" borderId="8" xfId="0" applyNumberFormat="1" applyFont="1" applyBorder="1" applyAlignment="1">
      <alignment horizontal="center"/>
    </xf>
    <xf numFmtId="193" fontId="0" fillId="0" borderId="8" xfId="0" applyNumberFormat="1" applyBorder="1"/>
    <xf numFmtId="194" fontId="0" fillId="0" borderId="8" xfId="0" applyNumberFormat="1" applyFont="1" applyBorder="1" applyAlignment="1" applyProtection="1">
      <alignment horizontal="center" vertical="center"/>
      <protection locked="0"/>
    </xf>
    <xf numFmtId="194" fontId="2" fillId="0" borderId="10" xfId="0" applyNumberFormat="1" applyFont="1" applyFill="1" applyBorder="1" applyAlignment="1" applyProtection="1">
      <alignment horizontal="left" vertical="center"/>
    </xf>
    <xf numFmtId="164" fontId="0" fillId="0" borderId="41" xfId="0" applyNumberFormat="1" applyFont="1" applyBorder="1" applyAlignment="1" applyProtection="1">
      <alignment vertical="center"/>
      <protection locked="0"/>
    </xf>
    <xf numFmtId="164" fontId="0" fillId="0" borderId="3" xfId="0" applyNumberFormat="1" applyFont="1" applyBorder="1" applyAlignment="1" applyProtection="1">
      <alignment vertical="center"/>
      <protection locked="0"/>
    </xf>
    <xf numFmtId="164" fontId="0" fillId="0" borderId="19" xfId="0" applyNumberFormat="1" applyFont="1" applyBorder="1" applyAlignment="1" applyProtection="1">
      <alignment vertical="center"/>
      <protection locked="0"/>
    </xf>
    <xf numFmtId="0" fontId="0" fillId="0" borderId="5" xfId="0" applyFont="1" applyBorder="1" applyAlignment="1">
      <alignment horizontal="center"/>
    </xf>
    <xf numFmtId="165" fontId="0" fillId="0" borderId="3" xfId="0" applyNumberFormat="1" applyFont="1" applyFill="1" applyBorder="1" applyAlignment="1" applyProtection="1">
      <alignment vertical="center"/>
      <protection locked="0"/>
    </xf>
    <xf numFmtId="165" fontId="0" fillId="0" borderId="19" xfId="0" applyNumberFormat="1" applyFont="1" applyFill="1" applyBorder="1" applyAlignment="1" applyProtection="1">
      <alignment vertical="center"/>
      <protection locked="0"/>
    </xf>
    <xf numFmtId="164" fontId="0" fillId="13" borderId="40" xfId="0" applyNumberFormat="1" applyFont="1" applyFill="1" applyBorder="1" applyAlignment="1" applyProtection="1">
      <alignment vertical="center"/>
      <protection locked="0"/>
    </xf>
    <xf numFmtId="0" fontId="0" fillId="13" borderId="40" xfId="0" applyFont="1" applyFill="1" applyBorder="1" applyAlignment="1">
      <alignment horizontal="center"/>
    </xf>
    <xf numFmtId="165" fontId="0" fillId="13" borderId="40" xfId="0" applyNumberFormat="1" applyFont="1" applyFill="1" applyBorder="1" applyAlignment="1" applyProtection="1">
      <alignment vertical="center"/>
      <protection locked="0"/>
    </xf>
    <xf numFmtId="0" fontId="0" fillId="13" borderId="33" xfId="0" applyFill="1" applyBorder="1"/>
    <xf numFmtId="0" fontId="0" fillId="13" borderId="0" xfId="0" applyFill="1" applyBorder="1"/>
    <xf numFmtId="0" fontId="0" fillId="13" borderId="29" xfId="0" applyFill="1" applyBorder="1"/>
    <xf numFmtId="0" fontId="5" fillId="0" borderId="0" xfId="0" applyFont="1" applyBorder="1" applyAlignment="1" applyProtection="1">
      <alignment horizontal="center" vertical="center"/>
      <protection locked="0"/>
    </xf>
    <xf numFmtId="49" fontId="3" fillId="10" borderId="8" xfId="0" applyNumberFormat="1" applyFont="1" applyFill="1" applyBorder="1" applyAlignment="1" applyProtection="1">
      <alignment horizontal="center" vertical="center"/>
      <protection locked="0"/>
    </xf>
    <xf numFmtId="49" fontId="3" fillId="10" borderId="8" xfId="0" applyNumberFormat="1" applyFont="1" applyFill="1" applyBorder="1" applyAlignment="1" applyProtection="1">
      <alignment horizontal="center" vertical="center"/>
    </xf>
    <xf numFmtId="0" fontId="3" fillId="0" borderId="8" xfId="2" applyFont="1" applyBorder="1" applyAlignment="1" applyProtection="1">
      <alignment horizontal="left" vertical="center" wrapText="1"/>
    </xf>
    <xf numFmtId="49" fontId="3" fillId="10" borderId="3" xfId="0" applyNumberFormat="1" applyFont="1" applyFill="1" applyBorder="1" applyAlignment="1" applyProtection="1">
      <alignment vertical="center"/>
    </xf>
    <xf numFmtId="49" fontId="3" fillId="10" borderId="2" xfId="0" applyNumberFormat="1" applyFont="1" applyFill="1" applyBorder="1" applyAlignment="1" applyProtection="1">
      <alignment vertical="center"/>
    </xf>
    <xf numFmtId="49" fontId="3" fillId="10" borderId="8" xfId="0" applyNumberFormat="1" applyFont="1" applyFill="1" applyBorder="1" applyAlignment="1" applyProtection="1">
      <alignment vertical="center"/>
    </xf>
    <xf numFmtId="0" fontId="0" fillId="0" borderId="35" xfId="0" applyBorder="1" applyAlignment="1">
      <alignment horizontal="left" vertical="top" wrapText="1"/>
    </xf>
    <xf numFmtId="0" fontId="0" fillId="0" borderId="24" xfId="0" applyBorder="1" applyAlignment="1">
      <alignment horizontal="left" vertical="top" wrapText="1"/>
    </xf>
    <xf numFmtId="0" fontId="0" fillId="0" borderId="31" xfId="0" applyBorder="1" applyAlignment="1">
      <alignment horizontal="left" vertical="top" wrapText="1"/>
    </xf>
    <xf numFmtId="0" fontId="0" fillId="0" borderId="33" xfId="0" applyBorder="1" applyAlignment="1">
      <alignment horizontal="left" vertical="top" wrapText="1"/>
    </xf>
    <xf numFmtId="0" fontId="0" fillId="0" borderId="0" xfId="0" applyBorder="1" applyAlignment="1">
      <alignment horizontal="left" vertical="top" wrapText="1"/>
    </xf>
    <xf numFmtId="0" fontId="0" fillId="0" borderId="29" xfId="0" applyBorder="1" applyAlignment="1">
      <alignment horizontal="left" vertical="top" wrapText="1"/>
    </xf>
    <xf numFmtId="0" fontId="0" fillId="0" borderId="36" xfId="0" applyBorder="1" applyAlignment="1">
      <alignment horizontal="left" vertical="top" wrapText="1"/>
    </xf>
    <xf numFmtId="0" fontId="0" fillId="0" borderId="37" xfId="0" applyBorder="1" applyAlignment="1">
      <alignment horizontal="left" vertical="top" wrapText="1"/>
    </xf>
    <xf numFmtId="0" fontId="0" fillId="0" borderId="38" xfId="0" applyBorder="1" applyAlignment="1">
      <alignment horizontal="left" vertical="top" wrapText="1"/>
    </xf>
    <xf numFmtId="166" fontId="0" fillId="3" borderId="19" xfId="0" applyNumberFormat="1" applyFill="1" applyBorder="1" applyAlignment="1">
      <alignment horizontal="center"/>
    </xf>
    <xf numFmtId="166" fontId="0" fillId="3" borderId="24" xfId="0" applyNumberFormat="1" applyFill="1" applyBorder="1" applyAlignment="1">
      <alignment horizontal="center"/>
    </xf>
    <xf numFmtId="166" fontId="0" fillId="3" borderId="31" xfId="0" applyNumberFormat="1" applyFill="1" applyBorder="1" applyAlignment="1">
      <alignment horizontal="center"/>
    </xf>
    <xf numFmtId="166" fontId="0" fillId="3" borderId="20" xfId="0" applyNumberFormat="1" applyFill="1" applyBorder="1" applyAlignment="1">
      <alignment horizontal="center"/>
    </xf>
    <xf numFmtId="166" fontId="0" fillId="3" borderId="0" xfId="0" applyNumberFormat="1" applyFill="1" applyBorder="1" applyAlignment="1">
      <alignment horizontal="center"/>
    </xf>
    <xf numFmtId="166" fontId="0" fillId="3" borderId="29" xfId="0" applyNumberFormat="1" applyFill="1" applyBorder="1" applyAlignment="1">
      <alignment horizontal="center"/>
    </xf>
    <xf numFmtId="0" fontId="11" fillId="0" borderId="25" xfId="0" applyFont="1" applyBorder="1" applyAlignment="1">
      <alignment horizontal="center"/>
    </xf>
    <xf numFmtId="0" fontId="11" fillId="0" borderId="26" xfId="0" applyFont="1" applyBorder="1" applyAlignment="1">
      <alignment horizontal="center"/>
    </xf>
    <xf numFmtId="0" fontId="11" fillId="0" borderId="27" xfId="0" applyFont="1" applyBorder="1" applyAlignment="1">
      <alignment horizontal="center"/>
    </xf>
    <xf numFmtId="0" fontId="0" fillId="3" borderId="19" xfId="0" applyFill="1" applyBorder="1" applyAlignment="1" applyProtection="1">
      <alignment horizontal="center" vertical="center"/>
      <protection locked="0"/>
    </xf>
    <xf numFmtId="0" fontId="0" fillId="3" borderId="24" xfId="0" applyFill="1" applyBorder="1" applyAlignment="1" applyProtection="1">
      <alignment horizontal="center" vertical="center"/>
      <protection locked="0"/>
    </xf>
    <xf numFmtId="0" fontId="0" fillId="3" borderId="12" xfId="0" applyFill="1" applyBorder="1" applyAlignment="1" applyProtection="1">
      <alignment horizontal="center" vertical="center"/>
      <protection locked="0"/>
    </xf>
    <xf numFmtId="0" fontId="0" fillId="3" borderId="7" xfId="0" applyFill="1" applyBorder="1" applyAlignment="1" applyProtection="1">
      <alignment horizontal="center" vertical="center"/>
      <protection locked="0"/>
    </xf>
    <xf numFmtId="194" fontId="0" fillId="0" borderId="10" xfId="0" applyNumberFormat="1" applyBorder="1" applyAlignment="1">
      <alignment horizontal="center"/>
    </xf>
    <xf numFmtId="194" fontId="0" fillId="0" borderId="4" xfId="0" applyNumberFormat="1" applyBorder="1" applyAlignment="1">
      <alignment horizontal="center"/>
    </xf>
    <xf numFmtId="0" fontId="0" fillId="0" borderId="10" xfId="0" applyBorder="1" applyAlignment="1">
      <alignment horizontal="center"/>
    </xf>
    <xf numFmtId="0" fontId="0" fillId="0" borderId="4" xfId="0" applyBorder="1" applyAlignment="1">
      <alignment horizontal="center"/>
    </xf>
    <xf numFmtId="0" fontId="2" fillId="0" borderId="28" xfId="0" applyFont="1" applyFill="1" applyBorder="1" applyAlignment="1" applyProtection="1">
      <alignment horizontal="left" vertical="center"/>
    </xf>
    <xf numFmtId="0" fontId="2" fillId="0" borderId="11" xfId="0" applyFont="1" applyFill="1" applyBorder="1" applyAlignment="1" applyProtection="1">
      <alignment horizontal="left" vertical="center"/>
    </xf>
    <xf numFmtId="0" fontId="2" fillId="0" borderId="30" xfId="0" applyFont="1" applyBorder="1" applyAlignment="1">
      <alignment horizontal="center"/>
    </xf>
    <xf numFmtId="0" fontId="2" fillId="0" borderId="8" xfId="0" applyFont="1" applyBorder="1" applyAlignment="1">
      <alignment horizontal="center"/>
    </xf>
    <xf numFmtId="0" fontId="0" fillId="0" borderId="10" xfId="0" applyFont="1" applyBorder="1" applyAlignment="1">
      <alignment horizontal="center"/>
    </xf>
    <xf numFmtId="0" fontId="0" fillId="0" borderId="4" xfId="0" applyFont="1" applyBorder="1" applyAlignment="1">
      <alignment horizontal="center"/>
    </xf>
    <xf numFmtId="0" fontId="0" fillId="0" borderId="11" xfId="0" applyFont="1" applyBorder="1" applyAlignment="1">
      <alignment horizontal="center"/>
    </xf>
    <xf numFmtId="0" fontId="0" fillId="0" borderId="19" xfId="0" applyFont="1" applyBorder="1" applyAlignment="1">
      <alignment horizontal="center"/>
    </xf>
    <xf numFmtId="0" fontId="0" fillId="0" borderId="24" xfId="0" applyFont="1" applyBorder="1" applyAlignment="1">
      <alignment horizontal="center"/>
    </xf>
    <xf numFmtId="0" fontId="0" fillId="0" borderId="5" xfId="0" applyFont="1" applyBorder="1" applyAlignment="1">
      <alignment horizontal="center"/>
    </xf>
    <xf numFmtId="194" fontId="0" fillId="0" borderId="10" xfId="0" applyNumberFormat="1" applyFont="1" applyFill="1" applyBorder="1" applyAlignment="1" applyProtection="1">
      <alignment horizontal="left" vertical="center"/>
    </xf>
    <xf numFmtId="194" fontId="0" fillId="0" borderId="11" xfId="0" applyNumberFormat="1" applyFont="1" applyFill="1" applyBorder="1" applyAlignment="1" applyProtection="1">
      <alignment horizontal="left" vertical="center"/>
    </xf>
    <xf numFmtId="0" fontId="2" fillId="0" borderId="8" xfId="0" applyFont="1" applyFill="1" applyBorder="1" applyAlignment="1" applyProtection="1">
      <alignment horizontal="center" vertical="center"/>
    </xf>
    <xf numFmtId="166" fontId="0" fillId="3" borderId="3" xfId="0" applyNumberFormat="1" applyFill="1" applyBorder="1" applyAlignment="1">
      <alignment horizontal="center"/>
    </xf>
    <xf numFmtId="166" fontId="0" fillId="3" borderId="2" xfId="0" applyNumberFormat="1" applyFill="1" applyBorder="1" applyAlignment="1">
      <alignment horizontal="center"/>
    </xf>
    <xf numFmtId="166" fontId="0" fillId="3" borderId="6" xfId="0" applyNumberFormat="1" applyFill="1" applyBorder="1" applyAlignment="1">
      <alignment horizontal="center"/>
    </xf>
    <xf numFmtId="0" fontId="9" fillId="5" borderId="10" xfId="0" applyFont="1" applyFill="1" applyBorder="1" applyAlignment="1">
      <alignment horizontal="center"/>
    </xf>
    <xf numFmtId="0" fontId="9" fillId="5" borderId="4" xfId="0" applyFont="1" applyFill="1" applyBorder="1" applyAlignment="1">
      <alignment horizontal="center"/>
    </xf>
    <xf numFmtId="0" fontId="9" fillId="5" borderId="11" xfId="0" applyFont="1" applyFill="1" applyBorder="1" applyAlignment="1">
      <alignment horizontal="center"/>
    </xf>
    <xf numFmtId="0" fontId="0" fillId="0" borderId="34" xfId="0" applyFont="1" applyBorder="1" applyAlignment="1">
      <alignment horizontal="center"/>
    </xf>
    <xf numFmtId="0" fontId="0" fillId="0" borderId="31" xfId="0" applyFont="1" applyBorder="1" applyAlignment="1">
      <alignment horizontal="center"/>
    </xf>
    <xf numFmtId="0" fontId="0" fillId="13" borderId="40" xfId="0" applyFont="1" applyFill="1" applyBorder="1" applyAlignment="1">
      <alignment horizontal="center"/>
    </xf>
    <xf numFmtId="0" fontId="2" fillId="0" borderId="10" xfId="0" applyFont="1" applyFill="1" applyBorder="1" applyAlignment="1" applyProtection="1">
      <alignment horizontal="center" vertical="center"/>
    </xf>
    <xf numFmtId="0" fontId="2" fillId="0" borderId="11" xfId="0" applyFont="1" applyFill="1" applyBorder="1" applyAlignment="1" applyProtection="1">
      <alignment horizontal="center" vertical="center"/>
    </xf>
    <xf numFmtId="0" fontId="2" fillId="11" borderId="19" xfId="0" applyFont="1" applyFill="1" applyBorder="1" applyAlignment="1">
      <alignment horizontal="center" vertical="center"/>
    </xf>
    <xf numFmtId="0" fontId="2" fillId="11" borderId="24" xfId="0" applyFont="1" applyFill="1" applyBorder="1" applyAlignment="1">
      <alignment horizontal="center" vertical="center"/>
    </xf>
    <xf numFmtId="0" fontId="2" fillId="11" borderId="31" xfId="0" applyFont="1" applyFill="1" applyBorder="1" applyAlignment="1">
      <alignment horizontal="center" vertical="center"/>
    </xf>
    <xf numFmtId="0" fontId="2" fillId="11" borderId="12" xfId="0" applyFont="1" applyFill="1" applyBorder="1" applyAlignment="1">
      <alignment horizontal="center" vertical="center"/>
    </xf>
    <xf numFmtId="0" fontId="2" fillId="11" borderId="7" xfId="0" applyFont="1" applyFill="1" applyBorder="1" applyAlignment="1">
      <alignment horizontal="center" vertical="center"/>
    </xf>
    <xf numFmtId="0" fontId="2" fillId="11" borderId="32" xfId="0" applyFont="1" applyFill="1" applyBorder="1" applyAlignment="1">
      <alignment horizontal="center" vertical="center"/>
    </xf>
    <xf numFmtId="0" fontId="2" fillId="0" borderId="10" xfId="0" applyFont="1" applyBorder="1" applyAlignment="1">
      <alignment horizontal="center"/>
    </xf>
    <xf numFmtId="0" fontId="2" fillId="0" borderId="4" xfId="0" applyFont="1" applyBorder="1" applyAlignment="1">
      <alignment horizontal="center"/>
    </xf>
    <xf numFmtId="0" fontId="2" fillId="0" borderId="10" xfId="0" applyFont="1" applyFill="1" applyBorder="1" applyAlignment="1" applyProtection="1">
      <alignment horizontal="left" vertical="center"/>
    </xf>
    <xf numFmtId="0" fontId="2" fillId="0" borderId="35" xfId="0" applyFont="1" applyFill="1" applyBorder="1" applyAlignment="1" applyProtection="1">
      <alignment horizontal="left" vertical="center"/>
    </xf>
    <xf numFmtId="0" fontId="2" fillId="0" borderId="5" xfId="0" applyFont="1" applyFill="1" applyBorder="1" applyAlignment="1" applyProtection="1">
      <alignment horizontal="left" vertical="center"/>
    </xf>
    <xf numFmtId="0" fontId="2" fillId="0" borderId="39" xfId="0" applyFont="1" applyFill="1" applyBorder="1" applyAlignment="1" applyProtection="1">
      <alignment horizontal="left" vertical="center"/>
    </xf>
    <xf numFmtId="0" fontId="2" fillId="0" borderId="9" xfId="0" applyFont="1" applyFill="1" applyBorder="1" applyAlignment="1" applyProtection="1">
      <alignment horizontal="left" vertical="center"/>
    </xf>
    <xf numFmtId="0" fontId="0" fillId="0" borderId="19" xfId="0" applyBorder="1" applyAlignment="1" applyProtection="1">
      <alignment horizontal="left" vertical="center"/>
      <protection locked="0"/>
    </xf>
    <xf numFmtId="0" fontId="0" fillId="0" borderId="24" xfId="0" applyFont="1" applyBorder="1" applyAlignment="1" applyProtection="1">
      <alignment horizontal="left" vertical="center"/>
      <protection locked="0"/>
    </xf>
    <xf numFmtId="0" fontId="0" fillId="0" borderId="5" xfId="0" applyFont="1" applyBorder="1" applyAlignment="1" applyProtection="1">
      <alignment horizontal="left" vertical="center"/>
      <protection locked="0"/>
    </xf>
    <xf numFmtId="0" fontId="0" fillId="0" borderId="12" xfId="0" applyFont="1" applyBorder="1" applyAlignment="1" applyProtection="1">
      <alignment horizontal="left" vertical="center"/>
      <protection locked="0"/>
    </xf>
    <xf numFmtId="0" fontId="0" fillId="0" borderId="7" xfId="0" applyFont="1" applyBorder="1" applyAlignment="1" applyProtection="1">
      <alignment horizontal="left" vertical="center"/>
      <protection locked="0"/>
    </xf>
    <xf numFmtId="0" fontId="0" fillId="0" borderId="9" xfId="0" applyFont="1" applyBorder="1" applyAlignment="1" applyProtection="1">
      <alignment horizontal="left" vertical="center"/>
      <protection locked="0"/>
    </xf>
    <xf numFmtId="0" fontId="2" fillId="0" borderId="19" xfId="0" applyFont="1" applyFill="1" applyBorder="1" applyAlignment="1" applyProtection="1">
      <alignment horizontal="center" vertical="center"/>
    </xf>
    <xf numFmtId="0" fontId="2" fillId="0" borderId="5" xfId="0" applyFont="1" applyFill="1" applyBorder="1" applyAlignment="1" applyProtection="1">
      <alignment horizontal="center" vertical="center"/>
    </xf>
    <xf numFmtId="0" fontId="2" fillId="0" borderId="20" xfId="0" applyFont="1" applyFill="1" applyBorder="1" applyAlignment="1" applyProtection="1">
      <alignment horizontal="center" vertical="center"/>
    </xf>
    <xf numFmtId="0" fontId="2" fillId="0" borderId="1" xfId="0" applyFont="1" applyFill="1" applyBorder="1" applyAlignment="1" applyProtection="1">
      <alignment horizontal="center" vertical="center"/>
    </xf>
    <xf numFmtId="0" fontId="0" fillId="3" borderId="31" xfId="0" applyFill="1" applyBorder="1" applyAlignment="1" applyProtection="1">
      <alignment horizontal="center" vertical="center"/>
      <protection locked="0"/>
    </xf>
    <xf numFmtId="0" fontId="0" fillId="3" borderId="20" xfId="0" applyFill="1" applyBorder="1" applyAlignment="1" applyProtection="1">
      <alignment horizontal="center" vertical="center"/>
      <protection locked="0"/>
    </xf>
    <xf numFmtId="0" fontId="0" fillId="3" borderId="0" xfId="0" applyFill="1" applyBorder="1" applyAlignment="1" applyProtection="1">
      <alignment horizontal="center" vertical="center"/>
      <protection locked="0"/>
    </xf>
    <xf numFmtId="0" fontId="0" fillId="3" borderId="29" xfId="0" applyFill="1" applyBorder="1" applyAlignment="1" applyProtection="1">
      <alignment horizontal="center" vertical="center"/>
      <protection locked="0"/>
    </xf>
    <xf numFmtId="0" fontId="0" fillId="0" borderId="11" xfId="0" applyBorder="1" applyAlignment="1">
      <alignment horizontal="center"/>
    </xf>
    <xf numFmtId="0" fontId="0" fillId="0" borderId="19" xfId="0" applyFont="1" applyFill="1" applyBorder="1" applyAlignment="1" applyProtection="1">
      <alignment horizontal="left" vertical="center"/>
    </xf>
    <xf numFmtId="0" fontId="0" fillId="0" borderId="24" xfId="0" applyFont="1" applyFill="1" applyBorder="1" applyAlignment="1" applyProtection="1">
      <alignment horizontal="left" vertical="center"/>
    </xf>
    <xf numFmtId="0" fontId="0" fillId="0" borderId="31" xfId="0" applyFont="1" applyFill="1" applyBorder="1" applyAlignment="1" applyProtection="1">
      <alignment horizontal="left" vertical="center"/>
    </xf>
    <xf numFmtId="0" fontId="0" fillId="0" borderId="12" xfId="0" applyFont="1" applyFill="1" applyBorder="1" applyAlignment="1" applyProtection="1">
      <alignment horizontal="left" vertical="center"/>
    </xf>
    <xf numFmtId="0" fontId="0" fillId="0" borderId="7" xfId="0" applyFont="1" applyFill="1" applyBorder="1" applyAlignment="1" applyProtection="1">
      <alignment horizontal="left" vertical="center"/>
    </xf>
    <xf numFmtId="0" fontId="0" fillId="0" borderId="32" xfId="0" applyFont="1" applyFill="1" applyBorder="1" applyAlignment="1" applyProtection="1">
      <alignment horizontal="left" vertical="center"/>
    </xf>
    <xf numFmtId="0" fontId="2" fillId="0" borderId="28" xfId="0" applyFont="1" applyBorder="1" applyAlignment="1">
      <alignment horizontal="center"/>
    </xf>
    <xf numFmtId="0" fontId="2" fillId="8" borderId="19" xfId="0" applyFont="1" applyFill="1" applyBorder="1" applyAlignment="1" applyProtection="1">
      <alignment horizontal="center" vertical="center"/>
    </xf>
    <xf numFmtId="0" fontId="2" fillId="8" borderId="24" xfId="0" applyFont="1" applyFill="1" applyBorder="1" applyAlignment="1" applyProtection="1">
      <alignment horizontal="center" vertical="center"/>
    </xf>
    <xf numFmtId="0" fontId="2" fillId="8" borderId="5" xfId="0" applyFont="1" applyFill="1" applyBorder="1" applyAlignment="1" applyProtection="1">
      <alignment horizontal="center" vertical="center"/>
    </xf>
    <xf numFmtId="0" fontId="2" fillId="8" borderId="12" xfId="0" applyFont="1" applyFill="1" applyBorder="1" applyAlignment="1" applyProtection="1">
      <alignment horizontal="center" vertical="center"/>
    </xf>
    <xf numFmtId="0" fontId="2" fillId="8" borderId="7" xfId="0" applyFont="1" applyFill="1" applyBorder="1" applyAlignment="1" applyProtection="1">
      <alignment horizontal="center" vertical="center"/>
    </xf>
    <xf numFmtId="0" fontId="2" fillId="8" borderId="9" xfId="0" applyFont="1" applyFill="1" applyBorder="1" applyAlignment="1" applyProtection="1">
      <alignment horizontal="center" vertical="center"/>
    </xf>
    <xf numFmtId="0" fontId="2" fillId="0" borderId="30" xfId="0" applyFont="1" applyFill="1" applyBorder="1" applyAlignment="1" applyProtection="1">
      <alignment horizontal="left" vertical="center"/>
    </xf>
    <xf numFmtId="0" fontId="2" fillId="0" borderId="8" xfId="0" applyFont="1" applyFill="1" applyBorder="1" applyAlignment="1" applyProtection="1">
      <alignment horizontal="left" vertical="center"/>
    </xf>
    <xf numFmtId="0" fontId="3" fillId="0" borderId="3" xfId="2" applyFont="1" applyBorder="1" applyAlignment="1" applyProtection="1">
      <alignment horizontal="center" vertical="center" wrapText="1"/>
    </xf>
    <xf numFmtId="0" fontId="3" fillId="0" borderId="2" xfId="2" applyFont="1" applyBorder="1" applyAlignment="1" applyProtection="1">
      <alignment horizontal="center" vertical="center" wrapText="1"/>
    </xf>
    <xf numFmtId="0" fontId="3" fillId="0" borderId="6" xfId="2" applyFont="1" applyBorder="1" applyAlignment="1" applyProtection="1">
      <alignment horizontal="center" vertical="center" wrapText="1"/>
    </xf>
    <xf numFmtId="49" fontId="3" fillId="10" borderId="3" xfId="0" applyNumberFormat="1" applyFont="1" applyFill="1" applyBorder="1" applyAlignment="1" applyProtection="1">
      <alignment horizontal="center" vertical="center"/>
    </xf>
    <xf numFmtId="49" fontId="3" fillId="10" borderId="2" xfId="0" applyNumberFormat="1" applyFont="1" applyFill="1" applyBorder="1" applyAlignment="1" applyProtection="1">
      <alignment horizontal="center" vertical="center"/>
    </xf>
    <xf numFmtId="0" fontId="4" fillId="8" borderId="10" xfId="0" applyFont="1" applyFill="1" applyBorder="1" applyAlignment="1" applyProtection="1">
      <alignment horizontal="center" vertical="center" wrapText="1"/>
    </xf>
    <xf numFmtId="0" fontId="4" fillId="8" borderId="11" xfId="0" applyFont="1" applyFill="1" applyBorder="1" applyAlignment="1" applyProtection="1">
      <alignment horizontal="center" vertical="center" wrapText="1"/>
    </xf>
    <xf numFmtId="0" fontId="4" fillId="3" borderId="8" xfId="0" applyFont="1" applyFill="1" applyBorder="1" applyAlignment="1" applyProtection="1">
      <alignment horizontal="center"/>
    </xf>
    <xf numFmtId="0" fontId="4" fillId="3" borderId="10" xfId="0" applyFont="1" applyFill="1" applyBorder="1" applyAlignment="1" applyProtection="1">
      <alignment horizontal="center"/>
    </xf>
    <xf numFmtId="0" fontId="4" fillId="4" borderId="8" xfId="0" applyFont="1" applyFill="1" applyBorder="1" applyAlignment="1" applyProtection="1">
      <alignment horizontal="center"/>
    </xf>
    <xf numFmtId="0" fontId="4" fillId="8" borderId="10" xfId="0" applyFont="1" applyFill="1" applyBorder="1" applyAlignment="1" applyProtection="1">
      <alignment horizontal="center" vertical="center"/>
    </xf>
    <xf numFmtId="0" fontId="4" fillId="8" borderId="4" xfId="0" applyFont="1" applyFill="1" applyBorder="1" applyAlignment="1" applyProtection="1">
      <alignment horizontal="center" vertical="center"/>
    </xf>
    <xf numFmtId="0" fontId="4" fillId="8" borderId="11" xfId="0" applyFont="1" applyFill="1" applyBorder="1" applyAlignment="1" applyProtection="1">
      <alignment horizontal="center" vertical="center"/>
    </xf>
    <xf numFmtId="0" fontId="4" fillId="4" borderId="8" xfId="0" applyFont="1" applyFill="1" applyBorder="1" applyAlignment="1" applyProtection="1">
      <alignment horizontal="center" vertical="center"/>
    </xf>
    <xf numFmtId="0" fontId="4" fillId="4" borderId="3" xfId="0" applyFont="1" applyFill="1" applyBorder="1" applyAlignment="1" applyProtection="1">
      <alignment horizontal="center" vertical="center"/>
    </xf>
    <xf numFmtId="0" fontId="3" fillId="9" borderId="3" xfId="0" applyFont="1" applyFill="1" applyBorder="1" applyAlignment="1" applyProtection="1">
      <alignment horizontal="center" vertical="center"/>
      <protection locked="0"/>
    </xf>
    <xf numFmtId="0" fontId="3" fillId="9" borderId="2" xfId="0" applyFont="1" applyFill="1" applyBorder="1" applyAlignment="1" applyProtection="1">
      <alignment horizontal="center" vertical="center"/>
      <protection locked="0"/>
    </xf>
    <xf numFmtId="0" fontId="3" fillId="0" borderId="3" xfId="0" applyFont="1" applyBorder="1" applyAlignment="1" applyProtection="1">
      <alignment horizontal="center" vertical="center" textRotation="90" wrapText="1"/>
      <protection locked="0"/>
    </xf>
    <xf numFmtId="0" fontId="3" fillId="0" borderId="2" xfId="0" applyFont="1" applyBorder="1" applyAlignment="1" applyProtection="1">
      <alignment horizontal="center" vertical="center" textRotation="90" wrapText="1"/>
      <protection locked="0"/>
    </xf>
    <xf numFmtId="14" fontId="3" fillId="0" borderId="3" xfId="0" applyNumberFormat="1" applyFont="1" applyBorder="1" applyAlignment="1" applyProtection="1">
      <alignment horizontal="center" vertical="center"/>
      <protection locked="0"/>
    </xf>
    <xf numFmtId="14" fontId="3" fillId="0" borderId="2" xfId="0" applyNumberFormat="1" applyFont="1" applyBorder="1" applyAlignment="1" applyProtection="1">
      <alignment horizontal="center" vertical="center"/>
      <protection locked="0"/>
    </xf>
    <xf numFmtId="0" fontId="3" fillId="0" borderId="3" xfId="0" applyFont="1" applyBorder="1" applyAlignment="1" applyProtection="1">
      <alignment horizontal="center" vertical="center" wrapText="1"/>
      <protection locked="0"/>
    </xf>
    <xf numFmtId="0" fontId="3" fillId="0" borderId="2" xfId="0" applyFont="1" applyBorder="1" applyAlignment="1" applyProtection="1">
      <alignment horizontal="center" vertical="center" wrapText="1"/>
      <protection locked="0"/>
    </xf>
    <xf numFmtId="0" fontId="3" fillId="0" borderId="3" xfId="0" applyFont="1" applyBorder="1" applyAlignment="1" applyProtection="1">
      <alignment horizontal="left" vertical="center" wrapText="1"/>
      <protection locked="0"/>
    </xf>
    <xf numFmtId="0" fontId="3" fillId="0" borderId="2" xfId="0" applyFont="1" applyBorder="1" applyAlignment="1" applyProtection="1">
      <alignment horizontal="left" vertical="center" wrapText="1"/>
      <protection locked="0"/>
    </xf>
    <xf numFmtId="0" fontId="3" fillId="0" borderId="11" xfId="0" applyFont="1" applyBorder="1" applyAlignment="1">
      <alignment horizontal="center" vertical="center" textRotation="90"/>
    </xf>
    <xf numFmtId="0" fontId="3" fillId="0" borderId="3" xfId="0" applyFont="1" applyBorder="1" applyAlignment="1">
      <alignment horizontal="center" vertical="center" textRotation="90"/>
    </xf>
    <xf numFmtId="0" fontId="3" fillId="0" borderId="2" xfId="0" applyFont="1" applyBorder="1" applyAlignment="1">
      <alignment horizontal="center" vertical="center" textRotation="90"/>
    </xf>
    <xf numFmtId="0" fontId="3" fillId="0" borderId="6" xfId="0" applyFont="1" applyBorder="1" applyAlignment="1">
      <alignment horizontal="center" vertical="center" textRotation="90"/>
    </xf>
    <xf numFmtId="0" fontId="3" fillId="0" borderId="3" xfId="2" applyFont="1" applyBorder="1" applyAlignment="1" applyProtection="1">
      <alignment horizontal="left" vertical="center" wrapText="1"/>
    </xf>
    <xf numFmtId="0" fontId="3" fillId="0" borderId="2" xfId="2" applyFont="1" applyBorder="1" applyAlignment="1" applyProtection="1">
      <alignment horizontal="left" vertical="center" wrapText="1"/>
    </xf>
    <xf numFmtId="0" fontId="3" fillId="0" borderId="8" xfId="0" applyFont="1" applyBorder="1" applyAlignment="1">
      <alignment horizontal="center"/>
    </xf>
    <xf numFmtId="0" fontId="5" fillId="0" borderId="0" xfId="0" applyFont="1" applyBorder="1" applyAlignment="1" applyProtection="1">
      <alignment horizontal="center" vertical="center"/>
    </xf>
  </cellXfs>
  <cellStyles count="3">
    <cellStyle name="Good" xfId="1" builtinId="26"/>
    <cellStyle name="Hyperlink" xfId="2" builtinId="8"/>
    <cellStyle name="Normal" xfId="0" builtinId="0"/>
  </cellStyles>
  <dxfs count="0"/>
  <tableStyles count="0" defaultTableStyle="TableStyleMedium9" defaultPivotStyle="PivotStyleLight16"/>
  <colors>
    <mruColors>
      <color rgb="FFFFCCCC"/>
      <color rgb="FFCCFFCC"/>
      <color rgb="FFCCFFFF"/>
      <color rgb="FF66FFFF"/>
      <color rgb="FFFFFF99"/>
      <color rgb="FF99CC00"/>
      <color rgb="FFFF5050"/>
      <color rgb="FFFF33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20</xdr:col>
      <xdr:colOff>1866900</xdr:colOff>
      <xdr:row>1</xdr:row>
      <xdr:rowOff>114300</xdr:rowOff>
    </xdr:from>
    <xdr:to>
      <xdr:col>20</xdr:col>
      <xdr:colOff>1867626</xdr:colOff>
      <xdr:row>3</xdr:row>
      <xdr:rowOff>120650</xdr:rowOff>
    </xdr:to>
    <xdr:pic>
      <xdr:nvPicPr>
        <xdr:cNvPr id="4" name="Picture 3"/>
        <xdr:cNvPicPr/>
      </xdr:nvPicPr>
      <xdr:blipFill>
        <a:blip xmlns:r="http://schemas.openxmlformats.org/officeDocument/2006/relationships" r:embed="rId1" cstate="print"/>
        <a:srcRect/>
        <a:stretch>
          <a:fillRect/>
        </a:stretch>
      </xdr:blipFill>
      <xdr:spPr bwMode="auto">
        <a:xfrm>
          <a:off x="14004471" y="299357"/>
          <a:ext cx="1231900" cy="685800"/>
        </a:xfrm>
        <a:prstGeom prst="rect">
          <a:avLst/>
        </a:prstGeom>
        <a:noFill/>
      </xdr:spPr>
    </xdr:pic>
    <xdr:clientData/>
  </xdr:twoCellAnchor>
  <xdr:twoCellAnchor editAs="oneCell">
    <xdr:from>
      <xdr:col>18</xdr:col>
      <xdr:colOff>2308412</xdr:colOff>
      <xdr:row>1</xdr:row>
      <xdr:rowOff>11206</xdr:rowOff>
    </xdr:from>
    <xdr:to>
      <xdr:col>19</xdr:col>
      <xdr:colOff>1860176</xdr:colOff>
      <xdr:row>3</xdr:row>
      <xdr:rowOff>84972</xdr:rowOff>
    </xdr:to>
    <xdr:pic>
      <xdr:nvPicPr>
        <xdr:cNvPr id="5" name="Picture 4" descr="UDOT logo.png"/>
        <xdr:cNvPicPr>
          <a:picLocks noChangeAspect="1"/>
        </xdr:cNvPicPr>
      </xdr:nvPicPr>
      <xdr:blipFill>
        <a:blip xmlns:r="http://schemas.openxmlformats.org/officeDocument/2006/relationships" r:embed="rId2" cstate="print"/>
        <a:stretch>
          <a:fillRect/>
        </a:stretch>
      </xdr:blipFill>
      <xdr:spPr>
        <a:xfrm>
          <a:off x="14859000" y="268941"/>
          <a:ext cx="2521323" cy="7573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198"/>
  <sheetViews>
    <sheetView showGridLines="0" tabSelected="1" zoomScale="90" zoomScaleNormal="90" workbookViewId="0">
      <selection activeCell="C2" sqref="C2"/>
    </sheetView>
  </sheetViews>
  <sheetFormatPr defaultRowHeight="14.4" x14ac:dyDescent="0.3"/>
  <cols>
    <col min="1" max="4" width="14.88671875" customWidth="1"/>
    <col min="5" max="5" width="14.88671875" hidden="1" customWidth="1"/>
    <col min="6" max="8" width="10.6640625" customWidth="1"/>
    <col min="9" max="11" width="15.5546875" customWidth="1"/>
    <col min="12" max="12" width="17" customWidth="1"/>
    <col min="13" max="13" width="15.6640625" hidden="1" customWidth="1"/>
    <col min="14" max="17" width="10.6640625" customWidth="1"/>
    <col min="18" max="18" width="6.6640625" customWidth="1"/>
    <col min="19" max="19" width="5.6640625" customWidth="1"/>
    <col min="22" max="22" width="10" bestFit="1" customWidth="1"/>
  </cols>
  <sheetData>
    <row r="1" spans="1:22" ht="18" thickTop="1" x14ac:dyDescent="0.3">
      <c r="A1" s="143" t="s">
        <v>62</v>
      </c>
      <c r="B1" s="144"/>
      <c r="C1" s="144"/>
      <c r="D1" s="144"/>
      <c r="E1" s="144"/>
      <c r="F1" s="144"/>
      <c r="G1" s="144"/>
      <c r="H1" s="144"/>
      <c r="I1" s="144"/>
      <c r="J1" s="144"/>
      <c r="K1" s="144"/>
      <c r="L1" s="144"/>
      <c r="M1" s="144"/>
      <c r="N1" s="144"/>
      <c r="O1" s="144"/>
      <c r="P1" s="145"/>
    </row>
    <row r="2" spans="1:22" x14ac:dyDescent="0.3">
      <c r="A2" s="154" t="s">
        <v>65</v>
      </c>
      <c r="B2" s="155"/>
      <c r="C2" s="107">
        <v>41015</v>
      </c>
      <c r="D2" s="48"/>
      <c r="E2" s="48"/>
      <c r="F2" s="48"/>
      <c r="G2" s="48"/>
      <c r="H2" s="48"/>
      <c r="I2" s="48"/>
      <c r="J2" s="48"/>
      <c r="K2" s="48"/>
      <c r="L2" s="48"/>
      <c r="M2" s="48"/>
      <c r="N2" s="48"/>
      <c r="O2" s="48"/>
      <c r="P2" s="49"/>
    </row>
    <row r="3" spans="1:22" x14ac:dyDescent="0.3">
      <c r="A3" s="187" t="s">
        <v>21</v>
      </c>
      <c r="B3" s="188"/>
      <c r="C3" s="191" t="s">
        <v>67</v>
      </c>
      <c r="D3" s="192"/>
      <c r="E3" s="192"/>
      <c r="F3" s="192"/>
      <c r="G3" s="192"/>
      <c r="H3" s="193"/>
      <c r="I3" s="197" t="s">
        <v>66</v>
      </c>
      <c r="J3" s="198"/>
      <c r="K3" s="206">
        <v>99999</v>
      </c>
      <c r="L3" s="207"/>
      <c r="M3" s="207"/>
      <c r="N3" s="207"/>
      <c r="O3" s="207"/>
      <c r="P3" s="208"/>
    </row>
    <row r="4" spans="1:22" x14ac:dyDescent="0.3">
      <c r="A4" s="189"/>
      <c r="B4" s="190"/>
      <c r="C4" s="194"/>
      <c r="D4" s="195"/>
      <c r="E4" s="195"/>
      <c r="F4" s="195"/>
      <c r="G4" s="195"/>
      <c r="H4" s="196"/>
      <c r="I4" s="199"/>
      <c r="J4" s="200"/>
      <c r="K4" s="209"/>
      <c r="L4" s="210"/>
      <c r="M4" s="210"/>
      <c r="N4" s="210"/>
      <c r="O4" s="210"/>
      <c r="P4" s="211"/>
    </row>
    <row r="5" spans="1:22" ht="15" customHeight="1" x14ac:dyDescent="0.3">
      <c r="A5" s="154" t="s">
        <v>55</v>
      </c>
      <c r="B5" s="155"/>
      <c r="C5" s="164">
        <v>40725</v>
      </c>
      <c r="D5" s="165"/>
      <c r="E5" s="62"/>
      <c r="F5" s="146"/>
      <c r="G5" s="147"/>
      <c r="H5" s="147"/>
      <c r="I5" s="103" t="s">
        <v>69</v>
      </c>
      <c r="J5" s="46"/>
      <c r="K5" s="108"/>
      <c r="L5" s="152"/>
      <c r="M5" s="205"/>
      <c r="N5" s="146"/>
      <c r="O5" s="147"/>
      <c r="P5" s="201"/>
    </row>
    <row r="6" spans="1:22" ht="15" customHeight="1" x14ac:dyDescent="0.3">
      <c r="A6" s="219" t="s">
        <v>56</v>
      </c>
      <c r="B6" s="220"/>
      <c r="C6" s="150"/>
      <c r="D6" s="151"/>
      <c r="E6" s="78"/>
      <c r="F6" s="148"/>
      <c r="G6" s="149"/>
      <c r="H6" s="149"/>
      <c r="L6" s="152"/>
      <c r="M6" s="153"/>
      <c r="N6" s="202"/>
      <c r="O6" s="203"/>
      <c r="P6" s="204"/>
    </row>
    <row r="7" spans="1:22" ht="16.2" customHeight="1" x14ac:dyDescent="0.3">
      <c r="A7" s="154" t="s">
        <v>58</v>
      </c>
      <c r="B7" s="155"/>
      <c r="C7" s="166"/>
      <c r="D7" s="166"/>
      <c r="E7" s="166"/>
      <c r="F7" s="166"/>
      <c r="G7" s="166"/>
      <c r="H7" s="166"/>
      <c r="I7" s="186" t="s">
        <v>57</v>
      </c>
      <c r="J7" s="155"/>
      <c r="K7" s="77"/>
      <c r="L7" s="176"/>
      <c r="M7" s="177"/>
      <c r="N7" s="58"/>
      <c r="O7" s="59"/>
      <c r="P7" s="60"/>
    </row>
    <row r="8" spans="1:22" x14ac:dyDescent="0.3">
      <c r="A8" s="50"/>
      <c r="B8" s="41"/>
      <c r="C8" s="41"/>
      <c r="D8" s="41"/>
      <c r="E8" s="41"/>
      <c r="F8" s="41"/>
      <c r="G8" s="41"/>
      <c r="H8" s="41"/>
      <c r="I8" s="41"/>
      <c r="J8" s="41"/>
      <c r="K8" s="41"/>
      <c r="L8" s="41"/>
      <c r="M8" s="41"/>
      <c r="N8" s="41"/>
      <c r="O8" s="41"/>
      <c r="P8" s="51"/>
    </row>
    <row r="9" spans="1:22" x14ac:dyDescent="0.3">
      <c r="A9" s="212" t="s">
        <v>72</v>
      </c>
      <c r="B9" s="185"/>
      <c r="C9" s="185"/>
      <c r="D9" s="185"/>
      <c r="E9" s="79"/>
      <c r="F9" s="213" t="s">
        <v>60</v>
      </c>
      <c r="G9" s="214"/>
      <c r="H9" s="215"/>
      <c r="I9" s="184" t="s">
        <v>73</v>
      </c>
      <c r="J9" s="185"/>
      <c r="K9" s="185"/>
      <c r="L9" s="185"/>
      <c r="M9" s="185"/>
      <c r="N9" s="178" t="s">
        <v>61</v>
      </c>
      <c r="O9" s="179"/>
      <c r="P9" s="180"/>
    </row>
    <row r="10" spans="1:22" ht="20.100000000000001" customHeight="1" x14ac:dyDescent="0.3">
      <c r="A10" s="52" t="s">
        <v>71</v>
      </c>
      <c r="B10" s="38" t="s">
        <v>54</v>
      </c>
      <c r="C10" s="38" t="s">
        <v>50</v>
      </c>
      <c r="D10" s="47" t="s">
        <v>74</v>
      </c>
      <c r="E10" s="47"/>
      <c r="F10" s="216"/>
      <c r="G10" s="217"/>
      <c r="H10" s="218"/>
      <c r="I10" s="39" t="s">
        <v>71</v>
      </c>
      <c r="J10" s="39" t="s">
        <v>54</v>
      </c>
      <c r="K10" s="39" t="s">
        <v>17</v>
      </c>
      <c r="L10" s="39" t="s">
        <v>74</v>
      </c>
      <c r="M10" s="40" t="s">
        <v>52</v>
      </c>
      <c r="N10" s="181"/>
      <c r="O10" s="182"/>
      <c r="P10" s="183"/>
      <c r="S10" s="2"/>
    </row>
    <row r="11" spans="1:22" ht="15.6" customHeight="1" thickBot="1" x14ac:dyDescent="0.35">
      <c r="A11" s="53"/>
      <c r="B11" s="42">
        <v>2.2999999999999998</v>
      </c>
      <c r="C11" s="42">
        <v>7.2</v>
      </c>
      <c r="D11" s="42">
        <v>53.6</v>
      </c>
      <c r="E11" s="80"/>
      <c r="F11" s="158"/>
      <c r="G11" s="159"/>
      <c r="H11" s="160"/>
      <c r="I11" s="45"/>
      <c r="J11" s="43">
        <v>30</v>
      </c>
      <c r="K11" s="43">
        <v>24</v>
      </c>
      <c r="L11" s="43">
        <v>36</v>
      </c>
      <c r="M11" s="44"/>
      <c r="N11" s="158"/>
      <c r="O11" s="159"/>
      <c r="P11" s="173"/>
    </row>
    <row r="12" spans="1:22" ht="15.6" hidden="1" customHeight="1" x14ac:dyDescent="0.3">
      <c r="A12" s="53"/>
      <c r="B12" s="42"/>
      <c r="C12" s="42"/>
      <c r="D12" s="42"/>
      <c r="E12" s="80"/>
      <c r="F12" s="158"/>
      <c r="G12" s="159"/>
      <c r="H12" s="160"/>
      <c r="I12" s="45"/>
      <c r="J12" s="43"/>
      <c r="K12" s="43"/>
      <c r="L12" s="43"/>
      <c r="M12" s="44"/>
      <c r="N12" s="158"/>
      <c r="O12" s="159"/>
      <c r="P12" s="173"/>
    </row>
    <row r="13" spans="1:22" ht="15.6" hidden="1" customHeight="1" x14ac:dyDescent="0.3">
      <c r="A13" s="109"/>
      <c r="B13" s="110"/>
      <c r="C13" s="110"/>
      <c r="D13" s="110"/>
      <c r="E13" s="111"/>
      <c r="F13" s="161"/>
      <c r="G13" s="162"/>
      <c r="H13" s="163"/>
      <c r="I13" s="112"/>
      <c r="J13" s="113"/>
      <c r="K13" s="113"/>
      <c r="L13" s="113"/>
      <c r="M13" s="114"/>
      <c r="N13" s="161"/>
      <c r="O13" s="162"/>
      <c r="P13" s="174"/>
    </row>
    <row r="14" spans="1:22" ht="15.6" customHeight="1" x14ac:dyDescent="0.3">
      <c r="A14" s="115"/>
      <c r="B14" s="115"/>
      <c r="C14" s="115"/>
      <c r="D14" s="115"/>
      <c r="E14" s="115"/>
      <c r="F14" s="175"/>
      <c r="G14" s="175"/>
      <c r="H14" s="175"/>
      <c r="I14" s="116"/>
      <c r="J14" s="117"/>
      <c r="K14" s="117"/>
      <c r="L14" s="117"/>
      <c r="M14" s="117"/>
      <c r="N14" s="175"/>
      <c r="O14" s="175"/>
      <c r="P14" s="175"/>
    </row>
    <row r="15" spans="1:22" ht="20.100000000000001" customHeight="1" x14ac:dyDescent="0.3">
      <c r="A15" s="118"/>
      <c r="B15" s="119"/>
      <c r="C15" s="119"/>
      <c r="D15" s="119"/>
      <c r="E15" s="119"/>
      <c r="F15" s="119"/>
      <c r="G15" s="119"/>
      <c r="H15" s="119"/>
      <c r="I15" s="119"/>
      <c r="J15" s="119"/>
      <c r="K15" s="119"/>
      <c r="L15" s="119"/>
      <c r="M15" s="119"/>
      <c r="N15" s="119"/>
      <c r="O15" s="119"/>
      <c r="P15" s="120"/>
    </row>
    <row r="16" spans="1:22" x14ac:dyDescent="0.3">
      <c r="A16" s="156" t="s">
        <v>10</v>
      </c>
      <c r="B16" s="157"/>
      <c r="C16" s="157"/>
      <c r="D16" s="157"/>
      <c r="E16" s="63"/>
      <c r="F16" s="157" t="s">
        <v>59</v>
      </c>
      <c r="G16" s="157"/>
      <c r="H16" s="157"/>
      <c r="I16" s="157" t="s">
        <v>53</v>
      </c>
      <c r="J16" s="157"/>
      <c r="K16" s="157"/>
      <c r="L16" s="157"/>
      <c r="M16" s="157"/>
      <c r="N16" s="137"/>
      <c r="O16" s="138"/>
      <c r="P16" s="139"/>
      <c r="V16" s="61"/>
    </row>
    <row r="17" spans="1:19" ht="20.100000000000001" customHeight="1" x14ac:dyDescent="0.3">
      <c r="A17" s="52" t="s">
        <v>71</v>
      </c>
      <c r="B17" s="38" t="s">
        <v>54</v>
      </c>
      <c r="C17" s="38" t="s">
        <v>17</v>
      </c>
      <c r="D17" s="38" t="s">
        <v>74</v>
      </c>
      <c r="E17" s="47" t="s">
        <v>52</v>
      </c>
      <c r="F17" s="170" t="s">
        <v>22</v>
      </c>
      <c r="G17" s="171"/>
      <c r="H17" s="172"/>
      <c r="I17" s="39" t="s">
        <v>71</v>
      </c>
      <c r="J17" s="39" t="s">
        <v>54</v>
      </c>
      <c r="K17" s="39" t="s">
        <v>17</v>
      </c>
      <c r="L17" s="39" t="s">
        <v>74</v>
      </c>
      <c r="M17" s="40" t="s">
        <v>52</v>
      </c>
      <c r="N17" s="140"/>
      <c r="O17" s="141"/>
      <c r="P17" s="142"/>
      <c r="S17" s="2"/>
    </row>
    <row r="18" spans="1:19" x14ac:dyDescent="0.3">
      <c r="A18" s="98"/>
      <c r="B18" s="104">
        <v>0</v>
      </c>
      <c r="C18" s="104">
        <v>0</v>
      </c>
      <c r="D18" s="104">
        <v>0</v>
      </c>
      <c r="E18" s="68"/>
      <c r="F18" s="167"/>
      <c r="G18" s="105">
        <v>0</v>
      </c>
      <c r="H18" s="167"/>
      <c r="I18" s="88"/>
      <c r="J18" s="106">
        <v>0</v>
      </c>
      <c r="K18" s="106">
        <v>0</v>
      </c>
      <c r="L18" s="106">
        <v>0</v>
      </c>
      <c r="M18" s="93"/>
      <c r="N18" s="140"/>
      <c r="O18" s="141"/>
      <c r="P18" s="142"/>
    </row>
    <row r="19" spans="1:19" x14ac:dyDescent="0.3">
      <c r="A19" s="99"/>
      <c r="B19" s="65">
        <v>10</v>
      </c>
      <c r="C19" s="69">
        <v>0.1</v>
      </c>
      <c r="D19" s="69">
        <v>0.25</v>
      </c>
      <c r="E19" s="69"/>
      <c r="F19" s="168"/>
      <c r="G19" s="73">
        <v>0.1</v>
      </c>
      <c r="H19" s="168"/>
      <c r="I19" s="89"/>
      <c r="J19" s="94">
        <v>7</v>
      </c>
      <c r="K19" s="94">
        <v>7</v>
      </c>
      <c r="L19" s="94">
        <v>10</v>
      </c>
      <c r="M19" s="94"/>
      <c r="N19" s="140"/>
      <c r="O19" s="141"/>
      <c r="P19" s="142"/>
    </row>
    <row r="20" spans="1:19" x14ac:dyDescent="0.3">
      <c r="A20" s="100"/>
      <c r="B20" s="64">
        <v>30</v>
      </c>
      <c r="C20" s="70">
        <v>0.25</v>
      </c>
      <c r="D20" s="70">
        <v>0.5</v>
      </c>
      <c r="E20" s="70"/>
      <c r="F20" s="168"/>
      <c r="G20" s="74">
        <v>0.35</v>
      </c>
      <c r="H20" s="168"/>
      <c r="I20" s="90"/>
      <c r="J20" s="95">
        <v>14</v>
      </c>
      <c r="K20" s="95">
        <v>14</v>
      </c>
      <c r="L20" s="95">
        <v>30</v>
      </c>
      <c r="M20" s="95"/>
      <c r="N20" s="140"/>
      <c r="O20" s="141"/>
      <c r="P20" s="142"/>
      <c r="S20" s="3"/>
    </row>
    <row r="21" spans="1:19" x14ac:dyDescent="0.3">
      <c r="A21" s="101"/>
      <c r="B21" s="66">
        <v>50</v>
      </c>
      <c r="C21" s="71">
        <v>0.5</v>
      </c>
      <c r="D21" s="71">
        <v>0.75</v>
      </c>
      <c r="E21" s="71"/>
      <c r="F21" s="168"/>
      <c r="G21" s="75">
        <v>0.65</v>
      </c>
      <c r="H21" s="168"/>
      <c r="I21" s="91"/>
      <c r="J21" s="96">
        <v>21</v>
      </c>
      <c r="K21" s="96">
        <v>21</v>
      </c>
      <c r="L21" s="96">
        <v>60</v>
      </c>
      <c r="M21" s="96"/>
      <c r="N21" s="140"/>
      <c r="O21" s="141"/>
      <c r="P21" s="142"/>
    </row>
    <row r="22" spans="1:19" x14ac:dyDescent="0.3">
      <c r="A22" s="102"/>
      <c r="B22" s="67">
        <v>90</v>
      </c>
      <c r="C22" s="72">
        <v>1</v>
      </c>
      <c r="D22" s="72">
        <v>1</v>
      </c>
      <c r="E22" s="72"/>
      <c r="F22" s="169"/>
      <c r="G22" s="76">
        <v>0.9</v>
      </c>
      <c r="H22" s="169"/>
      <c r="I22" s="92"/>
      <c r="J22" s="97">
        <v>30</v>
      </c>
      <c r="K22" s="97">
        <v>30</v>
      </c>
      <c r="L22" s="97">
        <v>90</v>
      </c>
      <c r="M22" s="97"/>
      <c r="N22" s="140"/>
      <c r="O22" s="141"/>
      <c r="P22" s="142"/>
    </row>
    <row r="23" spans="1:19" x14ac:dyDescent="0.3">
      <c r="A23" s="54"/>
      <c r="B23" s="8"/>
      <c r="C23" s="8"/>
      <c r="D23" s="8"/>
      <c r="E23" s="8"/>
      <c r="F23" s="8"/>
      <c r="G23" s="8"/>
      <c r="H23" s="8"/>
      <c r="I23" s="8"/>
      <c r="J23" s="8"/>
      <c r="K23" s="8"/>
      <c r="L23" s="8"/>
      <c r="M23" s="8"/>
      <c r="N23" s="8"/>
      <c r="O23" s="8"/>
      <c r="P23" s="51"/>
    </row>
    <row r="24" spans="1:19" ht="15.6" customHeight="1" x14ac:dyDescent="0.3">
      <c r="A24" s="55" t="s">
        <v>51</v>
      </c>
      <c r="B24" s="56"/>
      <c r="C24" s="56"/>
      <c r="D24" s="56"/>
      <c r="E24" s="56"/>
      <c r="F24" s="56"/>
      <c r="G24" s="56"/>
      <c r="H24" s="56"/>
      <c r="I24" s="56"/>
      <c r="J24" s="56"/>
      <c r="K24" s="56"/>
      <c r="L24" s="56"/>
      <c r="M24" s="56"/>
      <c r="N24" s="56"/>
      <c r="O24" s="56"/>
      <c r="P24" s="57"/>
    </row>
    <row r="25" spans="1:19" x14ac:dyDescent="0.3">
      <c r="A25" s="128" t="s">
        <v>70</v>
      </c>
      <c r="B25" s="129"/>
      <c r="C25" s="129"/>
      <c r="D25" s="129"/>
      <c r="E25" s="129"/>
      <c r="F25" s="129"/>
      <c r="G25" s="129"/>
      <c r="H25" s="129"/>
      <c r="I25" s="129"/>
      <c r="J25" s="129"/>
      <c r="K25" s="129"/>
      <c r="L25" s="129"/>
      <c r="M25" s="129"/>
      <c r="N25" s="129"/>
      <c r="O25" s="129"/>
      <c r="P25" s="130"/>
    </row>
    <row r="26" spans="1:19" ht="14.4" customHeight="1" x14ac:dyDescent="0.3">
      <c r="A26" s="131"/>
      <c r="B26" s="132"/>
      <c r="C26" s="132"/>
      <c r="D26" s="132"/>
      <c r="E26" s="132"/>
      <c r="F26" s="132"/>
      <c r="G26" s="132"/>
      <c r="H26" s="132"/>
      <c r="I26" s="132"/>
      <c r="J26" s="132"/>
      <c r="K26" s="132"/>
      <c r="L26" s="132"/>
      <c r="M26" s="132"/>
      <c r="N26" s="132"/>
      <c r="O26" s="132"/>
      <c r="P26" s="133"/>
    </row>
    <row r="27" spans="1:19" ht="14.4" customHeight="1" x14ac:dyDescent="0.3">
      <c r="A27" s="131"/>
      <c r="B27" s="132"/>
      <c r="C27" s="132"/>
      <c r="D27" s="132"/>
      <c r="E27" s="132"/>
      <c r="F27" s="132"/>
      <c r="G27" s="132"/>
      <c r="H27" s="132"/>
      <c r="I27" s="132"/>
      <c r="J27" s="132"/>
      <c r="K27" s="132"/>
      <c r="L27" s="132"/>
      <c r="M27" s="132"/>
      <c r="N27" s="132"/>
      <c r="O27" s="132"/>
      <c r="P27" s="133"/>
    </row>
    <row r="28" spans="1:19" ht="14.4" customHeight="1" x14ac:dyDescent="0.3">
      <c r="A28" s="131"/>
      <c r="B28" s="132"/>
      <c r="C28" s="132"/>
      <c r="D28" s="132"/>
      <c r="E28" s="132"/>
      <c r="F28" s="132"/>
      <c r="G28" s="132"/>
      <c r="H28" s="132"/>
      <c r="I28" s="132"/>
      <c r="J28" s="132"/>
      <c r="K28" s="132"/>
      <c r="L28" s="132"/>
      <c r="M28" s="132"/>
      <c r="N28" s="132"/>
      <c r="O28" s="132"/>
      <c r="P28" s="133"/>
    </row>
    <row r="29" spans="1:19" ht="15.6" customHeight="1" x14ac:dyDescent="0.3">
      <c r="A29" s="131"/>
      <c r="B29" s="132"/>
      <c r="C29" s="132"/>
      <c r="D29" s="132"/>
      <c r="E29" s="132"/>
      <c r="F29" s="132"/>
      <c r="G29" s="132"/>
      <c r="H29" s="132"/>
      <c r="I29" s="132"/>
      <c r="J29" s="132"/>
      <c r="K29" s="132"/>
      <c r="L29" s="132"/>
      <c r="M29" s="132"/>
      <c r="N29" s="132"/>
      <c r="O29" s="132"/>
      <c r="P29" s="133"/>
    </row>
    <row r="30" spans="1:19" ht="14.4" customHeight="1" x14ac:dyDescent="0.3">
      <c r="A30" s="131"/>
      <c r="B30" s="132"/>
      <c r="C30" s="132"/>
      <c r="D30" s="132"/>
      <c r="E30" s="132"/>
      <c r="F30" s="132"/>
      <c r="G30" s="132"/>
      <c r="H30" s="132"/>
      <c r="I30" s="132"/>
      <c r="J30" s="132"/>
      <c r="K30" s="132"/>
      <c r="L30" s="132"/>
      <c r="M30" s="132"/>
      <c r="N30" s="132"/>
      <c r="O30" s="132"/>
      <c r="P30" s="133"/>
    </row>
    <row r="31" spans="1:19" ht="14.4" customHeight="1" x14ac:dyDescent="0.3">
      <c r="A31" s="131"/>
      <c r="B31" s="132"/>
      <c r="C31" s="132"/>
      <c r="D31" s="132"/>
      <c r="E31" s="132"/>
      <c r="F31" s="132"/>
      <c r="G31" s="132"/>
      <c r="H31" s="132"/>
      <c r="I31" s="132"/>
      <c r="J31" s="132"/>
      <c r="K31" s="132"/>
      <c r="L31" s="132"/>
      <c r="M31" s="132"/>
      <c r="N31" s="132"/>
      <c r="O31" s="132"/>
      <c r="P31" s="133"/>
    </row>
    <row r="32" spans="1:19" x14ac:dyDescent="0.3">
      <c r="A32" s="131"/>
      <c r="B32" s="132"/>
      <c r="C32" s="132"/>
      <c r="D32" s="132"/>
      <c r="E32" s="132"/>
      <c r="F32" s="132"/>
      <c r="G32" s="132"/>
      <c r="H32" s="132"/>
      <c r="I32" s="132"/>
      <c r="J32" s="132"/>
      <c r="K32" s="132"/>
      <c r="L32" s="132"/>
      <c r="M32" s="132"/>
      <c r="N32" s="132"/>
      <c r="O32" s="132"/>
      <c r="P32" s="133"/>
    </row>
    <row r="33" spans="1:16" x14ac:dyDescent="0.3">
      <c r="A33" s="131"/>
      <c r="B33" s="132"/>
      <c r="C33" s="132"/>
      <c r="D33" s="132"/>
      <c r="E33" s="132"/>
      <c r="F33" s="132"/>
      <c r="G33" s="132"/>
      <c r="H33" s="132"/>
      <c r="I33" s="132"/>
      <c r="J33" s="132"/>
      <c r="K33" s="132"/>
      <c r="L33" s="132"/>
      <c r="M33" s="132"/>
      <c r="N33" s="132"/>
      <c r="O33" s="132"/>
      <c r="P33" s="133"/>
    </row>
    <row r="34" spans="1:16" x14ac:dyDescent="0.3">
      <c r="A34" s="131"/>
      <c r="B34" s="132"/>
      <c r="C34" s="132"/>
      <c r="D34" s="132"/>
      <c r="E34" s="132"/>
      <c r="F34" s="132"/>
      <c r="G34" s="132"/>
      <c r="H34" s="132"/>
      <c r="I34" s="132"/>
      <c r="J34" s="132"/>
      <c r="K34" s="132"/>
      <c r="L34" s="132"/>
      <c r="M34" s="132"/>
      <c r="N34" s="132"/>
      <c r="O34" s="132"/>
      <c r="P34" s="133"/>
    </row>
    <row r="35" spans="1:16" x14ac:dyDescent="0.3">
      <c r="A35" s="131"/>
      <c r="B35" s="132"/>
      <c r="C35" s="132"/>
      <c r="D35" s="132"/>
      <c r="E35" s="132"/>
      <c r="F35" s="132"/>
      <c r="G35" s="132"/>
      <c r="H35" s="132"/>
      <c r="I35" s="132"/>
      <c r="J35" s="132"/>
      <c r="K35" s="132"/>
      <c r="L35" s="132"/>
      <c r="M35" s="132"/>
      <c r="N35" s="132"/>
      <c r="O35" s="132"/>
      <c r="P35" s="133"/>
    </row>
    <row r="36" spans="1:16" x14ac:dyDescent="0.3">
      <c r="A36" s="131"/>
      <c r="B36" s="132"/>
      <c r="C36" s="132"/>
      <c r="D36" s="132"/>
      <c r="E36" s="132"/>
      <c r="F36" s="132"/>
      <c r="G36" s="132"/>
      <c r="H36" s="132"/>
      <c r="I36" s="132"/>
      <c r="J36" s="132"/>
      <c r="K36" s="132"/>
      <c r="L36" s="132"/>
      <c r="M36" s="132"/>
      <c r="N36" s="132"/>
      <c r="O36" s="132"/>
      <c r="P36" s="133"/>
    </row>
    <row r="37" spans="1:16" x14ac:dyDescent="0.3">
      <c r="A37" s="131"/>
      <c r="B37" s="132"/>
      <c r="C37" s="132"/>
      <c r="D37" s="132"/>
      <c r="E37" s="132"/>
      <c r="F37" s="132"/>
      <c r="G37" s="132"/>
      <c r="H37" s="132"/>
      <c r="I37" s="132"/>
      <c r="J37" s="132"/>
      <c r="K37" s="132"/>
      <c r="L37" s="132"/>
      <c r="M37" s="132"/>
      <c r="N37" s="132"/>
      <c r="O37" s="132"/>
      <c r="P37" s="133"/>
    </row>
    <row r="38" spans="1:16" x14ac:dyDescent="0.3">
      <c r="A38" s="131"/>
      <c r="B38" s="132"/>
      <c r="C38" s="132"/>
      <c r="D38" s="132"/>
      <c r="E38" s="132"/>
      <c r="F38" s="132"/>
      <c r="G38" s="132"/>
      <c r="H38" s="132"/>
      <c r="I38" s="132"/>
      <c r="J38" s="132"/>
      <c r="K38" s="132"/>
      <c r="L38" s="132"/>
      <c r="M38" s="132"/>
      <c r="N38" s="132"/>
      <c r="O38" s="132"/>
      <c r="P38" s="133"/>
    </row>
    <row r="39" spans="1:16" x14ac:dyDescent="0.3">
      <c r="A39" s="131"/>
      <c r="B39" s="132"/>
      <c r="C39" s="132"/>
      <c r="D39" s="132"/>
      <c r="E39" s="132"/>
      <c r="F39" s="132"/>
      <c r="G39" s="132"/>
      <c r="H39" s="132"/>
      <c r="I39" s="132"/>
      <c r="J39" s="132"/>
      <c r="K39" s="132"/>
      <c r="L39" s="132"/>
      <c r="M39" s="132"/>
      <c r="N39" s="132"/>
      <c r="O39" s="132"/>
      <c r="P39" s="133"/>
    </row>
    <row r="40" spans="1:16" ht="15" thickBot="1" x14ac:dyDescent="0.35">
      <c r="A40" s="134"/>
      <c r="B40" s="135"/>
      <c r="C40" s="135"/>
      <c r="D40" s="135"/>
      <c r="E40" s="135"/>
      <c r="F40" s="135"/>
      <c r="G40" s="135"/>
      <c r="H40" s="135"/>
      <c r="I40" s="135"/>
      <c r="J40" s="135"/>
      <c r="K40" s="135"/>
      <c r="L40" s="135"/>
      <c r="M40" s="135"/>
      <c r="N40" s="135"/>
      <c r="O40" s="135"/>
      <c r="P40" s="136"/>
    </row>
    <row r="41" spans="1:16" ht="15" thickTop="1" x14ac:dyDescent="0.3"/>
    <row r="99" spans="2:17" ht="15" customHeight="1" x14ac:dyDescent="0.3">
      <c r="B99" t="s">
        <v>27</v>
      </c>
      <c r="Q99" s="1"/>
    </row>
    <row r="100" spans="2:17" x14ac:dyDescent="0.3">
      <c r="B100" s="81"/>
      <c r="C100" s="81"/>
      <c r="D100" s="81"/>
      <c r="E100" s="81"/>
      <c r="F100" s="81" t="s">
        <v>64</v>
      </c>
      <c r="G100" s="81"/>
      <c r="H100" s="82" t="s">
        <v>29</v>
      </c>
      <c r="I100" s="83" t="s">
        <v>49</v>
      </c>
      <c r="Q100" s="1"/>
    </row>
    <row r="101" spans="2:17" x14ac:dyDescent="0.3">
      <c r="B101" s="6" t="s">
        <v>3</v>
      </c>
      <c r="C101" s="6"/>
      <c r="D101" s="6" t="s">
        <v>14</v>
      </c>
      <c r="E101" s="6"/>
      <c r="F101" s="6"/>
      <c r="G101" s="6"/>
      <c r="H101" s="84" t="s">
        <v>32</v>
      </c>
      <c r="I101" s="85" t="s">
        <v>38</v>
      </c>
      <c r="J101" s="87"/>
      <c r="Q101" s="1"/>
    </row>
    <row r="102" spans="2:17" x14ac:dyDescent="0.3">
      <c r="B102" s="6" t="s">
        <v>13</v>
      </c>
      <c r="C102" s="6"/>
      <c r="D102" s="6" t="s">
        <v>15</v>
      </c>
      <c r="E102" s="6"/>
      <c r="F102" s="6" t="s">
        <v>63</v>
      </c>
      <c r="G102" s="6"/>
      <c r="H102" s="84" t="s">
        <v>33</v>
      </c>
      <c r="I102" s="85" t="s">
        <v>39</v>
      </c>
      <c r="J102" s="87"/>
    </row>
    <row r="103" spans="2:17" x14ac:dyDescent="0.3">
      <c r="B103" s="6" t="s">
        <v>4</v>
      </c>
      <c r="C103" s="6"/>
      <c r="D103" s="6"/>
      <c r="E103" s="6"/>
      <c r="F103" s="6" t="s">
        <v>17</v>
      </c>
      <c r="G103" s="6"/>
      <c r="H103" s="84" t="s">
        <v>34</v>
      </c>
      <c r="I103" s="85" t="s">
        <v>40</v>
      </c>
      <c r="J103" s="87"/>
    </row>
    <row r="104" spans="2:17" x14ac:dyDescent="0.3">
      <c r="F104" s="6" t="s">
        <v>68</v>
      </c>
      <c r="H104" s="84" t="s">
        <v>35</v>
      </c>
      <c r="I104" s="85" t="s">
        <v>41</v>
      </c>
      <c r="J104" s="87"/>
    </row>
    <row r="105" spans="2:17" x14ac:dyDescent="0.3">
      <c r="F105" s="6"/>
      <c r="H105" s="84"/>
      <c r="I105" s="85" t="s">
        <v>42</v>
      </c>
      <c r="J105" s="87"/>
    </row>
    <row r="106" spans="2:17" x14ac:dyDescent="0.3">
      <c r="H106" s="86"/>
      <c r="I106" s="85" t="s">
        <v>43</v>
      </c>
      <c r="J106" s="87"/>
    </row>
    <row r="107" spans="2:17" x14ac:dyDescent="0.3">
      <c r="H107" s="86"/>
      <c r="I107" s="85" t="s">
        <v>44</v>
      </c>
      <c r="J107" s="87"/>
    </row>
    <row r="108" spans="2:17" x14ac:dyDescent="0.3">
      <c r="H108" s="86"/>
      <c r="I108" s="85" t="s">
        <v>45</v>
      </c>
      <c r="J108" s="87"/>
    </row>
    <row r="109" spans="2:17" x14ac:dyDescent="0.3">
      <c r="H109" s="86"/>
      <c r="I109" s="85" t="s">
        <v>46</v>
      </c>
      <c r="J109" s="87"/>
    </row>
    <row r="110" spans="2:17" x14ac:dyDescent="0.3">
      <c r="H110" s="86"/>
      <c r="I110" s="85" t="s">
        <v>47</v>
      </c>
      <c r="J110" s="87"/>
    </row>
    <row r="111" spans="2:17" x14ac:dyDescent="0.3">
      <c r="H111" s="86"/>
      <c r="I111" s="85" t="s">
        <v>48</v>
      </c>
      <c r="J111" s="87"/>
    </row>
    <row r="112" spans="2:17" x14ac:dyDescent="0.3">
      <c r="H112" s="86"/>
      <c r="I112" s="85" t="s">
        <v>36</v>
      </c>
      <c r="J112" s="87"/>
    </row>
    <row r="196" spans="4:18" ht="15" customHeight="1" x14ac:dyDescent="0.3">
      <c r="D196" s="1" t="s">
        <v>3</v>
      </c>
      <c r="E196" s="1"/>
      <c r="F196" s="1"/>
      <c r="I196" s="1" t="s">
        <v>14</v>
      </c>
      <c r="J196" s="1"/>
      <c r="K196" s="1"/>
      <c r="L196" s="1"/>
      <c r="M196" s="1"/>
      <c r="N196" s="1"/>
      <c r="O196" s="1"/>
      <c r="R196" s="1" t="s">
        <v>16</v>
      </c>
    </row>
    <row r="197" spans="4:18" x14ac:dyDescent="0.3">
      <c r="D197" s="1" t="s">
        <v>13</v>
      </c>
      <c r="E197" s="1"/>
      <c r="F197" s="1"/>
      <c r="I197" s="1" t="s">
        <v>15</v>
      </c>
      <c r="J197" s="1"/>
      <c r="K197" s="1"/>
      <c r="L197" s="1"/>
      <c r="M197" s="1"/>
      <c r="N197" s="1"/>
      <c r="O197" s="1"/>
      <c r="R197" s="1" t="s">
        <v>17</v>
      </c>
    </row>
    <row r="198" spans="4:18" x14ac:dyDescent="0.3">
      <c r="D198" s="1" t="s">
        <v>4</v>
      </c>
      <c r="E198" s="1"/>
      <c r="F198" s="1"/>
      <c r="R198" s="1" t="s">
        <v>18</v>
      </c>
    </row>
  </sheetData>
  <dataConsolidate/>
  <mergeCells count="38">
    <mergeCell ref="A9:D9"/>
    <mergeCell ref="F9:H10"/>
    <mergeCell ref="A6:B6"/>
    <mergeCell ref="A5:B5"/>
    <mergeCell ref="A7:B7"/>
    <mergeCell ref="A3:B4"/>
    <mergeCell ref="C3:H4"/>
    <mergeCell ref="I3:J4"/>
    <mergeCell ref="N5:P6"/>
    <mergeCell ref="L5:M5"/>
    <mergeCell ref="K3:P4"/>
    <mergeCell ref="L7:M7"/>
    <mergeCell ref="F11:H11"/>
    <mergeCell ref="N11:P11"/>
    <mergeCell ref="N9:P10"/>
    <mergeCell ref="I9:M9"/>
    <mergeCell ref="I7:J7"/>
    <mergeCell ref="F17:H17"/>
    <mergeCell ref="N12:P12"/>
    <mergeCell ref="N13:P13"/>
    <mergeCell ref="N14:P14"/>
    <mergeCell ref="F14:H14"/>
    <mergeCell ref="A25:P40"/>
    <mergeCell ref="N16:P22"/>
    <mergeCell ref="A1:P1"/>
    <mergeCell ref="F5:H6"/>
    <mergeCell ref="C6:D6"/>
    <mergeCell ref="L6:M6"/>
    <mergeCell ref="A2:B2"/>
    <mergeCell ref="A16:D16"/>
    <mergeCell ref="I16:M16"/>
    <mergeCell ref="F16:H16"/>
    <mergeCell ref="F12:H12"/>
    <mergeCell ref="F13:H13"/>
    <mergeCell ref="C5:D5"/>
    <mergeCell ref="C7:H7"/>
    <mergeCell ref="F18:F22"/>
    <mergeCell ref="H18:H22"/>
  </mergeCells>
  <dataValidations count="1">
    <dataValidation allowBlank="1" showErrorMessage="1" sqref="H100 B99 B41:B97 C41:C99 H114:I1048576 A41:A1048576 K105:P1048576 N11:N16 J10:M15 N9 K41:P98 J17:M22 Q2:XFD1048576 C2:P2 A2:A3 I7:L7 A7:C7 A8:H8 F5 J8:P8 F9 B10:E15 I3 F11:H15 J104:J1048576 A9:A14 C18:H22 C17:F17 O11:P15 B23:P23 I8:I22 B17:B22 A16:A24 D41:J97 B101:B1048576 C100:G1048576 N5 C3"/>
  </dataValidations>
  <printOptions horizontalCentered="1" verticalCentered="1"/>
  <pageMargins left="0.25" right="0.25" top="0.5" bottom="0.5" header="0.3" footer="0.3"/>
  <pageSetup paperSize="3" scale="95" orientation="landscape" horizontalDpi="1200" verticalDpi="12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180"/>
  <sheetViews>
    <sheetView zoomScale="65" zoomScaleNormal="65" zoomScaleSheetLayoutView="90" workbookViewId="0">
      <selection activeCell="Y17" sqref="Y17"/>
    </sheetView>
  </sheetViews>
  <sheetFormatPr defaultRowHeight="14.4" x14ac:dyDescent="0.3"/>
  <cols>
    <col min="1" max="1" width="4.44140625" customWidth="1"/>
    <col min="2" max="2" width="5.6640625" customWidth="1"/>
    <col min="3" max="3" width="14.6640625" customWidth="1"/>
    <col min="4" max="4" width="10" customWidth="1"/>
    <col min="5" max="5" width="18.5546875" customWidth="1"/>
    <col min="6" max="6" width="50.6640625" customWidth="1"/>
    <col min="7" max="7" width="10" customWidth="1"/>
    <col min="8" max="8" width="10.6640625" customWidth="1"/>
    <col min="9" max="10" width="9.5546875" customWidth="1"/>
    <col min="11" max="11" width="4.44140625" bestFit="1" customWidth="1"/>
    <col min="12" max="12" width="5.33203125" customWidth="1"/>
    <col min="13" max="18" width="5.6640625" customWidth="1"/>
    <col min="19" max="19" width="44.5546875" customWidth="1"/>
    <col min="20" max="20" width="27.88671875" customWidth="1"/>
    <col min="21" max="21" width="55.6640625" customWidth="1"/>
    <col min="22" max="22" width="9.109375" customWidth="1"/>
  </cols>
  <sheetData>
    <row r="1" spans="1:21" ht="20.399999999999999" customHeight="1" x14ac:dyDescent="0.3"/>
    <row r="2" spans="1:21" ht="19.5" customHeight="1" x14ac:dyDescent="0.3"/>
    <row r="3" spans="1:21" ht="34.5" customHeight="1" x14ac:dyDescent="0.3">
      <c r="A3" s="253" t="str">
        <f>'Input Data'!$C$3</f>
        <v>Sample project</v>
      </c>
      <c r="B3" s="253"/>
      <c r="C3" s="253"/>
      <c r="D3" s="253"/>
      <c r="E3" s="253"/>
      <c r="F3" s="253"/>
      <c r="G3" s="253"/>
      <c r="H3" s="253"/>
      <c r="I3" s="253"/>
      <c r="J3" s="253"/>
      <c r="K3" s="253"/>
      <c r="L3" s="253"/>
      <c r="M3" s="253"/>
      <c r="N3" s="253"/>
      <c r="O3" s="253"/>
      <c r="P3" s="253"/>
      <c r="Q3" s="253"/>
      <c r="R3" s="253"/>
      <c r="S3" s="253"/>
      <c r="T3" s="121"/>
      <c r="U3" s="8"/>
    </row>
    <row r="4" spans="1:21" ht="20.100000000000001" customHeight="1" x14ac:dyDescent="0.3">
      <c r="A4" s="10"/>
      <c r="B4" s="10"/>
      <c r="C4" s="10"/>
      <c r="D4" s="10"/>
      <c r="E4" s="10"/>
      <c r="F4" s="10"/>
      <c r="G4" s="7"/>
      <c r="H4" s="7"/>
      <c r="I4" s="7"/>
      <c r="J4" s="8"/>
      <c r="K4" s="8"/>
      <c r="L4" s="8"/>
      <c r="M4" s="8"/>
      <c r="N4" s="8"/>
      <c r="O4" s="9"/>
      <c r="P4" s="8"/>
      <c r="Q4" s="8"/>
      <c r="R4" s="8"/>
      <c r="S4" s="8"/>
      <c r="T4" s="8"/>
      <c r="U4" s="8"/>
    </row>
    <row r="5" spans="1:21" ht="20.100000000000001" customHeight="1" x14ac:dyDescent="0.3">
      <c r="A5" s="3"/>
      <c r="B5" s="3"/>
      <c r="C5" s="3"/>
      <c r="D5" s="3"/>
      <c r="E5" s="3"/>
      <c r="F5" s="3"/>
      <c r="G5" s="3"/>
      <c r="H5" s="3"/>
      <c r="I5" s="3"/>
      <c r="J5" s="3"/>
      <c r="K5" s="3"/>
      <c r="L5" s="3"/>
      <c r="M5" s="3"/>
    </row>
    <row r="6" spans="1:21" ht="20.100000000000001" customHeight="1" x14ac:dyDescent="0.3">
      <c r="A6" s="228" t="s">
        <v>0</v>
      </c>
      <c r="B6" s="228"/>
      <c r="C6" s="228"/>
      <c r="D6" s="228"/>
      <c r="E6" s="228"/>
      <c r="F6" s="228"/>
      <c r="G6" s="229"/>
      <c r="H6" s="230" t="s">
        <v>1</v>
      </c>
      <c r="I6" s="230"/>
      <c r="J6" s="230"/>
      <c r="K6" s="230"/>
      <c r="L6" s="230"/>
      <c r="M6" s="230"/>
      <c r="N6" s="230"/>
      <c r="O6" s="230"/>
      <c r="P6" s="230"/>
      <c r="Q6" s="230"/>
      <c r="R6" s="231" t="s">
        <v>28</v>
      </c>
      <c r="S6" s="232"/>
      <c r="T6" s="232"/>
      <c r="U6" s="233"/>
    </row>
    <row r="7" spans="1:21" ht="91.95" customHeight="1" thickBot="1" x14ac:dyDescent="0.35">
      <c r="A7" s="32" t="s">
        <v>12</v>
      </c>
      <c r="B7" s="32" t="s">
        <v>2</v>
      </c>
      <c r="C7" s="32" t="s">
        <v>19</v>
      </c>
      <c r="D7" s="32" t="s">
        <v>8</v>
      </c>
      <c r="E7" s="12" t="s">
        <v>9</v>
      </c>
      <c r="F7" s="12" t="s">
        <v>7</v>
      </c>
      <c r="G7" s="13" t="s">
        <v>37</v>
      </c>
      <c r="H7" s="14" t="s">
        <v>22</v>
      </c>
      <c r="I7" s="14" t="s">
        <v>20</v>
      </c>
      <c r="J7" s="14" t="s">
        <v>10</v>
      </c>
      <c r="K7" s="234" t="s">
        <v>26</v>
      </c>
      <c r="L7" s="234"/>
      <c r="M7" s="235"/>
      <c r="N7" s="235"/>
      <c r="O7" s="235"/>
      <c r="P7" s="235"/>
      <c r="Q7" s="235"/>
      <c r="R7" s="37" t="s">
        <v>29</v>
      </c>
      <c r="S7" s="11" t="s">
        <v>30</v>
      </c>
      <c r="T7" s="226" t="s">
        <v>31</v>
      </c>
      <c r="U7" s="227"/>
    </row>
    <row r="8" spans="1:21" ht="22.95" customHeight="1" x14ac:dyDescent="0.3">
      <c r="A8" s="236">
        <v>1</v>
      </c>
      <c r="B8" s="238"/>
      <c r="C8" s="240"/>
      <c r="D8" s="238"/>
      <c r="E8" s="242"/>
      <c r="F8" s="244"/>
      <c r="G8" s="242"/>
      <c r="H8" s="242"/>
      <c r="I8" s="242"/>
      <c r="J8" s="242"/>
      <c r="K8" s="246" t="s">
        <v>22</v>
      </c>
      <c r="L8" s="4" t="s">
        <v>23</v>
      </c>
      <c r="M8" s="15" t="e">
        <f ca="1">IF(AND(MATCH($H8,LIKELIHOOD,0)=(5-ROW()+ROW($A8)),MATCH($I8,OFFSET(SCHED_IMPACT_PDE,0,MATCH($G8,ACTIVITY_IMPACTED,0)-1),0)=(COLUMN()-COLUMN($M8)+1)),"S","") &amp;  IF(AND(MATCH($H8,LIKELIHOOD,0)=(5-ROW()+ROW($A8)),MATCH($J8,OFFSET(COST_IMPACT_PDE,0,MATCH($G8,ACTIVITY_IMPACTED,0)-1),0)=(COLUMN()-COLUMN($M8)+1)),"C","")</f>
        <v>#N/A</v>
      </c>
      <c r="N8" s="16" t="e">
        <f ca="1">IF(AND(MATCH($H8,LIKELIHOOD,0)=(5-ROW()+ROW($A8)),MATCH($I8,OFFSET(SCHED_IMPACT_PDE,0,MATCH($G8,ACTIVITY_IMPACTED,0)-1),0)=(COLUMN()-COLUMN($M8)+1)),"S","") &amp;  IF(AND(MATCH($H8,LIKELIHOOD,0)=(5-ROW()+ROW($A8)),MATCH($J8,OFFSET(COST_IMPACT_PDE,0,MATCH($G8,ACTIVITY_IMPACTED,0)-1),0)=(COLUMN()-COLUMN($M8)+1)),"C","")</f>
        <v>#N/A</v>
      </c>
      <c r="O8" s="17" t="e">
        <f ca="1">IF(AND(MATCH($H8,LIKELIHOOD,0)=(5-ROW()+ROW($A8)),MATCH($I8,OFFSET(SCHED_IMPACT_PDE,0,MATCH($G8,ACTIVITY_IMPACTED,0)-1),0)=(COLUMN()-COLUMN($M8)+1)),"S","") &amp;  IF(AND(MATCH($H8,LIKELIHOOD,0)=(5-ROW()+ROW($A8)),MATCH($J8,OFFSET(COST_IMPACT_PDE,0,MATCH($G8,ACTIVITY_IMPACTED,0)-1),0)=(COLUMN()-COLUMN($M8)+1)),"C","")</f>
        <v>#N/A</v>
      </c>
      <c r="P8" s="17" t="e">
        <f ca="1">IF(AND(MATCH($H8,LIKELIHOOD,0)=(5-ROW()+ROW($A8)),MATCH($I8,OFFSET(SCHED_IMPACT_PDE,0,MATCH($G8,ACTIVITY_IMPACTED,0)-1),0)=(COLUMN()-COLUMN($M8)+1)),"S","") &amp;  IF(AND(MATCH($H8,LIKELIHOOD,0)=(5-ROW()+ROW($A8)),MATCH($J8,OFFSET(COST_IMPACT_PDE,0,MATCH($G8,ACTIVITY_IMPACTED,0)-1),0)=(COLUMN()-COLUMN($M8)+1)),"C","")</f>
        <v>#N/A</v>
      </c>
      <c r="Q8" s="18" t="e">
        <f ca="1">IF(AND(MATCH($H8,LIKELIHOOD,0)=(5-ROW()+ROW($A8)),MATCH($I8,OFFSET(SCHED_IMPACT_PDE,0,MATCH($G8,ACTIVITY_IMPACTED,0)-1),0)=(COLUMN()-COLUMN($M8)+1)),"S","") &amp;  IF(AND(MATCH($H8,LIKELIHOOD,0)=(5-ROW()+ROW($A8)),MATCH($J8,OFFSET(COST_IMPACT_PDE,0,MATCH($G8,ACTIVITY_IMPACTED,0)-1),0)=(COLUMN()-COLUMN($M8)+1)),"C","")</f>
        <v>#N/A</v>
      </c>
      <c r="R8" s="247"/>
      <c r="S8" s="250"/>
      <c r="T8" s="221"/>
      <c r="U8" s="224"/>
    </row>
    <row r="9" spans="1:21" ht="22.95" customHeight="1" x14ac:dyDescent="0.3">
      <c r="A9" s="237"/>
      <c r="B9" s="239"/>
      <c r="C9" s="241"/>
      <c r="D9" s="239"/>
      <c r="E9" s="243"/>
      <c r="F9" s="245"/>
      <c r="G9" s="243"/>
      <c r="H9" s="243"/>
      <c r="I9" s="243"/>
      <c r="J9" s="243"/>
      <c r="K9" s="246"/>
      <c r="L9" s="4" t="s">
        <v>5</v>
      </c>
      <c r="M9" s="19" t="e">
        <f ca="1">IF(AND(MATCH($H8,LIKELIHOOD,0)=(5-ROW()+ROW($A8)),MATCH($I8,OFFSET(SCHED_IMPACT_PDE,0,MATCH($G8,ACTIVITY_IMPACTED,0)-1),0)=(COLUMN()-COLUMN($M8)+1)),"S","") &amp;  IF(AND(MATCH($H8,LIKELIHOOD,0)=(5-ROW()+ROW($A8)),MATCH($J8,OFFSET(COST_IMPACT_PDE,0,MATCH($G8,ACTIVITY_IMPACTED,0)-1),0)=(COLUMN()-COLUMN($M8)+1)),"C","")</f>
        <v>#N/A</v>
      </c>
      <c r="N9" s="20" t="e">
        <f ca="1">IF(AND(MATCH($H8,LIKELIHOOD,0)=(5-ROW()+ROW($A8)),MATCH($I8,OFFSET(SCHED_IMPACT_PDE,0,MATCH($G8,ACTIVITY_IMPACTED,0)-1),0)=(COLUMN()-COLUMN($M8)+1)),"S","") &amp;  IF(AND(MATCH($H8,LIKELIHOOD,0)=(5-ROW()+ROW($A8)),MATCH($J8,OFFSET(COST_IMPACT_PDE,0,MATCH($G8,ACTIVITY_IMPACTED,0)-1),0)=(COLUMN()-COLUMN($M8)+1)),"C","")</f>
        <v>#N/A</v>
      </c>
      <c r="O9" s="21" t="e">
        <f ca="1">IF(AND(MATCH($H8,LIKELIHOOD,0)=(5-ROW()+ROW($A8)),MATCH($I8,OFFSET(SCHED_IMPACT_PDE,0,MATCH($G8,ACTIVITY_IMPACTED,0)-1),0)=(COLUMN()-COLUMN($M8)+1)),"S","") &amp;  IF(AND(MATCH($H8,LIKELIHOOD,0)=(5-ROW()+ROW($A8)),MATCH($J8,OFFSET(COST_IMPACT_PDE,0,MATCH($G8,ACTIVITY_IMPACTED,0)-1),0)=(COLUMN()-COLUMN($M8)+1)),"C","")</f>
        <v>#N/A</v>
      </c>
      <c r="P9" s="21" t="e">
        <f ca="1">IF(AND(MATCH($H8,LIKELIHOOD,0)=(5-ROW()+ROW($A8)),MATCH($I8,OFFSET(SCHED_IMPACT_PDE,0,MATCH($G8,ACTIVITY_IMPACTED,0)-1),0)=(COLUMN()-COLUMN($M8)+1)),"S","") &amp;  IF(AND(MATCH($H8,LIKELIHOOD,0)=(5-ROW()+ROW($A8)),MATCH($J8,OFFSET(COST_IMPACT_PDE,0,MATCH($G8,ACTIVITY_IMPACTED,0)-1),0)=(COLUMN()-COLUMN($M8)+1)),"C","")</f>
        <v>#N/A</v>
      </c>
      <c r="Q9" s="22" t="e">
        <f ca="1">IF(AND(MATCH($H8,LIKELIHOOD,0)=(5-ROW()+ROW($A8)),MATCH($I8,OFFSET(SCHED_IMPACT_PDE,0,MATCH($G8,ACTIVITY_IMPACTED,0)-1),0)=(COLUMN()-COLUMN($M8)+1)),"S","") &amp;  IF(AND(MATCH($H8,LIKELIHOOD,0)=(5-ROW()+ROW($A8)),MATCH($J8,OFFSET(COST_IMPACT_PDE,0,MATCH($G8,ACTIVITY_IMPACTED,0)-1),0)=(COLUMN()-COLUMN($M8)+1)),"C","")</f>
        <v>#N/A</v>
      </c>
      <c r="R9" s="248"/>
      <c r="S9" s="251"/>
      <c r="T9" s="222"/>
      <c r="U9" s="225"/>
    </row>
    <row r="10" spans="1:21" ht="22.95" customHeight="1" x14ac:dyDescent="0.3">
      <c r="A10" s="237"/>
      <c r="B10" s="239"/>
      <c r="C10" s="241"/>
      <c r="D10" s="239"/>
      <c r="E10" s="243"/>
      <c r="F10" s="245"/>
      <c r="G10" s="243"/>
      <c r="H10" s="243"/>
      <c r="I10" s="243"/>
      <c r="J10" s="243"/>
      <c r="K10" s="246"/>
      <c r="L10" s="4" t="s">
        <v>11</v>
      </c>
      <c r="M10" s="19" t="e">
        <f ca="1">IF(AND(MATCH($H8,LIKELIHOOD,0)=(5-ROW()+ROW($A8)),MATCH($I8,OFFSET(SCHED_IMPACT_PDE,0,MATCH($G8,ACTIVITY_IMPACTED,0)-1),0)=(COLUMN()-COLUMN($M8)+1)),"S","") &amp;  IF(AND(MATCH($H8,LIKELIHOOD,0)=(5-ROW()+ROW($A8)),MATCH($J8,OFFSET(COST_IMPACT_PDE,0,MATCH($G8,ACTIVITY_IMPACTED,0)-1),0)=(COLUMN()-COLUMN($M8)+1)),"C","")</f>
        <v>#N/A</v>
      </c>
      <c r="N10" s="23" t="e">
        <f ca="1">IF(AND(MATCH($H8,LIKELIHOOD,0)=(5-ROW()+ROW($A8)),MATCH($I8,OFFSET(SCHED_IMPACT_PDE,0,MATCH($G8,ACTIVITY_IMPACTED,0)-1),0)=(COLUMN()-COLUMN($M8)+1)),"S","") &amp;  IF(AND(MATCH($H8,LIKELIHOOD,0)=(5-ROW()+ROW($A8)),MATCH($J8,OFFSET(COST_IMPACT_PDE,0,MATCH($G8,ACTIVITY_IMPACTED,0)-1),0)=(COLUMN()-COLUMN($M8)+1)),"C","")</f>
        <v>#N/A</v>
      </c>
      <c r="O10" s="20" t="e">
        <f ca="1">IF(AND(MATCH($H8,LIKELIHOOD,0)=(5-ROW()+ROW($A8)),MATCH($I8,OFFSET(SCHED_IMPACT_PDE,0,MATCH($G8,ACTIVITY_IMPACTED,0)-1),0)=(COLUMN()-COLUMN($M8)+1)),"S","") &amp;  IF(AND(MATCH($H8,LIKELIHOOD,0)=(5-ROW()+ROW($A8)),MATCH($J8,OFFSET(COST_IMPACT_PDE,0,MATCH($G8,ACTIVITY_IMPACTED,0)-1),0)=(COLUMN()-COLUMN($M8)+1)),"C","")</f>
        <v>#N/A</v>
      </c>
      <c r="P10" s="21" t="e">
        <f ca="1">IF(AND(MATCH($H8,LIKELIHOOD,0)=(5-ROW()+ROW($A8)),MATCH($I8,OFFSET(SCHED_IMPACT_PDE,0,MATCH($G8,ACTIVITY_IMPACTED,0)-1),0)=(COLUMN()-COLUMN($M8)+1)),"S","") &amp;  IF(AND(MATCH($H8,LIKELIHOOD,0)=(5-ROW()+ROW($A8)),MATCH($J8,OFFSET(COST_IMPACT_PDE,0,MATCH($G8,ACTIVITY_IMPACTED,0)-1),0)=(COLUMN()-COLUMN($M8)+1)),"C","")</f>
        <v>#N/A</v>
      </c>
      <c r="Q10" s="22" t="e">
        <f ca="1">IF(AND(MATCH($H8,LIKELIHOOD,0)=(5-ROW()+ROW($A8)),MATCH($I8,OFFSET(SCHED_IMPACT_PDE,0,MATCH($G8,ACTIVITY_IMPACTED,0)-1),0)=(COLUMN()-COLUMN($M8)+1)),"S","") &amp;  IF(AND(MATCH($H8,LIKELIHOOD,0)=(5-ROW()+ROW($A8)),MATCH($J8,OFFSET(COST_IMPACT_PDE,0,MATCH($G8,ACTIVITY_IMPACTED,0)-1),0)=(COLUMN()-COLUMN($M8)+1)),"C","")</f>
        <v>#N/A</v>
      </c>
      <c r="R10" s="248"/>
      <c r="S10" s="251"/>
      <c r="T10" s="222"/>
      <c r="U10" s="225"/>
    </row>
    <row r="11" spans="1:21" ht="22.95" customHeight="1" x14ac:dyDescent="0.3">
      <c r="A11" s="237"/>
      <c r="B11" s="239"/>
      <c r="C11" s="241"/>
      <c r="D11" s="239"/>
      <c r="E11" s="243"/>
      <c r="F11" s="245"/>
      <c r="G11" s="243"/>
      <c r="H11" s="243"/>
      <c r="I11" s="243"/>
      <c r="J11" s="243"/>
      <c r="K11" s="246"/>
      <c r="L11" s="4" t="s">
        <v>6</v>
      </c>
      <c r="M11" s="19" t="e">
        <f ca="1">IF(AND(MATCH($H8,LIKELIHOOD,0)=(5-ROW()+ROW($A8)),MATCH($I8,OFFSET(SCHED_IMPACT_PDE,0,MATCH($G8,ACTIVITY_IMPACTED,0)-1),0)=(COLUMN()-COLUMN($M8)+1)),"S","") &amp;  IF(AND(MATCH($H8,LIKELIHOOD,0)=(5-ROW()+ROW($A8)),MATCH($J8,OFFSET(COST_IMPACT_PDE,0,MATCH($G8,ACTIVITY_IMPACTED,0)-1),0)=(COLUMN()-COLUMN($M8)+1)),"C","")</f>
        <v>#N/A</v>
      </c>
      <c r="N11" s="23" t="e">
        <f ca="1">IF(AND(MATCH($H8,LIKELIHOOD,0)=(5-ROW()+ROW($A8)),MATCH($I8,OFFSET(SCHED_IMPACT_PDE,0,MATCH($G8,ACTIVITY_IMPACTED,0)-1),0)=(COLUMN()-COLUMN($M8)+1)),"S","") &amp;  IF(AND(MATCH($H8,LIKELIHOOD,0)=(5-ROW()+ROW($A8)),MATCH($J8,OFFSET(COST_IMPACT_PDE,0,MATCH($G8,ACTIVITY_IMPACTED,0)-1),0)=(COLUMN()-COLUMN($M8)+1)),"C","")</f>
        <v>#N/A</v>
      </c>
      <c r="O11" s="20" t="e">
        <f ca="1">IF(AND(MATCH($H8,LIKELIHOOD,0)=(5-ROW()+ROW($A8)),MATCH($I8,OFFSET(SCHED_IMPACT_PDE,0,MATCH($G8,ACTIVITY_IMPACTED,0)-1),0)=(COLUMN()-COLUMN($M8)+1)),"S","") &amp;  IF(AND(MATCH($H8,LIKELIHOOD,0)=(5-ROW()+ROW($A8)),MATCH($J8,OFFSET(COST_IMPACT_PDE,0,MATCH($G8,ACTIVITY_IMPACTED,0)-1),0)=(COLUMN()-COLUMN($M8)+1)),"C","")</f>
        <v>#N/A</v>
      </c>
      <c r="P11" s="21" t="e">
        <f ca="1">IF(AND(MATCH($H8,LIKELIHOOD,0)=(5-ROW()+ROW($A8)),MATCH($I8,OFFSET(SCHED_IMPACT_PDE,0,MATCH($G8,ACTIVITY_IMPACTED,0)-1),0)=(COLUMN()-COLUMN($M8)+1)),"S","") &amp;  IF(AND(MATCH($H8,LIKELIHOOD,0)=(5-ROW()+ROW($A8)),MATCH($J8,OFFSET(COST_IMPACT_PDE,0,MATCH($G8,ACTIVITY_IMPACTED,0)-1),0)=(COLUMN()-COLUMN($M8)+1)),"C","")</f>
        <v>#N/A</v>
      </c>
      <c r="Q11" s="22" t="e">
        <f ca="1">IF(AND(MATCH($H8,LIKELIHOOD,0)=(5-ROW()+ROW($A8)),MATCH($I8,OFFSET(SCHED_IMPACT_PDE,0,MATCH($G8,ACTIVITY_IMPACTED,0)-1),0)=(COLUMN()-COLUMN($M8)+1)),"S","") &amp;  IF(AND(MATCH($H8,LIKELIHOOD,0)=(5-ROW()+ROW($A8)),MATCH($J8,OFFSET(COST_IMPACT_PDE,0,MATCH($G8,ACTIVITY_IMPACTED,0)-1),0)=(COLUMN()-COLUMN($M8)+1)),"C","")</f>
        <v>#N/A</v>
      </c>
      <c r="R11" s="248"/>
      <c r="S11" s="251"/>
      <c r="T11" s="223"/>
      <c r="U11" s="225"/>
    </row>
    <row r="12" spans="1:21" ht="22.95" customHeight="1" thickBot="1" x14ac:dyDescent="0.35">
      <c r="A12" s="237"/>
      <c r="B12" s="239"/>
      <c r="C12" s="241"/>
      <c r="D12" s="239"/>
      <c r="E12" s="243"/>
      <c r="F12" s="245"/>
      <c r="G12" s="243"/>
      <c r="H12" s="243"/>
      <c r="I12" s="243"/>
      <c r="J12" s="243"/>
      <c r="K12" s="246"/>
      <c r="L12" s="4" t="s">
        <v>24</v>
      </c>
      <c r="M12" s="24" t="e">
        <f ca="1">IF(AND(MATCH($H8,LIKELIHOOD,0)=(5-ROW()+ROW($A8)),MATCH($I8,OFFSET(SCHED_IMPACT_PDE,0,MATCH($G8,ACTIVITY_IMPACTED,0)-1),0)=(COLUMN()-COLUMN($M8)+1)),"S","") &amp;  IF(AND(MATCH($H8,LIKELIHOOD,0)=(5-ROW()+ROW($A8)),MATCH($J8,OFFSET(COST_IMPACT_PDE,0,MATCH($G8,ACTIVITY_IMPACTED,0)-1),0)=(COLUMN()-COLUMN($M8)+1)),"C","")</f>
        <v>#N/A</v>
      </c>
      <c r="N12" s="25" t="e">
        <f ca="1">IF(AND(MATCH($H8,LIKELIHOOD,0)=(5-ROW()+ROW($A8)),MATCH($I8,OFFSET(SCHED_IMPACT_PDE,0,MATCH($G8,ACTIVITY_IMPACTED,0)-1),0)=(COLUMN()-COLUMN($M8)+1)),"S","") &amp;  IF(AND(MATCH($H8,LIKELIHOOD,0)=(5-ROW()+ROW($A8)),MATCH($J8,OFFSET(COST_IMPACT_PDE,0,MATCH($G8,ACTIVITY_IMPACTED,0)-1),0)=(COLUMN()-COLUMN($M8)+1)),"C","")</f>
        <v>#N/A</v>
      </c>
      <c r="O12" s="25" t="e">
        <f ca="1">IF(AND(MATCH($H8,LIKELIHOOD,0)=(5-ROW()+ROW($A8)),MATCH($I8,OFFSET(SCHED_IMPACT_PDE,0,MATCH($G8,ACTIVITY_IMPACTED,0)-1),0)=(COLUMN()-COLUMN($M8)+1)),"S","") &amp;  IF(AND(MATCH($H8,LIKELIHOOD,0)=(5-ROW()+ROW($A8)),MATCH($J8,OFFSET(COST_IMPACT_PDE,0,MATCH($G8,ACTIVITY_IMPACTED,0)-1),0)=(COLUMN()-COLUMN($M8)+1)),"C","")</f>
        <v>#N/A</v>
      </c>
      <c r="P12" s="26" t="e">
        <f ca="1">IF(AND(MATCH($H8,LIKELIHOOD,0)=(5-ROW()+ROW($A8)),MATCH($I8,OFFSET(SCHED_IMPACT_PDE,0,MATCH($G8,ACTIVITY_IMPACTED,0)-1),0)=(COLUMN()-COLUMN($M8)+1)),"S","") &amp;  IF(AND(MATCH($H8,LIKELIHOOD,0)=(5-ROW()+ROW($A8)),MATCH($J8,OFFSET(COST_IMPACT_PDE,0,MATCH($G8,ACTIVITY_IMPACTED,0)-1),0)=(COLUMN()-COLUMN($M8)+1)),"C","")</f>
        <v>#N/A</v>
      </c>
      <c r="Q12" s="27" t="e">
        <f ca="1">IF(AND(MATCH($H8,LIKELIHOOD,0)=(5-ROW()+ROW($A8)),MATCH($I8,OFFSET(SCHED_IMPACT_PDE,0,MATCH($G8,ACTIVITY_IMPACTED,0)-1),0)=(COLUMN()-COLUMN($M8)+1)),"S","") &amp;  IF(AND(MATCH($H8,LIKELIHOOD,0)=(5-ROW()+ROW($A8)),MATCH($J8,OFFSET(COST_IMPACT_PDE,0,MATCH($G8,ACTIVITY_IMPACTED,0)-1),0)=(COLUMN()-COLUMN($M8)+1)),"C","")</f>
        <v>#N/A</v>
      </c>
      <c r="R12" s="248"/>
      <c r="S12" s="251"/>
      <c r="T12" s="124" t="s">
        <v>77</v>
      </c>
      <c r="U12" s="122"/>
    </row>
    <row r="13" spans="1:21" ht="22.95" customHeight="1" x14ac:dyDescent="0.3">
      <c r="A13" s="237"/>
      <c r="B13" s="239"/>
      <c r="C13" s="241"/>
      <c r="D13" s="239"/>
      <c r="E13" s="243"/>
      <c r="F13" s="245"/>
      <c r="G13" s="243"/>
      <c r="H13" s="243"/>
      <c r="I13" s="243"/>
      <c r="J13" s="243"/>
      <c r="K13" s="33"/>
      <c r="L13" s="34"/>
      <c r="M13" s="5" t="s">
        <v>24</v>
      </c>
      <c r="N13" s="5" t="s">
        <v>6</v>
      </c>
      <c r="O13" s="5" t="s">
        <v>11</v>
      </c>
      <c r="P13" s="5" t="s">
        <v>5</v>
      </c>
      <c r="Q13" s="5" t="s">
        <v>23</v>
      </c>
      <c r="R13" s="248"/>
      <c r="S13" s="251"/>
      <c r="T13" s="124" t="s">
        <v>76</v>
      </c>
      <c r="U13" s="123"/>
    </row>
    <row r="14" spans="1:21" ht="22.95" customHeight="1" x14ac:dyDescent="0.3">
      <c r="A14" s="237"/>
      <c r="B14" s="239"/>
      <c r="C14" s="241"/>
      <c r="D14" s="239"/>
      <c r="E14" s="243"/>
      <c r="F14" s="245"/>
      <c r="G14" s="243"/>
      <c r="H14" s="243"/>
      <c r="I14" s="243"/>
      <c r="J14" s="243"/>
      <c r="K14" s="35"/>
      <c r="L14" s="28"/>
      <c r="M14" s="252" t="s">
        <v>25</v>
      </c>
      <c r="N14" s="252"/>
      <c r="O14" s="252"/>
      <c r="P14" s="252"/>
      <c r="Q14" s="252"/>
      <c r="R14" s="249"/>
      <c r="S14" s="251"/>
      <c r="T14" s="124" t="s">
        <v>75</v>
      </c>
      <c r="U14" s="123"/>
    </row>
    <row r="15" spans="1:21" ht="23.25" customHeight="1" x14ac:dyDescent="0.3">
      <c r="A15" s="29"/>
      <c r="B15" s="30"/>
      <c r="C15" s="30"/>
      <c r="D15" s="30"/>
      <c r="E15" s="31"/>
      <c r="F15" s="31"/>
      <c r="G15" s="30"/>
      <c r="H15" s="30"/>
      <c r="I15" s="30"/>
      <c r="J15" s="30"/>
      <c r="K15" s="30"/>
      <c r="L15" s="30"/>
      <c r="M15" s="30"/>
      <c r="N15" s="30"/>
      <c r="O15" s="30"/>
      <c r="P15" s="30"/>
      <c r="Q15" s="30"/>
      <c r="R15" s="30"/>
      <c r="S15" s="36"/>
      <c r="T15" s="36"/>
      <c r="U15" s="36"/>
    </row>
    <row r="16" spans="1:21" ht="23.25" customHeight="1" x14ac:dyDescent="0.3"/>
    <row r="17" spans="1:21" ht="23.25" customHeight="1" x14ac:dyDescent="0.3">
      <c r="A17" s="228" t="s">
        <v>0</v>
      </c>
      <c r="B17" s="228"/>
      <c r="C17" s="228"/>
      <c r="D17" s="228"/>
      <c r="E17" s="228"/>
      <c r="F17" s="228"/>
      <c r="G17" s="229"/>
      <c r="H17" s="230" t="s">
        <v>1</v>
      </c>
      <c r="I17" s="230"/>
      <c r="J17" s="230"/>
      <c r="K17" s="230"/>
      <c r="L17" s="230"/>
      <c r="M17" s="230"/>
      <c r="N17" s="230"/>
      <c r="O17" s="230"/>
      <c r="P17" s="230"/>
      <c r="Q17" s="230"/>
      <c r="R17" s="231" t="s">
        <v>28</v>
      </c>
      <c r="S17" s="232"/>
      <c r="T17" s="232"/>
      <c r="U17" s="233"/>
    </row>
    <row r="18" spans="1:21" ht="91.95" customHeight="1" thickBot="1" x14ac:dyDescent="0.35">
      <c r="A18" s="32" t="s">
        <v>12</v>
      </c>
      <c r="B18" s="32" t="s">
        <v>2</v>
      </c>
      <c r="C18" s="32" t="s">
        <v>19</v>
      </c>
      <c r="D18" s="32" t="s">
        <v>8</v>
      </c>
      <c r="E18" s="12" t="s">
        <v>9</v>
      </c>
      <c r="F18" s="12" t="s">
        <v>7</v>
      </c>
      <c r="G18" s="13" t="s">
        <v>37</v>
      </c>
      <c r="H18" s="14" t="s">
        <v>22</v>
      </c>
      <c r="I18" s="14" t="s">
        <v>20</v>
      </c>
      <c r="J18" s="14" t="s">
        <v>10</v>
      </c>
      <c r="K18" s="234" t="s">
        <v>26</v>
      </c>
      <c r="L18" s="234"/>
      <c r="M18" s="235"/>
      <c r="N18" s="235"/>
      <c r="O18" s="235"/>
      <c r="P18" s="235"/>
      <c r="Q18" s="235"/>
      <c r="R18" s="37" t="s">
        <v>29</v>
      </c>
      <c r="S18" s="11" t="s">
        <v>30</v>
      </c>
      <c r="T18" s="226" t="s">
        <v>31</v>
      </c>
      <c r="U18" s="227"/>
    </row>
    <row r="19" spans="1:21" ht="22.95" customHeight="1" x14ac:dyDescent="0.3">
      <c r="A19" s="236">
        <v>2</v>
      </c>
      <c r="B19" s="238"/>
      <c r="C19" s="240"/>
      <c r="D19" s="238"/>
      <c r="E19" s="242"/>
      <c r="F19" s="244"/>
      <c r="G19" s="242"/>
      <c r="H19" s="242"/>
      <c r="I19" s="242"/>
      <c r="J19" s="242"/>
      <c r="K19" s="246" t="s">
        <v>22</v>
      </c>
      <c r="L19" s="4" t="s">
        <v>23</v>
      </c>
      <c r="M19" s="15" t="e">
        <f ca="1">IF(AND(MATCH($H19,LIKELIHOOD,0)=(5-ROW()+ROW($A19)),MATCH($I19,OFFSET(SCHED_IMPACT_PDE,0,MATCH($G19,ACTIVITY_IMPACTED,0)-1),0)=(COLUMN()-COLUMN($M19)+1)),"S","") &amp;  IF(AND(MATCH($H19,LIKELIHOOD,0)=(5-ROW()+ROW($A19)),MATCH($J19,OFFSET(COST_IMPACT_PDE,0,MATCH($G19,ACTIVITY_IMPACTED,0)-1),0)=(COLUMN()-COLUMN($M19)+1)),"C","")</f>
        <v>#N/A</v>
      </c>
      <c r="N19" s="16" t="e">
        <f ca="1">IF(AND(MATCH($H19,LIKELIHOOD,0)=(5-ROW()+ROW($A19)),MATCH($I19,OFFSET(SCHED_IMPACT_PDE,0,MATCH($G19,ACTIVITY_IMPACTED,0)-1),0)=(COLUMN()-COLUMN($M19)+1)),"S","") &amp;  IF(AND(MATCH($H19,LIKELIHOOD,0)=(5-ROW()+ROW($A19)),MATCH($J19,OFFSET(COST_IMPACT_PDE,0,MATCH($G19,ACTIVITY_IMPACTED,0)-1),0)=(COLUMN()-COLUMN($M19)+1)),"C","")</f>
        <v>#N/A</v>
      </c>
      <c r="O19" s="17" t="e">
        <f ca="1">IF(AND(MATCH($H19,LIKELIHOOD,0)=(5-ROW()+ROW($A19)),MATCH($I19,OFFSET(SCHED_IMPACT_PDE,0,MATCH($G19,ACTIVITY_IMPACTED,0)-1),0)=(COLUMN()-COLUMN($M19)+1)),"S","") &amp;  IF(AND(MATCH($H19,LIKELIHOOD,0)=(5-ROW()+ROW($A19)),MATCH($J19,OFFSET(COST_IMPACT_PDE,0,MATCH($G19,ACTIVITY_IMPACTED,0)-1),0)=(COLUMN()-COLUMN($M19)+1)),"C","")</f>
        <v>#N/A</v>
      </c>
      <c r="P19" s="17" t="e">
        <f ca="1">IF(AND(MATCH($H19,LIKELIHOOD,0)=(5-ROW()+ROW($A19)),MATCH($I19,OFFSET(SCHED_IMPACT_PDE,0,MATCH($G19,ACTIVITY_IMPACTED,0)-1),0)=(COLUMN()-COLUMN($M19)+1)),"S","") &amp;  IF(AND(MATCH($H19,LIKELIHOOD,0)=(5-ROW()+ROW($A19)),MATCH($J19,OFFSET(COST_IMPACT_PDE,0,MATCH($G19,ACTIVITY_IMPACTED,0)-1),0)=(COLUMN()-COLUMN($M19)+1)),"C","")</f>
        <v>#N/A</v>
      </c>
      <c r="Q19" s="18" t="e">
        <f ca="1">IF(AND(MATCH($H19,LIKELIHOOD,0)=(5-ROW()+ROW($A19)),MATCH($I19,OFFSET(SCHED_IMPACT_PDE,0,MATCH($G19,ACTIVITY_IMPACTED,0)-1),0)=(COLUMN()-COLUMN($M19)+1)),"S","") &amp;  IF(AND(MATCH($H19,LIKELIHOOD,0)=(5-ROW()+ROW($A19)),MATCH($J19,OFFSET(COST_IMPACT_PDE,0,MATCH($G19,ACTIVITY_IMPACTED,0)-1),0)=(COLUMN()-COLUMN($M19)+1)),"C","")</f>
        <v>#N/A</v>
      </c>
      <c r="R19" s="247"/>
      <c r="S19" s="250"/>
      <c r="T19" s="221"/>
      <c r="U19" s="224"/>
    </row>
    <row r="20" spans="1:21" ht="22.95" customHeight="1" x14ac:dyDescent="0.3">
      <c r="A20" s="237"/>
      <c r="B20" s="239"/>
      <c r="C20" s="241"/>
      <c r="D20" s="239"/>
      <c r="E20" s="243"/>
      <c r="F20" s="245"/>
      <c r="G20" s="243"/>
      <c r="H20" s="243"/>
      <c r="I20" s="243"/>
      <c r="J20" s="243"/>
      <c r="K20" s="246"/>
      <c r="L20" s="4" t="s">
        <v>5</v>
      </c>
      <c r="M20" s="19" t="e">
        <f ca="1">IF(AND(MATCH($H19,LIKELIHOOD,0)=(5-ROW()+ROW($A19)),MATCH($I19,OFFSET(SCHED_IMPACT_PDE,0,MATCH($G19,ACTIVITY_IMPACTED,0)-1),0)=(COLUMN()-COLUMN($M19)+1)),"S","") &amp;  IF(AND(MATCH($H19,LIKELIHOOD,0)=(5-ROW()+ROW($A19)),MATCH($J19,OFFSET(COST_IMPACT_PDE,0,MATCH($G19,ACTIVITY_IMPACTED,0)-1),0)=(COLUMN()-COLUMN($M19)+1)),"C","")</f>
        <v>#N/A</v>
      </c>
      <c r="N20" s="20" t="e">
        <f ca="1">IF(AND(MATCH($H19,LIKELIHOOD,0)=(5-ROW()+ROW($A19)),MATCH($I19,OFFSET(SCHED_IMPACT_PDE,0,MATCH($G19,ACTIVITY_IMPACTED,0)-1),0)=(COLUMN()-COLUMN($M19)+1)),"S","") &amp;  IF(AND(MATCH($H19,LIKELIHOOD,0)=(5-ROW()+ROW($A19)),MATCH($J19,OFFSET(COST_IMPACT_PDE,0,MATCH($G19,ACTIVITY_IMPACTED,0)-1),0)=(COLUMN()-COLUMN($M19)+1)),"C","")</f>
        <v>#N/A</v>
      </c>
      <c r="O20" s="21" t="e">
        <f ca="1">IF(AND(MATCH($H19,LIKELIHOOD,0)=(5-ROW()+ROW($A19)),MATCH($I19,OFFSET(SCHED_IMPACT_PDE,0,MATCH($G19,ACTIVITY_IMPACTED,0)-1),0)=(COLUMN()-COLUMN($M19)+1)),"S","") &amp;  IF(AND(MATCH($H19,LIKELIHOOD,0)=(5-ROW()+ROW($A19)),MATCH($J19,OFFSET(COST_IMPACT_PDE,0,MATCH($G19,ACTIVITY_IMPACTED,0)-1),0)=(COLUMN()-COLUMN($M19)+1)),"C","")</f>
        <v>#N/A</v>
      </c>
      <c r="P20" s="21" t="e">
        <f ca="1">IF(AND(MATCH($H19,LIKELIHOOD,0)=(5-ROW()+ROW($A19)),MATCH($I19,OFFSET(SCHED_IMPACT_PDE,0,MATCH($G19,ACTIVITY_IMPACTED,0)-1),0)=(COLUMN()-COLUMN($M19)+1)),"S","") &amp;  IF(AND(MATCH($H19,LIKELIHOOD,0)=(5-ROW()+ROW($A19)),MATCH($J19,OFFSET(COST_IMPACT_PDE,0,MATCH($G19,ACTIVITY_IMPACTED,0)-1),0)=(COLUMN()-COLUMN($M19)+1)),"C","")</f>
        <v>#N/A</v>
      </c>
      <c r="Q20" s="22" t="e">
        <f ca="1">IF(AND(MATCH($H19,LIKELIHOOD,0)=(5-ROW()+ROW($A19)),MATCH($I19,OFFSET(SCHED_IMPACT_PDE,0,MATCH($G19,ACTIVITY_IMPACTED,0)-1),0)=(COLUMN()-COLUMN($M19)+1)),"S","") &amp;  IF(AND(MATCH($H19,LIKELIHOOD,0)=(5-ROW()+ROW($A19)),MATCH($J19,OFFSET(COST_IMPACT_PDE,0,MATCH($G19,ACTIVITY_IMPACTED,0)-1),0)=(COLUMN()-COLUMN($M19)+1)),"C","")</f>
        <v>#N/A</v>
      </c>
      <c r="R20" s="248"/>
      <c r="S20" s="251"/>
      <c r="T20" s="222"/>
      <c r="U20" s="225"/>
    </row>
    <row r="21" spans="1:21" ht="22.95" customHeight="1" x14ac:dyDescent="0.3">
      <c r="A21" s="237"/>
      <c r="B21" s="239"/>
      <c r="C21" s="241"/>
      <c r="D21" s="239"/>
      <c r="E21" s="243"/>
      <c r="F21" s="245"/>
      <c r="G21" s="243"/>
      <c r="H21" s="243"/>
      <c r="I21" s="243"/>
      <c r="J21" s="243"/>
      <c r="K21" s="246"/>
      <c r="L21" s="4" t="s">
        <v>11</v>
      </c>
      <c r="M21" s="19" t="e">
        <f ca="1">IF(AND(MATCH($H19,LIKELIHOOD,0)=(5-ROW()+ROW($A19)),MATCH($I19,OFFSET(SCHED_IMPACT_PDE,0,MATCH($G19,ACTIVITY_IMPACTED,0)-1),0)=(COLUMN()-COLUMN($M19)+1)),"S","") &amp;  IF(AND(MATCH($H19,LIKELIHOOD,0)=(5-ROW()+ROW($A19)),MATCH($J19,OFFSET(COST_IMPACT_PDE,0,MATCH($G19,ACTIVITY_IMPACTED,0)-1),0)=(COLUMN()-COLUMN($M19)+1)),"C","")</f>
        <v>#N/A</v>
      </c>
      <c r="N21" s="23" t="e">
        <f ca="1">IF(AND(MATCH($H19,LIKELIHOOD,0)=(5-ROW()+ROW($A19)),MATCH($I19,OFFSET(SCHED_IMPACT_PDE,0,MATCH($G19,ACTIVITY_IMPACTED,0)-1),0)=(COLUMN()-COLUMN($M19)+1)),"S","") &amp;  IF(AND(MATCH($H19,LIKELIHOOD,0)=(5-ROW()+ROW($A19)),MATCH($J19,OFFSET(COST_IMPACT_PDE,0,MATCH($G19,ACTIVITY_IMPACTED,0)-1),0)=(COLUMN()-COLUMN($M19)+1)),"C","")</f>
        <v>#N/A</v>
      </c>
      <c r="O21" s="20" t="e">
        <f ca="1">IF(AND(MATCH($H19,LIKELIHOOD,0)=(5-ROW()+ROW($A19)),MATCH($I19,OFFSET(SCHED_IMPACT_PDE,0,MATCH($G19,ACTIVITY_IMPACTED,0)-1),0)=(COLUMN()-COLUMN($M19)+1)),"S","") &amp;  IF(AND(MATCH($H19,LIKELIHOOD,0)=(5-ROW()+ROW($A19)),MATCH($J19,OFFSET(COST_IMPACT_PDE,0,MATCH($G19,ACTIVITY_IMPACTED,0)-1),0)=(COLUMN()-COLUMN($M19)+1)),"C","")</f>
        <v>#N/A</v>
      </c>
      <c r="P21" s="21" t="e">
        <f ca="1">IF(AND(MATCH($H19,LIKELIHOOD,0)=(5-ROW()+ROW($A19)),MATCH($I19,OFFSET(SCHED_IMPACT_PDE,0,MATCH($G19,ACTIVITY_IMPACTED,0)-1),0)=(COLUMN()-COLUMN($M19)+1)),"S","") &amp;  IF(AND(MATCH($H19,LIKELIHOOD,0)=(5-ROW()+ROW($A19)),MATCH($J19,OFFSET(COST_IMPACT_PDE,0,MATCH($G19,ACTIVITY_IMPACTED,0)-1),0)=(COLUMN()-COLUMN($M19)+1)),"C","")</f>
        <v>#N/A</v>
      </c>
      <c r="Q21" s="22" t="e">
        <f ca="1">IF(AND(MATCH($H19,LIKELIHOOD,0)=(5-ROW()+ROW($A19)),MATCH($I19,OFFSET(SCHED_IMPACT_PDE,0,MATCH($G19,ACTIVITY_IMPACTED,0)-1),0)=(COLUMN()-COLUMN($M19)+1)),"S","") &amp;  IF(AND(MATCH($H19,LIKELIHOOD,0)=(5-ROW()+ROW($A19)),MATCH($J19,OFFSET(COST_IMPACT_PDE,0,MATCH($G19,ACTIVITY_IMPACTED,0)-1),0)=(COLUMN()-COLUMN($M19)+1)),"C","")</f>
        <v>#N/A</v>
      </c>
      <c r="R21" s="248"/>
      <c r="S21" s="251"/>
      <c r="T21" s="222"/>
      <c r="U21" s="225"/>
    </row>
    <row r="22" spans="1:21" ht="22.95" customHeight="1" x14ac:dyDescent="0.3">
      <c r="A22" s="237"/>
      <c r="B22" s="239"/>
      <c r="C22" s="241"/>
      <c r="D22" s="239"/>
      <c r="E22" s="243"/>
      <c r="F22" s="245"/>
      <c r="G22" s="243"/>
      <c r="H22" s="243"/>
      <c r="I22" s="243"/>
      <c r="J22" s="243"/>
      <c r="K22" s="246"/>
      <c r="L22" s="4" t="s">
        <v>6</v>
      </c>
      <c r="M22" s="19" t="e">
        <f ca="1">IF(AND(MATCH($H19,LIKELIHOOD,0)=(5-ROW()+ROW($A19)),MATCH($I19,OFFSET(SCHED_IMPACT_PDE,0,MATCH($G19,ACTIVITY_IMPACTED,0)-1),0)=(COLUMN()-COLUMN($M19)+1)),"S","") &amp;  IF(AND(MATCH($H19,LIKELIHOOD,0)=(5-ROW()+ROW($A19)),MATCH($J19,OFFSET(COST_IMPACT_PDE,0,MATCH($G19,ACTIVITY_IMPACTED,0)-1),0)=(COLUMN()-COLUMN($M19)+1)),"C","")</f>
        <v>#N/A</v>
      </c>
      <c r="N22" s="23" t="e">
        <f ca="1">IF(AND(MATCH($H19,LIKELIHOOD,0)=(5-ROW()+ROW($A19)),MATCH($I19,OFFSET(SCHED_IMPACT_PDE,0,MATCH($G19,ACTIVITY_IMPACTED,0)-1),0)=(COLUMN()-COLUMN($M19)+1)),"S","") &amp;  IF(AND(MATCH($H19,LIKELIHOOD,0)=(5-ROW()+ROW($A19)),MATCH($J19,OFFSET(COST_IMPACT_PDE,0,MATCH($G19,ACTIVITY_IMPACTED,0)-1),0)=(COLUMN()-COLUMN($M19)+1)),"C","")</f>
        <v>#N/A</v>
      </c>
      <c r="O22" s="20" t="e">
        <f ca="1">IF(AND(MATCH($H19,LIKELIHOOD,0)=(5-ROW()+ROW($A19)),MATCH($I19,OFFSET(SCHED_IMPACT_PDE,0,MATCH($G19,ACTIVITY_IMPACTED,0)-1),0)=(COLUMN()-COLUMN($M19)+1)),"S","") &amp;  IF(AND(MATCH($H19,LIKELIHOOD,0)=(5-ROW()+ROW($A19)),MATCH($J19,OFFSET(COST_IMPACT_PDE,0,MATCH($G19,ACTIVITY_IMPACTED,0)-1),0)=(COLUMN()-COLUMN($M19)+1)),"C","")</f>
        <v>#N/A</v>
      </c>
      <c r="P22" s="21" t="e">
        <f ca="1">IF(AND(MATCH($H19,LIKELIHOOD,0)=(5-ROW()+ROW($A19)),MATCH($I19,OFFSET(SCHED_IMPACT_PDE,0,MATCH($G19,ACTIVITY_IMPACTED,0)-1),0)=(COLUMN()-COLUMN($M19)+1)),"S","") &amp;  IF(AND(MATCH($H19,LIKELIHOOD,0)=(5-ROW()+ROW($A19)),MATCH($J19,OFFSET(COST_IMPACT_PDE,0,MATCH($G19,ACTIVITY_IMPACTED,0)-1),0)=(COLUMN()-COLUMN($M19)+1)),"C","")</f>
        <v>#N/A</v>
      </c>
      <c r="Q22" s="22" t="e">
        <f ca="1">IF(AND(MATCH($H19,LIKELIHOOD,0)=(5-ROW()+ROW($A19)),MATCH($I19,OFFSET(SCHED_IMPACT_PDE,0,MATCH($G19,ACTIVITY_IMPACTED,0)-1),0)=(COLUMN()-COLUMN($M19)+1)),"S","") &amp;  IF(AND(MATCH($H19,LIKELIHOOD,0)=(5-ROW()+ROW($A19)),MATCH($J19,OFFSET(COST_IMPACT_PDE,0,MATCH($G19,ACTIVITY_IMPACTED,0)-1),0)=(COLUMN()-COLUMN($M19)+1)),"C","")</f>
        <v>#N/A</v>
      </c>
      <c r="R22" s="248"/>
      <c r="S22" s="251"/>
      <c r="T22" s="222"/>
      <c r="U22" s="225"/>
    </row>
    <row r="23" spans="1:21" ht="22.95" customHeight="1" thickBot="1" x14ac:dyDescent="0.35">
      <c r="A23" s="237"/>
      <c r="B23" s="239"/>
      <c r="C23" s="241"/>
      <c r="D23" s="239"/>
      <c r="E23" s="243"/>
      <c r="F23" s="245"/>
      <c r="G23" s="243"/>
      <c r="H23" s="243"/>
      <c r="I23" s="243"/>
      <c r="J23" s="243"/>
      <c r="K23" s="246"/>
      <c r="L23" s="4" t="s">
        <v>24</v>
      </c>
      <c r="M23" s="24" t="e">
        <f ca="1">IF(AND(MATCH($H19,LIKELIHOOD,0)=(5-ROW()+ROW($A19)),MATCH($I19,OFFSET(SCHED_IMPACT_PDE,0,MATCH($G19,ACTIVITY_IMPACTED,0)-1),0)=(COLUMN()-COLUMN($M19)+1)),"S","") &amp;  IF(AND(MATCH($H19,LIKELIHOOD,0)=(5-ROW()+ROW($A19)),MATCH($J19,OFFSET(COST_IMPACT_PDE,0,MATCH($G19,ACTIVITY_IMPACTED,0)-1),0)=(COLUMN()-COLUMN($M19)+1)),"C","")</f>
        <v>#N/A</v>
      </c>
      <c r="N23" s="25" t="e">
        <f ca="1">IF(AND(MATCH($H19,LIKELIHOOD,0)=(5-ROW()+ROW($A19)),MATCH($I19,OFFSET(SCHED_IMPACT_PDE,0,MATCH($G19,ACTIVITY_IMPACTED,0)-1),0)=(COLUMN()-COLUMN($M19)+1)),"S","") &amp;  IF(AND(MATCH($H19,LIKELIHOOD,0)=(5-ROW()+ROW($A19)),MATCH($J19,OFFSET(COST_IMPACT_PDE,0,MATCH($G19,ACTIVITY_IMPACTED,0)-1),0)=(COLUMN()-COLUMN($M19)+1)),"C","")</f>
        <v>#N/A</v>
      </c>
      <c r="O23" s="25" t="e">
        <f ca="1">IF(AND(MATCH($H19,LIKELIHOOD,0)=(5-ROW()+ROW($A19)),MATCH($I19,OFFSET(SCHED_IMPACT_PDE,0,MATCH($G19,ACTIVITY_IMPACTED,0)-1),0)=(COLUMN()-COLUMN($M19)+1)),"S","") &amp;  IF(AND(MATCH($H19,LIKELIHOOD,0)=(5-ROW()+ROW($A19)),MATCH($J19,OFFSET(COST_IMPACT_PDE,0,MATCH($G19,ACTIVITY_IMPACTED,0)-1),0)=(COLUMN()-COLUMN($M19)+1)),"C","")</f>
        <v>#N/A</v>
      </c>
      <c r="P23" s="26" t="e">
        <f ca="1">IF(AND(MATCH($H19,LIKELIHOOD,0)=(5-ROW()+ROW($A19)),MATCH($I19,OFFSET(SCHED_IMPACT_PDE,0,MATCH($G19,ACTIVITY_IMPACTED,0)-1),0)=(COLUMN()-COLUMN($M19)+1)),"S","") &amp;  IF(AND(MATCH($H19,LIKELIHOOD,0)=(5-ROW()+ROW($A19)),MATCH($J19,OFFSET(COST_IMPACT_PDE,0,MATCH($G19,ACTIVITY_IMPACTED,0)-1),0)=(COLUMN()-COLUMN($M19)+1)),"C","")</f>
        <v>#N/A</v>
      </c>
      <c r="Q23" s="27" t="e">
        <f ca="1">IF(AND(MATCH($H19,LIKELIHOOD,0)=(5-ROW()+ROW($A19)),MATCH($I19,OFFSET(SCHED_IMPACT_PDE,0,MATCH($G19,ACTIVITY_IMPACTED,0)-1),0)=(COLUMN()-COLUMN($M19)+1)),"S","") &amp;  IF(AND(MATCH($H19,LIKELIHOOD,0)=(5-ROW()+ROW($A19)),MATCH($J19,OFFSET(COST_IMPACT_PDE,0,MATCH($G19,ACTIVITY_IMPACTED,0)-1),0)=(COLUMN()-COLUMN($M19)+1)),"C","")</f>
        <v>#N/A</v>
      </c>
      <c r="R23" s="248"/>
      <c r="S23" s="251"/>
      <c r="T23" s="124" t="s">
        <v>77</v>
      </c>
      <c r="U23" s="122"/>
    </row>
    <row r="24" spans="1:21" ht="22.95" customHeight="1" x14ac:dyDescent="0.3">
      <c r="A24" s="237"/>
      <c r="B24" s="239"/>
      <c r="C24" s="241"/>
      <c r="D24" s="239"/>
      <c r="E24" s="243"/>
      <c r="F24" s="245"/>
      <c r="G24" s="243"/>
      <c r="H24" s="243"/>
      <c r="I24" s="243"/>
      <c r="J24" s="243"/>
      <c r="K24" s="33"/>
      <c r="L24" s="34"/>
      <c r="M24" s="5" t="s">
        <v>24</v>
      </c>
      <c r="N24" s="5" t="s">
        <v>6</v>
      </c>
      <c r="O24" s="5" t="s">
        <v>11</v>
      </c>
      <c r="P24" s="5" t="s">
        <v>5</v>
      </c>
      <c r="Q24" s="5" t="s">
        <v>23</v>
      </c>
      <c r="R24" s="248"/>
      <c r="S24" s="251"/>
      <c r="T24" s="124" t="s">
        <v>76</v>
      </c>
      <c r="U24" s="123"/>
    </row>
    <row r="25" spans="1:21" ht="22.95" customHeight="1" x14ac:dyDescent="0.3">
      <c r="A25" s="237"/>
      <c r="B25" s="239"/>
      <c r="C25" s="241"/>
      <c r="D25" s="239"/>
      <c r="E25" s="243"/>
      <c r="F25" s="245"/>
      <c r="G25" s="243"/>
      <c r="H25" s="243"/>
      <c r="I25" s="243"/>
      <c r="J25" s="243"/>
      <c r="K25" s="35"/>
      <c r="L25" s="28"/>
      <c r="M25" s="252" t="s">
        <v>25</v>
      </c>
      <c r="N25" s="252"/>
      <c r="O25" s="252"/>
      <c r="P25" s="252"/>
      <c r="Q25" s="252"/>
      <c r="R25" s="249"/>
      <c r="S25" s="251"/>
      <c r="T25" s="124" t="s">
        <v>75</v>
      </c>
      <c r="U25" s="123"/>
    </row>
    <row r="26" spans="1:21" ht="23.25" customHeight="1" x14ac:dyDescent="0.3">
      <c r="A26" s="29"/>
      <c r="B26" s="30"/>
      <c r="C26" s="30"/>
      <c r="D26" s="30"/>
      <c r="E26" s="31"/>
      <c r="F26" s="31"/>
      <c r="G26" s="30"/>
      <c r="H26" s="30"/>
      <c r="I26" s="30"/>
      <c r="J26" s="30"/>
      <c r="K26" s="30"/>
      <c r="L26" s="30"/>
      <c r="M26" s="30"/>
      <c r="N26" s="30"/>
      <c r="O26" s="30"/>
      <c r="P26" s="30"/>
      <c r="Q26" s="30"/>
      <c r="R26" s="30"/>
      <c r="S26" s="36"/>
      <c r="T26" s="36"/>
      <c r="U26" s="36"/>
    </row>
    <row r="27" spans="1:21" ht="22.95" customHeight="1" x14ac:dyDescent="0.3"/>
    <row r="28" spans="1:21" ht="23.25" customHeight="1" x14ac:dyDescent="0.3">
      <c r="A28" s="228" t="s">
        <v>0</v>
      </c>
      <c r="B28" s="228"/>
      <c r="C28" s="228"/>
      <c r="D28" s="228"/>
      <c r="E28" s="228"/>
      <c r="F28" s="228"/>
      <c r="G28" s="229"/>
      <c r="H28" s="230" t="s">
        <v>1</v>
      </c>
      <c r="I28" s="230"/>
      <c r="J28" s="230"/>
      <c r="K28" s="230"/>
      <c r="L28" s="230"/>
      <c r="M28" s="230"/>
      <c r="N28" s="230"/>
      <c r="O28" s="230"/>
      <c r="P28" s="230"/>
      <c r="Q28" s="230"/>
      <c r="R28" s="231" t="s">
        <v>28</v>
      </c>
      <c r="S28" s="232"/>
      <c r="T28" s="232"/>
      <c r="U28" s="233"/>
    </row>
    <row r="29" spans="1:21" ht="91.95" customHeight="1" thickBot="1" x14ac:dyDescent="0.35">
      <c r="A29" s="32" t="s">
        <v>12</v>
      </c>
      <c r="B29" s="32" t="s">
        <v>2</v>
      </c>
      <c r="C29" s="32" t="s">
        <v>19</v>
      </c>
      <c r="D29" s="32" t="s">
        <v>8</v>
      </c>
      <c r="E29" s="12" t="s">
        <v>9</v>
      </c>
      <c r="F29" s="12" t="s">
        <v>7</v>
      </c>
      <c r="G29" s="13" t="s">
        <v>37</v>
      </c>
      <c r="H29" s="14" t="s">
        <v>22</v>
      </c>
      <c r="I29" s="14" t="s">
        <v>20</v>
      </c>
      <c r="J29" s="14" t="s">
        <v>10</v>
      </c>
      <c r="K29" s="234" t="s">
        <v>26</v>
      </c>
      <c r="L29" s="234"/>
      <c r="M29" s="235"/>
      <c r="N29" s="235"/>
      <c r="O29" s="235"/>
      <c r="P29" s="235"/>
      <c r="Q29" s="235"/>
      <c r="R29" s="37" t="s">
        <v>29</v>
      </c>
      <c r="S29" s="11" t="s">
        <v>30</v>
      </c>
      <c r="T29" s="226" t="s">
        <v>31</v>
      </c>
      <c r="U29" s="227"/>
    </row>
    <row r="30" spans="1:21" ht="22.95" customHeight="1" x14ac:dyDescent="0.3">
      <c r="A30" s="236">
        <v>3</v>
      </c>
      <c r="B30" s="238"/>
      <c r="C30" s="240"/>
      <c r="D30" s="238"/>
      <c r="E30" s="242"/>
      <c r="F30" s="244"/>
      <c r="G30" s="242"/>
      <c r="H30" s="242"/>
      <c r="I30" s="242"/>
      <c r="J30" s="242"/>
      <c r="K30" s="246" t="s">
        <v>22</v>
      </c>
      <c r="L30" s="4" t="s">
        <v>23</v>
      </c>
      <c r="M30" s="15" t="e">
        <f ca="1">IF(AND(MATCH($H30,LIKELIHOOD,0)=(5-ROW()+ROW($A30)),MATCH($I30,OFFSET(SCHED_IMPACT_PDE,0,MATCH($G30,ACTIVITY_IMPACTED,0)-1),0)=(COLUMN()-COLUMN($M30)+1)),"S","") &amp;  IF(AND(MATCH($H30,LIKELIHOOD,0)=(5-ROW()+ROW($A30)),MATCH($J30,OFFSET(COST_IMPACT_PDE,0,MATCH($G30,ACTIVITY_IMPACTED,0)-1),0)=(COLUMN()-COLUMN($M30)+1)),"C","")</f>
        <v>#N/A</v>
      </c>
      <c r="N30" s="16" t="e">
        <f ca="1">IF(AND(MATCH($H30,LIKELIHOOD,0)=(5-ROW()+ROW($A30)),MATCH($I30,OFFSET(SCHED_IMPACT_PDE,0,MATCH($G30,ACTIVITY_IMPACTED,0)-1),0)=(COLUMN()-COLUMN($M30)+1)),"S","") &amp;  IF(AND(MATCH($H30,LIKELIHOOD,0)=(5-ROW()+ROW($A30)),MATCH($J30,OFFSET(COST_IMPACT_PDE,0,MATCH($G30,ACTIVITY_IMPACTED,0)-1),0)=(COLUMN()-COLUMN($M30)+1)),"C","")</f>
        <v>#N/A</v>
      </c>
      <c r="O30" s="17" t="e">
        <f ca="1">IF(AND(MATCH($H30,LIKELIHOOD,0)=(5-ROW()+ROW($A30)),MATCH($I30,OFFSET(SCHED_IMPACT_PDE,0,MATCH($G30,ACTIVITY_IMPACTED,0)-1),0)=(COLUMN()-COLUMN($M30)+1)),"S","") &amp;  IF(AND(MATCH($H30,LIKELIHOOD,0)=(5-ROW()+ROW($A30)),MATCH($J30,OFFSET(COST_IMPACT_PDE,0,MATCH($G30,ACTIVITY_IMPACTED,0)-1),0)=(COLUMN()-COLUMN($M30)+1)),"C","")</f>
        <v>#N/A</v>
      </c>
      <c r="P30" s="17" t="e">
        <f ca="1">IF(AND(MATCH($H30,LIKELIHOOD,0)=(5-ROW()+ROW($A30)),MATCH($I30,OFFSET(SCHED_IMPACT_PDE,0,MATCH($G30,ACTIVITY_IMPACTED,0)-1),0)=(COLUMN()-COLUMN($M30)+1)),"S","") &amp;  IF(AND(MATCH($H30,LIKELIHOOD,0)=(5-ROW()+ROW($A30)),MATCH($J30,OFFSET(COST_IMPACT_PDE,0,MATCH($G30,ACTIVITY_IMPACTED,0)-1),0)=(COLUMN()-COLUMN($M30)+1)),"C","")</f>
        <v>#N/A</v>
      </c>
      <c r="Q30" s="18" t="e">
        <f ca="1">IF(AND(MATCH($H30,LIKELIHOOD,0)=(5-ROW()+ROW($A30)),MATCH($I30,OFFSET(SCHED_IMPACT_PDE,0,MATCH($G30,ACTIVITY_IMPACTED,0)-1),0)=(COLUMN()-COLUMN($M30)+1)),"S","") &amp;  IF(AND(MATCH($H30,LIKELIHOOD,0)=(5-ROW()+ROW($A30)),MATCH($J30,OFFSET(COST_IMPACT_PDE,0,MATCH($G30,ACTIVITY_IMPACTED,0)-1),0)=(COLUMN()-COLUMN($M30)+1)),"C","")</f>
        <v>#N/A</v>
      </c>
      <c r="R30" s="247"/>
      <c r="S30" s="250"/>
      <c r="T30" s="221"/>
      <c r="U30" s="224"/>
    </row>
    <row r="31" spans="1:21" ht="22.95" customHeight="1" x14ac:dyDescent="0.3">
      <c r="A31" s="237"/>
      <c r="B31" s="239"/>
      <c r="C31" s="241"/>
      <c r="D31" s="239"/>
      <c r="E31" s="243"/>
      <c r="F31" s="245"/>
      <c r="G31" s="243"/>
      <c r="H31" s="243"/>
      <c r="I31" s="243"/>
      <c r="J31" s="243"/>
      <c r="K31" s="246"/>
      <c r="L31" s="4" t="s">
        <v>5</v>
      </c>
      <c r="M31" s="19" t="e">
        <f ca="1">IF(AND(MATCH($H30,LIKELIHOOD,0)=(5-ROW()+ROW($A30)),MATCH($I30,OFFSET(SCHED_IMPACT_PDE,0,MATCH($G30,ACTIVITY_IMPACTED,0)-1),0)=(COLUMN()-COLUMN($M30)+1)),"S","") &amp;  IF(AND(MATCH($H30,LIKELIHOOD,0)=(5-ROW()+ROW($A30)),MATCH($J30,OFFSET(COST_IMPACT_PDE,0,MATCH($G30,ACTIVITY_IMPACTED,0)-1),0)=(COLUMN()-COLUMN($M30)+1)),"C","")</f>
        <v>#N/A</v>
      </c>
      <c r="N31" s="20" t="e">
        <f ca="1">IF(AND(MATCH($H30,LIKELIHOOD,0)=(5-ROW()+ROW($A30)),MATCH($I30,OFFSET(SCHED_IMPACT_PDE,0,MATCH($G30,ACTIVITY_IMPACTED,0)-1),0)=(COLUMN()-COLUMN($M30)+1)),"S","") &amp;  IF(AND(MATCH($H30,LIKELIHOOD,0)=(5-ROW()+ROW($A30)),MATCH($J30,OFFSET(COST_IMPACT_PDE,0,MATCH($G30,ACTIVITY_IMPACTED,0)-1),0)=(COLUMN()-COLUMN($M30)+1)),"C","")</f>
        <v>#N/A</v>
      </c>
      <c r="O31" s="21" t="e">
        <f ca="1">IF(AND(MATCH($H30,LIKELIHOOD,0)=(5-ROW()+ROW($A30)),MATCH($I30,OFFSET(SCHED_IMPACT_PDE,0,MATCH($G30,ACTIVITY_IMPACTED,0)-1),0)=(COLUMN()-COLUMN($M30)+1)),"S","") &amp;  IF(AND(MATCH($H30,LIKELIHOOD,0)=(5-ROW()+ROW($A30)),MATCH($J30,OFFSET(COST_IMPACT_PDE,0,MATCH($G30,ACTIVITY_IMPACTED,0)-1),0)=(COLUMN()-COLUMN($M30)+1)),"C","")</f>
        <v>#N/A</v>
      </c>
      <c r="P31" s="21" t="e">
        <f ca="1">IF(AND(MATCH($H30,LIKELIHOOD,0)=(5-ROW()+ROW($A30)),MATCH($I30,OFFSET(SCHED_IMPACT_PDE,0,MATCH($G30,ACTIVITY_IMPACTED,0)-1),0)=(COLUMN()-COLUMN($M30)+1)),"S","") &amp;  IF(AND(MATCH($H30,LIKELIHOOD,0)=(5-ROW()+ROW($A30)),MATCH($J30,OFFSET(COST_IMPACT_PDE,0,MATCH($G30,ACTIVITY_IMPACTED,0)-1),0)=(COLUMN()-COLUMN($M30)+1)),"C","")</f>
        <v>#N/A</v>
      </c>
      <c r="Q31" s="22" t="e">
        <f ca="1">IF(AND(MATCH($H30,LIKELIHOOD,0)=(5-ROW()+ROW($A30)),MATCH($I30,OFFSET(SCHED_IMPACT_PDE,0,MATCH($G30,ACTIVITY_IMPACTED,0)-1),0)=(COLUMN()-COLUMN($M30)+1)),"S","") &amp;  IF(AND(MATCH($H30,LIKELIHOOD,0)=(5-ROW()+ROW($A30)),MATCH($J30,OFFSET(COST_IMPACT_PDE,0,MATCH($G30,ACTIVITY_IMPACTED,0)-1),0)=(COLUMN()-COLUMN($M30)+1)),"C","")</f>
        <v>#N/A</v>
      </c>
      <c r="R31" s="248"/>
      <c r="S31" s="251"/>
      <c r="T31" s="222"/>
      <c r="U31" s="225"/>
    </row>
    <row r="32" spans="1:21" ht="22.95" customHeight="1" x14ac:dyDescent="0.3">
      <c r="A32" s="237"/>
      <c r="B32" s="239"/>
      <c r="C32" s="241"/>
      <c r="D32" s="239"/>
      <c r="E32" s="243"/>
      <c r="F32" s="245"/>
      <c r="G32" s="243"/>
      <c r="H32" s="243"/>
      <c r="I32" s="243"/>
      <c r="J32" s="243"/>
      <c r="K32" s="246"/>
      <c r="L32" s="4" t="s">
        <v>11</v>
      </c>
      <c r="M32" s="19" t="e">
        <f ca="1">IF(AND(MATCH($H30,LIKELIHOOD,0)=(5-ROW()+ROW($A30)),MATCH($I30,OFFSET(SCHED_IMPACT_PDE,0,MATCH($G30,ACTIVITY_IMPACTED,0)-1),0)=(COLUMN()-COLUMN($M30)+1)),"S","") &amp;  IF(AND(MATCH($H30,LIKELIHOOD,0)=(5-ROW()+ROW($A30)),MATCH($J30,OFFSET(COST_IMPACT_PDE,0,MATCH($G30,ACTIVITY_IMPACTED,0)-1),0)=(COLUMN()-COLUMN($M30)+1)),"C","")</f>
        <v>#N/A</v>
      </c>
      <c r="N32" s="23" t="e">
        <f ca="1">IF(AND(MATCH($H30,LIKELIHOOD,0)=(5-ROW()+ROW($A30)),MATCH($I30,OFFSET(SCHED_IMPACT_PDE,0,MATCH($G30,ACTIVITY_IMPACTED,0)-1),0)=(COLUMN()-COLUMN($M30)+1)),"S","") &amp;  IF(AND(MATCH($H30,LIKELIHOOD,0)=(5-ROW()+ROW($A30)),MATCH($J30,OFFSET(COST_IMPACT_PDE,0,MATCH($G30,ACTIVITY_IMPACTED,0)-1),0)=(COLUMN()-COLUMN($M30)+1)),"C","")</f>
        <v>#N/A</v>
      </c>
      <c r="O32" s="20" t="e">
        <f ca="1">IF(AND(MATCH($H30,LIKELIHOOD,0)=(5-ROW()+ROW($A30)),MATCH($I30,OFFSET(SCHED_IMPACT_PDE,0,MATCH($G30,ACTIVITY_IMPACTED,0)-1),0)=(COLUMN()-COLUMN($M30)+1)),"S","") &amp;  IF(AND(MATCH($H30,LIKELIHOOD,0)=(5-ROW()+ROW($A30)),MATCH($J30,OFFSET(COST_IMPACT_PDE,0,MATCH($G30,ACTIVITY_IMPACTED,0)-1),0)=(COLUMN()-COLUMN($M30)+1)),"C","")</f>
        <v>#N/A</v>
      </c>
      <c r="P32" s="21" t="e">
        <f ca="1">IF(AND(MATCH($H30,LIKELIHOOD,0)=(5-ROW()+ROW($A30)),MATCH($I30,OFFSET(SCHED_IMPACT_PDE,0,MATCH($G30,ACTIVITY_IMPACTED,0)-1),0)=(COLUMN()-COLUMN($M30)+1)),"S","") &amp;  IF(AND(MATCH($H30,LIKELIHOOD,0)=(5-ROW()+ROW($A30)),MATCH($J30,OFFSET(COST_IMPACT_PDE,0,MATCH($G30,ACTIVITY_IMPACTED,0)-1),0)=(COLUMN()-COLUMN($M30)+1)),"C","")</f>
        <v>#N/A</v>
      </c>
      <c r="Q32" s="22" t="e">
        <f ca="1">IF(AND(MATCH($H30,LIKELIHOOD,0)=(5-ROW()+ROW($A30)),MATCH($I30,OFFSET(SCHED_IMPACT_PDE,0,MATCH($G30,ACTIVITY_IMPACTED,0)-1),0)=(COLUMN()-COLUMN($M30)+1)),"S","") &amp;  IF(AND(MATCH($H30,LIKELIHOOD,0)=(5-ROW()+ROW($A30)),MATCH($J30,OFFSET(COST_IMPACT_PDE,0,MATCH($G30,ACTIVITY_IMPACTED,0)-1),0)=(COLUMN()-COLUMN($M30)+1)),"C","")</f>
        <v>#N/A</v>
      </c>
      <c r="R32" s="248"/>
      <c r="S32" s="251"/>
      <c r="T32" s="222"/>
      <c r="U32" s="225"/>
    </row>
    <row r="33" spans="1:21" ht="22.95" customHeight="1" x14ac:dyDescent="0.3">
      <c r="A33" s="237"/>
      <c r="B33" s="239"/>
      <c r="C33" s="241"/>
      <c r="D33" s="239"/>
      <c r="E33" s="243"/>
      <c r="F33" s="245"/>
      <c r="G33" s="243"/>
      <c r="H33" s="243"/>
      <c r="I33" s="243"/>
      <c r="J33" s="243"/>
      <c r="K33" s="246"/>
      <c r="L33" s="4" t="s">
        <v>6</v>
      </c>
      <c r="M33" s="19" t="e">
        <f ca="1">IF(AND(MATCH($H30,LIKELIHOOD,0)=(5-ROW()+ROW($A30)),MATCH($I30,OFFSET(SCHED_IMPACT_PDE,0,MATCH($G30,ACTIVITY_IMPACTED,0)-1),0)=(COLUMN()-COLUMN($M30)+1)),"S","") &amp;  IF(AND(MATCH($H30,LIKELIHOOD,0)=(5-ROW()+ROW($A30)),MATCH($J30,OFFSET(COST_IMPACT_PDE,0,MATCH($G30,ACTIVITY_IMPACTED,0)-1),0)=(COLUMN()-COLUMN($M30)+1)),"C","")</f>
        <v>#N/A</v>
      </c>
      <c r="N33" s="23" t="e">
        <f ca="1">IF(AND(MATCH($H30,LIKELIHOOD,0)=(5-ROW()+ROW($A30)),MATCH($I30,OFFSET(SCHED_IMPACT_PDE,0,MATCH($G30,ACTIVITY_IMPACTED,0)-1),0)=(COLUMN()-COLUMN($M30)+1)),"S","") &amp;  IF(AND(MATCH($H30,LIKELIHOOD,0)=(5-ROW()+ROW($A30)),MATCH($J30,OFFSET(COST_IMPACT_PDE,0,MATCH($G30,ACTIVITY_IMPACTED,0)-1),0)=(COLUMN()-COLUMN($M30)+1)),"C","")</f>
        <v>#N/A</v>
      </c>
      <c r="O33" s="20" t="e">
        <f ca="1">IF(AND(MATCH($H30,LIKELIHOOD,0)=(5-ROW()+ROW($A30)),MATCH($I30,OFFSET(SCHED_IMPACT_PDE,0,MATCH($G30,ACTIVITY_IMPACTED,0)-1),0)=(COLUMN()-COLUMN($M30)+1)),"S","") &amp;  IF(AND(MATCH($H30,LIKELIHOOD,0)=(5-ROW()+ROW($A30)),MATCH($J30,OFFSET(COST_IMPACT_PDE,0,MATCH($G30,ACTIVITY_IMPACTED,0)-1),0)=(COLUMN()-COLUMN($M30)+1)),"C","")</f>
        <v>#N/A</v>
      </c>
      <c r="P33" s="21" t="e">
        <f ca="1">IF(AND(MATCH($H30,LIKELIHOOD,0)=(5-ROW()+ROW($A30)),MATCH($I30,OFFSET(SCHED_IMPACT_PDE,0,MATCH($G30,ACTIVITY_IMPACTED,0)-1),0)=(COLUMN()-COLUMN($M30)+1)),"S","") &amp;  IF(AND(MATCH($H30,LIKELIHOOD,0)=(5-ROW()+ROW($A30)),MATCH($J30,OFFSET(COST_IMPACT_PDE,0,MATCH($G30,ACTIVITY_IMPACTED,0)-1),0)=(COLUMN()-COLUMN($M30)+1)),"C","")</f>
        <v>#N/A</v>
      </c>
      <c r="Q33" s="22" t="e">
        <f ca="1">IF(AND(MATCH($H30,LIKELIHOOD,0)=(5-ROW()+ROW($A30)),MATCH($I30,OFFSET(SCHED_IMPACT_PDE,0,MATCH($G30,ACTIVITY_IMPACTED,0)-1),0)=(COLUMN()-COLUMN($M30)+1)),"S","") &amp;  IF(AND(MATCH($H30,LIKELIHOOD,0)=(5-ROW()+ROW($A30)),MATCH($J30,OFFSET(COST_IMPACT_PDE,0,MATCH($G30,ACTIVITY_IMPACTED,0)-1),0)=(COLUMN()-COLUMN($M30)+1)),"C","")</f>
        <v>#N/A</v>
      </c>
      <c r="R33" s="248"/>
      <c r="S33" s="251"/>
      <c r="T33" s="223"/>
      <c r="U33" s="225"/>
    </row>
    <row r="34" spans="1:21" ht="22.95" customHeight="1" thickBot="1" x14ac:dyDescent="0.35">
      <c r="A34" s="237"/>
      <c r="B34" s="239"/>
      <c r="C34" s="241"/>
      <c r="D34" s="239"/>
      <c r="E34" s="243"/>
      <c r="F34" s="245"/>
      <c r="G34" s="243"/>
      <c r="H34" s="243"/>
      <c r="I34" s="243"/>
      <c r="J34" s="243"/>
      <c r="K34" s="246"/>
      <c r="L34" s="4" t="s">
        <v>24</v>
      </c>
      <c r="M34" s="24" t="e">
        <f ca="1">IF(AND(MATCH($H30,LIKELIHOOD,0)=(5-ROW()+ROW($A30)),MATCH($I30,OFFSET(SCHED_IMPACT_PDE,0,MATCH($G30,ACTIVITY_IMPACTED,0)-1),0)=(COLUMN()-COLUMN($M30)+1)),"S","") &amp;  IF(AND(MATCH($H30,LIKELIHOOD,0)=(5-ROW()+ROW($A30)),MATCH($J30,OFFSET(COST_IMPACT_PDE,0,MATCH($G30,ACTIVITY_IMPACTED,0)-1),0)=(COLUMN()-COLUMN($M30)+1)),"C","")</f>
        <v>#N/A</v>
      </c>
      <c r="N34" s="25" t="e">
        <f ca="1">IF(AND(MATCH($H30,LIKELIHOOD,0)=(5-ROW()+ROW($A30)),MATCH($I30,OFFSET(SCHED_IMPACT_PDE,0,MATCH($G30,ACTIVITY_IMPACTED,0)-1),0)=(COLUMN()-COLUMN($M30)+1)),"S","") &amp;  IF(AND(MATCH($H30,LIKELIHOOD,0)=(5-ROW()+ROW($A30)),MATCH($J30,OFFSET(COST_IMPACT_PDE,0,MATCH($G30,ACTIVITY_IMPACTED,0)-1),0)=(COLUMN()-COLUMN($M30)+1)),"C","")</f>
        <v>#N/A</v>
      </c>
      <c r="O34" s="25" t="e">
        <f ca="1">IF(AND(MATCH($H30,LIKELIHOOD,0)=(5-ROW()+ROW($A30)),MATCH($I30,OFFSET(SCHED_IMPACT_PDE,0,MATCH($G30,ACTIVITY_IMPACTED,0)-1),0)=(COLUMN()-COLUMN($M30)+1)),"S","") &amp;  IF(AND(MATCH($H30,LIKELIHOOD,0)=(5-ROW()+ROW($A30)),MATCH($J30,OFFSET(COST_IMPACT_PDE,0,MATCH($G30,ACTIVITY_IMPACTED,0)-1),0)=(COLUMN()-COLUMN($M30)+1)),"C","")</f>
        <v>#N/A</v>
      </c>
      <c r="P34" s="26" t="e">
        <f ca="1">IF(AND(MATCH($H30,LIKELIHOOD,0)=(5-ROW()+ROW($A30)),MATCH($I30,OFFSET(SCHED_IMPACT_PDE,0,MATCH($G30,ACTIVITY_IMPACTED,0)-1),0)=(COLUMN()-COLUMN($M30)+1)),"S","") &amp;  IF(AND(MATCH($H30,LIKELIHOOD,0)=(5-ROW()+ROW($A30)),MATCH($J30,OFFSET(COST_IMPACT_PDE,0,MATCH($G30,ACTIVITY_IMPACTED,0)-1),0)=(COLUMN()-COLUMN($M30)+1)),"C","")</f>
        <v>#N/A</v>
      </c>
      <c r="Q34" s="27" t="e">
        <f ca="1">IF(AND(MATCH($H30,LIKELIHOOD,0)=(5-ROW()+ROW($A30)),MATCH($I30,OFFSET(SCHED_IMPACT_PDE,0,MATCH($G30,ACTIVITY_IMPACTED,0)-1),0)=(COLUMN()-COLUMN($M30)+1)),"S","") &amp;  IF(AND(MATCH($H30,LIKELIHOOD,0)=(5-ROW()+ROW($A30)),MATCH($J30,OFFSET(COST_IMPACT_PDE,0,MATCH($G30,ACTIVITY_IMPACTED,0)-1),0)=(COLUMN()-COLUMN($M30)+1)),"C","")</f>
        <v>#N/A</v>
      </c>
      <c r="R34" s="248"/>
      <c r="S34" s="251"/>
      <c r="T34" s="124" t="s">
        <v>77</v>
      </c>
      <c r="U34" s="127"/>
    </row>
    <row r="35" spans="1:21" ht="22.95" customHeight="1" x14ac:dyDescent="0.3">
      <c r="A35" s="237"/>
      <c r="B35" s="239"/>
      <c r="C35" s="241"/>
      <c r="D35" s="239"/>
      <c r="E35" s="243"/>
      <c r="F35" s="245"/>
      <c r="G35" s="243"/>
      <c r="H35" s="243"/>
      <c r="I35" s="243"/>
      <c r="J35" s="243"/>
      <c r="K35" s="33"/>
      <c r="L35" s="34"/>
      <c r="M35" s="5" t="s">
        <v>24</v>
      </c>
      <c r="N35" s="5" t="s">
        <v>6</v>
      </c>
      <c r="O35" s="5" t="s">
        <v>11</v>
      </c>
      <c r="P35" s="5" t="s">
        <v>5</v>
      </c>
      <c r="Q35" s="5" t="s">
        <v>23</v>
      </c>
      <c r="R35" s="248"/>
      <c r="S35" s="251"/>
      <c r="T35" s="124" t="s">
        <v>76</v>
      </c>
      <c r="U35" s="127"/>
    </row>
    <row r="36" spans="1:21" ht="22.95" customHeight="1" x14ac:dyDescent="0.3">
      <c r="A36" s="237"/>
      <c r="B36" s="239"/>
      <c r="C36" s="241"/>
      <c r="D36" s="239"/>
      <c r="E36" s="243"/>
      <c r="F36" s="245"/>
      <c r="G36" s="243"/>
      <c r="H36" s="243"/>
      <c r="I36" s="243"/>
      <c r="J36" s="243"/>
      <c r="K36" s="35"/>
      <c r="L36" s="28"/>
      <c r="M36" s="252" t="s">
        <v>25</v>
      </c>
      <c r="N36" s="252"/>
      <c r="O36" s="252"/>
      <c r="P36" s="252"/>
      <c r="Q36" s="252"/>
      <c r="R36" s="249"/>
      <c r="S36" s="251"/>
      <c r="T36" s="124" t="s">
        <v>75</v>
      </c>
      <c r="U36" s="127"/>
    </row>
    <row r="37" spans="1:21" ht="23.25" customHeight="1" x14ac:dyDescent="0.3">
      <c r="A37" s="29"/>
      <c r="B37" s="30"/>
      <c r="C37" s="30"/>
      <c r="D37" s="30"/>
      <c r="E37" s="31"/>
      <c r="F37" s="31"/>
      <c r="G37" s="30"/>
      <c r="H37" s="30"/>
      <c r="I37" s="30"/>
      <c r="J37" s="30"/>
      <c r="K37" s="30"/>
      <c r="L37" s="30"/>
      <c r="M37" s="30"/>
      <c r="N37" s="30"/>
      <c r="O37" s="30"/>
      <c r="P37" s="30"/>
      <c r="Q37" s="30"/>
      <c r="R37" s="30"/>
      <c r="S37" s="36"/>
      <c r="T37" s="36"/>
      <c r="U37" s="36"/>
    </row>
    <row r="38" spans="1:21" ht="22.5" customHeight="1" x14ac:dyDescent="0.3"/>
    <row r="39" spans="1:21" ht="23.25" customHeight="1" x14ac:dyDescent="0.3">
      <c r="A39" s="228" t="s">
        <v>0</v>
      </c>
      <c r="B39" s="228"/>
      <c r="C39" s="228"/>
      <c r="D39" s="228"/>
      <c r="E39" s="228"/>
      <c r="F39" s="228"/>
      <c r="G39" s="229"/>
      <c r="H39" s="230" t="s">
        <v>1</v>
      </c>
      <c r="I39" s="230"/>
      <c r="J39" s="230"/>
      <c r="K39" s="230"/>
      <c r="L39" s="230"/>
      <c r="M39" s="230"/>
      <c r="N39" s="230"/>
      <c r="O39" s="230"/>
      <c r="P39" s="230"/>
      <c r="Q39" s="230"/>
      <c r="R39" s="231" t="s">
        <v>28</v>
      </c>
      <c r="S39" s="232"/>
      <c r="T39" s="232"/>
      <c r="U39" s="233"/>
    </row>
    <row r="40" spans="1:21" ht="91.95" customHeight="1" thickBot="1" x14ac:dyDescent="0.35">
      <c r="A40" s="32" t="s">
        <v>12</v>
      </c>
      <c r="B40" s="32" t="s">
        <v>2</v>
      </c>
      <c r="C40" s="32" t="s">
        <v>19</v>
      </c>
      <c r="D40" s="32" t="s">
        <v>8</v>
      </c>
      <c r="E40" s="12" t="s">
        <v>9</v>
      </c>
      <c r="F40" s="12" t="s">
        <v>7</v>
      </c>
      <c r="G40" s="13" t="s">
        <v>37</v>
      </c>
      <c r="H40" s="14" t="s">
        <v>22</v>
      </c>
      <c r="I40" s="14" t="s">
        <v>20</v>
      </c>
      <c r="J40" s="14" t="s">
        <v>10</v>
      </c>
      <c r="K40" s="234" t="s">
        <v>26</v>
      </c>
      <c r="L40" s="234"/>
      <c r="M40" s="235"/>
      <c r="N40" s="235"/>
      <c r="O40" s="235"/>
      <c r="P40" s="235"/>
      <c r="Q40" s="235"/>
      <c r="R40" s="37" t="s">
        <v>29</v>
      </c>
      <c r="S40" s="11" t="s">
        <v>30</v>
      </c>
      <c r="T40" s="226" t="s">
        <v>31</v>
      </c>
      <c r="U40" s="227"/>
    </row>
    <row r="41" spans="1:21" ht="22.95" customHeight="1" x14ac:dyDescent="0.3">
      <c r="A41" s="236">
        <v>4</v>
      </c>
      <c r="B41" s="238"/>
      <c r="C41" s="240"/>
      <c r="D41" s="238"/>
      <c r="E41" s="242"/>
      <c r="F41" s="244"/>
      <c r="G41" s="242"/>
      <c r="H41" s="242"/>
      <c r="I41" s="242"/>
      <c r="J41" s="242"/>
      <c r="K41" s="246" t="s">
        <v>22</v>
      </c>
      <c r="L41" s="4" t="s">
        <v>23</v>
      </c>
      <c r="M41" s="15" t="e">
        <f ca="1">IF(AND(MATCH($H41,LIKELIHOOD,0)=(5-ROW()+ROW($A41)),MATCH($I41,OFFSET(SCHED_IMPACT_PDE,0,MATCH($G41,ACTIVITY_IMPACTED,0)-1),0)=(COLUMN()-COLUMN($M41)+1)),"S","") &amp;  IF(AND(MATCH($H41,LIKELIHOOD,0)=(5-ROW()+ROW($A41)),MATCH($J41,OFFSET(COST_IMPACT_PDE,0,MATCH($G41,ACTIVITY_IMPACTED,0)-1),0)=(COLUMN()-COLUMN($M41)+1)),"C","")</f>
        <v>#N/A</v>
      </c>
      <c r="N41" s="16" t="e">
        <f ca="1">IF(AND(MATCH($H41,LIKELIHOOD,0)=(5-ROW()+ROW($A41)),MATCH($I41,OFFSET(SCHED_IMPACT_PDE,0,MATCH($G41,ACTIVITY_IMPACTED,0)-1),0)=(COLUMN()-COLUMN($M41)+1)),"S","") &amp;  IF(AND(MATCH($H41,LIKELIHOOD,0)=(5-ROW()+ROW($A41)),MATCH($J41,OFFSET(COST_IMPACT_PDE,0,MATCH($G41,ACTIVITY_IMPACTED,0)-1),0)=(COLUMN()-COLUMN($M41)+1)),"C","")</f>
        <v>#N/A</v>
      </c>
      <c r="O41" s="17" t="e">
        <f ca="1">IF(AND(MATCH($H41,LIKELIHOOD,0)=(5-ROW()+ROW($A41)),MATCH($I41,OFFSET(SCHED_IMPACT_PDE,0,MATCH($G41,ACTIVITY_IMPACTED,0)-1),0)=(COLUMN()-COLUMN($M41)+1)),"S","") &amp;  IF(AND(MATCH($H41,LIKELIHOOD,0)=(5-ROW()+ROW($A41)),MATCH($J41,OFFSET(COST_IMPACT_PDE,0,MATCH($G41,ACTIVITY_IMPACTED,0)-1),0)=(COLUMN()-COLUMN($M41)+1)),"C","")</f>
        <v>#N/A</v>
      </c>
      <c r="P41" s="17" t="e">
        <f ca="1">IF(AND(MATCH($H41,LIKELIHOOD,0)=(5-ROW()+ROW($A41)),MATCH($I41,OFFSET(SCHED_IMPACT_PDE,0,MATCH($G41,ACTIVITY_IMPACTED,0)-1),0)=(COLUMN()-COLUMN($M41)+1)),"S","") &amp;  IF(AND(MATCH($H41,LIKELIHOOD,0)=(5-ROW()+ROW($A41)),MATCH($J41,OFFSET(COST_IMPACT_PDE,0,MATCH($G41,ACTIVITY_IMPACTED,0)-1),0)=(COLUMN()-COLUMN($M41)+1)),"C","")</f>
        <v>#N/A</v>
      </c>
      <c r="Q41" s="18" t="e">
        <f ca="1">IF(AND(MATCH($H41,LIKELIHOOD,0)=(5-ROW()+ROW($A41)),MATCH($I41,OFFSET(SCHED_IMPACT_PDE,0,MATCH($G41,ACTIVITY_IMPACTED,0)-1),0)=(COLUMN()-COLUMN($M41)+1)),"S","") &amp;  IF(AND(MATCH($H41,LIKELIHOOD,0)=(5-ROW()+ROW($A41)),MATCH($J41,OFFSET(COST_IMPACT_PDE,0,MATCH($G41,ACTIVITY_IMPACTED,0)-1),0)=(COLUMN()-COLUMN($M41)+1)),"C","")</f>
        <v>#N/A</v>
      </c>
      <c r="R41" s="247"/>
      <c r="S41" s="250"/>
      <c r="T41" s="221"/>
      <c r="U41" s="224"/>
    </row>
    <row r="42" spans="1:21" ht="22.95" customHeight="1" x14ac:dyDescent="0.3">
      <c r="A42" s="237"/>
      <c r="B42" s="239"/>
      <c r="C42" s="241"/>
      <c r="D42" s="239"/>
      <c r="E42" s="243"/>
      <c r="F42" s="245"/>
      <c r="G42" s="243"/>
      <c r="H42" s="243"/>
      <c r="I42" s="243"/>
      <c r="J42" s="243"/>
      <c r="K42" s="246"/>
      <c r="L42" s="4" t="s">
        <v>5</v>
      </c>
      <c r="M42" s="19" t="e">
        <f ca="1">IF(AND(MATCH($H41,LIKELIHOOD,0)=(5-ROW()+ROW($A41)),MATCH($I41,OFFSET(SCHED_IMPACT_PDE,0,MATCH($G41,ACTIVITY_IMPACTED,0)-1),0)=(COLUMN()-COLUMN($M41)+1)),"S","") &amp;  IF(AND(MATCH($H41,LIKELIHOOD,0)=(5-ROW()+ROW($A41)),MATCH($J41,OFFSET(COST_IMPACT_PDE,0,MATCH($G41,ACTIVITY_IMPACTED,0)-1),0)=(COLUMN()-COLUMN($M41)+1)),"C","")</f>
        <v>#N/A</v>
      </c>
      <c r="N42" s="20" t="e">
        <f ca="1">IF(AND(MATCH($H41,LIKELIHOOD,0)=(5-ROW()+ROW($A41)),MATCH($I41,OFFSET(SCHED_IMPACT_PDE,0,MATCH($G41,ACTIVITY_IMPACTED,0)-1),0)=(COLUMN()-COLUMN($M41)+1)),"S","") &amp;  IF(AND(MATCH($H41,LIKELIHOOD,0)=(5-ROW()+ROW($A41)),MATCH($J41,OFFSET(COST_IMPACT_PDE,0,MATCH($G41,ACTIVITY_IMPACTED,0)-1),0)=(COLUMN()-COLUMN($M41)+1)),"C","")</f>
        <v>#N/A</v>
      </c>
      <c r="O42" s="21" t="e">
        <f ca="1">IF(AND(MATCH($H41,LIKELIHOOD,0)=(5-ROW()+ROW($A41)),MATCH($I41,OFFSET(SCHED_IMPACT_PDE,0,MATCH($G41,ACTIVITY_IMPACTED,0)-1),0)=(COLUMN()-COLUMN($M41)+1)),"S","") &amp;  IF(AND(MATCH($H41,LIKELIHOOD,0)=(5-ROW()+ROW($A41)),MATCH($J41,OFFSET(COST_IMPACT_PDE,0,MATCH($G41,ACTIVITY_IMPACTED,0)-1),0)=(COLUMN()-COLUMN($M41)+1)),"C","")</f>
        <v>#N/A</v>
      </c>
      <c r="P42" s="21" t="e">
        <f ca="1">IF(AND(MATCH($H41,LIKELIHOOD,0)=(5-ROW()+ROW($A41)),MATCH($I41,OFFSET(SCHED_IMPACT_PDE,0,MATCH($G41,ACTIVITY_IMPACTED,0)-1),0)=(COLUMN()-COLUMN($M41)+1)),"S","") &amp;  IF(AND(MATCH($H41,LIKELIHOOD,0)=(5-ROW()+ROW($A41)),MATCH($J41,OFFSET(COST_IMPACT_PDE,0,MATCH($G41,ACTIVITY_IMPACTED,0)-1),0)=(COLUMN()-COLUMN($M41)+1)),"C","")</f>
        <v>#N/A</v>
      </c>
      <c r="Q42" s="22" t="e">
        <f ca="1">IF(AND(MATCH($H41,LIKELIHOOD,0)=(5-ROW()+ROW($A41)),MATCH($I41,OFFSET(SCHED_IMPACT_PDE,0,MATCH($G41,ACTIVITY_IMPACTED,0)-1),0)=(COLUMN()-COLUMN($M41)+1)),"S","") &amp;  IF(AND(MATCH($H41,LIKELIHOOD,0)=(5-ROW()+ROW($A41)),MATCH($J41,OFFSET(COST_IMPACT_PDE,0,MATCH($G41,ACTIVITY_IMPACTED,0)-1),0)=(COLUMN()-COLUMN($M41)+1)),"C","")</f>
        <v>#N/A</v>
      </c>
      <c r="R42" s="248"/>
      <c r="S42" s="251"/>
      <c r="T42" s="222"/>
      <c r="U42" s="225"/>
    </row>
    <row r="43" spans="1:21" ht="22.95" customHeight="1" x14ac:dyDescent="0.3">
      <c r="A43" s="237"/>
      <c r="B43" s="239"/>
      <c r="C43" s="241"/>
      <c r="D43" s="239"/>
      <c r="E43" s="243"/>
      <c r="F43" s="245"/>
      <c r="G43" s="243"/>
      <c r="H43" s="243"/>
      <c r="I43" s="243"/>
      <c r="J43" s="243"/>
      <c r="K43" s="246"/>
      <c r="L43" s="4" t="s">
        <v>11</v>
      </c>
      <c r="M43" s="19" t="e">
        <f ca="1">IF(AND(MATCH($H41,LIKELIHOOD,0)=(5-ROW()+ROW($A41)),MATCH($I41,OFFSET(SCHED_IMPACT_PDE,0,MATCH($G41,ACTIVITY_IMPACTED,0)-1),0)=(COLUMN()-COLUMN($M41)+1)),"S","") &amp;  IF(AND(MATCH($H41,LIKELIHOOD,0)=(5-ROW()+ROW($A41)),MATCH($J41,OFFSET(COST_IMPACT_PDE,0,MATCH($G41,ACTIVITY_IMPACTED,0)-1),0)=(COLUMN()-COLUMN($M41)+1)),"C","")</f>
        <v>#N/A</v>
      </c>
      <c r="N43" s="23" t="e">
        <f ca="1">IF(AND(MATCH($H41,LIKELIHOOD,0)=(5-ROW()+ROW($A41)),MATCH($I41,OFFSET(SCHED_IMPACT_PDE,0,MATCH($G41,ACTIVITY_IMPACTED,0)-1),0)=(COLUMN()-COLUMN($M41)+1)),"S","") &amp;  IF(AND(MATCH($H41,LIKELIHOOD,0)=(5-ROW()+ROW($A41)),MATCH($J41,OFFSET(COST_IMPACT_PDE,0,MATCH($G41,ACTIVITY_IMPACTED,0)-1),0)=(COLUMN()-COLUMN($M41)+1)),"C","")</f>
        <v>#N/A</v>
      </c>
      <c r="O43" s="20" t="e">
        <f ca="1">IF(AND(MATCH($H41,LIKELIHOOD,0)=(5-ROW()+ROW($A41)),MATCH($I41,OFFSET(SCHED_IMPACT_PDE,0,MATCH($G41,ACTIVITY_IMPACTED,0)-1),0)=(COLUMN()-COLUMN($M41)+1)),"S","") &amp;  IF(AND(MATCH($H41,LIKELIHOOD,0)=(5-ROW()+ROW($A41)),MATCH($J41,OFFSET(COST_IMPACT_PDE,0,MATCH($G41,ACTIVITY_IMPACTED,0)-1),0)=(COLUMN()-COLUMN($M41)+1)),"C","")</f>
        <v>#N/A</v>
      </c>
      <c r="P43" s="21" t="e">
        <f ca="1">IF(AND(MATCH($H41,LIKELIHOOD,0)=(5-ROW()+ROW($A41)),MATCH($I41,OFFSET(SCHED_IMPACT_PDE,0,MATCH($G41,ACTIVITY_IMPACTED,0)-1),0)=(COLUMN()-COLUMN($M41)+1)),"S","") &amp;  IF(AND(MATCH($H41,LIKELIHOOD,0)=(5-ROW()+ROW($A41)),MATCH($J41,OFFSET(COST_IMPACT_PDE,0,MATCH($G41,ACTIVITY_IMPACTED,0)-1),0)=(COLUMN()-COLUMN($M41)+1)),"C","")</f>
        <v>#N/A</v>
      </c>
      <c r="Q43" s="22" t="e">
        <f ca="1">IF(AND(MATCH($H41,LIKELIHOOD,0)=(5-ROW()+ROW($A41)),MATCH($I41,OFFSET(SCHED_IMPACT_PDE,0,MATCH($G41,ACTIVITY_IMPACTED,0)-1),0)=(COLUMN()-COLUMN($M41)+1)),"S","") &amp;  IF(AND(MATCH($H41,LIKELIHOOD,0)=(5-ROW()+ROW($A41)),MATCH($J41,OFFSET(COST_IMPACT_PDE,0,MATCH($G41,ACTIVITY_IMPACTED,0)-1),0)=(COLUMN()-COLUMN($M41)+1)),"C","")</f>
        <v>#N/A</v>
      </c>
      <c r="R43" s="248"/>
      <c r="S43" s="251"/>
      <c r="T43" s="222"/>
      <c r="U43" s="225"/>
    </row>
    <row r="44" spans="1:21" ht="22.95" customHeight="1" x14ac:dyDescent="0.3">
      <c r="A44" s="237"/>
      <c r="B44" s="239"/>
      <c r="C44" s="241"/>
      <c r="D44" s="239"/>
      <c r="E44" s="243"/>
      <c r="F44" s="245"/>
      <c r="G44" s="243"/>
      <c r="H44" s="243"/>
      <c r="I44" s="243"/>
      <c r="J44" s="243"/>
      <c r="K44" s="246"/>
      <c r="L44" s="4" t="s">
        <v>6</v>
      </c>
      <c r="M44" s="19" t="e">
        <f ca="1">IF(AND(MATCH($H41,LIKELIHOOD,0)=(5-ROW()+ROW($A41)),MATCH($I41,OFFSET(SCHED_IMPACT_PDE,0,MATCH($G41,ACTIVITY_IMPACTED,0)-1),0)=(COLUMN()-COLUMN($M41)+1)),"S","") &amp;  IF(AND(MATCH($H41,LIKELIHOOD,0)=(5-ROW()+ROW($A41)),MATCH($J41,OFFSET(COST_IMPACT_PDE,0,MATCH($G41,ACTIVITY_IMPACTED,0)-1),0)=(COLUMN()-COLUMN($M41)+1)),"C","")</f>
        <v>#N/A</v>
      </c>
      <c r="N44" s="23" t="e">
        <f ca="1">IF(AND(MATCH($H41,LIKELIHOOD,0)=(5-ROW()+ROW($A41)),MATCH($I41,OFFSET(SCHED_IMPACT_PDE,0,MATCH($G41,ACTIVITY_IMPACTED,0)-1),0)=(COLUMN()-COLUMN($M41)+1)),"S","") &amp;  IF(AND(MATCH($H41,LIKELIHOOD,0)=(5-ROW()+ROW($A41)),MATCH($J41,OFFSET(COST_IMPACT_PDE,0,MATCH($G41,ACTIVITY_IMPACTED,0)-1),0)=(COLUMN()-COLUMN($M41)+1)),"C","")</f>
        <v>#N/A</v>
      </c>
      <c r="O44" s="20" t="e">
        <f ca="1">IF(AND(MATCH($H41,LIKELIHOOD,0)=(5-ROW()+ROW($A41)),MATCH($I41,OFFSET(SCHED_IMPACT_PDE,0,MATCH($G41,ACTIVITY_IMPACTED,0)-1),0)=(COLUMN()-COLUMN($M41)+1)),"S","") &amp;  IF(AND(MATCH($H41,LIKELIHOOD,0)=(5-ROW()+ROW($A41)),MATCH($J41,OFFSET(COST_IMPACT_PDE,0,MATCH($G41,ACTIVITY_IMPACTED,0)-1),0)=(COLUMN()-COLUMN($M41)+1)),"C","")</f>
        <v>#N/A</v>
      </c>
      <c r="P44" s="21" t="e">
        <f ca="1">IF(AND(MATCH($H41,LIKELIHOOD,0)=(5-ROW()+ROW($A41)),MATCH($I41,OFFSET(SCHED_IMPACT_PDE,0,MATCH($G41,ACTIVITY_IMPACTED,0)-1),0)=(COLUMN()-COLUMN($M41)+1)),"S","") &amp;  IF(AND(MATCH($H41,LIKELIHOOD,0)=(5-ROW()+ROW($A41)),MATCH($J41,OFFSET(COST_IMPACT_PDE,0,MATCH($G41,ACTIVITY_IMPACTED,0)-1),0)=(COLUMN()-COLUMN($M41)+1)),"C","")</f>
        <v>#N/A</v>
      </c>
      <c r="Q44" s="22" t="e">
        <f ca="1">IF(AND(MATCH($H41,LIKELIHOOD,0)=(5-ROW()+ROW($A41)),MATCH($I41,OFFSET(SCHED_IMPACT_PDE,0,MATCH($G41,ACTIVITY_IMPACTED,0)-1),0)=(COLUMN()-COLUMN($M41)+1)),"S","") &amp;  IF(AND(MATCH($H41,LIKELIHOOD,0)=(5-ROW()+ROW($A41)),MATCH($J41,OFFSET(COST_IMPACT_PDE,0,MATCH($G41,ACTIVITY_IMPACTED,0)-1),0)=(COLUMN()-COLUMN($M41)+1)),"C","")</f>
        <v>#N/A</v>
      </c>
      <c r="R44" s="248"/>
      <c r="S44" s="251"/>
      <c r="T44" s="223"/>
      <c r="U44" s="225"/>
    </row>
    <row r="45" spans="1:21" ht="22.95" customHeight="1" thickBot="1" x14ac:dyDescent="0.35">
      <c r="A45" s="237"/>
      <c r="B45" s="239"/>
      <c r="C45" s="241"/>
      <c r="D45" s="239"/>
      <c r="E45" s="243"/>
      <c r="F45" s="245"/>
      <c r="G45" s="243"/>
      <c r="H45" s="243"/>
      <c r="I45" s="243"/>
      <c r="J45" s="243"/>
      <c r="K45" s="246"/>
      <c r="L45" s="4" t="s">
        <v>24</v>
      </c>
      <c r="M45" s="24" t="e">
        <f ca="1">IF(AND(MATCH($H41,LIKELIHOOD,0)=(5-ROW()+ROW($A41)),MATCH($I41,OFFSET(SCHED_IMPACT_PDE,0,MATCH($G41,ACTIVITY_IMPACTED,0)-1),0)=(COLUMN()-COLUMN($M41)+1)),"S","") &amp;  IF(AND(MATCH($H41,LIKELIHOOD,0)=(5-ROW()+ROW($A41)),MATCH($J41,OFFSET(COST_IMPACT_PDE,0,MATCH($G41,ACTIVITY_IMPACTED,0)-1),0)=(COLUMN()-COLUMN($M41)+1)),"C","")</f>
        <v>#N/A</v>
      </c>
      <c r="N45" s="25" t="e">
        <f ca="1">IF(AND(MATCH($H41,LIKELIHOOD,0)=(5-ROW()+ROW($A41)),MATCH($I41,OFFSET(SCHED_IMPACT_PDE,0,MATCH($G41,ACTIVITY_IMPACTED,0)-1),0)=(COLUMN()-COLUMN($M41)+1)),"S","") &amp;  IF(AND(MATCH($H41,LIKELIHOOD,0)=(5-ROW()+ROW($A41)),MATCH($J41,OFFSET(COST_IMPACT_PDE,0,MATCH($G41,ACTIVITY_IMPACTED,0)-1),0)=(COLUMN()-COLUMN($M41)+1)),"C","")</f>
        <v>#N/A</v>
      </c>
      <c r="O45" s="25" t="e">
        <f ca="1">IF(AND(MATCH($H41,LIKELIHOOD,0)=(5-ROW()+ROW($A41)),MATCH($I41,OFFSET(SCHED_IMPACT_PDE,0,MATCH($G41,ACTIVITY_IMPACTED,0)-1),0)=(COLUMN()-COLUMN($M41)+1)),"S","") &amp;  IF(AND(MATCH($H41,LIKELIHOOD,0)=(5-ROW()+ROW($A41)),MATCH($J41,OFFSET(COST_IMPACT_PDE,0,MATCH($G41,ACTIVITY_IMPACTED,0)-1),0)=(COLUMN()-COLUMN($M41)+1)),"C","")</f>
        <v>#N/A</v>
      </c>
      <c r="P45" s="26" t="e">
        <f ca="1">IF(AND(MATCH($H41,LIKELIHOOD,0)=(5-ROW()+ROW($A41)),MATCH($I41,OFFSET(SCHED_IMPACT_PDE,0,MATCH($G41,ACTIVITY_IMPACTED,0)-1),0)=(COLUMN()-COLUMN($M41)+1)),"S","") &amp;  IF(AND(MATCH($H41,LIKELIHOOD,0)=(5-ROW()+ROW($A41)),MATCH($J41,OFFSET(COST_IMPACT_PDE,0,MATCH($G41,ACTIVITY_IMPACTED,0)-1),0)=(COLUMN()-COLUMN($M41)+1)),"C","")</f>
        <v>#N/A</v>
      </c>
      <c r="Q45" s="27" t="e">
        <f ca="1">IF(AND(MATCH($H41,LIKELIHOOD,0)=(5-ROW()+ROW($A41)),MATCH($I41,OFFSET(SCHED_IMPACT_PDE,0,MATCH($G41,ACTIVITY_IMPACTED,0)-1),0)=(COLUMN()-COLUMN($M41)+1)),"S","") &amp;  IF(AND(MATCH($H41,LIKELIHOOD,0)=(5-ROW()+ROW($A41)),MATCH($J41,OFFSET(COST_IMPACT_PDE,0,MATCH($G41,ACTIVITY_IMPACTED,0)-1),0)=(COLUMN()-COLUMN($M41)+1)),"C","")</f>
        <v>#N/A</v>
      </c>
      <c r="R45" s="248"/>
      <c r="S45" s="251"/>
      <c r="T45" s="124" t="s">
        <v>77</v>
      </c>
      <c r="U45" s="127"/>
    </row>
    <row r="46" spans="1:21" ht="22.95" customHeight="1" x14ac:dyDescent="0.3">
      <c r="A46" s="237"/>
      <c r="B46" s="239"/>
      <c r="C46" s="241"/>
      <c r="D46" s="239"/>
      <c r="E46" s="243"/>
      <c r="F46" s="245"/>
      <c r="G46" s="243"/>
      <c r="H46" s="243"/>
      <c r="I46" s="243"/>
      <c r="J46" s="243"/>
      <c r="K46" s="33"/>
      <c r="L46" s="34"/>
      <c r="M46" s="5" t="s">
        <v>24</v>
      </c>
      <c r="N46" s="5" t="s">
        <v>6</v>
      </c>
      <c r="O46" s="5" t="s">
        <v>11</v>
      </c>
      <c r="P46" s="5" t="s">
        <v>5</v>
      </c>
      <c r="Q46" s="5" t="s">
        <v>23</v>
      </c>
      <c r="R46" s="248"/>
      <c r="S46" s="251"/>
      <c r="T46" s="124" t="s">
        <v>76</v>
      </c>
      <c r="U46" s="127"/>
    </row>
    <row r="47" spans="1:21" ht="22.95" customHeight="1" x14ac:dyDescent="0.3">
      <c r="A47" s="237"/>
      <c r="B47" s="239"/>
      <c r="C47" s="241"/>
      <c r="D47" s="239"/>
      <c r="E47" s="243"/>
      <c r="F47" s="245"/>
      <c r="G47" s="243"/>
      <c r="H47" s="243"/>
      <c r="I47" s="243"/>
      <c r="J47" s="243"/>
      <c r="K47" s="35"/>
      <c r="L47" s="28"/>
      <c r="M47" s="252" t="s">
        <v>25</v>
      </c>
      <c r="N47" s="252"/>
      <c r="O47" s="252"/>
      <c r="P47" s="252"/>
      <c r="Q47" s="252"/>
      <c r="R47" s="249"/>
      <c r="S47" s="251"/>
      <c r="T47" s="124" t="s">
        <v>75</v>
      </c>
      <c r="U47" s="127"/>
    </row>
    <row r="48" spans="1:21" ht="22.5" customHeight="1" x14ac:dyDescent="0.3">
      <c r="A48" s="29"/>
      <c r="B48" s="30"/>
      <c r="C48" s="30"/>
      <c r="D48" s="30"/>
      <c r="E48" s="31"/>
      <c r="F48" s="31"/>
      <c r="G48" s="30"/>
      <c r="H48" s="30"/>
      <c r="I48" s="30"/>
      <c r="J48" s="30"/>
      <c r="K48" s="30"/>
      <c r="L48" s="30"/>
      <c r="M48" s="30"/>
      <c r="N48" s="30"/>
      <c r="O48" s="30"/>
      <c r="P48" s="30"/>
      <c r="Q48" s="30"/>
      <c r="R48" s="30"/>
      <c r="S48" s="36"/>
      <c r="T48" s="36"/>
      <c r="U48" s="36"/>
    </row>
    <row r="49" spans="1:21" ht="23.25" customHeight="1" x14ac:dyDescent="0.3"/>
    <row r="50" spans="1:21" ht="23.25" customHeight="1" x14ac:dyDescent="0.3">
      <c r="A50" s="228" t="s">
        <v>0</v>
      </c>
      <c r="B50" s="228"/>
      <c r="C50" s="228"/>
      <c r="D50" s="228"/>
      <c r="E50" s="228"/>
      <c r="F50" s="228"/>
      <c r="G50" s="229"/>
      <c r="H50" s="230" t="s">
        <v>1</v>
      </c>
      <c r="I50" s="230"/>
      <c r="J50" s="230"/>
      <c r="K50" s="230"/>
      <c r="L50" s="230"/>
      <c r="M50" s="230"/>
      <c r="N50" s="230"/>
      <c r="O50" s="230"/>
      <c r="P50" s="230"/>
      <c r="Q50" s="230"/>
      <c r="R50" s="231" t="s">
        <v>28</v>
      </c>
      <c r="S50" s="232"/>
      <c r="T50" s="232"/>
      <c r="U50" s="233"/>
    </row>
    <row r="51" spans="1:21" ht="91.95" customHeight="1" thickBot="1" x14ac:dyDescent="0.35">
      <c r="A51" s="32" t="s">
        <v>12</v>
      </c>
      <c r="B51" s="32" t="s">
        <v>2</v>
      </c>
      <c r="C51" s="32" t="s">
        <v>19</v>
      </c>
      <c r="D51" s="32" t="s">
        <v>8</v>
      </c>
      <c r="E51" s="12" t="s">
        <v>9</v>
      </c>
      <c r="F51" s="12" t="s">
        <v>7</v>
      </c>
      <c r="G51" s="13" t="s">
        <v>37</v>
      </c>
      <c r="H51" s="14" t="s">
        <v>22</v>
      </c>
      <c r="I51" s="14" t="s">
        <v>20</v>
      </c>
      <c r="J51" s="14" t="s">
        <v>10</v>
      </c>
      <c r="K51" s="234" t="s">
        <v>26</v>
      </c>
      <c r="L51" s="234"/>
      <c r="M51" s="235"/>
      <c r="N51" s="235"/>
      <c r="O51" s="235"/>
      <c r="P51" s="235"/>
      <c r="Q51" s="235"/>
      <c r="R51" s="37" t="s">
        <v>29</v>
      </c>
      <c r="S51" s="11" t="s">
        <v>30</v>
      </c>
      <c r="T51" s="226" t="s">
        <v>31</v>
      </c>
      <c r="U51" s="227"/>
    </row>
    <row r="52" spans="1:21" ht="22.95" customHeight="1" x14ac:dyDescent="0.3">
      <c r="A52" s="236">
        <v>5</v>
      </c>
      <c r="B52" s="238"/>
      <c r="C52" s="240"/>
      <c r="D52" s="238"/>
      <c r="E52" s="242"/>
      <c r="F52" s="244"/>
      <c r="G52" s="242"/>
      <c r="H52" s="242"/>
      <c r="I52" s="242"/>
      <c r="J52" s="242"/>
      <c r="K52" s="246" t="s">
        <v>22</v>
      </c>
      <c r="L52" s="4" t="s">
        <v>23</v>
      </c>
      <c r="M52" s="15" t="e">
        <f ca="1">IF(AND(MATCH($H52,LIKELIHOOD,0)=(5-ROW()+ROW($A52)),MATCH($I52,OFFSET(SCHED_IMPACT_PDE,0,MATCH($G52,ACTIVITY_IMPACTED,0)-1),0)=(COLUMN()-COLUMN($M52)+1)),"S","") &amp;  IF(AND(MATCH($H52,LIKELIHOOD,0)=(5-ROW()+ROW($A52)),MATCH($J52,OFFSET(COST_IMPACT_PDE,0,MATCH($G52,ACTIVITY_IMPACTED,0)-1),0)=(COLUMN()-COLUMN($M52)+1)),"C","")</f>
        <v>#N/A</v>
      </c>
      <c r="N52" s="16" t="e">
        <f ca="1">IF(AND(MATCH($H52,LIKELIHOOD,0)=(5-ROW()+ROW($A52)),MATCH($I52,OFFSET(SCHED_IMPACT_PDE,0,MATCH($G52,ACTIVITY_IMPACTED,0)-1),0)=(COLUMN()-COLUMN($M52)+1)),"S","") &amp;  IF(AND(MATCH($H52,LIKELIHOOD,0)=(5-ROW()+ROW($A52)),MATCH($J52,OFFSET(COST_IMPACT_PDE,0,MATCH($G52,ACTIVITY_IMPACTED,0)-1),0)=(COLUMN()-COLUMN($M52)+1)),"C","")</f>
        <v>#N/A</v>
      </c>
      <c r="O52" s="17" t="e">
        <f ca="1">IF(AND(MATCH($H52,LIKELIHOOD,0)=(5-ROW()+ROW($A52)),MATCH($I52,OFFSET(SCHED_IMPACT_PDE,0,MATCH($G52,ACTIVITY_IMPACTED,0)-1),0)=(COLUMN()-COLUMN($M52)+1)),"S","") &amp;  IF(AND(MATCH($H52,LIKELIHOOD,0)=(5-ROW()+ROW($A52)),MATCH($J52,OFFSET(COST_IMPACT_PDE,0,MATCH($G52,ACTIVITY_IMPACTED,0)-1),0)=(COLUMN()-COLUMN($M52)+1)),"C","")</f>
        <v>#N/A</v>
      </c>
      <c r="P52" s="17" t="e">
        <f ca="1">IF(AND(MATCH($H52,LIKELIHOOD,0)=(5-ROW()+ROW($A52)),MATCH($I52,OFFSET(SCHED_IMPACT_PDE,0,MATCH($G52,ACTIVITY_IMPACTED,0)-1),0)=(COLUMN()-COLUMN($M52)+1)),"S","") &amp;  IF(AND(MATCH($H52,LIKELIHOOD,0)=(5-ROW()+ROW($A52)),MATCH($J52,OFFSET(COST_IMPACT_PDE,0,MATCH($G52,ACTIVITY_IMPACTED,0)-1),0)=(COLUMN()-COLUMN($M52)+1)),"C","")</f>
        <v>#N/A</v>
      </c>
      <c r="Q52" s="18" t="e">
        <f ca="1">IF(AND(MATCH($H52,LIKELIHOOD,0)=(5-ROW()+ROW($A52)),MATCH($I52,OFFSET(SCHED_IMPACT_PDE,0,MATCH($G52,ACTIVITY_IMPACTED,0)-1),0)=(COLUMN()-COLUMN($M52)+1)),"S","") &amp;  IF(AND(MATCH($H52,LIKELIHOOD,0)=(5-ROW()+ROW($A52)),MATCH($J52,OFFSET(COST_IMPACT_PDE,0,MATCH($G52,ACTIVITY_IMPACTED,0)-1),0)=(COLUMN()-COLUMN($M52)+1)),"C","")</f>
        <v>#N/A</v>
      </c>
      <c r="R52" s="247"/>
      <c r="S52" s="250"/>
      <c r="T52" s="221"/>
      <c r="U52" s="224"/>
    </row>
    <row r="53" spans="1:21" ht="22.95" customHeight="1" x14ac:dyDescent="0.3">
      <c r="A53" s="237"/>
      <c r="B53" s="239"/>
      <c r="C53" s="241"/>
      <c r="D53" s="239"/>
      <c r="E53" s="243"/>
      <c r="F53" s="245"/>
      <c r="G53" s="243"/>
      <c r="H53" s="243"/>
      <c r="I53" s="243"/>
      <c r="J53" s="243"/>
      <c r="K53" s="246"/>
      <c r="L53" s="4" t="s">
        <v>5</v>
      </c>
      <c r="M53" s="19" t="e">
        <f ca="1">IF(AND(MATCH($H52,LIKELIHOOD,0)=(5-ROW()+ROW($A52)),MATCH($I52,OFFSET(SCHED_IMPACT_PDE,0,MATCH($G52,ACTIVITY_IMPACTED,0)-1),0)=(COLUMN()-COLUMN($M52)+1)),"S","") &amp;  IF(AND(MATCH($H52,LIKELIHOOD,0)=(5-ROW()+ROW($A52)),MATCH($J52,OFFSET(COST_IMPACT_PDE,0,MATCH($G52,ACTIVITY_IMPACTED,0)-1),0)=(COLUMN()-COLUMN($M52)+1)),"C","")</f>
        <v>#N/A</v>
      </c>
      <c r="N53" s="20" t="e">
        <f ca="1">IF(AND(MATCH($H52,LIKELIHOOD,0)=(5-ROW()+ROW($A52)),MATCH($I52,OFFSET(SCHED_IMPACT_PDE,0,MATCH($G52,ACTIVITY_IMPACTED,0)-1),0)=(COLUMN()-COLUMN($M52)+1)),"S","") &amp;  IF(AND(MATCH($H52,LIKELIHOOD,0)=(5-ROW()+ROW($A52)),MATCH($J52,OFFSET(COST_IMPACT_PDE,0,MATCH($G52,ACTIVITY_IMPACTED,0)-1),0)=(COLUMN()-COLUMN($M52)+1)),"C","")</f>
        <v>#N/A</v>
      </c>
      <c r="O53" s="21" t="e">
        <f ca="1">IF(AND(MATCH($H52,LIKELIHOOD,0)=(5-ROW()+ROW($A52)),MATCH($I52,OFFSET(SCHED_IMPACT_PDE,0,MATCH($G52,ACTIVITY_IMPACTED,0)-1),0)=(COLUMN()-COLUMN($M52)+1)),"S","") &amp;  IF(AND(MATCH($H52,LIKELIHOOD,0)=(5-ROW()+ROW($A52)),MATCH($J52,OFFSET(COST_IMPACT_PDE,0,MATCH($G52,ACTIVITY_IMPACTED,0)-1),0)=(COLUMN()-COLUMN($M52)+1)),"C","")</f>
        <v>#N/A</v>
      </c>
      <c r="P53" s="21" t="e">
        <f ca="1">IF(AND(MATCH($H52,LIKELIHOOD,0)=(5-ROW()+ROW($A52)),MATCH($I52,OFFSET(SCHED_IMPACT_PDE,0,MATCH($G52,ACTIVITY_IMPACTED,0)-1),0)=(COLUMN()-COLUMN($M52)+1)),"S","") &amp;  IF(AND(MATCH($H52,LIKELIHOOD,0)=(5-ROW()+ROW($A52)),MATCH($J52,OFFSET(COST_IMPACT_PDE,0,MATCH($G52,ACTIVITY_IMPACTED,0)-1),0)=(COLUMN()-COLUMN($M52)+1)),"C","")</f>
        <v>#N/A</v>
      </c>
      <c r="Q53" s="22" t="e">
        <f ca="1">IF(AND(MATCH($H52,LIKELIHOOD,0)=(5-ROW()+ROW($A52)),MATCH($I52,OFFSET(SCHED_IMPACT_PDE,0,MATCH($G52,ACTIVITY_IMPACTED,0)-1),0)=(COLUMN()-COLUMN($M52)+1)),"S","") &amp;  IF(AND(MATCH($H52,LIKELIHOOD,0)=(5-ROW()+ROW($A52)),MATCH($J52,OFFSET(COST_IMPACT_PDE,0,MATCH($G52,ACTIVITY_IMPACTED,0)-1),0)=(COLUMN()-COLUMN($M52)+1)),"C","")</f>
        <v>#N/A</v>
      </c>
      <c r="R53" s="248"/>
      <c r="S53" s="251"/>
      <c r="T53" s="222"/>
      <c r="U53" s="225"/>
    </row>
    <row r="54" spans="1:21" ht="22.95" customHeight="1" x14ac:dyDescent="0.3">
      <c r="A54" s="237"/>
      <c r="B54" s="239"/>
      <c r="C54" s="241"/>
      <c r="D54" s="239"/>
      <c r="E54" s="243"/>
      <c r="F54" s="245"/>
      <c r="G54" s="243"/>
      <c r="H54" s="243"/>
      <c r="I54" s="243"/>
      <c r="J54" s="243"/>
      <c r="K54" s="246"/>
      <c r="L54" s="4" t="s">
        <v>11</v>
      </c>
      <c r="M54" s="19" t="e">
        <f ca="1">IF(AND(MATCH($H52,LIKELIHOOD,0)=(5-ROW()+ROW($A52)),MATCH($I52,OFFSET(SCHED_IMPACT_PDE,0,MATCH($G52,ACTIVITY_IMPACTED,0)-1),0)=(COLUMN()-COLUMN($M52)+1)),"S","") &amp;  IF(AND(MATCH($H52,LIKELIHOOD,0)=(5-ROW()+ROW($A52)),MATCH($J52,OFFSET(COST_IMPACT_PDE,0,MATCH($G52,ACTIVITY_IMPACTED,0)-1),0)=(COLUMN()-COLUMN($M52)+1)),"C","")</f>
        <v>#N/A</v>
      </c>
      <c r="N54" s="23" t="e">
        <f ca="1">IF(AND(MATCH($H52,LIKELIHOOD,0)=(5-ROW()+ROW($A52)),MATCH($I52,OFFSET(SCHED_IMPACT_PDE,0,MATCH($G52,ACTIVITY_IMPACTED,0)-1),0)=(COLUMN()-COLUMN($M52)+1)),"S","") &amp;  IF(AND(MATCH($H52,LIKELIHOOD,0)=(5-ROW()+ROW($A52)),MATCH($J52,OFFSET(COST_IMPACT_PDE,0,MATCH($G52,ACTIVITY_IMPACTED,0)-1),0)=(COLUMN()-COLUMN($M52)+1)),"C","")</f>
        <v>#N/A</v>
      </c>
      <c r="O54" s="20" t="e">
        <f ca="1">IF(AND(MATCH($H52,LIKELIHOOD,0)=(5-ROW()+ROW($A52)),MATCH($I52,OFFSET(SCHED_IMPACT_PDE,0,MATCH($G52,ACTIVITY_IMPACTED,0)-1),0)=(COLUMN()-COLUMN($M52)+1)),"S","") &amp;  IF(AND(MATCH($H52,LIKELIHOOD,0)=(5-ROW()+ROW($A52)),MATCH($J52,OFFSET(COST_IMPACT_PDE,0,MATCH($G52,ACTIVITY_IMPACTED,0)-1),0)=(COLUMN()-COLUMN($M52)+1)),"C","")</f>
        <v>#N/A</v>
      </c>
      <c r="P54" s="21" t="e">
        <f ca="1">IF(AND(MATCH($H52,LIKELIHOOD,0)=(5-ROW()+ROW($A52)),MATCH($I52,OFFSET(SCHED_IMPACT_PDE,0,MATCH($G52,ACTIVITY_IMPACTED,0)-1),0)=(COLUMN()-COLUMN($M52)+1)),"S","") &amp;  IF(AND(MATCH($H52,LIKELIHOOD,0)=(5-ROW()+ROW($A52)),MATCH($J52,OFFSET(COST_IMPACT_PDE,0,MATCH($G52,ACTIVITY_IMPACTED,0)-1),0)=(COLUMN()-COLUMN($M52)+1)),"C","")</f>
        <v>#N/A</v>
      </c>
      <c r="Q54" s="22" t="e">
        <f ca="1">IF(AND(MATCH($H52,LIKELIHOOD,0)=(5-ROW()+ROW($A52)),MATCH($I52,OFFSET(SCHED_IMPACT_PDE,0,MATCH($G52,ACTIVITY_IMPACTED,0)-1),0)=(COLUMN()-COLUMN($M52)+1)),"S","") &amp;  IF(AND(MATCH($H52,LIKELIHOOD,0)=(5-ROW()+ROW($A52)),MATCH($J52,OFFSET(COST_IMPACT_PDE,0,MATCH($G52,ACTIVITY_IMPACTED,0)-1),0)=(COLUMN()-COLUMN($M52)+1)),"C","")</f>
        <v>#N/A</v>
      </c>
      <c r="R54" s="248"/>
      <c r="S54" s="251"/>
      <c r="T54" s="222"/>
      <c r="U54" s="225"/>
    </row>
    <row r="55" spans="1:21" ht="22.95" customHeight="1" x14ac:dyDescent="0.3">
      <c r="A55" s="237"/>
      <c r="B55" s="239"/>
      <c r="C55" s="241"/>
      <c r="D55" s="239"/>
      <c r="E55" s="243"/>
      <c r="F55" s="245"/>
      <c r="G55" s="243"/>
      <c r="H55" s="243"/>
      <c r="I55" s="243"/>
      <c r="J55" s="243"/>
      <c r="K55" s="246"/>
      <c r="L55" s="4" t="s">
        <v>6</v>
      </c>
      <c r="M55" s="19" t="e">
        <f ca="1">IF(AND(MATCH($H52,LIKELIHOOD,0)=(5-ROW()+ROW($A52)),MATCH($I52,OFFSET(SCHED_IMPACT_PDE,0,MATCH($G52,ACTIVITY_IMPACTED,0)-1),0)=(COLUMN()-COLUMN($M52)+1)),"S","") &amp;  IF(AND(MATCH($H52,LIKELIHOOD,0)=(5-ROW()+ROW($A52)),MATCH($J52,OFFSET(COST_IMPACT_PDE,0,MATCH($G52,ACTIVITY_IMPACTED,0)-1),0)=(COLUMN()-COLUMN($M52)+1)),"C","")</f>
        <v>#N/A</v>
      </c>
      <c r="N55" s="23" t="e">
        <f ca="1">IF(AND(MATCH($H52,LIKELIHOOD,0)=(5-ROW()+ROW($A52)),MATCH($I52,OFFSET(SCHED_IMPACT_PDE,0,MATCH($G52,ACTIVITY_IMPACTED,0)-1),0)=(COLUMN()-COLUMN($M52)+1)),"S","") &amp;  IF(AND(MATCH($H52,LIKELIHOOD,0)=(5-ROW()+ROW($A52)),MATCH($J52,OFFSET(COST_IMPACT_PDE,0,MATCH($G52,ACTIVITY_IMPACTED,0)-1),0)=(COLUMN()-COLUMN($M52)+1)),"C","")</f>
        <v>#N/A</v>
      </c>
      <c r="O55" s="20" t="e">
        <f ca="1">IF(AND(MATCH($H52,LIKELIHOOD,0)=(5-ROW()+ROW($A52)),MATCH($I52,OFFSET(SCHED_IMPACT_PDE,0,MATCH($G52,ACTIVITY_IMPACTED,0)-1),0)=(COLUMN()-COLUMN($M52)+1)),"S","") &amp;  IF(AND(MATCH($H52,LIKELIHOOD,0)=(5-ROW()+ROW($A52)),MATCH($J52,OFFSET(COST_IMPACT_PDE,0,MATCH($G52,ACTIVITY_IMPACTED,0)-1),0)=(COLUMN()-COLUMN($M52)+1)),"C","")</f>
        <v>#N/A</v>
      </c>
      <c r="P55" s="21" t="e">
        <f ca="1">IF(AND(MATCH($H52,LIKELIHOOD,0)=(5-ROW()+ROW($A52)),MATCH($I52,OFFSET(SCHED_IMPACT_PDE,0,MATCH($G52,ACTIVITY_IMPACTED,0)-1),0)=(COLUMN()-COLUMN($M52)+1)),"S","") &amp;  IF(AND(MATCH($H52,LIKELIHOOD,0)=(5-ROW()+ROW($A52)),MATCH($J52,OFFSET(COST_IMPACT_PDE,0,MATCH($G52,ACTIVITY_IMPACTED,0)-1),0)=(COLUMN()-COLUMN($M52)+1)),"C","")</f>
        <v>#N/A</v>
      </c>
      <c r="Q55" s="22" t="e">
        <f ca="1">IF(AND(MATCH($H52,LIKELIHOOD,0)=(5-ROW()+ROW($A52)),MATCH($I52,OFFSET(SCHED_IMPACT_PDE,0,MATCH($G52,ACTIVITY_IMPACTED,0)-1),0)=(COLUMN()-COLUMN($M52)+1)),"S","") &amp;  IF(AND(MATCH($H52,LIKELIHOOD,0)=(5-ROW()+ROW($A52)),MATCH($J52,OFFSET(COST_IMPACT_PDE,0,MATCH($G52,ACTIVITY_IMPACTED,0)-1),0)=(COLUMN()-COLUMN($M52)+1)),"C","")</f>
        <v>#N/A</v>
      </c>
      <c r="R55" s="248"/>
      <c r="S55" s="251"/>
      <c r="T55" s="223"/>
      <c r="U55" s="225"/>
    </row>
    <row r="56" spans="1:21" ht="22.95" customHeight="1" thickBot="1" x14ac:dyDescent="0.35">
      <c r="A56" s="237"/>
      <c r="B56" s="239"/>
      <c r="C56" s="241"/>
      <c r="D56" s="239"/>
      <c r="E56" s="243"/>
      <c r="F56" s="245"/>
      <c r="G56" s="243"/>
      <c r="H56" s="243"/>
      <c r="I56" s="243"/>
      <c r="J56" s="243"/>
      <c r="K56" s="246"/>
      <c r="L56" s="4" t="s">
        <v>24</v>
      </c>
      <c r="M56" s="24" t="e">
        <f ca="1">IF(AND(MATCH($H52,LIKELIHOOD,0)=(5-ROW()+ROW($A52)),MATCH($I52,OFFSET(SCHED_IMPACT_PDE,0,MATCH($G52,ACTIVITY_IMPACTED,0)-1),0)=(COLUMN()-COLUMN($M52)+1)),"S","") &amp;  IF(AND(MATCH($H52,LIKELIHOOD,0)=(5-ROW()+ROW($A52)),MATCH($J52,OFFSET(COST_IMPACT_PDE,0,MATCH($G52,ACTIVITY_IMPACTED,0)-1),0)=(COLUMN()-COLUMN($M52)+1)),"C","")</f>
        <v>#N/A</v>
      </c>
      <c r="N56" s="25" t="e">
        <f ca="1">IF(AND(MATCH($H52,LIKELIHOOD,0)=(5-ROW()+ROW($A52)),MATCH($I52,OFFSET(SCHED_IMPACT_PDE,0,MATCH($G52,ACTIVITY_IMPACTED,0)-1),0)=(COLUMN()-COLUMN($M52)+1)),"S","") &amp;  IF(AND(MATCH($H52,LIKELIHOOD,0)=(5-ROW()+ROW($A52)),MATCH($J52,OFFSET(COST_IMPACT_PDE,0,MATCH($G52,ACTIVITY_IMPACTED,0)-1),0)=(COLUMN()-COLUMN($M52)+1)),"C","")</f>
        <v>#N/A</v>
      </c>
      <c r="O56" s="25" t="e">
        <f ca="1">IF(AND(MATCH($H52,LIKELIHOOD,0)=(5-ROW()+ROW($A52)),MATCH($I52,OFFSET(SCHED_IMPACT_PDE,0,MATCH($G52,ACTIVITY_IMPACTED,0)-1),0)=(COLUMN()-COLUMN($M52)+1)),"S","") &amp;  IF(AND(MATCH($H52,LIKELIHOOD,0)=(5-ROW()+ROW($A52)),MATCH($J52,OFFSET(COST_IMPACT_PDE,0,MATCH($G52,ACTIVITY_IMPACTED,0)-1),0)=(COLUMN()-COLUMN($M52)+1)),"C","")</f>
        <v>#N/A</v>
      </c>
      <c r="P56" s="26" t="e">
        <f ca="1">IF(AND(MATCH($H52,LIKELIHOOD,0)=(5-ROW()+ROW($A52)),MATCH($I52,OFFSET(SCHED_IMPACT_PDE,0,MATCH($G52,ACTIVITY_IMPACTED,0)-1),0)=(COLUMN()-COLUMN($M52)+1)),"S","") &amp;  IF(AND(MATCH($H52,LIKELIHOOD,0)=(5-ROW()+ROW($A52)),MATCH($J52,OFFSET(COST_IMPACT_PDE,0,MATCH($G52,ACTIVITY_IMPACTED,0)-1),0)=(COLUMN()-COLUMN($M52)+1)),"C","")</f>
        <v>#N/A</v>
      </c>
      <c r="Q56" s="27" t="e">
        <f ca="1">IF(AND(MATCH($H52,LIKELIHOOD,0)=(5-ROW()+ROW($A52)),MATCH($I52,OFFSET(SCHED_IMPACT_PDE,0,MATCH($G52,ACTIVITY_IMPACTED,0)-1),0)=(COLUMN()-COLUMN($M52)+1)),"S","") &amp;  IF(AND(MATCH($H52,LIKELIHOOD,0)=(5-ROW()+ROW($A52)),MATCH($J52,OFFSET(COST_IMPACT_PDE,0,MATCH($G52,ACTIVITY_IMPACTED,0)-1),0)=(COLUMN()-COLUMN($M52)+1)),"C","")</f>
        <v>#N/A</v>
      </c>
      <c r="R56" s="248"/>
      <c r="S56" s="251"/>
      <c r="T56" s="124" t="s">
        <v>77</v>
      </c>
      <c r="U56" s="127"/>
    </row>
    <row r="57" spans="1:21" ht="22.95" customHeight="1" x14ac:dyDescent="0.3">
      <c r="A57" s="237"/>
      <c r="B57" s="239"/>
      <c r="C57" s="241"/>
      <c r="D57" s="239"/>
      <c r="E57" s="243"/>
      <c r="F57" s="245"/>
      <c r="G57" s="243"/>
      <c r="H57" s="243"/>
      <c r="I57" s="243"/>
      <c r="J57" s="243"/>
      <c r="K57" s="33"/>
      <c r="L57" s="34"/>
      <c r="M57" s="5" t="s">
        <v>24</v>
      </c>
      <c r="N57" s="5" t="s">
        <v>6</v>
      </c>
      <c r="O57" s="5" t="s">
        <v>11</v>
      </c>
      <c r="P57" s="5" t="s">
        <v>5</v>
      </c>
      <c r="Q57" s="5" t="s">
        <v>23</v>
      </c>
      <c r="R57" s="248"/>
      <c r="S57" s="251"/>
      <c r="T57" s="124" t="s">
        <v>76</v>
      </c>
      <c r="U57" s="127"/>
    </row>
    <row r="58" spans="1:21" ht="22.95" customHeight="1" x14ac:dyDescent="0.3">
      <c r="A58" s="237"/>
      <c r="B58" s="239"/>
      <c r="C58" s="241"/>
      <c r="D58" s="239"/>
      <c r="E58" s="243"/>
      <c r="F58" s="245"/>
      <c r="G58" s="243"/>
      <c r="H58" s="243"/>
      <c r="I58" s="243"/>
      <c r="J58" s="243"/>
      <c r="K58" s="35"/>
      <c r="L58" s="28"/>
      <c r="M58" s="252" t="s">
        <v>25</v>
      </c>
      <c r="N58" s="252"/>
      <c r="O58" s="252"/>
      <c r="P58" s="252"/>
      <c r="Q58" s="252"/>
      <c r="R58" s="249"/>
      <c r="S58" s="251"/>
      <c r="T58" s="124" t="s">
        <v>75</v>
      </c>
      <c r="U58" s="127"/>
    </row>
    <row r="59" spans="1:21" ht="23.25" customHeight="1" x14ac:dyDescent="0.3">
      <c r="A59" s="29"/>
      <c r="B59" s="30"/>
      <c r="C59" s="30"/>
      <c r="D59" s="30"/>
      <c r="E59" s="31"/>
      <c r="F59" s="31"/>
      <c r="G59" s="30"/>
      <c r="H59" s="30"/>
      <c r="I59" s="30"/>
      <c r="J59" s="30"/>
      <c r="K59" s="30"/>
      <c r="L59" s="30"/>
      <c r="M59" s="30"/>
      <c r="N59" s="30"/>
      <c r="O59" s="30"/>
      <c r="P59" s="30"/>
      <c r="Q59" s="30"/>
      <c r="R59" s="30"/>
      <c r="S59" s="36"/>
      <c r="T59" s="36"/>
      <c r="U59" s="36"/>
    </row>
    <row r="60" spans="1:21" ht="23.25" customHeight="1" x14ac:dyDescent="0.3"/>
    <row r="61" spans="1:21" ht="23.25" customHeight="1" x14ac:dyDescent="0.3">
      <c r="A61" s="228" t="s">
        <v>0</v>
      </c>
      <c r="B61" s="228"/>
      <c r="C61" s="228"/>
      <c r="D61" s="228"/>
      <c r="E61" s="228"/>
      <c r="F61" s="228"/>
      <c r="G61" s="229"/>
      <c r="H61" s="230" t="s">
        <v>1</v>
      </c>
      <c r="I61" s="230"/>
      <c r="J61" s="230"/>
      <c r="K61" s="230"/>
      <c r="L61" s="230"/>
      <c r="M61" s="230"/>
      <c r="N61" s="230"/>
      <c r="O61" s="230"/>
      <c r="P61" s="230"/>
      <c r="Q61" s="230"/>
      <c r="R61" s="231" t="s">
        <v>28</v>
      </c>
      <c r="S61" s="232"/>
      <c r="T61" s="232"/>
      <c r="U61" s="233"/>
    </row>
    <row r="62" spans="1:21" ht="91.95" customHeight="1" thickBot="1" x14ac:dyDescent="0.35">
      <c r="A62" s="32" t="s">
        <v>12</v>
      </c>
      <c r="B62" s="32" t="s">
        <v>2</v>
      </c>
      <c r="C62" s="32" t="s">
        <v>19</v>
      </c>
      <c r="D62" s="32" t="s">
        <v>8</v>
      </c>
      <c r="E62" s="12" t="s">
        <v>9</v>
      </c>
      <c r="F62" s="12" t="s">
        <v>7</v>
      </c>
      <c r="G62" s="13" t="s">
        <v>37</v>
      </c>
      <c r="H62" s="14" t="s">
        <v>22</v>
      </c>
      <c r="I62" s="14" t="s">
        <v>20</v>
      </c>
      <c r="J62" s="14" t="s">
        <v>10</v>
      </c>
      <c r="K62" s="234" t="s">
        <v>26</v>
      </c>
      <c r="L62" s="234"/>
      <c r="M62" s="235"/>
      <c r="N62" s="235"/>
      <c r="O62" s="235"/>
      <c r="P62" s="235"/>
      <c r="Q62" s="235"/>
      <c r="R62" s="37" t="s">
        <v>29</v>
      </c>
      <c r="S62" s="11" t="s">
        <v>30</v>
      </c>
      <c r="T62" s="226" t="s">
        <v>31</v>
      </c>
      <c r="U62" s="227"/>
    </row>
    <row r="63" spans="1:21" ht="22.95" customHeight="1" x14ac:dyDescent="0.3">
      <c r="A63" s="236">
        <v>6</v>
      </c>
      <c r="B63" s="238"/>
      <c r="C63" s="240"/>
      <c r="D63" s="238"/>
      <c r="E63" s="242"/>
      <c r="F63" s="244"/>
      <c r="G63" s="242"/>
      <c r="H63" s="242"/>
      <c r="I63" s="242"/>
      <c r="J63" s="242"/>
      <c r="K63" s="246" t="s">
        <v>22</v>
      </c>
      <c r="L63" s="4" t="s">
        <v>23</v>
      </c>
      <c r="M63" s="15" t="e">
        <f ca="1">IF(AND(MATCH($H63,LIKELIHOOD,0)=(5-ROW()+ROW($A63)),MATCH($I63,OFFSET(SCHED_IMPACT_PDE,0,MATCH($G63,ACTIVITY_IMPACTED,0)-1),0)=(COLUMN()-COLUMN($M63)+1)),"S","") &amp;  IF(AND(MATCH($H63,LIKELIHOOD,0)=(5-ROW()+ROW($A63)),MATCH($J63,OFFSET(COST_IMPACT_PDE,0,MATCH($G63,ACTIVITY_IMPACTED,0)-1),0)=(COLUMN()-COLUMN($M63)+1)),"C","")</f>
        <v>#N/A</v>
      </c>
      <c r="N63" s="16" t="e">
        <f ca="1">IF(AND(MATCH($H63,LIKELIHOOD,0)=(5-ROW()+ROW($A63)),MATCH($I63,OFFSET(SCHED_IMPACT_PDE,0,MATCH($G63,ACTIVITY_IMPACTED,0)-1),0)=(COLUMN()-COLUMN($M63)+1)),"S","") &amp;  IF(AND(MATCH($H63,LIKELIHOOD,0)=(5-ROW()+ROW($A63)),MATCH($J63,OFFSET(COST_IMPACT_PDE,0,MATCH($G63,ACTIVITY_IMPACTED,0)-1),0)=(COLUMN()-COLUMN($M63)+1)),"C","")</f>
        <v>#N/A</v>
      </c>
      <c r="O63" s="17" t="e">
        <f ca="1">IF(AND(MATCH($H63,LIKELIHOOD,0)=(5-ROW()+ROW($A63)),MATCH($I63,OFFSET(SCHED_IMPACT_PDE,0,MATCH($G63,ACTIVITY_IMPACTED,0)-1),0)=(COLUMN()-COLUMN($M63)+1)),"S","") &amp;  IF(AND(MATCH($H63,LIKELIHOOD,0)=(5-ROW()+ROW($A63)),MATCH($J63,OFFSET(COST_IMPACT_PDE,0,MATCH($G63,ACTIVITY_IMPACTED,0)-1),0)=(COLUMN()-COLUMN($M63)+1)),"C","")</f>
        <v>#N/A</v>
      </c>
      <c r="P63" s="17" t="e">
        <f ca="1">IF(AND(MATCH($H63,LIKELIHOOD,0)=(5-ROW()+ROW($A63)),MATCH($I63,OFFSET(SCHED_IMPACT_PDE,0,MATCH($G63,ACTIVITY_IMPACTED,0)-1),0)=(COLUMN()-COLUMN($M63)+1)),"S","") &amp;  IF(AND(MATCH($H63,LIKELIHOOD,0)=(5-ROW()+ROW($A63)),MATCH($J63,OFFSET(COST_IMPACT_PDE,0,MATCH($G63,ACTIVITY_IMPACTED,0)-1),0)=(COLUMN()-COLUMN($M63)+1)),"C","")</f>
        <v>#N/A</v>
      </c>
      <c r="Q63" s="18" t="e">
        <f ca="1">IF(AND(MATCH($H63,LIKELIHOOD,0)=(5-ROW()+ROW($A63)),MATCH($I63,OFFSET(SCHED_IMPACT_PDE,0,MATCH($G63,ACTIVITY_IMPACTED,0)-1),0)=(COLUMN()-COLUMN($M63)+1)),"S","") &amp;  IF(AND(MATCH($H63,LIKELIHOOD,0)=(5-ROW()+ROW($A63)),MATCH($J63,OFFSET(COST_IMPACT_PDE,0,MATCH($G63,ACTIVITY_IMPACTED,0)-1),0)=(COLUMN()-COLUMN($M63)+1)),"C","")</f>
        <v>#N/A</v>
      </c>
      <c r="R63" s="247"/>
      <c r="S63" s="250"/>
      <c r="T63" s="221"/>
      <c r="U63" s="224"/>
    </row>
    <row r="64" spans="1:21" ht="22.95" customHeight="1" x14ac:dyDescent="0.3">
      <c r="A64" s="237"/>
      <c r="B64" s="239"/>
      <c r="C64" s="241"/>
      <c r="D64" s="239"/>
      <c r="E64" s="243"/>
      <c r="F64" s="245"/>
      <c r="G64" s="243"/>
      <c r="H64" s="243"/>
      <c r="I64" s="243"/>
      <c r="J64" s="243"/>
      <c r="K64" s="246"/>
      <c r="L64" s="4" t="s">
        <v>5</v>
      </c>
      <c r="M64" s="19" t="e">
        <f ca="1">IF(AND(MATCH($H63,LIKELIHOOD,0)=(5-ROW()+ROW($A63)),MATCH($I63,OFFSET(SCHED_IMPACT_PDE,0,MATCH($G63,ACTIVITY_IMPACTED,0)-1),0)=(COLUMN()-COLUMN($M63)+1)),"S","") &amp;  IF(AND(MATCH($H63,LIKELIHOOD,0)=(5-ROW()+ROW($A63)),MATCH($J63,OFFSET(COST_IMPACT_PDE,0,MATCH($G63,ACTIVITY_IMPACTED,0)-1),0)=(COLUMN()-COLUMN($M63)+1)),"C","")</f>
        <v>#N/A</v>
      </c>
      <c r="N64" s="20" t="e">
        <f ca="1">IF(AND(MATCH($H63,LIKELIHOOD,0)=(5-ROW()+ROW($A63)),MATCH($I63,OFFSET(SCHED_IMPACT_PDE,0,MATCH($G63,ACTIVITY_IMPACTED,0)-1),0)=(COLUMN()-COLUMN($M63)+1)),"S","") &amp;  IF(AND(MATCH($H63,LIKELIHOOD,0)=(5-ROW()+ROW($A63)),MATCH($J63,OFFSET(COST_IMPACT_PDE,0,MATCH($G63,ACTIVITY_IMPACTED,0)-1),0)=(COLUMN()-COLUMN($M63)+1)),"C","")</f>
        <v>#N/A</v>
      </c>
      <c r="O64" s="21" t="e">
        <f ca="1">IF(AND(MATCH($H63,LIKELIHOOD,0)=(5-ROW()+ROW($A63)),MATCH($I63,OFFSET(SCHED_IMPACT_PDE,0,MATCH($G63,ACTIVITY_IMPACTED,0)-1),0)=(COLUMN()-COLUMN($M63)+1)),"S","") &amp;  IF(AND(MATCH($H63,LIKELIHOOD,0)=(5-ROW()+ROW($A63)),MATCH($J63,OFFSET(COST_IMPACT_PDE,0,MATCH($G63,ACTIVITY_IMPACTED,0)-1),0)=(COLUMN()-COLUMN($M63)+1)),"C","")</f>
        <v>#N/A</v>
      </c>
      <c r="P64" s="21" t="e">
        <f ca="1">IF(AND(MATCH($H63,LIKELIHOOD,0)=(5-ROW()+ROW($A63)),MATCH($I63,OFFSET(SCHED_IMPACT_PDE,0,MATCH($G63,ACTIVITY_IMPACTED,0)-1),0)=(COLUMN()-COLUMN($M63)+1)),"S","") &amp;  IF(AND(MATCH($H63,LIKELIHOOD,0)=(5-ROW()+ROW($A63)),MATCH($J63,OFFSET(COST_IMPACT_PDE,0,MATCH($G63,ACTIVITY_IMPACTED,0)-1),0)=(COLUMN()-COLUMN($M63)+1)),"C","")</f>
        <v>#N/A</v>
      </c>
      <c r="Q64" s="22" t="e">
        <f ca="1">IF(AND(MATCH($H63,LIKELIHOOD,0)=(5-ROW()+ROW($A63)),MATCH($I63,OFFSET(SCHED_IMPACT_PDE,0,MATCH($G63,ACTIVITY_IMPACTED,0)-1),0)=(COLUMN()-COLUMN($M63)+1)),"S","") &amp;  IF(AND(MATCH($H63,LIKELIHOOD,0)=(5-ROW()+ROW($A63)),MATCH($J63,OFFSET(COST_IMPACT_PDE,0,MATCH($G63,ACTIVITY_IMPACTED,0)-1),0)=(COLUMN()-COLUMN($M63)+1)),"C","")</f>
        <v>#N/A</v>
      </c>
      <c r="R64" s="248"/>
      <c r="S64" s="251"/>
      <c r="T64" s="222"/>
      <c r="U64" s="225"/>
    </row>
    <row r="65" spans="1:21" ht="22.95" customHeight="1" x14ac:dyDescent="0.3">
      <c r="A65" s="237"/>
      <c r="B65" s="239"/>
      <c r="C65" s="241"/>
      <c r="D65" s="239"/>
      <c r="E65" s="243"/>
      <c r="F65" s="245"/>
      <c r="G65" s="243"/>
      <c r="H65" s="243"/>
      <c r="I65" s="243"/>
      <c r="J65" s="243"/>
      <c r="K65" s="246"/>
      <c r="L65" s="4" t="s">
        <v>11</v>
      </c>
      <c r="M65" s="19" t="e">
        <f ca="1">IF(AND(MATCH($H63,LIKELIHOOD,0)=(5-ROW()+ROW($A63)),MATCH($I63,OFFSET(SCHED_IMPACT_PDE,0,MATCH($G63,ACTIVITY_IMPACTED,0)-1),0)=(COLUMN()-COLUMN($M63)+1)),"S","") &amp;  IF(AND(MATCH($H63,LIKELIHOOD,0)=(5-ROW()+ROW($A63)),MATCH($J63,OFFSET(COST_IMPACT_PDE,0,MATCH($G63,ACTIVITY_IMPACTED,0)-1),0)=(COLUMN()-COLUMN($M63)+1)),"C","")</f>
        <v>#N/A</v>
      </c>
      <c r="N65" s="23" t="e">
        <f ca="1">IF(AND(MATCH($H63,LIKELIHOOD,0)=(5-ROW()+ROW($A63)),MATCH($I63,OFFSET(SCHED_IMPACT_PDE,0,MATCH($G63,ACTIVITY_IMPACTED,0)-1),0)=(COLUMN()-COLUMN($M63)+1)),"S","") &amp;  IF(AND(MATCH($H63,LIKELIHOOD,0)=(5-ROW()+ROW($A63)),MATCH($J63,OFFSET(COST_IMPACT_PDE,0,MATCH($G63,ACTIVITY_IMPACTED,0)-1),0)=(COLUMN()-COLUMN($M63)+1)),"C","")</f>
        <v>#N/A</v>
      </c>
      <c r="O65" s="20" t="e">
        <f ca="1">IF(AND(MATCH($H63,LIKELIHOOD,0)=(5-ROW()+ROW($A63)),MATCH($I63,OFFSET(SCHED_IMPACT_PDE,0,MATCH($G63,ACTIVITY_IMPACTED,0)-1),0)=(COLUMN()-COLUMN($M63)+1)),"S","") &amp;  IF(AND(MATCH($H63,LIKELIHOOD,0)=(5-ROW()+ROW($A63)),MATCH($J63,OFFSET(COST_IMPACT_PDE,0,MATCH($G63,ACTIVITY_IMPACTED,0)-1),0)=(COLUMN()-COLUMN($M63)+1)),"C","")</f>
        <v>#N/A</v>
      </c>
      <c r="P65" s="21" t="e">
        <f ca="1">IF(AND(MATCH($H63,LIKELIHOOD,0)=(5-ROW()+ROW($A63)),MATCH($I63,OFFSET(SCHED_IMPACT_PDE,0,MATCH($G63,ACTIVITY_IMPACTED,0)-1),0)=(COLUMN()-COLUMN($M63)+1)),"S","") &amp;  IF(AND(MATCH($H63,LIKELIHOOD,0)=(5-ROW()+ROW($A63)),MATCH($J63,OFFSET(COST_IMPACT_PDE,0,MATCH($G63,ACTIVITY_IMPACTED,0)-1),0)=(COLUMN()-COLUMN($M63)+1)),"C","")</f>
        <v>#N/A</v>
      </c>
      <c r="Q65" s="22" t="e">
        <f ca="1">IF(AND(MATCH($H63,LIKELIHOOD,0)=(5-ROW()+ROW($A63)),MATCH($I63,OFFSET(SCHED_IMPACT_PDE,0,MATCH($G63,ACTIVITY_IMPACTED,0)-1),0)=(COLUMN()-COLUMN($M63)+1)),"S","") &amp;  IF(AND(MATCH($H63,LIKELIHOOD,0)=(5-ROW()+ROW($A63)),MATCH($J63,OFFSET(COST_IMPACT_PDE,0,MATCH($G63,ACTIVITY_IMPACTED,0)-1),0)=(COLUMN()-COLUMN($M63)+1)),"C","")</f>
        <v>#N/A</v>
      </c>
      <c r="R65" s="248"/>
      <c r="S65" s="251"/>
      <c r="T65" s="222"/>
      <c r="U65" s="225"/>
    </row>
    <row r="66" spans="1:21" ht="22.95" customHeight="1" x14ac:dyDescent="0.3">
      <c r="A66" s="237"/>
      <c r="B66" s="239"/>
      <c r="C66" s="241"/>
      <c r="D66" s="239"/>
      <c r="E66" s="243"/>
      <c r="F66" s="245"/>
      <c r="G66" s="243"/>
      <c r="H66" s="243"/>
      <c r="I66" s="243"/>
      <c r="J66" s="243"/>
      <c r="K66" s="246"/>
      <c r="L66" s="4" t="s">
        <v>6</v>
      </c>
      <c r="M66" s="19" t="e">
        <f ca="1">IF(AND(MATCH($H63,LIKELIHOOD,0)=(5-ROW()+ROW($A63)),MATCH($I63,OFFSET(SCHED_IMPACT_PDE,0,MATCH($G63,ACTIVITY_IMPACTED,0)-1),0)=(COLUMN()-COLUMN($M63)+1)),"S","") &amp;  IF(AND(MATCH($H63,LIKELIHOOD,0)=(5-ROW()+ROW($A63)),MATCH($J63,OFFSET(COST_IMPACT_PDE,0,MATCH($G63,ACTIVITY_IMPACTED,0)-1),0)=(COLUMN()-COLUMN($M63)+1)),"C","")</f>
        <v>#N/A</v>
      </c>
      <c r="N66" s="23" t="e">
        <f ca="1">IF(AND(MATCH($H63,LIKELIHOOD,0)=(5-ROW()+ROW($A63)),MATCH($I63,OFFSET(SCHED_IMPACT_PDE,0,MATCH($G63,ACTIVITY_IMPACTED,0)-1),0)=(COLUMN()-COLUMN($M63)+1)),"S","") &amp;  IF(AND(MATCH($H63,LIKELIHOOD,0)=(5-ROW()+ROW($A63)),MATCH($J63,OFFSET(COST_IMPACT_PDE,0,MATCH($G63,ACTIVITY_IMPACTED,0)-1),0)=(COLUMN()-COLUMN($M63)+1)),"C","")</f>
        <v>#N/A</v>
      </c>
      <c r="O66" s="20" t="e">
        <f ca="1">IF(AND(MATCH($H63,LIKELIHOOD,0)=(5-ROW()+ROW($A63)),MATCH($I63,OFFSET(SCHED_IMPACT_PDE,0,MATCH($G63,ACTIVITY_IMPACTED,0)-1),0)=(COLUMN()-COLUMN($M63)+1)),"S","") &amp;  IF(AND(MATCH($H63,LIKELIHOOD,0)=(5-ROW()+ROW($A63)),MATCH($J63,OFFSET(COST_IMPACT_PDE,0,MATCH($G63,ACTIVITY_IMPACTED,0)-1),0)=(COLUMN()-COLUMN($M63)+1)),"C","")</f>
        <v>#N/A</v>
      </c>
      <c r="P66" s="21" t="e">
        <f ca="1">IF(AND(MATCH($H63,LIKELIHOOD,0)=(5-ROW()+ROW($A63)),MATCH($I63,OFFSET(SCHED_IMPACT_PDE,0,MATCH($G63,ACTIVITY_IMPACTED,0)-1),0)=(COLUMN()-COLUMN($M63)+1)),"S","") &amp;  IF(AND(MATCH($H63,LIKELIHOOD,0)=(5-ROW()+ROW($A63)),MATCH($J63,OFFSET(COST_IMPACT_PDE,0,MATCH($G63,ACTIVITY_IMPACTED,0)-1),0)=(COLUMN()-COLUMN($M63)+1)),"C","")</f>
        <v>#N/A</v>
      </c>
      <c r="Q66" s="22" t="e">
        <f ca="1">IF(AND(MATCH($H63,LIKELIHOOD,0)=(5-ROW()+ROW($A63)),MATCH($I63,OFFSET(SCHED_IMPACT_PDE,0,MATCH($G63,ACTIVITY_IMPACTED,0)-1),0)=(COLUMN()-COLUMN($M63)+1)),"S","") &amp;  IF(AND(MATCH($H63,LIKELIHOOD,0)=(5-ROW()+ROW($A63)),MATCH($J63,OFFSET(COST_IMPACT_PDE,0,MATCH($G63,ACTIVITY_IMPACTED,0)-1),0)=(COLUMN()-COLUMN($M63)+1)),"C","")</f>
        <v>#N/A</v>
      </c>
      <c r="R66" s="248"/>
      <c r="S66" s="251"/>
      <c r="T66" s="223"/>
      <c r="U66" s="225"/>
    </row>
    <row r="67" spans="1:21" ht="22.95" customHeight="1" thickBot="1" x14ac:dyDescent="0.35">
      <c r="A67" s="237"/>
      <c r="B67" s="239"/>
      <c r="C67" s="241"/>
      <c r="D67" s="239"/>
      <c r="E67" s="243"/>
      <c r="F67" s="245"/>
      <c r="G67" s="243"/>
      <c r="H67" s="243"/>
      <c r="I67" s="243"/>
      <c r="J67" s="243"/>
      <c r="K67" s="246"/>
      <c r="L67" s="4" t="s">
        <v>24</v>
      </c>
      <c r="M67" s="24" t="e">
        <f ca="1">IF(AND(MATCH($H63,LIKELIHOOD,0)=(5-ROW()+ROW($A63)),MATCH($I63,OFFSET(SCHED_IMPACT_PDE,0,MATCH($G63,ACTIVITY_IMPACTED,0)-1),0)=(COLUMN()-COLUMN($M63)+1)),"S","") &amp;  IF(AND(MATCH($H63,LIKELIHOOD,0)=(5-ROW()+ROW($A63)),MATCH($J63,OFFSET(COST_IMPACT_PDE,0,MATCH($G63,ACTIVITY_IMPACTED,0)-1),0)=(COLUMN()-COLUMN($M63)+1)),"C","")</f>
        <v>#N/A</v>
      </c>
      <c r="N67" s="25" t="e">
        <f ca="1">IF(AND(MATCH($H63,LIKELIHOOD,0)=(5-ROW()+ROW($A63)),MATCH($I63,OFFSET(SCHED_IMPACT_PDE,0,MATCH($G63,ACTIVITY_IMPACTED,0)-1),0)=(COLUMN()-COLUMN($M63)+1)),"S","") &amp;  IF(AND(MATCH($H63,LIKELIHOOD,0)=(5-ROW()+ROW($A63)),MATCH($J63,OFFSET(COST_IMPACT_PDE,0,MATCH($G63,ACTIVITY_IMPACTED,0)-1),0)=(COLUMN()-COLUMN($M63)+1)),"C","")</f>
        <v>#N/A</v>
      </c>
      <c r="O67" s="25" t="e">
        <f ca="1">IF(AND(MATCH($H63,LIKELIHOOD,0)=(5-ROW()+ROW($A63)),MATCH($I63,OFFSET(SCHED_IMPACT_PDE,0,MATCH($G63,ACTIVITY_IMPACTED,0)-1),0)=(COLUMN()-COLUMN($M63)+1)),"S","") &amp;  IF(AND(MATCH($H63,LIKELIHOOD,0)=(5-ROW()+ROW($A63)),MATCH($J63,OFFSET(COST_IMPACT_PDE,0,MATCH($G63,ACTIVITY_IMPACTED,0)-1),0)=(COLUMN()-COLUMN($M63)+1)),"C","")</f>
        <v>#N/A</v>
      </c>
      <c r="P67" s="26" t="e">
        <f ca="1">IF(AND(MATCH($H63,LIKELIHOOD,0)=(5-ROW()+ROW($A63)),MATCH($I63,OFFSET(SCHED_IMPACT_PDE,0,MATCH($G63,ACTIVITY_IMPACTED,0)-1),0)=(COLUMN()-COLUMN($M63)+1)),"S","") &amp;  IF(AND(MATCH($H63,LIKELIHOOD,0)=(5-ROW()+ROW($A63)),MATCH($J63,OFFSET(COST_IMPACT_PDE,0,MATCH($G63,ACTIVITY_IMPACTED,0)-1),0)=(COLUMN()-COLUMN($M63)+1)),"C","")</f>
        <v>#N/A</v>
      </c>
      <c r="Q67" s="27" t="e">
        <f ca="1">IF(AND(MATCH($H63,LIKELIHOOD,0)=(5-ROW()+ROW($A63)),MATCH($I63,OFFSET(SCHED_IMPACT_PDE,0,MATCH($G63,ACTIVITY_IMPACTED,0)-1),0)=(COLUMN()-COLUMN($M63)+1)),"S","") &amp;  IF(AND(MATCH($H63,LIKELIHOOD,0)=(5-ROW()+ROW($A63)),MATCH($J63,OFFSET(COST_IMPACT_PDE,0,MATCH($G63,ACTIVITY_IMPACTED,0)-1),0)=(COLUMN()-COLUMN($M63)+1)),"C","")</f>
        <v>#N/A</v>
      </c>
      <c r="R67" s="248"/>
      <c r="S67" s="251"/>
      <c r="T67" s="124" t="s">
        <v>77</v>
      </c>
      <c r="U67" s="127"/>
    </row>
    <row r="68" spans="1:21" ht="22.95" customHeight="1" x14ac:dyDescent="0.3">
      <c r="A68" s="237"/>
      <c r="B68" s="239"/>
      <c r="C68" s="241"/>
      <c r="D68" s="239"/>
      <c r="E68" s="243"/>
      <c r="F68" s="245"/>
      <c r="G68" s="243"/>
      <c r="H68" s="243"/>
      <c r="I68" s="243"/>
      <c r="J68" s="243"/>
      <c r="K68" s="33"/>
      <c r="L68" s="34"/>
      <c r="M68" s="5" t="s">
        <v>24</v>
      </c>
      <c r="N68" s="5" t="s">
        <v>6</v>
      </c>
      <c r="O68" s="5" t="s">
        <v>11</v>
      </c>
      <c r="P68" s="5" t="s">
        <v>5</v>
      </c>
      <c r="Q68" s="5" t="s">
        <v>23</v>
      </c>
      <c r="R68" s="248"/>
      <c r="S68" s="251"/>
      <c r="T68" s="124" t="s">
        <v>76</v>
      </c>
      <c r="U68" s="127"/>
    </row>
    <row r="69" spans="1:21" ht="22.95" customHeight="1" x14ac:dyDescent="0.3">
      <c r="A69" s="237"/>
      <c r="B69" s="239"/>
      <c r="C69" s="241"/>
      <c r="D69" s="239"/>
      <c r="E69" s="243"/>
      <c r="F69" s="245"/>
      <c r="G69" s="243"/>
      <c r="H69" s="243"/>
      <c r="I69" s="243"/>
      <c r="J69" s="243"/>
      <c r="K69" s="35"/>
      <c r="L69" s="28"/>
      <c r="M69" s="252" t="s">
        <v>25</v>
      </c>
      <c r="N69" s="252"/>
      <c r="O69" s="252"/>
      <c r="P69" s="252"/>
      <c r="Q69" s="252"/>
      <c r="R69" s="249"/>
      <c r="S69" s="251"/>
      <c r="T69" s="124" t="s">
        <v>75</v>
      </c>
      <c r="U69" s="127"/>
    </row>
    <row r="70" spans="1:21" ht="23.25" customHeight="1" x14ac:dyDescent="0.3">
      <c r="A70" s="29"/>
      <c r="B70" s="30"/>
      <c r="C70" s="30"/>
      <c r="D70" s="30"/>
      <c r="E70" s="31"/>
      <c r="F70" s="31"/>
      <c r="G70" s="30"/>
      <c r="H70" s="30"/>
      <c r="I70" s="30"/>
      <c r="J70" s="30"/>
      <c r="K70" s="30"/>
      <c r="L70" s="30"/>
      <c r="M70" s="30"/>
      <c r="N70" s="30"/>
      <c r="O70" s="30"/>
      <c r="P70" s="30"/>
      <c r="Q70" s="30"/>
      <c r="R70" s="30"/>
      <c r="S70" s="36"/>
      <c r="T70" s="36"/>
      <c r="U70" s="36"/>
    </row>
    <row r="71" spans="1:21" ht="23.25" customHeight="1" x14ac:dyDescent="0.3"/>
    <row r="72" spans="1:21" ht="23.25" customHeight="1" x14ac:dyDescent="0.3">
      <c r="A72" s="228" t="s">
        <v>0</v>
      </c>
      <c r="B72" s="228"/>
      <c r="C72" s="228"/>
      <c r="D72" s="228"/>
      <c r="E72" s="228"/>
      <c r="F72" s="228"/>
      <c r="G72" s="229"/>
      <c r="H72" s="230" t="s">
        <v>1</v>
      </c>
      <c r="I72" s="230"/>
      <c r="J72" s="230"/>
      <c r="K72" s="230"/>
      <c r="L72" s="230"/>
      <c r="M72" s="230"/>
      <c r="N72" s="230"/>
      <c r="O72" s="230"/>
      <c r="P72" s="230"/>
      <c r="Q72" s="230"/>
      <c r="R72" s="231" t="s">
        <v>28</v>
      </c>
      <c r="S72" s="232"/>
      <c r="T72" s="232"/>
      <c r="U72" s="233"/>
    </row>
    <row r="73" spans="1:21" ht="91.95" customHeight="1" thickBot="1" x14ac:dyDescent="0.35">
      <c r="A73" s="32" t="s">
        <v>12</v>
      </c>
      <c r="B73" s="32" t="s">
        <v>2</v>
      </c>
      <c r="C73" s="32" t="s">
        <v>19</v>
      </c>
      <c r="D73" s="32" t="s">
        <v>8</v>
      </c>
      <c r="E73" s="12" t="s">
        <v>9</v>
      </c>
      <c r="F73" s="12" t="s">
        <v>7</v>
      </c>
      <c r="G73" s="13" t="s">
        <v>37</v>
      </c>
      <c r="H73" s="14" t="s">
        <v>22</v>
      </c>
      <c r="I73" s="14" t="s">
        <v>20</v>
      </c>
      <c r="J73" s="14" t="s">
        <v>10</v>
      </c>
      <c r="K73" s="234" t="s">
        <v>26</v>
      </c>
      <c r="L73" s="234"/>
      <c r="M73" s="235"/>
      <c r="N73" s="235"/>
      <c r="O73" s="235"/>
      <c r="P73" s="235"/>
      <c r="Q73" s="235"/>
      <c r="R73" s="37" t="s">
        <v>29</v>
      </c>
      <c r="S73" s="11" t="s">
        <v>30</v>
      </c>
      <c r="T73" s="226" t="s">
        <v>31</v>
      </c>
      <c r="U73" s="227"/>
    </row>
    <row r="74" spans="1:21" ht="22.95" customHeight="1" x14ac:dyDescent="0.3">
      <c r="A74" s="236">
        <v>7</v>
      </c>
      <c r="B74" s="238"/>
      <c r="C74" s="240"/>
      <c r="D74" s="238"/>
      <c r="E74" s="242"/>
      <c r="F74" s="244"/>
      <c r="G74" s="242"/>
      <c r="H74" s="242"/>
      <c r="I74" s="242"/>
      <c r="J74" s="242"/>
      <c r="K74" s="246" t="s">
        <v>22</v>
      </c>
      <c r="L74" s="4" t="s">
        <v>23</v>
      </c>
      <c r="M74" s="15" t="e">
        <f ca="1">IF(AND(MATCH($H74,LIKELIHOOD,0)=(5-ROW()+ROW($A74)),MATCH($I74,OFFSET(SCHED_IMPACT_PDE,0,MATCH($G74,ACTIVITY_IMPACTED,0)-1),0)=(COLUMN()-COLUMN($M74)+1)),"S","") &amp;  IF(AND(MATCH($H74,LIKELIHOOD,0)=(5-ROW()+ROW($A74)),MATCH($J74,OFFSET(COST_IMPACT_PDE,0,MATCH($G74,ACTIVITY_IMPACTED,0)-1),0)=(COLUMN()-COLUMN($M74)+1)),"C","")</f>
        <v>#N/A</v>
      </c>
      <c r="N74" s="16" t="e">
        <f ca="1">IF(AND(MATCH($H74,LIKELIHOOD,0)=(5-ROW()+ROW($A74)),MATCH($I74,OFFSET(SCHED_IMPACT_PDE,0,MATCH($G74,ACTIVITY_IMPACTED,0)-1),0)=(COLUMN()-COLUMN($M74)+1)),"S","") &amp;  IF(AND(MATCH($H74,LIKELIHOOD,0)=(5-ROW()+ROW($A74)),MATCH($J74,OFFSET(COST_IMPACT_PDE,0,MATCH($G74,ACTIVITY_IMPACTED,0)-1),0)=(COLUMN()-COLUMN($M74)+1)),"C","")</f>
        <v>#N/A</v>
      </c>
      <c r="O74" s="17" t="e">
        <f ca="1">IF(AND(MATCH($H74,LIKELIHOOD,0)=(5-ROW()+ROW($A74)),MATCH($I74,OFFSET(SCHED_IMPACT_PDE,0,MATCH($G74,ACTIVITY_IMPACTED,0)-1),0)=(COLUMN()-COLUMN($M74)+1)),"S","") &amp;  IF(AND(MATCH($H74,LIKELIHOOD,0)=(5-ROW()+ROW($A74)),MATCH($J74,OFFSET(COST_IMPACT_PDE,0,MATCH($G74,ACTIVITY_IMPACTED,0)-1),0)=(COLUMN()-COLUMN($M74)+1)),"C","")</f>
        <v>#N/A</v>
      </c>
      <c r="P74" s="17" t="e">
        <f ca="1">IF(AND(MATCH($H74,LIKELIHOOD,0)=(5-ROW()+ROW($A74)),MATCH($I74,OFFSET(SCHED_IMPACT_PDE,0,MATCH($G74,ACTIVITY_IMPACTED,0)-1),0)=(COLUMN()-COLUMN($M74)+1)),"S","") &amp;  IF(AND(MATCH($H74,LIKELIHOOD,0)=(5-ROW()+ROW($A74)),MATCH($J74,OFFSET(COST_IMPACT_PDE,0,MATCH($G74,ACTIVITY_IMPACTED,0)-1),0)=(COLUMN()-COLUMN($M74)+1)),"C","")</f>
        <v>#N/A</v>
      </c>
      <c r="Q74" s="18" t="e">
        <f ca="1">IF(AND(MATCH($H74,LIKELIHOOD,0)=(5-ROW()+ROW($A74)),MATCH($I74,OFFSET(SCHED_IMPACT_PDE,0,MATCH($G74,ACTIVITY_IMPACTED,0)-1),0)=(COLUMN()-COLUMN($M74)+1)),"S","") &amp;  IF(AND(MATCH($H74,LIKELIHOOD,0)=(5-ROW()+ROW($A74)),MATCH($J74,OFFSET(COST_IMPACT_PDE,0,MATCH($G74,ACTIVITY_IMPACTED,0)-1),0)=(COLUMN()-COLUMN($M74)+1)),"C","")</f>
        <v>#N/A</v>
      </c>
      <c r="R74" s="247"/>
      <c r="S74" s="250"/>
      <c r="T74" s="221"/>
      <c r="U74" s="224"/>
    </row>
    <row r="75" spans="1:21" ht="22.95" customHeight="1" x14ac:dyDescent="0.3">
      <c r="A75" s="237"/>
      <c r="B75" s="239"/>
      <c r="C75" s="241"/>
      <c r="D75" s="239"/>
      <c r="E75" s="243"/>
      <c r="F75" s="245"/>
      <c r="G75" s="243"/>
      <c r="H75" s="243"/>
      <c r="I75" s="243"/>
      <c r="J75" s="243"/>
      <c r="K75" s="246"/>
      <c r="L75" s="4" t="s">
        <v>5</v>
      </c>
      <c r="M75" s="19" t="e">
        <f ca="1">IF(AND(MATCH($H74,LIKELIHOOD,0)=(5-ROW()+ROW($A74)),MATCH($I74,OFFSET(SCHED_IMPACT_PDE,0,MATCH($G74,ACTIVITY_IMPACTED,0)-1),0)=(COLUMN()-COLUMN($M74)+1)),"S","") &amp;  IF(AND(MATCH($H74,LIKELIHOOD,0)=(5-ROW()+ROW($A74)),MATCH($J74,OFFSET(COST_IMPACT_PDE,0,MATCH($G74,ACTIVITY_IMPACTED,0)-1),0)=(COLUMN()-COLUMN($M74)+1)),"C","")</f>
        <v>#N/A</v>
      </c>
      <c r="N75" s="20" t="e">
        <f ca="1">IF(AND(MATCH($H74,LIKELIHOOD,0)=(5-ROW()+ROW($A74)),MATCH($I74,OFFSET(SCHED_IMPACT_PDE,0,MATCH($G74,ACTIVITY_IMPACTED,0)-1),0)=(COLUMN()-COLUMN($M74)+1)),"S","") &amp;  IF(AND(MATCH($H74,LIKELIHOOD,0)=(5-ROW()+ROW($A74)),MATCH($J74,OFFSET(COST_IMPACT_PDE,0,MATCH($G74,ACTIVITY_IMPACTED,0)-1),0)=(COLUMN()-COLUMN($M74)+1)),"C","")</f>
        <v>#N/A</v>
      </c>
      <c r="O75" s="21" t="e">
        <f ca="1">IF(AND(MATCH($H74,LIKELIHOOD,0)=(5-ROW()+ROW($A74)),MATCH($I74,OFFSET(SCHED_IMPACT_PDE,0,MATCH($G74,ACTIVITY_IMPACTED,0)-1),0)=(COLUMN()-COLUMN($M74)+1)),"S","") &amp;  IF(AND(MATCH($H74,LIKELIHOOD,0)=(5-ROW()+ROW($A74)),MATCH($J74,OFFSET(COST_IMPACT_PDE,0,MATCH($G74,ACTIVITY_IMPACTED,0)-1),0)=(COLUMN()-COLUMN($M74)+1)),"C","")</f>
        <v>#N/A</v>
      </c>
      <c r="P75" s="21" t="e">
        <f ca="1">IF(AND(MATCH($H74,LIKELIHOOD,0)=(5-ROW()+ROW($A74)),MATCH($I74,OFFSET(SCHED_IMPACT_PDE,0,MATCH($G74,ACTIVITY_IMPACTED,0)-1),0)=(COLUMN()-COLUMN($M74)+1)),"S","") &amp;  IF(AND(MATCH($H74,LIKELIHOOD,0)=(5-ROW()+ROW($A74)),MATCH($J74,OFFSET(COST_IMPACT_PDE,0,MATCH($G74,ACTIVITY_IMPACTED,0)-1),0)=(COLUMN()-COLUMN($M74)+1)),"C","")</f>
        <v>#N/A</v>
      </c>
      <c r="Q75" s="22" t="e">
        <f ca="1">IF(AND(MATCH($H74,LIKELIHOOD,0)=(5-ROW()+ROW($A74)),MATCH($I74,OFFSET(SCHED_IMPACT_PDE,0,MATCH($G74,ACTIVITY_IMPACTED,0)-1),0)=(COLUMN()-COLUMN($M74)+1)),"S","") &amp;  IF(AND(MATCH($H74,LIKELIHOOD,0)=(5-ROW()+ROW($A74)),MATCH($J74,OFFSET(COST_IMPACT_PDE,0,MATCH($G74,ACTIVITY_IMPACTED,0)-1),0)=(COLUMN()-COLUMN($M74)+1)),"C","")</f>
        <v>#N/A</v>
      </c>
      <c r="R75" s="248"/>
      <c r="S75" s="251"/>
      <c r="T75" s="222"/>
      <c r="U75" s="225"/>
    </row>
    <row r="76" spans="1:21" ht="22.95" customHeight="1" x14ac:dyDescent="0.3">
      <c r="A76" s="237"/>
      <c r="B76" s="239"/>
      <c r="C76" s="241"/>
      <c r="D76" s="239"/>
      <c r="E76" s="243"/>
      <c r="F76" s="245"/>
      <c r="G76" s="243"/>
      <c r="H76" s="243"/>
      <c r="I76" s="243"/>
      <c r="J76" s="243"/>
      <c r="K76" s="246"/>
      <c r="L76" s="4" t="s">
        <v>11</v>
      </c>
      <c r="M76" s="19" t="e">
        <f ca="1">IF(AND(MATCH($H74,LIKELIHOOD,0)=(5-ROW()+ROW($A74)),MATCH($I74,OFFSET(SCHED_IMPACT_PDE,0,MATCH($G74,ACTIVITY_IMPACTED,0)-1),0)=(COLUMN()-COLUMN($M74)+1)),"S","") &amp;  IF(AND(MATCH($H74,LIKELIHOOD,0)=(5-ROW()+ROW($A74)),MATCH($J74,OFFSET(COST_IMPACT_PDE,0,MATCH($G74,ACTIVITY_IMPACTED,0)-1),0)=(COLUMN()-COLUMN($M74)+1)),"C","")</f>
        <v>#N/A</v>
      </c>
      <c r="N76" s="23" t="e">
        <f ca="1">IF(AND(MATCH($H74,LIKELIHOOD,0)=(5-ROW()+ROW($A74)),MATCH($I74,OFFSET(SCHED_IMPACT_PDE,0,MATCH($G74,ACTIVITY_IMPACTED,0)-1),0)=(COLUMN()-COLUMN($M74)+1)),"S","") &amp;  IF(AND(MATCH($H74,LIKELIHOOD,0)=(5-ROW()+ROW($A74)),MATCH($J74,OFFSET(COST_IMPACT_PDE,0,MATCH($G74,ACTIVITY_IMPACTED,0)-1),0)=(COLUMN()-COLUMN($M74)+1)),"C","")</f>
        <v>#N/A</v>
      </c>
      <c r="O76" s="20" t="e">
        <f ca="1">IF(AND(MATCH($H74,LIKELIHOOD,0)=(5-ROW()+ROW($A74)),MATCH($I74,OFFSET(SCHED_IMPACT_PDE,0,MATCH($G74,ACTIVITY_IMPACTED,0)-1),0)=(COLUMN()-COLUMN($M74)+1)),"S","") &amp;  IF(AND(MATCH($H74,LIKELIHOOD,0)=(5-ROW()+ROW($A74)),MATCH($J74,OFFSET(COST_IMPACT_PDE,0,MATCH($G74,ACTIVITY_IMPACTED,0)-1),0)=(COLUMN()-COLUMN($M74)+1)),"C","")</f>
        <v>#N/A</v>
      </c>
      <c r="P76" s="21" t="e">
        <f ca="1">IF(AND(MATCH($H74,LIKELIHOOD,0)=(5-ROW()+ROW($A74)),MATCH($I74,OFFSET(SCHED_IMPACT_PDE,0,MATCH($G74,ACTIVITY_IMPACTED,0)-1),0)=(COLUMN()-COLUMN($M74)+1)),"S","") &amp;  IF(AND(MATCH($H74,LIKELIHOOD,0)=(5-ROW()+ROW($A74)),MATCH($J74,OFFSET(COST_IMPACT_PDE,0,MATCH($G74,ACTIVITY_IMPACTED,0)-1),0)=(COLUMN()-COLUMN($M74)+1)),"C","")</f>
        <v>#N/A</v>
      </c>
      <c r="Q76" s="22" t="e">
        <f ca="1">IF(AND(MATCH($H74,LIKELIHOOD,0)=(5-ROW()+ROW($A74)),MATCH($I74,OFFSET(SCHED_IMPACT_PDE,0,MATCH($G74,ACTIVITY_IMPACTED,0)-1),0)=(COLUMN()-COLUMN($M74)+1)),"S","") &amp;  IF(AND(MATCH($H74,LIKELIHOOD,0)=(5-ROW()+ROW($A74)),MATCH($J74,OFFSET(COST_IMPACT_PDE,0,MATCH($G74,ACTIVITY_IMPACTED,0)-1),0)=(COLUMN()-COLUMN($M74)+1)),"C","")</f>
        <v>#N/A</v>
      </c>
      <c r="R76" s="248"/>
      <c r="S76" s="251"/>
      <c r="T76" s="222"/>
      <c r="U76" s="225"/>
    </row>
    <row r="77" spans="1:21" ht="22.95" customHeight="1" x14ac:dyDescent="0.3">
      <c r="A77" s="237"/>
      <c r="B77" s="239"/>
      <c r="C77" s="241"/>
      <c r="D77" s="239"/>
      <c r="E77" s="243"/>
      <c r="F77" s="245"/>
      <c r="G77" s="243"/>
      <c r="H77" s="243"/>
      <c r="I77" s="243"/>
      <c r="J77" s="243"/>
      <c r="K77" s="246"/>
      <c r="L77" s="4" t="s">
        <v>6</v>
      </c>
      <c r="M77" s="19" t="e">
        <f ca="1">IF(AND(MATCH($H74,LIKELIHOOD,0)=(5-ROW()+ROW($A74)),MATCH($I74,OFFSET(SCHED_IMPACT_PDE,0,MATCH($G74,ACTIVITY_IMPACTED,0)-1),0)=(COLUMN()-COLUMN($M74)+1)),"S","") &amp;  IF(AND(MATCH($H74,LIKELIHOOD,0)=(5-ROW()+ROW($A74)),MATCH($J74,OFFSET(COST_IMPACT_PDE,0,MATCH($G74,ACTIVITY_IMPACTED,0)-1),0)=(COLUMN()-COLUMN($M74)+1)),"C","")</f>
        <v>#N/A</v>
      </c>
      <c r="N77" s="23" t="e">
        <f ca="1">IF(AND(MATCH($H74,LIKELIHOOD,0)=(5-ROW()+ROW($A74)),MATCH($I74,OFFSET(SCHED_IMPACT_PDE,0,MATCH($G74,ACTIVITY_IMPACTED,0)-1),0)=(COLUMN()-COLUMN($M74)+1)),"S","") &amp;  IF(AND(MATCH($H74,LIKELIHOOD,0)=(5-ROW()+ROW($A74)),MATCH($J74,OFFSET(COST_IMPACT_PDE,0,MATCH($G74,ACTIVITY_IMPACTED,0)-1),0)=(COLUMN()-COLUMN($M74)+1)),"C","")</f>
        <v>#N/A</v>
      </c>
      <c r="O77" s="20" t="e">
        <f ca="1">IF(AND(MATCH($H74,LIKELIHOOD,0)=(5-ROW()+ROW($A74)),MATCH($I74,OFFSET(SCHED_IMPACT_PDE,0,MATCH($G74,ACTIVITY_IMPACTED,0)-1),0)=(COLUMN()-COLUMN($M74)+1)),"S","") &amp;  IF(AND(MATCH($H74,LIKELIHOOD,0)=(5-ROW()+ROW($A74)),MATCH($J74,OFFSET(COST_IMPACT_PDE,0,MATCH($G74,ACTIVITY_IMPACTED,0)-1),0)=(COLUMN()-COLUMN($M74)+1)),"C","")</f>
        <v>#N/A</v>
      </c>
      <c r="P77" s="21" t="e">
        <f ca="1">IF(AND(MATCH($H74,LIKELIHOOD,0)=(5-ROW()+ROW($A74)),MATCH($I74,OFFSET(SCHED_IMPACT_PDE,0,MATCH($G74,ACTIVITY_IMPACTED,0)-1),0)=(COLUMN()-COLUMN($M74)+1)),"S","") &amp;  IF(AND(MATCH($H74,LIKELIHOOD,0)=(5-ROW()+ROW($A74)),MATCH($J74,OFFSET(COST_IMPACT_PDE,0,MATCH($G74,ACTIVITY_IMPACTED,0)-1),0)=(COLUMN()-COLUMN($M74)+1)),"C","")</f>
        <v>#N/A</v>
      </c>
      <c r="Q77" s="22" t="e">
        <f ca="1">IF(AND(MATCH($H74,LIKELIHOOD,0)=(5-ROW()+ROW($A74)),MATCH($I74,OFFSET(SCHED_IMPACT_PDE,0,MATCH($G74,ACTIVITY_IMPACTED,0)-1),0)=(COLUMN()-COLUMN($M74)+1)),"S","") &amp;  IF(AND(MATCH($H74,LIKELIHOOD,0)=(5-ROW()+ROW($A74)),MATCH($J74,OFFSET(COST_IMPACT_PDE,0,MATCH($G74,ACTIVITY_IMPACTED,0)-1),0)=(COLUMN()-COLUMN($M74)+1)),"C","")</f>
        <v>#N/A</v>
      </c>
      <c r="R77" s="248"/>
      <c r="S77" s="251"/>
      <c r="T77" s="223"/>
      <c r="U77" s="225"/>
    </row>
    <row r="78" spans="1:21" ht="22.95" customHeight="1" thickBot="1" x14ac:dyDescent="0.35">
      <c r="A78" s="237"/>
      <c r="B78" s="239"/>
      <c r="C78" s="241"/>
      <c r="D78" s="239"/>
      <c r="E78" s="243"/>
      <c r="F78" s="245"/>
      <c r="G78" s="243"/>
      <c r="H78" s="243"/>
      <c r="I78" s="243"/>
      <c r="J78" s="243"/>
      <c r="K78" s="246"/>
      <c r="L78" s="4" t="s">
        <v>24</v>
      </c>
      <c r="M78" s="24" t="e">
        <f ca="1">IF(AND(MATCH($H74,LIKELIHOOD,0)=(5-ROW()+ROW($A74)),MATCH($I74,OFFSET(SCHED_IMPACT_PDE,0,MATCH($G74,ACTIVITY_IMPACTED,0)-1),0)=(COLUMN()-COLUMN($M74)+1)),"S","") &amp;  IF(AND(MATCH($H74,LIKELIHOOD,0)=(5-ROW()+ROW($A74)),MATCH($J74,OFFSET(COST_IMPACT_PDE,0,MATCH($G74,ACTIVITY_IMPACTED,0)-1),0)=(COLUMN()-COLUMN($M74)+1)),"C","")</f>
        <v>#N/A</v>
      </c>
      <c r="N78" s="25" t="e">
        <f ca="1">IF(AND(MATCH($H74,LIKELIHOOD,0)=(5-ROW()+ROW($A74)),MATCH($I74,OFFSET(SCHED_IMPACT_PDE,0,MATCH($G74,ACTIVITY_IMPACTED,0)-1),0)=(COLUMN()-COLUMN($M74)+1)),"S","") &amp;  IF(AND(MATCH($H74,LIKELIHOOD,0)=(5-ROW()+ROW($A74)),MATCH($J74,OFFSET(COST_IMPACT_PDE,0,MATCH($G74,ACTIVITY_IMPACTED,0)-1),0)=(COLUMN()-COLUMN($M74)+1)),"C","")</f>
        <v>#N/A</v>
      </c>
      <c r="O78" s="25" t="e">
        <f ca="1">IF(AND(MATCH($H74,LIKELIHOOD,0)=(5-ROW()+ROW($A74)),MATCH($I74,OFFSET(SCHED_IMPACT_PDE,0,MATCH($G74,ACTIVITY_IMPACTED,0)-1),0)=(COLUMN()-COLUMN($M74)+1)),"S","") &amp;  IF(AND(MATCH($H74,LIKELIHOOD,0)=(5-ROW()+ROW($A74)),MATCH($J74,OFFSET(COST_IMPACT_PDE,0,MATCH($G74,ACTIVITY_IMPACTED,0)-1),0)=(COLUMN()-COLUMN($M74)+1)),"C","")</f>
        <v>#N/A</v>
      </c>
      <c r="P78" s="26" t="e">
        <f ca="1">IF(AND(MATCH($H74,LIKELIHOOD,0)=(5-ROW()+ROW($A74)),MATCH($I74,OFFSET(SCHED_IMPACT_PDE,0,MATCH($G74,ACTIVITY_IMPACTED,0)-1),0)=(COLUMN()-COLUMN($M74)+1)),"S","") &amp;  IF(AND(MATCH($H74,LIKELIHOOD,0)=(5-ROW()+ROW($A74)),MATCH($J74,OFFSET(COST_IMPACT_PDE,0,MATCH($G74,ACTIVITY_IMPACTED,0)-1),0)=(COLUMN()-COLUMN($M74)+1)),"C","")</f>
        <v>#N/A</v>
      </c>
      <c r="Q78" s="27" t="e">
        <f ca="1">IF(AND(MATCH($H74,LIKELIHOOD,0)=(5-ROW()+ROW($A74)),MATCH($I74,OFFSET(SCHED_IMPACT_PDE,0,MATCH($G74,ACTIVITY_IMPACTED,0)-1),0)=(COLUMN()-COLUMN($M74)+1)),"S","") &amp;  IF(AND(MATCH($H74,LIKELIHOOD,0)=(5-ROW()+ROW($A74)),MATCH($J74,OFFSET(COST_IMPACT_PDE,0,MATCH($G74,ACTIVITY_IMPACTED,0)-1),0)=(COLUMN()-COLUMN($M74)+1)),"C","")</f>
        <v>#N/A</v>
      </c>
      <c r="R78" s="248"/>
      <c r="S78" s="251"/>
      <c r="T78" s="124" t="s">
        <v>77</v>
      </c>
      <c r="U78" s="127"/>
    </row>
    <row r="79" spans="1:21" ht="22.95" customHeight="1" x14ac:dyDescent="0.3">
      <c r="A79" s="237"/>
      <c r="B79" s="239"/>
      <c r="C79" s="241"/>
      <c r="D79" s="239"/>
      <c r="E79" s="243"/>
      <c r="F79" s="245"/>
      <c r="G79" s="243"/>
      <c r="H79" s="243"/>
      <c r="I79" s="243"/>
      <c r="J79" s="243"/>
      <c r="K79" s="33"/>
      <c r="L79" s="34"/>
      <c r="M79" s="5" t="s">
        <v>24</v>
      </c>
      <c r="N79" s="5" t="s">
        <v>6</v>
      </c>
      <c r="O79" s="5" t="s">
        <v>11</v>
      </c>
      <c r="P79" s="5" t="s">
        <v>5</v>
      </c>
      <c r="Q79" s="5" t="s">
        <v>23</v>
      </c>
      <c r="R79" s="248"/>
      <c r="S79" s="251"/>
      <c r="T79" s="124" t="s">
        <v>76</v>
      </c>
      <c r="U79" s="127"/>
    </row>
    <row r="80" spans="1:21" ht="22.95" customHeight="1" x14ac:dyDescent="0.3">
      <c r="A80" s="237"/>
      <c r="B80" s="239"/>
      <c r="C80" s="241"/>
      <c r="D80" s="239"/>
      <c r="E80" s="243"/>
      <c r="F80" s="245"/>
      <c r="G80" s="243"/>
      <c r="H80" s="243"/>
      <c r="I80" s="243"/>
      <c r="J80" s="243"/>
      <c r="K80" s="35"/>
      <c r="L80" s="28"/>
      <c r="M80" s="252" t="s">
        <v>25</v>
      </c>
      <c r="N80" s="252"/>
      <c r="O80" s="252"/>
      <c r="P80" s="252"/>
      <c r="Q80" s="252"/>
      <c r="R80" s="249"/>
      <c r="S80" s="251"/>
      <c r="T80" s="124" t="s">
        <v>75</v>
      </c>
      <c r="U80" s="127"/>
    </row>
    <row r="81" spans="1:21" ht="23.25" customHeight="1" x14ac:dyDescent="0.3">
      <c r="A81" s="29"/>
      <c r="B81" s="30"/>
      <c r="C81" s="30"/>
      <c r="D81" s="30"/>
      <c r="E81" s="31"/>
      <c r="F81" s="31"/>
      <c r="G81" s="30"/>
      <c r="H81" s="30"/>
      <c r="I81" s="30"/>
      <c r="J81" s="30"/>
      <c r="K81" s="30"/>
      <c r="L81" s="30"/>
      <c r="M81" s="30"/>
      <c r="N81" s="30"/>
      <c r="O81" s="30"/>
      <c r="P81" s="30"/>
      <c r="Q81" s="30"/>
      <c r="R81" s="30"/>
      <c r="S81" s="36"/>
      <c r="T81" s="36"/>
      <c r="U81" s="36"/>
    </row>
    <row r="82" spans="1:21" ht="23.25" customHeight="1" x14ac:dyDescent="0.3"/>
    <row r="83" spans="1:21" ht="23.25" customHeight="1" x14ac:dyDescent="0.3">
      <c r="A83" s="228" t="s">
        <v>0</v>
      </c>
      <c r="B83" s="228"/>
      <c r="C83" s="228"/>
      <c r="D83" s="228"/>
      <c r="E83" s="228"/>
      <c r="F83" s="228"/>
      <c r="G83" s="229"/>
      <c r="H83" s="230" t="s">
        <v>1</v>
      </c>
      <c r="I83" s="230"/>
      <c r="J83" s="230"/>
      <c r="K83" s="230"/>
      <c r="L83" s="230"/>
      <c r="M83" s="230"/>
      <c r="N83" s="230"/>
      <c r="O83" s="230"/>
      <c r="P83" s="230"/>
      <c r="Q83" s="230"/>
      <c r="R83" s="231" t="s">
        <v>28</v>
      </c>
      <c r="S83" s="232"/>
      <c r="T83" s="232"/>
      <c r="U83" s="233"/>
    </row>
    <row r="84" spans="1:21" ht="91.95" customHeight="1" thickBot="1" x14ac:dyDescent="0.35">
      <c r="A84" s="32" t="s">
        <v>12</v>
      </c>
      <c r="B84" s="32" t="s">
        <v>2</v>
      </c>
      <c r="C84" s="32" t="s">
        <v>19</v>
      </c>
      <c r="D84" s="32" t="s">
        <v>8</v>
      </c>
      <c r="E84" s="12" t="s">
        <v>9</v>
      </c>
      <c r="F84" s="12" t="s">
        <v>7</v>
      </c>
      <c r="G84" s="13" t="s">
        <v>37</v>
      </c>
      <c r="H84" s="14" t="s">
        <v>22</v>
      </c>
      <c r="I84" s="14" t="s">
        <v>20</v>
      </c>
      <c r="J84" s="14" t="s">
        <v>10</v>
      </c>
      <c r="K84" s="234" t="s">
        <v>26</v>
      </c>
      <c r="L84" s="234"/>
      <c r="M84" s="235"/>
      <c r="N84" s="235"/>
      <c r="O84" s="235"/>
      <c r="P84" s="235"/>
      <c r="Q84" s="235"/>
      <c r="R84" s="37" t="s">
        <v>29</v>
      </c>
      <c r="S84" s="11" t="s">
        <v>30</v>
      </c>
      <c r="T84" s="226" t="s">
        <v>31</v>
      </c>
      <c r="U84" s="227"/>
    </row>
    <row r="85" spans="1:21" ht="22.95" customHeight="1" x14ac:dyDescent="0.3">
      <c r="A85" s="236">
        <v>8</v>
      </c>
      <c r="B85" s="238"/>
      <c r="C85" s="240"/>
      <c r="D85" s="238"/>
      <c r="E85" s="242"/>
      <c r="F85" s="244"/>
      <c r="G85" s="242"/>
      <c r="H85" s="242"/>
      <c r="I85" s="242"/>
      <c r="J85" s="242"/>
      <c r="K85" s="246" t="s">
        <v>22</v>
      </c>
      <c r="L85" s="4" t="s">
        <v>23</v>
      </c>
      <c r="M85" s="15" t="e">
        <f ca="1">IF(AND(MATCH($H85,LIKELIHOOD,0)=(5-ROW()+ROW($A85)),MATCH($I85,OFFSET(SCHED_IMPACT_PDE,0,MATCH($G85,ACTIVITY_IMPACTED,0)-1),0)=(COLUMN()-COLUMN($M85)+1)),"S","") &amp;  IF(AND(MATCH($H85,LIKELIHOOD,0)=(5-ROW()+ROW($A85)),MATCH($J85,OFFSET(COST_IMPACT_PDE,0,MATCH($G85,ACTIVITY_IMPACTED,0)-1),0)=(COLUMN()-COLUMN($M85)+1)),"C","")</f>
        <v>#N/A</v>
      </c>
      <c r="N85" s="16" t="e">
        <f ca="1">IF(AND(MATCH($H85,LIKELIHOOD,0)=(5-ROW()+ROW($A85)),MATCH($I85,OFFSET(SCHED_IMPACT_PDE,0,MATCH($G85,ACTIVITY_IMPACTED,0)-1),0)=(COLUMN()-COLUMN($M85)+1)),"S","") &amp;  IF(AND(MATCH($H85,LIKELIHOOD,0)=(5-ROW()+ROW($A85)),MATCH($J85,OFFSET(COST_IMPACT_PDE,0,MATCH($G85,ACTIVITY_IMPACTED,0)-1),0)=(COLUMN()-COLUMN($M85)+1)),"C","")</f>
        <v>#N/A</v>
      </c>
      <c r="O85" s="17" t="e">
        <f ca="1">IF(AND(MATCH($H85,LIKELIHOOD,0)=(5-ROW()+ROW($A85)),MATCH($I85,OFFSET(SCHED_IMPACT_PDE,0,MATCH($G85,ACTIVITY_IMPACTED,0)-1),0)=(COLUMN()-COLUMN($M85)+1)),"S","") &amp;  IF(AND(MATCH($H85,LIKELIHOOD,0)=(5-ROW()+ROW($A85)),MATCH($J85,OFFSET(COST_IMPACT_PDE,0,MATCH($G85,ACTIVITY_IMPACTED,0)-1),0)=(COLUMN()-COLUMN($M85)+1)),"C","")</f>
        <v>#N/A</v>
      </c>
      <c r="P85" s="17" t="e">
        <f ca="1">IF(AND(MATCH($H85,LIKELIHOOD,0)=(5-ROW()+ROW($A85)),MATCH($I85,OFFSET(SCHED_IMPACT_PDE,0,MATCH($G85,ACTIVITY_IMPACTED,0)-1),0)=(COLUMN()-COLUMN($M85)+1)),"S","") &amp;  IF(AND(MATCH($H85,LIKELIHOOD,0)=(5-ROW()+ROW($A85)),MATCH($J85,OFFSET(COST_IMPACT_PDE,0,MATCH($G85,ACTIVITY_IMPACTED,0)-1),0)=(COLUMN()-COLUMN($M85)+1)),"C","")</f>
        <v>#N/A</v>
      </c>
      <c r="Q85" s="18" t="e">
        <f ca="1">IF(AND(MATCH($H85,LIKELIHOOD,0)=(5-ROW()+ROW($A85)),MATCH($I85,OFFSET(SCHED_IMPACT_PDE,0,MATCH($G85,ACTIVITY_IMPACTED,0)-1),0)=(COLUMN()-COLUMN($M85)+1)),"S","") &amp;  IF(AND(MATCH($H85,LIKELIHOOD,0)=(5-ROW()+ROW($A85)),MATCH($J85,OFFSET(COST_IMPACT_PDE,0,MATCH($G85,ACTIVITY_IMPACTED,0)-1),0)=(COLUMN()-COLUMN($M85)+1)),"C","")</f>
        <v>#N/A</v>
      </c>
      <c r="R85" s="247"/>
      <c r="S85" s="250"/>
      <c r="T85" s="221"/>
      <c r="U85" s="224"/>
    </row>
    <row r="86" spans="1:21" ht="22.95" customHeight="1" x14ac:dyDescent="0.3">
      <c r="A86" s="237"/>
      <c r="B86" s="239"/>
      <c r="C86" s="241"/>
      <c r="D86" s="239"/>
      <c r="E86" s="243"/>
      <c r="F86" s="245"/>
      <c r="G86" s="243"/>
      <c r="H86" s="243"/>
      <c r="I86" s="243"/>
      <c r="J86" s="243"/>
      <c r="K86" s="246"/>
      <c r="L86" s="4" t="s">
        <v>5</v>
      </c>
      <c r="M86" s="19" t="e">
        <f ca="1">IF(AND(MATCH($H85,LIKELIHOOD,0)=(5-ROW()+ROW($A85)),MATCH($I85,OFFSET(SCHED_IMPACT_PDE,0,MATCH($G85,ACTIVITY_IMPACTED,0)-1),0)=(COLUMN()-COLUMN($M85)+1)),"S","") &amp;  IF(AND(MATCH($H85,LIKELIHOOD,0)=(5-ROW()+ROW($A85)),MATCH($J85,OFFSET(COST_IMPACT_PDE,0,MATCH($G85,ACTIVITY_IMPACTED,0)-1),0)=(COLUMN()-COLUMN($M85)+1)),"C","")</f>
        <v>#N/A</v>
      </c>
      <c r="N86" s="20" t="e">
        <f ca="1">IF(AND(MATCH($H85,LIKELIHOOD,0)=(5-ROW()+ROW($A85)),MATCH($I85,OFFSET(SCHED_IMPACT_PDE,0,MATCH($G85,ACTIVITY_IMPACTED,0)-1),0)=(COLUMN()-COLUMN($M85)+1)),"S","") &amp;  IF(AND(MATCH($H85,LIKELIHOOD,0)=(5-ROW()+ROW($A85)),MATCH($J85,OFFSET(COST_IMPACT_PDE,0,MATCH($G85,ACTIVITY_IMPACTED,0)-1),0)=(COLUMN()-COLUMN($M85)+1)),"C","")</f>
        <v>#N/A</v>
      </c>
      <c r="O86" s="21" t="e">
        <f ca="1">IF(AND(MATCH($H85,LIKELIHOOD,0)=(5-ROW()+ROW($A85)),MATCH($I85,OFFSET(SCHED_IMPACT_PDE,0,MATCH($G85,ACTIVITY_IMPACTED,0)-1),0)=(COLUMN()-COLUMN($M85)+1)),"S","") &amp;  IF(AND(MATCH($H85,LIKELIHOOD,0)=(5-ROW()+ROW($A85)),MATCH($J85,OFFSET(COST_IMPACT_PDE,0,MATCH($G85,ACTIVITY_IMPACTED,0)-1),0)=(COLUMN()-COLUMN($M85)+1)),"C","")</f>
        <v>#N/A</v>
      </c>
      <c r="P86" s="21" t="e">
        <f ca="1">IF(AND(MATCH($H85,LIKELIHOOD,0)=(5-ROW()+ROW($A85)),MATCH($I85,OFFSET(SCHED_IMPACT_PDE,0,MATCH($G85,ACTIVITY_IMPACTED,0)-1),0)=(COLUMN()-COLUMN($M85)+1)),"S","") &amp;  IF(AND(MATCH($H85,LIKELIHOOD,0)=(5-ROW()+ROW($A85)),MATCH($J85,OFFSET(COST_IMPACT_PDE,0,MATCH($G85,ACTIVITY_IMPACTED,0)-1),0)=(COLUMN()-COLUMN($M85)+1)),"C","")</f>
        <v>#N/A</v>
      </c>
      <c r="Q86" s="22" t="e">
        <f ca="1">IF(AND(MATCH($H85,LIKELIHOOD,0)=(5-ROW()+ROW($A85)),MATCH($I85,OFFSET(SCHED_IMPACT_PDE,0,MATCH($G85,ACTIVITY_IMPACTED,0)-1),0)=(COLUMN()-COLUMN($M85)+1)),"S","") &amp;  IF(AND(MATCH($H85,LIKELIHOOD,0)=(5-ROW()+ROW($A85)),MATCH($J85,OFFSET(COST_IMPACT_PDE,0,MATCH($G85,ACTIVITY_IMPACTED,0)-1),0)=(COLUMN()-COLUMN($M85)+1)),"C","")</f>
        <v>#N/A</v>
      </c>
      <c r="R86" s="248"/>
      <c r="S86" s="251"/>
      <c r="T86" s="222"/>
      <c r="U86" s="225"/>
    </row>
    <row r="87" spans="1:21" ht="22.95" customHeight="1" x14ac:dyDescent="0.3">
      <c r="A87" s="237"/>
      <c r="B87" s="239"/>
      <c r="C87" s="241"/>
      <c r="D87" s="239"/>
      <c r="E87" s="243"/>
      <c r="F87" s="245"/>
      <c r="G87" s="243"/>
      <c r="H87" s="243"/>
      <c r="I87" s="243"/>
      <c r="J87" s="243"/>
      <c r="K87" s="246"/>
      <c r="L87" s="4" t="s">
        <v>11</v>
      </c>
      <c r="M87" s="19" t="e">
        <f ca="1">IF(AND(MATCH($H85,LIKELIHOOD,0)=(5-ROW()+ROW($A85)),MATCH($I85,OFFSET(SCHED_IMPACT_PDE,0,MATCH($G85,ACTIVITY_IMPACTED,0)-1),0)=(COLUMN()-COLUMN($M85)+1)),"S","") &amp;  IF(AND(MATCH($H85,LIKELIHOOD,0)=(5-ROW()+ROW($A85)),MATCH($J85,OFFSET(COST_IMPACT_PDE,0,MATCH($G85,ACTIVITY_IMPACTED,0)-1),0)=(COLUMN()-COLUMN($M85)+1)),"C","")</f>
        <v>#N/A</v>
      </c>
      <c r="N87" s="23" t="e">
        <f ca="1">IF(AND(MATCH($H85,LIKELIHOOD,0)=(5-ROW()+ROW($A85)),MATCH($I85,OFFSET(SCHED_IMPACT_PDE,0,MATCH($G85,ACTIVITY_IMPACTED,0)-1),0)=(COLUMN()-COLUMN($M85)+1)),"S","") &amp;  IF(AND(MATCH($H85,LIKELIHOOD,0)=(5-ROW()+ROW($A85)),MATCH($J85,OFFSET(COST_IMPACT_PDE,0,MATCH($G85,ACTIVITY_IMPACTED,0)-1),0)=(COLUMN()-COLUMN($M85)+1)),"C","")</f>
        <v>#N/A</v>
      </c>
      <c r="O87" s="20" t="e">
        <f ca="1">IF(AND(MATCH($H85,LIKELIHOOD,0)=(5-ROW()+ROW($A85)),MATCH($I85,OFFSET(SCHED_IMPACT_PDE,0,MATCH($G85,ACTIVITY_IMPACTED,0)-1),0)=(COLUMN()-COLUMN($M85)+1)),"S","") &amp;  IF(AND(MATCH($H85,LIKELIHOOD,0)=(5-ROW()+ROW($A85)),MATCH($J85,OFFSET(COST_IMPACT_PDE,0,MATCH($G85,ACTIVITY_IMPACTED,0)-1),0)=(COLUMN()-COLUMN($M85)+1)),"C","")</f>
        <v>#N/A</v>
      </c>
      <c r="P87" s="21" t="e">
        <f ca="1">IF(AND(MATCH($H85,LIKELIHOOD,0)=(5-ROW()+ROW($A85)),MATCH($I85,OFFSET(SCHED_IMPACT_PDE,0,MATCH($G85,ACTIVITY_IMPACTED,0)-1),0)=(COLUMN()-COLUMN($M85)+1)),"S","") &amp;  IF(AND(MATCH($H85,LIKELIHOOD,0)=(5-ROW()+ROW($A85)),MATCH($J85,OFFSET(COST_IMPACT_PDE,0,MATCH($G85,ACTIVITY_IMPACTED,0)-1),0)=(COLUMN()-COLUMN($M85)+1)),"C","")</f>
        <v>#N/A</v>
      </c>
      <c r="Q87" s="22" t="e">
        <f ca="1">IF(AND(MATCH($H85,LIKELIHOOD,0)=(5-ROW()+ROW($A85)),MATCH($I85,OFFSET(SCHED_IMPACT_PDE,0,MATCH($G85,ACTIVITY_IMPACTED,0)-1),0)=(COLUMN()-COLUMN($M85)+1)),"S","") &amp;  IF(AND(MATCH($H85,LIKELIHOOD,0)=(5-ROW()+ROW($A85)),MATCH($J85,OFFSET(COST_IMPACT_PDE,0,MATCH($G85,ACTIVITY_IMPACTED,0)-1),0)=(COLUMN()-COLUMN($M85)+1)),"C","")</f>
        <v>#N/A</v>
      </c>
      <c r="R87" s="248"/>
      <c r="S87" s="251"/>
      <c r="T87" s="222"/>
      <c r="U87" s="225"/>
    </row>
    <row r="88" spans="1:21" ht="22.95" customHeight="1" x14ac:dyDescent="0.3">
      <c r="A88" s="237"/>
      <c r="B88" s="239"/>
      <c r="C88" s="241"/>
      <c r="D88" s="239"/>
      <c r="E88" s="243"/>
      <c r="F88" s="245"/>
      <c r="G88" s="243"/>
      <c r="H88" s="243"/>
      <c r="I88" s="243"/>
      <c r="J88" s="243"/>
      <c r="K88" s="246"/>
      <c r="L88" s="4" t="s">
        <v>6</v>
      </c>
      <c r="M88" s="19" t="e">
        <f ca="1">IF(AND(MATCH($H85,LIKELIHOOD,0)=(5-ROW()+ROW($A85)),MATCH($I85,OFFSET(SCHED_IMPACT_PDE,0,MATCH($G85,ACTIVITY_IMPACTED,0)-1),0)=(COLUMN()-COLUMN($M85)+1)),"S","") &amp;  IF(AND(MATCH($H85,LIKELIHOOD,0)=(5-ROW()+ROW($A85)),MATCH($J85,OFFSET(COST_IMPACT_PDE,0,MATCH($G85,ACTIVITY_IMPACTED,0)-1),0)=(COLUMN()-COLUMN($M85)+1)),"C","")</f>
        <v>#N/A</v>
      </c>
      <c r="N88" s="23" t="e">
        <f ca="1">IF(AND(MATCH($H85,LIKELIHOOD,0)=(5-ROW()+ROW($A85)),MATCH($I85,OFFSET(SCHED_IMPACT_PDE,0,MATCH($G85,ACTIVITY_IMPACTED,0)-1),0)=(COLUMN()-COLUMN($M85)+1)),"S","") &amp;  IF(AND(MATCH($H85,LIKELIHOOD,0)=(5-ROW()+ROW($A85)),MATCH($J85,OFFSET(COST_IMPACT_PDE,0,MATCH($G85,ACTIVITY_IMPACTED,0)-1),0)=(COLUMN()-COLUMN($M85)+1)),"C","")</f>
        <v>#N/A</v>
      </c>
      <c r="O88" s="20" t="e">
        <f ca="1">IF(AND(MATCH($H85,LIKELIHOOD,0)=(5-ROW()+ROW($A85)),MATCH($I85,OFFSET(SCHED_IMPACT_PDE,0,MATCH($G85,ACTIVITY_IMPACTED,0)-1),0)=(COLUMN()-COLUMN($M85)+1)),"S","") &amp;  IF(AND(MATCH($H85,LIKELIHOOD,0)=(5-ROW()+ROW($A85)),MATCH($J85,OFFSET(COST_IMPACT_PDE,0,MATCH($G85,ACTIVITY_IMPACTED,0)-1),0)=(COLUMN()-COLUMN($M85)+1)),"C","")</f>
        <v>#N/A</v>
      </c>
      <c r="P88" s="21" t="e">
        <f ca="1">IF(AND(MATCH($H85,LIKELIHOOD,0)=(5-ROW()+ROW($A85)),MATCH($I85,OFFSET(SCHED_IMPACT_PDE,0,MATCH($G85,ACTIVITY_IMPACTED,0)-1),0)=(COLUMN()-COLUMN($M85)+1)),"S","") &amp;  IF(AND(MATCH($H85,LIKELIHOOD,0)=(5-ROW()+ROW($A85)),MATCH($J85,OFFSET(COST_IMPACT_PDE,0,MATCH($G85,ACTIVITY_IMPACTED,0)-1),0)=(COLUMN()-COLUMN($M85)+1)),"C","")</f>
        <v>#N/A</v>
      </c>
      <c r="Q88" s="22" t="e">
        <f ca="1">IF(AND(MATCH($H85,LIKELIHOOD,0)=(5-ROW()+ROW($A85)),MATCH($I85,OFFSET(SCHED_IMPACT_PDE,0,MATCH($G85,ACTIVITY_IMPACTED,0)-1),0)=(COLUMN()-COLUMN($M85)+1)),"S","") &amp;  IF(AND(MATCH($H85,LIKELIHOOD,0)=(5-ROW()+ROW($A85)),MATCH($J85,OFFSET(COST_IMPACT_PDE,0,MATCH($G85,ACTIVITY_IMPACTED,0)-1),0)=(COLUMN()-COLUMN($M85)+1)),"C","")</f>
        <v>#N/A</v>
      </c>
      <c r="R88" s="248"/>
      <c r="S88" s="251"/>
      <c r="T88" s="223"/>
      <c r="U88" s="225"/>
    </row>
    <row r="89" spans="1:21" ht="22.95" customHeight="1" thickBot="1" x14ac:dyDescent="0.35">
      <c r="A89" s="237"/>
      <c r="B89" s="239"/>
      <c r="C89" s="241"/>
      <c r="D89" s="239"/>
      <c r="E89" s="243"/>
      <c r="F89" s="245"/>
      <c r="G89" s="243"/>
      <c r="H89" s="243"/>
      <c r="I89" s="243"/>
      <c r="J89" s="243"/>
      <c r="K89" s="246"/>
      <c r="L89" s="4" t="s">
        <v>24</v>
      </c>
      <c r="M89" s="24" t="e">
        <f ca="1">IF(AND(MATCH($H85,LIKELIHOOD,0)=(5-ROW()+ROW($A85)),MATCH($I85,OFFSET(SCHED_IMPACT_PDE,0,MATCH($G85,ACTIVITY_IMPACTED,0)-1),0)=(COLUMN()-COLUMN($M85)+1)),"S","") &amp;  IF(AND(MATCH($H85,LIKELIHOOD,0)=(5-ROW()+ROW($A85)),MATCH($J85,OFFSET(COST_IMPACT_PDE,0,MATCH($G85,ACTIVITY_IMPACTED,0)-1),0)=(COLUMN()-COLUMN($M85)+1)),"C","")</f>
        <v>#N/A</v>
      </c>
      <c r="N89" s="25" t="e">
        <f ca="1">IF(AND(MATCH($H85,LIKELIHOOD,0)=(5-ROW()+ROW($A85)),MATCH($I85,OFFSET(SCHED_IMPACT_PDE,0,MATCH($G85,ACTIVITY_IMPACTED,0)-1),0)=(COLUMN()-COLUMN($M85)+1)),"S","") &amp;  IF(AND(MATCH($H85,LIKELIHOOD,0)=(5-ROW()+ROW($A85)),MATCH($J85,OFFSET(COST_IMPACT_PDE,0,MATCH($G85,ACTIVITY_IMPACTED,0)-1),0)=(COLUMN()-COLUMN($M85)+1)),"C","")</f>
        <v>#N/A</v>
      </c>
      <c r="O89" s="25" t="e">
        <f ca="1">IF(AND(MATCH($H85,LIKELIHOOD,0)=(5-ROW()+ROW($A85)),MATCH($I85,OFFSET(SCHED_IMPACT_PDE,0,MATCH($G85,ACTIVITY_IMPACTED,0)-1),0)=(COLUMN()-COLUMN($M85)+1)),"S","") &amp;  IF(AND(MATCH($H85,LIKELIHOOD,0)=(5-ROW()+ROW($A85)),MATCH($J85,OFFSET(COST_IMPACT_PDE,0,MATCH($G85,ACTIVITY_IMPACTED,0)-1),0)=(COLUMN()-COLUMN($M85)+1)),"C","")</f>
        <v>#N/A</v>
      </c>
      <c r="P89" s="26" t="e">
        <f ca="1">IF(AND(MATCH($H85,LIKELIHOOD,0)=(5-ROW()+ROW($A85)),MATCH($I85,OFFSET(SCHED_IMPACT_PDE,0,MATCH($G85,ACTIVITY_IMPACTED,0)-1),0)=(COLUMN()-COLUMN($M85)+1)),"S","") &amp;  IF(AND(MATCH($H85,LIKELIHOOD,0)=(5-ROW()+ROW($A85)),MATCH($J85,OFFSET(COST_IMPACT_PDE,0,MATCH($G85,ACTIVITY_IMPACTED,0)-1),0)=(COLUMN()-COLUMN($M85)+1)),"C","")</f>
        <v>#N/A</v>
      </c>
      <c r="Q89" s="27" t="e">
        <f ca="1">IF(AND(MATCH($H85,LIKELIHOOD,0)=(5-ROW()+ROW($A85)),MATCH($I85,OFFSET(SCHED_IMPACT_PDE,0,MATCH($G85,ACTIVITY_IMPACTED,0)-1),0)=(COLUMN()-COLUMN($M85)+1)),"S","") &amp;  IF(AND(MATCH($H85,LIKELIHOOD,0)=(5-ROW()+ROW($A85)),MATCH($J85,OFFSET(COST_IMPACT_PDE,0,MATCH($G85,ACTIVITY_IMPACTED,0)-1),0)=(COLUMN()-COLUMN($M85)+1)),"C","")</f>
        <v>#N/A</v>
      </c>
      <c r="R89" s="248"/>
      <c r="S89" s="251"/>
      <c r="T89" s="124" t="s">
        <v>77</v>
      </c>
      <c r="U89" s="127"/>
    </row>
    <row r="90" spans="1:21" ht="22.95" customHeight="1" x14ac:dyDescent="0.3">
      <c r="A90" s="237"/>
      <c r="B90" s="239"/>
      <c r="C90" s="241"/>
      <c r="D90" s="239"/>
      <c r="E90" s="243"/>
      <c r="F90" s="245"/>
      <c r="G90" s="243"/>
      <c r="H90" s="243"/>
      <c r="I90" s="243"/>
      <c r="J90" s="243"/>
      <c r="K90" s="33"/>
      <c r="L90" s="34"/>
      <c r="M90" s="5" t="s">
        <v>24</v>
      </c>
      <c r="N90" s="5" t="s">
        <v>6</v>
      </c>
      <c r="O90" s="5" t="s">
        <v>11</v>
      </c>
      <c r="P90" s="5" t="s">
        <v>5</v>
      </c>
      <c r="Q90" s="5" t="s">
        <v>23</v>
      </c>
      <c r="R90" s="248"/>
      <c r="S90" s="251"/>
      <c r="T90" s="124" t="s">
        <v>76</v>
      </c>
      <c r="U90" s="127"/>
    </row>
    <row r="91" spans="1:21" ht="22.95" customHeight="1" x14ac:dyDescent="0.3">
      <c r="A91" s="237"/>
      <c r="B91" s="239"/>
      <c r="C91" s="241"/>
      <c r="D91" s="239"/>
      <c r="E91" s="243"/>
      <c r="F91" s="245"/>
      <c r="G91" s="243"/>
      <c r="H91" s="243"/>
      <c r="I91" s="243"/>
      <c r="J91" s="243"/>
      <c r="K91" s="35"/>
      <c r="L91" s="28"/>
      <c r="M91" s="252" t="s">
        <v>25</v>
      </c>
      <c r="N91" s="252"/>
      <c r="O91" s="252"/>
      <c r="P91" s="252"/>
      <c r="Q91" s="252"/>
      <c r="R91" s="249"/>
      <c r="S91" s="251"/>
      <c r="T91" s="124" t="s">
        <v>75</v>
      </c>
      <c r="U91" s="127"/>
    </row>
    <row r="92" spans="1:21" ht="23.25" customHeight="1" x14ac:dyDescent="0.3">
      <c r="A92" s="29"/>
      <c r="B92" s="30"/>
      <c r="C92" s="30"/>
      <c r="D92" s="30"/>
      <c r="E92" s="31"/>
      <c r="F92" s="31"/>
      <c r="G92" s="30"/>
      <c r="H92" s="30"/>
      <c r="I92" s="30"/>
      <c r="J92" s="30"/>
      <c r="K92" s="30"/>
      <c r="L92" s="30"/>
      <c r="M92" s="30"/>
      <c r="N92" s="30"/>
      <c r="O92" s="30"/>
      <c r="P92" s="30"/>
      <c r="Q92" s="30"/>
      <c r="R92" s="30"/>
      <c r="S92" s="36"/>
      <c r="T92" s="36"/>
      <c r="U92" s="36"/>
    </row>
    <row r="93" spans="1:21" ht="23.25" customHeight="1" x14ac:dyDescent="0.3"/>
    <row r="94" spans="1:21" ht="24" customHeight="1" x14ac:dyDescent="0.3">
      <c r="A94" s="228" t="s">
        <v>0</v>
      </c>
      <c r="B94" s="228"/>
      <c r="C94" s="228"/>
      <c r="D94" s="228"/>
      <c r="E94" s="228"/>
      <c r="F94" s="228"/>
      <c r="G94" s="229"/>
      <c r="H94" s="230" t="s">
        <v>1</v>
      </c>
      <c r="I94" s="230"/>
      <c r="J94" s="230"/>
      <c r="K94" s="230"/>
      <c r="L94" s="230"/>
      <c r="M94" s="230"/>
      <c r="N94" s="230"/>
      <c r="O94" s="230"/>
      <c r="P94" s="230"/>
      <c r="Q94" s="230"/>
      <c r="R94" s="231" t="s">
        <v>28</v>
      </c>
      <c r="S94" s="232"/>
      <c r="T94" s="232"/>
      <c r="U94" s="233"/>
    </row>
    <row r="95" spans="1:21" ht="91.95" customHeight="1" thickBot="1" x14ac:dyDescent="0.35">
      <c r="A95" s="32" t="s">
        <v>12</v>
      </c>
      <c r="B95" s="32" t="s">
        <v>2</v>
      </c>
      <c r="C95" s="32" t="s">
        <v>19</v>
      </c>
      <c r="D95" s="32" t="s">
        <v>8</v>
      </c>
      <c r="E95" s="12" t="s">
        <v>9</v>
      </c>
      <c r="F95" s="12" t="s">
        <v>7</v>
      </c>
      <c r="G95" s="13" t="s">
        <v>37</v>
      </c>
      <c r="H95" s="14" t="s">
        <v>22</v>
      </c>
      <c r="I95" s="14" t="s">
        <v>20</v>
      </c>
      <c r="J95" s="14" t="s">
        <v>10</v>
      </c>
      <c r="K95" s="234" t="s">
        <v>26</v>
      </c>
      <c r="L95" s="234"/>
      <c r="M95" s="235"/>
      <c r="N95" s="235"/>
      <c r="O95" s="235"/>
      <c r="P95" s="235"/>
      <c r="Q95" s="235"/>
      <c r="R95" s="37" t="s">
        <v>29</v>
      </c>
      <c r="S95" s="11" t="s">
        <v>30</v>
      </c>
      <c r="T95" s="226" t="s">
        <v>31</v>
      </c>
      <c r="U95" s="227"/>
    </row>
    <row r="96" spans="1:21" ht="22.95" customHeight="1" x14ac:dyDescent="0.3">
      <c r="A96" s="236">
        <v>9</v>
      </c>
      <c r="B96" s="238"/>
      <c r="C96" s="240"/>
      <c r="D96" s="238"/>
      <c r="E96" s="242"/>
      <c r="F96" s="244"/>
      <c r="G96" s="242"/>
      <c r="H96" s="242"/>
      <c r="I96" s="242"/>
      <c r="J96" s="242"/>
      <c r="K96" s="246" t="s">
        <v>22</v>
      </c>
      <c r="L96" s="4" t="s">
        <v>23</v>
      </c>
      <c r="M96" s="15" t="e">
        <f ca="1">IF(AND(MATCH($H96,LIKELIHOOD,0)=(5-ROW()+ROW($A96)),MATCH($I96,OFFSET(SCHED_IMPACT_PDE,0,MATCH($G96,ACTIVITY_IMPACTED,0)-1),0)=(COLUMN()-COLUMN($M96)+1)),"S","") &amp;  IF(AND(MATCH($H96,LIKELIHOOD,0)=(5-ROW()+ROW($A96)),MATCH($J96,OFFSET(COST_IMPACT_PDE,0,MATCH($G96,ACTIVITY_IMPACTED,0)-1),0)=(COLUMN()-COLUMN($M96)+1)),"C","")</f>
        <v>#N/A</v>
      </c>
      <c r="N96" s="16" t="e">
        <f ca="1">IF(AND(MATCH($H96,LIKELIHOOD,0)=(5-ROW()+ROW($A96)),MATCH($I96,OFFSET(SCHED_IMPACT_PDE,0,MATCH($G96,ACTIVITY_IMPACTED,0)-1),0)=(COLUMN()-COLUMN($M96)+1)),"S","") &amp;  IF(AND(MATCH($H96,LIKELIHOOD,0)=(5-ROW()+ROW($A96)),MATCH($J96,OFFSET(COST_IMPACT_PDE,0,MATCH($G96,ACTIVITY_IMPACTED,0)-1),0)=(COLUMN()-COLUMN($M96)+1)),"C","")</f>
        <v>#N/A</v>
      </c>
      <c r="O96" s="17" t="e">
        <f ca="1">IF(AND(MATCH($H96,LIKELIHOOD,0)=(5-ROW()+ROW($A96)),MATCH($I96,OFFSET(SCHED_IMPACT_PDE,0,MATCH($G96,ACTIVITY_IMPACTED,0)-1),0)=(COLUMN()-COLUMN($M96)+1)),"S","") &amp;  IF(AND(MATCH($H96,LIKELIHOOD,0)=(5-ROW()+ROW($A96)),MATCH($J96,OFFSET(COST_IMPACT_PDE,0,MATCH($G96,ACTIVITY_IMPACTED,0)-1),0)=(COLUMN()-COLUMN($M96)+1)),"C","")</f>
        <v>#N/A</v>
      </c>
      <c r="P96" s="17" t="e">
        <f ca="1">IF(AND(MATCH($H96,LIKELIHOOD,0)=(5-ROW()+ROW($A96)),MATCH($I96,OFFSET(SCHED_IMPACT_PDE,0,MATCH($G96,ACTIVITY_IMPACTED,0)-1),0)=(COLUMN()-COLUMN($M96)+1)),"S","") &amp;  IF(AND(MATCH($H96,LIKELIHOOD,0)=(5-ROW()+ROW($A96)),MATCH($J96,OFFSET(COST_IMPACT_PDE,0,MATCH($G96,ACTIVITY_IMPACTED,0)-1),0)=(COLUMN()-COLUMN($M96)+1)),"C","")</f>
        <v>#N/A</v>
      </c>
      <c r="Q96" s="18" t="e">
        <f ca="1">IF(AND(MATCH($H96,LIKELIHOOD,0)=(5-ROW()+ROW($A96)),MATCH($I96,OFFSET(SCHED_IMPACT_PDE,0,MATCH($G96,ACTIVITY_IMPACTED,0)-1),0)=(COLUMN()-COLUMN($M96)+1)),"S","") &amp;  IF(AND(MATCH($H96,LIKELIHOOD,0)=(5-ROW()+ROW($A96)),MATCH($J96,OFFSET(COST_IMPACT_PDE,0,MATCH($G96,ACTIVITY_IMPACTED,0)-1),0)=(COLUMN()-COLUMN($M96)+1)),"C","")</f>
        <v>#N/A</v>
      </c>
      <c r="R96" s="247" t="s">
        <v>34</v>
      </c>
      <c r="S96" s="250"/>
      <c r="T96" s="221"/>
      <c r="U96" s="125"/>
    </row>
    <row r="97" spans="1:21" ht="22.95" customHeight="1" x14ac:dyDescent="0.3">
      <c r="A97" s="237"/>
      <c r="B97" s="239"/>
      <c r="C97" s="241"/>
      <c r="D97" s="239"/>
      <c r="E97" s="243"/>
      <c r="F97" s="245"/>
      <c r="G97" s="243"/>
      <c r="H97" s="243"/>
      <c r="I97" s="243"/>
      <c r="J97" s="243"/>
      <c r="K97" s="246"/>
      <c r="L97" s="4" t="s">
        <v>5</v>
      </c>
      <c r="M97" s="19" t="e">
        <f ca="1">IF(AND(MATCH($H96,LIKELIHOOD,0)=(5-ROW()+ROW($A96)),MATCH($I96,OFFSET(SCHED_IMPACT_PDE,0,MATCH($G96,ACTIVITY_IMPACTED,0)-1),0)=(COLUMN()-COLUMN($M96)+1)),"S","") &amp;  IF(AND(MATCH($H96,LIKELIHOOD,0)=(5-ROW()+ROW($A96)),MATCH($J96,OFFSET(COST_IMPACT_PDE,0,MATCH($G96,ACTIVITY_IMPACTED,0)-1),0)=(COLUMN()-COLUMN($M96)+1)),"C","")</f>
        <v>#N/A</v>
      </c>
      <c r="N97" s="20" t="e">
        <f ca="1">IF(AND(MATCH($H96,LIKELIHOOD,0)=(5-ROW()+ROW($A96)),MATCH($I96,OFFSET(SCHED_IMPACT_PDE,0,MATCH($G96,ACTIVITY_IMPACTED,0)-1),0)=(COLUMN()-COLUMN($M96)+1)),"S","") &amp;  IF(AND(MATCH($H96,LIKELIHOOD,0)=(5-ROW()+ROW($A96)),MATCH($J96,OFFSET(COST_IMPACT_PDE,0,MATCH($G96,ACTIVITY_IMPACTED,0)-1),0)=(COLUMN()-COLUMN($M96)+1)),"C","")</f>
        <v>#N/A</v>
      </c>
      <c r="O97" s="21" t="e">
        <f ca="1">IF(AND(MATCH($H96,LIKELIHOOD,0)=(5-ROW()+ROW($A96)),MATCH($I96,OFFSET(SCHED_IMPACT_PDE,0,MATCH($G96,ACTIVITY_IMPACTED,0)-1),0)=(COLUMN()-COLUMN($M96)+1)),"S","") &amp;  IF(AND(MATCH($H96,LIKELIHOOD,0)=(5-ROW()+ROW($A96)),MATCH($J96,OFFSET(COST_IMPACT_PDE,0,MATCH($G96,ACTIVITY_IMPACTED,0)-1),0)=(COLUMN()-COLUMN($M96)+1)),"C","")</f>
        <v>#N/A</v>
      </c>
      <c r="P97" s="21" t="e">
        <f ca="1">IF(AND(MATCH($H96,LIKELIHOOD,0)=(5-ROW()+ROW($A96)),MATCH($I96,OFFSET(SCHED_IMPACT_PDE,0,MATCH($G96,ACTIVITY_IMPACTED,0)-1),0)=(COLUMN()-COLUMN($M96)+1)),"S","") &amp;  IF(AND(MATCH($H96,LIKELIHOOD,0)=(5-ROW()+ROW($A96)),MATCH($J96,OFFSET(COST_IMPACT_PDE,0,MATCH($G96,ACTIVITY_IMPACTED,0)-1),0)=(COLUMN()-COLUMN($M96)+1)),"C","")</f>
        <v>#N/A</v>
      </c>
      <c r="Q97" s="22" t="e">
        <f ca="1">IF(AND(MATCH($H96,LIKELIHOOD,0)=(5-ROW()+ROW($A96)),MATCH($I96,OFFSET(SCHED_IMPACT_PDE,0,MATCH($G96,ACTIVITY_IMPACTED,0)-1),0)=(COLUMN()-COLUMN($M96)+1)),"S","") &amp;  IF(AND(MATCH($H96,LIKELIHOOD,0)=(5-ROW()+ROW($A96)),MATCH($J96,OFFSET(COST_IMPACT_PDE,0,MATCH($G96,ACTIVITY_IMPACTED,0)-1),0)=(COLUMN()-COLUMN($M96)+1)),"C","")</f>
        <v>#N/A</v>
      </c>
      <c r="R97" s="248"/>
      <c r="S97" s="251"/>
      <c r="T97" s="222"/>
      <c r="U97" s="126"/>
    </row>
    <row r="98" spans="1:21" ht="22.95" customHeight="1" x14ac:dyDescent="0.3">
      <c r="A98" s="237"/>
      <c r="B98" s="239"/>
      <c r="C98" s="241"/>
      <c r="D98" s="239"/>
      <c r="E98" s="243"/>
      <c r="F98" s="245"/>
      <c r="G98" s="243"/>
      <c r="H98" s="243"/>
      <c r="I98" s="243"/>
      <c r="J98" s="243"/>
      <c r="K98" s="246"/>
      <c r="L98" s="4" t="s">
        <v>11</v>
      </c>
      <c r="M98" s="19" t="e">
        <f ca="1">IF(AND(MATCH($H96,LIKELIHOOD,0)=(5-ROW()+ROW($A96)),MATCH($I96,OFFSET(SCHED_IMPACT_PDE,0,MATCH($G96,ACTIVITY_IMPACTED,0)-1),0)=(COLUMN()-COLUMN($M96)+1)),"S","") &amp;  IF(AND(MATCH($H96,LIKELIHOOD,0)=(5-ROW()+ROW($A96)),MATCH($J96,OFFSET(COST_IMPACT_PDE,0,MATCH($G96,ACTIVITY_IMPACTED,0)-1),0)=(COLUMN()-COLUMN($M96)+1)),"C","")</f>
        <v>#N/A</v>
      </c>
      <c r="N98" s="23" t="e">
        <f ca="1">IF(AND(MATCH($H96,LIKELIHOOD,0)=(5-ROW()+ROW($A96)),MATCH($I96,OFFSET(SCHED_IMPACT_PDE,0,MATCH($G96,ACTIVITY_IMPACTED,0)-1),0)=(COLUMN()-COLUMN($M96)+1)),"S","") &amp;  IF(AND(MATCH($H96,LIKELIHOOD,0)=(5-ROW()+ROW($A96)),MATCH($J96,OFFSET(COST_IMPACT_PDE,0,MATCH($G96,ACTIVITY_IMPACTED,0)-1),0)=(COLUMN()-COLUMN($M96)+1)),"C","")</f>
        <v>#N/A</v>
      </c>
      <c r="O98" s="20" t="e">
        <f ca="1">IF(AND(MATCH($H96,LIKELIHOOD,0)=(5-ROW()+ROW($A96)),MATCH($I96,OFFSET(SCHED_IMPACT_PDE,0,MATCH($G96,ACTIVITY_IMPACTED,0)-1),0)=(COLUMN()-COLUMN($M96)+1)),"S","") &amp;  IF(AND(MATCH($H96,LIKELIHOOD,0)=(5-ROW()+ROW($A96)),MATCH($J96,OFFSET(COST_IMPACT_PDE,0,MATCH($G96,ACTIVITY_IMPACTED,0)-1),0)=(COLUMN()-COLUMN($M96)+1)),"C","")</f>
        <v>#N/A</v>
      </c>
      <c r="P98" s="21" t="e">
        <f ca="1">IF(AND(MATCH($H96,LIKELIHOOD,0)=(5-ROW()+ROW($A96)),MATCH($I96,OFFSET(SCHED_IMPACT_PDE,0,MATCH($G96,ACTIVITY_IMPACTED,0)-1),0)=(COLUMN()-COLUMN($M96)+1)),"S","") &amp;  IF(AND(MATCH($H96,LIKELIHOOD,0)=(5-ROW()+ROW($A96)),MATCH($J96,OFFSET(COST_IMPACT_PDE,0,MATCH($G96,ACTIVITY_IMPACTED,0)-1),0)=(COLUMN()-COLUMN($M96)+1)),"C","")</f>
        <v>#N/A</v>
      </c>
      <c r="Q98" s="22" t="e">
        <f ca="1">IF(AND(MATCH($H96,LIKELIHOOD,0)=(5-ROW()+ROW($A96)),MATCH($I96,OFFSET(SCHED_IMPACT_PDE,0,MATCH($G96,ACTIVITY_IMPACTED,0)-1),0)=(COLUMN()-COLUMN($M96)+1)),"S","") &amp;  IF(AND(MATCH($H96,LIKELIHOOD,0)=(5-ROW()+ROW($A96)),MATCH($J96,OFFSET(COST_IMPACT_PDE,0,MATCH($G96,ACTIVITY_IMPACTED,0)-1),0)=(COLUMN()-COLUMN($M96)+1)),"C","")</f>
        <v>#N/A</v>
      </c>
      <c r="R98" s="248"/>
      <c r="S98" s="251"/>
      <c r="T98" s="222"/>
      <c r="U98" s="126"/>
    </row>
    <row r="99" spans="1:21" ht="22.95" customHeight="1" x14ac:dyDescent="0.3">
      <c r="A99" s="237"/>
      <c r="B99" s="239"/>
      <c r="C99" s="241"/>
      <c r="D99" s="239"/>
      <c r="E99" s="243"/>
      <c r="F99" s="245"/>
      <c r="G99" s="243"/>
      <c r="H99" s="243"/>
      <c r="I99" s="243"/>
      <c r="J99" s="243"/>
      <c r="K99" s="246"/>
      <c r="L99" s="4" t="s">
        <v>6</v>
      </c>
      <c r="M99" s="19" t="e">
        <f ca="1">IF(AND(MATCH($H96,LIKELIHOOD,0)=(5-ROW()+ROW($A96)),MATCH($I96,OFFSET(SCHED_IMPACT_PDE,0,MATCH($G96,ACTIVITY_IMPACTED,0)-1),0)=(COLUMN()-COLUMN($M96)+1)),"S","") &amp;  IF(AND(MATCH($H96,LIKELIHOOD,0)=(5-ROW()+ROW($A96)),MATCH($J96,OFFSET(COST_IMPACT_PDE,0,MATCH($G96,ACTIVITY_IMPACTED,0)-1),0)=(COLUMN()-COLUMN($M96)+1)),"C","")</f>
        <v>#N/A</v>
      </c>
      <c r="N99" s="23" t="e">
        <f ca="1">IF(AND(MATCH($H96,LIKELIHOOD,0)=(5-ROW()+ROW($A96)),MATCH($I96,OFFSET(SCHED_IMPACT_PDE,0,MATCH($G96,ACTIVITY_IMPACTED,0)-1),0)=(COLUMN()-COLUMN($M96)+1)),"S","") &amp;  IF(AND(MATCH($H96,LIKELIHOOD,0)=(5-ROW()+ROW($A96)),MATCH($J96,OFFSET(COST_IMPACT_PDE,0,MATCH($G96,ACTIVITY_IMPACTED,0)-1),0)=(COLUMN()-COLUMN($M96)+1)),"C","")</f>
        <v>#N/A</v>
      </c>
      <c r="O99" s="20" t="e">
        <f ca="1">IF(AND(MATCH($H96,LIKELIHOOD,0)=(5-ROW()+ROW($A96)),MATCH($I96,OFFSET(SCHED_IMPACT_PDE,0,MATCH($G96,ACTIVITY_IMPACTED,0)-1),0)=(COLUMN()-COLUMN($M96)+1)),"S","") &amp;  IF(AND(MATCH($H96,LIKELIHOOD,0)=(5-ROW()+ROW($A96)),MATCH($J96,OFFSET(COST_IMPACT_PDE,0,MATCH($G96,ACTIVITY_IMPACTED,0)-1),0)=(COLUMN()-COLUMN($M96)+1)),"C","")</f>
        <v>#N/A</v>
      </c>
      <c r="P99" s="21" t="e">
        <f ca="1">IF(AND(MATCH($H96,LIKELIHOOD,0)=(5-ROW()+ROW($A96)),MATCH($I96,OFFSET(SCHED_IMPACT_PDE,0,MATCH($G96,ACTIVITY_IMPACTED,0)-1),0)=(COLUMN()-COLUMN($M96)+1)),"S","") &amp;  IF(AND(MATCH($H96,LIKELIHOOD,0)=(5-ROW()+ROW($A96)),MATCH($J96,OFFSET(COST_IMPACT_PDE,0,MATCH($G96,ACTIVITY_IMPACTED,0)-1),0)=(COLUMN()-COLUMN($M96)+1)),"C","")</f>
        <v>#N/A</v>
      </c>
      <c r="Q99" s="22" t="e">
        <f ca="1">IF(AND(MATCH($H96,LIKELIHOOD,0)=(5-ROW()+ROW($A96)),MATCH($I96,OFFSET(SCHED_IMPACT_PDE,0,MATCH($G96,ACTIVITY_IMPACTED,0)-1),0)=(COLUMN()-COLUMN($M96)+1)),"S","") &amp;  IF(AND(MATCH($H96,LIKELIHOOD,0)=(5-ROW()+ROW($A96)),MATCH($J96,OFFSET(COST_IMPACT_PDE,0,MATCH($G96,ACTIVITY_IMPACTED,0)-1),0)=(COLUMN()-COLUMN($M96)+1)),"C","")</f>
        <v>#N/A</v>
      </c>
      <c r="R99" s="248"/>
      <c r="S99" s="251"/>
      <c r="T99" s="223"/>
      <c r="U99" s="126"/>
    </row>
    <row r="100" spans="1:21" ht="22.95" customHeight="1" thickBot="1" x14ac:dyDescent="0.35">
      <c r="A100" s="237"/>
      <c r="B100" s="239"/>
      <c r="C100" s="241"/>
      <c r="D100" s="239"/>
      <c r="E100" s="243"/>
      <c r="F100" s="245"/>
      <c r="G100" s="243"/>
      <c r="H100" s="243"/>
      <c r="I100" s="243"/>
      <c r="J100" s="243"/>
      <c r="K100" s="246"/>
      <c r="L100" s="4" t="s">
        <v>24</v>
      </c>
      <c r="M100" s="24" t="e">
        <f ca="1">IF(AND(MATCH($H96,LIKELIHOOD,0)=(5-ROW()+ROW($A96)),MATCH($I96,OFFSET(SCHED_IMPACT_PDE,0,MATCH($G96,ACTIVITY_IMPACTED,0)-1),0)=(COLUMN()-COLUMN($M96)+1)),"S","") &amp;  IF(AND(MATCH($H96,LIKELIHOOD,0)=(5-ROW()+ROW($A96)),MATCH($J96,OFFSET(COST_IMPACT_PDE,0,MATCH($G96,ACTIVITY_IMPACTED,0)-1),0)=(COLUMN()-COLUMN($M96)+1)),"C","")</f>
        <v>#N/A</v>
      </c>
      <c r="N100" s="25" t="e">
        <f ca="1">IF(AND(MATCH($H96,LIKELIHOOD,0)=(5-ROW()+ROW($A96)),MATCH($I96,OFFSET(SCHED_IMPACT_PDE,0,MATCH($G96,ACTIVITY_IMPACTED,0)-1),0)=(COLUMN()-COLUMN($M96)+1)),"S","") &amp;  IF(AND(MATCH($H96,LIKELIHOOD,0)=(5-ROW()+ROW($A96)),MATCH($J96,OFFSET(COST_IMPACT_PDE,0,MATCH($G96,ACTIVITY_IMPACTED,0)-1),0)=(COLUMN()-COLUMN($M96)+1)),"C","")</f>
        <v>#N/A</v>
      </c>
      <c r="O100" s="25" t="e">
        <f ca="1">IF(AND(MATCH($H96,LIKELIHOOD,0)=(5-ROW()+ROW($A96)),MATCH($I96,OFFSET(SCHED_IMPACT_PDE,0,MATCH($G96,ACTIVITY_IMPACTED,0)-1),0)=(COLUMN()-COLUMN($M96)+1)),"S","") &amp;  IF(AND(MATCH($H96,LIKELIHOOD,0)=(5-ROW()+ROW($A96)),MATCH($J96,OFFSET(COST_IMPACT_PDE,0,MATCH($G96,ACTIVITY_IMPACTED,0)-1),0)=(COLUMN()-COLUMN($M96)+1)),"C","")</f>
        <v>#N/A</v>
      </c>
      <c r="P100" s="26" t="e">
        <f ca="1">IF(AND(MATCH($H96,LIKELIHOOD,0)=(5-ROW()+ROW($A96)),MATCH($I96,OFFSET(SCHED_IMPACT_PDE,0,MATCH($G96,ACTIVITY_IMPACTED,0)-1),0)=(COLUMN()-COLUMN($M96)+1)),"S","") &amp;  IF(AND(MATCH($H96,LIKELIHOOD,0)=(5-ROW()+ROW($A96)),MATCH($J96,OFFSET(COST_IMPACT_PDE,0,MATCH($G96,ACTIVITY_IMPACTED,0)-1),0)=(COLUMN()-COLUMN($M96)+1)),"C","")</f>
        <v>#N/A</v>
      </c>
      <c r="Q100" s="27" t="e">
        <f ca="1">IF(AND(MATCH($H96,LIKELIHOOD,0)=(5-ROW()+ROW($A96)),MATCH($I96,OFFSET(SCHED_IMPACT_PDE,0,MATCH($G96,ACTIVITY_IMPACTED,0)-1),0)=(COLUMN()-COLUMN($M96)+1)),"S","") &amp;  IF(AND(MATCH($H96,LIKELIHOOD,0)=(5-ROW()+ROW($A96)),MATCH($J96,OFFSET(COST_IMPACT_PDE,0,MATCH($G96,ACTIVITY_IMPACTED,0)-1),0)=(COLUMN()-COLUMN($M96)+1)),"C","")</f>
        <v>#N/A</v>
      </c>
      <c r="R100" s="248"/>
      <c r="S100" s="251"/>
      <c r="T100" s="124" t="s">
        <v>77</v>
      </c>
      <c r="U100" s="127"/>
    </row>
    <row r="101" spans="1:21" ht="22.95" customHeight="1" x14ac:dyDescent="0.3">
      <c r="A101" s="237"/>
      <c r="B101" s="239"/>
      <c r="C101" s="241"/>
      <c r="D101" s="239"/>
      <c r="E101" s="243"/>
      <c r="F101" s="245"/>
      <c r="G101" s="243"/>
      <c r="H101" s="243"/>
      <c r="I101" s="243"/>
      <c r="J101" s="243"/>
      <c r="K101" s="33"/>
      <c r="L101" s="34"/>
      <c r="M101" s="5" t="s">
        <v>24</v>
      </c>
      <c r="N101" s="5" t="s">
        <v>6</v>
      </c>
      <c r="O101" s="5" t="s">
        <v>11</v>
      </c>
      <c r="P101" s="5" t="s">
        <v>5</v>
      </c>
      <c r="Q101" s="5" t="s">
        <v>23</v>
      </c>
      <c r="R101" s="248"/>
      <c r="S101" s="251"/>
      <c r="T101" s="124" t="s">
        <v>76</v>
      </c>
      <c r="U101" s="127"/>
    </row>
    <row r="102" spans="1:21" ht="22.95" customHeight="1" x14ac:dyDescent="0.3">
      <c r="A102" s="237"/>
      <c r="B102" s="239"/>
      <c r="C102" s="241"/>
      <c r="D102" s="239"/>
      <c r="E102" s="243"/>
      <c r="F102" s="245"/>
      <c r="G102" s="243"/>
      <c r="H102" s="243"/>
      <c r="I102" s="243"/>
      <c r="J102" s="243"/>
      <c r="K102" s="35"/>
      <c r="L102" s="28"/>
      <c r="M102" s="252" t="s">
        <v>25</v>
      </c>
      <c r="N102" s="252"/>
      <c r="O102" s="252"/>
      <c r="P102" s="252"/>
      <c r="Q102" s="252"/>
      <c r="R102" s="249"/>
      <c r="S102" s="251"/>
      <c r="T102" s="124" t="s">
        <v>75</v>
      </c>
      <c r="U102" s="127"/>
    </row>
    <row r="103" spans="1:21" ht="23.25" customHeight="1" x14ac:dyDescent="0.3">
      <c r="A103" s="29"/>
      <c r="B103" s="30"/>
      <c r="C103" s="30"/>
      <c r="D103" s="30"/>
      <c r="E103" s="31"/>
      <c r="F103" s="31"/>
      <c r="G103" s="30"/>
      <c r="H103" s="30"/>
      <c r="I103" s="30"/>
      <c r="J103" s="30"/>
      <c r="K103" s="30"/>
      <c r="L103" s="30"/>
      <c r="M103" s="30"/>
      <c r="N103" s="30"/>
      <c r="O103" s="30"/>
      <c r="P103" s="30"/>
      <c r="Q103" s="30"/>
      <c r="R103" s="30"/>
      <c r="S103" s="36"/>
      <c r="T103" s="36"/>
      <c r="U103" s="36"/>
    </row>
    <row r="104" spans="1:21" ht="23.25" customHeight="1" x14ac:dyDescent="0.3"/>
    <row r="105" spans="1:21" ht="23.25" customHeight="1" x14ac:dyDescent="0.3">
      <c r="A105" s="228" t="s">
        <v>0</v>
      </c>
      <c r="B105" s="228"/>
      <c r="C105" s="228"/>
      <c r="D105" s="228"/>
      <c r="E105" s="228"/>
      <c r="F105" s="228"/>
      <c r="G105" s="229"/>
      <c r="H105" s="230" t="s">
        <v>1</v>
      </c>
      <c r="I105" s="230"/>
      <c r="J105" s="230"/>
      <c r="K105" s="230"/>
      <c r="L105" s="230"/>
      <c r="M105" s="230"/>
      <c r="N105" s="230"/>
      <c r="O105" s="230"/>
      <c r="P105" s="230"/>
      <c r="Q105" s="230"/>
      <c r="R105" s="231" t="s">
        <v>28</v>
      </c>
      <c r="S105" s="232"/>
      <c r="T105" s="232"/>
      <c r="U105" s="233"/>
    </row>
    <row r="106" spans="1:21" ht="91.95" customHeight="1" thickBot="1" x14ac:dyDescent="0.35">
      <c r="A106" s="32" t="s">
        <v>12</v>
      </c>
      <c r="B106" s="32" t="s">
        <v>2</v>
      </c>
      <c r="C106" s="32" t="s">
        <v>19</v>
      </c>
      <c r="D106" s="32" t="s">
        <v>8</v>
      </c>
      <c r="E106" s="12" t="s">
        <v>9</v>
      </c>
      <c r="F106" s="12" t="s">
        <v>7</v>
      </c>
      <c r="G106" s="13" t="s">
        <v>37</v>
      </c>
      <c r="H106" s="14" t="s">
        <v>22</v>
      </c>
      <c r="I106" s="14" t="s">
        <v>20</v>
      </c>
      <c r="J106" s="14" t="s">
        <v>10</v>
      </c>
      <c r="K106" s="234" t="s">
        <v>26</v>
      </c>
      <c r="L106" s="234"/>
      <c r="M106" s="235"/>
      <c r="N106" s="235"/>
      <c r="O106" s="235"/>
      <c r="P106" s="235"/>
      <c r="Q106" s="235"/>
      <c r="R106" s="37" t="s">
        <v>29</v>
      </c>
      <c r="S106" s="11" t="s">
        <v>30</v>
      </c>
      <c r="T106" s="226" t="s">
        <v>31</v>
      </c>
      <c r="U106" s="227"/>
    </row>
    <row r="107" spans="1:21" ht="22.95" customHeight="1" x14ac:dyDescent="0.3">
      <c r="A107" s="236">
        <v>10</v>
      </c>
      <c r="B107" s="238"/>
      <c r="C107" s="240"/>
      <c r="D107" s="238"/>
      <c r="E107" s="242"/>
      <c r="F107" s="244"/>
      <c r="G107" s="242"/>
      <c r="H107" s="242"/>
      <c r="I107" s="242"/>
      <c r="J107" s="242"/>
      <c r="K107" s="246" t="s">
        <v>22</v>
      </c>
      <c r="L107" s="4" t="s">
        <v>23</v>
      </c>
      <c r="M107" s="15" t="e">
        <f ca="1">IF(AND(MATCH($H107,LIKELIHOOD,0)=(5-ROW()+ROW($A107)),MATCH($I107,OFFSET(SCHED_IMPACT_PDE,0,MATCH($G107,ACTIVITY_IMPACTED,0)-1),0)=(COLUMN()-COLUMN($M107)+1)),"S","") &amp;  IF(AND(MATCH($H107,LIKELIHOOD,0)=(5-ROW()+ROW($A107)),MATCH($J107,OFFSET(COST_IMPACT_PDE,0,MATCH($G107,ACTIVITY_IMPACTED,0)-1),0)=(COLUMN()-COLUMN($M107)+1)),"C","")</f>
        <v>#N/A</v>
      </c>
      <c r="N107" s="16" t="e">
        <f ca="1">IF(AND(MATCH($H107,LIKELIHOOD,0)=(5-ROW()+ROW($A107)),MATCH($I107,OFFSET(SCHED_IMPACT_PDE,0,MATCH($G107,ACTIVITY_IMPACTED,0)-1),0)=(COLUMN()-COLUMN($M107)+1)),"S","") &amp;  IF(AND(MATCH($H107,LIKELIHOOD,0)=(5-ROW()+ROW($A107)),MATCH($J107,OFFSET(COST_IMPACT_PDE,0,MATCH($G107,ACTIVITY_IMPACTED,0)-1),0)=(COLUMN()-COLUMN($M107)+1)),"C","")</f>
        <v>#N/A</v>
      </c>
      <c r="O107" s="17" t="e">
        <f ca="1">IF(AND(MATCH($H107,LIKELIHOOD,0)=(5-ROW()+ROW($A107)),MATCH($I107,OFFSET(SCHED_IMPACT_PDE,0,MATCH($G107,ACTIVITY_IMPACTED,0)-1),0)=(COLUMN()-COLUMN($M107)+1)),"S","") &amp;  IF(AND(MATCH($H107,LIKELIHOOD,0)=(5-ROW()+ROW($A107)),MATCH($J107,OFFSET(COST_IMPACT_PDE,0,MATCH($G107,ACTIVITY_IMPACTED,0)-1),0)=(COLUMN()-COLUMN($M107)+1)),"C","")</f>
        <v>#N/A</v>
      </c>
      <c r="P107" s="17" t="e">
        <f ca="1">IF(AND(MATCH($H107,LIKELIHOOD,0)=(5-ROW()+ROW($A107)),MATCH($I107,OFFSET(SCHED_IMPACT_PDE,0,MATCH($G107,ACTIVITY_IMPACTED,0)-1),0)=(COLUMN()-COLUMN($M107)+1)),"S","") &amp;  IF(AND(MATCH($H107,LIKELIHOOD,0)=(5-ROW()+ROW($A107)),MATCH($J107,OFFSET(COST_IMPACT_PDE,0,MATCH($G107,ACTIVITY_IMPACTED,0)-1),0)=(COLUMN()-COLUMN($M107)+1)),"C","")</f>
        <v>#N/A</v>
      </c>
      <c r="Q107" s="18" t="e">
        <f ca="1">IF(AND(MATCH($H107,LIKELIHOOD,0)=(5-ROW()+ROW($A107)),MATCH($I107,OFFSET(SCHED_IMPACT_PDE,0,MATCH($G107,ACTIVITY_IMPACTED,0)-1),0)=(COLUMN()-COLUMN($M107)+1)),"S","") &amp;  IF(AND(MATCH($H107,LIKELIHOOD,0)=(5-ROW()+ROW($A107)),MATCH($J107,OFFSET(COST_IMPACT_PDE,0,MATCH($G107,ACTIVITY_IMPACTED,0)-1),0)=(COLUMN()-COLUMN($M107)+1)),"C","")</f>
        <v>#N/A</v>
      </c>
      <c r="R107" s="247"/>
      <c r="S107" s="250"/>
      <c r="T107" s="221"/>
      <c r="U107" s="125"/>
    </row>
    <row r="108" spans="1:21" ht="22.95" customHeight="1" x14ac:dyDescent="0.3">
      <c r="A108" s="237"/>
      <c r="B108" s="239"/>
      <c r="C108" s="241"/>
      <c r="D108" s="239"/>
      <c r="E108" s="243"/>
      <c r="F108" s="245"/>
      <c r="G108" s="243"/>
      <c r="H108" s="243"/>
      <c r="I108" s="243"/>
      <c r="J108" s="243"/>
      <c r="K108" s="246"/>
      <c r="L108" s="4" t="s">
        <v>5</v>
      </c>
      <c r="M108" s="19" t="e">
        <f ca="1">IF(AND(MATCH($H107,LIKELIHOOD,0)=(5-ROW()+ROW($A107)),MATCH($I107,OFFSET(SCHED_IMPACT_PDE,0,MATCH($G107,ACTIVITY_IMPACTED,0)-1),0)=(COLUMN()-COLUMN($M107)+1)),"S","") &amp;  IF(AND(MATCH($H107,LIKELIHOOD,0)=(5-ROW()+ROW($A107)),MATCH($J107,OFFSET(COST_IMPACT_PDE,0,MATCH($G107,ACTIVITY_IMPACTED,0)-1),0)=(COLUMN()-COLUMN($M107)+1)),"C","")</f>
        <v>#N/A</v>
      </c>
      <c r="N108" s="20" t="e">
        <f ca="1">IF(AND(MATCH($H107,LIKELIHOOD,0)=(5-ROW()+ROW($A107)),MATCH($I107,OFFSET(SCHED_IMPACT_PDE,0,MATCH($G107,ACTIVITY_IMPACTED,0)-1),0)=(COLUMN()-COLUMN($M107)+1)),"S","") &amp;  IF(AND(MATCH($H107,LIKELIHOOD,0)=(5-ROW()+ROW($A107)),MATCH($J107,OFFSET(COST_IMPACT_PDE,0,MATCH($G107,ACTIVITY_IMPACTED,0)-1),0)=(COLUMN()-COLUMN($M107)+1)),"C","")</f>
        <v>#N/A</v>
      </c>
      <c r="O108" s="21" t="e">
        <f ca="1">IF(AND(MATCH($H107,LIKELIHOOD,0)=(5-ROW()+ROW($A107)),MATCH($I107,OFFSET(SCHED_IMPACT_PDE,0,MATCH($G107,ACTIVITY_IMPACTED,0)-1),0)=(COLUMN()-COLUMN($M107)+1)),"S","") &amp;  IF(AND(MATCH($H107,LIKELIHOOD,0)=(5-ROW()+ROW($A107)),MATCH($J107,OFFSET(COST_IMPACT_PDE,0,MATCH($G107,ACTIVITY_IMPACTED,0)-1),0)=(COLUMN()-COLUMN($M107)+1)),"C","")</f>
        <v>#N/A</v>
      </c>
      <c r="P108" s="21" t="e">
        <f ca="1">IF(AND(MATCH($H107,LIKELIHOOD,0)=(5-ROW()+ROW($A107)),MATCH($I107,OFFSET(SCHED_IMPACT_PDE,0,MATCH($G107,ACTIVITY_IMPACTED,0)-1),0)=(COLUMN()-COLUMN($M107)+1)),"S","") &amp;  IF(AND(MATCH($H107,LIKELIHOOD,0)=(5-ROW()+ROW($A107)),MATCH($J107,OFFSET(COST_IMPACT_PDE,0,MATCH($G107,ACTIVITY_IMPACTED,0)-1),0)=(COLUMN()-COLUMN($M107)+1)),"C","")</f>
        <v>#N/A</v>
      </c>
      <c r="Q108" s="22" t="e">
        <f ca="1">IF(AND(MATCH($H107,LIKELIHOOD,0)=(5-ROW()+ROW($A107)),MATCH($I107,OFFSET(SCHED_IMPACT_PDE,0,MATCH($G107,ACTIVITY_IMPACTED,0)-1),0)=(COLUMN()-COLUMN($M107)+1)),"S","") &amp;  IF(AND(MATCH($H107,LIKELIHOOD,0)=(5-ROW()+ROW($A107)),MATCH($J107,OFFSET(COST_IMPACT_PDE,0,MATCH($G107,ACTIVITY_IMPACTED,0)-1),0)=(COLUMN()-COLUMN($M107)+1)),"C","")</f>
        <v>#N/A</v>
      </c>
      <c r="R108" s="248"/>
      <c r="S108" s="251"/>
      <c r="T108" s="222"/>
      <c r="U108" s="126"/>
    </row>
    <row r="109" spans="1:21" ht="22.95" customHeight="1" x14ac:dyDescent="0.3">
      <c r="A109" s="237"/>
      <c r="B109" s="239"/>
      <c r="C109" s="241"/>
      <c r="D109" s="239"/>
      <c r="E109" s="243"/>
      <c r="F109" s="245"/>
      <c r="G109" s="243"/>
      <c r="H109" s="243"/>
      <c r="I109" s="243"/>
      <c r="J109" s="243"/>
      <c r="K109" s="246"/>
      <c r="L109" s="4" t="s">
        <v>11</v>
      </c>
      <c r="M109" s="19" t="e">
        <f ca="1">IF(AND(MATCH($H107,LIKELIHOOD,0)=(5-ROW()+ROW($A107)),MATCH($I107,OFFSET(SCHED_IMPACT_PDE,0,MATCH($G107,ACTIVITY_IMPACTED,0)-1),0)=(COLUMN()-COLUMN($M107)+1)),"S","") &amp;  IF(AND(MATCH($H107,LIKELIHOOD,0)=(5-ROW()+ROW($A107)),MATCH($J107,OFFSET(COST_IMPACT_PDE,0,MATCH($G107,ACTIVITY_IMPACTED,0)-1),0)=(COLUMN()-COLUMN($M107)+1)),"C","")</f>
        <v>#N/A</v>
      </c>
      <c r="N109" s="23" t="e">
        <f ca="1">IF(AND(MATCH($H107,LIKELIHOOD,0)=(5-ROW()+ROW($A107)),MATCH($I107,OFFSET(SCHED_IMPACT_PDE,0,MATCH($G107,ACTIVITY_IMPACTED,0)-1),0)=(COLUMN()-COLUMN($M107)+1)),"S","") &amp;  IF(AND(MATCH($H107,LIKELIHOOD,0)=(5-ROW()+ROW($A107)),MATCH($J107,OFFSET(COST_IMPACT_PDE,0,MATCH($G107,ACTIVITY_IMPACTED,0)-1),0)=(COLUMN()-COLUMN($M107)+1)),"C","")</f>
        <v>#N/A</v>
      </c>
      <c r="O109" s="20" t="e">
        <f ca="1">IF(AND(MATCH($H107,LIKELIHOOD,0)=(5-ROW()+ROW($A107)),MATCH($I107,OFFSET(SCHED_IMPACT_PDE,0,MATCH($G107,ACTIVITY_IMPACTED,0)-1),0)=(COLUMN()-COLUMN($M107)+1)),"S","") &amp;  IF(AND(MATCH($H107,LIKELIHOOD,0)=(5-ROW()+ROW($A107)),MATCH($J107,OFFSET(COST_IMPACT_PDE,0,MATCH($G107,ACTIVITY_IMPACTED,0)-1),0)=(COLUMN()-COLUMN($M107)+1)),"C","")</f>
        <v>#N/A</v>
      </c>
      <c r="P109" s="21" t="e">
        <f ca="1">IF(AND(MATCH($H107,LIKELIHOOD,0)=(5-ROW()+ROW($A107)),MATCH($I107,OFFSET(SCHED_IMPACT_PDE,0,MATCH($G107,ACTIVITY_IMPACTED,0)-1),0)=(COLUMN()-COLUMN($M107)+1)),"S","") &amp;  IF(AND(MATCH($H107,LIKELIHOOD,0)=(5-ROW()+ROW($A107)),MATCH($J107,OFFSET(COST_IMPACT_PDE,0,MATCH($G107,ACTIVITY_IMPACTED,0)-1),0)=(COLUMN()-COLUMN($M107)+1)),"C","")</f>
        <v>#N/A</v>
      </c>
      <c r="Q109" s="22" t="e">
        <f ca="1">IF(AND(MATCH($H107,LIKELIHOOD,0)=(5-ROW()+ROW($A107)),MATCH($I107,OFFSET(SCHED_IMPACT_PDE,0,MATCH($G107,ACTIVITY_IMPACTED,0)-1),0)=(COLUMN()-COLUMN($M107)+1)),"S","") &amp;  IF(AND(MATCH($H107,LIKELIHOOD,0)=(5-ROW()+ROW($A107)),MATCH($J107,OFFSET(COST_IMPACT_PDE,0,MATCH($G107,ACTIVITY_IMPACTED,0)-1),0)=(COLUMN()-COLUMN($M107)+1)),"C","")</f>
        <v>#N/A</v>
      </c>
      <c r="R109" s="248"/>
      <c r="S109" s="251"/>
      <c r="T109" s="222"/>
      <c r="U109" s="126"/>
    </row>
    <row r="110" spans="1:21" ht="22.95" customHeight="1" x14ac:dyDescent="0.3">
      <c r="A110" s="237"/>
      <c r="B110" s="239"/>
      <c r="C110" s="241"/>
      <c r="D110" s="239"/>
      <c r="E110" s="243"/>
      <c r="F110" s="245"/>
      <c r="G110" s="243"/>
      <c r="H110" s="243"/>
      <c r="I110" s="243"/>
      <c r="J110" s="243"/>
      <c r="K110" s="246"/>
      <c r="L110" s="4" t="s">
        <v>6</v>
      </c>
      <c r="M110" s="19" t="e">
        <f ca="1">IF(AND(MATCH($H107,LIKELIHOOD,0)=(5-ROW()+ROW($A107)),MATCH($I107,OFFSET(SCHED_IMPACT_PDE,0,MATCH($G107,ACTIVITY_IMPACTED,0)-1),0)=(COLUMN()-COLUMN($M107)+1)),"S","") &amp;  IF(AND(MATCH($H107,LIKELIHOOD,0)=(5-ROW()+ROW($A107)),MATCH($J107,OFFSET(COST_IMPACT_PDE,0,MATCH($G107,ACTIVITY_IMPACTED,0)-1),0)=(COLUMN()-COLUMN($M107)+1)),"C","")</f>
        <v>#N/A</v>
      </c>
      <c r="N110" s="23" t="e">
        <f ca="1">IF(AND(MATCH($H107,LIKELIHOOD,0)=(5-ROW()+ROW($A107)),MATCH($I107,OFFSET(SCHED_IMPACT_PDE,0,MATCH($G107,ACTIVITY_IMPACTED,0)-1),0)=(COLUMN()-COLUMN($M107)+1)),"S","") &amp;  IF(AND(MATCH($H107,LIKELIHOOD,0)=(5-ROW()+ROW($A107)),MATCH($J107,OFFSET(COST_IMPACT_PDE,0,MATCH($G107,ACTIVITY_IMPACTED,0)-1),0)=(COLUMN()-COLUMN($M107)+1)),"C","")</f>
        <v>#N/A</v>
      </c>
      <c r="O110" s="20" t="e">
        <f ca="1">IF(AND(MATCH($H107,LIKELIHOOD,0)=(5-ROW()+ROW($A107)),MATCH($I107,OFFSET(SCHED_IMPACT_PDE,0,MATCH($G107,ACTIVITY_IMPACTED,0)-1),0)=(COLUMN()-COLUMN($M107)+1)),"S","") &amp;  IF(AND(MATCH($H107,LIKELIHOOD,0)=(5-ROW()+ROW($A107)),MATCH($J107,OFFSET(COST_IMPACT_PDE,0,MATCH($G107,ACTIVITY_IMPACTED,0)-1),0)=(COLUMN()-COLUMN($M107)+1)),"C","")</f>
        <v>#N/A</v>
      </c>
      <c r="P110" s="21" t="e">
        <f ca="1">IF(AND(MATCH($H107,LIKELIHOOD,0)=(5-ROW()+ROW($A107)),MATCH($I107,OFFSET(SCHED_IMPACT_PDE,0,MATCH($G107,ACTIVITY_IMPACTED,0)-1),0)=(COLUMN()-COLUMN($M107)+1)),"S","") &amp;  IF(AND(MATCH($H107,LIKELIHOOD,0)=(5-ROW()+ROW($A107)),MATCH($J107,OFFSET(COST_IMPACT_PDE,0,MATCH($G107,ACTIVITY_IMPACTED,0)-1),0)=(COLUMN()-COLUMN($M107)+1)),"C","")</f>
        <v>#N/A</v>
      </c>
      <c r="Q110" s="22" t="e">
        <f ca="1">IF(AND(MATCH($H107,LIKELIHOOD,0)=(5-ROW()+ROW($A107)),MATCH($I107,OFFSET(SCHED_IMPACT_PDE,0,MATCH($G107,ACTIVITY_IMPACTED,0)-1),0)=(COLUMN()-COLUMN($M107)+1)),"S","") &amp;  IF(AND(MATCH($H107,LIKELIHOOD,0)=(5-ROW()+ROW($A107)),MATCH($J107,OFFSET(COST_IMPACT_PDE,0,MATCH($G107,ACTIVITY_IMPACTED,0)-1),0)=(COLUMN()-COLUMN($M107)+1)),"C","")</f>
        <v>#N/A</v>
      </c>
      <c r="R110" s="248"/>
      <c r="S110" s="251"/>
      <c r="T110" s="223"/>
      <c r="U110" s="126"/>
    </row>
    <row r="111" spans="1:21" ht="22.95" customHeight="1" thickBot="1" x14ac:dyDescent="0.35">
      <c r="A111" s="237"/>
      <c r="B111" s="239"/>
      <c r="C111" s="241"/>
      <c r="D111" s="239"/>
      <c r="E111" s="243"/>
      <c r="F111" s="245"/>
      <c r="G111" s="243"/>
      <c r="H111" s="243"/>
      <c r="I111" s="243"/>
      <c r="J111" s="243"/>
      <c r="K111" s="246"/>
      <c r="L111" s="4" t="s">
        <v>24</v>
      </c>
      <c r="M111" s="24" t="e">
        <f ca="1">IF(AND(MATCH($H107,LIKELIHOOD,0)=(5-ROW()+ROW($A107)),MATCH($I107,OFFSET(SCHED_IMPACT_PDE,0,MATCH($G107,ACTIVITY_IMPACTED,0)-1),0)=(COLUMN()-COLUMN($M107)+1)),"S","") &amp;  IF(AND(MATCH($H107,LIKELIHOOD,0)=(5-ROW()+ROW($A107)),MATCH($J107,OFFSET(COST_IMPACT_PDE,0,MATCH($G107,ACTIVITY_IMPACTED,0)-1),0)=(COLUMN()-COLUMN($M107)+1)),"C","")</f>
        <v>#N/A</v>
      </c>
      <c r="N111" s="25" t="e">
        <f ca="1">IF(AND(MATCH($H107,LIKELIHOOD,0)=(5-ROW()+ROW($A107)),MATCH($I107,OFFSET(SCHED_IMPACT_PDE,0,MATCH($G107,ACTIVITY_IMPACTED,0)-1),0)=(COLUMN()-COLUMN($M107)+1)),"S","") &amp;  IF(AND(MATCH($H107,LIKELIHOOD,0)=(5-ROW()+ROW($A107)),MATCH($J107,OFFSET(COST_IMPACT_PDE,0,MATCH($G107,ACTIVITY_IMPACTED,0)-1),0)=(COLUMN()-COLUMN($M107)+1)),"C","")</f>
        <v>#N/A</v>
      </c>
      <c r="O111" s="25" t="e">
        <f ca="1">IF(AND(MATCH($H107,LIKELIHOOD,0)=(5-ROW()+ROW($A107)),MATCH($I107,OFFSET(SCHED_IMPACT_PDE,0,MATCH($G107,ACTIVITY_IMPACTED,0)-1),0)=(COLUMN()-COLUMN($M107)+1)),"S","") &amp;  IF(AND(MATCH($H107,LIKELIHOOD,0)=(5-ROW()+ROW($A107)),MATCH($J107,OFFSET(COST_IMPACT_PDE,0,MATCH($G107,ACTIVITY_IMPACTED,0)-1),0)=(COLUMN()-COLUMN($M107)+1)),"C","")</f>
        <v>#N/A</v>
      </c>
      <c r="P111" s="26" t="e">
        <f ca="1">IF(AND(MATCH($H107,LIKELIHOOD,0)=(5-ROW()+ROW($A107)),MATCH($I107,OFFSET(SCHED_IMPACT_PDE,0,MATCH($G107,ACTIVITY_IMPACTED,0)-1),0)=(COLUMN()-COLUMN($M107)+1)),"S","") &amp;  IF(AND(MATCH($H107,LIKELIHOOD,0)=(5-ROW()+ROW($A107)),MATCH($J107,OFFSET(COST_IMPACT_PDE,0,MATCH($G107,ACTIVITY_IMPACTED,0)-1),0)=(COLUMN()-COLUMN($M107)+1)),"C","")</f>
        <v>#N/A</v>
      </c>
      <c r="Q111" s="27" t="e">
        <f ca="1">IF(AND(MATCH($H107,LIKELIHOOD,0)=(5-ROW()+ROW($A107)),MATCH($I107,OFFSET(SCHED_IMPACT_PDE,0,MATCH($G107,ACTIVITY_IMPACTED,0)-1),0)=(COLUMN()-COLUMN($M107)+1)),"S","") &amp;  IF(AND(MATCH($H107,LIKELIHOOD,0)=(5-ROW()+ROW($A107)),MATCH($J107,OFFSET(COST_IMPACT_PDE,0,MATCH($G107,ACTIVITY_IMPACTED,0)-1),0)=(COLUMN()-COLUMN($M107)+1)),"C","")</f>
        <v>#N/A</v>
      </c>
      <c r="R111" s="248"/>
      <c r="S111" s="251"/>
      <c r="T111" s="124" t="s">
        <v>77</v>
      </c>
      <c r="U111" s="127"/>
    </row>
    <row r="112" spans="1:21" ht="22.95" customHeight="1" x14ac:dyDescent="0.3">
      <c r="A112" s="237"/>
      <c r="B112" s="239"/>
      <c r="C112" s="241"/>
      <c r="D112" s="239"/>
      <c r="E112" s="243"/>
      <c r="F112" s="245"/>
      <c r="G112" s="243"/>
      <c r="H112" s="243"/>
      <c r="I112" s="243"/>
      <c r="J112" s="243"/>
      <c r="K112" s="33"/>
      <c r="L112" s="34"/>
      <c r="M112" s="5" t="s">
        <v>24</v>
      </c>
      <c r="N112" s="5" t="s">
        <v>6</v>
      </c>
      <c r="O112" s="5" t="s">
        <v>11</v>
      </c>
      <c r="P112" s="5" t="s">
        <v>5</v>
      </c>
      <c r="Q112" s="5" t="s">
        <v>23</v>
      </c>
      <c r="R112" s="248"/>
      <c r="S112" s="251"/>
      <c r="T112" s="124" t="s">
        <v>76</v>
      </c>
      <c r="U112" s="127"/>
    </row>
    <row r="113" spans="1:21" ht="22.95" customHeight="1" x14ac:dyDescent="0.3">
      <c r="A113" s="237"/>
      <c r="B113" s="239"/>
      <c r="C113" s="241"/>
      <c r="D113" s="239"/>
      <c r="E113" s="243"/>
      <c r="F113" s="245"/>
      <c r="G113" s="243"/>
      <c r="H113" s="243"/>
      <c r="I113" s="243"/>
      <c r="J113" s="243"/>
      <c r="K113" s="35"/>
      <c r="L113" s="28"/>
      <c r="M113" s="252" t="s">
        <v>25</v>
      </c>
      <c r="N113" s="252"/>
      <c r="O113" s="252"/>
      <c r="P113" s="252"/>
      <c r="Q113" s="252"/>
      <c r="R113" s="249"/>
      <c r="S113" s="251"/>
      <c r="T113" s="124" t="s">
        <v>75</v>
      </c>
      <c r="U113" s="127"/>
    </row>
    <row r="114" spans="1:21" ht="23.25" customHeight="1" x14ac:dyDescent="0.3">
      <c r="A114" s="29"/>
      <c r="B114" s="30"/>
      <c r="C114" s="30"/>
      <c r="D114" s="30"/>
      <c r="E114" s="31"/>
      <c r="F114" s="31"/>
      <c r="G114" s="30"/>
      <c r="H114" s="30"/>
      <c r="I114" s="30"/>
      <c r="J114" s="30"/>
      <c r="K114" s="30"/>
      <c r="L114" s="30"/>
      <c r="M114" s="30"/>
      <c r="N114" s="30"/>
      <c r="O114" s="30"/>
      <c r="P114" s="30"/>
      <c r="Q114" s="30"/>
      <c r="R114" s="30"/>
      <c r="S114" s="36"/>
      <c r="T114" s="36"/>
      <c r="U114" s="36"/>
    </row>
    <row r="115" spans="1:21" ht="23.25" customHeight="1" x14ac:dyDescent="0.3"/>
    <row r="116" spans="1:21" ht="23.25" customHeight="1" x14ac:dyDescent="0.3">
      <c r="A116" s="228" t="s">
        <v>0</v>
      </c>
      <c r="B116" s="228"/>
      <c r="C116" s="228"/>
      <c r="D116" s="228"/>
      <c r="E116" s="228"/>
      <c r="F116" s="228"/>
      <c r="G116" s="229"/>
      <c r="H116" s="230" t="s">
        <v>1</v>
      </c>
      <c r="I116" s="230"/>
      <c r="J116" s="230"/>
      <c r="K116" s="230"/>
      <c r="L116" s="230"/>
      <c r="M116" s="230"/>
      <c r="N116" s="230"/>
      <c r="O116" s="230"/>
      <c r="P116" s="230"/>
      <c r="Q116" s="230"/>
      <c r="R116" s="231" t="s">
        <v>28</v>
      </c>
      <c r="S116" s="232"/>
      <c r="T116" s="232"/>
      <c r="U116" s="233"/>
    </row>
    <row r="117" spans="1:21" ht="91.95" customHeight="1" thickBot="1" x14ac:dyDescent="0.35">
      <c r="A117" s="32" t="s">
        <v>12</v>
      </c>
      <c r="B117" s="32" t="s">
        <v>2</v>
      </c>
      <c r="C117" s="32" t="s">
        <v>19</v>
      </c>
      <c r="D117" s="32" t="s">
        <v>8</v>
      </c>
      <c r="E117" s="12" t="s">
        <v>9</v>
      </c>
      <c r="F117" s="12" t="s">
        <v>7</v>
      </c>
      <c r="G117" s="13" t="s">
        <v>37</v>
      </c>
      <c r="H117" s="14" t="s">
        <v>22</v>
      </c>
      <c r="I117" s="14" t="s">
        <v>20</v>
      </c>
      <c r="J117" s="14" t="s">
        <v>10</v>
      </c>
      <c r="K117" s="234" t="s">
        <v>26</v>
      </c>
      <c r="L117" s="234"/>
      <c r="M117" s="235"/>
      <c r="N117" s="235"/>
      <c r="O117" s="235"/>
      <c r="P117" s="235"/>
      <c r="Q117" s="235"/>
      <c r="R117" s="37" t="s">
        <v>29</v>
      </c>
      <c r="S117" s="11" t="s">
        <v>30</v>
      </c>
      <c r="T117" s="226" t="s">
        <v>31</v>
      </c>
      <c r="U117" s="227"/>
    </row>
    <row r="118" spans="1:21" ht="22.95" customHeight="1" x14ac:dyDescent="0.3">
      <c r="A118" s="236">
        <v>11</v>
      </c>
      <c r="B118" s="238"/>
      <c r="C118" s="240"/>
      <c r="D118" s="238"/>
      <c r="E118" s="242"/>
      <c r="F118" s="244"/>
      <c r="G118" s="242"/>
      <c r="H118" s="242"/>
      <c r="I118" s="242"/>
      <c r="J118" s="242"/>
      <c r="K118" s="246" t="s">
        <v>22</v>
      </c>
      <c r="L118" s="4" t="s">
        <v>23</v>
      </c>
      <c r="M118" s="15" t="e">
        <f ca="1">IF(AND(MATCH($H118,LIKELIHOOD,0)=(5-ROW()+ROW($A118)),MATCH($I118,OFFSET(SCHED_IMPACT_PDE,0,MATCH($G118,ACTIVITY_IMPACTED,0)-1),0)=(COLUMN()-COLUMN($M118)+1)),"S","") &amp;  IF(AND(MATCH($H118,LIKELIHOOD,0)=(5-ROW()+ROW($A118)),MATCH($J118,OFFSET(COST_IMPACT_PDE,0,MATCH($G118,ACTIVITY_IMPACTED,0)-1),0)=(COLUMN()-COLUMN($M118)+1)),"C","")</f>
        <v>#N/A</v>
      </c>
      <c r="N118" s="16" t="e">
        <f ca="1">IF(AND(MATCH($H118,LIKELIHOOD,0)=(5-ROW()+ROW($A118)),MATCH($I118,OFFSET(SCHED_IMPACT_PDE,0,MATCH($G118,ACTIVITY_IMPACTED,0)-1),0)=(COLUMN()-COLUMN($M118)+1)),"S","") &amp;  IF(AND(MATCH($H118,LIKELIHOOD,0)=(5-ROW()+ROW($A118)),MATCH($J118,OFFSET(COST_IMPACT_PDE,0,MATCH($G118,ACTIVITY_IMPACTED,0)-1),0)=(COLUMN()-COLUMN($M118)+1)),"C","")</f>
        <v>#N/A</v>
      </c>
      <c r="O118" s="17" t="e">
        <f ca="1">IF(AND(MATCH($H118,LIKELIHOOD,0)=(5-ROW()+ROW($A118)),MATCH($I118,OFFSET(SCHED_IMPACT_PDE,0,MATCH($G118,ACTIVITY_IMPACTED,0)-1),0)=(COLUMN()-COLUMN($M118)+1)),"S","") &amp;  IF(AND(MATCH($H118,LIKELIHOOD,0)=(5-ROW()+ROW($A118)),MATCH($J118,OFFSET(COST_IMPACT_PDE,0,MATCH($G118,ACTIVITY_IMPACTED,0)-1),0)=(COLUMN()-COLUMN($M118)+1)),"C","")</f>
        <v>#N/A</v>
      </c>
      <c r="P118" s="17" t="e">
        <f ca="1">IF(AND(MATCH($H118,LIKELIHOOD,0)=(5-ROW()+ROW($A118)),MATCH($I118,OFFSET(SCHED_IMPACT_PDE,0,MATCH($G118,ACTIVITY_IMPACTED,0)-1),0)=(COLUMN()-COLUMN($M118)+1)),"S","") &amp;  IF(AND(MATCH($H118,LIKELIHOOD,0)=(5-ROW()+ROW($A118)),MATCH($J118,OFFSET(COST_IMPACT_PDE,0,MATCH($G118,ACTIVITY_IMPACTED,0)-1),0)=(COLUMN()-COLUMN($M118)+1)),"C","")</f>
        <v>#N/A</v>
      </c>
      <c r="Q118" s="18" t="e">
        <f ca="1">IF(AND(MATCH($H118,LIKELIHOOD,0)=(5-ROW()+ROW($A118)),MATCH($I118,OFFSET(SCHED_IMPACT_PDE,0,MATCH($G118,ACTIVITY_IMPACTED,0)-1),0)=(COLUMN()-COLUMN($M118)+1)),"S","") &amp;  IF(AND(MATCH($H118,LIKELIHOOD,0)=(5-ROW()+ROW($A118)),MATCH($J118,OFFSET(COST_IMPACT_PDE,0,MATCH($G118,ACTIVITY_IMPACTED,0)-1),0)=(COLUMN()-COLUMN($M118)+1)),"C","")</f>
        <v>#N/A</v>
      </c>
      <c r="R118" s="247"/>
      <c r="S118" s="250"/>
      <c r="T118" s="221"/>
      <c r="U118" s="224"/>
    </row>
    <row r="119" spans="1:21" ht="22.95" customHeight="1" x14ac:dyDescent="0.3">
      <c r="A119" s="237"/>
      <c r="B119" s="239"/>
      <c r="C119" s="241"/>
      <c r="D119" s="239"/>
      <c r="E119" s="243"/>
      <c r="F119" s="245"/>
      <c r="G119" s="243"/>
      <c r="H119" s="243"/>
      <c r="I119" s="243"/>
      <c r="J119" s="243"/>
      <c r="K119" s="246"/>
      <c r="L119" s="4" t="s">
        <v>5</v>
      </c>
      <c r="M119" s="19" t="e">
        <f ca="1">IF(AND(MATCH($H118,LIKELIHOOD,0)=(5-ROW()+ROW($A118)),MATCH($I118,OFFSET(SCHED_IMPACT_PDE,0,MATCH($G118,ACTIVITY_IMPACTED,0)-1),0)=(COLUMN()-COLUMN($M118)+1)),"S","") &amp;  IF(AND(MATCH($H118,LIKELIHOOD,0)=(5-ROW()+ROW($A118)),MATCH($J118,OFFSET(COST_IMPACT_PDE,0,MATCH($G118,ACTIVITY_IMPACTED,0)-1),0)=(COLUMN()-COLUMN($M118)+1)),"C","")</f>
        <v>#N/A</v>
      </c>
      <c r="N119" s="20" t="e">
        <f ca="1">IF(AND(MATCH($H118,LIKELIHOOD,0)=(5-ROW()+ROW($A118)),MATCH($I118,OFFSET(SCHED_IMPACT_PDE,0,MATCH($G118,ACTIVITY_IMPACTED,0)-1),0)=(COLUMN()-COLUMN($M118)+1)),"S","") &amp;  IF(AND(MATCH($H118,LIKELIHOOD,0)=(5-ROW()+ROW($A118)),MATCH($J118,OFFSET(COST_IMPACT_PDE,0,MATCH($G118,ACTIVITY_IMPACTED,0)-1),0)=(COLUMN()-COLUMN($M118)+1)),"C","")</f>
        <v>#N/A</v>
      </c>
      <c r="O119" s="21" t="e">
        <f ca="1">IF(AND(MATCH($H118,LIKELIHOOD,0)=(5-ROW()+ROW($A118)),MATCH($I118,OFFSET(SCHED_IMPACT_PDE,0,MATCH($G118,ACTIVITY_IMPACTED,0)-1),0)=(COLUMN()-COLUMN($M118)+1)),"S","") &amp;  IF(AND(MATCH($H118,LIKELIHOOD,0)=(5-ROW()+ROW($A118)),MATCH($J118,OFFSET(COST_IMPACT_PDE,0,MATCH($G118,ACTIVITY_IMPACTED,0)-1),0)=(COLUMN()-COLUMN($M118)+1)),"C","")</f>
        <v>#N/A</v>
      </c>
      <c r="P119" s="21" t="e">
        <f ca="1">IF(AND(MATCH($H118,LIKELIHOOD,0)=(5-ROW()+ROW($A118)),MATCH($I118,OFFSET(SCHED_IMPACT_PDE,0,MATCH($G118,ACTIVITY_IMPACTED,0)-1),0)=(COLUMN()-COLUMN($M118)+1)),"S","") &amp;  IF(AND(MATCH($H118,LIKELIHOOD,0)=(5-ROW()+ROW($A118)),MATCH($J118,OFFSET(COST_IMPACT_PDE,0,MATCH($G118,ACTIVITY_IMPACTED,0)-1),0)=(COLUMN()-COLUMN($M118)+1)),"C","")</f>
        <v>#N/A</v>
      </c>
      <c r="Q119" s="22" t="e">
        <f ca="1">IF(AND(MATCH($H118,LIKELIHOOD,0)=(5-ROW()+ROW($A118)),MATCH($I118,OFFSET(SCHED_IMPACT_PDE,0,MATCH($G118,ACTIVITY_IMPACTED,0)-1),0)=(COLUMN()-COLUMN($M118)+1)),"S","") &amp;  IF(AND(MATCH($H118,LIKELIHOOD,0)=(5-ROW()+ROW($A118)),MATCH($J118,OFFSET(COST_IMPACT_PDE,0,MATCH($G118,ACTIVITY_IMPACTED,0)-1),0)=(COLUMN()-COLUMN($M118)+1)),"C","")</f>
        <v>#N/A</v>
      </c>
      <c r="R119" s="248"/>
      <c r="S119" s="251"/>
      <c r="T119" s="222"/>
      <c r="U119" s="225"/>
    </row>
    <row r="120" spans="1:21" ht="22.95" customHeight="1" x14ac:dyDescent="0.3">
      <c r="A120" s="237"/>
      <c r="B120" s="239"/>
      <c r="C120" s="241"/>
      <c r="D120" s="239"/>
      <c r="E120" s="243"/>
      <c r="F120" s="245"/>
      <c r="G120" s="243"/>
      <c r="H120" s="243"/>
      <c r="I120" s="243"/>
      <c r="J120" s="243"/>
      <c r="K120" s="246"/>
      <c r="L120" s="4" t="s">
        <v>11</v>
      </c>
      <c r="M120" s="19" t="e">
        <f ca="1">IF(AND(MATCH($H118,LIKELIHOOD,0)=(5-ROW()+ROW($A118)),MATCH($I118,OFFSET(SCHED_IMPACT_PDE,0,MATCH($G118,ACTIVITY_IMPACTED,0)-1),0)=(COLUMN()-COLUMN($M118)+1)),"S","") &amp;  IF(AND(MATCH($H118,LIKELIHOOD,0)=(5-ROW()+ROW($A118)),MATCH($J118,OFFSET(COST_IMPACT_PDE,0,MATCH($G118,ACTIVITY_IMPACTED,0)-1),0)=(COLUMN()-COLUMN($M118)+1)),"C","")</f>
        <v>#N/A</v>
      </c>
      <c r="N120" s="23" t="e">
        <f ca="1">IF(AND(MATCH($H118,LIKELIHOOD,0)=(5-ROW()+ROW($A118)),MATCH($I118,OFFSET(SCHED_IMPACT_PDE,0,MATCH($G118,ACTIVITY_IMPACTED,0)-1),0)=(COLUMN()-COLUMN($M118)+1)),"S","") &amp;  IF(AND(MATCH($H118,LIKELIHOOD,0)=(5-ROW()+ROW($A118)),MATCH($J118,OFFSET(COST_IMPACT_PDE,0,MATCH($G118,ACTIVITY_IMPACTED,0)-1),0)=(COLUMN()-COLUMN($M118)+1)),"C","")</f>
        <v>#N/A</v>
      </c>
      <c r="O120" s="20" t="e">
        <f ca="1">IF(AND(MATCH($H118,LIKELIHOOD,0)=(5-ROW()+ROW($A118)),MATCH($I118,OFFSET(SCHED_IMPACT_PDE,0,MATCH($G118,ACTIVITY_IMPACTED,0)-1),0)=(COLUMN()-COLUMN($M118)+1)),"S","") &amp;  IF(AND(MATCH($H118,LIKELIHOOD,0)=(5-ROW()+ROW($A118)),MATCH($J118,OFFSET(COST_IMPACT_PDE,0,MATCH($G118,ACTIVITY_IMPACTED,0)-1),0)=(COLUMN()-COLUMN($M118)+1)),"C","")</f>
        <v>#N/A</v>
      </c>
      <c r="P120" s="21" t="e">
        <f ca="1">IF(AND(MATCH($H118,LIKELIHOOD,0)=(5-ROW()+ROW($A118)),MATCH($I118,OFFSET(SCHED_IMPACT_PDE,0,MATCH($G118,ACTIVITY_IMPACTED,0)-1),0)=(COLUMN()-COLUMN($M118)+1)),"S","") &amp;  IF(AND(MATCH($H118,LIKELIHOOD,0)=(5-ROW()+ROW($A118)),MATCH($J118,OFFSET(COST_IMPACT_PDE,0,MATCH($G118,ACTIVITY_IMPACTED,0)-1),0)=(COLUMN()-COLUMN($M118)+1)),"C","")</f>
        <v>#N/A</v>
      </c>
      <c r="Q120" s="22" t="e">
        <f ca="1">IF(AND(MATCH($H118,LIKELIHOOD,0)=(5-ROW()+ROW($A118)),MATCH($I118,OFFSET(SCHED_IMPACT_PDE,0,MATCH($G118,ACTIVITY_IMPACTED,0)-1),0)=(COLUMN()-COLUMN($M118)+1)),"S","") &amp;  IF(AND(MATCH($H118,LIKELIHOOD,0)=(5-ROW()+ROW($A118)),MATCH($J118,OFFSET(COST_IMPACT_PDE,0,MATCH($G118,ACTIVITY_IMPACTED,0)-1),0)=(COLUMN()-COLUMN($M118)+1)),"C","")</f>
        <v>#N/A</v>
      </c>
      <c r="R120" s="248"/>
      <c r="S120" s="251"/>
      <c r="T120" s="222"/>
      <c r="U120" s="225"/>
    </row>
    <row r="121" spans="1:21" ht="22.95" customHeight="1" x14ac:dyDescent="0.3">
      <c r="A121" s="237"/>
      <c r="B121" s="239"/>
      <c r="C121" s="241"/>
      <c r="D121" s="239"/>
      <c r="E121" s="243"/>
      <c r="F121" s="245"/>
      <c r="G121" s="243"/>
      <c r="H121" s="243"/>
      <c r="I121" s="243"/>
      <c r="J121" s="243"/>
      <c r="K121" s="246"/>
      <c r="L121" s="4" t="s">
        <v>6</v>
      </c>
      <c r="M121" s="19" t="e">
        <f ca="1">IF(AND(MATCH($H118,LIKELIHOOD,0)=(5-ROW()+ROW($A118)),MATCH($I118,OFFSET(SCHED_IMPACT_PDE,0,MATCH($G118,ACTIVITY_IMPACTED,0)-1),0)=(COLUMN()-COLUMN($M118)+1)),"S","") &amp;  IF(AND(MATCH($H118,LIKELIHOOD,0)=(5-ROW()+ROW($A118)),MATCH($J118,OFFSET(COST_IMPACT_PDE,0,MATCH($G118,ACTIVITY_IMPACTED,0)-1),0)=(COLUMN()-COLUMN($M118)+1)),"C","")</f>
        <v>#N/A</v>
      </c>
      <c r="N121" s="23" t="e">
        <f ca="1">IF(AND(MATCH($H118,LIKELIHOOD,0)=(5-ROW()+ROW($A118)),MATCH($I118,OFFSET(SCHED_IMPACT_PDE,0,MATCH($G118,ACTIVITY_IMPACTED,0)-1),0)=(COLUMN()-COLUMN($M118)+1)),"S","") &amp;  IF(AND(MATCH($H118,LIKELIHOOD,0)=(5-ROW()+ROW($A118)),MATCH($J118,OFFSET(COST_IMPACT_PDE,0,MATCH($G118,ACTIVITY_IMPACTED,0)-1),0)=(COLUMN()-COLUMN($M118)+1)),"C","")</f>
        <v>#N/A</v>
      </c>
      <c r="O121" s="20" t="e">
        <f ca="1">IF(AND(MATCH($H118,LIKELIHOOD,0)=(5-ROW()+ROW($A118)),MATCH($I118,OFFSET(SCHED_IMPACT_PDE,0,MATCH($G118,ACTIVITY_IMPACTED,0)-1),0)=(COLUMN()-COLUMN($M118)+1)),"S","") &amp;  IF(AND(MATCH($H118,LIKELIHOOD,0)=(5-ROW()+ROW($A118)),MATCH($J118,OFFSET(COST_IMPACT_PDE,0,MATCH($G118,ACTIVITY_IMPACTED,0)-1),0)=(COLUMN()-COLUMN($M118)+1)),"C","")</f>
        <v>#N/A</v>
      </c>
      <c r="P121" s="21" t="e">
        <f ca="1">IF(AND(MATCH($H118,LIKELIHOOD,0)=(5-ROW()+ROW($A118)),MATCH($I118,OFFSET(SCHED_IMPACT_PDE,0,MATCH($G118,ACTIVITY_IMPACTED,0)-1),0)=(COLUMN()-COLUMN($M118)+1)),"S","") &amp;  IF(AND(MATCH($H118,LIKELIHOOD,0)=(5-ROW()+ROW($A118)),MATCH($J118,OFFSET(COST_IMPACT_PDE,0,MATCH($G118,ACTIVITY_IMPACTED,0)-1),0)=(COLUMN()-COLUMN($M118)+1)),"C","")</f>
        <v>#N/A</v>
      </c>
      <c r="Q121" s="22" t="e">
        <f ca="1">IF(AND(MATCH($H118,LIKELIHOOD,0)=(5-ROW()+ROW($A118)),MATCH($I118,OFFSET(SCHED_IMPACT_PDE,0,MATCH($G118,ACTIVITY_IMPACTED,0)-1),0)=(COLUMN()-COLUMN($M118)+1)),"S","") &amp;  IF(AND(MATCH($H118,LIKELIHOOD,0)=(5-ROW()+ROW($A118)),MATCH($J118,OFFSET(COST_IMPACT_PDE,0,MATCH($G118,ACTIVITY_IMPACTED,0)-1),0)=(COLUMN()-COLUMN($M118)+1)),"C","")</f>
        <v>#N/A</v>
      </c>
      <c r="R121" s="248"/>
      <c r="S121" s="251"/>
      <c r="T121" s="223"/>
      <c r="U121" s="225"/>
    </row>
    <row r="122" spans="1:21" ht="22.95" customHeight="1" thickBot="1" x14ac:dyDescent="0.35">
      <c r="A122" s="237"/>
      <c r="B122" s="239"/>
      <c r="C122" s="241"/>
      <c r="D122" s="239"/>
      <c r="E122" s="243"/>
      <c r="F122" s="245"/>
      <c r="G122" s="243"/>
      <c r="H122" s="243"/>
      <c r="I122" s="243"/>
      <c r="J122" s="243"/>
      <c r="K122" s="246"/>
      <c r="L122" s="4" t="s">
        <v>24</v>
      </c>
      <c r="M122" s="24" t="e">
        <f ca="1">IF(AND(MATCH($H118,LIKELIHOOD,0)=(5-ROW()+ROW($A118)),MATCH($I118,OFFSET(SCHED_IMPACT_PDE,0,MATCH($G118,ACTIVITY_IMPACTED,0)-1),0)=(COLUMN()-COLUMN($M118)+1)),"S","") &amp;  IF(AND(MATCH($H118,LIKELIHOOD,0)=(5-ROW()+ROW($A118)),MATCH($J118,OFFSET(COST_IMPACT_PDE,0,MATCH($G118,ACTIVITY_IMPACTED,0)-1),0)=(COLUMN()-COLUMN($M118)+1)),"C","")</f>
        <v>#N/A</v>
      </c>
      <c r="N122" s="25" t="e">
        <f ca="1">IF(AND(MATCH($H118,LIKELIHOOD,0)=(5-ROW()+ROW($A118)),MATCH($I118,OFFSET(SCHED_IMPACT_PDE,0,MATCH($G118,ACTIVITY_IMPACTED,0)-1),0)=(COLUMN()-COLUMN($M118)+1)),"S","") &amp;  IF(AND(MATCH($H118,LIKELIHOOD,0)=(5-ROW()+ROW($A118)),MATCH($J118,OFFSET(COST_IMPACT_PDE,0,MATCH($G118,ACTIVITY_IMPACTED,0)-1),0)=(COLUMN()-COLUMN($M118)+1)),"C","")</f>
        <v>#N/A</v>
      </c>
      <c r="O122" s="25" t="e">
        <f ca="1">IF(AND(MATCH($H118,LIKELIHOOD,0)=(5-ROW()+ROW($A118)),MATCH($I118,OFFSET(SCHED_IMPACT_PDE,0,MATCH($G118,ACTIVITY_IMPACTED,0)-1),0)=(COLUMN()-COLUMN($M118)+1)),"S","") &amp;  IF(AND(MATCH($H118,LIKELIHOOD,0)=(5-ROW()+ROW($A118)),MATCH($J118,OFFSET(COST_IMPACT_PDE,0,MATCH($G118,ACTIVITY_IMPACTED,0)-1),0)=(COLUMN()-COLUMN($M118)+1)),"C","")</f>
        <v>#N/A</v>
      </c>
      <c r="P122" s="26" t="e">
        <f ca="1">IF(AND(MATCH($H118,LIKELIHOOD,0)=(5-ROW()+ROW($A118)),MATCH($I118,OFFSET(SCHED_IMPACT_PDE,0,MATCH($G118,ACTIVITY_IMPACTED,0)-1),0)=(COLUMN()-COLUMN($M118)+1)),"S","") &amp;  IF(AND(MATCH($H118,LIKELIHOOD,0)=(5-ROW()+ROW($A118)),MATCH($J118,OFFSET(COST_IMPACT_PDE,0,MATCH($G118,ACTIVITY_IMPACTED,0)-1),0)=(COLUMN()-COLUMN($M118)+1)),"C","")</f>
        <v>#N/A</v>
      </c>
      <c r="Q122" s="27" t="e">
        <f ca="1">IF(AND(MATCH($H118,LIKELIHOOD,0)=(5-ROW()+ROW($A118)),MATCH($I118,OFFSET(SCHED_IMPACT_PDE,0,MATCH($G118,ACTIVITY_IMPACTED,0)-1),0)=(COLUMN()-COLUMN($M118)+1)),"S","") &amp;  IF(AND(MATCH($H118,LIKELIHOOD,0)=(5-ROW()+ROW($A118)),MATCH($J118,OFFSET(COST_IMPACT_PDE,0,MATCH($G118,ACTIVITY_IMPACTED,0)-1),0)=(COLUMN()-COLUMN($M118)+1)),"C","")</f>
        <v>#N/A</v>
      </c>
      <c r="R122" s="248"/>
      <c r="S122" s="251"/>
      <c r="T122" s="124" t="s">
        <v>77</v>
      </c>
      <c r="U122" s="127"/>
    </row>
    <row r="123" spans="1:21" ht="22.95" customHeight="1" x14ac:dyDescent="0.3">
      <c r="A123" s="237"/>
      <c r="B123" s="239"/>
      <c r="C123" s="241"/>
      <c r="D123" s="239"/>
      <c r="E123" s="243"/>
      <c r="F123" s="245"/>
      <c r="G123" s="243"/>
      <c r="H123" s="243"/>
      <c r="I123" s="243"/>
      <c r="J123" s="243"/>
      <c r="K123" s="33"/>
      <c r="L123" s="34"/>
      <c r="M123" s="5" t="s">
        <v>24</v>
      </c>
      <c r="N123" s="5" t="s">
        <v>6</v>
      </c>
      <c r="O123" s="5" t="s">
        <v>11</v>
      </c>
      <c r="P123" s="5" t="s">
        <v>5</v>
      </c>
      <c r="Q123" s="5" t="s">
        <v>23</v>
      </c>
      <c r="R123" s="248"/>
      <c r="S123" s="251"/>
      <c r="T123" s="124" t="s">
        <v>76</v>
      </c>
      <c r="U123" s="127"/>
    </row>
    <row r="124" spans="1:21" ht="22.95" customHeight="1" x14ac:dyDescent="0.3">
      <c r="A124" s="237"/>
      <c r="B124" s="239"/>
      <c r="C124" s="241"/>
      <c r="D124" s="239"/>
      <c r="E124" s="243"/>
      <c r="F124" s="245"/>
      <c r="G124" s="243"/>
      <c r="H124" s="243"/>
      <c r="I124" s="243"/>
      <c r="J124" s="243"/>
      <c r="K124" s="35"/>
      <c r="L124" s="28"/>
      <c r="M124" s="252" t="s">
        <v>25</v>
      </c>
      <c r="N124" s="252"/>
      <c r="O124" s="252"/>
      <c r="P124" s="252"/>
      <c r="Q124" s="252"/>
      <c r="R124" s="249"/>
      <c r="S124" s="251"/>
      <c r="T124" s="124" t="s">
        <v>75</v>
      </c>
      <c r="U124" s="127"/>
    </row>
    <row r="125" spans="1:21" ht="23.25" customHeight="1" x14ac:dyDescent="0.3">
      <c r="A125" s="29"/>
      <c r="B125" s="30"/>
      <c r="C125" s="30"/>
      <c r="D125" s="30"/>
      <c r="E125" s="31"/>
      <c r="F125" s="31"/>
      <c r="G125" s="30"/>
      <c r="H125" s="30"/>
      <c r="I125" s="30"/>
      <c r="J125" s="30"/>
      <c r="K125" s="30"/>
      <c r="L125" s="30"/>
      <c r="M125" s="30"/>
      <c r="N125" s="30"/>
      <c r="O125" s="30"/>
      <c r="P125" s="30"/>
      <c r="Q125" s="30"/>
      <c r="R125" s="30"/>
      <c r="S125" s="36"/>
      <c r="T125" s="36"/>
      <c r="U125" s="36"/>
    </row>
    <row r="126" spans="1:21" ht="22.5" customHeight="1" x14ac:dyDescent="0.3"/>
    <row r="127" spans="1:21" ht="23.25" customHeight="1" x14ac:dyDescent="0.3">
      <c r="A127" s="228" t="s">
        <v>0</v>
      </c>
      <c r="B127" s="228"/>
      <c r="C127" s="228"/>
      <c r="D127" s="228"/>
      <c r="E127" s="228"/>
      <c r="F127" s="228"/>
      <c r="G127" s="229"/>
      <c r="H127" s="230" t="s">
        <v>1</v>
      </c>
      <c r="I127" s="230"/>
      <c r="J127" s="230"/>
      <c r="K127" s="230"/>
      <c r="L127" s="230"/>
      <c r="M127" s="230"/>
      <c r="N127" s="230"/>
      <c r="O127" s="230"/>
      <c r="P127" s="230"/>
      <c r="Q127" s="230"/>
      <c r="R127" s="231" t="s">
        <v>28</v>
      </c>
      <c r="S127" s="232"/>
      <c r="T127" s="232"/>
      <c r="U127" s="233"/>
    </row>
    <row r="128" spans="1:21" ht="91.95" customHeight="1" thickBot="1" x14ac:dyDescent="0.35">
      <c r="A128" s="32" t="s">
        <v>12</v>
      </c>
      <c r="B128" s="32" t="s">
        <v>2</v>
      </c>
      <c r="C128" s="32" t="s">
        <v>19</v>
      </c>
      <c r="D128" s="32" t="s">
        <v>8</v>
      </c>
      <c r="E128" s="12" t="s">
        <v>9</v>
      </c>
      <c r="F128" s="12" t="s">
        <v>7</v>
      </c>
      <c r="G128" s="13" t="s">
        <v>37</v>
      </c>
      <c r="H128" s="14" t="s">
        <v>22</v>
      </c>
      <c r="I128" s="14" t="s">
        <v>20</v>
      </c>
      <c r="J128" s="14" t="s">
        <v>10</v>
      </c>
      <c r="K128" s="234" t="s">
        <v>26</v>
      </c>
      <c r="L128" s="234"/>
      <c r="M128" s="235"/>
      <c r="N128" s="235"/>
      <c r="O128" s="235"/>
      <c r="P128" s="235"/>
      <c r="Q128" s="235"/>
      <c r="R128" s="37" t="s">
        <v>29</v>
      </c>
      <c r="S128" s="11" t="s">
        <v>30</v>
      </c>
      <c r="T128" s="226" t="s">
        <v>31</v>
      </c>
      <c r="U128" s="227"/>
    </row>
    <row r="129" spans="1:21" ht="22.95" customHeight="1" x14ac:dyDescent="0.3">
      <c r="A129" s="236">
        <v>12</v>
      </c>
      <c r="B129" s="238"/>
      <c r="C129" s="240"/>
      <c r="D129" s="238"/>
      <c r="E129" s="242"/>
      <c r="F129" s="244"/>
      <c r="G129" s="242"/>
      <c r="H129" s="242"/>
      <c r="I129" s="242"/>
      <c r="J129" s="242"/>
      <c r="K129" s="246" t="s">
        <v>22</v>
      </c>
      <c r="L129" s="4" t="s">
        <v>23</v>
      </c>
      <c r="M129" s="15" t="e">
        <f ca="1">IF(AND(MATCH($H129,LIKELIHOOD,0)=(5-ROW()+ROW($A129)),MATCH($I129,OFFSET(SCHED_IMPACT_PDE,0,MATCH($G129,ACTIVITY_IMPACTED,0)-1),0)=(COLUMN()-COLUMN($M129)+1)),"S","") &amp;  IF(AND(MATCH($H129,LIKELIHOOD,0)=(5-ROW()+ROW($A129)),MATCH($J129,OFFSET(COST_IMPACT_PDE,0,MATCH($G129,ACTIVITY_IMPACTED,0)-1),0)=(COLUMN()-COLUMN($M129)+1)),"C","")</f>
        <v>#N/A</v>
      </c>
      <c r="N129" s="16" t="e">
        <f ca="1">IF(AND(MATCH($H129,LIKELIHOOD,0)=(5-ROW()+ROW($A129)),MATCH($I129,OFFSET(SCHED_IMPACT_PDE,0,MATCH($G129,ACTIVITY_IMPACTED,0)-1),0)=(COLUMN()-COLUMN($M129)+1)),"S","") &amp;  IF(AND(MATCH($H129,LIKELIHOOD,0)=(5-ROW()+ROW($A129)),MATCH($J129,OFFSET(COST_IMPACT_PDE,0,MATCH($G129,ACTIVITY_IMPACTED,0)-1),0)=(COLUMN()-COLUMN($M129)+1)),"C","")</f>
        <v>#N/A</v>
      </c>
      <c r="O129" s="17" t="e">
        <f ca="1">IF(AND(MATCH($H129,LIKELIHOOD,0)=(5-ROW()+ROW($A129)),MATCH($I129,OFFSET(SCHED_IMPACT_PDE,0,MATCH($G129,ACTIVITY_IMPACTED,0)-1),0)=(COLUMN()-COLUMN($M129)+1)),"S","") &amp;  IF(AND(MATCH($H129,LIKELIHOOD,0)=(5-ROW()+ROW($A129)),MATCH($J129,OFFSET(COST_IMPACT_PDE,0,MATCH($G129,ACTIVITY_IMPACTED,0)-1),0)=(COLUMN()-COLUMN($M129)+1)),"C","")</f>
        <v>#N/A</v>
      </c>
      <c r="P129" s="17" t="e">
        <f ca="1">IF(AND(MATCH($H129,LIKELIHOOD,0)=(5-ROW()+ROW($A129)),MATCH($I129,OFFSET(SCHED_IMPACT_PDE,0,MATCH($G129,ACTIVITY_IMPACTED,0)-1),0)=(COLUMN()-COLUMN($M129)+1)),"S","") &amp;  IF(AND(MATCH($H129,LIKELIHOOD,0)=(5-ROW()+ROW($A129)),MATCH($J129,OFFSET(COST_IMPACT_PDE,0,MATCH($G129,ACTIVITY_IMPACTED,0)-1),0)=(COLUMN()-COLUMN($M129)+1)),"C","")</f>
        <v>#N/A</v>
      </c>
      <c r="Q129" s="18" t="e">
        <f ca="1">IF(AND(MATCH($H129,LIKELIHOOD,0)=(5-ROW()+ROW($A129)),MATCH($I129,OFFSET(SCHED_IMPACT_PDE,0,MATCH($G129,ACTIVITY_IMPACTED,0)-1),0)=(COLUMN()-COLUMN($M129)+1)),"S","") &amp;  IF(AND(MATCH($H129,LIKELIHOOD,0)=(5-ROW()+ROW($A129)),MATCH($J129,OFFSET(COST_IMPACT_PDE,0,MATCH($G129,ACTIVITY_IMPACTED,0)-1),0)=(COLUMN()-COLUMN($M129)+1)),"C","")</f>
        <v>#N/A</v>
      </c>
      <c r="R129" s="247"/>
      <c r="S129" s="250"/>
      <c r="T129" s="221"/>
      <c r="U129" s="224"/>
    </row>
    <row r="130" spans="1:21" ht="22.95" customHeight="1" x14ac:dyDescent="0.3">
      <c r="A130" s="237"/>
      <c r="B130" s="239"/>
      <c r="C130" s="241"/>
      <c r="D130" s="239"/>
      <c r="E130" s="243"/>
      <c r="F130" s="245"/>
      <c r="G130" s="243"/>
      <c r="H130" s="243"/>
      <c r="I130" s="243"/>
      <c r="J130" s="243"/>
      <c r="K130" s="246"/>
      <c r="L130" s="4" t="s">
        <v>5</v>
      </c>
      <c r="M130" s="19" t="e">
        <f ca="1">IF(AND(MATCH($H129,LIKELIHOOD,0)=(5-ROW()+ROW($A129)),MATCH($I129,OFFSET(SCHED_IMPACT_PDE,0,MATCH($G129,ACTIVITY_IMPACTED,0)-1),0)=(COLUMN()-COLUMN($M129)+1)),"S","") &amp;  IF(AND(MATCH($H129,LIKELIHOOD,0)=(5-ROW()+ROW($A129)),MATCH($J129,OFFSET(COST_IMPACT_PDE,0,MATCH($G129,ACTIVITY_IMPACTED,0)-1),0)=(COLUMN()-COLUMN($M129)+1)),"C","")</f>
        <v>#N/A</v>
      </c>
      <c r="N130" s="20" t="e">
        <f ca="1">IF(AND(MATCH($H129,LIKELIHOOD,0)=(5-ROW()+ROW($A129)),MATCH($I129,OFFSET(SCHED_IMPACT_PDE,0,MATCH($G129,ACTIVITY_IMPACTED,0)-1),0)=(COLUMN()-COLUMN($M129)+1)),"S","") &amp;  IF(AND(MATCH($H129,LIKELIHOOD,0)=(5-ROW()+ROW($A129)),MATCH($J129,OFFSET(COST_IMPACT_PDE,0,MATCH($G129,ACTIVITY_IMPACTED,0)-1),0)=(COLUMN()-COLUMN($M129)+1)),"C","")</f>
        <v>#N/A</v>
      </c>
      <c r="O130" s="21" t="e">
        <f ca="1">IF(AND(MATCH($H129,LIKELIHOOD,0)=(5-ROW()+ROW($A129)),MATCH($I129,OFFSET(SCHED_IMPACT_PDE,0,MATCH($G129,ACTIVITY_IMPACTED,0)-1),0)=(COLUMN()-COLUMN($M129)+1)),"S","") &amp;  IF(AND(MATCH($H129,LIKELIHOOD,0)=(5-ROW()+ROW($A129)),MATCH($J129,OFFSET(COST_IMPACT_PDE,0,MATCH($G129,ACTIVITY_IMPACTED,0)-1),0)=(COLUMN()-COLUMN($M129)+1)),"C","")</f>
        <v>#N/A</v>
      </c>
      <c r="P130" s="21" t="e">
        <f ca="1">IF(AND(MATCH($H129,LIKELIHOOD,0)=(5-ROW()+ROW($A129)),MATCH($I129,OFFSET(SCHED_IMPACT_PDE,0,MATCH($G129,ACTIVITY_IMPACTED,0)-1),0)=(COLUMN()-COLUMN($M129)+1)),"S","") &amp;  IF(AND(MATCH($H129,LIKELIHOOD,0)=(5-ROW()+ROW($A129)),MATCH($J129,OFFSET(COST_IMPACT_PDE,0,MATCH($G129,ACTIVITY_IMPACTED,0)-1),0)=(COLUMN()-COLUMN($M129)+1)),"C","")</f>
        <v>#N/A</v>
      </c>
      <c r="Q130" s="22" t="e">
        <f ca="1">IF(AND(MATCH($H129,LIKELIHOOD,0)=(5-ROW()+ROW($A129)),MATCH($I129,OFFSET(SCHED_IMPACT_PDE,0,MATCH($G129,ACTIVITY_IMPACTED,0)-1),0)=(COLUMN()-COLUMN($M129)+1)),"S","") &amp;  IF(AND(MATCH($H129,LIKELIHOOD,0)=(5-ROW()+ROW($A129)),MATCH($J129,OFFSET(COST_IMPACT_PDE,0,MATCH($G129,ACTIVITY_IMPACTED,0)-1),0)=(COLUMN()-COLUMN($M129)+1)),"C","")</f>
        <v>#N/A</v>
      </c>
      <c r="R130" s="248"/>
      <c r="S130" s="251"/>
      <c r="T130" s="222"/>
      <c r="U130" s="225"/>
    </row>
    <row r="131" spans="1:21" ht="22.95" customHeight="1" x14ac:dyDescent="0.3">
      <c r="A131" s="237"/>
      <c r="B131" s="239"/>
      <c r="C131" s="241"/>
      <c r="D131" s="239"/>
      <c r="E131" s="243"/>
      <c r="F131" s="245"/>
      <c r="G131" s="243"/>
      <c r="H131" s="243"/>
      <c r="I131" s="243"/>
      <c r="J131" s="243"/>
      <c r="K131" s="246"/>
      <c r="L131" s="4" t="s">
        <v>11</v>
      </c>
      <c r="M131" s="19" t="e">
        <f ca="1">IF(AND(MATCH($H129,LIKELIHOOD,0)=(5-ROW()+ROW($A129)),MATCH($I129,OFFSET(SCHED_IMPACT_PDE,0,MATCH($G129,ACTIVITY_IMPACTED,0)-1),0)=(COLUMN()-COLUMN($M129)+1)),"S","") &amp;  IF(AND(MATCH($H129,LIKELIHOOD,0)=(5-ROW()+ROW($A129)),MATCH($J129,OFFSET(COST_IMPACT_PDE,0,MATCH($G129,ACTIVITY_IMPACTED,0)-1),0)=(COLUMN()-COLUMN($M129)+1)),"C","")</f>
        <v>#N/A</v>
      </c>
      <c r="N131" s="23" t="e">
        <f ca="1">IF(AND(MATCH($H129,LIKELIHOOD,0)=(5-ROW()+ROW($A129)),MATCH($I129,OFFSET(SCHED_IMPACT_PDE,0,MATCH($G129,ACTIVITY_IMPACTED,0)-1),0)=(COLUMN()-COLUMN($M129)+1)),"S","") &amp;  IF(AND(MATCH($H129,LIKELIHOOD,0)=(5-ROW()+ROW($A129)),MATCH($J129,OFFSET(COST_IMPACT_PDE,0,MATCH($G129,ACTIVITY_IMPACTED,0)-1),0)=(COLUMN()-COLUMN($M129)+1)),"C","")</f>
        <v>#N/A</v>
      </c>
      <c r="O131" s="20" t="e">
        <f ca="1">IF(AND(MATCH($H129,LIKELIHOOD,0)=(5-ROW()+ROW($A129)),MATCH($I129,OFFSET(SCHED_IMPACT_PDE,0,MATCH($G129,ACTIVITY_IMPACTED,0)-1),0)=(COLUMN()-COLUMN($M129)+1)),"S","") &amp;  IF(AND(MATCH($H129,LIKELIHOOD,0)=(5-ROW()+ROW($A129)),MATCH($J129,OFFSET(COST_IMPACT_PDE,0,MATCH($G129,ACTIVITY_IMPACTED,0)-1),0)=(COLUMN()-COLUMN($M129)+1)),"C","")</f>
        <v>#N/A</v>
      </c>
      <c r="P131" s="21" t="e">
        <f ca="1">IF(AND(MATCH($H129,LIKELIHOOD,0)=(5-ROW()+ROW($A129)),MATCH($I129,OFFSET(SCHED_IMPACT_PDE,0,MATCH($G129,ACTIVITY_IMPACTED,0)-1),0)=(COLUMN()-COLUMN($M129)+1)),"S","") &amp;  IF(AND(MATCH($H129,LIKELIHOOD,0)=(5-ROW()+ROW($A129)),MATCH($J129,OFFSET(COST_IMPACT_PDE,0,MATCH($G129,ACTIVITY_IMPACTED,0)-1),0)=(COLUMN()-COLUMN($M129)+1)),"C","")</f>
        <v>#N/A</v>
      </c>
      <c r="Q131" s="22" t="e">
        <f ca="1">IF(AND(MATCH($H129,LIKELIHOOD,0)=(5-ROW()+ROW($A129)),MATCH($I129,OFFSET(SCHED_IMPACT_PDE,0,MATCH($G129,ACTIVITY_IMPACTED,0)-1),0)=(COLUMN()-COLUMN($M129)+1)),"S","") &amp;  IF(AND(MATCH($H129,LIKELIHOOD,0)=(5-ROW()+ROW($A129)),MATCH($J129,OFFSET(COST_IMPACT_PDE,0,MATCH($G129,ACTIVITY_IMPACTED,0)-1),0)=(COLUMN()-COLUMN($M129)+1)),"C","")</f>
        <v>#N/A</v>
      </c>
      <c r="R131" s="248"/>
      <c r="S131" s="251"/>
      <c r="T131" s="222"/>
      <c r="U131" s="225"/>
    </row>
    <row r="132" spans="1:21" ht="22.95" customHeight="1" x14ac:dyDescent="0.3">
      <c r="A132" s="237"/>
      <c r="B132" s="239"/>
      <c r="C132" s="241"/>
      <c r="D132" s="239"/>
      <c r="E132" s="243"/>
      <c r="F132" s="245"/>
      <c r="G132" s="243"/>
      <c r="H132" s="243"/>
      <c r="I132" s="243"/>
      <c r="J132" s="243"/>
      <c r="K132" s="246"/>
      <c r="L132" s="4" t="s">
        <v>6</v>
      </c>
      <c r="M132" s="19" t="e">
        <f ca="1">IF(AND(MATCH($H129,LIKELIHOOD,0)=(5-ROW()+ROW($A129)),MATCH($I129,OFFSET(SCHED_IMPACT_PDE,0,MATCH($G129,ACTIVITY_IMPACTED,0)-1),0)=(COLUMN()-COLUMN($M129)+1)),"S","") &amp;  IF(AND(MATCH($H129,LIKELIHOOD,0)=(5-ROW()+ROW($A129)),MATCH($J129,OFFSET(COST_IMPACT_PDE,0,MATCH($G129,ACTIVITY_IMPACTED,0)-1),0)=(COLUMN()-COLUMN($M129)+1)),"C","")</f>
        <v>#N/A</v>
      </c>
      <c r="N132" s="23" t="e">
        <f ca="1">IF(AND(MATCH($H129,LIKELIHOOD,0)=(5-ROW()+ROW($A129)),MATCH($I129,OFFSET(SCHED_IMPACT_PDE,0,MATCH($G129,ACTIVITY_IMPACTED,0)-1),0)=(COLUMN()-COLUMN($M129)+1)),"S","") &amp;  IF(AND(MATCH($H129,LIKELIHOOD,0)=(5-ROW()+ROW($A129)),MATCH($J129,OFFSET(COST_IMPACT_PDE,0,MATCH($G129,ACTIVITY_IMPACTED,0)-1),0)=(COLUMN()-COLUMN($M129)+1)),"C","")</f>
        <v>#N/A</v>
      </c>
      <c r="O132" s="20" t="e">
        <f ca="1">IF(AND(MATCH($H129,LIKELIHOOD,0)=(5-ROW()+ROW($A129)),MATCH($I129,OFFSET(SCHED_IMPACT_PDE,0,MATCH($G129,ACTIVITY_IMPACTED,0)-1),0)=(COLUMN()-COLUMN($M129)+1)),"S","") &amp;  IF(AND(MATCH($H129,LIKELIHOOD,0)=(5-ROW()+ROW($A129)),MATCH($J129,OFFSET(COST_IMPACT_PDE,0,MATCH($G129,ACTIVITY_IMPACTED,0)-1),0)=(COLUMN()-COLUMN($M129)+1)),"C","")</f>
        <v>#N/A</v>
      </c>
      <c r="P132" s="21" t="e">
        <f ca="1">IF(AND(MATCH($H129,LIKELIHOOD,0)=(5-ROW()+ROW($A129)),MATCH($I129,OFFSET(SCHED_IMPACT_PDE,0,MATCH($G129,ACTIVITY_IMPACTED,0)-1),0)=(COLUMN()-COLUMN($M129)+1)),"S","") &amp;  IF(AND(MATCH($H129,LIKELIHOOD,0)=(5-ROW()+ROW($A129)),MATCH($J129,OFFSET(COST_IMPACT_PDE,0,MATCH($G129,ACTIVITY_IMPACTED,0)-1),0)=(COLUMN()-COLUMN($M129)+1)),"C","")</f>
        <v>#N/A</v>
      </c>
      <c r="Q132" s="22" t="e">
        <f ca="1">IF(AND(MATCH($H129,LIKELIHOOD,0)=(5-ROW()+ROW($A129)),MATCH($I129,OFFSET(SCHED_IMPACT_PDE,0,MATCH($G129,ACTIVITY_IMPACTED,0)-1),0)=(COLUMN()-COLUMN($M129)+1)),"S","") &amp;  IF(AND(MATCH($H129,LIKELIHOOD,0)=(5-ROW()+ROW($A129)),MATCH($J129,OFFSET(COST_IMPACT_PDE,0,MATCH($G129,ACTIVITY_IMPACTED,0)-1),0)=(COLUMN()-COLUMN($M129)+1)),"C","")</f>
        <v>#N/A</v>
      </c>
      <c r="R132" s="248"/>
      <c r="S132" s="251"/>
      <c r="T132" s="223"/>
      <c r="U132" s="225"/>
    </row>
    <row r="133" spans="1:21" ht="22.95" customHeight="1" thickBot="1" x14ac:dyDescent="0.35">
      <c r="A133" s="237"/>
      <c r="B133" s="239"/>
      <c r="C133" s="241"/>
      <c r="D133" s="239"/>
      <c r="E133" s="243"/>
      <c r="F133" s="245"/>
      <c r="G133" s="243"/>
      <c r="H133" s="243"/>
      <c r="I133" s="243"/>
      <c r="J133" s="243"/>
      <c r="K133" s="246"/>
      <c r="L133" s="4" t="s">
        <v>24</v>
      </c>
      <c r="M133" s="24" t="e">
        <f ca="1">IF(AND(MATCH($H129,LIKELIHOOD,0)=(5-ROW()+ROW($A129)),MATCH($I129,OFFSET(SCHED_IMPACT_PDE,0,MATCH($G129,ACTIVITY_IMPACTED,0)-1),0)=(COLUMN()-COLUMN($M129)+1)),"S","") &amp;  IF(AND(MATCH($H129,LIKELIHOOD,0)=(5-ROW()+ROW($A129)),MATCH($J129,OFFSET(COST_IMPACT_PDE,0,MATCH($G129,ACTIVITY_IMPACTED,0)-1),0)=(COLUMN()-COLUMN($M129)+1)),"C","")</f>
        <v>#N/A</v>
      </c>
      <c r="N133" s="25" t="e">
        <f ca="1">IF(AND(MATCH($H129,LIKELIHOOD,0)=(5-ROW()+ROW($A129)),MATCH($I129,OFFSET(SCHED_IMPACT_PDE,0,MATCH($G129,ACTIVITY_IMPACTED,0)-1),0)=(COLUMN()-COLUMN($M129)+1)),"S","") &amp;  IF(AND(MATCH($H129,LIKELIHOOD,0)=(5-ROW()+ROW($A129)),MATCH($J129,OFFSET(COST_IMPACT_PDE,0,MATCH($G129,ACTIVITY_IMPACTED,0)-1),0)=(COLUMN()-COLUMN($M129)+1)),"C","")</f>
        <v>#N/A</v>
      </c>
      <c r="O133" s="25" t="e">
        <f ca="1">IF(AND(MATCH($H129,LIKELIHOOD,0)=(5-ROW()+ROW($A129)),MATCH($I129,OFFSET(SCHED_IMPACT_PDE,0,MATCH($G129,ACTIVITY_IMPACTED,0)-1),0)=(COLUMN()-COLUMN($M129)+1)),"S","") &amp;  IF(AND(MATCH($H129,LIKELIHOOD,0)=(5-ROW()+ROW($A129)),MATCH($J129,OFFSET(COST_IMPACT_PDE,0,MATCH($G129,ACTIVITY_IMPACTED,0)-1),0)=(COLUMN()-COLUMN($M129)+1)),"C","")</f>
        <v>#N/A</v>
      </c>
      <c r="P133" s="26" t="e">
        <f ca="1">IF(AND(MATCH($H129,LIKELIHOOD,0)=(5-ROW()+ROW($A129)),MATCH($I129,OFFSET(SCHED_IMPACT_PDE,0,MATCH($G129,ACTIVITY_IMPACTED,0)-1),0)=(COLUMN()-COLUMN($M129)+1)),"S","") &amp;  IF(AND(MATCH($H129,LIKELIHOOD,0)=(5-ROW()+ROW($A129)),MATCH($J129,OFFSET(COST_IMPACT_PDE,0,MATCH($G129,ACTIVITY_IMPACTED,0)-1),0)=(COLUMN()-COLUMN($M129)+1)),"C","")</f>
        <v>#N/A</v>
      </c>
      <c r="Q133" s="27" t="e">
        <f ca="1">IF(AND(MATCH($H129,LIKELIHOOD,0)=(5-ROW()+ROW($A129)),MATCH($I129,OFFSET(SCHED_IMPACT_PDE,0,MATCH($G129,ACTIVITY_IMPACTED,0)-1),0)=(COLUMN()-COLUMN($M129)+1)),"S","") &amp;  IF(AND(MATCH($H129,LIKELIHOOD,0)=(5-ROW()+ROW($A129)),MATCH($J129,OFFSET(COST_IMPACT_PDE,0,MATCH($G129,ACTIVITY_IMPACTED,0)-1),0)=(COLUMN()-COLUMN($M129)+1)),"C","")</f>
        <v>#N/A</v>
      </c>
      <c r="R133" s="248"/>
      <c r="S133" s="251"/>
      <c r="T133" s="124" t="s">
        <v>77</v>
      </c>
      <c r="U133" s="127"/>
    </row>
    <row r="134" spans="1:21" ht="22.95" customHeight="1" x14ac:dyDescent="0.3">
      <c r="A134" s="237"/>
      <c r="B134" s="239"/>
      <c r="C134" s="241"/>
      <c r="D134" s="239"/>
      <c r="E134" s="243"/>
      <c r="F134" s="245"/>
      <c r="G134" s="243"/>
      <c r="H134" s="243"/>
      <c r="I134" s="243"/>
      <c r="J134" s="243"/>
      <c r="K134" s="33"/>
      <c r="L134" s="34"/>
      <c r="M134" s="5" t="s">
        <v>24</v>
      </c>
      <c r="N134" s="5" t="s">
        <v>6</v>
      </c>
      <c r="O134" s="5" t="s">
        <v>11</v>
      </c>
      <c r="P134" s="5" t="s">
        <v>5</v>
      </c>
      <c r="Q134" s="5" t="s">
        <v>23</v>
      </c>
      <c r="R134" s="248"/>
      <c r="S134" s="251"/>
      <c r="T134" s="124" t="s">
        <v>76</v>
      </c>
      <c r="U134" s="127"/>
    </row>
    <row r="135" spans="1:21" ht="22.95" customHeight="1" x14ac:dyDescent="0.3">
      <c r="A135" s="237"/>
      <c r="B135" s="239"/>
      <c r="C135" s="241"/>
      <c r="D135" s="239"/>
      <c r="E135" s="243"/>
      <c r="F135" s="245"/>
      <c r="G135" s="243"/>
      <c r="H135" s="243"/>
      <c r="I135" s="243"/>
      <c r="J135" s="243"/>
      <c r="K135" s="35"/>
      <c r="L135" s="28"/>
      <c r="M135" s="252" t="s">
        <v>25</v>
      </c>
      <c r="N135" s="252"/>
      <c r="O135" s="252"/>
      <c r="P135" s="252"/>
      <c r="Q135" s="252"/>
      <c r="R135" s="249"/>
      <c r="S135" s="251"/>
      <c r="T135" s="124" t="s">
        <v>75</v>
      </c>
      <c r="U135" s="127"/>
    </row>
    <row r="136" spans="1:21" ht="23.25" customHeight="1" x14ac:dyDescent="0.3">
      <c r="A136" s="29"/>
      <c r="B136" s="30"/>
      <c r="C136" s="30"/>
      <c r="D136" s="30"/>
      <c r="E136" s="31"/>
      <c r="F136" s="31"/>
      <c r="G136" s="30"/>
      <c r="H136" s="30"/>
      <c r="I136" s="30"/>
      <c r="J136" s="30"/>
      <c r="K136" s="30"/>
      <c r="L136" s="30"/>
      <c r="M136" s="30"/>
      <c r="N136" s="30"/>
      <c r="O136" s="30"/>
      <c r="P136" s="30"/>
      <c r="Q136" s="30"/>
      <c r="R136" s="30"/>
      <c r="S136" s="36"/>
      <c r="T136" s="36"/>
      <c r="U136" s="36"/>
    </row>
    <row r="137" spans="1:21" ht="23.25" customHeight="1" x14ac:dyDescent="0.3"/>
    <row r="138" spans="1:21" ht="23.25" customHeight="1" x14ac:dyDescent="0.3">
      <c r="A138" s="228" t="s">
        <v>0</v>
      </c>
      <c r="B138" s="228"/>
      <c r="C138" s="228"/>
      <c r="D138" s="228"/>
      <c r="E138" s="228"/>
      <c r="F138" s="228"/>
      <c r="G138" s="229"/>
      <c r="H138" s="230" t="s">
        <v>1</v>
      </c>
      <c r="I138" s="230"/>
      <c r="J138" s="230"/>
      <c r="K138" s="230"/>
      <c r="L138" s="230"/>
      <c r="M138" s="230"/>
      <c r="N138" s="230"/>
      <c r="O138" s="230"/>
      <c r="P138" s="230"/>
      <c r="Q138" s="230"/>
      <c r="R138" s="231" t="s">
        <v>28</v>
      </c>
      <c r="S138" s="232"/>
      <c r="T138" s="232"/>
      <c r="U138" s="233"/>
    </row>
    <row r="139" spans="1:21" ht="91.95" customHeight="1" thickBot="1" x14ac:dyDescent="0.35">
      <c r="A139" s="32" t="s">
        <v>12</v>
      </c>
      <c r="B139" s="32" t="s">
        <v>2</v>
      </c>
      <c r="C139" s="32" t="s">
        <v>19</v>
      </c>
      <c r="D139" s="32" t="s">
        <v>8</v>
      </c>
      <c r="E139" s="12" t="s">
        <v>9</v>
      </c>
      <c r="F139" s="12" t="s">
        <v>7</v>
      </c>
      <c r="G139" s="13" t="s">
        <v>37</v>
      </c>
      <c r="H139" s="14" t="s">
        <v>22</v>
      </c>
      <c r="I139" s="14" t="s">
        <v>20</v>
      </c>
      <c r="J139" s="14" t="s">
        <v>10</v>
      </c>
      <c r="K139" s="234" t="s">
        <v>26</v>
      </c>
      <c r="L139" s="234"/>
      <c r="M139" s="235"/>
      <c r="N139" s="235"/>
      <c r="O139" s="235"/>
      <c r="P139" s="235"/>
      <c r="Q139" s="235"/>
      <c r="R139" s="37" t="s">
        <v>29</v>
      </c>
      <c r="S139" s="11" t="s">
        <v>30</v>
      </c>
      <c r="T139" s="226" t="s">
        <v>31</v>
      </c>
      <c r="U139" s="227"/>
    </row>
    <row r="140" spans="1:21" ht="22.95" customHeight="1" x14ac:dyDescent="0.3">
      <c r="A140" s="236">
        <v>13</v>
      </c>
      <c r="B140" s="238"/>
      <c r="C140" s="240"/>
      <c r="D140" s="238"/>
      <c r="E140" s="242"/>
      <c r="F140" s="244"/>
      <c r="G140" s="242"/>
      <c r="H140" s="242"/>
      <c r="I140" s="242"/>
      <c r="J140" s="242"/>
      <c r="K140" s="246" t="s">
        <v>22</v>
      </c>
      <c r="L140" s="4" t="s">
        <v>23</v>
      </c>
      <c r="M140" s="15" t="e">
        <f ca="1">IF(AND(MATCH($H140,LIKELIHOOD,0)=(5-ROW()+ROW($A140)),MATCH($I140,OFFSET(SCHED_IMPACT_PDE,0,MATCH($G140,ACTIVITY_IMPACTED,0)-1),0)=(COLUMN()-COLUMN($M140)+1)),"S","") &amp;  IF(AND(MATCH($H140,LIKELIHOOD,0)=(5-ROW()+ROW($A140)),MATCH($J140,OFFSET(COST_IMPACT_PDE,0,MATCH($G140,ACTIVITY_IMPACTED,0)-1),0)=(COLUMN()-COLUMN($M140)+1)),"C","")</f>
        <v>#N/A</v>
      </c>
      <c r="N140" s="16" t="e">
        <f ca="1">IF(AND(MATCH($H140,LIKELIHOOD,0)=(5-ROW()+ROW($A140)),MATCH($I140,OFFSET(SCHED_IMPACT_PDE,0,MATCH($G140,ACTIVITY_IMPACTED,0)-1),0)=(COLUMN()-COLUMN($M140)+1)),"S","") &amp;  IF(AND(MATCH($H140,LIKELIHOOD,0)=(5-ROW()+ROW($A140)),MATCH($J140,OFFSET(COST_IMPACT_PDE,0,MATCH($G140,ACTIVITY_IMPACTED,0)-1),0)=(COLUMN()-COLUMN($M140)+1)),"C","")</f>
        <v>#N/A</v>
      </c>
      <c r="O140" s="17" t="e">
        <f ca="1">IF(AND(MATCH($H140,LIKELIHOOD,0)=(5-ROW()+ROW($A140)),MATCH($I140,OFFSET(SCHED_IMPACT_PDE,0,MATCH($G140,ACTIVITY_IMPACTED,0)-1),0)=(COLUMN()-COLUMN($M140)+1)),"S","") &amp;  IF(AND(MATCH($H140,LIKELIHOOD,0)=(5-ROW()+ROW($A140)),MATCH($J140,OFFSET(COST_IMPACT_PDE,0,MATCH($G140,ACTIVITY_IMPACTED,0)-1),0)=(COLUMN()-COLUMN($M140)+1)),"C","")</f>
        <v>#N/A</v>
      </c>
      <c r="P140" s="17" t="e">
        <f ca="1">IF(AND(MATCH($H140,LIKELIHOOD,0)=(5-ROW()+ROW($A140)),MATCH($I140,OFFSET(SCHED_IMPACT_PDE,0,MATCH($G140,ACTIVITY_IMPACTED,0)-1),0)=(COLUMN()-COLUMN($M140)+1)),"S","") &amp;  IF(AND(MATCH($H140,LIKELIHOOD,0)=(5-ROW()+ROW($A140)),MATCH($J140,OFFSET(COST_IMPACT_PDE,0,MATCH($G140,ACTIVITY_IMPACTED,0)-1),0)=(COLUMN()-COLUMN($M140)+1)),"C","")</f>
        <v>#N/A</v>
      </c>
      <c r="Q140" s="18" t="e">
        <f ca="1">IF(AND(MATCH($H140,LIKELIHOOD,0)=(5-ROW()+ROW($A140)),MATCH($I140,OFFSET(SCHED_IMPACT_PDE,0,MATCH($G140,ACTIVITY_IMPACTED,0)-1),0)=(COLUMN()-COLUMN($M140)+1)),"S","") &amp;  IF(AND(MATCH($H140,LIKELIHOOD,0)=(5-ROW()+ROW($A140)),MATCH($J140,OFFSET(COST_IMPACT_PDE,0,MATCH($G140,ACTIVITY_IMPACTED,0)-1),0)=(COLUMN()-COLUMN($M140)+1)),"C","")</f>
        <v>#N/A</v>
      </c>
      <c r="R140" s="247"/>
      <c r="S140" s="250"/>
      <c r="T140" s="221"/>
      <c r="U140" s="125"/>
    </row>
    <row r="141" spans="1:21" ht="22.95" customHeight="1" x14ac:dyDescent="0.3">
      <c r="A141" s="237"/>
      <c r="B141" s="239"/>
      <c r="C141" s="241"/>
      <c r="D141" s="239"/>
      <c r="E141" s="243"/>
      <c r="F141" s="245"/>
      <c r="G141" s="243"/>
      <c r="H141" s="243"/>
      <c r="I141" s="243"/>
      <c r="J141" s="243"/>
      <c r="K141" s="246"/>
      <c r="L141" s="4" t="s">
        <v>5</v>
      </c>
      <c r="M141" s="19" t="e">
        <f ca="1">IF(AND(MATCH($H140,LIKELIHOOD,0)=(5-ROW()+ROW($A140)),MATCH($I140,OFFSET(SCHED_IMPACT_PDE,0,MATCH($G140,ACTIVITY_IMPACTED,0)-1),0)=(COLUMN()-COLUMN($M140)+1)),"S","") &amp;  IF(AND(MATCH($H140,LIKELIHOOD,0)=(5-ROW()+ROW($A140)),MATCH($J140,OFFSET(COST_IMPACT_PDE,0,MATCH($G140,ACTIVITY_IMPACTED,0)-1),0)=(COLUMN()-COLUMN($M140)+1)),"C","")</f>
        <v>#N/A</v>
      </c>
      <c r="N141" s="20" t="e">
        <f ca="1">IF(AND(MATCH($H140,LIKELIHOOD,0)=(5-ROW()+ROW($A140)),MATCH($I140,OFFSET(SCHED_IMPACT_PDE,0,MATCH($G140,ACTIVITY_IMPACTED,0)-1),0)=(COLUMN()-COLUMN($M140)+1)),"S","") &amp;  IF(AND(MATCH($H140,LIKELIHOOD,0)=(5-ROW()+ROW($A140)),MATCH($J140,OFFSET(COST_IMPACT_PDE,0,MATCH($G140,ACTIVITY_IMPACTED,0)-1),0)=(COLUMN()-COLUMN($M140)+1)),"C","")</f>
        <v>#N/A</v>
      </c>
      <c r="O141" s="21" t="e">
        <f ca="1">IF(AND(MATCH($H140,LIKELIHOOD,0)=(5-ROW()+ROW($A140)),MATCH($I140,OFFSET(SCHED_IMPACT_PDE,0,MATCH($G140,ACTIVITY_IMPACTED,0)-1),0)=(COLUMN()-COLUMN($M140)+1)),"S","") &amp;  IF(AND(MATCH($H140,LIKELIHOOD,0)=(5-ROW()+ROW($A140)),MATCH($J140,OFFSET(COST_IMPACT_PDE,0,MATCH($G140,ACTIVITY_IMPACTED,0)-1),0)=(COLUMN()-COLUMN($M140)+1)),"C","")</f>
        <v>#N/A</v>
      </c>
      <c r="P141" s="21" t="e">
        <f ca="1">IF(AND(MATCH($H140,LIKELIHOOD,0)=(5-ROW()+ROW($A140)),MATCH($I140,OFFSET(SCHED_IMPACT_PDE,0,MATCH($G140,ACTIVITY_IMPACTED,0)-1),0)=(COLUMN()-COLUMN($M140)+1)),"S","") &amp;  IF(AND(MATCH($H140,LIKELIHOOD,0)=(5-ROW()+ROW($A140)),MATCH($J140,OFFSET(COST_IMPACT_PDE,0,MATCH($G140,ACTIVITY_IMPACTED,0)-1),0)=(COLUMN()-COLUMN($M140)+1)),"C","")</f>
        <v>#N/A</v>
      </c>
      <c r="Q141" s="22" t="e">
        <f ca="1">IF(AND(MATCH($H140,LIKELIHOOD,0)=(5-ROW()+ROW($A140)),MATCH($I140,OFFSET(SCHED_IMPACT_PDE,0,MATCH($G140,ACTIVITY_IMPACTED,0)-1),0)=(COLUMN()-COLUMN($M140)+1)),"S","") &amp;  IF(AND(MATCH($H140,LIKELIHOOD,0)=(5-ROW()+ROW($A140)),MATCH($J140,OFFSET(COST_IMPACT_PDE,0,MATCH($G140,ACTIVITY_IMPACTED,0)-1),0)=(COLUMN()-COLUMN($M140)+1)),"C","")</f>
        <v>#N/A</v>
      </c>
      <c r="R141" s="248"/>
      <c r="S141" s="251"/>
      <c r="T141" s="222"/>
      <c r="U141" s="126"/>
    </row>
    <row r="142" spans="1:21" ht="22.95" customHeight="1" x14ac:dyDescent="0.3">
      <c r="A142" s="237"/>
      <c r="B142" s="239"/>
      <c r="C142" s="241"/>
      <c r="D142" s="239"/>
      <c r="E142" s="243"/>
      <c r="F142" s="245"/>
      <c r="G142" s="243"/>
      <c r="H142" s="243"/>
      <c r="I142" s="243"/>
      <c r="J142" s="243"/>
      <c r="K142" s="246"/>
      <c r="L142" s="4" t="s">
        <v>11</v>
      </c>
      <c r="M142" s="19" t="e">
        <f ca="1">IF(AND(MATCH($H140,LIKELIHOOD,0)=(5-ROW()+ROW($A140)),MATCH($I140,OFFSET(SCHED_IMPACT_PDE,0,MATCH($G140,ACTIVITY_IMPACTED,0)-1),0)=(COLUMN()-COLUMN($M140)+1)),"S","") &amp;  IF(AND(MATCH($H140,LIKELIHOOD,0)=(5-ROW()+ROW($A140)),MATCH($J140,OFFSET(COST_IMPACT_PDE,0,MATCH($G140,ACTIVITY_IMPACTED,0)-1),0)=(COLUMN()-COLUMN($M140)+1)),"C","")</f>
        <v>#N/A</v>
      </c>
      <c r="N142" s="23" t="e">
        <f ca="1">IF(AND(MATCH($H140,LIKELIHOOD,0)=(5-ROW()+ROW($A140)),MATCH($I140,OFFSET(SCHED_IMPACT_PDE,0,MATCH($G140,ACTIVITY_IMPACTED,0)-1),0)=(COLUMN()-COLUMN($M140)+1)),"S","") &amp;  IF(AND(MATCH($H140,LIKELIHOOD,0)=(5-ROW()+ROW($A140)),MATCH($J140,OFFSET(COST_IMPACT_PDE,0,MATCH($G140,ACTIVITY_IMPACTED,0)-1),0)=(COLUMN()-COLUMN($M140)+1)),"C","")</f>
        <v>#N/A</v>
      </c>
      <c r="O142" s="20" t="e">
        <f ca="1">IF(AND(MATCH($H140,LIKELIHOOD,0)=(5-ROW()+ROW($A140)),MATCH($I140,OFFSET(SCHED_IMPACT_PDE,0,MATCH($G140,ACTIVITY_IMPACTED,0)-1),0)=(COLUMN()-COLUMN($M140)+1)),"S","") &amp;  IF(AND(MATCH($H140,LIKELIHOOD,0)=(5-ROW()+ROW($A140)),MATCH($J140,OFFSET(COST_IMPACT_PDE,0,MATCH($G140,ACTIVITY_IMPACTED,0)-1),0)=(COLUMN()-COLUMN($M140)+1)),"C","")</f>
        <v>#N/A</v>
      </c>
      <c r="P142" s="21" t="e">
        <f ca="1">IF(AND(MATCH($H140,LIKELIHOOD,0)=(5-ROW()+ROW($A140)),MATCH($I140,OFFSET(SCHED_IMPACT_PDE,0,MATCH($G140,ACTIVITY_IMPACTED,0)-1),0)=(COLUMN()-COLUMN($M140)+1)),"S","") &amp;  IF(AND(MATCH($H140,LIKELIHOOD,0)=(5-ROW()+ROW($A140)),MATCH($J140,OFFSET(COST_IMPACT_PDE,0,MATCH($G140,ACTIVITY_IMPACTED,0)-1),0)=(COLUMN()-COLUMN($M140)+1)),"C","")</f>
        <v>#N/A</v>
      </c>
      <c r="Q142" s="22" t="e">
        <f ca="1">IF(AND(MATCH($H140,LIKELIHOOD,0)=(5-ROW()+ROW($A140)),MATCH($I140,OFFSET(SCHED_IMPACT_PDE,0,MATCH($G140,ACTIVITY_IMPACTED,0)-1),0)=(COLUMN()-COLUMN($M140)+1)),"S","") &amp;  IF(AND(MATCH($H140,LIKELIHOOD,0)=(5-ROW()+ROW($A140)),MATCH($J140,OFFSET(COST_IMPACT_PDE,0,MATCH($G140,ACTIVITY_IMPACTED,0)-1),0)=(COLUMN()-COLUMN($M140)+1)),"C","")</f>
        <v>#N/A</v>
      </c>
      <c r="R142" s="248"/>
      <c r="S142" s="251"/>
      <c r="T142" s="222"/>
      <c r="U142" s="126"/>
    </row>
    <row r="143" spans="1:21" ht="22.95" customHeight="1" x14ac:dyDescent="0.3">
      <c r="A143" s="237"/>
      <c r="B143" s="239"/>
      <c r="C143" s="241"/>
      <c r="D143" s="239"/>
      <c r="E143" s="243"/>
      <c r="F143" s="245"/>
      <c r="G143" s="243"/>
      <c r="H143" s="243"/>
      <c r="I143" s="243"/>
      <c r="J143" s="243"/>
      <c r="K143" s="246"/>
      <c r="L143" s="4" t="s">
        <v>6</v>
      </c>
      <c r="M143" s="19" t="e">
        <f ca="1">IF(AND(MATCH($H140,LIKELIHOOD,0)=(5-ROW()+ROW($A140)),MATCH($I140,OFFSET(SCHED_IMPACT_PDE,0,MATCH($G140,ACTIVITY_IMPACTED,0)-1),0)=(COLUMN()-COLUMN($M140)+1)),"S","") &amp;  IF(AND(MATCH($H140,LIKELIHOOD,0)=(5-ROW()+ROW($A140)),MATCH($J140,OFFSET(COST_IMPACT_PDE,0,MATCH($G140,ACTIVITY_IMPACTED,0)-1),0)=(COLUMN()-COLUMN($M140)+1)),"C","")</f>
        <v>#N/A</v>
      </c>
      <c r="N143" s="23" t="e">
        <f ca="1">IF(AND(MATCH($H140,LIKELIHOOD,0)=(5-ROW()+ROW($A140)),MATCH($I140,OFFSET(SCHED_IMPACT_PDE,0,MATCH($G140,ACTIVITY_IMPACTED,0)-1),0)=(COLUMN()-COLUMN($M140)+1)),"S","") &amp;  IF(AND(MATCH($H140,LIKELIHOOD,0)=(5-ROW()+ROW($A140)),MATCH($J140,OFFSET(COST_IMPACT_PDE,0,MATCH($G140,ACTIVITY_IMPACTED,0)-1),0)=(COLUMN()-COLUMN($M140)+1)),"C","")</f>
        <v>#N/A</v>
      </c>
      <c r="O143" s="20" t="e">
        <f ca="1">IF(AND(MATCH($H140,LIKELIHOOD,0)=(5-ROW()+ROW($A140)),MATCH($I140,OFFSET(SCHED_IMPACT_PDE,0,MATCH($G140,ACTIVITY_IMPACTED,0)-1),0)=(COLUMN()-COLUMN($M140)+1)),"S","") &amp;  IF(AND(MATCH($H140,LIKELIHOOD,0)=(5-ROW()+ROW($A140)),MATCH($J140,OFFSET(COST_IMPACT_PDE,0,MATCH($G140,ACTIVITY_IMPACTED,0)-1),0)=(COLUMN()-COLUMN($M140)+1)),"C","")</f>
        <v>#N/A</v>
      </c>
      <c r="P143" s="21" t="e">
        <f ca="1">IF(AND(MATCH($H140,LIKELIHOOD,0)=(5-ROW()+ROW($A140)),MATCH($I140,OFFSET(SCHED_IMPACT_PDE,0,MATCH($G140,ACTIVITY_IMPACTED,0)-1),0)=(COLUMN()-COLUMN($M140)+1)),"S","") &amp;  IF(AND(MATCH($H140,LIKELIHOOD,0)=(5-ROW()+ROW($A140)),MATCH($J140,OFFSET(COST_IMPACT_PDE,0,MATCH($G140,ACTIVITY_IMPACTED,0)-1),0)=(COLUMN()-COLUMN($M140)+1)),"C","")</f>
        <v>#N/A</v>
      </c>
      <c r="Q143" s="22" t="e">
        <f ca="1">IF(AND(MATCH($H140,LIKELIHOOD,0)=(5-ROW()+ROW($A140)),MATCH($I140,OFFSET(SCHED_IMPACT_PDE,0,MATCH($G140,ACTIVITY_IMPACTED,0)-1),0)=(COLUMN()-COLUMN($M140)+1)),"S","") &amp;  IF(AND(MATCH($H140,LIKELIHOOD,0)=(5-ROW()+ROW($A140)),MATCH($J140,OFFSET(COST_IMPACT_PDE,0,MATCH($G140,ACTIVITY_IMPACTED,0)-1),0)=(COLUMN()-COLUMN($M140)+1)),"C","")</f>
        <v>#N/A</v>
      </c>
      <c r="R143" s="248"/>
      <c r="S143" s="251"/>
      <c r="T143" s="223"/>
      <c r="U143" s="126"/>
    </row>
    <row r="144" spans="1:21" ht="22.95" customHeight="1" thickBot="1" x14ac:dyDescent="0.35">
      <c r="A144" s="237"/>
      <c r="B144" s="239"/>
      <c r="C144" s="241"/>
      <c r="D144" s="239"/>
      <c r="E144" s="243"/>
      <c r="F144" s="245"/>
      <c r="G144" s="243"/>
      <c r="H144" s="243"/>
      <c r="I144" s="243"/>
      <c r="J144" s="243"/>
      <c r="K144" s="246"/>
      <c r="L144" s="4" t="s">
        <v>24</v>
      </c>
      <c r="M144" s="24" t="e">
        <f ca="1">IF(AND(MATCH($H140,LIKELIHOOD,0)=(5-ROW()+ROW($A140)),MATCH($I140,OFFSET(SCHED_IMPACT_PDE,0,MATCH($G140,ACTIVITY_IMPACTED,0)-1),0)=(COLUMN()-COLUMN($M140)+1)),"S","") &amp;  IF(AND(MATCH($H140,LIKELIHOOD,0)=(5-ROW()+ROW($A140)),MATCH($J140,OFFSET(COST_IMPACT_PDE,0,MATCH($G140,ACTIVITY_IMPACTED,0)-1),0)=(COLUMN()-COLUMN($M140)+1)),"C","")</f>
        <v>#N/A</v>
      </c>
      <c r="N144" s="25" t="e">
        <f ca="1">IF(AND(MATCH($H140,LIKELIHOOD,0)=(5-ROW()+ROW($A140)),MATCH($I140,OFFSET(SCHED_IMPACT_PDE,0,MATCH($G140,ACTIVITY_IMPACTED,0)-1),0)=(COLUMN()-COLUMN($M140)+1)),"S","") &amp;  IF(AND(MATCH($H140,LIKELIHOOD,0)=(5-ROW()+ROW($A140)),MATCH($J140,OFFSET(COST_IMPACT_PDE,0,MATCH($G140,ACTIVITY_IMPACTED,0)-1),0)=(COLUMN()-COLUMN($M140)+1)),"C","")</f>
        <v>#N/A</v>
      </c>
      <c r="O144" s="25" t="e">
        <f ca="1">IF(AND(MATCH($H140,LIKELIHOOD,0)=(5-ROW()+ROW($A140)),MATCH($I140,OFFSET(SCHED_IMPACT_PDE,0,MATCH($G140,ACTIVITY_IMPACTED,0)-1),0)=(COLUMN()-COLUMN($M140)+1)),"S","") &amp;  IF(AND(MATCH($H140,LIKELIHOOD,0)=(5-ROW()+ROW($A140)),MATCH($J140,OFFSET(COST_IMPACT_PDE,0,MATCH($G140,ACTIVITY_IMPACTED,0)-1),0)=(COLUMN()-COLUMN($M140)+1)),"C","")</f>
        <v>#N/A</v>
      </c>
      <c r="P144" s="26" t="e">
        <f ca="1">IF(AND(MATCH($H140,LIKELIHOOD,0)=(5-ROW()+ROW($A140)),MATCH($I140,OFFSET(SCHED_IMPACT_PDE,0,MATCH($G140,ACTIVITY_IMPACTED,0)-1),0)=(COLUMN()-COLUMN($M140)+1)),"S","") &amp;  IF(AND(MATCH($H140,LIKELIHOOD,0)=(5-ROW()+ROW($A140)),MATCH($J140,OFFSET(COST_IMPACT_PDE,0,MATCH($G140,ACTIVITY_IMPACTED,0)-1),0)=(COLUMN()-COLUMN($M140)+1)),"C","")</f>
        <v>#N/A</v>
      </c>
      <c r="Q144" s="27" t="e">
        <f ca="1">IF(AND(MATCH($H140,LIKELIHOOD,0)=(5-ROW()+ROW($A140)),MATCH($I140,OFFSET(SCHED_IMPACT_PDE,0,MATCH($G140,ACTIVITY_IMPACTED,0)-1),0)=(COLUMN()-COLUMN($M140)+1)),"S","") &amp;  IF(AND(MATCH($H140,LIKELIHOOD,0)=(5-ROW()+ROW($A140)),MATCH($J140,OFFSET(COST_IMPACT_PDE,0,MATCH($G140,ACTIVITY_IMPACTED,0)-1),0)=(COLUMN()-COLUMN($M140)+1)),"C","")</f>
        <v>#N/A</v>
      </c>
      <c r="R144" s="248"/>
      <c r="S144" s="251"/>
      <c r="T144" s="124" t="s">
        <v>77</v>
      </c>
      <c r="U144" s="127"/>
    </row>
    <row r="145" spans="1:21" ht="22.95" customHeight="1" x14ac:dyDescent="0.3">
      <c r="A145" s="237"/>
      <c r="B145" s="239"/>
      <c r="C145" s="241"/>
      <c r="D145" s="239"/>
      <c r="E145" s="243"/>
      <c r="F145" s="245"/>
      <c r="G145" s="243"/>
      <c r="H145" s="243"/>
      <c r="I145" s="243"/>
      <c r="J145" s="243"/>
      <c r="K145" s="33"/>
      <c r="L145" s="34"/>
      <c r="M145" s="5" t="s">
        <v>24</v>
      </c>
      <c r="N145" s="5" t="s">
        <v>6</v>
      </c>
      <c r="O145" s="5" t="s">
        <v>11</v>
      </c>
      <c r="P145" s="5" t="s">
        <v>5</v>
      </c>
      <c r="Q145" s="5" t="s">
        <v>23</v>
      </c>
      <c r="R145" s="248"/>
      <c r="S145" s="251"/>
      <c r="T145" s="124" t="s">
        <v>76</v>
      </c>
      <c r="U145" s="127"/>
    </row>
    <row r="146" spans="1:21" ht="22.95" customHeight="1" x14ac:dyDescent="0.3">
      <c r="A146" s="237"/>
      <c r="B146" s="239"/>
      <c r="C146" s="241"/>
      <c r="D146" s="239"/>
      <c r="E146" s="243"/>
      <c r="F146" s="245"/>
      <c r="G146" s="243"/>
      <c r="H146" s="243"/>
      <c r="I146" s="243"/>
      <c r="J146" s="243"/>
      <c r="K146" s="35"/>
      <c r="L146" s="28"/>
      <c r="M146" s="252" t="s">
        <v>25</v>
      </c>
      <c r="N146" s="252"/>
      <c r="O146" s="252"/>
      <c r="P146" s="252"/>
      <c r="Q146" s="252"/>
      <c r="R146" s="249"/>
      <c r="S146" s="251"/>
      <c r="T146" s="124" t="s">
        <v>75</v>
      </c>
      <c r="U146" s="127"/>
    </row>
    <row r="147" spans="1:21" ht="23.25" customHeight="1" x14ac:dyDescent="0.3">
      <c r="A147" s="29"/>
      <c r="B147" s="30"/>
      <c r="C147" s="30"/>
      <c r="D147" s="30"/>
      <c r="E147" s="31"/>
      <c r="F147" s="31"/>
      <c r="G147" s="30"/>
      <c r="H147" s="30"/>
      <c r="I147" s="30"/>
      <c r="J147" s="30"/>
      <c r="K147" s="30"/>
      <c r="L147" s="30"/>
      <c r="M147" s="30"/>
      <c r="N147" s="30"/>
      <c r="O147" s="30"/>
      <c r="P147" s="30"/>
      <c r="Q147" s="30"/>
      <c r="R147" s="30"/>
      <c r="S147" s="36"/>
      <c r="T147" s="36"/>
      <c r="U147" s="36"/>
    </row>
    <row r="148" spans="1:21" ht="23.25" customHeight="1" x14ac:dyDescent="0.3"/>
    <row r="149" spans="1:21" ht="23.25" customHeight="1" x14ac:dyDescent="0.3">
      <c r="A149" s="228" t="s">
        <v>0</v>
      </c>
      <c r="B149" s="228"/>
      <c r="C149" s="228"/>
      <c r="D149" s="228"/>
      <c r="E149" s="228"/>
      <c r="F149" s="228"/>
      <c r="G149" s="229"/>
      <c r="H149" s="230" t="s">
        <v>1</v>
      </c>
      <c r="I149" s="230"/>
      <c r="J149" s="230"/>
      <c r="K149" s="230"/>
      <c r="L149" s="230"/>
      <c r="M149" s="230"/>
      <c r="N149" s="230"/>
      <c r="O149" s="230"/>
      <c r="P149" s="230"/>
      <c r="Q149" s="230"/>
      <c r="R149" s="231" t="s">
        <v>28</v>
      </c>
      <c r="S149" s="232"/>
      <c r="T149" s="232"/>
      <c r="U149" s="233"/>
    </row>
    <row r="150" spans="1:21" ht="91.95" customHeight="1" thickBot="1" x14ac:dyDescent="0.35">
      <c r="A150" s="32" t="s">
        <v>12</v>
      </c>
      <c r="B150" s="32" t="s">
        <v>2</v>
      </c>
      <c r="C150" s="32" t="s">
        <v>19</v>
      </c>
      <c r="D150" s="32" t="s">
        <v>8</v>
      </c>
      <c r="E150" s="12" t="s">
        <v>9</v>
      </c>
      <c r="F150" s="12" t="s">
        <v>7</v>
      </c>
      <c r="G150" s="13" t="s">
        <v>37</v>
      </c>
      <c r="H150" s="14" t="s">
        <v>22</v>
      </c>
      <c r="I150" s="14" t="s">
        <v>20</v>
      </c>
      <c r="J150" s="14" t="s">
        <v>10</v>
      </c>
      <c r="K150" s="234" t="s">
        <v>26</v>
      </c>
      <c r="L150" s="234"/>
      <c r="M150" s="235"/>
      <c r="N150" s="235"/>
      <c r="O150" s="235"/>
      <c r="P150" s="235"/>
      <c r="Q150" s="235"/>
      <c r="R150" s="37" t="s">
        <v>29</v>
      </c>
      <c r="S150" s="11" t="s">
        <v>30</v>
      </c>
      <c r="T150" s="226" t="s">
        <v>31</v>
      </c>
      <c r="U150" s="227"/>
    </row>
    <row r="151" spans="1:21" ht="22.95" customHeight="1" x14ac:dyDescent="0.3">
      <c r="A151" s="236">
        <v>14</v>
      </c>
      <c r="B151" s="238"/>
      <c r="C151" s="240"/>
      <c r="D151" s="238"/>
      <c r="E151" s="242"/>
      <c r="F151" s="244"/>
      <c r="G151" s="242"/>
      <c r="H151" s="242"/>
      <c r="I151" s="242"/>
      <c r="J151" s="242"/>
      <c r="K151" s="246" t="s">
        <v>22</v>
      </c>
      <c r="L151" s="4" t="s">
        <v>23</v>
      </c>
      <c r="M151" s="15" t="e">
        <f ca="1">IF(AND(MATCH($H151,LIKELIHOOD,0)=(5-ROW()+ROW($A151)),MATCH($I151,OFFSET(SCHED_IMPACT_PDE,0,MATCH($G151,ACTIVITY_IMPACTED,0)-1),0)=(COLUMN()-COLUMN($M151)+1)),"S","") &amp;  IF(AND(MATCH($H151,LIKELIHOOD,0)=(5-ROW()+ROW($A151)),MATCH($J151,OFFSET(COST_IMPACT_PDE,0,MATCH($G151,ACTIVITY_IMPACTED,0)-1),0)=(COLUMN()-COLUMN($M151)+1)),"C","")</f>
        <v>#N/A</v>
      </c>
      <c r="N151" s="16" t="e">
        <f ca="1">IF(AND(MATCH($H151,LIKELIHOOD,0)=(5-ROW()+ROW($A151)),MATCH($I151,OFFSET(SCHED_IMPACT_PDE,0,MATCH($G151,ACTIVITY_IMPACTED,0)-1),0)=(COLUMN()-COLUMN($M151)+1)),"S","") &amp;  IF(AND(MATCH($H151,LIKELIHOOD,0)=(5-ROW()+ROW($A151)),MATCH($J151,OFFSET(COST_IMPACT_PDE,0,MATCH($G151,ACTIVITY_IMPACTED,0)-1),0)=(COLUMN()-COLUMN($M151)+1)),"C","")</f>
        <v>#N/A</v>
      </c>
      <c r="O151" s="17" t="e">
        <f ca="1">IF(AND(MATCH($H151,LIKELIHOOD,0)=(5-ROW()+ROW($A151)),MATCH($I151,OFFSET(SCHED_IMPACT_PDE,0,MATCH($G151,ACTIVITY_IMPACTED,0)-1),0)=(COLUMN()-COLUMN($M151)+1)),"S","") &amp;  IF(AND(MATCH($H151,LIKELIHOOD,0)=(5-ROW()+ROW($A151)),MATCH($J151,OFFSET(COST_IMPACT_PDE,0,MATCH($G151,ACTIVITY_IMPACTED,0)-1),0)=(COLUMN()-COLUMN($M151)+1)),"C","")</f>
        <v>#N/A</v>
      </c>
      <c r="P151" s="17" t="e">
        <f ca="1">IF(AND(MATCH($H151,LIKELIHOOD,0)=(5-ROW()+ROW($A151)),MATCH($I151,OFFSET(SCHED_IMPACT_PDE,0,MATCH($G151,ACTIVITY_IMPACTED,0)-1),0)=(COLUMN()-COLUMN($M151)+1)),"S","") &amp;  IF(AND(MATCH($H151,LIKELIHOOD,0)=(5-ROW()+ROW($A151)),MATCH($J151,OFFSET(COST_IMPACT_PDE,0,MATCH($G151,ACTIVITY_IMPACTED,0)-1),0)=(COLUMN()-COLUMN($M151)+1)),"C","")</f>
        <v>#N/A</v>
      </c>
      <c r="Q151" s="18" t="e">
        <f ca="1">IF(AND(MATCH($H151,LIKELIHOOD,0)=(5-ROW()+ROW($A151)),MATCH($I151,OFFSET(SCHED_IMPACT_PDE,0,MATCH($G151,ACTIVITY_IMPACTED,0)-1),0)=(COLUMN()-COLUMN($M151)+1)),"S","") &amp;  IF(AND(MATCH($H151,LIKELIHOOD,0)=(5-ROW()+ROW($A151)),MATCH($J151,OFFSET(COST_IMPACT_PDE,0,MATCH($G151,ACTIVITY_IMPACTED,0)-1),0)=(COLUMN()-COLUMN($M151)+1)),"C","")</f>
        <v>#N/A</v>
      </c>
      <c r="R151" s="247"/>
      <c r="S151" s="250"/>
      <c r="T151" s="221"/>
      <c r="U151" s="224"/>
    </row>
    <row r="152" spans="1:21" ht="22.95" customHeight="1" x14ac:dyDescent="0.3">
      <c r="A152" s="237"/>
      <c r="B152" s="239"/>
      <c r="C152" s="241"/>
      <c r="D152" s="239"/>
      <c r="E152" s="243"/>
      <c r="F152" s="245"/>
      <c r="G152" s="243"/>
      <c r="H152" s="243"/>
      <c r="I152" s="243"/>
      <c r="J152" s="243"/>
      <c r="K152" s="246"/>
      <c r="L152" s="4" t="s">
        <v>5</v>
      </c>
      <c r="M152" s="19" t="e">
        <f ca="1">IF(AND(MATCH($H151,LIKELIHOOD,0)=(5-ROW()+ROW($A151)),MATCH($I151,OFFSET(SCHED_IMPACT_PDE,0,MATCH($G151,ACTIVITY_IMPACTED,0)-1),0)=(COLUMN()-COLUMN($M151)+1)),"S","") &amp;  IF(AND(MATCH($H151,LIKELIHOOD,0)=(5-ROW()+ROW($A151)),MATCH($J151,OFFSET(COST_IMPACT_PDE,0,MATCH($G151,ACTIVITY_IMPACTED,0)-1),0)=(COLUMN()-COLUMN($M151)+1)),"C","")</f>
        <v>#N/A</v>
      </c>
      <c r="N152" s="20" t="e">
        <f ca="1">IF(AND(MATCH($H151,LIKELIHOOD,0)=(5-ROW()+ROW($A151)),MATCH($I151,OFFSET(SCHED_IMPACT_PDE,0,MATCH($G151,ACTIVITY_IMPACTED,0)-1),0)=(COLUMN()-COLUMN($M151)+1)),"S","") &amp;  IF(AND(MATCH($H151,LIKELIHOOD,0)=(5-ROW()+ROW($A151)),MATCH($J151,OFFSET(COST_IMPACT_PDE,0,MATCH($G151,ACTIVITY_IMPACTED,0)-1),0)=(COLUMN()-COLUMN($M151)+1)),"C","")</f>
        <v>#N/A</v>
      </c>
      <c r="O152" s="21" t="e">
        <f ca="1">IF(AND(MATCH($H151,LIKELIHOOD,0)=(5-ROW()+ROW($A151)),MATCH($I151,OFFSET(SCHED_IMPACT_PDE,0,MATCH($G151,ACTIVITY_IMPACTED,0)-1),0)=(COLUMN()-COLUMN($M151)+1)),"S","") &amp;  IF(AND(MATCH($H151,LIKELIHOOD,0)=(5-ROW()+ROW($A151)),MATCH($J151,OFFSET(COST_IMPACT_PDE,0,MATCH($G151,ACTIVITY_IMPACTED,0)-1),0)=(COLUMN()-COLUMN($M151)+1)),"C","")</f>
        <v>#N/A</v>
      </c>
      <c r="P152" s="21" t="e">
        <f ca="1">IF(AND(MATCH($H151,LIKELIHOOD,0)=(5-ROW()+ROW($A151)),MATCH($I151,OFFSET(SCHED_IMPACT_PDE,0,MATCH($G151,ACTIVITY_IMPACTED,0)-1),0)=(COLUMN()-COLUMN($M151)+1)),"S","") &amp;  IF(AND(MATCH($H151,LIKELIHOOD,0)=(5-ROW()+ROW($A151)),MATCH($J151,OFFSET(COST_IMPACT_PDE,0,MATCH($G151,ACTIVITY_IMPACTED,0)-1),0)=(COLUMN()-COLUMN($M151)+1)),"C","")</f>
        <v>#N/A</v>
      </c>
      <c r="Q152" s="22" t="e">
        <f ca="1">IF(AND(MATCH($H151,LIKELIHOOD,0)=(5-ROW()+ROW($A151)),MATCH($I151,OFFSET(SCHED_IMPACT_PDE,0,MATCH($G151,ACTIVITY_IMPACTED,0)-1),0)=(COLUMN()-COLUMN($M151)+1)),"S","") &amp;  IF(AND(MATCH($H151,LIKELIHOOD,0)=(5-ROW()+ROW($A151)),MATCH($J151,OFFSET(COST_IMPACT_PDE,0,MATCH($G151,ACTIVITY_IMPACTED,0)-1),0)=(COLUMN()-COLUMN($M151)+1)),"C","")</f>
        <v>#N/A</v>
      </c>
      <c r="R152" s="248"/>
      <c r="S152" s="251"/>
      <c r="T152" s="222"/>
      <c r="U152" s="225"/>
    </row>
    <row r="153" spans="1:21" ht="22.95" customHeight="1" x14ac:dyDescent="0.3">
      <c r="A153" s="237"/>
      <c r="B153" s="239"/>
      <c r="C153" s="241"/>
      <c r="D153" s="239"/>
      <c r="E153" s="243"/>
      <c r="F153" s="245"/>
      <c r="G153" s="243"/>
      <c r="H153" s="243"/>
      <c r="I153" s="243"/>
      <c r="J153" s="243"/>
      <c r="K153" s="246"/>
      <c r="L153" s="4" t="s">
        <v>11</v>
      </c>
      <c r="M153" s="19" t="e">
        <f ca="1">IF(AND(MATCH($H151,LIKELIHOOD,0)=(5-ROW()+ROW($A151)),MATCH($I151,OFFSET(SCHED_IMPACT_PDE,0,MATCH($G151,ACTIVITY_IMPACTED,0)-1),0)=(COLUMN()-COLUMN($M151)+1)),"S","") &amp;  IF(AND(MATCH($H151,LIKELIHOOD,0)=(5-ROW()+ROW($A151)),MATCH($J151,OFFSET(COST_IMPACT_PDE,0,MATCH($G151,ACTIVITY_IMPACTED,0)-1),0)=(COLUMN()-COLUMN($M151)+1)),"C","")</f>
        <v>#N/A</v>
      </c>
      <c r="N153" s="23" t="e">
        <f ca="1">IF(AND(MATCH($H151,LIKELIHOOD,0)=(5-ROW()+ROW($A151)),MATCH($I151,OFFSET(SCHED_IMPACT_PDE,0,MATCH($G151,ACTIVITY_IMPACTED,0)-1),0)=(COLUMN()-COLUMN($M151)+1)),"S","") &amp;  IF(AND(MATCH($H151,LIKELIHOOD,0)=(5-ROW()+ROW($A151)),MATCH($J151,OFFSET(COST_IMPACT_PDE,0,MATCH($G151,ACTIVITY_IMPACTED,0)-1),0)=(COLUMN()-COLUMN($M151)+1)),"C","")</f>
        <v>#N/A</v>
      </c>
      <c r="O153" s="20" t="e">
        <f ca="1">IF(AND(MATCH($H151,LIKELIHOOD,0)=(5-ROW()+ROW($A151)),MATCH($I151,OFFSET(SCHED_IMPACT_PDE,0,MATCH($G151,ACTIVITY_IMPACTED,0)-1),0)=(COLUMN()-COLUMN($M151)+1)),"S","") &amp;  IF(AND(MATCH($H151,LIKELIHOOD,0)=(5-ROW()+ROW($A151)),MATCH($J151,OFFSET(COST_IMPACT_PDE,0,MATCH($G151,ACTIVITY_IMPACTED,0)-1),0)=(COLUMN()-COLUMN($M151)+1)),"C","")</f>
        <v>#N/A</v>
      </c>
      <c r="P153" s="21" t="e">
        <f ca="1">IF(AND(MATCH($H151,LIKELIHOOD,0)=(5-ROW()+ROW($A151)),MATCH($I151,OFFSET(SCHED_IMPACT_PDE,0,MATCH($G151,ACTIVITY_IMPACTED,0)-1),0)=(COLUMN()-COLUMN($M151)+1)),"S","") &amp;  IF(AND(MATCH($H151,LIKELIHOOD,0)=(5-ROW()+ROW($A151)),MATCH($J151,OFFSET(COST_IMPACT_PDE,0,MATCH($G151,ACTIVITY_IMPACTED,0)-1),0)=(COLUMN()-COLUMN($M151)+1)),"C","")</f>
        <v>#N/A</v>
      </c>
      <c r="Q153" s="22" t="e">
        <f ca="1">IF(AND(MATCH($H151,LIKELIHOOD,0)=(5-ROW()+ROW($A151)),MATCH($I151,OFFSET(SCHED_IMPACT_PDE,0,MATCH($G151,ACTIVITY_IMPACTED,0)-1),0)=(COLUMN()-COLUMN($M151)+1)),"S","") &amp;  IF(AND(MATCH($H151,LIKELIHOOD,0)=(5-ROW()+ROW($A151)),MATCH($J151,OFFSET(COST_IMPACT_PDE,0,MATCH($G151,ACTIVITY_IMPACTED,0)-1),0)=(COLUMN()-COLUMN($M151)+1)),"C","")</f>
        <v>#N/A</v>
      </c>
      <c r="R153" s="248"/>
      <c r="S153" s="251"/>
      <c r="T153" s="222"/>
      <c r="U153" s="225"/>
    </row>
    <row r="154" spans="1:21" ht="22.95" customHeight="1" x14ac:dyDescent="0.3">
      <c r="A154" s="237"/>
      <c r="B154" s="239"/>
      <c r="C154" s="241"/>
      <c r="D154" s="239"/>
      <c r="E154" s="243"/>
      <c r="F154" s="245"/>
      <c r="G154" s="243"/>
      <c r="H154" s="243"/>
      <c r="I154" s="243"/>
      <c r="J154" s="243"/>
      <c r="K154" s="246"/>
      <c r="L154" s="4" t="s">
        <v>6</v>
      </c>
      <c r="M154" s="19" t="e">
        <f ca="1">IF(AND(MATCH($H151,LIKELIHOOD,0)=(5-ROW()+ROW($A151)),MATCH($I151,OFFSET(SCHED_IMPACT_PDE,0,MATCH($G151,ACTIVITY_IMPACTED,0)-1),0)=(COLUMN()-COLUMN($M151)+1)),"S","") &amp;  IF(AND(MATCH($H151,LIKELIHOOD,0)=(5-ROW()+ROW($A151)),MATCH($J151,OFFSET(COST_IMPACT_PDE,0,MATCH($G151,ACTIVITY_IMPACTED,0)-1),0)=(COLUMN()-COLUMN($M151)+1)),"C","")</f>
        <v>#N/A</v>
      </c>
      <c r="N154" s="23" t="e">
        <f ca="1">IF(AND(MATCH($H151,LIKELIHOOD,0)=(5-ROW()+ROW($A151)),MATCH($I151,OFFSET(SCHED_IMPACT_PDE,0,MATCH($G151,ACTIVITY_IMPACTED,0)-1),0)=(COLUMN()-COLUMN($M151)+1)),"S","") &amp;  IF(AND(MATCH($H151,LIKELIHOOD,0)=(5-ROW()+ROW($A151)),MATCH($J151,OFFSET(COST_IMPACT_PDE,0,MATCH($G151,ACTIVITY_IMPACTED,0)-1),0)=(COLUMN()-COLUMN($M151)+1)),"C","")</f>
        <v>#N/A</v>
      </c>
      <c r="O154" s="20" t="e">
        <f ca="1">IF(AND(MATCH($H151,LIKELIHOOD,0)=(5-ROW()+ROW($A151)),MATCH($I151,OFFSET(SCHED_IMPACT_PDE,0,MATCH($G151,ACTIVITY_IMPACTED,0)-1),0)=(COLUMN()-COLUMN($M151)+1)),"S","") &amp;  IF(AND(MATCH($H151,LIKELIHOOD,0)=(5-ROW()+ROW($A151)),MATCH($J151,OFFSET(COST_IMPACT_PDE,0,MATCH($G151,ACTIVITY_IMPACTED,0)-1),0)=(COLUMN()-COLUMN($M151)+1)),"C","")</f>
        <v>#N/A</v>
      </c>
      <c r="P154" s="21" t="e">
        <f ca="1">IF(AND(MATCH($H151,LIKELIHOOD,0)=(5-ROW()+ROW($A151)),MATCH($I151,OFFSET(SCHED_IMPACT_PDE,0,MATCH($G151,ACTIVITY_IMPACTED,0)-1),0)=(COLUMN()-COLUMN($M151)+1)),"S","") &amp;  IF(AND(MATCH($H151,LIKELIHOOD,0)=(5-ROW()+ROW($A151)),MATCH($J151,OFFSET(COST_IMPACT_PDE,0,MATCH($G151,ACTIVITY_IMPACTED,0)-1),0)=(COLUMN()-COLUMN($M151)+1)),"C","")</f>
        <v>#N/A</v>
      </c>
      <c r="Q154" s="22" t="e">
        <f ca="1">IF(AND(MATCH($H151,LIKELIHOOD,0)=(5-ROW()+ROW($A151)),MATCH($I151,OFFSET(SCHED_IMPACT_PDE,0,MATCH($G151,ACTIVITY_IMPACTED,0)-1),0)=(COLUMN()-COLUMN($M151)+1)),"S","") &amp;  IF(AND(MATCH($H151,LIKELIHOOD,0)=(5-ROW()+ROW($A151)),MATCH($J151,OFFSET(COST_IMPACT_PDE,0,MATCH($G151,ACTIVITY_IMPACTED,0)-1),0)=(COLUMN()-COLUMN($M151)+1)),"C","")</f>
        <v>#N/A</v>
      </c>
      <c r="R154" s="248"/>
      <c r="S154" s="251"/>
      <c r="T154" s="223"/>
      <c r="U154" s="225"/>
    </row>
    <row r="155" spans="1:21" ht="22.95" customHeight="1" thickBot="1" x14ac:dyDescent="0.35">
      <c r="A155" s="237"/>
      <c r="B155" s="239"/>
      <c r="C155" s="241"/>
      <c r="D155" s="239"/>
      <c r="E155" s="243"/>
      <c r="F155" s="245"/>
      <c r="G155" s="243"/>
      <c r="H155" s="243"/>
      <c r="I155" s="243"/>
      <c r="J155" s="243"/>
      <c r="K155" s="246"/>
      <c r="L155" s="4" t="s">
        <v>24</v>
      </c>
      <c r="M155" s="24" t="e">
        <f ca="1">IF(AND(MATCH($H151,LIKELIHOOD,0)=(5-ROW()+ROW($A151)),MATCH($I151,OFFSET(SCHED_IMPACT_PDE,0,MATCH($G151,ACTIVITY_IMPACTED,0)-1),0)=(COLUMN()-COLUMN($M151)+1)),"S","") &amp;  IF(AND(MATCH($H151,LIKELIHOOD,0)=(5-ROW()+ROW($A151)),MATCH($J151,OFFSET(COST_IMPACT_PDE,0,MATCH($G151,ACTIVITY_IMPACTED,0)-1),0)=(COLUMN()-COLUMN($M151)+1)),"C","")</f>
        <v>#N/A</v>
      </c>
      <c r="N155" s="25" t="e">
        <f ca="1">IF(AND(MATCH($H151,LIKELIHOOD,0)=(5-ROW()+ROW($A151)),MATCH($I151,OFFSET(SCHED_IMPACT_PDE,0,MATCH($G151,ACTIVITY_IMPACTED,0)-1),0)=(COLUMN()-COLUMN($M151)+1)),"S","") &amp;  IF(AND(MATCH($H151,LIKELIHOOD,0)=(5-ROW()+ROW($A151)),MATCH($J151,OFFSET(COST_IMPACT_PDE,0,MATCH($G151,ACTIVITY_IMPACTED,0)-1),0)=(COLUMN()-COLUMN($M151)+1)),"C","")</f>
        <v>#N/A</v>
      </c>
      <c r="O155" s="25" t="e">
        <f ca="1">IF(AND(MATCH($H151,LIKELIHOOD,0)=(5-ROW()+ROW($A151)),MATCH($I151,OFFSET(SCHED_IMPACT_PDE,0,MATCH($G151,ACTIVITY_IMPACTED,0)-1),0)=(COLUMN()-COLUMN($M151)+1)),"S","") &amp;  IF(AND(MATCH($H151,LIKELIHOOD,0)=(5-ROW()+ROW($A151)),MATCH($J151,OFFSET(COST_IMPACT_PDE,0,MATCH($G151,ACTIVITY_IMPACTED,0)-1),0)=(COLUMN()-COLUMN($M151)+1)),"C","")</f>
        <v>#N/A</v>
      </c>
      <c r="P155" s="26" t="e">
        <f ca="1">IF(AND(MATCH($H151,LIKELIHOOD,0)=(5-ROW()+ROW($A151)),MATCH($I151,OFFSET(SCHED_IMPACT_PDE,0,MATCH($G151,ACTIVITY_IMPACTED,0)-1),0)=(COLUMN()-COLUMN($M151)+1)),"S","") &amp;  IF(AND(MATCH($H151,LIKELIHOOD,0)=(5-ROW()+ROW($A151)),MATCH($J151,OFFSET(COST_IMPACT_PDE,0,MATCH($G151,ACTIVITY_IMPACTED,0)-1),0)=(COLUMN()-COLUMN($M151)+1)),"C","")</f>
        <v>#N/A</v>
      </c>
      <c r="Q155" s="27" t="e">
        <f ca="1">IF(AND(MATCH($H151,LIKELIHOOD,0)=(5-ROW()+ROW($A151)),MATCH($I151,OFFSET(SCHED_IMPACT_PDE,0,MATCH($G151,ACTIVITY_IMPACTED,0)-1),0)=(COLUMN()-COLUMN($M151)+1)),"S","") &amp;  IF(AND(MATCH($H151,LIKELIHOOD,0)=(5-ROW()+ROW($A151)),MATCH($J151,OFFSET(COST_IMPACT_PDE,0,MATCH($G151,ACTIVITY_IMPACTED,0)-1),0)=(COLUMN()-COLUMN($M151)+1)),"C","")</f>
        <v>#N/A</v>
      </c>
      <c r="R155" s="248"/>
      <c r="S155" s="251"/>
      <c r="T155" s="124" t="s">
        <v>77</v>
      </c>
      <c r="U155" s="127"/>
    </row>
    <row r="156" spans="1:21" ht="22.95" customHeight="1" x14ac:dyDescent="0.3">
      <c r="A156" s="237"/>
      <c r="B156" s="239"/>
      <c r="C156" s="241"/>
      <c r="D156" s="239"/>
      <c r="E156" s="243"/>
      <c r="F156" s="245"/>
      <c r="G156" s="243"/>
      <c r="H156" s="243"/>
      <c r="I156" s="243"/>
      <c r="J156" s="243"/>
      <c r="K156" s="33"/>
      <c r="L156" s="34"/>
      <c r="M156" s="5" t="s">
        <v>24</v>
      </c>
      <c r="N156" s="5" t="s">
        <v>6</v>
      </c>
      <c r="O156" s="5" t="s">
        <v>11</v>
      </c>
      <c r="P156" s="5" t="s">
        <v>5</v>
      </c>
      <c r="Q156" s="5" t="s">
        <v>23</v>
      </c>
      <c r="R156" s="248"/>
      <c r="S156" s="251"/>
      <c r="T156" s="124" t="s">
        <v>76</v>
      </c>
      <c r="U156" s="127"/>
    </row>
    <row r="157" spans="1:21" ht="22.95" customHeight="1" x14ac:dyDescent="0.3">
      <c r="A157" s="237"/>
      <c r="B157" s="239"/>
      <c r="C157" s="241"/>
      <c r="D157" s="239"/>
      <c r="E157" s="243"/>
      <c r="F157" s="245"/>
      <c r="G157" s="243"/>
      <c r="H157" s="243"/>
      <c r="I157" s="243"/>
      <c r="J157" s="243"/>
      <c r="K157" s="35"/>
      <c r="L157" s="28"/>
      <c r="M157" s="252" t="s">
        <v>25</v>
      </c>
      <c r="N157" s="252"/>
      <c r="O157" s="252"/>
      <c r="P157" s="252"/>
      <c r="Q157" s="252"/>
      <c r="R157" s="249"/>
      <c r="S157" s="251"/>
      <c r="T157" s="124" t="s">
        <v>75</v>
      </c>
      <c r="U157" s="127"/>
    </row>
    <row r="158" spans="1:21" ht="23.25" customHeight="1" x14ac:dyDescent="0.3">
      <c r="A158" s="29"/>
      <c r="B158" s="30"/>
      <c r="C158" s="30"/>
      <c r="D158" s="30"/>
      <c r="E158" s="31"/>
      <c r="F158" s="31"/>
      <c r="G158" s="30"/>
      <c r="H158" s="30"/>
      <c r="I158" s="30"/>
      <c r="J158" s="30"/>
      <c r="K158" s="30"/>
      <c r="L158" s="30"/>
      <c r="M158" s="30"/>
      <c r="N158" s="30"/>
      <c r="O158" s="30"/>
      <c r="P158" s="30"/>
      <c r="Q158" s="30"/>
      <c r="R158" s="30"/>
      <c r="S158" s="36"/>
      <c r="T158" s="36"/>
      <c r="U158" s="36"/>
    </row>
    <row r="159" spans="1:21" ht="23.25" customHeight="1" x14ac:dyDescent="0.3"/>
    <row r="160" spans="1:21" ht="22.5" customHeight="1" x14ac:dyDescent="0.3">
      <c r="A160" s="228" t="s">
        <v>0</v>
      </c>
      <c r="B160" s="228"/>
      <c r="C160" s="228"/>
      <c r="D160" s="228"/>
      <c r="E160" s="228"/>
      <c r="F160" s="228"/>
      <c r="G160" s="229"/>
      <c r="H160" s="230" t="s">
        <v>1</v>
      </c>
      <c r="I160" s="230"/>
      <c r="J160" s="230"/>
      <c r="K160" s="230"/>
      <c r="L160" s="230"/>
      <c r="M160" s="230"/>
      <c r="N160" s="230"/>
      <c r="O160" s="230"/>
      <c r="P160" s="230"/>
      <c r="Q160" s="230"/>
      <c r="R160" s="231" t="s">
        <v>28</v>
      </c>
      <c r="S160" s="232"/>
      <c r="T160" s="232"/>
      <c r="U160" s="233"/>
    </row>
    <row r="161" spans="1:21" ht="91.95" customHeight="1" thickBot="1" x14ac:dyDescent="0.35">
      <c r="A161" s="32" t="s">
        <v>12</v>
      </c>
      <c r="B161" s="32" t="s">
        <v>2</v>
      </c>
      <c r="C161" s="32" t="s">
        <v>19</v>
      </c>
      <c r="D161" s="32" t="s">
        <v>8</v>
      </c>
      <c r="E161" s="12" t="s">
        <v>9</v>
      </c>
      <c r="F161" s="12" t="s">
        <v>7</v>
      </c>
      <c r="G161" s="13" t="s">
        <v>37</v>
      </c>
      <c r="H161" s="14" t="s">
        <v>22</v>
      </c>
      <c r="I161" s="14" t="s">
        <v>20</v>
      </c>
      <c r="J161" s="14" t="s">
        <v>10</v>
      </c>
      <c r="K161" s="234" t="s">
        <v>26</v>
      </c>
      <c r="L161" s="234"/>
      <c r="M161" s="235"/>
      <c r="N161" s="235"/>
      <c r="O161" s="235"/>
      <c r="P161" s="235"/>
      <c r="Q161" s="235"/>
      <c r="R161" s="37" t="s">
        <v>29</v>
      </c>
      <c r="S161" s="11" t="s">
        <v>30</v>
      </c>
      <c r="T161" s="226" t="s">
        <v>31</v>
      </c>
      <c r="U161" s="227"/>
    </row>
    <row r="162" spans="1:21" ht="22.95" customHeight="1" x14ac:dyDescent="0.3">
      <c r="A162" s="236">
        <v>15</v>
      </c>
      <c r="B162" s="238"/>
      <c r="C162" s="240"/>
      <c r="D162" s="238"/>
      <c r="E162" s="242"/>
      <c r="F162" s="244"/>
      <c r="G162" s="242"/>
      <c r="H162" s="242"/>
      <c r="I162" s="242"/>
      <c r="J162" s="242"/>
      <c r="K162" s="246" t="s">
        <v>22</v>
      </c>
      <c r="L162" s="4" t="s">
        <v>23</v>
      </c>
      <c r="M162" s="15" t="e">
        <f ca="1">IF(AND(MATCH($H162,LIKELIHOOD,0)=(5-ROW()+ROW($A162)),MATCH($I162,OFFSET(SCHED_IMPACT_PDE,0,MATCH($G162,ACTIVITY_IMPACTED,0)-1),0)=(COLUMN()-COLUMN($M162)+1)),"S","") &amp;  IF(AND(MATCH($H162,LIKELIHOOD,0)=(5-ROW()+ROW($A162)),MATCH($J162,OFFSET(COST_IMPACT_PDE,0,MATCH($G162,ACTIVITY_IMPACTED,0)-1),0)=(COLUMN()-COLUMN($M162)+1)),"C","")</f>
        <v>#N/A</v>
      </c>
      <c r="N162" s="16" t="e">
        <f ca="1">IF(AND(MATCH($H162,LIKELIHOOD,0)=(5-ROW()+ROW($A162)),MATCH($I162,OFFSET(SCHED_IMPACT_PDE,0,MATCH($G162,ACTIVITY_IMPACTED,0)-1),0)=(COLUMN()-COLUMN($M162)+1)),"S","") &amp;  IF(AND(MATCH($H162,LIKELIHOOD,0)=(5-ROW()+ROW($A162)),MATCH($J162,OFFSET(COST_IMPACT_PDE,0,MATCH($G162,ACTIVITY_IMPACTED,0)-1),0)=(COLUMN()-COLUMN($M162)+1)),"C","")</f>
        <v>#N/A</v>
      </c>
      <c r="O162" s="17" t="e">
        <f ca="1">IF(AND(MATCH($H162,LIKELIHOOD,0)=(5-ROW()+ROW($A162)),MATCH($I162,OFFSET(SCHED_IMPACT_PDE,0,MATCH($G162,ACTIVITY_IMPACTED,0)-1),0)=(COLUMN()-COLUMN($M162)+1)),"S","") &amp;  IF(AND(MATCH($H162,LIKELIHOOD,0)=(5-ROW()+ROW($A162)),MATCH($J162,OFFSET(COST_IMPACT_PDE,0,MATCH($G162,ACTIVITY_IMPACTED,0)-1),0)=(COLUMN()-COLUMN($M162)+1)),"C","")</f>
        <v>#N/A</v>
      </c>
      <c r="P162" s="17" t="e">
        <f ca="1">IF(AND(MATCH($H162,LIKELIHOOD,0)=(5-ROW()+ROW($A162)),MATCH($I162,OFFSET(SCHED_IMPACT_PDE,0,MATCH($G162,ACTIVITY_IMPACTED,0)-1),0)=(COLUMN()-COLUMN($M162)+1)),"S","") &amp;  IF(AND(MATCH($H162,LIKELIHOOD,0)=(5-ROW()+ROW($A162)),MATCH($J162,OFFSET(COST_IMPACT_PDE,0,MATCH($G162,ACTIVITY_IMPACTED,0)-1),0)=(COLUMN()-COLUMN($M162)+1)),"C","")</f>
        <v>#N/A</v>
      </c>
      <c r="Q162" s="18" t="e">
        <f ca="1">IF(AND(MATCH($H162,LIKELIHOOD,0)=(5-ROW()+ROW($A162)),MATCH($I162,OFFSET(SCHED_IMPACT_PDE,0,MATCH($G162,ACTIVITY_IMPACTED,0)-1),0)=(COLUMN()-COLUMN($M162)+1)),"S","") &amp;  IF(AND(MATCH($H162,LIKELIHOOD,0)=(5-ROW()+ROW($A162)),MATCH($J162,OFFSET(COST_IMPACT_PDE,0,MATCH($G162,ACTIVITY_IMPACTED,0)-1),0)=(COLUMN()-COLUMN($M162)+1)),"C","")</f>
        <v>#N/A</v>
      </c>
      <c r="R162" s="247"/>
      <c r="S162" s="250"/>
      <c r="T162" s="221"/>
      <c r="U162" s="224"/>
    </row>
    <row r="163" spans="1:21" ht="22.95" customHeight="1" x14ac:dyDescent="0.3">
      <c r="A163" s="237"/>
      <c r="B163" s="239"/>
      <c r="C163" s="241"/>
      <c r="D163" s="239"/>
      <c r="E163" s="243"/>
      <c r="F163" s="245"/>
      <c r="G163" s="243"/>
      <c r="H163" s="243"/>
      <c r="I163" s="243"/>
      <c r="J163" s="243"/>
      <c r="K163" s="246"/>
      <c r="L163" s="4" t="s">
        <v>5</v>
      </c>
      <c r="M163" s="19" t="e">
        <f ca="1">IF(AND(MATCH($H162,LIKELIHOOD,0)=(5-ROW()+ROW($A162)),MATCH($I162,OFFSET(SCHED_IMPACT_PDE,0,MATCH($G162,ACTIVITY_IMPACTED,0)-1),0)=(COLUMN()-COLUMN($M162)+1)),"S","") &amp;  IF(AND(MATCH($H162,LIKELIHOOD,0)=(5-ROW()+ROW($A162)),MATCH($J162,OFFSET(COST_IMPACT_PDE,0,MATCH($G162,ACTIVITY_IMPACTED,0)-1),0)=(COLUMN()-COLUMN($M162)+1)),"C","")</f>
        <v>#N/A</v>
      </c>
      <c r="N163" s="20" t="e">
        <f ca="1">IF(AND(MATCH($H162,LIKELIHOOD,0)=(5-ROW()+ROW($A162)),MATCH($I162,OFFSET(SCHED_IMPACT_PDE,0,MATCH($G162,ACTIVITY_IMPACTED,0)-1),0)=(COLUMN()-COLUMN($M162)+1)),"S","") &amp;  IF(AND(MATCH($H162,LIKELIHOOD,0)=(5-ROW()+ROW($A162)),MATCH($J162,OFFSET(COST_IMPACT_PDE,0,MATCH($G162,ACTIVITY_IMPACTED,0)-1),0)=(COLUMN()-COLUMN($M162)+1)),"C","")</f>
        <v>#N/A</v>
      </c>
      <c r="O163" s="21" t="e">
        <f ca="1">IF(AND(MATCH($H162,LIKELIHOOD,0)=(5-ROW()+ROW($A162)),MATCH($I162,OFFSET(SCHED_IMPACT_PDE,0,MATCH($G162,ACTIVITY_IMPACTED,0)-1),0)=(COLUMN()-COLUMN($M162)+1)),"S","") &amp;  IF(AND(MATCH($H162,LIKELIHOOD,0)=(5-ROW()+ROW($A162)),MATCH($J162,OFFSET(COST_IMPACT_PDE,0,MATCH($G162,ACTIVITY_IMPACTED,0)-1),0)=(COLUMN()-COLUMN($M162)+1)),"C","")</f>
        <v>#N/A</v>
      </c>
      <c r="P163" s="21" t="e">
        <f ca="1">IF(AND(MATCH($H162,LIKELIHOOD,0)=(5-ROW()+ROW($A162)),MATCH($I162,OFFSET(SCHED_IMPACT_PDE,0,MATCH($G162,ACTIVITY_IMPACTED,0)-1),0)=(COLUMN()-COLUMN($M162)+1)),"S","") &amp;  IF(AND(MATCH($H162,LIKELIHOOD,0)=(5-ROW()+ROW($A162)),MATCH($J162,OFFSET(COST_IMPACT_PDE,0,MATCH($G162,ACTIVITY_IMPACTED,0)-1),0)=(COLUMN()-COLUMN($M162)+1)),"C","")</f>
        <v>#N/A</v>
      </c>
      <c r="Q163" s="22" t="e">
        <f ca="1">IF(AND(MATCH($H162,LIKELIHOOD,0)=(5-ROW()+ROW($A162)),MATCH($I162,OFFSET(SCHED_IMPACT_PDE,0,MATCH($G162,ACTIVITY_IMPACTED,0)-1),0)=(COLUMN()-COLUMN($M162)+1)),"S","") &amp;  IF(AND(MATCH($H162,LIKELIHOOD,0)=(5-ROW()+ROW($A162)),MATCH($J162,OFFSET(COST_IMPACT_PDE,0,MATCH($G162,ACTIVITY_IMPACTED,0)-1),0)=(COLUMN()-COLUMN($M162)+1)),"C","")</f>
        <v>#N/A</v>
      </c>
      <c r="R163" s="248"/>
      <c r="S163" s="251"/>
      <c r="T163" s="222"/>
      <c r="U163" s="225"/>
    </row>
    <row r="164" spans="1:21" ht="22.95" customHeight="1" x14ac:dyDescent="0.3">
      <c r="A164" s="237"/>
      <c r="B164" s="239"/>
      <c r="C164" s="241"/>
      <c r="D164" s="239"/>
      <c r="E164" s="243"/>
      <c r="F164" s="245"/>
      <c r="G164" s="243"/>
      <c r="H164" s="243"/>
      <c r="I164" s="243"/>
      <c r="J164" s="243"/>
      <c r="K164" s="246"/>
      <c r="L164" s="4" t="s">
        <v>11</v>
      </c>
      <c r="M164" s="19" t="e">
        <f ca="1">IF(AND(MATCH($H162,LIKELIHOOD,0)=(5-ROW()+ROW($A162)),MATCH($I162,OFFSET(SCHED_IMPACT_PDE,0,MATCH($G162,ACTIVITY_IMPACTED,0)-1),0)=(COLUMN()-COLUMN($M162)+1)),"S","") &amp;  IF(AND(MATCH($H162,LIKELIHOOD,0)=(5-ROW()+ROW($A162)),MATCH($J162,OFFSET(COST_IMPACT_PDE,0,MATCH($G162,ACTIVITY_IMPACTED,0)-1),0)=(COLUMN()-COLUMN($M162)+1)),"C","")</f>
        <v>#N/A</v>
      </c>
      <c r="N164" s="23" t="e">
        <f ca="1">IF(AND(MATCH($H162,LIKELIHOOD,0)=(5-ROW()+ROW($A162)),MATCH($I162,OFFSET(SCHED_IMPACT_PDE,0,MATCH($G162,ACTIVITY_IMPACTED,0)-1),0)=(COLUMN()-COLUMN($M162)+1)),"S","") &amp;  IF(AND(MATCH($H162,LIKELIHOOD,0)=(5-ROW()+ROW($A162)),MATCH($J162,OFFSET(COST_IMPACT_PDE,0,MATCH($G162,ACTIVITY_IMPACTED,0)-1),0)=(COLUMN()-COLUMN($M162)+1)),"C","")</f>
        <v>#N/A</v>
      </c>
      <c r="O164" s="20" t="e">
        <f ca="1">IF(AND(MATCH($H162,LIKELIHOOD,0)=(5-ROW()+ROW($A162)),MATCH($I162,OFFSET(SCHED_IMPACT_PDE,0,MATCH($G162,ACTIVITY_IMPACTED,0)-1),0)=(COLUMN()-COLUMN($M162)+1)),"S","") &amp;  IF(AND(MATCH($H162,LIKELIHOOD,0)=(5-ROW()+ROW($A162)),MATCH($J162,OFFSET(COST_IMPACT_PDE,0,MATCH($G162,ACTIVITY_IMPACTED,0)-1),0)=(COLUMN()-COLUMN($M162)+1)),"C","")</f>
        <v>#N/A</v>
      </c>
      <c r="P164" s="21" t="e">
        <f ca="1">IF(AND(MATCH($H162,LIKELIHOOD,0)=(5-ROW()+ROW($A162)),MATCH($I162,OFFSET(SCHED_IMPACT_PDE,0,MATCH($G162,ACTIVITY_IMPACTED,0)-1),0)=(COLUMN()-COLUMN($M162)+1)),"S","") &amp;  IF(AND(MATCH($H162,LIKELIHOOD,0)=(5-ROW()+ROW($A162)),MATCH($J162,OFFSET(COST_IMPACT_PDE,0,MATCH($G162,ACTIVITY_IMPACTED,0)-1),0)=(COLUMN()-COLUMN($M162)+1)),"C","")</f>
        <v>#N/A</v>
      </c>
      <c r="Q164" s="22" t="e">
        <f ca="1">IF(AND(MATCH($H162,LIKELIHOOD,0)=(5-ROW()+ROW($A162)),MATCH($I162,OFFSET(SCHED_IMPACT_PDE,0,MATCH($G162,ACTIVITY_IMPACTED,0)-1),0)=(COLUMN()-COLUMN($M162)+1)),"S","") &amp;  IF(AND(MATCH($H162,LIKELIHOOD,0)=(5-ROW()+ROW($A162)),MATCH($J162,OFFSET(COST_IMPACT_PDE,0,MATCH($G162,ACTIVITY_IMPACTED,0)-1),0)=(COLUMN()-COLUMN($M162)+1)),"C","")</f>
        <v>#N/A</v>
      </c>
      <c r="R164" s="248"/>
      <c r="S164" s="251"/>
      <c r="T164" s="222"/>
      <c r="U164" s="225"/>
    </row>
    <row r="165" spans="1:21" ht="22.95" customHeight="1" x14ac:dyDescent="0.3">
      <c r="A165" s="237"/>
      <c r="B165" s="239"/>
      <c r="C165" s="241"/>
      <c r="D165" s="239"/>
      <c r="E165" s="243"/>
      <c r="F165" s="245"/>
      <c r="G165" s="243"/>
      <c r="H165" s="243"/>
      <c r="I165" s="243"/>
      <c r="J165" s="243"/>
      <c r="K165" s="246"/>
      <c r="L165" s="4" t="s">
        <v>6</v>
      </c>
      <c r="M165" s="19" t="e">
        <f ca="1">IF(AND(MATCH($H162,LIKELIHOOD,0)=(5-ROW()+ROW($A162)),MATCH($I162,OFFSET(SCHED_IMPACT_PDE,0,MATCH($G162,ACTIVITY_IMPACTED,0)-1),0)=(COLUMN()-COLUMN($M162)+1)),"S","") &amp;  IF(AND(MATCH($H162,LIKELIHOOD,0)=(5-ROW()+ROW($A162)),MATCH($J162,OFFSET(COST_IMPACT_PDE,0,MATCH($G162,ACTIVITY_IMPACTED,0)-1),0)=(COLUMN()-COLUMN($M162)+1)),"C","")</f>
        <v>#N/A</v>
      </c>
      <c r="N165" s="23" t="e">
        <f ca="1">IF(AND(MATCH($H162,LIKELIHOOD,0)=(5-ROW()+ROW($A162)),MATCH($I162,OFFSET(SCHED_IMPACT_PDE,0,MATCH($G162,ACTIVITY_IMPACTED,0)-1),0)=(COLUMN()-COLUMN($M162)+1)),"S","") &amp;  IF(AND(MATCH($H162,LIKELIHOOD,0)=(5-ROW()+ROW($A162)),MATCH($J162,OFFSET(COST_IMPACT_PDE,0,MATCH($G162,ACTIVITY_IMPACTED,0)-1),0)=(COLUMN()-COLUMN($M162)+1)),"C","")</f>
        <v>#N/A</v>
      </c>
      <c r="O165" s="20" t="e">
        <f ca="1">IF(AND(MATCH($H162,LIKELIHOOD,0)=(5-ROW()+ROW($A162)),MATCH($I162,OFFSET(SCHED_IMPACT_PDE,0,MATCH($G162,ACTIVITY_IMPACTED,0)-1),0)=(COLUMN()-COLUMN($M162)+1)),"S","") &amp;  IF(AND(MATCH($H162,LIKELIHOOD,0)=(5-ROW()+ROW($A162)),MATCH($J162,OFFSET(COST_IMPACT_PDE,0,MATCH($G162,ACTIVITY_IMPACTED,0)-1),0)=(COLUMN()-COLUMN($M162)+1)),"C","")</f>
        <v>#N/A</v>
      </c>
      <c r="P165" s="21" t="e">
        <f ca="1">IF(AND(MATCH($H162,LIKELIHOOD,0)=(5-ROW()+ROW($A162)),MATCH($I162,OFFSET(SCHED_IMPACT_PDE,0,MATCH($G162,ACTIVITY_IMPACTED,0)-1),0)=(COLUMN()-COLUMN($M162)+1)),"S","") &amp;  IF(AND(MATCH($H162,LIKELIHOOD,0)=(5-ROW()+ROW($A162)),MATCH($J162,OFFSET(COST_IMPACT_PDE,0,MATCH($G162,ACTIVITY_IMPACTED,0)-1),0)=(COLUMN()-COLUMN($M162)+1)),"C","")</f>
        <v>#N/A</v>
      </c>
      <c r="Q165" s="22" t="e">
        <f ca="1">IF(AND(MATCH($H162,LIKELIHOOD,0)=(5-ROW()+ROW($A162)),MATCH($I162,OFFSET(SCHED_IMPACT_PDE,0,MATCH($G162,ACTIVITY_IMPACTED,0)-1),0)=(COLUMN()-COLUMN($M162)+1)),"S","") &amp;  IF(AND(MATCH($H162,LIKELIHOOD,0)=(5-ROW()+ROW($A162)),MATCH($J162,OFFSET(COST_IMPACT_PDE,0,MATCH($G162,ACTIVITY_IMPACTED,0)-1),0)=(COLUMN()-COLUMN($M162)+1)),"C","")</f>
        <v>#N/A</v>
      </c>
      <c r="R165" s="248"/>
      <c r="S165" s="251"/>
      <c r="T165" s="223"/>
      <c r="U165" s="225"/>
    </row>
    <row r="166" spans="1:21" ht="22.95" customHeight="1" thickBot="1" x14ac:dyDescent="0.35">
      <c r="A166" s="237"/>
      <c r="B166" s="239"/>
      <c r="C166" s="241"/>
      <c r="D166" s="239"/>
      <c r="E166" s="243"/>
      <c r="F166" s="245"/>
      <c r="G166" s="243"/>
      <c r="H166" s="243"/>
      <c r="I166" s="243"/>
      <c r="J166" s="243"/>
      <c r="K166" s="246"/>
      <c r="L166" s="4" t="s">
        <v>24</v>
      </c>
      <c r="M166" s="24" t="e">
        <f ca="1">IF(AND(MATCH($H162,LIKELIHOOD,0)=(5-ROW()+ROW($A162)),MATCH($I162,OFFSET(SCHED_IMPACT_PDE,0,MATCH($G162,ACTIVITY_IMPACTED,0)-1),0)=(COLUMN()-COLUMN($M162)+1)),"S","") &amp;  IF(AND(MATCH($H162,LIKELIHOOD,0)=(5-ROW()+ROW($A162)),MATCH($J162,OFFSET(COST_IMPACT_PDE,0,MATCH($G162,ACTIVITY_IMPACTED,0)-1),0)=(COLUMN()-COLUMN($M162)+1)),"C","")</f>
        <v>#N/A</v>
      </c>
      <c r="N166" s="25" t="e">
        <f ca="1">IF(AND(MATCH($H162,LIKELIHOOD,0)=(5-ROW()+ROW($A162)),MATCH($I162,OFFSET(SCHED_IMPACT_PDE,0,MATCH($G162,ACTIVITY_IMPACTED,0)-1),0)=(COLUMN()-COLUMN($M162)+1)),"S","") &amp;  IF(AND(MATCH($H162,LIKELIHOOD,0)=(5-ROW()+ROW($A162)),MATCH($J162,OFFSET(COST_IMPACT_PDE,0,MATCH($G162,ACTIVITY_IMPACTED,0)-1),0)=(COLUMN()-COLUMN($M162)+1)),"C","")</f>
        <v>#N/A</v>
      </c>
      <c r="O166" s="25" t="e">
        <f ca="1">IF(AND(MATCH($H162,LIKELIHOOD,0)=(5-ROW()+ROW($A162)),MATCH($I162,OFFSET(SCHED_IMPACT_PDE,0,MATCH($G162,ACTIVITY_IMPACTED,0)-1),0)=(COLUMN()-COLUMN($M162)+1)),"S","") &amp;  IF(AND(MATCH($H162,LIKELIHOOD,0)=(5-ROW()+ROW($A162)),MATCH($J162,OFFSET(COST_IMPACT_PDE,0,MATCH($G162,ACTIVITY_IMPACTED,0)-1),0)=(COLUMN()-COLUMN($M162)+1)),"C","")</f>
        <v>#N/A</v>
      </c>
      <c r="P166" s="26" t="e">
        <f ca="1">IF(AND(MATCH($H162,LIKELIHOOD,0)=(5-ROW()+ROW($A162)),MATCH($I162,OFFSET(SCHED_IMPACT_PDE,0,MATCH($G162,ACTIVITY_IMPACTED,0)-1),0)=(COLUMN()-COLUMN($M162)+1)),"S","") &amp;  IF(AND(MATCH($H162,LIKELIHOOD,0)=(5-ROW()+ROW($A162)),MATCH($J162,OFFSET(COST_IMPACT_PDE,0,MATCH($G162,ACTIVITY_IMPACTED,0)-1),0)=(COLUMN()-COLUMN($M162)+1)),"C","")</f>
        <v>#N/A</v>
      </c>
      <c r="Q166" s="27" t="e">
        <f ca="1">IF(AND(MATCH($H162,LIKELIHOOD,0)=(5-ROW()+ROW($A162)),MATCH($I162,OFFSET(SCHED_IMPACT_PDE,0,MATCH($G162,ACTIVITY_IMPACTED,0)-1),0)=(COLUMN()-COLUMN($M162)+1)),"S","") &amp;  IF(AND(MATCH($H162,LIKELIHOOD,0)=(5-ROW()+ROW($A162)),MATCH($J162,OFFSET(COST_IMPACT_PDE,0,MATCH($G162,ACTIVITY_IMPACTED,0)-1),0)=(COLUMN()-COLUMN($M162)+1)),"C","")</f>
        <v>#N/A</v>
      </c>
      <c r="R166" s="248"/>
      <c r="S166" s="251"/>
      <c r="T166" s="124" t="s">
        <v>77</v>
      </c>
      <c r="U166" s="127"/>
    </row>
    <row r="167" spans="1:21" ht="22.5" customHeight="1" x14ac:dyDescent="0.3">
      <c r="A167" s="237"/>
      <c r="B167" s="239"/>
      <c r="C167" s="241"/>
      <c r="D167" s="239"/>
      <c r="E167" s="243"/>
      <c r="F167" s="245"/>
      <c r="G167" s="243"/>
      <c r="H167" s="243"/>
      <c r="I167" s="243"/>
      <c r="J167" s="243"/>
      <c r="K167" s="33"/>
      <c r="L167" s="34"/>
      <c r="M167" s="5" t="s">
        <v>24</v>
      </c>
      <c r="N167" s="5" t="s">
        <v>6</v>
      </c>
      <c r="O167" s="5" t="s">
        <v>11</v>
      </c>
      <c r="P167" s="5" t="s">
        <v>5</v>
      </c>
      <c r="Q167" s="5" t="s">
        <v>23</v>
      </c>
      <c r="R167" s="248"/>
      <c r="S167" s="251"/>
      <c r="T167" s="124" t="s">
        <v>76</v>
      </c>
      <c r="U167" s="127"/>
    </row>
    <row r="168" spans="1:21" ht="22.95" customHeight="1" x14ac:dyDescent="0.3">
      <c r="A168" s="237"/>
      <c r="B168" s="239"/>
      <c r="C168" s="241"/>
      <c r="D168" s="239"/>
      <c r="E168" s="243"/>
      <c r="F168" s="245"/>
      <c r="G168" s="243"/>
      <c r="H168" s="243"/>
      <c r="I168" s="243"/>
      <c r="J168" s="243"/>
      <c r="K168" s="35"/>
      <c r="L168" s="28"/>
      <c r="M168" s="252" t="s">
        <v>25</v>
      </c>
      <c r="N168" s="252"/>
      <c r="O168" s="252"/>
      <c r="P168" s="252"/>
      <c r="Q168" s="252"/>
      <c r="R168" s="249"/>
      <c r="S168" s="251"/>
      <c r="T168" s="124" t="s">
        <v>75</v>
      </c>
      <c r="U168" s="127"/>
    </row>
    <row r="169" spans="1:21" x14ac:dyDescent="0.3">
      <c r="A169" s="29"/>
      <c r="B169" s="30"/>
      <c r="C169" s="30"/>
      <c r="D169" s="30"/>
      <c r="E169" s="31"/>
      <c r="F169" s="31"/>
      <c r="G169" s="30"/>
      <c r="H169" s="30"/>
      <c r="I169" s="30"/>
      <c r="J169" s="30"/>
      <c r="K169" s="30"/>
      <c r="L169" s="30"/>
      <c r="M169" s="30"/>
      <c r="N169" s="30"/>
      <c r="O169" s="30"/>
      <c r="P169" s="30"/>
      <c r="Q169" s="30"/>
      <c r="R169" s="30"/>
      <c r="S169" s="36"/>
      <c r="T169" s="36"/>
      <c r="U169" s="36"/>
    </row>
    <row r="170" spans="1:21" ht="23.25" customHeight="1" x14ac:dyDescent="0.3"/>
    <row r="171" spans="1:21" ht="23.25" customHeight="1" x14ac:dyDescent="0.3">
      <c r="A171" s="228" t="s">
        <v>0</v>
      </c>
      <c r="B171" s="228"/>
      <c r="C171" s="228"/>
      <c r="D171" s="228"/>
      <c r="E171" s="228"/>
      <c r="F171" s="228"/>
      <c r="G171" s="229"/>
      <c r="H171" s="230" t="s">
        <v>1</v>
      </c>
      <c r="I171" s="230"/>
      <c r="J171" s="230"/>
      <c r="K171" s="230"/>
      <c r="L171" s="230"/>
      <c r="M171" s="230"/>
      <c r="N171" s="230"/>
      <c r="O171" s="230"/>
      <c r="P171" s="230"/>
      <c r="Q171" s="230"/>
      <c r="R171" s="231" t="s">
        <v>28</v>
      </c>
      <c r="S171" s="232"/>
      <c r="T171" s="232"/>
      <c r="U171" s="233"/>
    </row>
    <row r="172" spans="1:21" ht="83.25" customHeight="1" thickBot="1" x14ac:dyDescent="0.35">
      <c r="A172" s="32" t="s">
        <v>12</v>
      </c>
      <c r="B172" s="32" t="s">
        <v>2</v>
      </c>
      <c r="C172" s="32" t="s">
        <v>19</v>
      </c>
      <c r="D172" s="32" t="s">
        <v>8</v>
      </c>
      <c r="E172" s="12" t="s">
        <v>9</v>
      </c>
      <c r="F172" s="12" t="s">
        <v>7</v>
      </c>
      <c r="G172" s="13" t="s">
        <v>37</v>
      </c>
      <c r="H172" s="14" t="s">
        <v>22</v>
      </c>
      <c r="I172" s="14" t="s">
        <v>20</v>
      </c>
      <c r="J172" s="14" t="s">
        <v>10</v>
      </c>
      <c r="K172" s="234" t="s">
        <v>26</v>
      </c>
      <c r="L172" s="234"/>
      <c r="M172" s="235"/>
      <c r="N172" s="235"/>
      <c r="O172" s="235"/>
      <c r="P172" s="235"/>
      <c r="Q172" s="235"/>
      <c r="R172" s="37" t="s">
        <v>29</v>
      </c>
      <c r="S172" s="11" t="s">
        <v>30</v>
      </c>
      <c r="T172" s="226" t="s">
        <v>31</v>
      </c>
      <c r="U172" s="227"/>
    </row>
    <row r="173" spans="1:21" ht="23.25" customHeight="1" x14ac:dyDescent="0.3">
      <c r="A173" s="236">
        <v>16</v>
      </c>
      <c r="B173" s="238"/>
      <c r="C173" s="240"/>
      <c r="D173" s="238"/>
      <c r="E173" s="242"/>
      <c r="F173" s="244"/>
      <c r="G173" s="242"/>
      <c r="H173" s="242"/>
      <c r="I173" s="242"/>
      <c r="J173" s="242"/>
      <c r="K173" s="246" t="s">
        <v>22</v>
      </c>
      <c r="L173" s="4" t="s">
        <v>23</v>
      </c>
      <c r="M173" s="15" t="e">
        <f ca="1">IF(AND(MATCH($H173,LIKELIHOOD,0)=(5-ROW()+ROW($A173)),MATCH($I173,OFFSET(SCHED_IMPACT_PDE,0,MATCH($G173,ACTIVITY_IMPACTED,0)-1),0)=(COLUMN()-COLUMN($M173)+1)),"S","") &amp;  IF(AND(MATCH($H173,LIKELIHOOD,0)=(5-ROW()+ROW($A173)),MATCH($J173,OFFSET(COST_IMPACT_PDE,0,MATCH($G173,ACTIVITY_IMPACTED,0)-1),0)=(COLUMN()-COLUMN($M173)+1)),"C","")</f>
        <v>#N/A</v>
      </c>
      <c r="N173" s="16" t="e">
        <f ca="1">IF(AND(MATCH($H173,LIKELIHOOD,0)=(5-ROW()+ROW($A173)),MATCH($I173,OFFSET(SCHED_IMPACT_PDE,0,MATCH($G173,ACTIVITY_IMPACTED,0)-1),0)=(COLUMN()-COLUMN($M173)+1)),"S","") &amp;  IF(AND(MATCH($H173,LIKELIHOOD,0)=(5-ROW()+ROW($A173)),MATCH($J173,OFFSET(COST_IMPACT_PDE,0,MATCH($G173,ACTIVITY_IMPACTED,0)-1),0)=(COLUMN()-COLUMN($M173)+1)),"C","")</f>
        <v>#N/A</v>
      </c>
      <c r="O173" s="17" t="e">
        <f ca="1">IF(AND(MATCH($H173,LIKELIHOOD,0)=(5-ROW()+ROW($A173)),MATCH($I173,OFFSET(SCHED_IMPACT_PDE,0,MATCH($G173,ACTIVITY_IMPACTED,0)-1),0)=(COLUMN()-COLUMN($M173)+1)),"S","") &amp;  IF(AND(MATCH($H173,LIKELIHOOD,0)=(5-ROW()+ROW($A173)),MATCH($J173,OFFSET(COST_IMPACT_PDE,0,MATCH($G173,ACTIVITY_IMPACTED,0)-1),0)=(COLUMN()-COLUMN($M173)+1)),"C","")</f>
        <v>#N/A</v>
      </c>
      <c r="P173" s="17" t="e">
        <f ca="1">IF(AND(MATCH($H173,LIKELIHOOD,0)=(5-ROW()+ROW($A173)),MATCH($I173,OFFSET(SCHED_IMPACT_PDE,0,MATCH($G173,ACTIVITY_IMPACTED,0)-1),0)=(COLUMN()-COLUMN($M173)+1)),"S","") &amp;  IF(AND(MATCH($H173,LIKELIHOOD,0)=(5-ROW()+ROW($A173)),MATCH($J173,OFFSET(COST_IMPACT_PDE,0,MATCH($G173,ACTIVITY_IMPACTED,0)-1),0)=(COLUMN()-COLUMN($M173)+1)),"C","")</f>
        <v>#N/A</v>
      </c>
      <c r="Q173" s="18" t="e">
        <f ca="1">IF(AND(MATCH($H173,LIKELIHOOD,0)=(5-ROW()+ROW($A173)),MATCH($I173,OFFSET(SCHED_IMPACT_PDE,0,MATCH($G173,ACTIVITY_IMPACTED,0)-1),0)=(COLUMN()-COLUMN($M173)+1)),"S","") &amp;  IF(AND(MATCH($H173,LIKELIHOOD,0)=(5-ROW()+ROW($A173)),MATCH($J173,OFFSET(COST_IMPACT_PDE,0,MATCH($G173,ACTIVITY_IMPACTED,0)-1),0)=(COLUMN()-COLUMN($M173)+1)),"C","")</f>
        <v>#N/A</v>
      </c>
      <c r="R173" s="247"/>
      <c r="S173" s="250"/>
      <c r="T173" s="221"/>
      <c r="U173" s="224"/>
    </row>
    <row r="174" spans="1:21" ht="23.25" customHeight="1" x14ac:dyDescent="0.3">
      <c r="A174" s="237"/>
      <c r="B174" s="239"/>
      <c r="C174" s="241"/>
      <c r="D174" s="239"/>
      <c r="E174" s="243"/>
      <c r="F174" s="245"/>
      <c r="G174" s="243"/>
      <c r="H174" s="243"/>
      <c r="I174" s="243"/>
      <c r="J174" s="243"/>
      <c r="K174" s="246"/>
      <c r="L174" s="4" t="s">
        <v>5</v>
      </c>
      <c r="M174" s="19" t="e">
        <f ca="1">IF(AND(MATCH($H173,LIKELIHOOD,0)=(5-ROW()+ROW($A173)),MATCH($I173,OFFSET(SCHED_IMPACT_PDE,0,MATCH($G173,ACTIVITY_IMPACTED,0)-1),0)=(COLUMN()-COLUMN($M173)+1)),"S","") &amp;  IF(AND(MATCH($H173,LIKELIHOOD,0)=(5-ROW()+ROW($A173)),MATCH($J173,OFFSET(COST_IMPACT_PDE,0,MATCH($G173,ACTIVITY_IMPACTED,0)-1),0)=(COLUMN()-COLUMN($M173)+1)),"C","")</f>
        <v>#N/A</v>
      </c>
      <c r="N174" s="20" t="e">
        <f ca="1">IF(AND(MATCH($H173,LIKELIHOOD,0)=(5-ROW()+ROW($A173)),MATCH($I173,OFFSET(SCHED_IMPACT_PDE,0,MATCH($G173,ACTIVITY_IMPACTED,0)-1),0)=(COLUMN()-COLUMN($M173)+1)),"S","") &amp;  IF(AND(MATCH($H173,LIKELIHOOD,0)=(5-ROW()+ROW($A173)),MATCH($J173,OFFSET(COST_IMPACT_PDE,0,MATCH($G173,ACTIVITY_IMPACTED,0)-1),0)=(COLUMN()-COLUMN($M173)+1)),"C","")</f>
        <v>#N/A</v>
      </c>
      <c r="O174" s="21" t="e">
        <f ca="1">IF(AND(MATCH($H173,LIKELIHOOD,0)=(5-ROW()+ROW($A173)),MATCH($I173,OFFSET(SCHED_IMPACT_PDE,0,MATCH($G173,ACTIVITY_IMPACTED,0)-1),0)=(COLUMN()-COLUMN($M173)+1)),"S","") &amp;  IF(AND(MATCH($H173,LIKELIHOOD,0)=(5-ROW()+ROW($A173)),MATCH($J173,OFFSET(COST_IMPACT_PDE,0,MATCH($G173,ACTIVITY_IMPACTED,0)-1),0)=(COLUMN()-COLUMN($M173)+1)),"C","")</f>
        <v>#N/A</v>
      </c>
      <c r="P174" s="21" t="e">
        <f ca="1">IF(AND(MATCH($H173,LIKELIHOOD,0)=(5-ROW()+ROW($A173)),MATCH($I173,OFFSET(SCHED_IMPACT_PDE,0,MATCH($G173,ACTIVITY_IMPACTED,0)-1),0)=(COLUMN()-COLUMN($M173)+1)),"S","") &amp;  IF(AND(MATCH($H173,LIKELIHOOD,0)=(5-ROW()+ROW($A173)),MATCH($J173,OFFSET(COST_IMPACT_PDE,0,MATCH($G173,ACTIVITY_IMPACTED,0)-1),0)=(COLUMN()-COLUMN($M173)+1)),"C","")</f>
        <v>#N/A</v>
      </c>
      <c r="Q174" s="22" t="e">
        <f ca="1">IF(AND(MATCH($H173,LIKELIHOOD,0)=(5-ROW()+ROW($A173)),MATCH($I173,OFFSET(SCHED_IMPACT_PDE,0,MATCH($G173,ACTIVITY_IMPACTED,0)-1),0)=(COLUMN()-COLUMN($M173)+1)),"S","") &amp;  IF(AND(MATCH($H173,LIKELIHOOD,0)=(5-ROW()+ROW($A173)),MATCH($J173,OFFSET(COST_IMPACT_PDE,0,MATCH($G173,ACTIVITY_IMPACTED,0)-1),0)=(COLUMN()-COLUMN($M173)+1)),"C","")</f>
        <v>#N/A</v>
      </c>
      <c r="R174" s="248"/>
      <c r="S174" s="251"/>
      <c r="T174" s="222"/>
      <c r="U174" s="225"/>
    </row>
    <row r="175" spans="1:21" ht="23.25" customHeight="1" x14ac:dyDescent="0.3">
      <c r="A175" s="237"/>
      <c r="B175" s="239"/>
      <c r="C175" s="241"/>
      <c r="D175" s="239"/>
      <c r="E175" s="243"/>
      <c r="F175" s="245"/>
      <c r="G175" s="243"/>
      <c r="H175" s="243"/>
      <c r="I175" s="243"/>
      <c r="J175" s="243"/>
      <c r="K175" s="246"/>
      <c r="L175" s="4" t="s">
        <v>11</v>
      </c>
      <c r="M175" s="19" t="e">
        <f ca="1">IF(AND(MATCH($H173,LIKELIHOOD,0)=(5-ROW()+ROW($A173)),MATCH($I173,OFFSET(SCHED_IMPACT_PDE,0,MATCH($G173,ACTIVITY_IMPACTED,0)-1),0)=(COLUMN()-COLUMN($M173)+1)),"S","") &amp;  IF(AND(MATCH($H173,LIKELIHOOD,0)=(5-ROW()+ROW($A173)),MATCH($J173,OFFSET(COST_IMPACT_PDE,0,MATCH($G173,ACTIVITY_IMPACTED,0)-1),0)=(COLUMN()-COLUMN($M173)+1)),"C","")</f>
        <v>#N/A</v>
      </c>
      <c r="N175" s="23" t="e">
        <f ca="1">IF(AND(MATCH($H173,LIKELIHOOD,0)=(5-ROW()+ROW($A173)),MATCH($I173,OFFSET(SCHED_IMPACT_PDE,0,MATCH($G173,ACTIVITY_IMPACTED,0)-1),0)=(COLUMN()-COLUMN($M173)+1)),"S","") &amp;  IF(AND(MATCH($H173,LIKELIHOOD,0)=(5-ROW()+ROW($A173)),MATCH($J173,OFFSET(COST_IMPACT_PDE,0,MATCH($G173,ACTIVITY_IMPACTED,0)-1),0)=(COLUMN()-COLUMN($M173)+1)),"C","")</f>
        <v>#N/A</v>
      </c>
      <c r="O175" s="20" t="e">
        <f ca="1">IF(AND(MATCH($H173,LIKELIHOOD,0)=(5-ROW()+ROW($A173)),MATCH($I173,OFFSET(SCHED_IMPACT_PDE,0,MATCH($G173,ACTIVITY_IMPACTED,0)-1),0)=(COLUMN()-COLUMN($M173)+1)),"S","") &amp;  IF(AND(MATCH($H173,LIKELIHOOD,0)=(5-ROW()+ROW($A173)),MATCH($J173,OFFSET(COST_IMPACT_PDE,0,MATCH($G173,ACTIVITY_IMPACTED,0)-1),0)=(COLUMN()-COLUMN($M173)+1)),"C","")</f>
        <v>#N/A</v>
      </c>
      <c r="P175" s="21" t="e">
        <f ca="1">IF(AND(MATCH($H173,LIKELIHOOD,0)=(5-ROW()+ROW($A173)),MATCH($I173,OFFSET(SCHED_IMPACT_PDE,0,MATCH($G173,ACTIVITY_IMPACTED,0)-1),0)=(COLUMN()-COLUMN($M173)+1)),"S","") &amp;  IF(AND(MATCH($H173,LIKELIHOOD,0)=(5-ROW()+ROW($A173)),MATCH($J173,OFFSET(COST_IMPACT_PDE,0,MATCH($G173,ACTIVITY_IMPACTED,0)-1),0)=(COLUMN()-COLUMN($M173)+1)),"C","")</f>
        <v>#N/A</v>
      </c>
      <c r="Q175" s="22" t="e">
        <f ca="1">IF(AND(MATCH($H173,LIKELIHOOD,0)=(5-ROW()+ROW($A173)),MATCH($I173,OFFSET(SCHED_IMPACT_PDE,0,MATCH($G173,ACTIVITY_IMPACTED,0)-1),0)=(COLUMN()-COLUMN($M173)+1)),"S","") &amp;  IF(AND(MATCH($H173,LIKELIHOOD,0)=(5-ROW()+ROW($A173)),MATCH($J173,OFFSET(COST_IMPACT_PDE,0,MATCH($G173,ACTIVITY_IMPACTED,0)-1),0)=(COLUMN()-COLUMN($M173)+1)),"C","")</f>
        <v>#N/A</v>
      </c>
      <c r="R175" s="248"/>
      <c r="S175" s="251"/>
      <c r="T175" s="222"/>
      <c r="U175" s="225"/>
    </row>
    <row r="176" spans="1:21" ht="23.25" customHeight="1" x14ac:dyDescent="0.3">
      <c r="A176" s="237"/>
      <c r="B176" s="239"/>
      <c r="C176" s="241"/>
      <c r="D176" s="239"/>
      <c r="E176" s="243"/>
      <c r="F176" s="245"/>
      <c r="G176" s="243"/>
      <c r="H176" s="243"/>
      <c r="I176" s="243"/>
      <c r="J176" s="243"/>
      <c r="K176" s="246"/>
      <c r="L176" s="4" t="s">
        <v>6</v>
      </c>
      <c r="M176" s="19" t="e">
        <f ca="1">IF(AND(MATCH($H173,LIKELIHOOD,0)=(5-ROW()+ROW($A173)),MATCH($I173,OFFSET(SCHED_IMPACT_PDE,0,MATCH($G173,ACTIVITY_IMPACTED,0)-1),0)=(COLUMN()-COLUMN($M173)+1)),"S","") &amp;  IF(AND(MATCH($H173,LIKELIHOOD,0)=(5-ROW()+ROW($A173)),MATCH($J173,OFFSET(COST_IMPACT_PDE,0,MATCH($G173,ACTIVITY_IMPACTED,0)-1),0)=(COLUMN()-COLUMN($M173)+1)),"C","")</f>
        <v>#N/A</v>
      </c>
      <c r="N176" s="23" t="e">
        <f ca="1">IF(AND(MATCH($H173,LIKELIHOOD,0)=(5-ROW()+ROW($A173)),MATCH($I173,OFFSET(SCHED_IMPACT_PDE,0,MATCH($G173,ACTIVITY_IMPACTED,0)-1),0)=(COLUMN()-COLUMN($M173)+1)),"S","") &amp;  IF(AND(MATCH($H173,LIKELIHOOD,0)=(5-ROW()+ROW($A173)),MATCH($J173,OFFSET(COST_IMPACT_PDE,0,MATCH($G173,ACTIVITY_IMPACTED,0)-1),0)=(COLUMN()-COLUMN($M173)+1)),"C","")</f>
        <v>#N/A</v>
      </c>
      <c r="O176" s="20" t="e">
        <f ca="1">IF(AND(MATCH($H173,LIKELIHOOD,0)=(5-ROW()+ROW($A173)),MATCH($I173,OFFSET(SCHED_IMPACT_PDE,0,MATCH($G173,ACTIVITY_IMPACTED,0)-1),0)=(COLUMN()-COLUMN($M173)+1)),"S","") &amp;  IF(AND(MATCH($H173,LIKELIHOOD,0)=(5-ROW()+ROW($A173)),MATCH($J173,OFFSET(COST_IMPACT_PDE,0,MATCH($G173,ACTIVITY_IMPACTED,0)-1),0)=(COLUMN()-COLUMN($M173)+1)),"C","")</f>
        <v>#N/A</v>
      </c>
      <c r="P176" s="21" t="e">
        <f ca="1">IF(AND(MATCH($H173,LIKELIHOOD,0)=(5-ROW()+ROW($A173)),MATCH($I173,OFFSET(SCHED_IMPACT_PDE,0,MATCH($G173,ACTIVITY_IMPACTED,0)-1),0)=(COLUMN()-COLUMN($M173)+1)),"S","") &amp;  IF(AND(MATCH($H173,LIKELIHOOD,0)=(5-ROW()+ROW($A173)),MATCH($J173,OFFSET(COST_IMPACT_PDE,0,MATCH($G173,ACTIVITY_IMPACTED,0)-1),0)=(COLUMN()-COLUMN($M173)+1)),"C","")</f>
        <v>#N/A</v>
      </c>
      <c r="Q176" s="22" t="e">
        <f ca="1">IF(AND(MATCH($H173,LIKELIHOOD,0)=(5-ROW()+ROW($A173)),MATCH($I173,OFFSET(SCHED_IMPACT_PDE,0,MATCH($G173,ACTIVITY_IMPACTED,0)-1),0)=(COLUMN()-COLUMN($M173)+1)),"S","") &amp;  IF(AND(MATCH($H173,LIKELIHOOD,0)=(5-ROW()+ROW($A173)),MATCH($J173,OFFSET(COST_IMPACT_PDE,0,MATCH($G173,ACTIVITY_IMPACTED,0)-1),0)=(COLUMN()-COLUMN($M173)+1)),"C","")</f>
        <v>#N/A</v>
      </c>
      <c r="R176" s="248"/>
      <c r="S176" s="251"/>
      <c r="T176" s="223"/>
      <c r="U176" s="225"/>
    </row>
    <row r="177" spans="1:21" ht="27" customHeight="1" thickBot="1" x14ac:dyDescent="0.35">
      <c r="A177" s="237"/>
      <c r="B177" s="239"/>
      <c r="C177" s="241"/>
      <c r="D177" s="239"/>
      <c r="E177" s="243"/>
      <c r="F177" s="245"/>
      <c r="G177" s="243"/>
      <c r="H177" s="243"/>
      <c r="I177" s="243"/>
      <c r="J177" s="243"/>
      <c r="K177" s="246"/>
      <c r="L177" s="4" t="s">
        <v>24</v>
      </c>
      <c r="M177" s="24" t="e">
        <f ca="1">IF(AND(MATCH($H173,LIKELIHOOD,0)=(5-ROW()+ROW($A173)),MATCH($I173,OFFSET(SCHED_IMPACT_PDE,0,MATCH($G173,ACTIVITY_IMPACTED,0)-1),0)=(COLUMN()-COLUMN($M173)+1)),"S","") &amp;  IF(AND(MATCH($H173,LIKELIHOOD,0)=(5-ROW()+ROW($A173)),MATCH($J173,OFFSET(COST_IMPACT_PDE,0,MATCH($G173,ACTIVITY_IMPACTED,0)-1),0)=(COLUMN()-COLUMN($M173)+1)),"C","")</f>
        <v>#N/A</v>
      </c>
      <c r="N177" s="25" t="e">
        <f ca="1">IF(AND(MATCH($H173,LIKELIHOOD,0)=(5-ROW()+ROW($A173)),MATCH($I173,OFFSET(SCHED_IMPACT_PDE,0,MATCH($G173,ACTIVITY_IMPACTED,0)-1),0)=(COLUMN()-COLUMN($M173)+1)),"S","") &amp;  IF(AND(MATCH($H173,LIKELIHOOD,0)=(5-ROW()+ROW($A173)),MATCH($J173,OFFSET(COST_IMPACT_PDE,0,MATCH($G173,ACTIVITY_IMPACTED,0)-1),0)=(COLUMN()-COLUMN($M173)+1)),"C","")</f>
        <v>#N/A</v>
      </c>
      <c r="O177" s="25" t="e">
        <f ca="1">IF(AND(MATCH($H173,LIKELIHOOD,0)=(5-ROW()+ROW($A173)),MATCH($I173,OFFSET(SCHED_IMPACT_PDE,0,MATCH($G173,ACTIVITY_IMPACTED,0)-1),0)=(COLUMN()-COLUMN($M173)+1)),"S","") &amp;  IF(AND(MATCH($H173,LIKELIHOOD,0)=(5-ROW()+ROW($A173)),MATCH($J173,OFFSET(COST_IMPACT_PDE,0,MATCH($G173,ACTIVITY_IMPACTED,0)-1),0)=(COLUMN()-COLUMN($M173)+1)),"C","")</f>
        <v>#N/A</v>
      </c>
      <c r="P177" s="26" t="e">
        <f ca="1">IF(AND(MATCH($H173,LIKELIHOOD,0)=(5-ROW()+ROW($A173)),MATCH($I173,OFFSET(SCHED_IMPACT_PDE,0,MATCH($G173,ACTIVITY_IMPACTED,0)-1),0)=(COLUMN()-COLUMN($M173)+1)),"S","") &amp;  IF(AND(MATCH($H173,LIKELIHOOD,0)=(5-ROW()+ROW($A173)),MATCH($J173,OFFSET(COST_IMPACT_PDE,0,MATCH($G173,ACTIVITY_IMPACTED,0)-1),0)=(COLUMN()-COLUMN($M173)+1)),"C","")</f>
        <v>#N/A</v>
      </c>
      <c r="Q177" s="27" t="e">
        <f ca="1">IF(AND(MATCH($H173,LIKELIHOOD,0)=(5-ROW()+ROW($A173)),MATCH($I173,OFFSET(SCHED_IMPACT_PDE,0,MATCH($G173,ACTIVITY_IMPACTED,0)-1),0)=(COLUMN()-COLUMN($M173)+1)),"S","") &amp;  IF(AND(MATCH($H173,LIKELIHOOD,0)=(5-ROW()+ROW($A173)),MATCH($J173,OFFSET(COST_IMPACT_PDE,0,MATCH($G173,ACTIVITY_IMPACTED,0)-1),0)=(COLUMN()-COLUMN($M173)+1)),"C","")</f>
        <v>#N/A</v>
      </c>
      <c r="R177" s="248"/>
      <c r="S177" s="251"/>
      <c r="T177" s="124" t="s">
        <v>77</v>
      </c>
      <c r="U177" s="127"/>
    </row>
    <row r="178" spans="1:21" ht="26.25" customHeight="1" x14ac:dyDescent="0.3">
      <c r="A178" s="237"/>
      <c r="B178" s="239"/>
      <c r="C178" s="241"/>
      <c r="D178" s="239"/>
      <c r="E178" s="243"/>
      <c r="F178" s="245"/>
      <c r="G178" s="243"/>
      <c r="H178" s="243"/>
      <c r="I178" s="243"/>
      <c r="J178" s="243"/>
      <c r="K178" s="33"/>
      <c r="L178" s="34"/>
      <c r="M178" s="5" t="s">
        <v>24</v>
      </c>
      <c r="N178" s="5" t="s">
        <v>6</v>
      </c>
      <c r="O178" s="5" t="s">
        <v>11</v>
      </c>
      <c r="P178" s="5" t="s">
        <v>5</v>
      </c>
      <c r="Q178" s="5" t="s">
        <v>23</v>
      </c>
      <c r="R178" s="248"/>
      <c r="S178" s="251"/>
      <c r="T178" s="124" t="s">
        <v>76</v>
      </c>
      <c r="U178" s="127"/>
    </row>
    <row r="179" spans="1:21" ht="27" customHeight="1" x14ac:dyDescent="0.3">
      <c r="A179" s="237"/>
      <c r="B179" s="239"/>
      <c r="C179" s="241"/>
      <c r="D179" s="239"/>
      <c r="E179" s="243"/>
      <c r="F179" s="245"/>
      <c r="G179" s="243"/>
      <c r="H179" s="243"/>
      <c r="I179" s="243"/>
      <c r="J179" s="243"/>
      <c r="K179" s="35"/>
      <c r="L179" s="28"/>
      <c r="M179" s="252" t="s">
        <v>25</v>
      </c>
      <c r="N179" s="252"/>
      <c r="O179" s="252"/>
      <c r="P179" s="252"/>
      <c r="Q179" s="252"/>
      <c r="R179" s="249"/>
      <c r="S179" s="251"/>
      <c r="T179" s="124" t="s">
        <v>75</v>
      </c>
      <c r="U179" s="127"/>
    </row>
    <row r="180" spans="1:21" ht="15" customHeight="1" x14ac:dyDescent="0.3">
      <c r="A180" s="29"/>
      <c r="B180" s="30"/>
      <c r="C180" s="30"/>
      <c r="D180" s="30"/>
      <c r="E180" s="31"/>
      <c r="F180" s="31"/>
      <c r="G180" s="30"/>
      <c r="H180" s="30"/>
      <c r="I180" s="30"/>
      <c r="J180" s="30"/>
      <c r="K180" s="30"/>
      <c r="L180" s="30"/>
      <c r="M180" s="30"/>
      <c r="N180" s="30"/>
      <c r="O180" s="30"/>
      <c r="P180" s="30"/>
      <c r="Q180" s="30"/>
      <c r="R180" s="30"/>
      <c r="S180" s="36"/>
      <c r="T180" s="36"/>
      <c r="U180" s="36"/>
    </row>
  </sheetData>
  <protectedRanges>
    <protectedRange sqref="U8 U19 U30 U41 U52 U63 U74 U85 U96 U107 U118 U129 U140 U151 U162 U173" name="AddingRecordsd"/>
  </protectedRanges>
  <dataConsolidate/>
  <mergeCells count="334">
    <mergeCell ref="A160:G160"/>
    <mergeCell ref="H160:Q160"/>
    <mergeCell ref="R160:U160"/>
    <mergeCell ref="K161:Q161"/>
    <mergeCell ref="A162:A168"/>
    <mergeCell ref="B162:B168"/>
    <mergeCell ref="C162:C168"/>
    <mergeCell ref="D162:D168"/>
    <mergeCell ref="E162:E168"/>
    <mergeCell ref="F162:F168"/>
    <mergeCell ref="G162:G168"/>
    <mergeCell ref="H162:H168"/>
    <mergeCell ref="I162:I168"/>
    <mergeCell ref="J162:J168"/>
    <mergeCell ref="K162:K166"/>
    <mergeCell ref="R162:R168"/>
    <mergeCell ref="S162:S168"/>
    <mergeCell ref="M168:Q168"/>
    <mergeCell ref="T161:U161"/>
    <mergeCell ref="T162:T165"/>
    <mergeCell ref="U162:U165"/>
    <mergeCell ref="A149:G149"/>
    <mergeCell ref="H149:Q149"/>
    <mergeCell ref="R149:U149"/>
    <mergeCell ref="K150:Q150"/>
    <mergeCell ref="A151:A157"/>
    <mergeCell ref="B151:B157"/>
    <mergeCell ref="C151:C157"/>
    <mergeCell ref="D151:D157"/>
    <mergeCell ref="E151:E157"/>
    <mergeCell ref="F151:F157"/>
    <mergeCell ref="G151:G157"/>
    <mergeCell ref="H151:H157"/>
    <mergeCell ref="I151:I157"/>
    <mergeCell ref="J151:J157"/>
    <mergeCell ref="K151:K155"/>
    <mergeCell ref="R151:R157"/>
    <mergeCell ref="S151:S157"/>
    <mergeCell ref="M157:Q157"/>
    <mergeCell ref="T150:U150"/>
    <mergeCell ref="T151:T154"/>
    <mergeCell ref="U151:U154"/>
    <mergeCell ref="A138:G138"/>
    <mergeCell ref="H138:Q138"/>
    <mergeCell ref="R138:U138"/>
    <mergeCell ref="K139:Q139"/>
    <mergeCell ref="A140:A146"/>
    <mergeCell ref="B140:B146"/>
    <mergeCell ref="C140:C146"/>
    <mergeCell ref="D140:D146"/>
    <mergeCell ref="E140:E146"/>
    <mergeCell ref="F140:F146"/>
    <mergeCell ref="G140:G146"/>
    <mergeCell ref="H140:H146"/>
    <mergeCell ref="I140:I146"/>
    <mergeCell ref="J140:J146"/>
    <mergeCell ref="K140:K144"/>
    <mergeCell ref="R140:R146"/>
    <mergeCell ref="S140:S146"/>
    <mergeCell ref="M146:Q146"/>
    <mergeCell ref="T139:U139"/>
    <mergeCell ref="T140:T143"/>
    <mergeCell ref="A127:G127"/>
    <mergeCell ref="H127:Q127"/>
    <mergeCell ref="R127:U127"/>
    <mergeCell ref="K128:Q128"/>
    <mergeCell ref="A129:A135"/>
    <mergeCell ref="B129:B135"/>
    <mergeCell ref="C129:C135"/>
    <mergeCell ref="D129:D135"/>
    <mergeCell ref="E129:E135"/>
    <mergeCell ref="F129:F135"/>
    <mergeCell ref="G129:G135"/>
    <mergeCell ref="H129:H135"/>
    <mergeCell ref="I129:I135"/>
    <mergeCell ref="J129:J135"/>
    <mergeCell ref="K129:K133"/>
    <mergeCell ref="R129:R135"/>
    <mergeCell ref="S129:S135"/>
    <mergeCell ref="M135:Q135"/>
    <mergeCell ref="T128:U128"/>
    <mergeCell ref="T129:T132"/>
    <mergeCell ref="U129:U132"/>
    <mergeCell ref="A116:G116"/>
    <mergeCell ref="H116:Q116"/>
    <mergeCell ref="R116:U116"/>
    <mergeCell ref="K117:Q117"/>
    <mergeCell ref="A118:A124"/>
    <mergeCell ref="B118:B124"/>
    <mergeCell ref="C118:C124"/>
    <mergeCell ref="D118:D124"/>
    <mergeCell ref="E118:E124"/>
    <mergeCell ref="F118:F124"/>
    <mergeCell ref="G118:G124"/>
    <mergeCell ref="H118:H124"/>
    <mergeCell ref="I118:I124"/>
    <mergeCell ref="J118:J124"/>
    <mergeCell ref="K118:K122"/>
    <mergeCell ref="R118:R124"/>
    <mergeCell ref="S118:S124"/>
    <mergeCell ref="M124:Q124"/>
    <mergeCell ref="T117:U117"/>
    <mergeCell ref="T118:T121"/>
    <mergeCell ref="U118:U121"/>
    <mergeCell ref="T95:U95"/>
    <mergeCell ref="T96:T99"/>
    <mergeCell ref="A105:G105"/>
    <mergeCell ref="H105:Q105"/>
    <mergeCell ref="R105:U105"/>
    <mergeCell ref="K106:Q106"/>
    <mergeCell ref="A107:A113"/>
    <mergeCell ref="B107:B113"/>
    <mergeCell ref="C107:C113"/>
    <mergeCell ref="D107:D113"/>
    <mergeCell ref="E107:E113"/>
    <mergeCell ref="F107:F113"/>
    <mergeCell ref="G107:G113"/>
    <mergeCell ref="H107:H113"/>
    <mergeCell ref="I107:I113"/>
    <mergeCell ref="J107:J113"/>
    <mergeCell ref="K107:K111"/>
    <mergeCell ref="R107:R113"/>
    <mergeCell ref="S107:S113"/>
    <mergeCell ref="M113:Q113"/>
    <mergeCell ref="T106:U106"/>
    <mergeCell ref="T107:T110"/>
    <mergeCell ref="R96:R102"/>
    <mergeCell ref="S96:S102"/>
    <mergeCell ref="M102:Q102"/>
    <mergeCell ref="K95:Q95"/>
    <mergeCell ref="A96:A102"/>
    <mergeCell ref="B96:B102"/>
    <mergeCell ref="C96:C102"/>
    <mergeCell ref="D96:D102"/>
    <mergeCell ref="E96:E102"/>
    <mergeCell ref="F96:F102"/>
    <mergeCell ref="G96:G102"/>
    <mergeCell ref="H96:H102"/>
    <mergeCell ref="I96:I102"/>
    <mergeCell ref="J96:J102"/>
    <mergeCell ref="K96:K100"/>
    <mergeCell ref="R85:R91"/>
    <mergeCell ref="S85:S91"/>
    <mergeCell ref="M91:Q91"/>
    <mergeCell ref="A94:G94"/>
    <mergeCell ref="H94:Q94"/>
    <mergeCell ref="R94:U94"/>
    <mergeCell ref="K84:Q84"/>
    <mergeCell ref="A85:A91"/>
    <mergeCell ref="B85:B91"/>
    <mergeCell ref="C85:C91"/>
    <mergeCell ref="D85:D91"/>
    <mergeCell ref="E85:E91"/>
    <mergeCell ref="F85:F91"/>
    <mergeCell ref="G85:G91"/>
    <mergeCell ref="H85:H91"/>
    <mergeCell ref="I85:I91"/>
    <mergeCell ref="J85:J91"/>
    <mergeCell ref="K85:K89"/>
    <mergeCell ref="T84:U84"/>
    <mergeCell ref="R74:R80"/>
    <mergeCell ref="S74:S80"/>
    <mergeCell ref="M80:Q80"/>
    <mergeCell ref="A83:G83"/>
    <mergeCell ref="H83:Q83"/>
    <mergeCell ref="R83:U83"/>
    <mergeCell ref="K73:Q73"/>
    <mergeCell ref="A74:A80"/>
    <mergeCell ref="B74:B80"/>
    <mergeCell ref="C74:C80"/>
    <mergeCell ref="D74:D80"/>
    <mergeCell ref="E74:E80"/>
    <mergeCell ref="F74:F80"/>
    <mergeCell ref="G74:G80"/>
    <mergeCell ref="H74:H80"/>
    <mergeCell ref="I74:I80"/>
    <mergeCell ref="J74:J80"/>
    <mergeCell ref="K74:K78"/>
    <mergeCell ref="T73:U73"/>
    <mergeCell ref="R63:R69"/>
    <mergeCell ref="S63:S69"/>
    <mergeCell ref="M69:Q69"/>
    <mergeCell ref="A72:G72"/>
    <mergeCell ref="H72:Q72"/>
    <mergeCell ref="R72:U72"/>
    <mergeCell ref="K62:Q62"/>
    <mergeCell ref="A63:A69"/>
    <mergeCell ref="B63:B69"/>
    <mergeCell ref="C63:C69"/>
    <mergeCell ref="D63:D69"/>
    <mergeCell ref="E63:E69"/>
    <mergeCell ref="F63:F69"/>
    <mergeCell ref="G63:G69"/>
    <mergeCell ref="H63:H69"/>
    <mergeCell ref="I63:I69"/>
    <mergeCell ref="J63:J69"/>
    <mergeCell ref="K63:K67"/>
    <mergeCell ref="T62:U62"/>
    <mergeCell ref="T40:U40"/>
    <mergeCell ref="U41:U44"/>
    <mergeCell ref="R52:R58"/>
    <mergeCell ref="S52:S58"/>
    <mergeCell ref="M58:Q58"/>
    <mergeCell ref="A61:G61"/>
    <mergeCell ref="H61:Q61"/>
    <mergeCell ref="R61:U61"/>
    <mergeCell ref="K51:Q51"/>
    <mergeCell ref="A52:A58"/>
    <mergeCell ref="B52:B58"/>
    <mergeCell ref="C52:C58"/>
    <mergeCell ref="D52:D58"/>
    <mergeCell ref="E52:E58"/>
    <mergeCell ref="F52:F58"/>
    <mergeCell ref="G52:G58"/>
    <mergeCell ref="H52:H58"/>
    <mergeCell ref="I52:I58"/>
    <mergeCell ref="J52:J58"/>
    <mergeCell ref="K52:K56"/>
    <mergeCell ref="T51:U51"/>
    <mergeCell ref="J30:J36"/>
    <mergeCell ref="T30:T33"/>
    <mergeCell ref="U30:U33"/>
    <mergeCell ref="S41:S47"/>
    <mergeCell ref="M47:Q47"/>
    <mergeCell ref="A50:G50"/>
    <mergeCell ref="H50:Q50"/>
    <mergeCell ref="R50:U50"/>
    <mergeCell ref="A39:G39"/>
    <mergeCell ref="H39:Q39"/>
    <mergeCell ref="R39:U39"/>
    <mergeCell ref="K40:Q40"/>
    <mergeCell ref="A41:A47"/>
    <mergeCell ref="B41:B47"/>
    <mergeCell ref="C41:C47"/>
    <mergeCell ref="D41:D47"/>
    <mergeCell ref="E41:E47"/>
    <mergeCell ref="F41:F47"/>
    <mergeCell ref="G41:G47"/>
    <mergeCell ref="H41:H47"/>
    <mergeCell ref="I41:I47"/>
    <mergeCell ref="J41:J47"/>
    <mergeCell ref="K41:K45"/>
    <mergeCell ref="R41:R47"/>
    <mergeCell ref="A30:A36"/>
    <mergeCell ref="B30:B36"/>
    <mergeCell ref="C30:C36"/>
    <mergeCell ref="D30:D36"/>
    <mergeCell ref="E30:E36"/>
    <mergeCell ref="F30:F36"/>
    <mergeCell ref="G30:G36"/>
    <mergeCell ref="H30:H36"/>
    <mergeCell ref="I30:I36"/>
    <mergeCell ref="A3:S3"/>
    <mergeCell ref="A6:G6"/>
    <mergeCell ref="K8:K12"/>
    <mergeCell ref="M14:Q14"/>
    <mergeCell ref="H6:Q6"/>
    <mergeCell ref="K7:Q7"/>
    <mergeCell ref="A8:A14"/>
    <mergeCell ref="B8:B14"/>
    <mergeCell ref="F8:F14"/>
    <mergeCell ref="I8:I14"/>
    <mergeCell ref="J8:J14"/>
    <mergeCell ref="C8:C14"/>
    <mergeCell ref="D8:D14"/>
    <mergeCell ref="E8:E14"/>
    <mergeCell ref="G8:G14"/>
    <mergeCell ref="H8:H14"/>
    <mergeCell ref="J173:J179"/>
    <mergeCell ref="K173:K177"/>
    <mergeCell ref="R173:R179"/>
    <mergeCell ref="S173:S179"/>
    <mergeCell ref="M179:Q179"/>
    <mergeCell ref="T172:U172"/>
    <mergeCell ref="T173:T176"/>
    <mergeCell ref="U173:U176"/>
    <mergeCell ref="R6:U6"/>
    <mergeCell ref="S8:S14"/>
    <mergeCell ref="R8:R14"/>
    <mergeCell ref="U8:U11"/>
    <mergeCell ref="S19:S25"/>
    <mergeCell ref="M25:Q25"/>
    <mergeCell ref="H28:Q28"/>
    <mergeCell ref="R28:U28"/>
    <mergeCell ref="H17:Q17"/>
    <mergeCell ref="R17:U17"/>
    <mergeCell ref="K18:Q18"/>
    <mergeCell ref="H19:H25"/>
    <mergeCell ref="I19:I25"/>
    <mergeCell ref="J19:J25"/>
    <mergeCell ref="K19:K23"/>
    <mergeCell ref="R19:R25"/>
    <mergeCell ref="A173:A179"/>
    <mergeCell ref="B173:B179"/>
    <mergeCell ref="C173:C179"/>
    <mergeCell ref="D173:D179"/>
    <mergeCell ref="E173:E179"/>
    <mergeCell ref="F173:F179"/>
    <mergeCell ref="G173:G179"/>
    <mergeCell ref="H173:H179"/>
    <mergeCell ref="I173:I179"/>
    <mergeCell ref="T7:U7"/>
    <mergeCell ref="T18:U18"/>
    <mergeCell ref="T29:U29"/>
    <mergeCell ref="T19:T22"/>
    <mergeCell ref="T8:T11"/>
    <mergeCell ref="A171:G171"/>
    <mergeCell ref="H171:Q171"/>
    <mergeCell ref="R171:U171"/>
    <mergeCell ref="K172:Q172"/>
    <mergeCell ref="A28:G28"/>
    <mergeCell ref="A17:G17"/>
    <mergeCell ref="A19:A25"/>
    <mergeCell ref="B19:B25"/>
    <mergeCell ref="C19:C25"/>
    <mergeCell ref="D19:D25"/>
    <mergeCell ref="E19:E25"/>
    <mergeCell ref="F19:F25"/>
    <mergeCell ref="G19:G25"/>
    <mergeCell ref="U19:U22"/>
    <mergeCell ref="R30:R36"/>
    <mergeCell ref="S30:S36"/>
    <mergeCell ref="M36:Q36"/>
    <mergeCell ref="K29:Q29"/>
    <mergeCell ref="K30:K34"/>
    <mergeCell ref="T41:T44"/>
    <mergeCell ref="T52:T55"/>
    <mergeCell ref="U52:U55"/>
    <mergeCell ref="T63:T66"/>
    <mergeCell ref="U63:U66"/>
    <mergeCell ref="T74:T77"/>
    <mergeCell ref="U74:U77"/>
    <mergeCell ref="T85:T88"/>
    <mergeCell ref="U85:U88"/>
  </mergeCells>
  <dataValidations xWindow="1375" yWindow="507" count="16">
    <dataValidation type="list" allowBlank="1" showErrorMessage="1" promptTitle="Schedule Probility" prompt="How likely is it that the risk will impact the project schedule?_x000a_Low = 25% or Less_x000a_Medium = 25% - 75%_x000a_High= greater than 75%" sqref="I8:I14 I19:I25 I30:I36 I41:I47 I52:I58 I63:I69 I74:I80 I85:I91 I96:I102 I107:I113 I118:I124 I129:I135 I140:I146 I151:I157 I162:I168 I173:I179">
      <formula1>OFFSET(SCHED_IMPACT_PDE,0,MATCH($G8,ACTIVITY_IMPACTED,0)-1)</formula1>
    </dataValidation>
    <dataValidation type="list" allowBlank="1" showErrorMessage="1" promptTitle="Schedule Probility" prompt="How likely is it that the risk will impact the project schedule?_x000a_Low = 25% or Less_x000a_Medium = 25% - 75%_x000a_High= greater than 75%" sqref="J8:J14 J19:J25 J30:J36 J41:J47 J52:J58 J63:J69 J74:J80 J85:J91 J96:J102 J107:J113 J118:J124 J129:J135 J140:J146 J151:J157 J162:J168 J173:J179">
      <formula1>OFFSET(COST_IMPACT_PDE,0,MATCH($G8,ACTIVITY_IMPACTED,0)-1)</formula1>
    </dataValidation>
    <dataValidation type="list" allowBlank="1" showInputMessage="1" showErrorMessage="1" sqref="U162 U151 U140:U143 U129 U118 U107:U110 U96:U99 U85 U74 U63 U52 U41 U30 U19:U22 U8 U173">
      <formula1>FUNCTIONAL_AREA</formula1>
    </dataValidation>
    <dataValidation type="list" allowBlank="1" showInputMessage="1" showErrorMessage="1" sqref="R8:R14 R162:R168 R151:R157 R140:R146 R129:R135 R118:R124 R107:R113 R96:R102 R85:R91 R74:R80 R63:R69 R52:R58 R41:R47 R30:R36 R19:R25 R173:R179">
      <formula1>RESPONSE_TYPE</formula1>
    </dataValidation>
    <dataValidation allowBlank="1" showErrorMessage="1" promptTitle="Risk Description" prompt="Enter a detailed description of the risk including an estimation of the probability and cost and schedule impacts, and how and why the risk will impact the project.  Write the description so that anyone will understand it." sqref="F8 F162 F151 F140 F129 F118 F107 F96 F85 F74 F63 F52 F41 F30 F19 F173"/>
    <dataValidation type="list" allowBlank="1" showErrorMessage="1" promptTitle="Activity Impacted" prompt="If this risk occurs, where does the cost or schedule impact happen?  The choices are Preliminary Engineering, Right of Way, or Construction" sqref="G8 G162 G151 G140 G129 G118 G107 G96 G85 G74 G63 G52 G41 G30 G19 G173">
      <formula1>ACTIVITY_IMPACTED</formula1>
    </dataValidation>
    <dataValidation allowBlank="1" showErrorMessage="1" promptTitle="Risk Name" prompt="Abbreviated name for this risk" sqref="E8 E19 E151 E140 E129 E118 E107 E96 E85 E74 E63 E52 E41 E30 E162 E173"/>
    <dataValidation type="list" allowBlank="1" showErrorMessage="1" promptTitle="Threat or Opportunity" prompt="Identify whether the risk is a Threat or an Opportunity" sqref="D8 D162 D151 D140 D129 D118 D107 D96 D85 D74 D63 D52 D41 D30 D19 D173">
      <formula1>THREAT_OR_OPP</formula1>
    </dataValidation>
    <dataValidation allowBlank="1" showErrorMessage="1" promptTitle="Risk ID" prompt="A unique identifier created by the user" sqref="A8 A162 A151 A140 A129 A118 A107 A96 A85 A74 A63 A52 A41 A30 A19 A173"/>
    <dataValidation allowBlank="1" showErrorMessage="1" promptTitle="Date Identified" prompt="Date that the risk is identified in a mm/dd/yyyy format" sqref="C8 C162 C151 C140 C129 C118 C107 C96 C74 C63 C52 C41 C30 C19 C85 C173"/>
    <dataValidation type="list" allowBlank="1" showErrorMessage="1" promptTitle="Status" prompt="Status – This is the current status of the risk:_x000a_o Active = risk is being actively monitored and controlled._x000a_o Inactive = risk is not being actively monitored and controlled._x000a_o Retired = risk that no longer exists and is not being managed." sqref="B8:B14 B162:B168 B151:B157 B140:B146 B129:B135 B118:B124 B107:B113 B96:B102 B85:B91 B74:B80 B63:B69 B52:B58 B41:B47 B30:B36 B19:B25 B173:B179">
      <formula1>STATUS</formula1>
    </dataValidation>
    <dataValidation type="list" allowBlank="1" showErrorMessage="1" promptTitle="Schedule Probility" prompt="How likely is it that the risk will impact the project schedule?_x000a_Low = 25% or Less_x000a_Medium = 25% - 75%_x000a_High= greater than 75%" sqref="H8:H14 H162:H168 H151:H157 H140:H146 H129:H135 H118:H124 H107:H113 H96:H102 H85:H91 H74:H80 H63:H69 H52:H58 H41:H47 H30:H36 H19:H25 H173:H179">
      <formula1>LIKELIHOOD</formula1>
    </dataValidation>
    <dataValidation allowBlank="1" showErrorMessage="1" sqref="A3:U4"/>
    <dataValidation allowBlank="1" showInputMessage="1" showErrorMessage="1" promptTitle="Primary Responsiblity" prompt="Enter the name of the person that has primary responsibility for the Response to this risk." sqref="U12 U23 U34 U45 U56 U67 U78 U89 U100 U111 U122 U133 U144 U155 U166 U177"/>
    <dataValidation allowBlank="1" showInputMessage="1" showErrorMessage="1" promptTitle="Secondary Responsibility " prompt="Enter the name of the person with responsibility to assist with the Response to this risk.  Optional" sqref="U13 U24 U35 U46 U57 U68 U79 U90 U101 U112 U123 U134 U145 U156 U167 U178"/>
    <dataValidation allowBlank="1" showInputMessage="1" showErrorMessage="1" promptTitle="Review Date" prompt="Enter the date when the Team will review the staus of this Risk." sqref="U14 U25 U36 U47 U58 U69 U80 U91 U102 U113 U124 U135 U146 U157 U168 U179"/>
  </dataValidations>
  <printOptions horizontalCentered="1"/>
  <pageMargins left="0.25" right="0.25" top="0.5" bottom="0.5" header="0.3" footer="0.3"/>
  <pageSetup paperSize="3" scale="81" fitToHeight="0" orientation="landscape" horizontalDpi="1200" verticalDpi="1200" r:id="rId1"/>
  <headerFooter>
    <oddFooter>&amp;R&amp;D</oddFooter>
  </headerFooter>
  <rowBreaks count="2" manualBreakCount="2">
    <brk id="27" max="16383" man="1"/>
    <brk id="125"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17</vt:i4>
      </vt:variant>
    </vt:vector>
  </HeadingPairs>
  <TitlesOfParts>
    <vt:vector size="19" baseType="lpstr">
      <vt:lpstr>Input Data</vt:lpstr>
      <vt:lpstr>Risks</vt:lpstr>
      <vt:lpstr>ACTIVITY_IMPACTED</vt:lpstr>
      <vt:lpstr>COST_IMPACT_CN</vt:lpstr>
      <vt:lpstr>COST_IMPACT_DESIGN</vt:lpstr>
      <vt:lpstr>COST_IMPACT_OTHER</vt:lpstr>
      <vt:lpstr>COST_IMPACT_PDE</vt:lpstr>
      <vt:lpstr>COST_IMPACT_ROW</vt:lpstr>
      <vt:lpstr>FUNCTIONAL_AREA</vt:lpstr>
      <vt:lpstr>LIKELIHOOD</vt:lpstr>
      <vt:lpstr>'Input Data'!Print_Titles</vt:lpstr>
      <vt:lpstr>RESPONSE_TYPE</vt:lpstr>
      <vt:lpstr>SCHED_IMPACT_CN</vt:lpstr>
      <vt:lpstr>SCHED_IMPACT_DESIGN</vt:lpstr>
      <vt:lpstr>SCHED_IMPACT_OTHER</vt:lpstr>
      <vt:lpstr>SCHED_IMPACT_PDE</vt:lpstr>
      <vt:lpstr>SCHED_IMPACT_ROW</vt:lpstr>
      <vt:lpstr>STATUS</vt:lpstr>
      <vt:lpstr>THREAT_OR_OPP</vt:lpstr>
    </vt:vector>
  </TitlesOfParts>
  <Company>HDR,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RISK Spreadsheet</dc:subject>
  <dc:creator>Don Owings</dc:creator>
  <cp:lastModifiedBy>Patti Barton</cp:lastModifiedBy>
  <cp:lastPrinted>2012-04-27T15:55:08Z</cp:lastPrinted>
  <dcterms:created xsi:type="dcterms:W3CDTF">2011-12-20T18:30:44Z</dcterms:created>
  <dcterms:modified xsi:type="dcterms:W3CDTF">2013-01-31T13:47:46Z</dcterms:modified>
</cp:coreProperties>
</file>