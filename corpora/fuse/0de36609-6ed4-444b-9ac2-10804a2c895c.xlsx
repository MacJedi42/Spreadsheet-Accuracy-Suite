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35" windowWidth="10065" windowHeight="12120"/>
  </bookViews>
  <sheets>
    <sheet name="Instructions" sheetId="3" r:id="rId1"/>
    <sheet name="Defintions" sheetId="2" r:id="rId2"/>
    <sheet name="Project Scaling Worksheet" sheetId="1" r:id="rId3"/>
  </sheets>
  <definedNames>
    <definedName name="_xlnm.Print_Area" localSheetId="1">Defintions!$A$1:$B$27</definedName>
    <definedName name="_xlnm.Print_Area" localSheetId="0">Instructions!$A$1:$B$15</definedName>
    <definedName name="_xlnm.Print_Area" localSheetId="2">'Project Scaling Worksheet'!$A$1:$K$43</definedName>
  </definedNames>
  <calcPr calcId="145621"/>
</workbook>
</file>

<file path=xl/calcChain.xml><?xml version="1.0" encoding="utf-8"?>
<calcChain xmlns="http://schemas.openxmlformats.org/spreadsheetml/2006/main">
  <c r="D27" i="1" l="1"/>
  <c r="I5" i="1"/>
  <c r="H5" i="1"/>
  <c r="G5" i="1"/>
  <c r="F5" i="1"/>
  <c r="E5" i="1"/>
  <c r="D5" i="1"/>
  <c r="K36" i="1" l="1"/>
  <c r="J36" i="1"/>
  <c r="D36" i="1"/>
  <c r="K31" i="1"/>
  <c r="J31" i="1"/>
  <c r="D31" i="1"/>
  <c r="G22" i="1"/>
  <c r="D22" i="1"/>
  <c r="D18" i="1"/>
  <c r="A11" i="2"/>
  <c r="A10" i="2"/>
  <c r="A9" i="2"/>
  <c r="A8" i="2"/>
  <c r="A7" i="2"/>
  <c r="A5" i="2"/>
  <c r="A4" i="2"/>
  <c r="D40" i="1" l="1"/>
  <c r="J40" i="1" s="1"/>
</calcChain>
</file>

<file path=xl/sharedStrings.xml><?xml version="1.0" encoding="utf-8"?>
<sst xmlns="http://schemas.openxmlformats.org/spreadsheetml/2006/main" count="131" uniqueCount="100">
  <si>
    <t>Weight</t>
  </si>
  <si>
    <t>Project Objectives</t>
  </si>
  <si>
    <t>Technical Requirements</t>
  </si>
  <si>
    <t>Team Location</t>
  </si>
  <si>
    <t>Deadline</t>
  </si>
  <si>
    <t>Stakeholder Involvement</t>
  </si>
  <si>
    <t>External Dependencies</t>
  </si>
  <si>
    <t>One</t>
  </si>
  <si>
    <t>Clear</t>
  </si>
  <si>
    <t>Familiar</t>
  </si>
  <si>
    <t>Loose</t>
  </si>
  <si>
    <t>2 People</t>
  </si>
  <si>
    <t>None</t>
  </si>
  <si>
    <t>Vague</t>
  </si>
  <si>
    <t>Unfamiliar</t>
  </si>
  <si>
    <t>Many</t>
  </si>
  <si>
    <t>N/A</t>
  </si>
  <si>
    <t>Project Complexity Score</t>
  </si>
  <si>
    <t>Project Complexity</t>
  </si>
  <si>
    <t>Project Visibility</t>
  </si>
  <si>
    <t>Legislative Initiative</t>
  </si>
  <si>
    <t>Governor Initiative</t>
  </si>
  <si>
    <t>Federal Mandate</t>
  </si>
  <si>
    <t>Public Facing</t>
  </si>
  <si>
    <t>No</t>
  </si>
  <si>
    <t>Yes</t>
  </si>
  <si>
    <t>Project Costs</t>
  </si>
  <si>
    <t>Project Visibility Score</t>
  </si>
  <si>
    <t>Cost of the Project</t>
  </si>
  <si>
    <t>Sponsor</t>
  </si>
  <si>
    <t>Are the project objectives clearly defined?  Were clear definitions of the deliverables received for accomplishing this project?</t>
  </si>
  <si>
    <t>What is the general location of the project team?  Are you using internal resources only; using only contractors; or a mix of both?  Are team members located in the same building, division, city or country?</t>
  </si>
  <si>
    <t>Has a firm deadline to deliver the project been established?  Will the deadline allow us to complete the project in a timely manner, or is it to restrictive?</t>
  </si>
  <si>
    <t>Outside the project team. How many people need to be kept up to date on the project progress?  How complex are the communication needs going to be?</t>
  </si>
  <si>
    <t>Project Team</t>
  </si>
  <si>
    <t>Experienced</t>
  </si>
  <si>
    <t>Inexperienced</t>
  </si>
  <si>
    <t xml:space="preserve">How experienced is this project team using the technology associated with the project.  If the project requires unfamiliar technology, the risk factor goes up.  </t>
  </si>
  <si>
    <t>Is the legislature watching this project?</t>
  </si>
  <si>
    <t>Did the federal government mandate this project?</t>
  </si>
  <si>
    <t>Is this project visible to the public?</t>
  </si>
  <si>
    <t>Senior manager with a vested interest in the outcome of the project.  If the project is a part of a larger effort (program), then the project sponsor can be the actual program manager for the entire effort.  The fewer the sponsors, the simpler the communication.  If there is no sponsor, there is no clear direction.  Too many sponsors could result in conflicting objectives and communication challenges.</t>
  </si>
  <si>
    <t>Project Score</t>
  </si>
  <si>
    <t>Total Calculated Score</t>
  </si>
  <si>
    <t>Project Duration</t>
  </si>
  <si>
    <t>Duration of the Project</t>
  </si>
  <si>
    <t>&lt; 6 months</t>
  </si>
  <si>
    <t>6 - 12 months</t>
  </si>
  <si>
    <t>&gt; 12 months</t>
  </si>
  <si>
    <t>Business Impact</t>
  </si>
  <si>
    <t>=&lt;250k</t>
  </si>
  <si>
    <t>250k - 1M</t>
  </si>
  <si>
    <t>&gt; 1M</t>
  </si>
  <si>
    <t>What is  Project Scaling ?</t>
  </si>
  <si>
    <t>How do I determine a Project’s Level?</t>
  </si>
  <si>
    <t>Steps:</t>
  </si>
  <si>
    <t>This section defines the planned duration for the overall project</t>
  </si>
  <si>
    <t>This section defines the estimated costs for the overall project</t>
  </si>
  <si>
    <t>Minimal</t>
  </si>
  <si>
    <t>Major</t>
  </si>
  <si>
    <t>Project Complexity Values</t>
  </si>
  <si>
    <t>Project Visibility Values</t>
  </si>
  <si>
    <t>Are the technical requirements familiar to the group?  In the past, has the group developed or delivered similar requirements?  Have you completed a project similar to this one in scope and complexity?</t>
  </si>
  <si>
    <t>Does project success depend upon an entity outside of the commonwealth - Federal Agency, Vendor/Business Partner, local government, other states, etc.?</t>
  </si>
  <si>
    <t>Cross-Agency</t>
  </si>
  <si>
    <t>Number of Systems Impacted</t>
  </si>
  <si>
    <t>How many agencies will collaborate to build the product?</t>
  </si>
  <si>
    <t>Organizational Risks</t>
  </si>
  <si>
    <t>Is the Governor's office monitoring this project?</t>
  </si>
  <si>
    <t>More than 1</t>
  </si>
  <si>
    <t>Defined</t>
  </si>
  <si>
    <t>More than 20</t>
  </si>
  <si>
    <t>Not Likely</t>
  </si>
  <si>
    <t>Likely</t>
  </si>
  <si>
    <t>How many existing systems will be impacted by the implementation of the new system?</t>
  </si>
  <si>
    <t>Is there a potential for project failure due to organizational disruptions or cultural resistance?</t>
  </si>
  <si>
    <t xml:space="preserve">The Office of Policy, Planning and Performance Management has developed an easy to use Project Scaling Worksheet that analyzes project characteristics and yields a numerical score and project level. </t>
  </si>
  <si>
    <t>Level One Project</t>
  </si>
  <si>
    <t>Level Two Project</t>
  </si>
  <si>
    <t>Level Three Project</t>
  </si>
  <si>
    <t>Open the Project Scaling Worksheet</t>
  </si>
  <si>
    <t>Click on the Project Scaling Worksheet tab and assign a value to each of the Characteristics.  The fields in orange represent columns that need to be selected.</t>
  </si>
  <si>
    <t>The tool will automatically add the values and display the project’s score and level in the Project Score section at the bottom of the page</t>
  </si>
  <si>
    <t>Once completed save and archive the file in the project's collaboration site.</t>
  </si>
  <si>
    <t xml:space="preserve">Once you have identified the project level, you can then review the Deliverables Matrix and the accompanying Process Flow Diagram to get an idea of the Project Management Rigor, Governance, Documentation and Reporting that will be needed for your project. </t>
  </si>
  <si>
    <t>1.</t>
  </si>
  <si>
    <t>2.</t>
  </si>
  <si>
    <t>3.</t>
  </si>
  <si>
    <t>4.</t>
  </si>
  <si>
    <t>5.</t>
  </si>
  <si>
    <t>Low               High</t>
  </si>
  <si>
    <t>Project Scaling Worksheet</t>
  </si>
  <si>
    <t>Instructions</t>
  </si>
  <si>
    <t>Definitions</t>
  </si>
  <si>
    <t>&lt; 50</t>
  </si>
  <si>
    <r>
      <t xml:space="preserve">                           Project Scaling Worksheet       </t>
    </r>
    <r>
      <rPr>
        <b/>
        <sz val="10"/>
        <color theme="1"/>
        <rFont val="Verdana"/>
        <family val="2"/>
      </rPr>
      <t>V2</t>
    </r>
  </si>
  <si>
    <t>50 - 74</t>
  </si>
  <si>
    <t>75 - 100</t>
  </si>
  <si>
    <t>Project Scaling is the method that will help define the size and risk of a project as well as the amount of Project Management rigor, Governance, Documentation and Reporting needed for each project.  A "Level One" project is the most complex and a "Level Three" project is the least complex.  The areas that will determine the project level will be the Project Complexity, Project Visibility, Project Duration and Project Cost.  Some of these categories will be further broken down into subcategories.  For a definition of each Category and Subcategory, please refer to the Definitions tab.</t>
  </si>
  <si>
    <t>Impact to business if project is not successful</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</si>
</sst>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0"/>
      <name val="Calibri"/>
      <family val="2"/>
      <scheme val="minor"/>
    </font>
    <font>
      <sz val="11"/>
      <color theme="1"/>
      <name val="Calibri"/>
      <family val="2"/>
      <scheme val="minor"/>
    </font>
    <font>
      <sz val="11"/>
      <color theme="1"/>
      <name val="Verdana"/>
      <family val="2"/>
    </font>
    <font>
      <b/>
      <sz val="18"/>
      <color theme="1"/>
      <name val="Verdana"/>
      <family val="2"/>
    </font>
    <font>
      <b/>
      <sz val="12"/>
      <name val="Verdana"/>
      <family val="2"/>
    </font>
    <font>
      <sz val="12"/>
      <color theme="1"/>
      <name val="Verdana"/>
      <family val="2"/>
    </font>
    <font>
      <sz val="10"/>
      <color theme="1"/>
      <name val="Verdana"/>
      <family val="2"/>
    </font>
    <font>
      <sz val="10"/>
      <name val="Verdana"/>
      <family val="2"/>
    </font>
    <font>
      <sz val="11"/>
      <name val="Verdana"/>
      <family val="2"/>
    </font>
    <font>
      <b/>
      <sz val="11"/>
      <color theme="1"/>
      <name val="Verdana"/>
      <family val="2"/>
    </font>
    <font>
      <b/>
      <sz val="12"/>
      <color theme="1"/>
      <name val="Verdana"/>
      <family val="2"/>
    </font>
    <font>
      <b/>
      <sz val="18"/>
      <color theme="3" tint="-0.249977111117893"/>
      <name val="Verdana"/>
      <family val="2"/>
    </font>
    <font>
      <b/>
      <sz val="10"/>
      <color theme="1"/>
      <name val="Verdana"/>
      <family val="2"/>
    </font>
    <font>
      <i/>
      <sz val="10"/>
      <color theme="1"/>
      <name val="Verdana"/>
      <family val="2"/>
    </font>
    <font>
      <i/>
      <sz val="10"/>
      <name val="Verdana"/>
      <family val="2"/>
    </font>
    <font>
      <b/>
      <sz val="8"/>
      <color theme="1"/>
      <name val="Verdana"/>
      <family val="2"/>
    </font>
    <font>
      <b/>
      <sz val="8"/>
      <name val="Verdana"/>
      <family val="2"/>
    </font>
    <font>
      <sz val="8"/>
      <name val="Verdana"/>
      <family val="2"/>
    </font>
    <font>
      <sz val="8"/>
      <color theme="1"/>
      <name val="Verdana"/>
      <family val="2"/>
    </font>
    <font>
      <sz val="16"/>
      <color theme="1"/>
      <name val="Verdana"/>
      <family val="2"/>
    </font>
    <font>
      <b/>
      <sz val="10"/>
      <name val="Verdana"/>
      <family val="2"/>
    </font>
    <font>
      <b/>
      <sz val="20"/>
      <color theme="3" tint="-0.249977111117893"/>
      <name val="Verdana"/>
      <family val="2"/>
    </font>
  </fonts>
  <fills count="7">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249977111117893"/>
        <bgColor indexed="64"/>
      </patternFill>
    </fill>
  </fills>
  <borders count="33">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138">
    <xf numFmtId="0" fontId="0" fillId="0" borderId="0" xfId="0"/>
    <xf numFmtId="0" fontId="0" fillId="0" borderId="6" xfId="0" applyBorder="1"/>
    <xf numFmtId="0" fontId="3" fillId="0" borderId="0" xfId="0" applyFont="1"/>
    <xf numFmtId="0" fontId="6" fillId="0" borderId="0" xfId="0" applyFont="1" applyBorder="1" applyAlignment="1">
      <alignment horizontal="justify" vertical="top"/>
    </xf>
    <xf numFmtId="0" fontId="3" fillId="0" borderId="6" xfId="0" applyFont="1" applyBorder="1" applyAlignment="1">
      <alignment horizontal="left" vertical="center"/>
    </xf>
    <xf numFmtId="0" fontId="3" fillId="0" borderId="6" xfId="0" applyFont="1" applyBorder="1" applyAlignment="1">
      <alignment horizontal="justify" vertical="top"/>
    </xf>
    <xf numFmtId="0" fontId="3" fillId="0" borderId="6" xfId="0" applyFont="1" applyFill="1" applyBorder="1" applyAlignment="1">
      <alignment horizontal="left" vertical="center"/>
    </xf>
    <xf numFmtId="0" fontId="3" fillId="0" borderId="6" xfId="0" applyFont="1" applyFill="1" applyBorder="1" applyAlignment="1">
      <alignment horizontal="left" vertical="center" wrapText="1"/>
    </xf>
    <xf numFmtId="0" fontId="3" fillId="0" borderId="6" xfId="0" applyFont="1" applyBorder="1" applyAlignment="1">
      <alignment horizontal="left" vertical="center" wrapText="1"/>
    </xf>
    <xf numFmtId="0" fontId="3" fillId="2" borderId="1" xfId="0" applyFont="1" applyFill="1" applyBorder="1" applyProtection="1"/>
    <xf numFmtId="0" fontId="3" fillId="2" borderId="0" xfId="0" applyFont="1" applyFill="1" applyBorder="1" applyProtection="1"/>
    <xf numFmtId="0" fontId="7" fillId="2" borderId="1" xfId="0" applyFont="1" applyFill="1" applyBorder="1"/>
    <xf numFmtId="0" fontId="7" fillId="2" borderId="0" xfId="0" applyFont="1" applyFill="1" applyBorder="1"/>
    <xf numFmtId="0" fontId="7" fillId="2" borderId="4" xfId="0" applyFont="1" applyFill="1" applyBorder="1"/>
    <xf numFmtId="0" fontId="14" fillId="2" borderId="5" xfId="0" applyFont="1" applyFill="1" applyBorder="1" applyAlignment="1">
      <alignment horizontal="right"/>
    </xf>
    <xf numFmtId="0" fontId="14" fillId="2" borderId="8" xfId="0" applyFont="1" applyFill="1" applyBorder="1"/>
    <xf numFmtId="9" fontId="8" fillId="2" borderId="7" xfId="1" applyFont="1" applyFill="1" applyBorder="1" applyAlignment="1">
      <alignment horizontal="center"/>
    </xf>
    <xf numFmtId="0" fontId="8" fillId="2" borderId="16" xfId="0" applyFont="1" applyFill="1" applyBorder="1"/>
    <xf numFmtId="0" fontId="15" fillId="2" borderId="9" xfId="0" applyFont="1" applyFill="1" applyBorder="1" applyAlignment="1">
      <alignment horizontal="right"/>
    </xf>
    <xf numFmtId="0" fontId="15" fillId="2" borderId="10" xfId="0" applyFont="1" applyFill="1" applyBorder="1"/>
    <xf numFmtId="0" fontId="8" fillId="2" borderId="11" xfId="0" applyFont="1" applyFill="1" applyBorder="1"/>
    <xf numFmtId="0" fontId="8" fillId="2" borderId="12" xfId="0" applyFont="1" applyFill="1" applyBorder="1"/>
    <xf numFmtId="0" fontId="16" fillId="2" borderId="13" xfId="0" applyFont="1" applyFill="1" applyBorder="1"/>
    <xf numFmtId="0" fontId="8" fillId="2" borderId="1" xfId="0" applyFont="1" applyFill="1" applyBorder="1"/>
    <xf numFmtId="0" fontId="8" fillId="2" borderId="0" xfId="0" applyFont="1" applyFill="1" applyBorder="1"/>
    <xf numFmtId="0" fontId="8" fillId="2" borderId="4" xfId="0" applyFont="1" applyFill="1" applyBorder="1"/>
    <xf numFmtId="0" fontId="15" fillId="2" borderId="5" xfId="0" applyFont="1" applyFill="1" applyBorder="1" applyAlignment="1">
      <alignment horizontal="right"/>
    </xf>
    <xf numFmtId="0" fontId="15" fillId="2" borderId="8" xfId="0" applyFont="1" applyFill="1" applyBorder="1"/>
    <xf numFmtId="0" fontId="7" fillId="2" borderId="11" xfId="0" applyFont="1" applyFill="1" applyBorder="1"/>
    <xf numFmtId="0" fontId="7" fillId="2" borderId="12" xfId="0" applyFont="1" applyFill="1" applyBorder="1"/>
    <xf numFmtId="0" fontId="7" fillId="2" borderId="1" xfId="0" applyFont="1" applyFill="1" applyBorder="1" applyProtection="1"/>
    <xf numFmtId="0" fontId="7" fillId="2" borderId="0" xfId="0" applyFont="1" applyFill="1" applyBorder="1" applyProtection="1"/>
    <xf numFmtId="0" fontId="17" fillId="2" borderId="14" xfId="0" applyFont="1" applyFill="1" applyBorder="1" applyAlignment="1" applyProtection="1">
      <alignment horizontal="center"/>
    </xf>
    <xf numFmtId="0" fontId="17" fillId="2" borderId="15" xfId="0" quotePrefix="1" applyFont="1" applyFill="1" applyBorder="1" applyAlignment="1" applyProtection="1">
      <alignment horizontal="center"/>
    </xf>
    <xf numFmtId="0" fontId="17" fillId="2" borderId="3" xfId="0" applyFont="1" applyFill="1" applyBorder="1" applyAlignment="1" applyProtection="1">
      <alignment horizontal="center"/>
    </xf>
    <xf numFmtId="0" fontId="18" fillId="2" borderId="0" xfId="0" applyFont="1" applyFill="1" applyBorder="1"/>
    <xf numFmtId="0" fontId="18" fillId="2" borderId="2" xfId="0" applyFont="1" applyFill="1" applyBorder="1"/>
    <xf numFmtId="0" fontId="17" fillId="2" borderId="2" xfId="0" applyFont="1" applyFill="1" applyBorder="1" applyAlignment="1">
      <alignment horizontal="center"/>
    </xf>
    <xf numFmtId="0" fontId="19" fillId="2" borderId="0" xfId="0" applyFont="1" applyFill="1" applyBorder="1"/>
    <xf numFmtId="0" fontId="19" fillId="2" borderId="2" xfId="0" applyFont="1" applyFill="1" applyBorder="1"/>
    <xf numFmtId="0" fontId="16" fillId="2" borderId="3" xfId="0" applyFont="1" applyFill="1" applyBorder="1" applyAlignment="1">
      <alignment horizontal="center"/>
    </xf>
    <xf numFmtId="0" fontId="16" fillId="2" borderId="2" xfId="0" applyFont="1" applyFill="1" applyBorder="1" applyAlignment="1">
      <alignment horizontal="center"/>
    </xf>
    <xf numFmtId="49" fontId="3" fillId="0" borderId="6" xfId="0" applyNumberFormat="1" applyFont="1" applyBorder="1" applyAlignment="1">
      <alignment horizontal="right" vertical="top"/>
    </xf>
    <xf numFmtId="0" fontId="9" fillId="0" borderId="6" xfId="0" applyFont="1" applyBorder="1" applyAlignment="1">
      <alignment horizontal="left" vertical="top" wrapText="1"/>
    </xf>
    <xf numFmtId="0" fontId="0" fillId="0" borderId="6" xfId="0" applyBorder="1" applyAlignment="1"/>
    <xf numFmtId="0" fontId="1" fillId="3" borderId="0" xfId="0" applyFont="1" applyFill="1" applyBorder="1" applyAlignment="1">
      <alignment horizontal="center" vertical="center" wrapText="1"/>
    </xf>
    <xf numFmtId="0" fontId="0" fillId="0" borderId="6" xfId="0" applyFill="1" applyBorder="1" applyAlignment="1"/>
    <xf numFmtId="0" fontId="5" fillId="6" borderId="6" xfId="0" applyFont="1" applyFill="1" applyBorder="1" applyAlignment="1">
      <alignment horizontal="left" wrapText="1"/>
    </xf>
    <xf numFmtId="0" fontId="9" fillId="0" borderId="6" xfId="0" applyFont="1" applyBorder="1" applyAlignment="1">
      <alignment horizontal="left" vertical="top" wrapText="1"/>
    </xf>
    <xf numFmtId="0" fontId="3" fillId="0" borderId="5" xfId="0" applyFont="1" applyBorder="1" applyAlignment="1">
      <alignment horizontal="center"/>
    </xf>
    <xf numFmtId="0" fontId="3" fillId="0" borderId="8" xfId="0" applyFont="1" applyBorder="1" applyAlignment="1">
      <alignment horizontal="center"/>
    </xf>
    <xf numFmtId="0" fontId="10" fillId="0" borderId="5" xfId="0" applyFont="1" applyBorder="1" applyAlignment="1">
      <alignment horizontal="center"/>
    </xf>
    <xf numFmtId="0" fontId="10" fillId="0" borderId="8" xfId="0" applyFont="1" applyBorder="1" applyAlignment="1">
      <alignment horizontal="center"/>
    </xf>
    <xf numFmtId="0" fontId="4" fillId="0" borderId="0" xfId="0" applyFont="1" applyBorder="1" applyAlignment="1">
      <alignment horizontal="center" vertical="top"/>
    </xf>
    <xf numFmtId="0" fontId="20" fillId="0" borderId="29" xfId="0" applyFont="1" applyBorder="1" applyAlignment="1">
      <alignment horizontal="center" vertical="top"/>
    </xf>
    <xf numFmtId="0" fontId="3" fillId="0" borderId="5" xfId="0" applyFont="1" applyBorder="1" applyAlignment="1">
      <alignment horizontal="left" vertical="top"/>
    </xf>
    <xf numFmtId="0" fontId="3" fillId="0" borderId="8" xfId="0" applyFont="1" applyBorder="1" applyAlignment="1">
      <alignment horizontal="left" vertical="top"/>
    </xf>
    <xf numFmtId="0" fontId="5" fillId="6" borderId="5" xfId="0" applyFont="1" applyFill="1" applyBorder="1" applyAlignment="1">
      <alignment horizontal="center"/>
    </xf>
    <xf numFmtId="0" fontId="5" fillId="6" borderId="8" xfId="0" applyFont="1" applyFill="1" applyBorder="1" applyAlignment="1">
      <alignment horizontal="center"/>
    </xf>
    <xf numFmtId="0" fontId="4" fillId="0" borderId="0" xfId="0" applyFont="1" applyAlignment="1">
      <alignment horizontal="center"/>
    </xf>
    <xf numFmtId="0" fontId="20" fillId="0" borderId="0" xfId="0" applyFont="1" applyAlignment="1">
      <alignment horizontal="center" vertical="top"/>
    </xf>
    <xf numFmtId="0" fontId="3" fillId="0" borderId="5" xfId="0" applyFont="1" applyFill="1" applyBorder="1" applyAlignment="1">
      <alignment horizontal="center" vertical="center"/>
    </xf>
    <xf numFmtId="0" fontId="3" fillId="0" borderId="8" xfId="0" applyFont="1" applyFill="1" applyBorder="1" applyAlignment="1">
      <alignment horizontal="center" vertical="center"/>
    </xf>
    <xf numFmtId="0" fontId="1" fillId="3" borderId="6"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30"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31" xfId="0" applyFont="1" applyFill="1" applyBorder="1" applyAlignment="1">
      <alignment horizontal="center" vertical="center"/>
    </xf>
    <xf numFmtId="0" fontId="1" fillId="3" borderId="32" xfId="0" applyFont="1" applyFill="1" applyBorder="1" applyAlignment="1">
      <alignment horizontal="center" vertical="center"/>
    </xf>
    <xf numFmtId="0" fontId="0" fillId="0" borderId="0" xfId="0" applyAlignment="1">
      <alignment horizontal="center"/>
    </xf>
    <xf numFmtId="0" fontId="9" fillId="4" borderId="11" xfId="0" applyFont="1" applyFill="1" applyBorder="1" applyAlignment="1">
      <alignment horizontal="center"/>
    </xf>
    <xf numFmtId="0" fontId="9" fillId="4" borderId="11" xfId="0" applyFont="1" applyFill="1" applyBorder="1" applyAlignment="1" applyProtection="1">
      <alignment horizontal="center"/>
    </xf>
    <xf numFmtId="0" fontId="5" fillId="6" borderId="2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2" xfId="0" applyFont="1" applyFill="1" applyBorder="1" applyAlignment="1">
      <alignment horizontal="center" vertical="center"/>
    </xf>
    <xf numFmtId="0" fontId="13" fillId="2" borderId="22" xfId="0" applyFont="1" applyFill="1" applyBorder="1" applyAlignment="1">
      <alignment horizontal="center"/>
    </xf>
    <xf numFmtId="0" fontId="13" fillId="2" borderId="11" xfId="0" applyFont="1" applyFill="1" applyBorder="1" applyAlignment="1">
      <alignment horizontal="center"/>
    </xf>
    <xf numFmtId="3" fontId="13" fillId="0" borderId="22" xfId="0" applyNumberFormat="1" applyFont="1" applyFill="1" applyBorder="1" applyAlignment="1">
      <alignment horizontal="center"/>
    </xf>
    <xf numFmtId="3" fontId="13" fillId="0" borderId="11" xfId="0" applyNumberFormat="1" applyFont="1" applyFill="1" applyBorder="1" applyAlignment="1">
      <alignment horizontal="center"/>
    </xf>
    <xf numFmtId="3" fontId="13" fillId="0" borderId="12" xfId="0" applyNumberFormat="1" applyFont="1" applyFill="1" applyBorder="1" applyAlignment="1">
      <alignment horizontal="center"/>
    </xf>
    <xf numFmtId="0" fontId="8" fillId="5" borderId="23" xfId="0" applyFont="1" applyFill="1" applyBorder="1" applyAlignment="1" applyProtection="1">
      <alignment horizontal="center"/>
      <protection locked="0"/>
    </xf>
    <xf numFmtId="0" fontId="8" fillId="5" borderId="24" xfId="0" applyFont="1" applyFill="1" applyBorder="1" applyAlignment="1" applyProtection="1">
      <alignment horizontal="center"/>
      <protection locked="0"/>
    </xf>
    <xf numFmtId="0" fontId="8" fillId="5" borderId="25" xfId="0" applyFont="1" applyFill="1" applyBorder="1" applyAlignment="1" applyProtection="1">
      <alignment horizontal="center"/>
      <protection locked="0"/>
    </xf>
    <xf numFmtId="0" fontId="8" fillId="5" borderId="4" xfId="0" applyFont="1" applyFill="1" applyBorder="1" applyAlignment="1" applyProtection="1">
      <alignment horizontal="center"/>
      <protection locked="0"/>
    </xf>
    <xf numFmtId="0" fontId="8" fillId="5" borderId="6" xfId="0" applyFont="1" applyFill="1" applyBorder="1" applyAlignment="1" applyProtection="1">
      <alignment horizontal="center"/>
      <protection locked="0"/>
    </xf>
    <xf numFmtId="0" fontId="8" fillId="5" borderId="7" xfId="0" applyFont="1" applyFill="1" applyBorder="1" applyAlignment="1" applyProtection="1">
      <alignment horizontal="center"/>
      <protection locked="0"/>
    </xf>
    <xf numFmtId="0" fontId="16" fillId="2" borderId="1" xfId="0" applyFont="1" applyFill="1" applyBorder="1" applyAlignment="1">
      <alignment horizontal="center"/>
    </xf>
    <xf numFmtId="0" fontId="16" fillId="2" borderId="0" xfId="0" applyFont="1" applyFill="1" applyBorder="1" applyAlignment="1">
      <alignment horizontal="center"/>
    </xf>
    <xf numFmtId="0" fontId="16" fillId="2" borderId="2" xfId="0" applyFont="1" applyFill="1" applyBorder="1" applyAlignment="1">
      <alignment horizontal="center"/>
    </xf>
    <xf numFmtId="3" fontId="7" fillId="5" borderId="26" xfId="0" applyNumberFormat="1" applyFont="1" applyFill="1" applyBorder="1" applyAlignment="1" applyProtection="1">
      <alignment horizontal="center"/>
      <protection locked="0"/>
    </xf>
    <xf numFmtId="3" fontId="7" fillId="5" borderId="27" xfId="0" applyNumberFormat="1" applyFont="1" applyFill="1" applyBorder="1" applyAlignment="1" applyProtection="1">
      <alignment horizontal="center"/>
      <protection locked="0"/>
    </xf>
    <xf numFmtId="3" fontId="7" fillId="5" borderId="28" xfId="0" applyNumberFormat="1" applyFont="1" applyFill="1" applyBorder="1" applyAlignment="1" applyProtection="1">
      <alignment horizontal="center"/>
      <protection locked="0"/>
    </xf>
    <xf numFmtId="0" fontId="10" fillId="2" borderId="22" xfId="0" applyFont="1" applyFill="1" applyBorder="1" applyAlignment="1" applyProtection="1">
      <alignment horizontal="center"/>
    </xf>
    <xf numFmtId="0" fontId="10" fillId="2" borderId="12" xfId="0" applyFont="1" applyFill="1" applyBorder="1" applyAlignment="1" applyProtection="1">
      <alignment horizontal="center"/>
    </xf>
    <xf numFmtId="0" fontId="3" fillId="2" borderId="22" xfId="0" applyFont="1" applyFill="1" applyBorder="1" applyAlignment="1" applyProtection="1">
      <alignment horizontal="center"/>
    </xf>
    <xf numFmtId="0" fontId="3" fillId="2" borderId="11" xfId="0" applyFont="1" applyFill="1" applyBorder="1" applyAlignment="1" applyProtection="1">
      <alignment horizontal="center"/>
    </xf>
    <xf numFmtId="0" fontId="3" fillId="2" borderId="12" xfId="0" applyFont="1" applyFill="1" applyBorder="1" applyAlignment="1" applyProtection="1">
      <alignment horizontal="center"/>
    </xf>
    <xf numFmtId="16" fontId="3" fillId="2" borderId="22" xfId="0" applyNumberFormat="1" applyFont="1" applyFill="1" applyBorder="1" applyAlignment="1" applyProtection="1">
      <alignment horizontal="center"/>
    </xf>
    <xf numFmtId="0" fontId="11" fillId="2" borderId="19" xfId="0" applyFont="1" applyFill="1" applyBorder="1" applyAlignment="1" applyProtection="1">
      <alignment horizontal="center"/>
    </xf>
    <xf numFmtId="0" fontId="11" fillId="2" borderId="21" xfId="0" applyFont="1" applyFill="1" applyBorder="1" applyAlignment="1" applyProtection="1">
      <alignment horizontal="center"/>
    </xf>
    <xf numFmtId="3" fontId="12" fillId="2" borderId="19" xfId="0" applyNumberFormat="1" applyFont="1" applyFill="1" applyBorder="1" applyAlignment="1" applyProtection="1">
      <alignment horizontal="center"/>
    </xf>
    <xf numFmtId="0" fontId="12" fillId="2" borderId="20" xfId="0" applyFont="1" applyFill="1" applyBorder="1" applyAlignment="1" applyProtection="1">
      <alignment horizontal="center"/>
    </xf>
    <xf numFmtId="0" fontId="12" fillId="2" borderId="21" xfId="0" applyFont="1" applyFill="1" applyBorder="1" applyAlignment="1" applyProtection="1">
      <alignment horizontal="center"/>
    </xf>
    <xf numFmtId="0" fontId="22" fillId="2" borderId="17" xfId="0" applyFont="1" applyFill="1" applyBorder="1" applyAlignment="1" applyProtection="1">
      <alignment horizontal="center" vertical="center" wrapText="1"/>
    </xf>
    <xf numFmtId="0" fontId="22" fillId="2" borderId="18" xfId="0" applyFont="1" applyFill="1" applyBorder="1" applyAlignment="1" applyProtection="1">
      <alignment horizontal="center" vertical="center" wrapText="1"/>
    </xf>
    <xf numFmtId="0" fontId="22" fillId="2" borderId="1" xfId="0" applyFont="1" applyFill="1" applyBorder="1" applyAlignment="1" applyProtection="1">
      <alignment horizontal="center" vertical="center" wrapText="1"/>
    </xf>
    <xf numFmtId="0" fontId="22" fillId="2" borderId="2" xfId="0" applyFont="1" applyFill="1" applyBorder="1" applyAlignment="1" applyProtection="1">
      <alignment horizontal="center" vertical="center" wrapText="1"/>
    </xf>
    <xf numFmtId="0" fontId="22" fillId="2" borderId="19" xfId="0" applyFont="1" applyFill="1" applyBorder="1" applyAlignment="1" applyProtection="1">
      <alignment horizontal="center" vertical="center" wrapText="1"/>
    </xf>
    <xf numFmtId="0" fontId="22" fillId="2" borderId="21" xfId="0" applyFont="1" applyFill="1" applyBorder="1" applyAlignment="1" applyProtection="1">
      <alignment horizontal="center" vertical="center" wrapText="1"/>
    </xf>
    <xf numFmtId="0" fontId="17" fillId="2" borderId="22"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17" fillId="2" borderId="20" xfId="0" applyFont="1" applyFill="1" applyBorder="1" applyAlignment="1">
      <alignment horizontal="center"/>
    </xf>
    <xf numFmtId="0" fontId="17" fillId="2" borderId="21" xfId="0" applyFont="1" applyFill="1" applyBorder="1" applyAlignment="1">
      <alignment horizontal="center"/>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3" fillId="2" borderId="22" xfId="0" applyFont="1" applyFill="1" applyBorder="1" applyAlignment="1" applyProtection="1">
      <alignment horizontal="center"/>
    </xf>
    <xf numFmtId="0" fontId="13" fillId="2" borderId="11" xfId="0" applyFont="1" applyFill="1" applyBorder="1" applyAlignment="1" applyProtection="1">
      <alignment horizontal="center"/>
    </xf>
    <xf numFmtId="0" fontId="11" fillId="5" borderId="22" xfId="0" applyFont="1" applyFill="1" applyBorder="1" applyAlignment="1" applyProtection="1">
      <alignment horizontal="center"/>
      <protection locked="0"/>
    </xf>
    <xf numFmtId="0" fontId="11" fillId="5" borderId="11" xfId="0" applyFont="1" applyFill="1" applyBorder="1" applyAlignment="1" applyProtection="1">
      <alignment horizontal="center"/>
      <protection locked="0"/>
    </xf>
    <xf numFmtId="0" fontId="11" fillId="5" borderId="12" xfId="0" applyFont="1" applyFill="1" applyBorder="1" applyAlignment="1" applyProtection="1">
      <alignment horizontal="center"/>
      <protection locked="0"/>
    </xf>
    <xf numFmtId="0" fontId="21" fillId="2" borderId="22" xfId="0" applyFont="1" applyFill="1" applyBorder="1" applyAlignment="1">
      <alignment horizontal="center"/>
    </xf>
    <xf numFmtId="0" fontId="21" fillId="2" borderId="11" xfId="0" applyFont="1" applyFill="1" applyBorder="1" applyAlignment="1">
      <alignment horizontal="center"/>
    </xf>
    <xf numFmtId="0" fontId="16" fillId="2" borderId="19" xfId="0" quotePrefix="1" applyFont="1" applyFill="1" applyBorder="1" applyAlignment="1" applyProtection="1">
      <alignment horizontal="center"/>
    </xf>
    <xf numFmtId="0" fontId="16" fillId="2" borderId="20" xfId="0" applyFont="1" applyFill="1" applyBorder="1" applyAlignment="1" applyProtection="1">
      <alignment horizontal="center"/>
    </xf>
    <xf numFmtId="0" fontId="16" fillId="2" borderId="21" xfId="0" applyFont="1" applyFill="1" applyBorder="1" applyAlignment="1" applyProtection="1">
      <alignment horizontal="center"/>
    </xf>
    <xf numFmtId="0" fontId="16" fillId="2" borderId="22" xfId="0" applyFont="1" applyFill="1" applyBorder="1" applyAlignment="1" applyProtection="1">
      <alignment horizontal="center"/>
    </xf>
    <xf numFmtId="0" fontId="16" fillId="2" borderId="11" xfId="0" applyFont="1" applyFill="1" applyBorder="1" applyAlignment="1" applyProtection="1">
      <alignment horizontal="center"/>
    </xf>
    <xf numFmtId="0" fontId="16" fillId="2" borderId="12" xfId="0" applyFont="1" applyFill="1" applyBorder="1" applyAlignment="1" applyProtection="1">
      <alignment horizontal="center"/>
    </xf>
    <xf numFmtId="0" fontId="16" fillId="2" borderId="19" xfId="0" applyFont="1" applyFill="1" applyBorder="1" applyAlignment="1" applyProtection="1">
      <alignment horizontal="center"/>
    </xf>
    <xf numFmtId="0" fontId="13" fillId="5" borderId="22" xfId="0" applyFont="1" applyFill="1" applyBorder="1" applyAlignment="1" applyProtection="1">
      <alignment horizontal="center"/>
      <protection locked="0"/>
    </xf>
    <xf numFmtId="0" fontId="13" fillId="5" borderId="11" xfId="0" applyFont="1" applyFill="1" applyBorder="1" applyAlignment="1" applyProtection="1">
      <alignment horizontal="center"/>
      <protection locked="0"/>
    </xf>
    <xf numFmtId="0" fontId="13" fillId="5" borderId="12" xfId="0" applyFont="1" applyFill="1" applyBorder="1" applyAlignment="1" applyProtection="1">
      <alignment horizontal="center"/>
      <protection locked="0"/>
    </xf>
    <xf numFmtId="0" fontId="17" fillId="2" borderId="19" xfId="0" applyFont="1" applyFill="1" applyBorder="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1152526</xdr:colOff>
      <xdr:row>0</xdr:row>
      <xdr:rowOff>521455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809750" cy="5214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abSelected="1" zoomScaleNormal="100" workbookViewId="0">
      <selection activeCell="B41" sqref="B41"/>
    </sheetView>
  </sheetViews>
  <sheetFormatPr defaultRowHeight="14.25" x14ac:dyDescent="0.2"/>
  <cols>
    <col min="1" max="1" width="9.140625" style="2"/>
    <col min="2" max="2" width="92.140625" style="2" customWidth="1"/>
    <col min="3" max="16384" width="9.140625" style="2"/>
  </cols>
  <sheetData>
    <row r="1" spans="1:2" ht="52.5" customHeight="1" x14ac:dyDescent="0.2">
      <c r="A1" s="53"/>
      <c r="B1" s="53"/>
    </row>
    <row r="2" spans="1:2" ht="26.25" customHeight="1" x14ac:dyDescent="0.2">
      <c r="A2" s="53" t="s">
        <v>91</v>
      </c>
      <c r="B2" s="53"/>
    </row>
    <row r="3" spans="1:2" ht="34.5" customHeight="1" x14ac:dyDescent="0.2">
      <c r="A3" s="54" t="s">
        <v>92</v>
      </c>
      <c r="B3" s="54"/>
    </row>
    <row r="4" spans="1:2" ht="15" x14ac:dyDescent="0.2">
      <c r="A4" s="47" t="s">
        <v>53</v>
      </c>
      <c r="B4" s="47"/>
    </row>
    <row r="5" spans="1:2" ht="103.5" customHeight="1" x14ac:dyDescent="0.2">
      <c r="A5" s="48" t="s">
        <v>98</v>
      </c>
      <c r="B5" s="48"/>
    </row>
    <row r="6" spans="1:2" x14ac:dyDescent="0.2">
      <c r="A6" s="49"/>
      <c r="B6" s="50"/>
    </row>
    <row r="7" spans="1:2" ht="15" x14ac:dyDescent="0.2">
      <c r="A7" s="47" t="s">
        <v>54</v>
      </c>
      <c r="B7" s="47"/>
    </row>
    <row r="8" spans="1:2" ht="45.75" customHeight="1" x14ac:dyDescent="0.2">
      <c r="A8" s="48" t="s">
        <v>76</v>
      </c>
      <c r="B8" s="48"/>
    </row>
    <row r="9" spans="1:2" ht="15" customHeight="1" x14ac:dyDescent="0.2">
      <c r="A9" s="51"/>
      <c r="B9" s="52"/>
    </row>
    <row r="10" spans="1:2" ht="15" x14ac:dyDescent="0.2">
      <c r="A10" s="47" t="s">
        <v>55</v>
      </c>
      <c r="B10" s="47"/>
    </row>
    <row r="11" spans="1:2" ht="16.5" customHeight="1" x14ac:dyDescent="0.2">
      <c r="A11" s="42" t="s">
        <v>85</v>
      </c>
      <c r="B11" s="43" t="s">
        <v>80</v>
      </c>
    </row>
    <row r="12" spans="1:2" ht="32.25" customHeight="1" x14ac:dyDescent="0.2">
      <c r="A12" s="42" t="s">
        <v>86</v>
      </c>
      <c r="B12" s="43" t="s">
        <v>81</v>
      </c>
    </row>
    <row r="13" spans="1:2" ht="30.75" customHeight="1" x14ac:dyDescent="0.2">
      <c r="A13" s="42" t="s">
        <v>87</v>
      </c>
      <c r="B13" s="43" t="s">
        <v>82</v>
      </c>
    </row>
    <row r="14" spans="1:2" ht="18" customHeight="1" x14ac:dyDescent="0.2">
      <c r="A14" s="42" t="s">
        <v>88</v>
      </c>
      <c r="B14" s="43" t="s">
        <v>83</v>
      </c>
    </row>
    <row r="15" spans="1:2" ht="61.5" customHeight="1" x14ac:dyDescent="0.2">
      <c r="A15" s="42" t="s">
        <v>89</v>
      </c>
      <c r="B15" s="43" t="s">
        <v>84</v>
      </c>
    </row>
  </sheetData>
  <sheetProtection password="E9D1" sheet="1" objects="1" scenarios="1"/>
  <mergeCells count="10">
    <mergeCell ref="A1:B1"/>
    <mergeCell ref="A2:B2"/>
    <mergeCell ref="A3:B3"/>
    <mergeCell ref="A4:B4"/>
    <mergeCell ref="A5:B5"/>
    <mergeCell ref="A7:B7"/>
    <mergeCell ref="A8:B8"/>
    <mergeCell ref="A10:B10"/>
    <mergeCell ref="A6:B6"/>
    <mergeCell ref="A9:B9"/>
  </mergeCells>
  <pageMargins left="0.25" right="0.25" top="0.26041666666666669" bottom="0.75" header="0.3" footer="0.3"/>
  <pageSetup orientation="portrait" r:id="rId1"/>
  <ignoredErrors>
    <ignoredError sqref="A11 A12:A15"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zoomScaleNormal="100" workbookViewId="0">
      <selection activeCell="B9" sqref="B9"/>
    </sheetView>
  </sheetViews>
  <sheetFormatPr defaultRowHeight="15" x14ac:dyDescent="0.25"/>
  <cols>
    <col min="1" max="1" width="25.140625" customWidth="1"/>
    <col min="2" max="2" width="76.42578125" customWidth="1"/>
  </cols>
  <sheetData>
    <row r="1" spans="1:2" ht="22.5" x14ac:dyDescent="0.3">
      <c r="A1" s="59" t="s">
        <v>91</v>
      </c>
      <c r="B1" s="59"/>
    </row>
    <row r="2" spans="1:2" ht="23.25" customHeight="1" x14ac:dyDescent="0.25">
      <c r="A2" s="60" t="s">
        <v>93</v>
      </c>
      <c r="B2" s="60"/>
    </row>
    <row r="3" spans="1:2" ht="15.75" x14ac:dyDescent="0.25">
      <c r="A3" s="57" t="s">
        <v>18</v>
      </c>
      <c r="B3" s="58"/>
    </row>
    <row r="4" spans="1:2" ht="88.5" customHeight="1" x14ac:dyDescent="0.25">
      <c r="A4" s="4" t="str">
        <f>'Project Scaling Worksheet'!B6</f>
        <v>Sponsor</v>
      </c>
      <c r="B4" s="5" t="s">
        <v>41</v>
      </c>
    </row>
    <row r="5" spans="1:2" ht="30.75" customHeight="1" x14ac:dyDescent="0.25">
      <c r="A5" s="4" t="str">
        <f>'Project Scaling Worksheet'!B7</f>
        <v>Project Objectives</v>
      </c>
      <c r="B5" s="5" t="s">
        <v>30</v>
      </c>
    </row>
    <row r="6" spans="1:2" x14ac:dyDescent="0.25">
      <c r="A6" s="5" t="s">
        <v>49</v>
      </c>
      <c r="B6" s="5" t="s">
        <v>99</v>
      </c>
    </row>
    <row r="7" spans="1:2" ht="45.75" customHeight="1" x14ac:dyDescent="0.25">
      <c r="A7" s="8" t="str">
        <f>'Project Scaling Worksheet'!B9</f>
        <v>Technical Requirements</v>
      </c>
      <c r="B7" s="5" t="s">
        <v>62</v>
      </c>
    </row>
    <row r="8" spans="1:2" ht="48" customHeight="1" x14ac:dyDescent="0.25">
      <c r="A8" s="4" t="str">
        <f>'Project Scaling Worksheet'!B10</f>
        <v>Team Location</v>
      </c>
      <c r="B8" s="5" t="s">
        <v>31</v>
      </c>
    </row>
    <row r="9" spans="1:2" ht="46.5" customHeight="1" x14ac:dyDescent="0.25">
      <c r="A9" s="4" t="str">
        <f>'Project Scaling Worksheet'!B11</f>
        <v>Deadline</v>
      </c>
      <c r="B9" s="5" t="s">
        <v>32</v>
      </c>
    </row>
    <row r="10" spans="1:2" ht="45" customHeight="1" x14ac:dyDescent="0.25">
      <c r="A10" s="8" t="str">
        <f>'Project Scaling Worksheet'!B12</f>
        <v>Stakeholder Involvement</v>
      </c>
      <c r="B10" s="5" t="s">
        <v>33</v>
      </c>
    </row>
    <row r="11" spans="1:2" ht="45" customHeight="1" x14ac:dyDescent="0.25">
      <c r="A11" s="4" t="str">
        <f>'Project Scaling Worksheet'!B13</f>
        <v>External Dependencies</v>
      </c>
      <c r="B11" s="5" t="s">
        <v>63</v>
      </c>
    </row>
    <row r="12" spans="1:2" ht="46.5" customHeight="1" x14ac:dyDescent="0.25">
      <c r="A12" s="6" t="s">
        <v>34</v>
      </c>
      <c r="B12" s="5" t="s">
        <v>37</v>
      </c>
    </row>
    <row r="13" spans="1:2" ht="20.25" customHeight="1" x14ac:dyDescent="0.25">
      <c r="A13" s="6" t="s">
        <v>64</v>
      </c>
      <c r="B13" s="5" t="s">
        <v>66</v>
      </c>
    </row>
    <row r="14" spans="1:2" ht="33" customHeight="1" x14ac:dyDescent="0.25">
      <c r="A14" s="7" t="s">
        <v>65</v>
      </c>
      <c r="B14" s="5" t="s">
        <v>74</v>
      </c>
    </row>
    <row r="15" spans="1:2" ht="31.5" customHeight="1" x14ac:dyDescent="0.25">
      <c r="A15" s="7" t="s">
        <v>67</v>
      </c>
      <c r="B15" s="5" t="s">
        <v>75</v>
      </c>
    </row>
    <row r="16" spans="1:2" ht="6.75" customHeight="1" x14ac:dyDescent="0.25">
      <c r="A16" s="61"/>
      <c r="B16" s="62"/>
    </row>
    <row r="17" spans="1:2" ht="15.75" x14ac:dyDescent="0.25">
      <c r="A17" s="57" t="s">
        <v>19</v>
      </c>
      <c r="B17" s="58"/>
    </row>
    <row r="18" spans="1:2" x14ac:dyDescent="0.25">
      <c r="A18" s="5" t="s">
        <v>20</v>
      </c>
      <c r="B18" s="5" t="s">
        <v>38</v>
      </c>
    </row>
    <row r="19" spans="1:2" x14ac:dyDescent="0.25">
      <c r="A19" s="5" t="s">
        <v>21</v>
      </c>
      <c r="B19" s="5" t="s">
        <v>68</v>
      </c>
    </row>
    <row r="20" spans="1:2" x14ac:dyDescent="0.25">
      <c r="A20" s="5" t="s">
        <v>22</v>
      </c>
      <c r="B20" s="5" t="s">
        <v>39</v>
      </c>
    </row>
    <row r="21" spans="1:2" x14ac:dyDescent="0.25">
      <c r="A21" s="5" t="s">
        <v>23</v>
      </c>
      <c r="B21" s="5" t="s">
        <v>40</v>
      </c>
    </row>
    <row r="22" spans="1:2" ht="6.75" customHeight="1" x14ac:dyDescent="0.25">
      <c r="A22" s="3"/>
      <c r="B22" s="3"/>
    </row>
    <row r="23" spans="1:2" ht="15.75" x14ac:dyDescent="0.25">
      <c r="A23" s="57" t="s">
        <v>44</v>
      </c>
      <c r="B23" s="58"/>
    </row>
    <row r="24" spans="1:2" x14ac:dyDescent="0.25">
      <c r="A24" s="55" t="s">
        <v>56</v>
      </c>
      <c r="B24" s="56"/>
    </row>
    <row r="25" spans="1:2" ht="9" customHeight="1" x14ac:dyDescent="0.25">
      <c r="A25" s="2"/>
      <c r="B25" s="2"/>
    </row>
    <row r="26" spans="1:2" ht="15.75" x14ac:dyDescent="0.25">
      <c r="A26" s="57" t="s">
        <v>26</v>
      </c>
      <c r="B26" s="58"/>
    </row>
    <row r="27" spans="1:2" x14ac:dyDescent="0.25">
      <c r="A27" s="55" t="s">
        <v>57</v>
      </c>
      <c r="B27" s="56"/>
    </row>
    <row r="28" spans="1:2" x14ac:dyDescent="0.25">
      <c r="A28" s="2"/>
      <c r="B28" s="2"/>
    </row>
  </sheetData>
  <mergeCells count="9">
    <mergeCell ref="A27:B27"/>
    <mergeCell ref="A26:B26"/>
    <mergeCell ref="A23:B23"/>
    <mergeCell ref="A24:B24"/>
    <mergeCell ref="A1:B1"/>
    <mergeCell ref="A2:B2"/>
    <mergeCell ref="A3:B3"/>
    <mergeCell ref="A17:B17"/>
    <mergeCell ref="A16:B16"/>
  </mergeCells>
  <pageMargins left="0.25" right="0.25" top="0.343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zoomScaleNormal="100" workbookViewId="0">
      <selection activeCell="C55" sqref="C55:D56"/>
    </sheetView>
  </sheetViews>
  <sheetFormatPr defaultRowHeight="15" x14ac:dyDescent="0.25"/>
  <cols>
    <col min="1" max="1" width="1.7109375" customWidth="1"/>
    <col min="2" max="2" width="32.7109375" bestFit="1" customWidth="1"/>
    <col min="3" max="3" width="13.85546875" customWidth="1"/>
    <col min="4" max="4" width="4.5703125" bestFit="1" customWidth="1"/>
    <col min="5" max="8" width="3.42578125" customWidth="1"/>
    <col min="9" max="9" width="3.7109375" customWidth="1"/>
    <col min="10" max="10" width="16" customWidth="1"/>
    <col min="11" max="11" width="14.85546875" customWidth="1"/>
  </cols>
  <sheetData>
    <row r="1" spans="1:11" ht="22.5" x14ac:dyDescent="0.3">
      <c r="A1" s="59" t="s">
        <v>95</v>
      </c>
      <c r="B1" s="59"/>
      <c r="C1" s="59"/>
      <c r="D1" s="59"/>
      <c r="E1" s="59"/>
      <c r="F1" s="59"/>
      <c r="G1" s="59"/>
      <c r="H1" s="59"/>
      <c r="I1" s="59"/>
      <c r="J1" s="59"/>
      <c r="K1" s="59"/>
    </row>
    <row r="2" spans="1:11" ht="15.75" thickBot="1" x14ac:dyDescent="0.3">
      <c r="A2" s="71"/>
      <c r="B2" s="71"/>
      <c r="C2" s="71"/>
      <c r="D2" s="71"/>
      <c r="E2" s="71"/>
      <c r="F2" s="71"/>
      <c r="G2" s="71"/>
      <c r="H2" s="71"/>
      <c r="I2" s="71"/>
      <c r="J2" s="71"/>
      <c r="K2" s="71"/>
    </row>
    <row r="3" spans="1:11" ht="26.25" customHeight="1" thickBot="1" x14ac:dyDescent="0.3">
      <c r="B3" s="74" t="s">
        <v>18</v>
      </c>
      <c r="C3" s="75"/>
      <c r="D3" s="75"/>
      <c r="E3" s="75"/>
      <c r="F3" s="75"/>
      <c r="G3" s="75"/>
      <c r="H3" s="75"/>
      <c r="I3" s="75"/>
      <c r="J3" s="75"/>
      <c r="K3" s="76"/>
    </row>
    <row r="4" spans="1:11" ht="15.75" thickBot="1" x14ac:dyDescent="0.3">
      <c r="B4" s="11"/>
      <c r="C4" s="12"/>
      <c r="D4" s="22" t="s">
        <v>16</v>
      </c>
      <c r="E4" s="88" t="s">
        <v>90</v>
      </c>
      <c r="F4" s="89"/>
      <c r="G4" s="89"/>
      <c r="H4" s="89"/>
      <c r="I4" s="90"/>
      <c r="J4" s="38"/>
      <c r="K4" s="39"/>
    </row>
    <row r="5" spans="1:11" ht="15.75" thickBot="1" x14ac:dyDescent="0.3">
      <c r="B5" s="11"/>
      <c r="C5" s="12"/>
      <c r="D5" s="40">
        <f>E48</f>
        <v>0</v>
      </c>
      <c r="E5" s="40">
        <f>E49</f>
        <v>1</v>
      </c>
      <c r="F5" s="40">
        <f>E50</f>
        <v>2</v>
      </c>
      <c r="G5" s="40">
        <f>E51</f>
        <v>3</v>
      </c>
      <c r="H5" s="40">
        <f>E52</f>
        <v>4</v>
      </c>
      <c r="I5" s="40">
        <f>E53</f>
        <v>5</v>
      </c>
      <c r="J5" s="38"/>
      <c r="K5" s="41" t="s">
        <v>0</v>
      </c>
    </row>
    <row r="6" spans="1:11" x14ac:dyDescent="0.25">
      <c r="B6" s="13" t="s">
        <v>29</v>
      </c>
      <c r="C6" s="14" t="s">
        <v>7</v>
      </c>
      <c r="D6" s="91"/>
      <c r="E6" s="92"/>
      <c r="F6" s="92"/>
      <c r="G6" s="92"/>
      <c r="H6" s="92"/>
      <c r="I6" s="93"/>
      <c r="J6" s="15" t="s">
        <v>69</v>
      </c>
      <c r="K6" s="16">
        <v>0.5</v>
      </c>
    </row>
    <row r="7" spans="1:11" x14ac:dyDescent="0.25">
      <c r="B7" s="13" t="s">
        <v>1</v>
      </c>
      <c r="C7" s="14" t="s">
        <v>8</v>
      </c>
      <c r="D7" s="91"/>
      <c r="E7" s="92"/>
      <c r="F7" s="92"/>
      <c r="G7" s="92"/>
      <c r="H7" s="92"/>
      <c r="I7" s="93"/>
      <c r="J7" s="15" t="s">
        <v>13</v>
      </c>
      <c r="K7" s="16">
        <v>0.5</v>
      </c>
    </row>
    <row r="8" spans="1:11" x14ac:dyDescent="0.25">
      <c r="B8" s="13" t="s">
        <v>49</v>
      </c>
      <c r="C8" s="14" t="s">
        <v>58</v>
      </c>
      <c r="D8" s="91"/>
      <c r="E8" s="92"/>
      <c r="F8" s="92"/>
      <c r="G8" s="92"/>
      <c r="H8" s="92"/>
      <c r="I8" s="93"/>
      <c r="J8" s="15" t="s">
        <v>59</v>
      </c>
      <c r="K8" s="16">
        <v>0.5</v>
      </c>
    </row>
    <row r="9" spans="1:11" x14ac:dyDescent="0.25">
      <c r="B9" s="13" t="s">
        <v>2</v>
      </c>
      <c r="C9" s="14" t="s">
        <v>9</v>
      </c>
      <c r="D9" s="91"/>
      <c r="E9" s="92"/>
      <c r="F9" s="92"/>
      <c r="G9" s="92"/>
      <c r="H9" s="92"/>
      <c r="I9" s="93"/>
      <c r="J9" s="15" t="s">
        <v>14</v>
      </c>
      <c r="K9" s="16">
        <v>0.5</v>
      </c>
    </row>
    <row r="10" spans="1:11" x14ac:dyDescent="0.25">
      <c r="B10" s="13" t="s">
        <v>3</v>
      </c>
      <c r="C10" s="14" t="s">
        <v>7</v>
      </c>
      <c r="D10" s="91"/>
      <c r="E10" s="92"/>
      <c r="F10" s="92"/>
      <c r="G10" s="92"/>
      <c r="H10" s="92"/>
      <c r="I10" s="93"/>
      <c r="J10" s="15" t="s">
        <v>69</v>
      </c>
      <c r="K10" s="16">
        <v>0.25</v>
      </c>
    </row>
    <row r="11" spans="1:11" x14ac:dyDescent="0.25">
      <c r="B11" s="13" t="s">
        <v>4</v>
      </c>
      <c r="C11" s="14" t="s">
        <v>70</v>
      </c>
      <c r="D11" s="91"/>
      <c r="E11" s="92"/>
      <c r="F11" s="92"/>
      <c r="G11" s="92"/>
      <c r="H11" s="92"/>
      <c r="I11" s="93"/>
      <c r="J11" s="15" t="s">
        <v>10</v>
      </c>
      <c r="K11" s="16">
        <v>0.5</v>
      </c>
    </row>
    <row r="12" spans="1:11" x14ac:dyDescent="0.25">
      <c r="B12" s="13" t="s">
        <v>5</v>
      </c>
      <c r="C12" s="14" t="s">
        <v>11</v>
      </c>
      <c r="D12" s="91"/>
      <c r="E12" s="92"/>
      <c r="F12" s="92"/>
      <c r="G12" s="92"/>
      <c r="H12" s="92"/>
      <c r="I12" s="93"/>
      <c r="J12" s="15" t="s">
        <v>71</v>
      </c>
      <c r="K12" s="16">
        <v>0.5</v>
      </c>
    </row>
    <row r="13" spans="1:11" x14ac:dyDescent="0.25">
      <c r="B13" s="13" t="s">
        <v>6</v>
      </c>
      <c r="C13" s="14" t="s">
        <v>12</v>
      </c>
      <c r="D13" s="91"/>
      <c r="E13" s="92"/>
      <c r="F13" s="92"/>
      <c r="G13" s="92"/>
      <c r="H13" s="92"/>
      <c r="I13" s="93"/>
      <c r="J13" s="15" t="s">
        <v>15</v>
      </c>
      <c r="K13" s="16">
        <v>0.25</v>
      </c>
    </row>
    <row r="14" spans="1:11" x14ac:dyDescent="0.25">
      <c r="B14" s="17" t="s">
        <v>34</v>
      </c>
      <c r="C14" s="18" t="s">
        <v>35</v>
      </c>
      <c r="D14" s="91"/>
      <c r="E14" s="92"/>
      <c r="F14" s="92"/>
      <c r="G14" s="92"/>
      <c r="H14" s="92"/>
      <c r="I14" s="93"/>
      <c r="J14" s="19" t="s">
        <v>36</v>
      </c>
      <c r="K14" s="16">
        <v>0.5</v>
      </c>
    </row>
    <row r="15" spans="1:11" x14ac:dyDescent="0.25">
      <c r="B15" s="17" t="s">
        <v>64</v>
      </c>
      <c r="C15" s="14" t="s">
        <v>7</v>
      </c>
      <c r="D15" s="91"/>
      <c r="E15" s="92"/>
      <c r="F15" s="92"/>
      <c r="G15" s="92"/>
      <c r="H15" s="92"/>
      <c r="I15" s="93"/>
      <c r="J15" s="15" t="s">
        <v>15</v>
      </c>
      <c r="K15" s="16">
        <v>0.25</v>
      </c>
    </row>
    <row r="16" spans="1:11" x14ac:dyDescent="0.25">
      <c r="B16" s="17" t="s">
        <v>65</v>
      </c>
      <c r="C16" s="14" t="s">
        <v>7</v>
      </c>
      <c r="D16" s="91"/>
      <c r="E16" s="92"/>
      <c r="F16" s="92"/>
      <c r="G16" s="92"/>
      <c r="H16" s="92"/>
      <c r="I16" s="93"/>
      <c r="J16" s="15" t="s">
        <v>15</v>
      </c>
      <c r="K16" s="16">
        <v>0.5</v>
      </c>
    </row>
    <row r="17" spans="2:11" ht="15.75" thickBot="1" x14ac:dyDescent="0.3">
      <c r="B17" s="17" t="s">
        <v>67</v>
      </c>
      <c r="C17" s="18" t="s">
        <v>72</v>
      </c>
      <c r="D17" s="91"/>
      <c r="E17" s="92"/>
      <c r="F17" s="92"/>
      <c r="G17" s="92"/>
      <c r="H17" s="92"/>
      <c r="I17" s="93"/>
      <c r="J17" s="19" t="s">
        <v>73</v>
      </c>
      <c r="K17" s="16">
        <v>0.25</v>
      </c>
    </row>
    <row r="18" spans="2:11" ht="15.75" thickBot="1" x14ac:dyDescent="0.3">
      <c r="B18" s="125" t="s">
        <v>17</v>
      </c>
      <c r="C18" s="126"/>
      <c r="D18" s="79">
        <f>SUM(D6*K6)+(D7*K7)+ (D8*K8) + (D9*K9)+(D10*K10)+(D11*K11)+(D12*K12)+(D13*K13) +(D14*K14)+(D15*K15)+(D16*K16)+(D17*K17)</f>
        <v>0</v>
      </c>
      <c r="E18" s="80"/>
      <c r="F18" s="80"/>
      <c r="G18" s="80"/>
      <c r="H18" s="80"/>
      <c r="I18" s="81"/>
      <c r="J18" s="20"/>
      <c r="K18" s="21"/>
    </row>
    <row r="19" spans="2:11" ht="10.5" customHeight="1" thickBot="1" x14ac:dyDescent="0.3">
      <c r="B19" s="72"/>
      <c r="C19" s="72"/>
      <c r="D19" s="72"/>
      <c r="E19" s="72"/>
      <c r="F19" s="72"/>
      <c r="G19" s="72"/>
      <c r="H19" s="72"/>
      <c r="I19" s="72"/>
      <c r="J19" s="72"/>
      <c r="K19" s="72"/>
    </row>
    <row r="20" spans="2:11" ht="26.25" customHeight="1" thickBot="1" x14ac:dyDescent="0.3">
      <c r="B20" s="74" t="s">
        <v>19</v>
      </c>
      <c r="C20" s="75"/>
      <c r="D20" s="75"/>
      <c r="E20" s="75"/>
      <c r="F20" s="75"/>
      <c r="G20" s="75"/>
      <c r="H20" s="75"/>
      <c r="I20" s="75"/>
      <c r="J20" s="75"/>
      <c r="K20" s="76"/>
    </row>
    <row r="21" spans="2:11" ht="15.75" thickBot="1" x14ac:dyDescent="0.3">
      <c r="B21" s="23"/>
      <c r="C21" s="24"/>
      <c r="D21" s="137" t="s">
        <v>24</v>
      </c>
      <c r="E21" s="114"/>
      <c r="F21" s="115"/>
      <c r="G21" s="114" t="s">
        <v>25</v>
      </c>
      <c r="H21" s="114"/>
      <c r="I21" s="115"/>
      <c r="J21" s="35"/>
      <c r="K21" s="36"/>
    </row>
    <row r="22" spans="2:11" ht="15.75" thickBot="1" x14ac:dyDescent="0.3">
      <c r="B22" s="23"/>
      <c r="C22" s="24"/>
      <c r="D22" s="111">
        <f>E55</f>
        <v>0</v>
      </c>
      <c r="E22" s="112"/>
      <c r="F22" s="113"/>
      <c r="G22" s="111">
        <f>E56</f>
        <v>5</v>
      </c>
      <c r="H22" s="112"/>
      <c r="I22" s="113"/>
      <c r="J22" s="35"/>
      <c r="K22" s="37" t="s">
        <v>0</v>
      </c>
    </row>
    <row r="23" spans="2:11" x14ac:dyDescent="0.25">
      <c r="B23" s="25" t="s">
        <v>20</v>
      </c>
      <c r="C23" s="26" t="s">
        <v>24</v>
      </c>
      <c r="D23" s="82">
        <v>0</v>
      </c>
      <c r="E23" s="83"/>
      <c r="F23" s="83"/>
      <c r="G23" s="83"/>
      <c r="H23" s="83"/>
      <c r="I23" s="84"/>
      <c r="J23" s="27" t="s">
        <v>25</v>
      </c>
      <c r="K23" s="16">
        <v>0.5</v>
      </c>
    </row>
    <row r="24" spans="2:11" x14ac:dyDescent="0.25">
      <c r="B24" s="25" t="s">
        <v>21</v>
      </c>
      <c r="C24" s="26" t="s">
        <v>24</v>
      </c>
      <c r="D24" s="85">
        <v>0</v>
      </c>
      <c r="E24" s="86"/>
      <c r="F24" s="86"/>
      <c r="G24" s="86"/>
      <c r="H24" s="86"/>
      <c r="I24" s="87"/>
      <c r="J24" s="27" t="s">
        <v>25</v>
      </c>
      <c r="K24" s="16">
        <v>1</v>
      </c>
    </row>
    <row r="25" spans="2:11" x14ac:dyDescent="0.25">
      <c r="B25" s="25" t="s">
        <v>22</v>
      </c>
      <c r="C25" s="26" t="s">
        <v>24</v>
      </c>
      <c r="D25" s="85">
        <v>0</v>
      </c>
      <c r="E25" s="86"/>
      <c r="F25" s="86"/>
      <c r="G25" s="86"/>
      <c r="H25" s="86"/>
      <c r="I25" s="87"/>
      <c r="J25" s="27" t="s">
        <v>25</v>
      </c>
      <c r="K25" s="16">
        <v>0.7</v>
      </c>
    </row>
    <row r="26" spans="2:11" ht="15.75" thickBot="1" x14ac:dyDescent="0.3">
      <c r="B26" s="25" t="s">
        <v>23</v>
      </c>
      <c r="C26" s="26" t="s">
        <v>24</v>
      </c>
      <c r="D26" s="85">
        <v>0</v>
      </c>
      <c r="E26" s="86"/>
      <c r="F26" s="86"/>
      <c r="G26" s="86"/>
      <c r="H26" s="86"/>
      <c r="I26" s="87"/>
      <c r="J26" s="27" t="s">
        <v>25</v>
      </c>
      <c r="K26" s="16">
        <v>0.7</v>
      </c>
    </row>
    <row r="27" spans="2:11" ht="15.75" thickBot="1" x14ac:dyDescent="0.3">
      <c r="B27" s="77" t="s">
        <v>27</v>
      </c>
      <c r="C27" s="78"/>
      <c r="D27" s="79">
        <f>SUM(D23*K23)+(D24*K24)+(D25*K25)+(D26*K26)</f>
        <v>0</v>
      </c>
      <c r="E27" s="80"/>
      <c r="F27" s="80"/>
      <c r="G27" s="80"/>
      <c r="H27" s="80"/>
      <c r="I27" s="81"/>
      <c r="J27" s="28"/>
      <c r="K27" s="29"/>
    </row>
    <row r="28" spans="2:11" ht="9" customHeight="1" thickBot="1" x14ac:dyDescent="0.3">
      <c r="B28" s="72"/>
      <c r="C28" s="72"/>
      <c r="D28" s="72"/>
      <c r="E28" s="72"/>
      <c r="F28" s="72"/>
      <c r="G28" s="72"/>
      <c r="H28" s="72"/>
      <c r="I28" s="72"/>
      <c r="J28" s="72"/>
      <c r="K28" s="72"/>
    </row>
    <row r="29" spans="2:11" ht="26.25" customHeight="1" thickBot="1" x14ac:dyDescent="0.3">
      <c r="B29" s="74" t="s">
        <v>44</v>
      </c>
      <c r="C29" s="75"/>
      <c r="D29" s="75"/>
      <c r="E29" s="75"/>
      <c r="F29" s="75"/>
      <c r="G29" s="75"/>
      <c r="H29" s="75"/>
      <c r="I29" s="75"/>
      <c r="J29" s="75"/>
      <c r="K29" s="76"/>
    </row>
    <row r="30" spans="2:11" ht="15.75" thickBot="1" x14ac:dyDescent="0.3">
      <c r="B30" s="30"/>
      <c r="C30" s="31"/>
      <c r="D30" s="133" t="s">
        <v>46</v>
      </c>
      <c r="E30" s="128"/>
      <c r="F30" s="128"/>
      <c r="G30" s="128"/>
      <c r="H30" s="128"/>
      <c r="I30" s="129"/>
      <c r="J30" s="32" t="s">
        <v>47</v>
      </c>
      <c r="K30" s="33" t="s">
        <v>48</v>
      </c>
    </row>
    <row r="31" spans="2:11" ht="15.75" thickBot="1" x14ac:dyDescent="0.3">
      <c r="B31" s="30"/>
      <c r="C31" s="31"/>
      <c r="D31" s="130">
        <f>E58</f>
        <v>5</v>
      </c>
      <c r="E31" s="131"/>
      <c r="F31" s="131"/>
      <c r="G31" s="131"/>
      <c r="H31" s="131"/>
      <c r="I31" s="132"/>
      <c r="J31" s="34">
        <f>E59</f>
        <v>10</v>
      </c>
      <c r="K31" s="34">
        <f>E60</f>
        <v>20</v>
      </c>
    </row>
    <row r="32" spans="2:11" ht="15.75" thickBot="1" x14ac:dyDescent="0.3">
      <c r="B32" s="120" t="s">
        <v>45</v>
      </c>
      <c r="C32" s="121"/>
      <c r="D32" s="134"/>
      <c r="E32" s="135"/>
      <c r="F32" s="135"/>
      <c r="G32" s="135"/>
      <c r="H32" s="135"/>
      <c r="I32" s="135"/>
      <c r="J32" s="135"/>
      <c r="K32" s="136"/>
    </row>
    <row r="33" spans="2:11" ht="9" customHeight="1" thickBot="1" x14ac:dyDescent="0.3">
      <c r="B33" s="73"/>
      <c r="C33" s="73"/>
      <c r="D33" s="73"/>
      <c r="E33" s="73"/>
      <c r="F33" s="73"/>
      <c r="G33" s="73"/>
      <c r="H33" s="73"/>
      <c r="I33" s="73"/>
      <c r="J33" s="73"/>
      <c r="K33" s="73"/>
    </row>
    <row r="34" spans="2:11" ht="26.25" customHeight="1" thickBot="1" x14ac:dyDescent="0.3">
      <c r="B34" s="74" t="s">
        <v>26</v>
      </c>
      <c r="C34" s="75"/>
      <c r="D34" s="75"/>
      <c r="E34" s="75"/>
      <c r="F34" s="75"/>
      <c r="G34" s="75"/>
      <c r="H34" s="75"/>
      <c r="I34" s="75"/>
      <c r="J34" s="75"/>
      <c r="K34" s="76"/>
    </row>
    <row r="35" spans="2:11" ht="15.75" thickBot="1" x14ac:dyDescent="0.3">
      <c r="B35" s="9"/>
      <c r="C35" s="10"/>
      <c r="D35" s="127" t="s">
        <v>50</v>
      </c>
      <c r="E35" s="128"/>
      <c r="F35" s="128"/>
      <c r="G35" s="128"/>
      <c r="H35" s="128"/>
      <c r="I35" s="129"/>
      <c r="J35" s="32" t="s">
        <v>51</v>
      </c>
      <c r="K35" s="33" t="s">
        <v>52</v>
      </c>
    </row>
    <row r="36" spans="2:11" ht="15.75" thickBot="1" x14ac:dyDescent="0.3">
      <c r="B36" s="9"/>
      <c r="C36" s="10"/>
      <c r="D36" s="130">
        <f>E62</f>
        <v>10</v>
      </c>
      <c r="E36" s="131"/>
      <c r="F36" s="131"/>
      <c r="G36" s="131"/>
      <c r="H36" s="131"/>
      <c r="I36" s="132"/>
      <c r="J36" s="34">
        <f>E63</f>
        <v>25</v>
      </c>
      <c r="K36" s="34">
        <f>E64</f>
        <v>40</v>
      </c>
    </row>
    <row r="37" spans="2:11" ht="16.5" thickBot="1" x14ac:dyDescent="0.3">
      <c r="B37" s="120" t="s">
        <v>28</v>
      </c>
      <c r="C37" s="121"/>
      <c r="D37" s="122"/>
      <c r="E37" s="123"/>
      <c r="F37" s="123"/>
      <c r="G37" s="123"/>
      <c r="H37" s="123"/>
      <c r="I37" s="123"/>
      <c r="J37" s="123"/>
      <c r="K37" s="124"/>
    </row>
    <row r="38" spans="2:11" ht="9" customHeight="1" thickBot="1" x14ac:dyDescent="0.3">
      <c r="B38" s="73"/>
      <c r="C38" s="73"/>
      <c r="D38" s="73"/>
      <c r="E38" s="73"/>
      <c r="F38" s="73"/>
      <c r="G38" s="73"/>
      <c r="H38" s="73"/>
      <c r="I38" s="73"/>
      <c r="J38" s="73"/>
      <c r="K38" s="73"/>
    </row>
    <row r="39" spans="2:11" ht="26.25" customHeight="1" thickBot="1" x14ac:dyDescent="0.3">
      <c r="B39" s="74" t="s">
        <v>42</v>
      </c>
      <c r="C39" s="75"/>
      <c r="D39" s="75"/>
      <c r="E39" s="75"/>
      <c r="F39" s="75"/>
      <c r="G39" s="75"/>
      <c r="H39" s="75"/>
      <c r="I39" s="75"/>
      <c r="J39" s="75"/>
      <c r="K39" s="76"/>
    </row>
    <row r="40" spans="2:11" ht="23.25" thickBot="1" x14ac:dyDescent="0.35">
      <c r="B40" s="100" t="s">
        <v>43</v>
      </c>
      <c r="C40" s="101"/>
      <c r="D40" s="102">
        <f>D18+D27+ D32 +D37</f>
        <v>0</v>
      </c>
      <c r="E40" s="103"/>
      <c r="F40" s="103"/>
      <c r="G40" s="103"/>
      <c r="H40" s="103"/>
      <c r="I40" s="104"/>
      <c r="J40" s="105" t="str">
        <f>IF(D40=0," ",IF(D40 &lt; 50,"Level Three",IF(D40 = 50, "Level Two",IF(D40&lt;75, "Level Two",IF(D40= 50,"Level Two","Level One")))))</f>
        <v xml:space="preserve"> </v>
      </c>
      <c r="K40" s="106"/>
    </row>
    <row r="41" spans="2:11" ht="15.75" thickBot="1" x14ac:dyDescent="0.3">
      <c r="B41" s="94" t="s">
        <v>77</v>
      </c>
      <c r="C41" s="95"/>
      <c r="D41" s="96" t="s">
        <v>97</v>
      </c>
      <c r="E41" s="97"/>
      <c r="F41" s="97"/>
      <c r="G41" s="97"/>
      <c r="H41" s="97"/>
      <c r="I41" s="98"/>
      <c r="J41" s="107"/>
      <c r="K41" s="108"/>
    </row>
    <row r="42" spans="2:11" ht="15.75" thickBot="1" x14ac:dyDescent="0.3">
      <c r="B42" s="94" t="s">
        <v>78</v>
      </c>
      <c r="C42" s="95"/>
      <c r="D42" s="96" t="s">
        <v>96</v>
      </c>
      <c r="E42" s="97"/>
      <c r="F42" s="97"/>
      <c r="G42" s="97"/>
      <c r="H42" s="97"/>
      <c r="I42" s="98"/>
      <c r="J42" s="107"/>
      <c r="K42" s="108"/>
    </row>
    <row r="43" spans="2:11" ht="15.75" thickBot="1" x14ac:dyDescent="0.3">
      <c r="B43" s="94" t="s">
        <v>79</v>
      </c>
      <c r="C43" s="95"/>
      <c r="D43" s="99" t="s">
        <v>94</v>
      </c>
      <c r="E43" s="97"/>
      <c r="F43" s="97"/>
      <c r="G43" s="97"/>
      <c r="H43" s="97"/>
      <c r="I43" s="98"/>
      <c r="J43" s="109"/>
      <c r="K43" s="110"/>
    </row>
    <row r="48" spans="2:11" ht="15" customHeight="1" x14ac:dyDescent="0.25">
      <c r="C48" s="116" t="s">
        <v>60</v>
      </c>
      <c r="D48" s="117"/>
      <c r="E48" s="44">
        <v>0</v>
      </c>
    </row>
    <row r="49" spans="3:5" x14ac:dyDescent="0.25">
      <c r="C49" s="118"/>
      <c r="D49" s="119"/>
      <c r="E49" s="44">
        <v>1</v>
      </c>
    </row>
    <row r="50" spans="3:5" x14ac:dyDescent="0.25">
      <c r="C50" s="45"/>
      <c r="D50" s="45"/>
      <c r="E50" s="44">
        <v>2</v>
      </c>
    </row>
    <row r="51" spans="3:5" x14ac:dyDescent="0.25">
      <c r="C51" s="45"/>
      <c r="D51" s="45"/>
      <c r="E51" s="46">
        <v>3</v>
      </c>
    </row>
    <row r="52" spans="3:5" x14ac:dyDescent="0.25">
      <c r="C52" s="45"/>
      <c r="D52" s="45"/>
      <c r="E52" s="46">
        <v>4</v>
      </c>
    </row>
    <row r="53" spans="3:5" x14ac:dyDescent="0.25">
      <c r="C53" s="45"/>
      <c r="D53" s="45"/>
      <c r="E53" s="46">
        <v>5</v>
      </c>
    </row>
    <row r="55" spans="3:5" x14ac:dyDescent="0.25">
      <c r="C55" s="63" t="s">
        <v>61</v>
      </c>
      <c r="D55" s="63"/>
      <c r="E55" s="1">
        <v>0</v>
      </c>
    </row>
    <row r="56" spans="3:5" x14ac:dyDescent="0.25">
      <c r="C56" s="63"/>
      <c r="D56" s="63"/>
      <c r="E56" s="1">
        <v>5</v>
      </c>
    </row>
    <row r="58" spans="3:5" x14ac:dyDescent="0.25">
      <c r="C58" s="64" t="s">
        <v>44</v>
      </c>
      <c r="D58" s="64"/>
      <c r="E58" s="1">
        <v>5</v>
      </c>
    </row>
    <row r="59" spans="3:5" x14ac:dyDescent="0.25">
      <c r="C59" s="64"/>
      <c r="D59" s="64"/>
      <c r="E59" s="1">
        <v>10</v>
      </c>
    </row>
    <row r="60" spans="3:5" x14ac:dyDescent="0.25">
      <c r="C60" s="64"/>
      <c r="D60" s="64"/>
      <c r="E60" s="1">
        <v>20</v>
      </c>
    </row>
    <row r="62" spans="3:5" x14ac:dyDescent="0.25">
      <c r="C62" s="65" t="s">
        <v>26</v>
      </c>
      <c r="D62" s="66"/>
      <c r="E62" s="1">
        <v>10</v>
      </c>
    </row>
    <row r="63" spans="3:5" x14ac:dyDescent="0.25">
      <c r="C63" s="67"/>
      <c r="D63" s="68"/>
      <c r="E63" s="1">
        <v>25</v>
      </c>
    </row>
    <row r="64" spans="3:5" x14ac:dyDescent="0.25">
      <c r="C64" s="69"/>
      <c r="D64" s="70"/>
      <c r="E64" s="1">
        <v>40</v>
      </c>
    </row>
  </sheetData>
  <mergeCells count="57">
    <mergeCell ref="C48:D49"/>
    <mergeCell ref="A1:K1"/>
    <mergeCell ref="B37:C37"/>
    <mergeCell ref="D37:K37"/>
    <mergeCell ref="B18:C18"/>
    <mergeCell ref="B20:K20"/>
    <mergeCell ref="B34:K34"/>
    <mergeCell ref="D35:I35"/>
    <mergeCell ref="D36:I36"/>
    <mergeCell ref="B29:K29"/>
    <mergeCell ref="D30:I30"/>
    <mergeCell ref="D31:I31"/>
    <mergeCell ref="B32:C32"/>
    <mergeCell ref="D32:K32"/>
    <mergeCell ref="D21:F21"/>
    <mergeCell ref="D22:F22"/>
    <mergeCell ref="G22:I22"/>
    <mergeCell ref="D15:I15"/>
    <mergeCell ref="D16:I16"/>
    <mergeCell ref="D17:I17"/>
    <mergeCell ref="G21:I21"/>
    <mergeCell ref="B42:C42"/>
    <mergeCell ref="D42:I42"/>
    <mergeCell ref="B43:C43"/>
    <mergeCell ref="D43:I43"/>
    <mergeCell ref="B39:K39"/>
    <mergeCell ref="B40:C40"/>
    <mergeCell ref="D40:I40"/>
    <mergeCell ref="J40:K43"/>
    <mergeCell ref="B41:C41"/>
    <mergeCell ref="D41:I41"/>
    <mergeCell ref="E4:I4"/>
    <mergeCell ref="D14:I14"/>
    <mergeCell ref="D9:I9"/>
    <mergeCell ref="D10:I10"/>
    <mergeCell ref="D12:I12"/>
    <mergeCell ref="D6:I6"/>
    <mergeCell ref="D7:I7"/>
    <mergeCell ref="D8:I8"/>
    <mergeCell ref="D11:I11"/>
    <mergeCell ref="D13:I13"/>
    <mergeCell ref="C55:D56"/>
    <mergeCell ref="C58:D60"/>
    <mergeCell ref="C62:D64"/>
    <mergeCell ref="A2:K2"/>
    <mergeCell ref="B19:K19"/>
    <mergeCell ref="B28:K28"/>
    <mergeCell ref="B33:K33"/>
    <mergeCell ref="B38:K38"/>
    <mergeCell ref="B3:K3"/>
    <mergeCell ref="B27:C27"/>
    <mergeCell ref="D27:I27"/>
    <mergeCell ref="D23:I23"/>
    <mergeCell ref="D24:I24"/>
    <mergeCell ref="D25:I25"/>
    <mergeCell ref="D26:I26"/>
    <mergeCell ref="D18:I18"/>
  </mergeCells>
  <dataValidations count="4">
    <dataValidation type="list" allowBlank="1" showInputMessage="1" showErrorMessage="1" sqref="D37:K37">
      <formula1>$E$62:$E$64</formula1>
    </dataValidation>
    <dataValidation type="list" allowBlank="1" showInputMessage="1" showErrorMessage="1" sqref="D32:K32">
      <formula1>$E$58:$E$60</formula1>
    </dataValidation>
    <dataValidation type="list" allowBlank="1" showInputMessage="1" showErrorMessage="1" sqref="D23:I26">
      <formula1>$E$55:$E$56</formula1>
    </dataValidation>
    <dataValidation type="list" allowBlank="1" showInputMessage="1" showErrorMessage="1" sqref="D6:I17">
      <formula1>$E$48:$E$53</formula1>
    </dataValidation>
  </dataValidations>
  <pageMargins left="0.25" right="0.25" top="0.19791666666666666" bottom="0.75" header="0.3" footer="0.3"/>
  <pageSetup orientation="portrait" horizontalDpi="300" verticalDpi="300" r:id="rId1"/>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KpiDescription xmlns="http://schemas.microsoft.com/sharepoint/v3" xsi:nil="true"/>
    <Viewable xmlns="47856140-514f-4f8c-b681-d1066c838cf9">true</Viewabl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Forms and Templates" ma:contentTypeID="0x0101006A152FAE4127B14EA6066E8DC5AA113100F6C631CE269F464AA07B14AE7142E4F0" ma:contentTypeVersion="4" ma:contentTypeDescription="" ma:contentTypeScope="" ma:versionID="8570ba875996e78d8c9ef639955c09d4">
  <xsd:schema xmlns:xsd="http://www.w3.org/2001/XMLSchema" xmlns:xs="http://www.w3.org/2001/XMLSchema" xmlns:p="http://schemas.microsoft.com/office/2006/metadata/properties" xmlns:ns1="http://schemas.microsoft.com/sharepoint/v3" xmlns:ns2="47856140-514f-4f8c-b681-d1066c838cf9" targetNamespace="http://schemas.microsoft.com/office/2006/metadata/properties" ma:root="true" ma:fieldsID="d10c2f2dc78c8c293196197006e2019c" ns1:_="" ns2:_="">
    <xsd:import namespace="http://schemas.microsoft.com/sharepoint/v3"/>
    <xsd:import namespace="47856140-514f-4f8c-b681-d1066c838cf9"/>
    <xsd:element name="properties">
      <xsd:complexType>
        <xsd:sequence>
          <xsd:element name="documentManagement">
            <xsd:complexType>
              <xsd:all>
                <xsd:element ref="ns1:KpiDescription" minOccurs="0"/>
                <xsd:element ref="ns2:Viewab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KpiDescription" ma:index="8" nillable="true" ma:displayName="Description" ma:internalName="Kpi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856140-514f-4f8c-b681-d1066c838cf9" elementFormDefault="qualified">
    <xsd:import namespace="http://schemas.microsoft.com/office/2006/documentManagement/types"/>
    <xsd:import namespace="http://schemas.microsoft.com/office/infopath/2007/PartnerControls"/>
    <xsd:element name="Viewable" ma:index="9" nillable="true" ma:displayName="Viewable" ma:default="1" ma:internalName="Viewabl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1B5253-EA97-4A3B-8338-FFF01163E00A}">
  <ds:schemaRefs>
    <ds:schemaRef ds:uri="47856140-514f-4f8c-b681-d1066c838cf9"/>
    <ds:schemaRef ds:uri="http://schemas.microsoft.com/office/2006/documentManagement/types"/>
    <ds:schemaRef ds:uri="http://purl.org/dc/terms/"/>
    <ds:schemaRef ds:uri="http://purl.org/dc/dcmitype/"/>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schemas.microsoft.com/sharepoint/v3"/>
    <ds:schemaRef ds:uri="http://purl.org/dc/elements/1.1/"/>
  </ds:schemaRefs>
</ds:datastoreItem>
</file>

<file path=customXml/itemProps2.xml><?xml version="1.0" encoding="utf-8"?>
<ds:datastoreItem xmlns:ds="http://schemas.openxmlformats.org/officeDocument/2006/customXml" ds:itemID="{C81965DD-4D8F-4F8E-B099-24F46D6C52EA}">
  <ds:schemaRefs>
    <ds:schemaRef ds:uri="http://schemas.microsoft.com/sharepoint/v3/contenttype/forms"/>
  </ds:schemaRefs>
</ds:datastoreItem>
</file>

<file path=customXml/itemProps3.xml><?xml version="1.0" encoding="utf-8"?>
<ds:datastoreItem xmlns:ds="http://schemas.openxmlformats.org/officeDocument/2006/customXml" ds:itemID="{FFC2E7DC-9115-4EA7-B8E1-2AB0BED4DD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7856140-514f-4f8c-b681-d1066c838c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Instructions</vt:lpstr>
      <vt:lpstr>Defintions</vt:lpstr>
      <vt:lpstr>Project Scaling Worksheet</vt:lpstr>
      <vt:lpstr>Defintions!Print_Area</vt:lpstr>
      <vt:lpstr>Instructions!Print_Area</vt:lpstr>
      <vt:lpstr>'Project Scaling Worksheet'!Print_Area</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eriallen</dc:creator>
  <cp:lastModifiedBy>Allen, Eric</cp:lastModifiedBy>
  <cp:lastPrinted>2013-09-16T17:18:18Z</cp:lastPrinted>
  <dcterms:created xsi:type="dcterms:W3CDTF">2011-06-10T17:01:59Z</dcterms:created>
  <dcterms:modified xsi:type="dcterms:W3CDTF">2014-05-14T18:08:14Z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0x0101006A152FAE4127B14EA6066E8DC5AA113100F6C631CE269F464AA07B14AE7142E4F0</vt:lpwstr>
  </property>
  <property fmtid="{D5CDD505-2E9C-101B-9397-08002B2CF9AE}" pid="3" name="Fiscal Year">
    <vt:lpwstr>FY 12-13</vt:lpwstr>
  </property>
</Properties>
</file>