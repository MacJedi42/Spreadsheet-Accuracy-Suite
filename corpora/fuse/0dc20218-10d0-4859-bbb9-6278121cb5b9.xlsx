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autoCompressPictures="0"/>
  <bookViews>
    <workbookView xWindow="2960" yWindow="3160" windowWidth="15460" windowHeight="8740"/>
  </bookViews>
  <sheets>
    <sheet name="ST13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19" i="1"/>
  <c r="E15"/>
  <c r="E13"/>
  <c r="E14"/>
  <c r="E18"/>
  <c r="E12"/>
  <c r="E26"/>
  <c r="E4"/>
  <c r="E27"/>
  <c r="E23"/>
  <c r="E35"/>
  <c r="E16"/>
  <c r="E24"/>
  <c r="E17"/>
  <c r="E34"/>
  <c r="E33"/>
  <c r="E29"/>
  <c r="E8"/>
  <c r="E20"/>
  <c r="E32"/>
  <c r="E6"/>
  <c r="E21"/>
  <c r="E30"/>
  <c r="E31"/>
  <c r="E22"/>
  <c r="E28"/>
  <c r="E10"/>
  <c r="E11"/>
  <c r="E7"/>
  <c r="E9"/>
  <c r="E25"/>
  <c r="E5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4"/>
</calcChain>
</file>

<file path=xl/sharedStrings.xml><?xml version="1.0" encoding="utf-8"?>
<sst xmlns="http://schemas.openxmlformats.org/spreadsheetml/2006/main" count="18" uniqueCount="12">
  <si>
    <t>X</t>
  </si>
  <si>
    <t>chr</t>
  </si>
  <si>
    <t>start</t>
  </si>
  <si>
    <t>stop</t>
  </si>
  <si>
    <t>number of HSAs</t>
  </si>
  <si>
    <t>comments</t>
  </si>
  <si>
    <t>HSAs per 1kb</t>
  </si>
  <si>
    <t>region length</t>
  </si>
  <si>
    <t>unclear alignment in database for this region</t>
  </si>
  <si>
    <t>case_32_peaks</t>
  </si>
  <si>
    <t>control_32_peaks</t>
  </si>
  <si>
    <t>Supplementary Table 13 (Shulha et al.) List of 32 peaks, including the number of human-specific sequence alterations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</si>
</sst>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8"/>
      <color indexed="8"/>
      <name val="Arial"/>
      <family val="2"/>
    </font>
    <font>
      <sz val="10"/>
      <color indexed="8"/>
      <name val="Verdana"/>
      <family val="2"/>
    </font>
    <font>
      <b/>
      <sz val="8"/>
      <color indexed="8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70"/>
  <sheetViews>
    <sheetView tabSelected="1" zoomScale="125" zoomScaleNormal="80" zoomScalePageLayoutView="80" workbookViewId="0"/>
  </sheetViews>
  <sheetFormatPr baseColWidth="10" defaultColWidth="8.83203125" defaultRowHeight="14"/>
  <cols>
    <col min="1" max="1" width="7.5" customWidth="1"/>
    <col min="2" max="3" width="12" bestFit="1" customWidth="1"/>
    <col min="4" max="4" width="13.5" customWidth="1"/>
    <col min="5" max="5" width="11.83203125" customWidth="1"/>
    <col min="6" max="6" width="12.5" customWidth="1"/>
    <col min="7" max="7" width="36.83203125" customWidth="1"/>
    <col min="9" max="9" width="30.5" bestFit="1" customWidth="1"/>
  </cols>
  <sheetData>
    <row r="1" spans="1:7">
      <c r="A1" s="1" t="s">
        <v>11</v>
      </c>
    </row>
    <row r="2" spans="1:7" s="2" customFormat="1">
      <c r="A2" s="5" t="s">
        <v>9</v>
      </c>
    </row>
    <row r="3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7</v>
      </c>
      <c r="F3" s="3" t="s">
        <v>6</v>
      </c>
      <c r="G3" s="3" t="s">
        <v>5</v>
      </c>
    </row>
    <row r="4" spans="1:7">
      <c r="A4" s="4">
        <v>1</v>
      </c>
      <c r="B4" s="4">
        <v>145037805</v>
      </c>
      <c r="C4" s="4">
        <v>145040692</v>
      </c>
      <c r="D4" s="4">
        <v>14</v>
      </c>
      <c r="E4" s="4">
        <f t="shared" ref="E4:E35" si="0">C4-B4</f>
        <v>2887</v>
      </c>
      <c r="F4" s="4">
        <f t="shared" ref="F4:F35" si="1">1000*D4/(C4-B4)</f>
        <v>4.849324558365085</v>
      </c>
      <c r="G4" s="4"/>
    </row>
    <row r="5" spans="1:7">
      <c r="A5" s="4">
        <v>1</v>
      </c>
      <c r="B5" s="4">
        <v>147717686</v>
      </c>
      <c r="C5" s="4">
        <v>147719570</v>
      </c>
      <c r="D5" s="4">
        <v>0</v>
      </c>
      <c r="E5" s="4">
        <f t="shared" si="0"/>
        <v>1884</v>
      </c>
      <c r="F5" s="4">
        <f t="shared" si="1"/>
        <v>0</v>
      </c>
      <c r="G5" s="4" t="s">
        <v>8</v>
      </c>
    </row>
    <row r="6" spans="1:7">
      <c r="A6" s="4">
        <v>2</v>
      </c>
      <c r="B6" s="4">
        <v>115419154</v>
      </c>
      <c r="C6" s="4">
        <v>115420608</v>
      </c>
      <c r="D6" s="4">
        <v>49</v>
      </c>
      <c r="E6" s="4">
        <f t="shared" si="0"/>
        <v>1454</v>
      </c>
      <c r="F6" s="4">
        <f t="shared" si="1"/>
        <v>33.700137551581847</v>
      </c>
      <c r="G6" s="4"/>
    </row>
    <row r="7" spans="1:7">
      <c r="A7" s="4">
        <v>2</v>
      </c>
      <c r="B7" s="4">
        <v>115917966</v>
      </c>
      <c r="C7" s="4">
        <v>115921773</v>
      </c>
      <c r="D7" s="4">
        <v>130</v>
      </c>
      <c r="E7" s="4">
        <f t="shared" si="0"/>
        <v>3807</v>
      </c>
      <c r="F7" s="4">
        <f t="shared" si="1"/>
        <v>34.147622800105069</v>
      </c>
      <c r="G7" s="4"/>
    </row>
    <row r="8" spans="1:7">
      <c r="A8" s="4">
        <v>2</v>
      </c>
      <c r="B8" s="4">
        <v>132794730</v>
      </c>
      <c r="C8" s="4">
        <v>132796576</v>
      </c>
      <c r="D8" s="4">
        <v>35</v>
      </c>
      <c r="E8" s="4">
        <f t="shared" si="0"/>
        <v>1846</v>
      </c>
      <c r="F8" s="4">
        <f t="shared" si="1"/>
        <v>18.95991332611051</v>
      </c>
      <c r="G8" s="4"/>
    </row>
    <row r="9" spans="1:7">
      <c r="A9" s="4">
        <v>2</v>
      </c>
      <c r="B9" s="4">
        <v>133013736</v>
      </c>
      <c r="C9" s="4">
        <v>133016150</v>
      </c>
      <c r="D9" s="4">
        <v>167</v>
      </c>
      <c r="E9" s="4">
        <f t="shared" si="0"/>
        <v>2414</v>
      </c>
      <c r="F9" s="4">
        <f t="shared" si="1"/>
        <v>69.179784589892293</v>
      </c>
      <c r="G9" s="4"/>
    </row>
    <row r="10" spans="1:7">
      <c r="A10" s="4">
        <v>3</v>
      </c>
      <c r="B10" s="4">
        <v>237096</v>
      </c>
      <c r="C10" s="4">
        <v>242136</v>
      </c>
      <c r="D10" s="4">
        <v>99</v>
      </c>
      <c r="E10" s="4">
        <f t="shared" si="0"/>
        <v>5040</v>
      </c>
      <c r="F10" s="4">
        <f t="shared" si="1"/>
        <v>19.642857142857142</v>
      </c>
      <c r="G10" s="4"/>
    </row>
    <row r="11" spans="1:7">
      <c r="A11" s="4">
        <v>3</v>
      </c>
      <c r="B11" s="4">
        <v>2139183</v>
      </c>
      <c r="C11" s="4">
        <v>2142802</v>
      </c>
      <c r="D11" s="4">
        <v>103</v>
      </c>
      <c r="E11" s="4">
        <f t="shared" si="0"/>
        <v>3619</v>
      </c>
      <c r="F11" s="4">
        <f t="shared" si="1"/>
        <v>28.460900801326332</v>
      </c>
      <c r="G11" s="4"/>
    </row>
    <row r="12" spans="1:7">
      <c r="A12" s="4">
        <v>3</v>
      </c>
      <c r="B12" s="4">
        <v>87137689</v>
      </c>
      <c r="C12" s="4">
        <v>87139305</v>
      </c>
      <c r="D12" s="4">
        <v>12</v>
      </c>
      <c r="E12" s="4">
        <f t="shared" si="0"/>
        <v>1616</v>
      </c>
      <c r="F12" s="4">
        <f t="shared" si="1"/>
        <v>7.4257425742574261</v>
      </c>
      <c r="G12" s="4"/>
    </row>
    <row r="13" spans="1:7">
      <c r="A13" s="4">
        <v>5</v>
      </c>
      <c r="B13" s="4">
        <v>146762174</v>
      </c>
      <c r="C13" s="4">
        <v>146763181</v>
      </c>
      <c r="D13" s="4">
        <v>10</v>
      </c>
      <c r="E13" s="4">
        <f t="shared" si="0"/>
        <v>1007</v>
      </c>
      <c r="F13" s="4">
        <f t="shared" si="1"/>
        <v>9.9304865938430975</v>
      </c>
      <c r="G13" s="4"/>
    </row>
    <row r="14" spans="1:7">
      <c r="A14" s="4">
        <v>6</v>
      </c>
      <c r="B14" s="4">
        <v>151814532</v>
      </c>
      <c r="C14" s="4">
        <v>151816287</v>
      </c>
      <c r="D14" s="4">
        <v>11</v>
      </c>
      <c r="E14" s="4">
        <f t="shared" si="0"/>
        <v>1755</v>
      </c>
      <c r="F14" s="4">
        <f t="shared" si="1"/>
        <v>6.267806267806268</v>
      </c>
      <c r="G14" s="4"/>
    </row>
    <row r="15" spans="1:7">
      <c r="A15" s="4">
        <v>7</v>
      </c>
      <c r="B15" s="4">
        <v>51538749</v>
      </c>
      <c r="C15" s="4">
        <v>51540078</v>
      </c>
      <c r="D15" s="4">
        <v>10</v>
      </c>
      <c r="E15" s="4">
        <f t="shared" si="0"/>
        <v>1329</v>
      </c>
      <c r="F15" s="4">
        <f t="shared" si="1"/>
        <v>7.5244544770504138</v>
      </c>
      <c r="G15" s="4"/>
    </row>
    <row r="16" spans="1:7">
      <c r="A16" s="4">
        <v>7</v>
      </c>
      <c r="B16" s="4">
        <v>152621857</v>
      </c>
      <c r="C16" s="4">
        <v>152623442</v>
      </c>
      <c r="D16" s="4">
        <v>20</v>
      </c>
      <c r="E16" s="4">
        <f t="shared" si="0"/>
        <v>1585</v>
      </c>
      <c r="F16" s="4">
        <f t="shared" si="1"/>
        <v>12.618296529968454</v>
      </c>
      <c r="G16" s="4"/>
    </row>
    <row r="17" spans="1:7">
      <c r="A17" s="4">
        <v>10</v>
      </c>
      <c r="B17" s="4">
        <v>830317</v>
      </c>
      <c r="C17" s="4">
        <v>831468</v>
      </c>
      <c r="D17" s="4">
        <v>25</v>
      </c>
      <c r="E17" s="4">
        <f t="shared" si="0"/>
        <v>1151</v>
      </c>
      <c r="F17" s="4">
        <f t="shared" si="1"/>
        <v>21.720243266724587</v>
      </c>
      <c r="G17" s="4"/>
    </row>
    <row r="18" spans="1:7">
      <c r="A18" s="4">
        <v>10</v>
      </c>
      <c r="B18" s="4">
        <v>81741181</v>
      </c>
      <c r="C18" s="4">
        <v>81742583</v>
      </c>
      <c r="D18" s="4">
        <v>11</v>
      </c>
      <c r="E18" s="4">
        <f t="shared" si="0"/>
        <v>1402</v>
      </c>
      <c r="F18" s="4">
        <f t="shared" si="1"/>
        <v>7.8459343794579173</v>
      </c>
      <c r="G18" s="4"/>
    </row>
    <row r="19" spans="1:7">
      <c r="A19" s="4">
        <v>10</v>
      </c>
      <c r="B19" s="4">
        <v>103328875</v>
      </c>
      <c r="C19" s="4">
        <v>103331401</v>
      </c>
      <c r="D19" s="4">
        <v>10</v>
      </c>
      <c r="E19" s="4">
        <f t="shared" si="0"/>
        <v>2526</v>
      </c>
      <c r="F19" s="4">
        <f t="shared" si="1"/>
        <v>3.9588281868566906</v>
      </c>
      <c r="G19" s="4"/>
    </row>
    <row r="20" spans="1:7">
      <c r="A20" s="4">
        <v>10</v>
      </c>
      <c r="B20" s="4">
        <v>109673386</v>
      </c>
      <c r="C20" s="4">
        <v>109675834</v>
      </c>
      <c r="D20" s="4">
        <v>43</v>
      </c>
      <c r="E20" s="4">
        <f t="shared" si="0"/>
        <v>2448</v>
      </c>
      <c r="F20" s="4">
        <f t="shared" si="1"/>
        <v>17.565359477124183</v>
      </c>
      <c r="G20" s="4"/>
    </row>
    <row r="21" spans="1:7">
      <c r="A21" s="4">
        <v>11</v>
      </c>
      <c r="B21" s="4">
        <v>857725</v>
      </c>
      <c r="C21" s="4">
        <v>860732</v>
      </c>
      <c r="D21" s="4">
        <v>60</v>
      </c>
      <c r="E21" s="4">
        <f t="shared" si="0"/>
        <v>3007</v>
      </c>
      <c r="F21" s="4">
        <f t="shared" si="1"/>
        <v>19.953441968739607</v>
      </c>
      <c r="G21" s="4"/>
    </row>
    <row r="22" spans="1:7">
      <c r="A22" s="4">
        <v>13</v>
      </c>
      <c r="B22" s="4">
        <v>31626585</v>
      </c>
      <c r="C22" s="4">
        <v>31631064</v>
      </c>
      <c r="D22" s="4">
        <v>80</v>
      </c>
      <c r="E22" s="4">
        <f t="shared" si="0"/>
        <v>4479</v>
      </c>
      <c r="F22" s="4">
        <f t="shared" si="1"/>
        <v>17.861129716454567</v>
      </c>
      <c r="G22" s="4"/>
    </row>
    <row r="23" spans="1:7">
      <c r="A23" s="4">
        <v>15</v>
      </c>
      <c r="B23" s="4">
        <v>98195676</v>
      </c>
      <c r="C23" s="4">
        <v>98196486</v>
      </c>
      <c r="D23" s="4">
        <v>16</v>
      </c>
      <c r="E23" s="4">
        <f t="shared" si="0"/>
        <v>810</v>
      </c>
      <c r="F23" s="4">
        <f t="shared" si="1"/>
        <v>19.753086419753085</v>
      </c>
      <c r="G23" s="4"/>
    </row>
    <row r="24" spans="1:7">
      <c r="A24" s="4">
        <v>17</v>
      </c>
      <c r="B24" s="4">
        <v>21475992</v>
      </c>
      <c r="C24" s="4">
        <v>21477731</v>
      </c>
      <c r="D24" s="4">
        <v>23</v>
      </c>
      <c r="E24" s="4">
        <f t="shared" si="0"/>
        <v>1739</v>
      </c>
      <c r="F24" s="4">
        <f t="shared" si="1"/>
        <v>13.225991949396205</v>
      </c>
      <c r="G24" s="4"/>
    </row>
    <row r="25" spans="1:7">
      <c r="A25" s="4">
        <v>18</v>
      </c>
      <c r="B25" s="4">
        <v>903447</v>
      </c>
      <c r="C25" s="4">
        <v>909852</v>
      </c>
      <c r="D25" s="4">
        <v>184</v>
      </c>
      <c r="E25" s="4">
        <f t="shared" si="0"/>
        <v>6405</v>
      </c>
      <c r="F25" s="4">
        <f t="shared" si="1"/>
        <v>28.727556596409055</v>
      </c>
      <c r="G25" s="4"/>
    </row>
    <row r="26" spans="1:7">
      <c r="A26" s="4">
        <v>18</v>
      </c>
      <c r="B26" s="4">
        <v>73627719</v>
      </c>
      <c r="C26" s="4">
        <v>73628912</v>
      </c>
      <c r="D26" s="4">
        <v>12</v>
      </c>
      <c r="E26" s="4">
        <f t="shared" si="0"/>
        <v>1193</v>
      </c>
      <c r="F26" s="4">
        <f t="shared" si="1"/>
        <v>10.058675607711651</v>
      </c>
      <c r="G26" s="4"/>
    </row>
    <row r="27" spans="1:7">
      <c r="A27" s="4">
        <v>18</v>
      </c>
      <c r="B27" s="4">
        <v>74798659</v>
      </c>
      <c r="C27" s="4">
        <v>74800451</v>
      </c>
      <c r="D27" s="4">
        <v>14</v>
      </c>
      <c r="E27" s="4">
        <f t="shared" si="0"/>
        <v>1792</v>
      </c>
      <c r="F27" s="4">
        <f t="shared" si="1"/>
        <v>7.8125</v>
      </c>
      <c r="G27" s="4"/>
    </row>
    <row r="28" spans="1:7">
      <c r="A28" s="4">
        <v>19</v>
      </c>
      <c r="B28" s="4">
        <v>17558366</v>
      </c>
      <c r="C28" s="4">
        <v>17559781</v>
      </c>
      <c r="D28" s="4">
        <v>82</v>
      </c>
      <c r="E28" s="4">
        <f t="shared" si="0"/>
        <v>1415</v>
      </c>
      <c r="F28" s="4">
        <f t="shared" si="1"/>
        <v>57.950530035335689</v>
      </c>
      <c r="G28" s="4"/>
    </row>
    <row r="29" spans="1:7">
      <c r="A29" s="4">
        <v>19</v>
      </c>
      <c r="B29" s="4">
        <v>51016137</v>
      </c>
      <c r="C29" s="4">
        <v>51018764</v>
      </c>
      <c r="D29" s="4">
        <v>35</v>
      </c>
      <c r="E29" s="4">
        <f t="shared" si="0"/>
        <v>2627</v>
      </c>
      <c r="F29" s="4">
        <f t="shared" si="1"/>
        <v>13.323182337266845</v>
      </c>
      <c r="G29" s="4"/>
    </row>
    <row r="30" spans="1:7">
      <c r="A30" s="4">
        <v>20</v>
      </c>
      <c r="B30" s="4">
        <v>326779</v>
      </c>
      <c r="C30" s="4">
        <v>329498</v>
      </c>
      <c r="D30" s="4">
        <v>60</v>
      </c>
      <c r="E30" s="4">
        <f t="shared" si="0"/>
        <v>2719</v>
      </c>
      <c r="F30" s="4">
        <f t="shared" si="1"/>
        <v>22.066936373666788</v>
      </c>
      <c r="G30" s="4"/>
    </row>
    <row r="31" spans="1:7">
      <c r="A31" s="4">
        <v>20</v>
      </c>
      <c r="B31" s="4">
        <v>361305</v>
      </c>
      <c r="C31" s="4">
        <v>363330</v>
      </c>
      <c r="D31" s="4">
        <v>79</v>
      </c>
      <c r="E31" s="4">
        <f t="shared" si="0"/>
        <v>2025</v>
      </c>
      <c r="F31" s="4">
        <f t="shared" si="1"/>
        <v>39.012345679012348</v>
      </c>
      <c r="G31" s="4"/>
    </row>
    <row r="32" spans="1:7">
      <c r="A32" s="4">
        <v>20</v>
      </c>
      <c r="B32" s="4">
        <v>1782609</v>
      </c>
      <c r="C32" s="4">
        <v>1784925</v>
      </c>
      <c r="D32" s="4">
        <v>44</v>
      </c>
      <c r="E32" s="4">
        <f t="shared" si="0"/>
        <v>2316</v>
      </c>
      <c r="F32" s="4">
        <f t="shared" si="1"/>
        <v>18.998272884283246</v>
      </c>
      <c r="G32" s="4"/>
    </row>
    <row r="33" spans="1:7">
      <c r="A33" s="4">
        <v>20</v>
      </c>
      <c r="B33" s="4">
        <v>5484589</v>
      </c>
      <c r="C33" s="4">
        <v>5485659</v>
      </c>
      <c r="D33" s="4">
        <v>34</v>
      </c>
      <c r="E33" s="4">
        <f t="shared" si="0"/>
        <v>1070</v>
      </c>
      <c r="F33" s="4">
        <f t="shared" si="1"/>
        <v>31.77570093457944</v>
      </c>
      <c r="G33" s="4"/>
    </row>
    <row r="34" spans="1:7">
      <c r="A34" s="4">
        <v>22</v>
      </c>
      <c r="B34" s="4">
        <v>27040778</v>
      </c>
      <c r="C34" s="4">
        <v>27045045</v>
      </c>
      <c r="D34" s="4">
        <v>29</v>
      </c>
      <c r="E34" s="4">
        <f t="shared" si="0"/>
        <v>4267</v>
      </c>
      <c r="F34" s="4">
        <f t="shared" si="1"/>
        <v>6.7963440356222167</v>
      </c>
      <c r="G34" s="4"/>
    </row>
    <row r="35" spans="1:7">
      <c r="A35" s="4">
        <v>22</v>
      </c>
      <c r="B35" s="4">
        <v>47549900</v>
      </c>
      <c r="C35" s="4">
        <v>47551490</v>
      </c>
      <c r="D35" s="4">
        <v>18</v>
      </c>
      <c r="E35" s="4">
        <f t="shared" si="0"/>
        <v>1590</v>
      </c>
      <c r="F35" s="4">
        <f t="shared" si="1"/>
        <v>11.320754716981131</v>
      </c>
      <c r="G35" s="4"/>
    </row>
    <row r="37" spans="1:7">
      <c r="A37" s="6" t="s">
        <v>10</v>
      </c>
    </row>
    <row r="38" spans="1:7">
      <c r="A38" t="s">
        <v>1</v>
      </c>
      <c r="B38" t="s">
        <v>2</v>
      </c>
      <c r="C38" t="s">
        <v>3</v>
      </c>
      <c r="D38" t="s">
        <v>4</v>
      </c>
      <c r="E38" t="s">
        <v>7</v>
      </c>
      <c r="F38" t="s">
        <v>6</v>
      </c>
    </row>
    <row r="39" spans="1:7">
      <c r="A39">
        <v>1</v>
      </c>
      <c r="B39">
        <v>208411298</v>
      </c>
      <c r="C39">
        <v>208419261</v>
      </c>
      <c r="D39">
        <v>41</v>
      </c>
      <c r="E39">
        <v>7963</v>
      </c>
      <c r="F39">
        <v>5.1488132613336681</v>
      </c>
    </row>
    <row r="40" spans="1:7">
      <c r="A40">
        <v>1</v>
      </c>
      <c r="B40">
        <v>220959355</v>
      </c>
      <c r="C40">
        <v>220961158</v>
      </c>
      <c r="D40">
        <v>12</v>
      </c>
      <c r="E40">
        <v>1803</v>
      </c>
      <c r="F40">
        <v>6.6555740432612316</v>
      </c>
    </row>
    <row r="41" spans="1:7">
      <c r="A41">
        <v>2</v>
      </c>
      <c r="B41">
        <v>187558104</v>
      </c>
      <c r="C41">
        <v>187561829</v>
      </c>
      <c r="D41">
        <v>20</v>
      </c>
      <c r="E41">
        <v>3725</v>
      </c>
      <c r="F41">
        <v>5.3691275167785237</v>
      </c>
    </row>
    <row r="42" spans="1:7">
      <c r="A42">
        <v>2</v>
      </c>
      <c r="B42">
        <v>241373608</v>
      </c>
      <c r="C42">
        <v>241378678</v>
      </c>
      <c r="D42">
        <v>27</v>
      </c>
      <c r="E42">
        <v>5070</v>
      </c>
      <c r="F42">
        <v>5.3254437869822482</v>
      </c>
    </row>
    <row r="43" spans="1:7">
      <c r="A43">
        <v>2</v>
      </c>
      <c r="B43">
        <v>241755710</v>
      </c>
      <c r="C43">
        <v>241761052</v>
      </c>
      <c r="D43">
        <v>175</v>
      </c>
      <c r="E43">
        <v>5342</v>
      </c>
      <c r="F43">
        <v>32.759266192437288</v>
      </c>
    </row>
    <row r="44" spans="1:7">
      <c r="A44">
        <v>3</v>
      </c>
      <c r="B44">
        <v>32020502</v>
      </c>
      <c r="C44">
        <v>32023746</v>
      </c>
      <c r="D44">
        <v>24</v>
      </c>
      <c r="E44">
        <v>3244</v>
      </c>
      <c r="F44">
        <v>7.3982737361282371</v>
      </c>
    </row>
    <row r="45" spans="1:7">
      <c r="A45">
        <v>3</v>
      </c>
      <c r="B45">
        <v>44625637</v>
      </c>
      <c r="C45">
        <v>44627264</v>
      </c>
      <c r="D45">
        <v>7</v>
      </c>
      <c r="E45">
        <v>1627</v>
      </c>
      <c r="F45">
        <v>4.3023970497848802</v>
      </c>
    </row>
    <row r="46" spans="1:7">
      <c r="A46">
        <v>5</v>
      </c>
      <c r="B46">
        <v>31192968</v>
      </c>
      <c r="C46">
        <v>31196073</v>
      </c>
      <c r="D46">
        <v>15</v>
      </c>
      <c r="E46">
        <v>3105</v>
      </c>
      <c r="F46">
        <v>4.8309178743961354</v>
      </c>
    </row>
    <row r="47" spans="1:7">
      <c r="A47">
        <v>6</v>
      </c>
      <c r="B47">
        <v>80654317</v>
      </c>
      <c r="C47">
        <v>80657936</v>
      </c>
      <c r="D47">
        <v>23</v>
      </c>
      <c r="E47">
        <v>3619</v>
      </c>
      <c r="F47">
        <v>6.3553467808786959</v>
      </c>
    </row>
    <row r="48" spans="1:7">
      <c r="A48">
        <v>6</v>
      </c>
      <c r="B48">
        <v>124123287</v>
      </c>
      <c r="C48">
        <v>124127760</v>
      </c>
      <c r="D48">
        <v>22</v>
      </c>
      <c r="E48">
        <v>4473</v>
      </c>
      <c r="F48">
        <v>4.9183992845964681</v>
      </c>
    </row>
    <row r="49" spans="1:6">
      <c r="A49">
        <v>7</v>
      </c>
      <c r="B49">
        <v>73497136</v>
      </c>
      <c r="C49">
        <v>73499865</v>
      </c>
      <c r="D49">
        <v>83</v>
      </c>
      <c r="E49">
        <v>2729</v>
      </c>
      <c r="F49">
        <v>30.414071088310738</v>
      </c>
    </row>
    <row r="50" spans="1:6">
      <c r="A50">
        <v>7</v>
      </c>
      <c r="B50">
        <v>145812246</v>
      </c>
      <c r="C50">
        <v>145815852</v>
      </c>
      <c r="D50">
        <v>18</v>
      </c>
      <c r="E50">
        <v>3606</v>
      </c>
      <c r="F50">
        <v>4.9916805324459235</v>
      </c>
    </row>
    <row r="51" spans="1:6">
      <c r="A51">
        <v>8</v>
      </c>
      <c r="B51">
        <v>81784332</v>
      </c>
      <c r="C51">
        <v>81787337</v>
      </c>
      <c r="D51">
        <v>26</v>
      </c>
      <c r="E51">
        <v>3005</v>
      </c>
      <c r="F51">
        <v>8.6522462562396001</v>
      </c>
    </row>
    <row r="52" spans="1:6">
      <c r="A52">
        <v>8</v>
      </c>
      <c r="B52">
        <v>120219832</v>
      </c>
      <c r="C52">
        <v>120222373</v>
      </c>
      <c r="D52">
        <v>18</v>
      </c>
      <c r="E52">
        <v>2541</v>
      </c>
      <c r="F52">
        <v>7.0838252656434477</v>
      </c>
    </row>
    <row r="53" spans="1:6">
      <c r="A53">
        <v>9</v>
      </c>
      <c r="B53">
        <v>99379887</v>
      </c>
      <c r="C53">
        <v>99382600</v>
      </c>
      <c r="D53">
        <v>16</v>
      </c>
      <c r="E53">
        <v>2713</v>
      </c>
      <c r="F53">
        <v>5.8975304091411722</v>
      </c>
    </row>
    <row r="54" spans="1:6">
      <c r="A54">
        <v>9</v>
      </c>
      <c r="B54">
        <v>129088281</v>
      </c>
      <c r="C54">
        <v>129090814</v>
      </c>
      <c r="D54">
        <v>22</v>
      </c>
      <c r="E54">
        <v>2533</v>
      </c>
      <c r="F54">
        <v>8.6853533359652584</v>
      </c>
    </row>
    <row r="55" spans="1:6">
      <c r="A55">
        <v>9</v>
      </c>
      <c r="B55">
        <v>139919508</v>
      </c>
      <c r="C55">
        <v>139924102</v>
      </c>
      <c r="D55">
        <v>28</v>
      </c>
      <c r="E55">
        <v>4594</v>
      </c>
      <c r="F55">
        <v>6.0949063996517197</v>
      </c>
    </row>
    <row r="56" spans="1:6">
      <c r="A56">
        <v>10</v>
      </c>
      <c r="B56">
        <v>118029902</v>
      </c>
      <c r="C56">
        <v>118034459</v>
      </c>
      <c r="D56">
        <v>40</v>
      </c>
      <c r="E56">
        <v>4557</v>
      </c>
      <c r="F56">
        <v>8.7777046302391923</v>
      </c>
    </row>
    <row r="57" spans="1:6">
      <c r="A57">
        <v>11</v>
      </c>
      <c r="B57">
        <v>65814880</v>
      </c>
      <c r="C57">
        <v>65817287</v>
      </c>
      <c r="D57">
        <v>13</v>
      </c>
      <c r="E57">
        <v>2407</v>
      </c>
      <c r="F57">
        <v>5.4009140008309098</v>
      </c>
    </row>
    <row r="58" spans="1:6">
      <c r="A58">
        <v>12</v>
      </c>
      <c r="B58">
        <v>121077435</v>
      </c>
      <c r="C58">
        <v>121081338</v>
      </c>
      <c r="D58">
        <v>17</v>
      </c>
      <c r="E58">
        <v>3903</v>
      </c>
      <c r="F58">
        <v>4.3556238790673838</v>
      </c>
    </row>
    <row r="59" spans="1:6">
      <c r="A59">
        <v>12</v>
      </c>
      <c r="B59">
        <v>122791566</v>
      </c>
      <c r="C59">
        <v>122794647</v>
      </c>
      <c r="D59">
        <v>10</v>
      </c>
      <c r="E59">
        <v>3081</v>
      </c>
      <c r="F59">
        <v>3.2456994482310937</v>
      </c>
    </row>
    <row r="60" spans="1:6">
      <c r="A60">
        <v>13</v>
      </c>
      <c r="B60">
        <v>51415999</v>
      </c>
      <c r="C60">
        <v>51418615</v>
      </c>
      <c r="D60">
        <v>5</v>
      </c>
      <c r="E60">
        <v>2616</v>
      </c>
      <c r="F60">
        <v>1.9113149847094801</v>
      </c>
    </row>
    <row r="61" spans="1:6">
      <c r="A61">
        <v>16</v>
      </c>
      <c r="B61">
        <v>22824236</v>
      </c>
      <c r="C61">
        <v>22829735</v>
      </c>
      <c r="D61">
        <v>23</v>
      </c>
      <c r="E61">
        <v>5499</v>
      </c>
      <c r="F61">
        <v>4.182578650663757</v>
      </c>
    </row>
    <row r="62" spans="1:6">
      <c r="A62">
        <v>16</v>
      </c>
      <c r="B62">
        <v>62065313</v>
      </c>
      <c r="C62">
        <v>62072007</v>
      </c>
      <c r="D62">
        <v>40</v>
      </c>
      <c r="E62">
        <v>6694</v>
      </c>
      <c r="F62">
        <v>5.975500448162534</v>
      </c>
    </row>
    <row r="63" spans="1:6">
      <c r="A63">
        <v>17</v>
      </c>
      <c r="B63">
        <v>11143068</v>
      </c>
      <c r="C63">
        <v>11149080</v>
      </c>
      <c r="D63">
        <v>42</v>
      </c>
      <c r="E63">
        <v>6012</v>
      </c>
      <c r="F63">
        <v>6.9860279441117763</v>
      </c>
    </row>
    <row r="64" spans="1:6">
      <c r="A64">
        <v>17</v>
      </c>
      <c r="B64">
        <v>79136301</v>
      </c>
      <c r="C64">
        <v>79141078</v>
      </c>
      <c r="D64">
        <v>54</v>
      </c>
      <c r="E64">
        <v>4777</v>
      </c>
      <c r="F64">
        <v>11.304165794431652</v>
      </c>
    </row>
    <row r="65" spans="1:6">
      <c r="A65">
        <v>19</v>
      </c>
      <c r="B65">
        <v>17796357</v>
      </c>
      <c r="C65">
        <v>17799997</v>
      </c>
      <c r="D65">
        <v>51</v>
      </c>
      <c r="E65">
        <v>3640</v>
      </c>
      <c r="F65">
        <v>14.010989010989011</v>
      </c>
    </row>
    <row r="66" spans="1:6">
      <c r="A66">
        <v>19</v>
      </c>
      <c r="B66">
        <v>19004066</v>
      </c>
      <c r="C66">
        <v>19008094</v>
      </c>
      <c r="D66">
        <v>37</v>
      </c>
      <c r="E66">
        <v>4028</v>
      </c>
      <c r="F66">
        <v>9.1857000993048654</v>
      </c>
    </row>
    <row r="67" spans="1:6">
      <c r="A67">
        <v>19</v>
      </c>
      <c r="B67">
        <v>45753366</v>
      </c>
      <c r="C67">
        <v>45756343</v>
      </c>
      <c r="D67">
        <v>37</v>
      </c>
      <c r="E67">
        <v>2977</v>
      </c>
      <c r="F67">
        <v>12.428619415518979</v>
      </c>
    </row>
    <row r="68" spans="1:6">
      <c r="A68">
        <v>20</v>
      </c>
      <c r="B68">
        <v>44649941</v>
      </c>
      <c r="C68">
        <v>44652083</v>
      </c>
      <c r="D68">
        <v>32</v>
      </c>
      <c r="E68">
        <v>2142</v>
      </c>
      <c r="F68">
        <v>14.939309056956116</v>
      </c>
    </row>
    <row r="69" spans="1:6">
      <c r="A69">
        <v>22</v>
      </c>
      <c r="B69">
        <v>29871405</v>
      </c>
      <c r="C69">
        <v>29878035</v>
      </c>
      <c r="D69">
        <v>30</v>
      </c>
      <c r="E69">
        <v>6630</v>
      </c>
      <c r="F69">
        <v>4.5248868778280542</v>
      </c>
    </row>
    <row r="70" spans="1:6">
      <c r="A70" s="7" t="s">
        <v>0</v>
      </c>
      <c r="B70">
        <v>10126165</v>
      </c>
      <c r="C70">
        <v>10129584</v>
      </c>
      <c r="D70">
        <v>19</v>
      </c>
      <c r="E70">
        <v>3419</v>
      </c>
      <c r="F70">
        <v>5.5571804621234282</v>
      </c>
    </row>
  </sheetData>
  <sortState ref="A2:G33">
    <sortCondition ref="A2:A33"/>
  </sortState>
  <phoneticPr fontId="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2012-08-24T01:54:46Z</dcterms:modified>
</cp:coreProperties>
</file>