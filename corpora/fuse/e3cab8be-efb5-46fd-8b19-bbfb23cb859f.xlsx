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20" windowWidth="11355" windowHeight="8700"/>
  </bookViews>
  <sheets>
    <sheet name="List1" sheetId="1" r:id="rId1"/>
  </sheets>
  <calcPr calcId="125725"/>
</workbook>
</file>

<file path=xl/calcChain.xml><?xml version="1.0" encoding="utf-8"?>
<calcChain xmlns="http://schemas.openxmlformats.org/spreadsheetml/2006/main">
  <c r="L17" i="1"/>
  <c r="L18"/>
  <c r="L19"/>
  <c r="L20"/>
  <c r="L21"/>
  <c r="M23"/>
  <c r="L4"/>
  <c r="L5"/>
  <c r="L6"/>
  <c r="L7"/>
  <c r="L8"/>
  <c r="L9"/>
  <c r="L10"/>
  <c r="L11"/>
  <c r="L12"/>
  <c r="L13"/>
  <c r="L14"/>
  <c r="L15"/>
  <c r="L16"/>
  <c r="L3"/>
  <c r="O22"/>
  <c r="N22"/>
  <c r="E27"/>
  <c r="F27"/>
  <c r="G27"/>
  <c r="H27"/>
  <c r="I27"/>
  <c r="J27"/>
  <c r="K27"/>
  <c r="M27"/>
  <c r="E26"/>
  <c r="F26"/>
  <c r="G26"/>
  <c r="H26"/>
  <c r="I26"/>
  <c r="J26"/>
  <c r="K26"/>
  <c r="M26"/>
  <c r="E25"/>
  <c r="F25"/>
  <c r="G25"/>
  <c r="H25"/>
  <c r="I25"/>
  <c r="J25"/>
  <c r="K25"/>
  <c r="M25"/>
  <c r="E24"/>
  <c r="F24"/>
  <c r="G24"/>
  <c r="H24"/>
  <c r="I24"/>
  <c r="J24"/>
  <c r="K24"/>
  <c r="M24"/>
  <c r="E23"/>
  <c r="F23"/>
  <c r="G23"/>
  <c r="H23"/>
  <c r="I23"/>
  <c r="J23"/>
  <c r="K23"/>
  <c r="D27"/>
  <c r="D26"/>
  <c r="D25"/>
  <c r="D24"/>
  <c r="D23"/>
  <c r="E22"/>
  <c r="F22"/>
  <c r="G22"/>
  <c r="H22"/>
  <c r="I22"/>
  <c r="J22"/>
  <c r="K22"/>
  <c r="M22"/>
  <c r="D22"/>
  <c r="L22" s="1"/>
</calcChain>
</file>

<file path=xl/sharedStrings.xml><?xml version="1.0" encoding="utf-8"?>
<sst xmlns="http://schemas.openxmlformats.org/spreadsheetml/2006/main" count="60" uniqueCount="57">
  <si>
    <t>Hrvatski jezik</t>
  </si>
  <si>
    <t>Engleski jezik</t>
  </si>
  <si>
    <t>Vjeronauk</t>
  </si>
  <si>
    <t>Matematika</t>
  </si>
  <si>
    <t>Glazbena kultura</t>
  </si>
  <si>
    <t>Likovna kultura</t>
  </si>
  <si>
    <t xml:space="preserve">REDNI BROJ </t>
  </si>
  <si>
    <t>TZK</t>
  </si>
  <si>
    <t>Prosjek</t>
  </si>
  <si>
    <t>Uspjeh</t>
  </si>
  <si>
    <t>Opravdano</t>
  </si>
  <si>
    <t>Neopravdano</t>
  </si>
  <si>
    <t>Prosjek:</t>
  </si>
  <si>
    <t>Broj odličnih</t>
  </si>
  <si>
    <t>Broj vrlo dobrih</t>
  </si>
  <si>
    <t>Broj dobrih</t>
  </si>
  <si>
    <t>Broj dovoljnih</t>
  </si>
  <si>
    <t>Broj nedovoljnih</t>
  </si>
  <si>
    <t>Prezime</t>
  </si>
  <si>
    <t>Ime</t>
  </si>
  <si>
    <t>Priroda i društvo</t>
  </si>
  <si>
    <t>Mihael </t>
  </si>
  <si>
    <t>Fran </t>
  </si>
  <si>
    <t>August</t>
  </si>
  <si>
    <t>Malenica </t>
  </si>
  <si>
    <t>Vrhovski </t>
  </si>
  <si>
    <t>Ivan </t>
  </si>
  <si>
    <t>Magdalena </t>
  </si>
  <si>
    <t>Matea </t>
  </si>
  <si>
    <t>Ivana </t>
  </si>
  <si>
    <t>Bruno </t>
  </si>
  <si>
    <t>Helena </t>
  </si>
  <si>
    <t>Tin </t>
  </si>
  <si>
    <t>Borna </t>
  </si>
  <si>
    <t>Nika </t>
  </si>
  <si>
    <t>Ana </t>
  </si>
  <si>
    <t>Šćukanec </t>
  </si>
  <si>
    <t>2.d - Željka Božić</t>
  </si>
  <si>
    <t>Ban </t>
  </si>
  <si>
    <t>Bogdan </t>
  </si>
  <si>
    <t>Bolfan </t>
  </si>
  <si>
    <t>Božić </t>
  </si>
  <si>
    <t>Cvrtila </t>
  </si>
  <si>
    <t>Kiš </t>
  </si>
  <si>
    <t>Kudek </t>
  </si>
  <si>
    <t>Markić </t>
  </si>
  <si>
    <t>Matuško </t>
  </si>
  <si>
    <t>Rendulić </t>
  </si>
  <si>
    <t>Špoljarić </t>
  </si>
  <si>
    <t>Štok </t>
  </si>
  <si>
    <t>Uzelac </t>
  </si>
  <si>
    <t>Vurušić </t>
  </si>
  <si>
    <t>Žabčić </t>
  </si>
  <si>
    <t>Franka </t>
  </si>
  <si>
    <t>Maksim </t>
  </si>
  <si>
    <t>Nino </t>
  </si>
  <si>
    <t>Lucas </t>
  </si>
</sst>
</file>

<file path=xl/styles.xml><?xml version="1.0" encoding="utf-8"?>
<styleSheet xmlns="http://schemas.openxmlformats.org/spreadsheetml/2006/main">
  <fonts count="14">
    <font>
      <sz val="10"/>
      <name val="Arial"/>
      <charset val="238"/>
    </font>
    <font>
      <sz val="9"/>
      <name val="Arial CE"/>
      <family val="2"/>
      <charset val="238"/>
    </font>
    <font>
      <b/>
      <i/>
      <sz val="11"/>
      <name val="Arial"/>
      <family val="2"/>
    </font>
    <font>
      <b/>
      <i/>
      <sz val="14"/>
      <name val="Arial"/>
      <family val="2"/>
    </font>
    <font>
      <b/>
      <i/>
      <sz val="16"/>
      <name val="Arial"/>
      <family val="2"/>
    </font>
    <font>
      <b/>
      <i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  <charset val="238"/>
    </font>
    <font>
      <b/>
      <i/>
      <sz val="8"/>
      <color indexed="18"/>
      <name val="Arial"/>
      <family val="2"/>
    </font>
    <font>
      <sz val="8"/>
      <name val="Arial"/>
      <charset val="238"/>
    </font>
    <font>
      <sz val="20"/>
      <name val="Arial"/>
      <family val="2"/>
      <charset val="238"/>
    </font>
    <font>
      <b/>
      <i/>
      <sz val="8"/>
      <name val="Arial"/>
      <family val="2"/>
    </font>
    <font>
      <sz val="12"/>
      <color rgb="FF333333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CED3E1"/>
      </top>
      <bottom/>
      <diagonal/>
    </border>
    <border>
      <left/>
      <right/>
      <top style="medium">
        <color rgb="FFCED3E1"/>
      </top>
      <bottom style="medium">
        <color rgb="FFCED3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Fill="1" applyBorder="1" applyAlignment="1" applyProtection="1">
      <alignment horizontal="right" vertical="center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right" vertical="center"/>
      <protection locked="0"/>
    </xf>
    <xf numFmtId="0" fontId="1" fillId="0" borderId="3" xfId="0" applyNumberFormat="1" applyFont="1" applyFill="1" applyBorder="1" applyAlignment="1" applyProtection="1">
      <alignment horizontal="center" textRotation="90" shrinkToFit="1"/>
      <protection hidden="1"/>
    </xf>
    <xf numFmtId="0" fontId="0" fillId="0" borderId="0" xfId="0" applyFill="1"/>
    <xf numFmtId="0" fontId="8" fillId="0" borderId="4" xfId="0" applyFont="1" applyFill="1" applyBorder="1" applyAlignment="1" applyProtection="1">
      <alignment horizontal="center" vertical="center" textRotation="90"/>
      <protection hidden="1"/>
    </xf>
    <xf numFmtId="2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5" xfId="0" applyFont="1" applyFill="1" applyBorder="1" applyAlignment="1" applyProtection="1">
      <alignment horizontal="center" vertical="center" textRotation="90" wrapText="1"/>
      <protection hidden="1"/>
    </xf>
    <xf numFmtId="0" fontId="7" fillId="0" borderId="5" xfId="0" applyFont="1" applyFill="1" applyBorder="1" applyAlignment="1" applyProtection="1">
      <alignment horizontal="center" vertical="center" textRotation="90" wrapText="1"/>
      <protection hidden="1"/>
    </xf>
    <xf numFmtId="0" fontId="0" fillId="0" borderId="0" xfId="0" applyAlignment="1"/>
    <xf numFmtId="2" fontId="1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10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0" fontId="11" fillId="0" borderId="0" xfId="0" applyFont="1" applyAlignment="1"/>
    <xf numFmtId="0" fontId="0" fillId="0" borderId="0" xfId="0" applyAlignment="1"/>
    <xf numFmtId="0" fontId="2" fillId="0" borderId="6" xfId="0" applyFont="1" applyFill="1" applyBorder="1" applyAlignment="1" applyProtection="1">
      <alignment horizontal="right" vertical="center"/>
      <protection locked="0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9" xfId="0" applyFont="1" applyBorder="1" applyAlignment="1" applyProtection="1">
      <alignment horizontal="left" vertical="center" shrinkToFit="1"/>
      <protection locked="0"/>
    </xf>
    <xf numFmtId="0" fontId="3" fillId="0" borderId="8" xfId="0" applyFont="1" applyBorder="1" applyAlignment="1" applyProtection="1">
      <alignment horizontal="left" vertical="center" shrinkToFit="1"/>
      <protection locked="0"/>
    </xf>
  </cellXfs>
  <cellStyles count="1">
    <cellStyle name="Obično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topLeftCell="A13" zoomScaleNormal="100" workbookViewId="0">
      <selection activeCell="R19" sqref="R19"/>
    </sheetView>
  </sheetViews>
  <sheetFormatPr defaultRowHeight="12.75"/>
  <cols>
    <col min="1" max="1" width="3.85546875" customWidth="1"/>
    <col min="2" max="2" width="12.5703125" customWidth="1"/>
    <col min="3" max="3" width="10.7109375" customWidth="1"/>
    <col min="4" max="4" width="5.42578125" customWidth="1"/>
    <col min="5" max="5" width="5.140625" customWidth="1"/>
    <col min="6" max="6" width="5.85546875" customWidth="1"/>
    <col min="7" max="7" width="5.28515625" customWidth="1"/>
    <col min="8" max="8" width="5" customWidth="1"/>
    <col min="9" max="10" width="5.28515625" customWidth="1"/>
    <col min="11" max="11" width="5" customWidth="1"/>
    <col min="12" max="12" width="5.5703125" customWidth="1"/>
    <col min="13" max="13" width="4.85546875" customWidth="1"/>
    <col min="14" max="14" width="5.85546875" customWidth="1"/>
    <col min="15" max="15" width="5.28515625" customWidth="1"/>
  </cols>
  <sheetData>
    <row r="1" spans="1:16" s="11" customFormat="1" ht="22.5" customHeight="1">
      <c r="A1" s="15" t="s">
        <v>37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6" ht="73.5" customHeight="1" thickBot="1">
      <c r="A2" s="6" t="s">
        <v>6</v>
      </c>
      <c r="B2" s="9" t="s">
        <v>18</v>
      </c>
      <c r="C2" s="10" t="s">
        <v>19</v>
      </c>
      <c r="D2" s="4" t="s">
        <v>0</v>
      </c>
      <c r="E2" s="4" t="s">
        <v>5</v>
      </c>
      <c r="F2" s="4" t="s">
        <v>4</v>
      </c>
      <c r="G2" s="4" t="s">
        <v>1</v>
      </c>
      <c r="H2" s="4" t="s">
        <v>3</v>
      </c>
      <c r="I2" s="4" t="s">
        <v>20</v>
      </c>
      <c r="J2" s="4" t="s">
        <v>7</v>
      </c>
      <c r="K2" s="4" t="s">
        <v>2</v>
      </c>
      <c r="L2" s="4" t="s">
        <v>8</v>
      </c>
      <c r="M2" s="4" t="s">
        <v>9</v>
      </c>
      <c r="N2" s="4" t="s">
        <v>10</v>
      </c>
      <c r="O2" s="4" t="s">
        <v>11</v>
      </c>
      <c r="P2" s="5"/>
    </row>
    <row r="3" spans="1:16" ht="21" thickBot="1">
      <c r="A3" s="3">
        <v>1</v>
      </c>
      <c r="B3" s="13" t="s">
        <v>23</v>
      </c>
      <c r="C3" s="13" t="s">
        <v>30</v>
      </c>
      <c r="D3" s="2"/>
      <c r="E3" s="2"/>
      <c r="F3" s="2"/>
      <c r="G3" s="2"/>
      <c r="H3" s="2"/>
      <c r="I3" s="2"/>
      <c r="J3" s="2"/>
      <c r="K3" s="2"/>
      <c r="L3" s="12" t="e">
        <f t="shared" ref="L3:L21" si="0">AVERAGE(D3:K3)</f>
        <v>#DIV/0!</v>
      </c>
      <c r="M3" s="2"/>
      <c r="N3" s="2"/>
      <c r="O3" s="2"/>
    </row>
    <row r="4" spans="1:16" ht="21" thickBot="1">
      <c r="A4" s="3">
        <v>2</v>
      </c>
      <c r="B4" s="13" t="s">
        <v>38</v>
      </c>
      <c r="C4" s="13" t="s">
        <v>28</v>
      </c>
      <c r="D4" s="2"/>
      <c r="E4" s="2"/>
      <c r="F4" s="2"/>
      <c r="G4" s="2"/>
      <c r="H4" s="2"/>
      <c r="I4" s="2"/>
      <c r="J4" s="2"/>
      <c r="K4" s="2"/>
      <c r="L4" s="12" t="e">
        <f t="shared" si="0"/>
        <v>#DIV/0!</v>
      </c>
      <c r="M4" s="2"/>
      <c r="N4" s="2"/>
      <c r="O4" s="2"/>
    </row>
    <row r="5" spans="1:16" ht="21" thickBot="1">
      <c r="A5" s="3">
        <v>3</v>
      </c>
      <c r="B5" s="13" t="s">
        <v>39</v>
      </c>
      <c r="C5" s="13" t="s">
        <v>53</v>
      </c>
      <c r="D5" s="2"/>
      <c r="E5" s="2"/>
      <c r="F5" s="2"/>
      <c r="G5" s="2"/>
      <c r="H5" s="2"/>
      <c r="I5" s="2"/>
      <c r="J5" s="2"/>
      <c r="K5" s="2"/>
      <c r="L5" s="12" t="e">
        <f t="shared" si="0"/>
        <v>#DIV/0!</v>
      </c>
      <c r="M5" s="2"/>
      <c r="N5" s="2"/>
      <c r="O5" s="2"/>
    </row>
    <row r="6" spans="1:16" ht="21" thickBot="1">
      <c r="A6" s="3">
        <v>4</v>
      </c>
      <c r="B6" s="13" t="s">
        <v>40</v>
      </c>
      <c r="C6" s="13" t="s">
        <v>34</v>
      </c>
      <c r="D6" s="2"/>
      <c r="E6" s="2"/>
      <c r="F6" s="2"/>
      <c r="G6" s="2"/>
      <c r="H6" s="2"/>
      <c r="I6" s="2"/>
      <c r="J6" s="2"/>
      <c r="K6" s="2"/>
      <c r="L6" s="12" t="e">
        <f t="shared" si="0"/>
        <v>#DIV/0!</v>
      </c>
      <c r="M6" s="2"/>
      <c r="N6" s="2"/>
      <c r="O6" s="2"/>
    </row>
    <row r="7" spans="1:16" ht="21" thickBot="1">
      <c r="A7" s="3">
        <v>5</v>
      </c>
      <c r="B7" s="13" t="s">
        <v>41</v>
      </c>
      <c r="C7" s="13" t="s">
        <v>34</v>
      </c>
      <c r="D7" s="2"/>
      <c r="E7" s="2"/>
      <c r="F7" s="2"/>
      <c r="G7" s="2"/>
      <c r="H7" s="2"/>
      <c r="I7" s="2"/>
      <c r="J7" s="2"/>
      <c r="K7" s="2"/>
      <c r="L7" s="12" t="e">
        <f t="shared" si="0"/>
        <v>#DIV/0!</v>
      </c>
      <c r="M7" s="2"/>
      <c r="N7" s="2"/>
      <c r="O7" s="2"/>
    </row>
    <row r="8" spans="1:16" ht="21" thickBot="1">
      <c r="A8" s="3">
        <v>6</v>
      </c>
      <c r="B8" s="13" t="s">
        <v>42</v>
      </c>
      <c r="C8" s="13" t="s">
        <v>29</v>
      </c>
      <c r="D8" s="2"/>
      <c r="E8" s="2"/>
      <c r="F8" s="2"/>
      <c r="G8" s="2"/>
      <c r="H8" s="2"/>
      <c r="I8" s="2"/>
      <c r="J8" s="2"/>
      <c r="K8" s="2"/>
      <c r="L8" s="12" t="e">
        <f t="shared" si="0"/>
        <v>#DIV/0!</v>
      </c>
      <c r="M8" s="2"/>
      <c r="N8" s="2"/>
      <c r="O8" s="2"/>
    </row>
    <row r="9" spans="1:16" ht="21" thickBot="1">
      <c r="A9" s="3">
        <v>7</v>
      </c>
      <c r="B9" s="13" t="s">
        <v>43</v>
      </c>
      <c r="C9" s="13" t="s">
        <v>54</v>
      </c>
      <c r="D9" s="2"/>
      <c r="E9" s="2"/>
      <c r="F9" s="2"/>
      <c r="G9" s="2"/>
      <c r="H9" s="2"/>
      <c r="I9" s="2"/>
      <c r="J9" s="2"/>
      <c r="K9" s="2"/>
      <c r="L9" s="12" t="e">
        <f t="shared" si="0"/>
        <v>#DIV/0!</v>
      </c>
      <c r="M9" s="2"/>
      <c r="N9" s="2"/>
      <c r="O9" s="2"/>
    </row>
    <row r="10" spans="1:16" ht="21" customHeight="1" thickBot="1">
      <c r="A10" s="3">
        <v>8</v>
      </c>
      <c r="B10" s="13" t="s">
        <v>44</v>
      </c>
      <c r="C10" s="13" t="s">
        <v>22</v>
      </c>
      <c r="D10" s="2"/>
      <c r="E10" s="2"/>
      <c r="F10" s="2"/>
      <c r="G10" s="2"/>
      <c r="H10" s="2"/>
      <c r="I10" s="2"/>
      <c r="J10" s="2"/>
      <c r="K10" s="2"/>
      <c r="L10" s="12" t="e">
        <f t="shared" si="0"/>
        <v>#DIV/0!</v>
      </c>
      <c r="M10" s="2"/>
      <c r="N10" s="2"/>
      <c r="O10" s="2"/>
    </row>
    <row r="11" spans="1:16" ht="21" thickBot="1">
      <c r="A11" s="3">
        <v>9</v>
      </c>
      <c r="B11" s="13" t="s">
        <v>24</v>
      </c>
      <c r="C11" s="13" t="s">
        <v>55</v>
      </c>
      <c r="D11" s="2"/>
      <c r="E11" s="2"/>
      <c r="F11" s="2"/>
      <c r="G11" s="2"/>
      <c r="H11" s="2"/>
      <c r="I11" s="2"/>
      <c r="J11" s="2"/>
      <c r="K11" s="2"/>
      <c r="L11" s="12" t="e">
        <f t="shared" si="0"/>
        <v>#DIV/0!</v>
      </c>
      <c r="M11" s="2"/>
      <c r="N11" s="2"/>
      <c r="O11" s="2"/>
    </row>
    <row r="12" spans="1:16" ht="21" thickBot="1">
      <c r="A12" s="3">
        <v>10</v>
      </c>
      <c r="B12" s="13" t="s">
        <v>45</v>
      </c>
      <c r="C12" s="13" t="s">
        <v>21</v>
      </c>
      <c r="D12" s="2"/>
      <c r="E12" s="2"/>
      <c r="F12" s="2"/>
      <c r="G12" s="2"/>
      <c r="H12" s="2"/>
      <c r="I12" s="2"/>
      <c r="J12" s="2"/>
      <c r="K12" s="2"/>
      <c r="L12" s="12" t="e">
        <f t="shared" si="0"/>
        <v>#DIV/0!</v>
      </c>
      <c r="M12" s="2"/>
      <c r="N12" s="2"/>
      <c r="O12" s="2"/>
    </row>
    <row r="13" spans="1:16" ht="22.5" customHeight="1" thickBot="1">
      <c r="A13" s="3">
        <v>11</v>
      </c>
      <c r="B13" s="13" t="s">
        <v>46</v>
      </c>
      <c r="C13" s="13" t="s">
        <v>56</v>
      </c>
      <c r="D13" s="2"/>
      <c r="E13" s="2"/>
      <c r="F13" s="2"/>
      <c r="G13" s="2"/>
      <c r="H13" s="2"/>
      <c r="I13" s="2"/>
      <c r="J13" s="2"/>
      <c r="K13" s="2"/>
      <c r="L13" s="12" t="e">
        <f t="shared" si="0"/>
        <v>#DIV/0!</v>
      </c>
      <c r="M13" s="2"/>
      <c r="N13" s="2"/>
      <c r="O13" s="2"/>
    </row>
    <row r="14" spans="1:16" ht="21" thickBot="1">
      <c r="A14" s="3">
        <v>12</v>
      </c>
      <c r="B14" s="13" t="s">
        <v>47</v>
      </c>
      <c r="C14" s="13" t="s">
        <v>33</v>
      </c>
      <c r="D14" s="2"/>
      <c r="E14" s="2"/>
      <c r="F14" s="2"/>
      <c r="G14" s="2"/>
      <c r="H14" s="2"/>
      <c r="I14" s="2"/>
      <c r="J14" s="2"/>
      <c r="K14" s="2"/>
      <c r="L14" s="12" t="e">
        <f t="shared" si="0"/>
        <v>#DIV/0!</v>
      </c>
      <c r="M14" s="2"/>
      <c r="N14" s="2"/>
      <c r="O14" s="2"/>
    </row>
    <row r="15" spans="1:16" ht="21" thickBot="1">
      <c r="A15" s="3">
        <v>13</v>
      </c>
      <c r="B15" s="13" t="s">
        <v>36</v>
      </c>
      <c r="C15" s="13" t="s">
        <v>31</v>
      </c>
      <c r="D15" s="2"/>
      <c r="E15" s="2"/>
      <c r="F15" s="2"/>
      <c r="G15" s="2"/>
      <c r="H15" s="2"/>
      <c r="I15" s="2"/>
      <c r="J15" s="2"/>
      <c r="K15" s="2"/>
      <c r="L15" s="12" t="e">
        <f t="shared" si="0"/>
        <v>#DIV/0!</v>
      </c>
      <c r="M15" s="2"/>
      <c r="N15" s="2"/>
      <c r="O15" s="2"/>
    </row>
    <row r="16" spans="1:16" ht="30.75" thickBot="1">
      <c r="A16" s="3">
        <v>14</v>
      </c>
      <c r="B16" s="14" t="s">
        <v>48</v>
      </c>
      <c r="C16" s="14" t="s">
        <v>27</v>
      </c>
      <c r="D16" s="2"/>
      <c r="E16" s="2"/>
      <c r="F16" s="2"/>
      <c r="G16" s="2"/>
      <c r="H16" s="2"/>
      <c r="I16" s="2"/>
      <c r="J16" s="2"/>
      <c r="K16" s="2"/>
      <c r="L16" s="12" t="e">
        <f t="shared" si="0"/>
        <v>#DIV/0!</v>
      </c>
      <c r="M16" s="2"/>
      <c r="N16" s="2"/>
      <c r="O16" s="2"/>
    </row>
    <row r="17" spans="1:15" ht="21" thickBot="1">
      <c r="A17" s="3">
        <v>15</v>
      </c>
      <c r="B17" s="13" t="s">
        <v>49</v>
      </c>
      <c r="C17" s="13" t="s">
        <v>34</v>
      </c>
      <c r="D17" s="2"/>
      <c r="E17" s="2"/>
      <c r="F17" s="2"/>
      <c r="G17" s="2"/>
      <c r="H17" s="2"/>
      <c r="I17" s="2"/>
      <c r="J17" s="2"/>
      <c r="K17" s="2"/>
      <c r="L17" s="12" t="e">
        <f t="shared" si="0"/>
        <v>#DIV/0!</v>
      </c>
      <c r="M17" s="2"/>
      <c r="N17" s="2"/>
      <c r="O17" s="2"/>
    </row>
    <row r="18" spans="1:15" ht="21" thickBot="1">
      <c r="A18" s="3">
        <v>16</v>
      </c>
      <c r="B18" s="13" t="s">
        <v>50</v>
      </c>
      <c r="C18" s="13" t="s">
        <v>33</v>
      </c>
      <c r="D18" s="2"/>
      <c r="E18" s="2"/>
      <c r="F18" s="2"/>
      <c r="G18" s="2"/>
      <c r="H18" s="2"/>
      <c r="I18" s="2"/>
      <c r="J18" s="2"/>
      <c r="K18" s="2"/>
      <c r="L18" s="12" t="e">
        <f t="shared" si="0"/>
        <v>#DIV/0!</v>
      </c>
      <c r="M18" s="2"/>
      <c r="N18" s="2"/>
      <c r="O18" s="2"/>
    </row>
    <row r="19" spans="1:15" ht="21" thickBot="1">
      <c r="A19" s="3">
        <v>17</v>
      </c>
      <c r="B19" s="13" t="s">
        <v>25</v>
      </c>
      <c r="C19" s="13" t="s">
        <v>35</v>
      </c>
      <c r="D19" s="2"/>
      <c r="E19" s="2"/>
      <c r="F19" s="2"/>
      <c r="G19" s="2"/>
      <c r="H19" s="2"/>
      <c r="I19" s="2"/>
      <c r="J19" s="2"/>
      <c r="K19" s="2"/>
      <c r="L19" s="12" t="e">
        <f t="shared" si="0"/>
        <v>#DIV/0!</v>
      </c>
      <c r="M19" s="2"/>
      <c r="N19" s="2"/>
      <c r="O19" s="2"/>
    </row>
    <row r="20" spans="1:15" ht="21" thickBot="1">
      <c r="A20" s="3">
        <v>18</v>
      </c>
      <c r="B20" s="13" t="s">
        <v>51</v>
      </c>
      <c r="C20" s="13" t="s">
        <v>32</v>
      </c>
      <c r="D20" s="2"/>
      <c r="E20" s="2"/>
      <c r="F20" s="2"/>
      <c r="G20" s="2"/>
      <c r="H20" s="2"/>
      <c r="I20" s="2"/>
      <c r="J20" s="2"/>
      <c r="K20" s="2"/>
      <c r="L20" s="12" t="e">
        <f t="shared" si="0"/>
        <v>#DIV/0!</v>
      </c>
      <c r="M20" s="2"/>
      <c r="N20" s="2"/>
      <c r="O20" s="2"/>
    </row>
    <row r="21" spans="1:15" ht="20.25">
      <c r="A21" s="3">
        <v>19</v>
      </c>
      <c r="B21" s="13" t="s">
        <v>52</v>
      </c>
      <c r="C21" s="13" t="s">
        <v>26</v>
      </c>
      <c r="D21" s="2"/>
      <c r="E21" s="2"/>
      <c r="F21" s="2"/>
      <c r="G21" s="2"/>
      <c r="H21" s="2"/>
      <c r="I21" s="2"/>
      <c r="J21" s="2"/>
      <c r="K21" s="2"/>
      <c r="L21" s="12" t="e">
        <f t="shared" si="0"/>
        <v>#DIV/0!</v>
      </c>
      <c r="M21" s="2"/>
      <c r="N21" s="2"/>
      <c r="O21" s="2"/>
    </row>
    <row r="22" spans="1:15" ht="18.75">
      <c r="A22" s="1"/>
      <c r="B22" s="20" t="s">
        <v>12</v>
      </c>
      <c r="C22" s="21"/>
      <c r="D22" s="7" t="e">
        <f t="shared" ref="D22:K22" si="1">AVERAGE(D3:D21)</f>
        <v>#DIV/0!</v>
      </c>
      <c r="E22" s="7" t="e">
        <f t="shared" si="1"/>
        <v>#DIV/0!</v>
      </c>
      <c r="F22" s="7" t="e">
        <f t="shared" si="1"/>
        <v>#DIV/0!</v>
      </c>
      <c r="G22" s="7" t="e">
        <f t="shared" si="1"/>
        <v>#DIV/0!</v>
      </c>
      <c r="H22" s="7" t="e">
        <f t="shared" si="1"/>
        <v>#DIV/0!</v>
      </c>
      <c r="I22" s="7" t="e">
        <f t="shared" si="1"/>
        <v>#DIV/0!</v>
      </c>
      <c r="J22" s="7" t="e">
        <f t="shared" si="1"/>
        <v>#DIV/0!</v>
      </c>
      <c r="K22" s="7" t="e">
        <f t="shared" si="1"/>
        <v>#DIV/0!</v>
      </c>
      <c r="L22" s="12" t="e">
        <f>AVERAGE(D22:K22)</f>
        <v>#DIV/0!</v>
      </c>
      <c r="M22" s="7" t="e">
        <f>AVERAGE(M3:M21)</f>
        <v>#DIV/0!</v>
      </c>
      <c r="N22" s="8">
        <f>SUM(N3:N21)</f>
        <v>0</v>
      </c>
      <c r="O22" s="8">
        <f>SUM(O3:O21)</f>
        <v>0</v>
      </c>
    </row>
    <row r="23" spans="1:15" ht="20.100000000000001" customHeight="1">
      <c r="A23" s="17" t="s">
        <v>13</v>
      </c>
      <c r="B23" s="18"/>
      <c r="C23" s="19"/>
      <c r="D23" s="2">
        <f t="shared" ref="D23:K23" si="2">COUNTIF(D3:D21,5)</f>
        <v>0</v>
      </c>
      <c r="E23" s="2">
        <f t="shared" si="2"/>
        <v>0</v>
      </c>
      <c r="F23" s="2">
        <f t="shared" si="2"/>
        <v>0</v>
      </c>
      <c r="G23" s="2">
        <f t="shared" si="2"/>
        <v>0</v>
      </c>
      <c r="H23" s="2">
        <f t="shared" si="2"/>
        <v>0</v>
      </c>
      <c r="I23" s="2">
        <f t="shared" si="2"/>
        <v>0</v>
      </c>
      <c r="J23" s="2">
        <f t="shared" si="2"/>
        <v>0</v>
      </c>
      <c r="K23" s="2">
        <f t="shared" si="2"/>
        <v>0</v>
      </c>
      <c r="L23" s="2"/>
      <c r="M23" s="2">
        <f>COUNTIF(M3:M21,5)</f>
        <v>0</v>
      </c>
      <c r="N23" s="2"/>
      <c r="O23" s="2"/>
    </row>
    <row r="24" spans="1:15" ht="20.100000000000001" customHeight="1">
      <c r="A24" s="17" t="s">
        <v>14</v>
      </c>
      <c r="B24" s="18"/>
      <c r="C24" s="19"/>
      <c r="D24" s="2">
        <f t="shared" ref="D24:K24" si="3">COUNTIF(D3:D21,4)</f>
        <v>0</v>
      </c>
      <c r="E24" s="2">
        <f t="shared" si="3"/>
        <v>0</v>
      </c>
      <c r="F24" s="2">
        <f t="shared" si="3"/>
        <v>0</v>
      </c>
      <c r="G24" s="2">
        <f t="shared" si="3"/>
        <v>0</v>
      </c>
      <c r="H24" s="2">
        <f t="shared" si="3"/>
        <v>0</v>
      </c>
      <c r="I24" s="2">
        <f t="shared" si="3"/>
        <v>0</v>
      </c>
      <c r="J24" s="2">
        <f t="shared" si="3"/>
        <v>0</v>
      </c>
      <c r="K24" s="2">
        <f t="shared" si="3"/>
        <v>0</v>
      </c>
      <c r="L24" s="2"/>
      <c r="M24" s="2">
        <f>COUNTIF(M3:M21,4)</f>
        <v>0</v>
      </c>
      <c r="N24" s="2"/>
      <c r="O24" s="2"/>
    </row>
    <row r="25" spans="1:15" ht="20.100000000000001" customHeight="1">
      <c r="A25" s="17" t="s">
        <v>15</v>
      </c>
      <c r="B25" s="18"/>
      <c r="C25" s="19"/>
      <c r="D25" s="2">
        <f t="shared" ref="D25:K25" si="4">COUNTIF(D3:D21,3)</f>
        <v>0</v>
      </c>
      <c r="E25" s="2">
        <f t="shared" si="4"/>
        <v>0</v>
      </c>
      <c r="F25" s="2">
        <f t="shared" si="4"/>
        <v>0</v>
      </c>
      <c r="G25" s="2">
        <f t="shared" si="4"/>
        <v>0</v>
      </c>
      <c r="H25" s="2">
        <f t="shared" si="4"/>
        <v>0</v>
      </c>
      <c r="I25" s="2">
        <f t="shared" si="4"/>
        <v>0</v>
      </c>
      <c r="J25" s="2">
        <f t="shared" si="4"/>
        <v>0</v>
      </c>
      <c r="K25" s="2">
        <f t="shared" si="4"/>
        <v>0</v>
      </c>
      <c r="L25" s="2"/>
      <c r="M25" s="2">
        <f>COUNTIF(M3:M21,3)</f>
        <v>0</v>
      </c>
      <c r="N25" s="2"/>
      <c r="O25" s="2"/>
    </row>
    <row r="26" spans="1:15" ht="20.100000000000001" customHeight="1">
      <c r="A26" s="17" t="s">
        <v>16</v>
      </c>
      <c r="B26" s="18"/>
      <c r="C26" s="19"/>
      <c r="D26" s="2">
        <f t="shared" ref="D26:K26" si="5">COUNTIF(D3:D21,2)</f>
        <v>0</v>
      </c>
      <c r="E26" s="2">
        <f t="shared" si="5"/>
        <v>0</v>
      </c>
      <c r="F26" s="2">
        <f t="shared" si="5"/>
        <v>0</v>
      </c>
      <c r="G26" s="2">
        <f t="shared" si="5"/>
        <v>0</v>
      </c>
      <c r="H26" s="2">
        <f t="shared" si="5"/>
        <v>0</v>
      </c>
      <c r="I26" s="2">
        <f t="shared" si="5"/>
        <v>0</v>
      </c>
      <c r="J26" s="2">
        <f t="shared" si="5"/>
        <v>0</v>
      </c>
      <c r="K26" s="2">
        <f t="shared" si="5"/>
        <v>0</v>
      </c>
      <c r="L26" s="2"/>
      <c r="M26" s="2">
        <f>COUNTIF(M3:M21,2)</f>
        <v>0</v>
      </c>
      <c r="N26" s="2"/>
      <c r="O26" s="2"/>
    </row>
    <row r="27" spans="1:15" ht="20.100000000000001" customHeight="1">
      <c r="A27" s="17" t="s">
        <v>17</v>
      </c>
      <c r="B27" s="18"/>
      <c r="C27" s="19"/>
      <c r="D27" s="2">
        <f t="shared" ref="D27:K27" si="6">COUNTIF(D3:D21,1)</f>
        <v>0</v>
      </c>
      <c r="E27" s="2">
        <f t="shared" si="6"/>
        <v>0</v>
      </c>
      <c r="F27" s="2">
        <f t="shared" si="6"/>
        <v>0</v>
      </c>
      <c r="G27" s="2">
        <f t="shared" si="6"/>
        <v>0</v>
      </c>
      <c r="H27" s="2">
        <f t="shared" si="6"/>
        <v>0</v>
      </c>
      <c r="I27" s="2">
        <f t="shared" si="6"/>
        <v>0</v>
      </c>
      <c r="J27" s="2">
        <f t="shared" si="6"/>
        <v>0</v>
      </c>
      <c r="K27" s="2">
        <f t="shared" si="6"/>
        <v>0</v>
      </c>
      <c r="L27" s="2"/>
      <c r="M27" s="2">
        <f>COUNTIF(M3:M21,1)</f>
        <v>0</v>
      </c>
      <c r="N27" s="2"/>
      <c r="O27" s="2"/>
    </row>
  </sheetData>
  <mergeCells count="7">
    <mergeCell ref="A1:O1"/>
    <mergeCell ref="A25:C25"/>
    <mergeCell ref="A26:C26"/>
    <mergeCell ref="A27:C27"/>
    <mergeCell ref="B22:C22"/>
    <mergeCell ref="A23:C23"/>
    <mergeCell ref="A24:C24"/>
  </mergeCells>
  <phoneticPr fontId="10" type="noConversion"/>
  <pageMargins left="0.39583333333333331" right="1.0416666666666666E-2" top="0.23958333333333334" bottom="0.15625" header="0.3" footer="0.3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>abc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2011-06-05T18:31:11Z</cp:lastPrinted>
  <dcterms:created xsi:type="dcterms:W3CDTF">2011-06-05T18:00:36Z</dcterms:created>
  <dcterms:modified xsi:type="dcterms:W3CDTF">2011-05-16T14:19:26Z</dcterms:modified>
</cp:coreProperties>
</file>