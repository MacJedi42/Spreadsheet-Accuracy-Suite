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 defaultThemeVersion="124226"/>
  <bookViews>
    <workbookView xWindow="0" yWindow="105" windowWidth="11355" windowHeight="4620"/>
  </bookViews>
  <sheets>
    <sheet name="Sheet1" sheetId="1" r:id="rId1"/>
    <sheet name="Sheet2" sheetId="2" r:id="rId2"/>
    <sheet name="Sheet3" sheetId="3" r:id="rId3"/>
    <sheet name="DV-IDENTITY-0" sheetId="6" state="hidden" r:id="rId4"/>
  </sheets>
  <definedNames>
    <definedName name="_xlnm._FilterDatabase" localSheetId="0" hidden="1">Sheet1!$A$1:$E$201</definedName>
  </definedNames>
  <calcPr calcId="125725"/>
</workbook>
</file>

<file path=xl/calcChain.xml><?xml version="1.0" encoding="utf-8"?>
<calcChain xmlns="http://schemas.openxmlformats.org/spreadsheetml/2006/main">
  <c r="A5" i="6"/>
  <c r="B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H5"/>
  <c r="BI5"/>
  <c r="BJ5"/>
  <c r="BK5"/>
  <c r="BL5"/>
  <c r="BM5"/>
  <c r="BN5"/>
  <c r="BO5"/>
  <c r="BP5"/>
  <c r="BQ5"/>
  <c r="BR5"/>
  <c r="BS5"/>
  <c r="BT5"/>
  <c r="BU5"/>
  <c r="BV5"/>
  <c r="BW5"/>
  <c r="BX5"/>
  <c r="BY5"/>
  <c r="BZ5"/>
  <c r="CA5"/>
  <c r="CB5"/>
  <c r="CC5"/>
  <c r="CD5"/>
  <c r="CE5"/>
  <c r="CF5"/>
  <c r="CG5"/>
  <c r="CH5"/>
  <c r="CI5"/>
  <c r="CJ5"/>
  <c r="CK5"/>
  <c r="CL5"/>
  <c r="CM5"/>
  <c r="CN5"/>
  <c r="CO5"/>
  <c r="CP5"/>
  <c r="CQ5"/>
  <c r="CR5"/>
  <c r="CS5"/>
  <c r="CT5"/>
  <c r="CU5"/>
  <c r="CV5"/>
  <c r="CW5"/>
  <c r="CX5"/>
  <c r="CY5"/>
  <c r="CZ5"/>
  <c r="DA5"/>
  <c r="DB5"/>
  <c r="DC5"/>
  <c r="DD5"/>
  <c r="DE5"/>
  <c r="DF5"/>
  <c r="DG5"/>
  <c r="DH5"/>
  <c r="DI5"/>
  <c r="DJ5"/>
  <c r="DK5"/>
  <c r="DL5"/>
  <c r="DM5"/>
  <c r="DN5"/>
  <c r="DO5"/>
  <c r="DP5"/>
  <c r="DQ5"/>
  <c r="DR5"/>
  <c r="DS5"/>
  <c r="DT5"/>
  <c r="DU5"/>
  <c r="DV5"/>
  <c r="DW5"/>
  <c r="DX5"/>
  <c r="DY5"/>
  <c r="DZ5"/>
  <c r="EA5"/>
  <c r="EB5"/>
  <c r="EC5"/>
  <c r="ED5"/>
  <c r="EE5"/>
  <c r="EF5"/>
  <c r="EG5"/>
  <c r="EH5"/>
  <c r="EI5"/>
  <c r="EJ5"/>
  <c r="EK5"/>
  <c r="EL5"/>
  <c r="EM5"/>
  <c r="EN5"/>
  <c r="EO5"/>
  <c r="EP5"/>
  <c r="EQ5"/>
  <c r="ER5"/>
  <c r="ES5"/>
  <c r="ET5"/>
  <c r="EU5"/>
  <c r="EV5"/>
  <c r="EW5"/>
  <c r="EX5"/>
  <c r="EY5"/>
  <c r="EZ5"/>
  <c r="FA5"/>
  <c r="FB5"/>
  <c r="FC5"/>
  <c r="FD5"/>
  <c r="FE5"/>
  <c r="FF5"/>
  <c r="FG5"/>
  <c r="FH5"/>
  <c r="FI5"/>
  <c r="FJ5"/>
  <c r="FK5"/>
  <c r="FL5"/>
  <c r="FM5"/>
  <c r="FN5"/>
  <c r="FO5"/>
  <c r="FP5"/>
  <c r="FQ5"/>
  <c r="FR5"/>
  <c r="FS5"/>
  <c r="FT5"/>
  <c r="FU5"/>
  <c r="FV5"/>
  <c r="FW5"/>
  <c r="FX5"/>
  <c r="FY5"/>
  <c r="FZ5"/>
  <c r="GA5"/>
  <c r="GB5"/>
  <c r="GC5"/>
  <c r="GD5"/>
  <c r="GE5"/>
  <c r="GF5"/>
  <c r="GG5"/>
  <c r="GH5"/>
  <c r="GI5"/>
  <c r="GJ5"/>
  <c r="GK5"/>
  <c r="GL5"/>
  <c r="GM5"/>
  <c r="GN5"/>
  <c r="GO5"/>
  <c r="GP5"/>
  <c r="GQ5"/>
  <c r="GR5"/>
  <c r="GS5"/>
  <c r="GT5"/>
  <c r="GU5"/>
  <c r="GV5"/>
  <c r="GW5"/>
  <c r="GX5"/>
  <c r="GY5"/>
  <c r="GZ5"/>
  <c r="HA5"/>
  <c r="HB5"/>
  <c r="HC5"/>
  <c r="HD5"/>
  <c r="HE5"/>
  <c r="HF5"/>
  <c r="HG5"/>
  <c r="HH5"/>
  <c r="HI5"/>
  <c r="HJ5"/>
  <c r="HK5"/>
  <c r="HL5"/>
  <c r="HM5"/>
  <c r="HN5"/>
  <c r="HO5"/>
  <c r="HP5"/>
  <c r="HQ5"/>
  <c r="HR5"/>
  <c r="HS5"/>
  <c r="HT5"/>
  <c r="HU5"/>
  <c r="HV5"/>
  <c r="HW5"/>
  <c r="HX5"/>
  <c r="HY5"/>
  <c r="HZ5"/>
  <c r="IA5"/>
  <c r="IB5"/>
  <c r="IC5"/>
  <c r="ID5"/>
  <c r="IE5"/>
  <c r="IF5"/>
  <c r="IG5"/>
  <c r="IH5"/>
  <c r="II5"/>
  <c r="IJ5"/>
  <c r="IK5"/>
  <c r="IL5"/>
  <c r="IM5"/>
  <c r="A4"/>
  <c r="B4"/>
  <c r="C4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AY4"/>
  <c r="AZ4"/>
  <c r="BA4"/>
  <c r="BB4"/>
  <c r="BC4"/>
  <c r="BD4"/>
  <c r="BE4"/>
  <c r="BF4"/>
  <c r="BG4"/>
  <c r="BH4"/>
  <c r="BI4"/>
  <c r="BJ4"/>
  <c r="BK4"/>
  <c r="BL4"/>
  <c r="BM4"/>
  <c r="BN4"/>
  <c r="BO4"/>
  <c r="BP4"/>
  <c r="BQ4"/>
  <c r="BR4"/>
  <c r="BS4"/>
  <c r="BT4"/>
  <c r="BU4"/>
  <c r="BV4"/>
  <c r="BW4"/>
  <c r="BX4"/>
  <c r="BY4"/>
  <c r="BZ4"/>
  <c r="CA4"/>
  <c r="CB4"/>
  <c r="CC4"/>
  <c r="CD4"/>
  <c r="CE4"/>
  <c r="CF4"/>
  <c r="CG4"/>
  <c r="CH4"/>
  <c r="CI4"/>
  <c r="CJ4"/>
  <c r="CK4"/>
  <c r="CL4"/>
  <c r="CM4"/>
  <c r="CN4"/>
  <c r="CO4"/>
  <c r="CP4"/>
  <c r="CQ4"/>
  <c r="CR4"/>
  <c r="CS4"/>
  <c r="CT4"/>
  <c r="CU4"/>
  <c r="CV4"/>
  <c r="CW4"/>
  <c r="CX4"/>
  <c r="CY4"/>
  <c r="CZ4"/>
  <c r="DA4"/>
  <c r="DB4"/>
  <c r="DC4"/>
  <c r="DD4"/>
  <c r="DE4"/>
  <c r="DF4"/>
  <c r="DG4"/>
  <c r="DH4"/>
  <c r="DI4"/>
  <c r="DJ4"/>
  <c r="DK4"/>
  <c r="DL4"/>
  <c r="DM4"/>
  <c r="DN4"/>
  <c r="DO4"/>
  <c r="DP4"/>
  <c r="DQ4"/>
  <c r="DR4"/>
  <c r="DS4"/>
  <c r="DT4"/>
  <c r="DU4"/>
  <c r="DV4"/>
  <c r="DW4"/>
  <c r="DX4"/>
  <c r="DY4"/>
  <c r="DZ4"/>
  <c r="EA4"/>
  <c r="EB4"/>
  <c r="EC4"/>
  <c r="ED4"/>
  <c r="EE4"/>
  <c r="EF4"/>
  <c r="EG4"/>
  <c r="EH4"/>
  <c r="EI4"/>
  <c r="EJ4"/>
  <c r="EK4"/>
  <c r="EL4"/>
  <c r="EM4"/>
  <c r="EN4"/>
  <c r="EO4"/>
  <c r="EP4"/>
  <c r="EQ4"/>
  <c r="ER4"/>
  <c r="ES4"/>
  <c r="ET4"/>
  <c r="EU4"/>
  <c r="EV4"/>
  <c r="EW4"/>
  <c r="EX4"/>
  <c r="EY4"/>
  <c r="EZ4"/>
  <c r="FA4"/>
  <c r="FB4"/>
  <c r="FC4"/>
  <c r="FD4"/>
  <c r="FE4"/>
  <c r="FF4"/>
  <c r="FG4"/>
  <c r="FH4"/>
  <c r="FI4"/>
  <c r="FJ4"/>
  <c r="FK4"/>
  <c r="FL4"/>
  <c r="FM4"/>
  <c r="FN4"/>
  <c r="FO4"/>
  <c r="FP4"/>
  <c r="FQ4"/>
  <c r="FR4"/>
  <c r="FS4"/>
  <c r="FT4"/>
  <c r="FU4"/>
  <c r="FV4"/>
  <c r="FW4"/>
  <c r="FX4"/>
  <c r="FY4"/>
  <c r="FZ4"/>
  <c r="GA4"/>
  <c r="GB4"/>
  <c r="GC4"/>
  <c r="GD4"/>
  <c r="GE4"/>
  <c r="GF4"/>
  <c r="GG4"/>
  <c r="GH4"/>
  <c r="GI4"/>
  <c r="GJ4"/>
  <c r="GK4"/>
  <c r="GL4"/>
  <c r="GM4"/>
  <c r="GN4"/>
  <c r="GO4"/>
  <c r="GP4"/>
  <c r="GQ4"/>
  <c r="GR4"/>
  <c r="GS4"/>
  <c r="GT4"/>
  <c r="GU4"/>
  <c r="GV4"/>
  <c r="GW4"/>
  <c r="GX4"/>
  <c r="GY4"/>
  <c r="GZ4"/>
  <c r="HA4"/>
  <c r="HB4"/>
  <c r="HC4"/>
  <c r="HD4"/>
  <c r="HE4"/>
  <c r="HF4"/>
  <c r="HG4"/>
  <c r="HH4"/>
  <c r="HI4"/>
  <c r="HJ4"/>
  <c r="HK4"/>
  <c r="HL4"/>
  <c r="HM4"/>
  <c r="HN4"/>
  <c r="HO4"/>
  <c r="HP4"/>
  <c r="HQ4"/>
  <c r="HR4"/>
  <c r="HS4"/>
  <c r="HT4"/>
  <c r="HU4"/>
  <c r="HV4"/>
  <c r="HW4"/>
  <c r="HX4"/>
  <c r="HY4"/>
  <c r="HZ4"/>
  <c r="IA4"/>
  <c r="IB4"/>
  <c r="IC4"/>
  <c r="ID4"/>
  <c r="IE4"/>
  <c r="IF4"/>
  <c r="IG4"/>
  <c r="IH4"/>
  <c r="II4"/>
  <c r="IJ4"/>
  <c r="IK4"/>
  <c r="IL4"/>
  <c r="IM4"/>
  <c r="IN4"/>
  <c r="IO4"/>
  <c r="IP4"/>
  <c r="IQ4"/>
  <c r="IR4"/>
  <c r="IS4"/>
  <c r="IT4"/>
  <c r="IU4"/>
  <c r="IV4"/>
  <c r="A3"/>
  <c r="B3"/>
  <c r="C3"/>
  <c r="D3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AJ3"/>
  <c r="AK3"/>
  <c r="AL3"/>
  <c r="AM3"/>
  <c r="AN3"/>
  <c r="AO3"/>
  <c r="AP3"/>
  <c r="AQ3"/>
  <c r="AR3"/>
  <c r="AS3"/>
  <c r="AT3"/>
  <c r="AU3"/>
  <c r="AV3"/>
  <c r="AW3"/>
  <c r="AX3"/>
  <c r="AY3"/>
  <c r="AZ3"/>
  <c r="BA3"/>
  <c r="BB3"/>
  <c r="BC3"/>
  <c r="BD3"/>
  <c r="BE3"/>
  <c r="BF3"/>
  <c r="BG3"/>
  <c r="BH3"/>
  <c r="BI3"/>
  <c r="BJ3"/>
  <c r="BK3"/>
  <c r="BL3"/>
  <c r="BM3"/>
  <c r="BN3"/>
  <c r="BO3"/>
  <c r="BP3"/>
  <c r="BQ3"/>
  <c r="BR3"/>
  <c r="BS3"/>
  <c r="BT3"/>
  <c r="BU3"/>
  <c r="BV3"/>
  <c r="BW3"/>
  <c r="BX3"/>
  <c r="BY3"/>
  <c r="BZ3"/>
  <c r="CA3"/>
  <c r="CB3"/>
  <c r="CC3"/>
  <c r="CD3"/>
  <c r="CE3"/>
  <c r="CF3"/>
  <c r="CG3"/>
  <c r="CH3"/>
  <c r="CI3"/>
  <c r="CJ3"/>
  <c r="CK3"/>
  <c r="CL3"/>
  <c r="CM3"/>
  <c r="CN3"/>
  <c r="CO3"/>
  <c r="CP3"/>
  <c r="CQ3"/>
  <c r="CR3"/>
  <c r="CS3"/>
  <c r="CT3"/>
  <c r="CU3"/>
  <c r="CV3"/>
  <c r="CW3"/>
  <c r="CX3"/>
  <c r="CY3"/>
  <c r="CZ3"/>
  <c r="DA3"/>
  <c r="DB3"/>
  <c r="DC3"/>
  <c r="DD3"/>
  <c r="DE3"/>
  <c r="DF3"/>
  <c r="DG3"/>
  <c r="DH3"/>
  <c r="DI3"/>
  <c r="DJ3"/>
  <c r="DK3"/>
  <c r="DL3"/>
  <c r="DM3"/>
  <c r="DN3"/>
  <c r="DO3"/>
  <c r="DP3"/>
  <c r="DQ3"/>
  <c r="DR3"/>
  <c r="DS3"/>
  <c r="DT3"/>
  <c r="DU3"/>
  <c r="DV3"/>
  <c r="DW3"/>
  <c r="DX3"/>
  <c r="DY3"/>
  <c r="DZ3"/>
  <c r="EA3"/>
  <c r="EB3"/>
  <c r="EC3"/>
  <c r="ED3"/>
  <c r="EE3"/>
  <c r="EF3"/>
  <c r="EG3"/>
  <c r="EH3"/>
  <c r="EI3"/>
  <c r="EJ3"/>
  <c r="EK3"/>
  <c r="EL3"/>
  <c r="EM3"/>
  <c r="EN3"/>
  <c r="EO3"/>
  <c r="EP3"/>
  <c r="EQ3"/>
  <c r="ER3"/>
  <c r="ES3"/>
  <c r="ET3"/>
  <c r="EU3"/>
  <c r="EV3"/>
  <c r="EW3"/>
  <c r="EX3"/>
  <c r="EY3"/>
  <c r="EZ3"/>
  <c r="FA3"/>
  <c r="FB3"/>
  <c r="FC3"/>
  <c r="FD3"/>
  <c r="FE3"/>
  <c r="FF3"/>
  <c r="FG3"/>
  <c r="FH3"/>
  <c r="FI3"/>
  <c r="FJ3"/>
  <c r="FK3"/>
  <c r="FL3"/>
  <c r="FM3"/>
  <c r="FN3"/>
  <c r="FO3"/>
  <c r="FP3"/>
  <c r="FQ3"/>
  <c r="FR3"/>
  <c r="FS3"/>
  <c r="FT3"/>
  <c r="FU3"/>
  <c r="FV3"/>
  <c r="FW3"/>
  <c r="FX3"/>
  <c r="FY3"/>
  <c r="FZ3"/>
  <c r="GA3"/>
  <c r="GB3"/>
  <c r="GC3"/>
  <c r="GD3"/>
  <c r="GE3"/>
  <c r="GF3"/>
  <c r="GG3"/>
  <c r="GH3"/>
  <c r="GI3"/>
  <c r="GJ3"/>
  <c r="GK3"/>
  <c r="GL3"/>
  <c r="GM3"/>
  <c r="GN3"/>
  <c r="GO3"/>
  <c r="GP3"/>
  <c r="GQ3"/>
  <c r="GR3"/>
  <c r="GS3"/>
  <c r="GT3"/>
  <c r="GU3"/>
  <c r="GV3"/>
  <c r="GW3"/>
  <c r="GX3"/>
  <c r="GY3"/>
  <c r="GZ3"/>
  <c r="HA3"/>
  <c r="HB3"/>
  <c r="HC3"/>
  <c r="HD3"/>
  <c r="HE3"/>
  <c r="HF3"/>
  <c r="HG3"/>
  <c r="HH3"/>
  <c r="HI3"/>
  <c r="HJ3"/>
  <c r="HK3"/>
  <c r="HL3"/>
  <c r="HM3"/>
  <c r="HN3"/>
  <c r="HO3"/>
  <c r="HP3"/>
  <c r="HQ3"/>
  <c r="HR3"/>
  <c r="HS3"/>
  <c r="HT3"/>
  <c r="HU3"/>
  <c r="HV3"/>
  <c r="HW3"/>
  <c r="HX3"/>
  <c r="HY3"/>
  <c r="HZ3"/>
  <c r="IA3"/>
  <c r="IB3"/>
  <c r="IC3"/>
  <c r="ID3"/>
  <c r="IE3"/>
  <c r="IF3"/>
  <c r="IG3"/>
  <c r="IH3"/>
  <c r="II3"/>
  <c r="IJ3"/>
  <c r="IK3"/>
  <c r="IL3"/>
  <c r="IM3"/>
  <c r="IN3"/>
  <c r="IO3"/>
  <c r="IP3"/>
  <c r="IQ3"/>
  <c r="IR3"/>
  <c r="IS3"/>
  <c r="IT3"/>
  <c r="IU3"/>
  <c r="IV3"/>
  <c r="A2"/>
  <c r="B2"/>
  <c r="C2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DE2"/>
  <c r="DF2"/>
  <c r="DG2"/>
  <c r="DH2"/>
  <c r="DI2"/>
  <c r="DJ2"/>
  <c r="DK2"/>
  <c r="DL2"/>
  <c r="DM2"/>
  <c r="DN2"/>
  <c r="DO2"/>
  <c r="DP2"/>
  <c r="DQ2"/>
  <c r="DR2"/>
  <c r="DS2"/>
  <c r="DT2"/>
  <c r="DU2"/>
  <c r="DV2"/>
  <c r="DW2"/>
  <c r="DX2"/>
  <c r="DY2"/>
  <c r="DZ2"/>
  <c r="EA2"/>
  <c r="EB2"/>
  <c r="EC2"/>
  <c r="ED2"/>
  <c r="EE2"/>
  <c r="EF2"/>
  <c r="EG2"/>
  <c r="EH2"/>
  <c r="EI2"/>
  <c r="EJ2"/>
  <c r="EK2"/>
  <c r="EL2"/>
  <c r="EM2"/>
  <c r="EN2"/>
  <c r="EO2"/>
  <c r="EP2"/>
  <c r="EQ2"/>
  <c r="ER2"/>
  <c r="ES2"/>
  <c r="ET2"/>
  <c r="EU2"/>
  <c r="EV2"/>
  <c r="EW2"/>
  <c r="EX2"/>
  <c r="EY2"/>
  <c r="EZ2"/>
  <c r="FA2"/>
  <c r="FB2"/>
  <c r="FC2"/>
  <c r="FD2"/>
  <c r="FE2"/>
  <c r="FF2"/>
  <c r="FG2"/>
  <c r="FH2"/>
  <c r="FI2"/>
  <c r="FJ2"/>
  <c r="FK2"/>
  <c r="FL2"/>
  <c r="FM2"/>
  <c r="FN2"/>
  <c r="FO2"/>
  <c r="FP2"/>
  <c r="FQ2"/>
  <c r="FR2"/>
  <c r="FS2"/>
  <c r="FT2"/>
  <c r="FU2"/>
  <c r="FV2"/>
  <c r="FW2"/>
  <c r="FX2"/>
  <c r="FY2"/>
  <c r="FZ2"/>
  <c r="GA2"/>
  <c r="GB2"/>
  <c r="GC2"/>
  <c r="GD2"/>
  <c r="GE2"/>
  <c r="GF2"/>
  <c r="GG2"/>
  <c r="GH2"/>
  <c r="GI2"/>
  <c r="GJ2"/>
  <c r="GK2"/>
  <c r="GL2"/>
  <c r="GM2"/>
  <c r="GN2"/>
  <c r="GO2"/>
  <c r="GP2"/>
  <c r="GQ2"/>
  <c r="GR2"/>
  <c r="GS2"/>
  <c r="GT2"/>
  <c r="GU2"/>
  <c r="GV2"/>
  <c r="GW2"/>
  <c r="GX2"/>
  <c r="GY2"/>
  <c r="GZ2"/>
  <c r="HA2"/>
  <c r="HB2"/>
  <c r="HC2"/>
  <c r="HD2"/>
  <c r="HE2"/>
  <c r="HF2"/>
  <c r="HG2"/>
  <c r="HH2"/>
  <c r="HI2"/>
  <c r="HJ2"/>
  <c r="HK2"/>
  <c r="HL2"/>
  <c r="HM2"/>
  <c r="HN2"/>
  <c r="HO2"/>
  <c r="HP2"/>
  <c r="HQ2"/>
  <c r="HR2"/>
  <c r="HS2"/>
  <c r="HT2"/>
  <c r="HU2"/>
  <c r="HV2"/>
  <c r="HW2"/>
  <c r="HX2"/>
  <c r="HY2"/>
  <c r="HZ2"/>
  <c r="IA2"/>
  <c r="IB2"/>
  <c r="IC2"/>
  <c r="ID2"/>
  <c r="IE2"/>
  <c r="IF2"/>
  <c r="IG2"/>
  <c r="IH2"/>
  <c r="II2"/>
  <c r="IJ2"/>
  <c r="IK2"/>
  <c r="IL2"/>
  <c r="IM2"/>
  <c r="IN2"/>
  <c r="IO2"/>
  <c r="IP2"/>
  <c r="IQ2"/>
  <c r="IR2"/>
  <c r="IS2"/>
  <c r="IT2"/>
  <c r="IU2"/>
  <c r="IV2"/>
  <c r="A1"/>
  <c r="B1"/>
  <c r="C1"/>
  <c r="D1"/>
  <c r="E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AM1"/>
  <c r="AN1"/>
  <c r="AO1"/>
  <c r="AP1"/>
  <c r="AQ1"/>
  <c r="AR1"/>
  <c r="AS1"/>
  <c r="AT1"/>
  <c r="AU1"/>
  <c r="AV1"/>
  <c r="AW1"/>
  <c r="AX1"/>
  <c r="AY1"/>
  <c r="AZ1"/>
  <c r="BA1"/>
  <c r="BB1"/>
  <c r="BC1"/>
  <c r="BD1"/>
  <c r="BE1"/>
  <c r="BF1"/>
  <c r="BG1"/>
  <c r="BH1"/>
  <c r="BI1"/>
  <c r="BJ1"/>
  <c r="BK1"/>
  <c r="BL1"/>
  <c r="BM1"/>
  <c r="BN1"/>
  <c r="BO1"/>
  <c r="BP1"/>
  <c r="BQ1"/>
  <c r="BR1"/>
  <c r="BS1"/>
  <c r="BT1"/>
  <c r="BU1"/>
  <c r="BV1"/>
  <c r="BW1"/>
  <c r="BX1"/>
  <c r="BY1"/>
  <c r="BZ1"/>
  <c r="CA1"/>
  <c r="CB1"/>
  <c r="CC1"/>
  <c r="CD1"/>
  <c r="CE1"/>
  <c r="CF1"/>
  <c r="CG1"/>
  <c r="CH1"/>
  <c r="CI1"/>
  <c r="CJ1"/>
  <c r="CK1"/>
  <c r="CL1"/>
  <c r="CM1"/>
  <c r="CN1"/>
  <c r="CO1"/>
  <c r="CP1"/>
  <c r="CQ1"/>
  <c r="CR1"/>
  <c r="CS1"/>
  <c r="CT1"/>
  <c r="CU1"/>
  <c r="CV1"/>
  <c r="CW1"/>
  <c r="CX1"/>
  <c r="CY1"/>
  <c r="CZ1"/>
  <c r="DA1"/>
  <c r="DB1"/>
  <c r="DC1"/>
  <c r="DD1"/>
  <c r="DE1"/>
  <c r="DF1"/>
  <c r="DG1"/>
  <c r="DH1"/>
  <c r="DI1"/>
  <c r="DJ1"/>
  <c r="DK1"/>
  <c r="DL1"/>
  <c r="DM1"/>
  <c r="DN1"/>
  <c r="DO1"/>
  <c r="DP1"/>
  <c r="DQ1"/>
  <c r="DR1"/>
  <c r="DS1"/>
  <c r="DT1"/>
  <c r="DU1"/>
  <c r="DV1"/>
  <c r="DW1"/>
  <c r="DX1"/>
  <c r="DY1"/>
  <c r="DZ1"/>
  <c r="EA1"/>
  <c r="EB1"/>
  <c r="EC1"/>
  <c r="ED1"/>
  <c r="EE1"/>
  <c r="EF1"/>
  <c r="EG1"/>
  <c r="EH1"/>
  <c r="EI1"/>
  <c r="EJ1"/>
  <c r="EK1"/>
  <c r="EL1"/>
  <c r="EM1"/>
  <c r="EN1"/>
  <c r="EO1"/>
  <c r="EP1"/>
  <c r="EQ1"/>
  <c r="ER1"/>
  <c r="ES1"/>
  <c r="ET1"/>
  <c r="EU1"/>
  <c r="EV1"/>
  <c r="EW1"/>
  <c r="EX1"/>
  <c r="EY1"/>
  <c r="EZ1"/>
  <c r="FA1"/>
  <c r="FB1"/>
  <c r="FC1"/>
  <c r="FD1"/>
  <c r="FE1"/>
  <c r="FF1"/>
  <c r="FG1"/>
  <c r="FH1"/>
  <c r="FI1"/>
  <c r="FJ1"/>
  <c r="FK1"/>
  <c r="FL1"/>
  <c r="FM1"/>
  <c r="FN1"/>
  <c r="FO1"/>
  <c r="FP1"/>
  <c r="FQ1"/>
  <c r="FR1"/>
  <c r="FS1"/>
  <c r="FT1"/>
  <c r="FU1"/>
  <c r="FV1"/>
  <c r="FW1"/>
  <c r="FX1"/>
  <c r="FY1"/>
  <c r="FZ1"/>
  <c r="GA1"/>
  <c r="GB1"/>
  <c r="GC1"/>
  <c r="GD1"/>
  <c r="GE1"/>
  <c r="GF1"/>
  <c r="GG1"/>
  <c r="GH1"/>
  <c r="GI1"/>
  <c r="GJ1"/>
  <c r="GK1"/>
  <c r="GL1"/>
  <c r="GM1"/>
  <c r="GN1"/>
  <c r="GO1"/>
  <c r="GP1"/>
  <c r="GQ1"/>
  <c r="GR1"/>
  <c r="GS1"/>
  <c r="GT1"/>
  <c r="GU1"/>
  <c r="GV1"/>
  <c r="GW1"/>
  <c r="GX1"/>
  <c r="GY1"/>
  <c r="GZ1"/>
  <c r="HA1"/>
  <c r="HB1"/>
  <c r="HC1"/>
  <c r="HD1"/>
  <c r="HE1"/>
  <c r="HF1"/>
  <c r="HG1"/>
  <c r="HH1"/>
  <c r="HI1"/>
  <c r="HJ1"/>
  <c r="HK1"/>
  <c r="HL1"/>
  <c r="HM1"/>
  <c r="HN1"/>
  <c r="HO1"/>
  <c r="HP1"/>
  <c r="HQ1"/>
  <c r="HR1"/>
  <c r="HS1"/>
  <c r="HT1"/>
  <c r="HU1"/>
  <c r="HV1"/>
  <c r="HW1"/>
  <c r="HX1"/>
  <c r="HY1"/>
  <c r="HZ1"/>
  <c r="IA1"/>
  <c r="IB1"/>
  <c r="IC1"/>
  <c r="ID1"/>
  <c r="IE1"/>
  <c r="IF1"/>
  <c r="IG1"/>
  <c r="IH1"/>
  <c r="II1"/>
  <c r="IJ1"/>
  <c r="IK1"/>
  <c r="IL1"/>
  <c r="IM1"/>
  <c r="IN1"/>
  <c r="IO1"/>
  <c r="IP1"/>
  <c r="IQ1"/>
  <c r="IR1"/>
  <c r="IS1"/>
  <c r="IT1"/>
  <c r="IU1"/>
  <c r="IV1"/>
</calcChain>
</file>

<file path=xl/sharedStrings.xml><?xml version="1.0" encoding="utf-8"?>
<sst xmlns="http://schemas.openxmlformats.org/spreadsheetml/2006/main" count="807" uniqueCount="606">
  <si>
    <t>Agency</t>
  </si>
  <si>
    <t>Last Name</t>
  </si>
  <si>
    <t>Anderson</t>
  </si>
  <si>
    <t>Aquino</t>
  </si>
  <si>
    <t>Aragon</t>
  </si>
  <si>
    <t>Argueta</t>
  </si>
  <si>
    <t>Arnold</t>
  </si>
  <si>
    <t>Ashe</t>
  </si>
  <si>
    <t>Avett</t>
  </si>
  <si>
    <t>Barnes</t>
  </si>
  <si>
    <t>Barnett</t>
  </si>
  <si>
    <t>Beck</t>
  </si>
  <si>
    <t>Bein</t>
  </si>
  <si>
    <t>Bethea</t>
  </si>
  <si>
    <t>Betters</t>
  </si>
  <si>
    <t>Black</t>
  </si>
  <si>
    <t>Boatwright</t>
  </si>
  <si>
    <t>Brady</t>
  </si>
  <si>
    <t>Branch</t>
  </si>
  <si>
    <t>Bremby</t>
  </si>
  <si>
    <t>Brent</t>
  </si>
  <si>
    <t>Britt</t>
  </si>
  <si>
    <t>Broadnax</t>
  </si>
  <si>
    <t>Brock</t>
  </si>
  <si>
    <t>Brodie</t>
  </si>
  <si>
    <t>Browne</t>
  </si>
  <si>
    <t>Bryant</t>
  </si>
  <si>
    <t>Buchart</t>
  </si>
  <si>
    <t>Burden</t>
  </si>
  <si>
    <t>Burton</t>
  </si>
  <si>
    <t>Bynum</t>
  </si>
  <si>
    <t>Cada</t>
  </si>
  <si>
    <t>Cameron</t>
  </si>
  <si>
    <t>Cantu</t>
  </si>
  <si>
    <t>Carter</t>
  </si>
  <si>
    <t>Clements</t>
  </si>
  <si>
    <t>Cline</t>
  </si>
  <si>
    <t>Cooper</t>
  </si>
  <si>
    <t>Curcio</t>
  </si>
  <si>
    <t>Daniels</t>
  </si>
  <si>
    <t>Davis</t>
  </si>
  <si>
    <t>Deyoun</t>
  </si>
  <si>
    <t>Dickens</t>
  </si>
  <si>
    <t>Diggs</t>
  </si>
  <si>
    <t>Doleman</t>
  </si>
  <si>
    <t>Dory</t>
  </si>
  <si>
    <t>Ellis</t>
  </si>
  <si>
    <t>Evans</t>
  </si>
  <si>
    <t>Fairchild</t>
  </si>
  <si>
    <t>Fields</t>
  </si>
  <si>
    <t>Fisher</t>
  </si>
  <si>
    <t>Fogarty</t>
  </si>
  <si>
    <t>Francis</t>
  </si>
  <si>
    <t>Gable</t>
  </si>
  <si>
    <t>Gass</t>
  </si>
  <si>
    <t>Gerstell</t>
  </si>
  <si>
    <t>Gibbs</t>
  </si>
  <si>
    <t>Gilmer</t>
  </si>
  <si>
    <t>Goins</t>
  </si>
  <si>
    <t>Green</t>
  </si>
  <si>
    <t>Gregory</t>
  </si>
  <si>
    <t>Gvozd</t>
  </si>
  <si>
    <t>Hamburg</t>
  </si>
  <si>
    <t>Hamm</t>
  </si>
  <si>
    <t>Hanzel</t>
  </si>
  <si>
    <t>Harris</t>
  </si>
  <si>
    <t>Harvey</t>
  </si>
  <si>
    <t>Hebron</t>
  </si>
  <si>
    <t>Henderson</t>
  </si>
  <si>
    <t>Hentschel</t>
  </si>
  <si>
    <t>Hill</t>
  </si>
  <si>
    <t>Holland</t>
  </si>
  <si>
    <t>Hood</t>
  </si>
  <si>
    <t>Hull</t>
  </si>
  <si>
    <t>Hunter</t>
  </si>
  <si>
    <t>Johnson</t>
  </si>
  <si>
    <t>Joseph</t>
  </si>
  <si>
    <t>Kadin</t>
  </si>
  <si>
    <t>Kanauka</t>
  </si>
  <si>
    <t>Karen</t>
  </si>
  <si>
    <t>Keffer</t>
  </si>
  <si>
    <t>Kelley</t>
  </si>
  <si>
    <t>Kelly</t>
  </si>
  <si>
    <t>King</t>
  </si>
  <si>
    <t>Kington</t>
  </si>
  <si>
    <t>Kirkwood</t>
  </si>
  <si>
    <t>Kostick</t>
  </si>
  <si>
    <t>Larson</t>
  </si>
  <si>
    <t>Lawson</t>
  </si>
  <si>
    <t>Levenberry</t>
  </si>
  <si>
    <t>Lewis</t>
  </si>
  <si>
    <t>Little</t>
  </si>
  <si>
    <t>Love</t>
  </si>
  <si>
    <t>Majors</t>
  </si>
  <si>
    <t>Marino</t>
  </si>
  <si>
    <t>Martin</t>
  </si>
  <si>
    <t>Mauser</t>
  </si>
  <si>
    <t>Mayardah</t>
  </si>
  <si>
    <t>Mckinney</t>
  </si>
  <si>
    <t>Mclain</t>
  </si>
  <si>
    <t>Messer</t>
  </si>
  <si>
    <t>Miller</t>
  </si>
  <si>
    <t>Milton</t>
  </si>
  <si>
    <t>Mister</t>
  </si>
  <si>
    <t>Montgomery</t>
  </si>
  <si>
    <t>Moore</t>
  </si>
  <si>
    <t>Moreno</t>
  </si>
  <si>
    <t>Morrison</t>
  </si>
  <si>
    <t>Murphy</t>
  </si>
  <si>
    <t>Myers</t>
  </si>
  <si>
    <t>Neale</t>
  </si>
  <si>
    <t>Nellums</t>
  </si>
  <si>
    <t>Nelson</t>
  </si>
  <si>
    <t>Nichols</t>
  </si>
  <si>
    <t>Niksich</t>
  </si>
  <si>
    <t>Olijar</t>
  </si>
  <si>
    <t>Overton</t>
  </si>
  <si>
    <t>Owens</t>
  </si>
  <si>
    <t>Pascoe</t>
  </si>
  <si>
    <t>Pena-Ariet</t>
  </si>
  <si>
    <t>Perry</t>
  </si>
  <si>
    <t>Pleasant</t>
  </si>
  <si>
    <t>Poore</t>
  </si>
  <si>
    <t>Pressley</t>
  </si>
  <si>
    <t>Ragland</t>
  </si>
  <si>
    <t>Reid</t>
  </si>
  <si>
    <t>Riley</t>
  </si>
  <si>
    <t>Roberts</t>
  </si>
  <si>
    <t>Sage</t>
  </si>
  <si>
    <t>Sakach</t>
  </si>
  <si>
    <t>Scholz</t>
  </si>
  <si>
    <t>Scott</t>
  </si>
  <si>
    <t>Semega</t>
  </si>
  <si>
    <t>Silver</t>
  </si>
  <si>
    <t>Simon</t>
  </si>
  <si>
    <t>Smith</t>
  </si>
  <si>
    <t>Snipes</t>
  </si>
  <si>
    <t>Snyder</t>
  </si>
  <si>
    <t>Spruill</t>
  </si>
  <si>
    <t>Stauder</t>
  </si>
  <si>
    <t>Steel</t>
  </si>
  <si>
    <t>Stegman</t>
  </si>
  <si>
    <t>Stenson</t>
  </si>
  <si>
    <t>Straughter</t>
  </si>
  <si>
    <t>Sunday</t>
  </si>
  <si>
    <t>Sutherland</t>
  </si>
  <si>
    <t>Swangin</t>
  </si>
  <si>
    <t>Swinton</t>
  </si>
  <si>
    <t>Taylor</t>
  </si>
  <si>
    <t>Terry</t>
  </si>
  <si>
    <t>Thomas</t>
  </si>
  <si>
    <t>Thurston</t>
  </si>
  <si>
    <t>Toatley</t>
  </si>
  <si>
    <t>Turner</t>
  </si>
  <si>
    <t>Tyler</t>
  </si>
  <si>
    <t>Tzul</t>
  </si>
  <si>
    <t>Vowels</t>
  </si>
  <si>
    <t>Walker</t>
  </si>
  <si>
    <t>Wallace</t>
  </si>
  <si>
    <t>Walsh</t>
  </si>
  <si>
    <t>Watts</t>
  </si>
  <si>
    <t>Weiss</t>
  </si>
  <si>
    <t>Williams</t>
  </si>
  <si>
    <t>Wilson</t>
  </si>
  <si>
    <t>Wims</t>
  </si>
  <si>
    <t>Wineland</t>
  </si>
  <si>
    <t>Winn</t>
  </si>
  <si>
    <t>Wolfe</t>
  </si>
  <si>
    <t>Wong</t>
  </si>
  <si>
    <t>Wright</t>
  </si>
  <si>
    <t>Wyttenbach</t>
  </si>
  <si>
    <t>Zentner</t>
  </si>
  <si>
    <t>First Name</t>
  </si>
  <si>
    <t>Mary</t>
  </si>
  <si>
    <t>Mariano S</t>
  </si>
  <si>
    <t>Paul</t>
  </si>
  <si>
    <t>Rita</t>
  </si>
  <si>
    <t>Gary</t>
  </si>
  <si>
    <t>Linda</t>
  </si>
  <si>
    <t>Jim</t>
  </si>
  <si>
    <t>Gerald P</t>
  </si>
  <si>
    <t>George E</t>
  </si>
  <si>
    <t>Doug</t>
  </si>
  <si>
    <t>Joyce</t>
  </si>
  <si>
    <t>Jimmy</t>
  </si>
  <si>
    <t>George</t>
  </si>
  <si>
    <t>Winston</t>
  </si>
  <si>
    <t>Ronald</t>
  </si>
  <si>
    <t>Mariam</t>
  </si>
  <si>
    <t>Gwendolyn C</t>
  </si>
  <si>
    <t>Stephen</t>
  </si>
  <si>
    <t>Bill</t>
  </si>
  <si>
    <t>Donald</t>
  </si>
  <si>
    <t>Alfred</t>
  </si>
  <si>
    <t>Ida</t>
  </si>
  <si>
    <t>Debora J</t>
  </si>
  <si>
    <t>Gwenda A</t>
  </si>
  <si>
    <t>Richard</t>
  </si>
  <si>
    <t>Clifton</t>
  </si>
  <si>
    <t>Jan Yvette</t>
  </si>
  <si>
    <t>LaChelle</t>
  </si>
  <si>
    <t>Diana</t>
  </si>
  <si>
    <t>Mike</t>
  </si>
  <si>
    <t>Colleen</t>
  </si>
  <si>
    <t>Michael</t>
  </si>
  <si>
    <t>Bobbisue</t>
  </si>
  <si>
    <t>Marc</t>
  </si>
  <si>
    <t>Susan</t>
  </si>
  <si>
    <t>Darryl</t>
  </si>
  <si>
    <t>Robert</t>
  </si>
  <si>
    <t>Tina</t>
  </si>
  <si>
    <t>Harold</t>
  </si>
  <si>
    <t>Angela</t>
  </si>
  <si>
    <t>Steve</t>
  </si>
  <si>
    <t>Bob</t>
  </si>
  <si>
    <t>Angel</t>
  </si>
  <si>
    <t>Regina</t>
  </si>
  <si>
    <t>Marshall</t>
  </si>
  <si>
    <t>Camille</t>
  </si>
  <si>
    <t>Shaina</t>
  </si>
  <si>
    <t>Nancy</t>
  </si>
  <si>
    <t>Michael B</t>
  </si>
  <si>
    <t>Cynthia</t>
  </si>
  <si>
    <t>Elaine</t>
  </si>
  <si>
    <t>Joe E</t>
  </si>
  <si>
    <t>Dolores</t>
  </si>
  <si>
    <t>Aster R</t>
  </si>
  <si>
    <t>Eliska</t>
  </si>
  <si>
    <t>Henrietta</t>
  </si>
  <si>
    <t>LaKiesha D</t>
  </si>
  <si>
    <t>Lee</t>
  </si>
  <si>
    <t>John</t>
  </si>
  <si>
    <t>Doris</t>
  </si>
  <si>
    <t>Denise</t>
  </si>
  <si>
    <t>Jeanine</t>
  </si>
  <si>
    <t>James C</t>
  </si>
  <si>
    <t>Betty</t>
  </si>
  <si>
    <t>Walter</t>
  </si>
  <si>
    <t>Frank</t>
  </si>
  <si>
    <t>Damien</t>
  </si>
  <si>
    <t>Roy</t>
  </si>
  <si>
    <t>Anthony</t>
  </si>
  <si>
    <t>Evie</t>
  </si>
  <si>
    <t>Pernell</t>
  </si>
  <si>
    <t>Timothy</t>
  </si>
  <si>
    <t>Gregg</t>
  </si>
  <si>
    <t>Yolanda</t>
  </si>
  <si>
    <t>Pernice</t>
  </si>
  <si>
    <t>Cindy</t>
  </si>
  <si>
    <t>Diane W</t>
  </si>
  <si>
    <t>Burnette T</t>
  </si>
  <si>
    <t>Trent</t>
  </si>
  <si>
    <t>Tommie</t>
  </si>
  <si>
    <t>Edward</t>
  </si>
  <si>
    <t>Janis</t>
  </si>
  <si>
    <t>Patricia F</t>
  </si>
  <si>
    <t>Sharon</t>
  </si>
  <si>
    <t>William</t>
  </si>
  <si>
    <t>Carleen</t>
  </si>
  <si>
    <t>Bennie</t>
  </si>
  <si>
    <t>Andrea</t>
  </si>
  <si>
    <t>Nadine</t>
  </si>
  <si>
    <t>James</t>
  </si>
  <si>
    <t>Alvan</t>
  </si>
  <si>
    <t>Stan</t>
  </si>
  <si>
    <t>Sharleen</t>
  </si>
  <si>
    <t>Jeffrey A</t>
  </si>
  <si>
    <t>Avant</t>
  </si>
  <si>
    <t>Debra</t>
  </si>
  <si>
    <t>Dominic J</t>
  </si>
  <si>
    <t>Milton B</t>
  </si>
  <si>
    <t>Sherri</t>
  </si>
  <si>
    <t>Connie</t>
  </si>
  <si>
    <t>Christine</t>
  </si>
  <si>
    <t>Calvin</t>
  </si>
  <si>
    <t>Romerio</t>
  </si>
  <si>
    <t>Susan A</t>
  </si>
  <si>
    <t>Tony</t>
  </si>
  <si>
    <t>Angela C</t>
  </si>
  <si>
    <t>Samuel</t>
  </si>
  <si>
    <t>Tracy</t>
  </si>
  <si>
    <t>Len</t>
  </si>
  <si>
    <t>Don E</t>
  </si>
  <si>
    <t>Judi</t>
  </si>
  <si>
    <t>Sharlot A</t>
  </si>
  <si>
    <t>Laurie</t>
  </si>
  <si>
    <t>Ray</t>
  </si>
  <si>
    <t>Sophia</t>
  </si>
  <si>
    <t>Kathy A</t>
  </si>
  <si>
    <t>Johnny</t>
  </si>
  <si>
    <t>James E</t>
  </si>
  <si>
    <t>Paul A</t>
  </si>
  <si>
    <t>Taunya A</t>
  </si>
  <si>
    <t>Tamrah</t>
  </si>
  <si>
    <t>Lorenza</t>
  </si>
  <si>
    <t>Bert</t>
  </si>
  <si>
    <t>Ernest</t>
  </si>
  <si>
    <t>Rebecca</t>
  </si>
  <si>
    <t>Rodney</t>
  </si>
  <si>
    <t>Rudy</t>
  </si>
  <si>
    <t>Josh</t>
  </si>
  <si>
    <t>David T</t>
  </si>
  <si>
    <t>Wikita</t>
  </si>
  <si>
    <t>Sylvia I</t>
  </si>
  <si>
    <t>Eme</t>
  </si>
  <si>
    <t>Katie</t>
  </si>
  <si>
    <t>Daneeta</t>
  </si>
  <si>
    <t>Nicholas D</t>
  </si>
  <si>
    <t>Pruitt</t>
  </si>
  <si>
    <t>Sophonia</t>
  </si>
  <si>
    <t>Joyce A</t>
  </si>
  <si>
    <t>Candice</t>
  </si>
  <si>
    <t>Gerrie</t>
  </si>
  <si>
    <t>Kimberly</t>
  </si>
  <si>
    <t>Daniel</t>
  </si>
  <si>
    <t>Lisa</t>
  </si>
  <si>
    <t>Reggie</t>
  </si>
  <si>
    <t>Bernida</t>
  </si>
  <si>
    <t>Cherylynne</t>
  </si>
  <si>
    <t>Elizabeth</t>
  </si>
  <si>
    <t>Eva</t>
  </si>
  <si>
    <t>Jerry</t>
  </si>
  <si>
    <t>Michael O</t>
  </si>
  <si>
    <t>Michelle</t>
  </si>
  <si>
    <t>Lorraine k</t>
  </si>
  <si>
    <t>Sharla</t>
  </si>
  <si>
    <t>Rosalind</t>
  </si>
  <si>
    <t>John P</t>
  </si>
  <si>
    <t>E-mail Address</t>
  </si>
  <si>
    <t>mary.anderson@hq.doe.gov</t>
  </si>
  <si>
    <t>mariano.aquino@opm.gov</t>
  </si>
  <si>
    <t>Paul.Aragon@va.gov</t>
  </si>
  <si>
    <t>Rita.E.Argueta@noaa.gov</t>
  </si>
  <si>
    <t>gary.arnold@ssa.gov</t>
  </si>
  <si>
    <t>linda.ashe@eeoc.gov</t>
  </si>
  <si>
    <t>jim.avett.ctr@hurlburt.af.mil</t>
  </si>
  <si>
    <t>barnesgp@gao.gov</t>
  </si>
  <si>
    <t>george.e.barnett@census.gov</t>
  </si>
  <si>
    <t>doug.s.beck@usace.army.mil</t>
  </si>
  <si>
    <t>Joyce.Bein@csosa.gov</t>
  </si>
  <si>
    <t>jimmy.bethea@dia.mil
james.greunke@navy.mil</t>
  </si>
  <si>
    <t>george.betters@eeoc.gov</t>
  </si>
  <si>
    <t>blackw@fca.gov</t>
  </si>
  <si>
    <t>Ronald.Boatwright@dhs.gov</t>
  </si>
  <si>
    <t>gwendolyn_c._brady@hud.gov</t>
  </si>
  <si>
    <t>Stephen.Branch@exim.gov</t>
  </si>
  <si>
    <t>bill.bremby@mail.va.gov</t>
  </si>
  <si>
    <t>pbrent@fdic.gov</t>
  </si>
  <si>
    <t>donald.britt@uspto.gov</t>
  </si>
  <si>
    <t>rbroadnax@medpac.gov</t>
  </si>
  <si>
    <t>ABrock@usaid.gov</t>
  </si>
  <si>
    <t>ida.brodie@sba.gov</t>
  </si>
  <si>
    <t>debora.j.browne@usdoj.gov</t>
  </si>
  <si>
    <t>gwenda.bryant@dol.state.ga.us</t>
  </si>
  <si>
    <t>richard.buchart@navy.mil</t>
  </si>
  <si>
    <t>burdenc@ors.od.nih.gov</t>
  </si>
  <si>
    <t>jan.y.burton@usace.army.mil</t>
  </si>
  <si>
    <t>bynum_l@bls.gov</t>
  </si>
  <si>
    <t>diana.cada@ssa.gov</t>
  </si>
  <si>
    <t>linda.cameron@us.army.mil</t>
  </si>
  <si>
    <t>mike.cantu@randolph.af.mil</t>
  </si>
  <si>
    <t>colleen.carter@dfas.mil</t>
  </si>
  <si>
    <t>clementsmd@gao.gov</t>
  </si>
  <si>
    <t>Bobbisue.cline@psc.hhs.gov</t>
  </si>
  <si>
    <t>michael.cooper@dfas.mil</t>
  </si>
  <si>
    <t>marc.curcio.ctr@pentagon.af.mil</t>
  </si>
  <si>
    <t>stephen.daniels@gsa.gov</t>
  </si>
  <si>
    <t>ddavis@usmint.treas.gov</t>
  </si>
  <si>
    <t>robert.deyoung2@peterson.af.mil</t>
  </si>
  <si>
    <t>tina.dickens@cms.hhs.gov</t>
  </si>
  <si>
    <t>darryl.diggs@whs.mil</t>
  </si>
  <si>
    <t>harold.doleman@dhs.gov</t>
  </si>
  <si>
    <t>a-dory@nga.gov</t>
  </si>
  <si>
    <t>bob.eichholz@pentagon.af.mil</t>
  </si>
  <si>
    <t>Angel.Ellis@dot.gov</t>
  </si>
  <si>
    <t>regina.evans@march.af.mil</t>
  </si>
  <si>
    <t>Marshall.Fairchild@dtra.mil</t>
  </si>
  <si>
    <t>cfields@doc.gov</t>
  </si>
  <si>
    <t>shaina.fisher2@usda.gov</t>
  </si>
  <si>
    <t>nfogarty@ushmm.org</t>
  </si>
  <si>
    <t>francismb@state.gov</t>
  </si>
  <si>
    <t>cynthia.gable@gsa.gov</t>
  </si>
  <si>
    <t>elaine.gass1@navy.mil</t>
  </si>
  <si>
    <t>joe.e.gerstell@usdoj.gov</t>
  </si>
  <si>
    <t>dolores.gibbs@ic.fbi.gov</t>
  </si>
  <si>
    <t>aster.gilmer@dss.mil</t>
  </si>
  <si>
    <t>Goins.Eliska@epamail.epa.gov</t>
  </si>
  <si>
    <t>greenh@sec.gov</t>
  </si>
  <si>
    <t>Lgreen@fmc.gov</t>
  </si>
  <si>
    <t>Lee.Gregory@gsa.gov</t>
  </si>
  <si>
    <t>john.gvozd@navy.mil</t>
  </si>
  <si>
    <t>doris.hamburg@nara.gov</t>
  </si>
  <si>
    <t>dhamm@cftc.gov</t>
  </si>
  <si>
    <t>jeanine.hanzel@grc.nasa.gov</t>
  </si>
  <si>
    <t>James.C.Harris1@DHS.gov</t>
  </si>
  <si>
    <t>betty.harvey@fms.treas.gov</t>
  </si>
  <si>
    <t>gregory.hebron@atf.gov</t>
  </si>
  <si>
    <t>walter.henderson@fms.treas.gov</t>
  </si>
  <si>
    <t>frank.hentschel@ssa.gov</t>
  </si>
  <si>
    <t>hilld@fca.gov</t>
  </si>
  <si>
    <t>martin.hill@va.gov</t>
  </si>
  <si>
    <t>roy.holland@dhs.gov</t>
  </si>
  <si>
    <t>hood.anthony@epa.gov</t>
  </si>
  <si>
    <t>evie.n.hood@usdoj.gov</t>
  </si>
  <si>
    <t>Stephen.Hull@ssa.gov</t>
  </si>
  <si>
    <t>pernell.hunter@tma.osd.mil</t>
  </si>
  <si>
    <t>huntert@gao.gov</t>
  </si>
  <si>
    <t>gregg.johnson@dhs.gov</t>
  </si>
  <si>
    <t>yjohnson@gpo.gov</t>
  </si>
  <si>
    <t>pernice.joseph@epa.gov</t>
  </si>
  <si>
    <t>cindy.kadin@us.army.mil</t>
  </si>
  <si>
    <t>diane.w.kanauka@irs.gov</t>
  </si>
  <si>
    <t>burnette.karen@bls.gov</t>
  </si>
  <si>
    <t>trent.keffer@associates.dhs.gov</t>
  </si>
  <si>
    <t>j_kelly@cftc.gov</t>
  </si>
  <si>
    <t>kelly@netl.doe.gov</t>
  </si>
  <si>
    <t>sharon.king@fms.treas.gov</t>
  </si>
  <si>
    <t>William.Kington@navy.mil</t>
  </si>
  <si>
    <t>lkirkwood@usmint.treas.gov</t>
  </si>
  <si>
    <t>ckostick@usgs.gov</t>
  </si>
  <si>
    <t>ELarson@comdt.uscg.mil</t>
  </si>
  <si>
    <t>bennie.lawson@whs.mil</t>
  </si>
  <si>
    <t>andrea.levenberry@sba.gov</t>
  </si>
  <si>
    <t>Nadine.Lewis@DOT.GOV</t>
  </si>
  <si>
    <t>james.little@do.treas.gov</t>
  </si>
  <si>
    <t>Love.Denise@dol.gov</t>
  </si>
  <si>
    <t>alvan.majors@hq.doe.gov</t>
  </si>
  <si>
    <t>SCMARINO@BPA.GOV</t>
  </si>
  <si>
    <t>Sharleen.Martin@dhs.gov</t>
  </si>
  <si>
    <t>Jeffrey.A.Mauser@irs.gov</t>
  </si>
  <si>
    <t>mayardah.avant@dhs.gov</t>
  </si>
  <si>
    <t>dmcglade@bop.gov</t>
  </si>
  <si>
    <t>milton.b.mckinney@aphis.usda.gov</t>
  </si>
  <si>
    <t>smclain@bpd.treas.gov</t>
  </si>
  <si>
    <t>cmesser@imf.org</t>
  </si>
  <si>
    <t>MILLERS@afrri.usuhs.mil</t>
  </si>
  <si>
    <t>miltona@ors.od.nih.gov</t>
  </si>
  <si>
    <t>CMister@doc.gov</t>
  </si>
  <si>
    <t>Calvin.Montgomery@sss.gov</t>
  </si>
  <si>
    <t>ronald.moore@luke.af.mil</t>
  </si>
  <si>
    <t>romerio.moreno@dm.usda.gov</t>
  </si>
  <si>
    <t>cindy.morrison@fda.hhs.gov</t>
  </si>
  <si>
    <t>Susan.A.Murphy@APHIS.USDA.Gov</t>
  </si>
  <si>
    <t>TONY.MYERS@dm.usda.gov</t>
  </si>
  <si>
    <t>angela.c.neale@census.gov</t>
  </si>
  <si>
    <t>anthony.nellums@hq.doe.gov</t>
  </si>
  <si>
    <t>susan.nelson@csosa.gov</t>
  </si>
  <si>
    <t>samuel.nichols@va.gov</t>
  </si>
  <si>
    <t>niksicht@ors.od.nih.gov</t>
  </si>
  <si>
    <t>len.olijar@bep.treas.gov</t>
  </si>
  <si>
    <t>don.e.overton@census.gov</t>
  </si>
  <si>
    <t>judi.owens@bpd.treas.gov</t>
  </si>
  <si>
    <t>sharlot.a.owens@frb.gov</t>
  </si>
  <si>
    <t>GPASCOE@ftc.gov</t>
  </si>
  <si>
    <t>lpena-ar@nsf.gov</t>
  </si>
  <si>
    <t>paul.perry@whs.mil</t>
  </si>
  <si>
    <t>Samuel_Pleasant@OA.EOP.GOV</t>
  </si>
  <si>
    <t>ray.poore@va.gov</t>
  </si>
  <si>
    <t>sophia.pressley@dhs.gov</t>
  </si>
  <si>
    <t>Kathy.A.Ragland@irs.gov</t>
  </si>
  <si>
    <t>robert.reid@bpd.treas.gov</t>
  </si>
  <si>
    <t>jose.duque@dhs.gov</t>
  </si>
  <si>
    <t>johnny.riley@disa.mil</t>
  </si>
  <si>
    <t>James_E_Roberts@blm.gov</t>
  </si>
  <si>
    <t>ksage@peacecorps.gov</t>
  </si>
  <si>
    <t>SSakach@imf.org</t>
  </si>
  <si>
    <t>paula.a.scholz@usdoj.gov</t>
  </si>
  <si>
    <t>taunya_a_scott@nbc.gov</t>
  </si>
  <si>
    <t>TSemega@CFTC.gov</t>
  </si>
  <si>
    <t>lorenza.silver@bea.gov</t>
  </si>
  <si>
    <t>bsimon@usgs.gov</t>
  </si>
  <si>
    <t>ernest.smith@uspto.gov</t>
  </si>
  <si>
    <t>lsmith@cftc.gov</t>
  </si>
  <si>
    <t>snipes.rebecca@epa.gov</t>
  </si>
  <si>
    <t>rodney.a.snyder@census.gov</t>
  </si>
  <si>
    <t>rudy.spruill@ost.dot.gov</t>
  </si>
  <si>
    <t>oshua.stauder@bep.gov</t>
  </si>
  <si>
    <t>david.t.steel@navy.mil</t>
  </si>
  <si>
    <t>Wikita.Stegman@csosa.gov</t>
  </si>
  <si>
    <t>sylvia_i._stenson@hud.gov</t>
  </si>
  <si>
    <t>rstraughter@neh.gov</t>
  </si>
  <si>
    <t>Eme.Sunday@epamail.epa.gov</t>
  </si>
  <si>
    <t>frank.sutherland@occ.treas.gov</t>
  </si>
  <si>
    <t>kswangin@ushmm.org</t>
  </si>
  <si>
    <t>daneeta.c.swinton@census.gov</t>
  </si>
  <si>
    <t>nitaylor@usaid.gov</t>
  </si>
  <si>
    <t>Ernest.Terry@navy.mil</t>
  </si>
  <si>
    <t>pruitt.thomas@dol.gov</t>
  </si>
  <si>
    <t>joyce.a.toatley@frb.gov</t>
  </si>
  <si>
    <t>cturner@CFTC.gov</t>
  </si>
  <si>
    <t>joyce.a.tyler@frb.gov</t>
  </si>
  <si>
    <t>gtzul@doc.gov</t>
  </si>
  <si>
    <t>robert.vowels@dc.gov</t>
  </si>
  <si>
    <t>dwalker@fcc.gov</t>
  </si>
  <si>
    <t>jrw2@nrc.gov</t>
  </si>
  <si>
    <t>mwallace@fdic.gov</t>
  </si>
  <si>
    <t>bob.walsh@bep.treas.gov</t>
  </si>
  <si>
    <t>wattsl2@state.gov</t>
  </si>
  <si>
    <t>rwatts@fec.gov</t>
  </si>
  <si>
    <t>mweiss@osc.gov</t>
  </si>
  <si>
    <t>bernida.williams@faa.gov</t>
  </si>
  <si>
    <t>cherylynne.williams@hq.doe.gov</t>
  </si>
  <si>
    <t>williams-fryeea@state.gov</t>
  </si>
  <si>
    <t>Eva.Williams@irs.gov</t>
  </si>
  <si>
    <t>williams.jerry@epamail.epa.gov</t>
  </si>
  <si>
    <t>michael_o._wilson@hud.gov</t>
  </si>
  <si>
    <t>Michelle.wims@nist.gov</t>
  </si>
  <si>
    <t>kimberly.wineland@usdoj.gov</t>
  </si>
  <si>
    <t>winn.regina@epa.gov</t>
  </si>
  <si>
    <t>Lorraine.K.Wolfe@aphis.usda.gov</t>
  </si>
  <si>
    <t>wongs@sec.gov</t>
  </si>
  <si>
    <t>rosalind.wright@opm.gov</t>
  </si>
  <si>
    <t>ronald.wyttenbach@dhs.gov</t>
  </si>
  <si>
    <t>jzentner@fcc.gov</t>
  </si>
  <si>
    <t>Medicare Payment Advisory Commission</t>
  </si>
  <si>
    <t>Bonneville Power Administration</t>
  </si>
  <si>
    <t>Court Services and Offender Supervision Agency</t>
  </si>
  <si>
    <t>U.S. Department of Energy</t>
  </si>
  <si>
    <t>U.S. Office of Personnel Management</t>
  </si>
  <si>
    <t>U.S. Department of Veterans Affairs</t>
  </si>
  <si>
    <t>U.S. Department of Commerce</t>
  </si>
  <si>
    <t>U.S. Social Security Administration</t>
  </si>
  <si>
    <t>U.S. Department of Defense</t>
  </si>
  <si>
    <t xml:space="preserve">U.S. Equal Employment Opportunities Commission </t>
  </si>
  <si>
    <t>U.S. General Services Administration</t>
  </si>
  <si>
    <t>U.S. Department of Justice</t>
  </si>
  <si>
    <t>U.S. Health &amp; Human Services</t>
  </si>
  <si>
    <t>U.S. Department of the Treasury</t>
  </si>
  <si>
    <t>U.S. Department of Health &amp; Human Services</t>
  </si>
  <si>
    <t>U.S. Department of Homeland Security</t>
  </si>
  <si>
    <t>U.S. Department of State</t>
  </si>
  <si>
    <t>U.S. National Aeronautics &amp; Space Administration</t>
  </si>
  <si>
    <t>U.S. Department of Housing &amp; Urban Development</t>
  </si>
  <si>
    <t>U.S. Government Printing Office</t>
  </si>
  <si>
    <t>U.S. Department of Labor</t>
  </si>
  <si>
    <t>U.S. Federal Maritime Commission</t>
  </si>
  <si>
    <t>U.S. Department of the Interior</t>
  </si>
  <si>
    <t>U.S. Peace Corps</t>
  </si>
  <si>
    <t>U.S. Nuclear Regulatory Commission</t>
  </si>
  <si>
    <t>U.S. Small Business Administration</t>
  </si>
  <si>
    <t>U.S. Department of Transportation</t>
  </si>
  <si>
    <t>U.S. Securities &amp; Exchange Commission</t>
  </si>
  <si>
    <t>U.S. Department of Agriculture</t>
  </si>
  <si>
    <t>U.S. Selective Service System</t>
  </si>
  <si>
    <t>U.S. Federal Trade Commission</t>
  </si>
  <si>
    <t>U.S. National Science Foundation</t>
  </si>
  <si>
    <t xml:space="preserve">U.S. Department of Transportation </t>
  </si>
  <si>
    <t>U.S. Agency for International Development</t>
  </si>
  <si>
    <t>U.S. National Gallery of Art</t>
  </si>
  <si>
    <t>U.S. Holocaust Memorial Museum</t>
  </si>
  <si>
    <t>U.S. National Archives &amp; Records Administration</t>
  </si>
  <si>
    <t>U.S. Federal Communications Commission</t>
  </si>
  <si>
    <t>U.S. Federal Election Commission</t>
  </si>
  <si>
    <t>U.S. Environmental Protection Agency</t>
  </si>
  <si>
    <t>U.S. Office of Special Counsel</t>
  </si>
  <si>
    <t>U.S. General Accountability Office</t>
  </si>
  <si>
    <t>U.S. Farm Credit Administration</t>
  </si>
  <si>
    <t xml:space="preserve">U.S. Export Import Bank </t>
  </si>
  <si>
    <t>International Monetary Fund</t>
  </si>
  <si>
    <t>U.S. Federal Deposit Insurance Corporation</t>
  </si>
  <si>
    <t>U.S. Commodity Futures Trading Commission</t>
  </si>
  <si>
    <t>U.S. National Endowment for the Arts</t>
  </si>
  <si>
    <t>Eichholz</t>
  </si>
  <si>
    <t>Chapman</t>
  </si>
  <si>
    <t>Stephanie</t>
  </si>
  <si>
    <t>stephanie.chapman@nara.gov</t>
  </si>
  <si>
    <t>U.S  General Accountability Office</t>
  </si>
  <si>
    <t>U.S. Executive Office of the President</t>
  </si>
  <si>
    <t>U.S. Federal Reserve Board</t>
  </si>
  <si>
    <t>April</t>
  </si>
  <si>
    <t>Prather-Nichols</t>
  </si>
  <si>
    <t>aprather-nichols@doc.gov</t>
  </si>
  <si>
    <t>eycrYk20JPc=</t>
  </si>
  <si>
    <t>eycrYk20JPg=</t>
  </si>
  <si>
    <t>eycrYk20JPk=</t>
  </si>
  <si>
    <t>Lallemont</t>
  </si>
  <si>
    <t>Brian</t>
  </si>
  <si>
    <t>Brian.Lallemont@bpd.treas.gov</t>
  </si>
  <si>
    <t>McGlade</t>
  </si>
  <si>
    <t>mccoycd@state.gov</t>
  </si>
  <si>
    <t>McCoy</t>
  </si>
  <si>
    <t>Charles D</t>
  </si>
  <si>
    <t>Adams</t>
  </si>
  <si>
    <t>rebecca.r.adams@irs.gov</t>
  </si>
  <si>
    <t>brian.mozingo@va.gov</t>
  </si>
  <si>
    <t>Mozingo</t>
  </si>
  <si>
    <t>Palmer.Michael@pbgc.gov</t>
  </si>
  <si>
    <t>Palmer</t>
  </si>
  <si>
    <t>paulette.pereira@va.gov</t>
  </si>
  <si>
    <t>Pereira</t>
  </si>
  <si>
    <t>Paulette</t>
  </si>
  <si>
    <t>james.e.thomasson@census.gov</t>
  </si>
  <si>
    <t>Thomasson</t>
  </si>
  <si>
    <t>debra.lucas@bis.doc.gov</t>
  </si>
  <si>
    <t>Lucas</t>
  </si>
  <si>
    <t>U.S. Pension Benefit Guaranty Corporation</t>
  </si>
  <si>
    <t>sophie.thurston@gsa.gov</t>
  </si>
  <si>
    <t>Joann</t>
  </si>
  <si>
    <t>Joann.Elsey@opm.gov</t>
  </si>
  <si>
    <t>Elsey</t>
  </si>
  <si>
    <t>tommie.l.kelley.civ@mail.mil</t>
  </si>
  <si>
    <t>bobbisue.cline@psc.hhs.gov</t>
  </si>
  <si>
    <t xml:space="preserve"> Moreno</t>
  </si>
  <si>
    <t xml:space="preserve">Bobbi Sue </t>
  </si>
  <si>
    <t>U.S. Department Of Agriculture</t>
  </si>
  <si>
    <t>U.S. Department of Health and Human Services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</si>
</sst>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</font>
    <font>
      <sz val="11"/>
      <name val="Calibri"/>
      <family val="2"/>
    </font>
    <font>
      <u/>
      <sz val="14.3"/>
      <color theme="10"/>
      <name val="Calibri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9"/>
        <bgColor indexed="0"/>
      </patternFill>
    </fill>
  </fills>
  <borders count="1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31">
    <xf numFmtId="0" fontId="0" fillId="0" borderId="0" xfId="0"/>
    <xf numFmtId="0" fontId="4" fillId="0" borderId="0" xfId="1" applyAlignment="1" applyProtection="1"/>
    <xf numFmtId="0" fontId="2" fillId="0" borderId="0" xfId="2"/>
    <xf numFmtId="0" fontId="3" fillId="0" borderId="7" xfId="1" applyFont="1" applyBorder="1" applyAlignment="1" applyProtection="1">
      <alignment vertical="top"/>
    </xf>
    <xf numFmtId="0" fontId="3" fillId="0" borderId="7" xfId="1" applyFont="1" applyFill="1" applyBorder="1" applyAlignment="1" applyProtection="1">
      <alignment vertical="top" wrapText="1"/>
    </xf>
    <xf numFmtId="0" fontId="3" fillId="0" borderId="1" xfId="1" applyFont="1" applyBorder="1" applyAlignment="1" applyProtection="1">
      <alignment vertical="top"/>
    </xf>
    <xf numFmtId="0" fontId="3" fillId="0" borderId="7" xfId="1" applyFont="1" applyBorder="1" applyAlignment="1" applyProtection="1">
      <alignment horizontal="left" vertical="top"/>
    </xf>
    <xf numFmtId="0" fontId="1" fillId="0" borderId="6" xfId="2" applyFont="1" applyFill="1" applyBorder="1" applyAlignment="1">
      <alignment vertical="top" wrapText="1"/>
    </xf>
    <xf numFmtId="0" fontId="1" fillId="2" borderId="2" xfId="2" applyFont="1" applyFill="1" applyBorder="1" applyAlignment="1">
      <alignment horizontal="center" vertical="top"/>
    </xf>
    <xf numFmtId="0" fontId="1" fillId="0" borderId="3" xfId="2" applyFont="1" applyFill="1" applyBorder="1" applyAlignment="1">
      <alignment vertical="top" wrapText="1"/>
    </xf>
    <xf numFmtId="0" fontId="1" fillId="0" borderId="4" xfId="2" applyFont="1" applyFill="1" applyBorder="1" applyAlignment="1">
      <alignment vertical="top" wrapText="1"/>
    </xf>
    <xf numFmtId="0" fontId="1" fillId="0" borderId="5" xfId="2" applyFont="1" applyFill="1" applyBorder="1" applyAlignment="1">
      <alignment vertical="top" wrapText="1"/>
    </xf>
    <xf numFmtId="0" fontId="1" fillId="0" borderId="1" xfId="2" applyFont="1" applyFill="1" applyBorder="1" applyAlignment="1">
      <alignment vertical="top" wrapText="1"/>
    </xf>
    <xf numFmtId="0" fontId="1" fillId="0" borderId="7" xfId="2" applyFont="1" applyFill="1" applyBorder="1" applyAlignment="1">
      <alignment vertical="top" wrapText="1"/>
    </xf>
    <xf numFmtId="0" fontId="1" fillId="3" borderId="0" xfId="2" applyFont="1" applyFill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3" fillId="0" borderId="6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7" fillId="0" borderId="7" xfId="1" applyFont="1" applyFill="1" applyBorder="1" applyAlignment="1" applyProtection="1">
      <alignment horizontal="left" vertical="top"/>
    </xf>
    <xf numFmtId="0" fontId="7" fillId="0" borderId="7" xfId="1" applyFont="1" applyFill="1" applyBorder="1" applyAlignment="1" applyProtection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8" xfId="2" applyFont="1" applyFill="1" applyBorder="1" applyAlignment="1">
      <alignment vertical="top" wrapText="1"/>
    </xf>
    <xf numFmtId="0" fontId="1" fillId="0" borderId="9" xfId="2" applyFont="1" applyFill="1" applyBorder="1" applyAlignment="1">
      <alignment vertical="top" wrapText="1"/>
    </xf>
    <xf numFmtId="0" fontId="1" fillId="0" borderId="10" xfId="2" applyFont="1" applyFill="1" applyBorder="1" applyAlignment="1">
      <alignment vertical="top" wrapText="1"/>
    </xf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ccoycd@state.gov" TargetMode="External"/><Relationship Id="rId13" Type="http://schemas.openxmlformats.org/officeDocument/2006/relationships/customProperty" Target="../customProperty1.bin"/><Relationship Id="rId3" Type="http://schemas.openxmlformats.org/officeDocument/2006/relationships/hyperlink" Target="mailto:brian.mozingo@va.gov" TargetMode="External"/><Relationship Id="rId7" Type="http://schemas.openxmlformats.org/officeDocument/2006/relationships/hyperlink" Target="mailto:debra.lucas@bis.doc.gov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rebecca.r.adams@irs.gov" TargetMode="External"/><Relationship Id="rId1" Type="http://schemas.openxmlformats.org/officeDocument/2006/relationships/hyperlink" Target="mailto:stephanie.chapman@nara.gov" TargetMode="External"/><Relationship Id="rId6" Type="http://schemas.openxmlformats.org/officeDocument/2006/relationships/hyperlink" Target="mailto:james.e.thomasson@census.gov" TargetMode="External"/><Relationship Id="rId11" Type="http://schemas.openxmlformats.org/officeDocument/2006/relationships/hyperlink" Target="mailto:bobbisue.cline@psc.hhs.gov" TargetMode="External"/><Relationship Id="rId5" Type="http://schemas.openxmlformats.org/officeDocument/2006/relationships/hyperlink" Target="mailto:paulette.pereira@va.gov" TargetMode="External"/><Relationship Id="rId10" Type="http://schemas.openxmlformats.org/officeDocument/2006/relationships/hyperlink" Target="mailto:romerio.moreno@dm.usda.gov" TargetMode="External"/><Relationship Id="rId4" Type="http://schemas.openxmlformats.org/officeDocument/2006/relationships/hyperlink" Target="mailto:Palmer.Michael@pbgc.gov" TargetMode="External"/><Relationship Id="rId9" Type="http://schemas.openxmlformats.org/officeDocument/2006/relationships/hyperlink" Target="mailto:sophie.thurston@gsa.gov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201"/>
  <sheetViews>
    <sheetView tabSelected="1" zoomScaleNormal="100" workbookViewId="0">
      <selection activeCell="A23" sqref="A23:XFD23"/>
    </sheetView>
  </sheetViews>
  <sheetFormatPr defaultRowHeight="15"/>
  <cols>
    <col min="1" max="1" width="45.7109375" style="15" customWidth="1"/>
    <col min="2" max="3" width="26.85546875" style="15" customWidth="1"/>
    <col min="4" max="4" width="30.7109375" style="15" customWidth="1"/>
    <col min="5" max="5" width="11.140625" style="15" customWidth="1"/>
    <col min="6" max="16384" width="9.140625" style="15"/>
  </cols>
  <sheetData>
    <row r="1" spans="1:4">
      <c r="A1" s="8" t="s">
        <v>0</v>
      </c>
      <c r="B1" s="8" t="s">
        <v>1</v>
      </c>
      <c r="C1" s="8" t="s">
        <v>172</v>
      </c>
      <c r="D1" s="8" t="s">
        <v>328</v>
      </c>
    </row>
    <row r="2" spans="1:4">
      <c r="A2" s="9" t="s">
        <v>515</v>
      </c>
      <c r="B2" s="10" t="s">
        <v>94</v>
      </c>
      <c r="C2" s="10" t="s">
        <v>264</v>
      </c>
      <c r="D2" s="11" t="s">
        <v>427</v>
      </c>
    </row>
    <row r="3" spans="1:4">
      <c r="A3" s="16" t="s">
        <v>516</v>
      </c>
      <c r="B3" s="12" t="s">
        <v>12</v>
      </c>
      <c r="C3" s="12" t="s">
        <v>183</v>
      </c>
      <c r="D3" s="13" t="s">
        <v>339</v>
      </c>
    </row>
    <row r="4" spans="1:4">
      <c r="A4" s="7" t="s">
        <v>516</v>
      </c>
      <c r="B4" s="12" t="s">
        <v>112</v>
      </c>
      <c r="C4" s="12" t="s">
        <v>207</v>
      </c>
      <c r="D4" s="13" t="s">
        <v>446</v>
      </c>
    </row>
    <row r="5" spans="1:4">
      <c r="A5" s="7" t="s">
        <v>516</v>
      </c>
      <c r="B5" s="12" t="s">
        <v>141</v>
      </c>
      <c r="C5" s="12" t="s">
        <v>302</v>
      </c>
      <c r="D5" s="13" t="s">
        <v>478</v>
      </c>
    </row>
    <row r="6" spans="1:4">
      <c r="A6" s="7" t="s">
        <v>558</v>
      </c>
      <c r="B6" s="12" t="s">
        <v>100</v>
      </c>
      <c r="C6" s="12" t="s">
        <v>272</v>
      </c>
      <c r="D6" s="13" t="s">
        <v>434</v>
      </c>
    </row>
    <row r="7" spans="1:4">
      <c r="A7" s="7" t="s">
        <v>558</v>
      </c>
      <c r="B7" s="12" t="s">
        <v>129</v>
      </c>
      <c r="C7" s="12" t="s">
        <v>190</v>
      </c>
      <c r="D7" s="13" t="s">
        <v>465</v>
      </c>
    </row>
    <row r="8" spans="1:4">
      <c r="A8" s="7" t="s">
        <v>514</v>
      </c>
      <c r="B8" s="12" t="s">
        <v>22</v>
      </c>
      <c r="C8" s="12" t="s">
        <v>176</v>
      </c>
      <c r="D8" s="13" t="s">
        <v>349</v>
      </c>
    </row>
    <row r="9" spans="1:4">
      <c r="A9" s="7" t="s">
        <v>566</v>
      </c>
      <c r="B9" s="12" t="s">
        <v>35</v>
      </c>
      <c r="C9" s="12" t="s">
        <v>204</v>
      </c>
      <c r="D9" s="13" t="s">
        <v>362</v>
      </c>
    </row>
    <row r="10" spans="1:4">
      <c r="A10" s="7" t="s">
        <v>547</v>
      </c>
      <c r="B10" s="12" t="s">
        <v>23</v>
      </c>
      <c r="C10" s="12" t="s">
        <v>193</v>
      </c>
      <c r="D10" s="13" t="s">
        <v>350</v>
      </c>
    </row>
    <row r="11" spans="1:4">
      <c r="A11" s="7" t="s">
        <v>547</v>
      </c>
      <c r="B11" s="12" t="s">
        <v>148</v>
      </c>
      <c r="C11" s="12" t="s">
        <v>307</v>
      </c>
      <c r="D11" s="13" t="s">
        <v>485</v>
      </c>
    </row>
    <row r="12" spans="1:4">
      <c r="A12" s="7" t="s">
        <v>560</v>
      </c>
      <c r="B12" s="12" t="s">
        <v>63</v>
      </c>
      <c r="C12" s="12" t="s">
        <v>233</v>
      </c>
      <c r="D12" s="13" t="s">
        <v>392</v>
      </c>
    </row>
    <row r="13" spans="1:4">
      <c r="A13" s="7" t="s">
        <v>560</v>
      </c>
      <c r="B13" s="12" t="s">
        <v>82</v>
      </c>
      <c r="C13" s="12" t="s">
        <v>254</v>
      </c>
      <c r="D13" s="13" t="s">
        <v>414</v>
      </c>
    </row>
    <row r="14" spans="1:4">
      <c r="A14" s="7" t="s">
        <v>560</v>
      </c>
      <c r="B14" s="12" t="s">
        <v>132</v>
      </c>
      <c r="C14" s="12" t="s">
        <v>293</v>
      </c>
      <c r="D14" s="13" t="s">
        <v>468</v>
      </c>
    </row>
    <row r="15" spans="1:4">
      <c r="A15" s="7" t="s">
        <v>560</v>
      </c>
      <c r="B15" s="12" t="s">
        <v>135</v>
      </c>
      <c r="C15" s="12" t="s">
        <v>230</v>
      </c>
      <c r="D15" s="13" t="s">
        <v>472</v>
      </c>
    </row>
    <row r="16" spans="1:4">
      <c r="A16" s="7" t="s">
        <v>560</v>
      </c>
      <c r="B16" s="12" t="s">
        <v>153</v>
      </c>
      <c r="C16" s="12" t="s">
        <v>311</v>
      </c>
      <c r="D16" s="13" t="s">
        <v>489</v>
      </c>
    </row>
    <row r="17" spans="1:4">
      <c r="A17" s="22" t="s">
        <v>604</v>
      </c>
      <c r="B17" s="18" t="s">
        <v>602</v>
      </c>
      <c r="C17" s="23" t="s">
        <v>275</v>
      </c>
      <c r="D17" s="24" t="s">
        <v>440</v>
      </c>
    </row>
    <row r="18" spans="1:4">
      <c r="A18" s="7" t="s">
        <v>542</v>
      </c>
      <c r="B18" s="12" t="s">
        <v>50</v>
      </c>
      <c r="C18" s="12" t="s">
        <v>219</v>
      </c>
      <c r="D18" s="13" t="s">
        <v>378</v>
      </c>
    </row>
    <row r="19" spans="1:4" ht="19.5" customHeight="1">
      <c r="A19" s="7" t="s">
        <v>542</v>
      </c>
      <c r="B19" s="12" t="s">
        <v>98</v>
      </c>
      <c r="C19" s="12" t="s">
        <v>270</v>
      </c>
      <c r="D19" s="13" t="s">
        <v>432</v>
      </c>
    </row>
    <row r="20" spans="1:4">
      <c r="A20" s="7" t="s">
        <v>542</v>
      </c>
      <c r="B20" s="12" t="s">
        <v>106</v>
      </c>
      <c r="C20" s="12" t="s">
        <v>275</v>
      </c>
      <c r="D20" s="13" t="s">
        <v>440</v>
      </c>
    </row>
    <row r="21" spans="1:4" ht="30">
      <c r="A21" s="7" t="s">
        <v>542</v>
      </c>
      <c r="B21" s="12" t="s">
        <v>108</v>
      </c>
      <c r="C21" s="12" t="s">
        <v>276</v>
      </c>
      <c r="D21" s="13" t="s">
        <v>442</v>
      </c>
    </row>
    <row r="22" spans="1:4">
      <c r="A22" s="7" t="s">
        <v>542</v>
      </c>
      <c r="B22" s="12" t="s">
        <v>109</v>
      </c>
      <c r="C22" s="12" t="s">
        <v>277</v>
      </c>
      <c r="D22" s="13" t="s">
        <v>443</v>
      </c>
    </row>
    <row r="23" spans="1:4" ht="30">
      <c r="A23" s="7" t="s">
        <v>542</v>
      </c>
      <c r="B23" s="12" t="s">
        <v>167</v>
      </c>
      <c r="C23" s="12" t="s">
        <v>324</v>
      </c>
      <c r="D23" s="13" t="s">
        <v>509</v>
      </c>
    </row>
    <row r="24" spans="1:4">
      <c r="A24" s="7" t="s">
        <v>520</v>
      </c>
      <c r="B24" s="12" t="s">
        <v>5</v>
      </c>
      <c r="C24" s="12" t="s">
        <v>176</v>
      </c>
      <c r="D24" s="13" t="s">
        <v>332</v>
      </c>
    </row>
    <row r="25" spans="1:4">
      <c r="A25" s="7" t="s">
        <v>520</v>
      </c>
      <c r="B25" s="12" t="s">
        <v>10</v>
      </c>
      <c r="C25" s="12" t="s">
        <v>181</v>
      </c>
      <c r="D25" s="13" t="s">
        <v>337</v>
      </c>
    </row>
    <row r="26" spans="1:4">
      <c r="A26" s="7" t="s">
        <v>520</v>
      </c>
      <c r="B26" s="12" t="s">
        <v>21</v>
      </c>
      <c r="C26" s="12" t="s">
        <v>192</v>
      </c>
      <c r="D26" s="13" t="s">
        <v>348</v>
      </c>
    </row>
    <row r="27" spans="1:4">
      <c r="A27" s="7" t="s">
        <v>520</v>
      </c>
      <c r="B27" s="12" t="s">
        <v>49</v>
      </c>
      <c r="C27" s="12" t="s">
        <v>218</v>
      </c>
      <c r="D27" s="13" t="s">
        <v>377</v>
      </c>
    </row>
    <row r="28" spans="1:4">
      <c r="A28" s="7" t="s">
        <v>520</v>
      </c>
      <c r="B28" s="17" t="s">
        <v>594</v>
      </c>
      <c r="C28" s="17" t="s">
        <v>268</v>
      </c>
      <c r="D28" s="3" t="s">
        <v>593</v>
      </c>
    </row>
    <row r="29" spans="1:4">
      <c r="A29" s="7" t="s">
        <v>520</v>
      </c>
      <c r="B29" s="12" t="s">
        <v>103</v>
      </c>
      <c r="C29" s="12" t="s">
        <v>273</v>
      </c>
      <c r="D29" s="13" t="s">
        <v>437</v>
      </c>
    </row>
    <row r="30" spans="1:4">
      <c r="A30" s="7" t="s">
        <v>520</v>
      </c>
      <c r="B30" s="12" t="s">
        <v>110</v>
      </c>
      <c r="C30" s="12" t="s">
        <v>278</v>
      </c>
      <c r="D30" s="13" t="s">
        <v>444</v>
      </c>
    </row>
    <row r="31" spans="1:4">
      <c r="A31" s="7" t="s">
        <v>520</v>
      </c>
      <c r="B31" s="12" t="s">
        <v>116</v>
      </c>
      <c r="C31" s="12" t="s">
        <v>282</v>
      </c>
      <c r="D31" s="13" t="s">
        <v>450</v>
      </c>
    </row>
    <row r="32" spans="1:4">
      <c r="A32" s="7" t="s">
        <v>520</v>
      </c>
      <c r="B32" s="18" t="s">
        <v>570</v>
      </c>
      <c r="C32" s="18" t="s">
        <v>569</v>
      </c>
      <c r="D32" s="19" t="s">
        <v>571</v>
      </c>
    </row>
    <row r="33" spans="1:4">
      <c r="A33" s="7" t="s">
        <v>520</v>
      </c>
      <c r="B33" s="12" t="s">
        <v>133</v>
      </c>
      <c r="C33" s="12" t="s">
        <v>294</v>
      </c>
      <c r="D33" s="13" t="s">
        <v>469</v>
      </c>
    </row>
    <row r="34" spans="1:4">
      <c r="A34" s="7" t="s">
        <v>520</v>
      </c>
      <c r="B34" s="12" t="s">
        <v>135</v>
      </c>
      <c r="C34" s="12" t="s">
        <v>296</v>
      </c>
      <c r="D34" s="13" t="s">
        <v>471</v>
      </c>
    </row>
    <row r="35" spans="1:4">
      <c r="A35" s="7" t="s">
        <v>520</v>
      </c>
      <c r="B35" s="12" t="s">
        <v>137</v>
      </c>
      <c r="C35" s="12" t="s">
        <v>298</v>
      </c>
      <c r="D35" s="13" t="s">
        <v>474</v>
      </c>
    </row>
    <row r="36" spans="1:4">
      <c r="A36" s="7" t="s">
        <v>520</v>
      </c>
      <c r="B36" s="12" t="s">
        <v>147</v>
      </c>
      <c r="C36" s="12" t="s">
        <v>306</v>
      </c>
      <c r="D36" s="13" t="s">
        <v>484</v>
      </c>
    </row>
    <row r="37" spans="1:4">
      <c r="A37" s="7" t="s">
        <v>520</v>
      </c>
      <c r="B37" s="17" t="s">
        <v>592</v>
      </c>
      <c r="C37" s="17" t="s">
        <v>262</v>
      </c>
      <c r="D37" s="3" t="s">
        <v>591</v>
      </c>
    </row>
    <row r="38" spans="1:4">
      <c r="A38" s="7" t="s">
        <v>520</v>
      </c>
      <c r="B38" s="12" t="s">
        <v>155</v>
      </c>
      <c r="C38" s="12" t="s">
        <v>312</v>
      </c>
      <c r="D38" s="13" t="s">
        <v>491</v>
      </c>
    </row>
    <row r="39" spans="1:4">
      <c r="A39" s="7" t="s">
        <v>520</v>
      </c>
      <c r="B39" s="12" t="s">
        <v>164</v>
      </c>
      <c r="C39" s="12" t="s">
        <v>323</v>
      </c>
      <c r="D39" s="13" t="s">
        <v>506</v>
      </c>
    </row>
    <row r="40" spans="1:4">
      <c r="A40" s="7" t="s">
        <v>522</v>
      </c>
      <c r="B40" s="12" t="s">
        <v>8</v>
      </c>
      <c r="C40" s="12" t="s">
        <v>179</v>
      </c>
      <c r="D40" s="13" t="s">
        <v>335</v>
      </c>
    </row>
    <row r="41" spans="1:4">
      <c r="A41" s="7" t="s">
        <v>522</v>
      </c>
      <c r="B41" s="12" t="s">
        <v>11</v>
      </c>
      <c r="C41" s="12" t="s">
        <v>182</v>
      </c>
      <c r="D41" s="13" t="s">
        <v>338</v>
      </c>
    </row>
    <row r="42" spans="1:4" ht="45">
      <c r="A42" s="7" t="s">
        <v>522</v>
      </c>
      <c r="B42" s="12" t="s">
        <v>13</v>
      </c>
      <c r="C42" s="12" t="s">
        <v>184</v>
      </c>
      <c r="D42" s="13" t="s">
        <v>340</v>
      </c>
    </row>
    <row r="43" spans="1:4">
      <c r="A43" s="7" t="s">
        <v>522</v>
      </c>
      <c r="B43" s="12" t="s">
        <v>27</v>
      </c>
      <c r="C43" s="12" t="s">
        <v>197</v>
      </c>
      <c r="D43" s="13" t="s">
        <v>354</v>
      </c>
    </row>
    <row r="44" spans="1:4">
      <c r="A44" s="7" t="s">
        <v>522</v>
      </c>
      <c r="B44" s="12" t="s">
        <v>29</v>
      </c>
      <c r="C44" s="12" t="s">
        <v>199</v>
      </c>
      <c r="D44" s="13" t="s">
        <v>356</v>
      </c>
    </row>
    <row r="45" spans="1:4">
      <c r="A45" s="7" t="s">
        <v>522</v>
      </c>
      <c r="B45" s="12" t="s">
        <v>32</v>
      </c>
      <c r="C45" s="12" t="s">
        <v>178</v>
      </c>
      <c r="D45" s="13" t="s">
        <v>359</v>
      </c>
    </row>
    <row r="46" spans="1:4">
      <c r="A46" s="7" t="s">
        <v>522</v>
      </c>
      <c r="B46" s="12" t="s">
        <v>33</v>
      </c>
      <c r="C46" s="12" t="s">
        <v>202</v>
      </c>
      <c r="D46" s="13" t="s">
        <v>360</v>
      </c>
    </row>
    <row r="47" spans="1:4">
      <c r="A47" s="7" t="s">
        <v>522</v>
      </c>
      <c r="B47" s="12" t="s">
        <v>34</v>
      </c>
      <c r="C47" s="12" t="s">
        <v>203</v>
      </c>
      <c r="D47" s="13" t="s">
        <v>361</v>
      </c>
    </row>
    <row r="48" spans="1:4">
      <c r="A48" s="7" t="s">
        <v>522</v>
      </c>
      <c r="B48" s="12" t="s">
        <v>37</v>
      </c>
      <c r="C48" s="12" t="s">
        <v>204</v>
      </c>
      <c r="D48" s="13" t="s">
        <v>364</v>
      </c>
    </row>
    <row r="49" spans="1:4">
      <c r="A49" s="7" t="s">
        <v>522</v>
      </c>
      <c r="B49" s="12" t="s">
        <v>38</v>
      </c>
      <c r="C49" s="12" t="s">
        <v>206</v>
      </c>
      <c r="D49" s="13" t="s">
        <v>365</v>
      </c>
    </row>
    <row r="50" spans="1:4" ht="30">
      <c r="A50" s="7" t="s">
        <v>522</v>
      </c>
      <c r="B50" s="12" t="s">
        <v>41</v>
      </c>
      <c r="C50" s="12" t="s">
        <v>209</v>
      </c>
      <c r="D50" s="13" t="s">
        <v>368</v>
      </c>
    </row>
    <row r="51" spans="1:4">
      <c r="A51" s="7" t="s">
        <v>522</v>
      </c>
      <c r="B51" s="12" t="s">
        <v>43</v>
      </c>
      <c r="C51" s="12" t="s">
        <v>208</v>
      </c>
      <c r="D51" s="13" t="s">
        <v>370</v>
      </c>
    </row>
    <row r="52" spans="1:4">
      <c r="A52" s="7" t="s">
        <v>522</v>
      </c>
      <c r="B52" s="12" t="s">
        <v>562</v>
      </c>
      <c r="C52" s="12" t="s">
        <v>214</v>
      </c>
      <c r="D52" s="13" t="s">
        <v>373</v>
      </c>
    </row>
    <row r="53" spans="1:4">
      <c r="A53" s="7" t="s">
        <v>522</v>
      </c>
      <c r="B53" s="12" t="s">
        <v>47</v>
      </c>
      <c r="C53" s="12" t="s">
        <v>216</v>
      </c>
      <c r="D53" s="13" t="s">
        <v>375</v>
      </c>
    </row>
    <row r="54" spans="1:4">
      <c r="A54" s="7" t="s">
        <v>522</v>
      </c>
      <c r="B54" s="12" t="s">
        <v>48</v>
      </c>
      <c r="C54" s="12" t="s">
        <v>217</v>
      </c>
      <c r="D54" s="13" t="s">
        <v>376</v>
      </c>
    </row>
    <row r="55" spans="1:4">
      <c r="A55" s="7" t="s">
        <v>522</v>
      </c>
      <c r="B55" s="12" t="s">
        <v>54</v>
      </c>
      <c r="C55" s="12" t="s">
        <v>223</v>
      </c>
      <c r="D55" s="13" t="s">
        <v>382</v>
      </c>
    </row>
    <row r="56" spans="1:4">
      <c r="A56" s="7" t="s">
        <v>522</v>
      </c>
      <c r="B56" s="12" t="s">
        <v>57</v>
      </c>
      <c r="C56" s="12" t="s">
        <v>226</v>
      </c>
      <c r="D56" s="13" t="s">
        <v>385</v>
      </c>
    </row>
    <row r="57" spans="1:4">
      <c r="A57" s="7" t="s">
        <v>522</v>
      </c>
      <c r="B57" s="12" t="s">
        <v>61</v>
      </c>
      <c r="C57" s="12" t="s">
        <v>231</v>
      </c>
      <c r="D57" s="13" t="s">
        <v>390</v>
      </c>
    </row>
    <row r="58" spans="1:4">
      <c r="A58" s="7" t="s">
        <v>522</v>
      </c>
      <c r="B58" s="12" t="s">
        <v>74</v>
      </c>
      <c r="C58" s="12" t="s">
        <v>243</v>
      </c>
      <c r="D58" s="13" t="s">
        <v>405</v>
      </c>
    </row>
    <row r="59" spans="1:4">
      <c r="A59" s="7" t="s">
        <v>522</v>
      </c>
      <c r="B59" s="12" t="s">
        <v>77</v>
      </c>
      <c r="C59" s="12" t="s">
        <v>248</v>
      </c>
      <c r="D59" s="13" t="s">
        <v>410</v>
      </c>
    </row>
    <row r="60" spans="1:4">
      <c r="A60" s="7" t="s">
        <v>522</v>
      </c>
      <c r="B60" s="12" t="s">
        <v>81</v>
      </c>
      <c r="C60" s="12" t="s">
        <v>252</v>
      </c>
      <c r="D60" s="20" t="s">
        <v>600</v>
      </c>
    </row>
    <row r="61" spans="1:4">
      <c r="A61" s="7" t="s">
        <v>522</v>
      </c>
      <c r="B61" s="12" t="s">
        <v>84</v>
      </c>
      <c r="C61" s="12" t="s">
        <v>257</v>
      </c>
      <c r="D61" s="13" t="s">
        <v>417</v>
      </c>
    </row>
    <row r="62" spans="1:4">
      <c r="A62" s="7" t="s">
        <v>522</v>
      </c>
      <c r="B62" s="12" t="s">
        <v>88</v>
      </c>
      <c r="C62" s="12" t="s">
        <v>259</v>
      </c>
      <c r="D62" s="13" t="s">
        <v>421</v>
      </c>
    </row>
    <row r="63" spans="1:4">
      <c r="A63" s="7" t="s">
        <v>522</v>
      </c>
      <c r="B63" s="12" t="s">
        <v>101</v>
      </c>
      <c r="C63" s="12" t="s">
        <v>213</v>
      </c>
      <c r="D63" s="13" t="s">
        <v>435</v>
      </c>
    </row>
    <row r="64" spans="1:4">
      <c r="A64" s="7" t="s">
        <v>522</v>
      </c>
      <c r="B64" s="12" t="s">
        <v>105</v>
      </c>
      <c r="C64" s="12" t="s">
        <v>187</v>
      </c>
      <c r="D64" s="13" t="s">
        <v>439</v>
      </c>
    </row>
    <row r="65" spans="1:4">
      <c r="A65" s="7" t="s">
        <v>522</v>
      </c>
      <c r="B65" s="12" t="s">
        <v>120</v>
      </c>
      <c r="C65" s="12" t="s">
        <v>175</v>
      </c>
      <c r="D65" s="13" t="s">
        <v>455</v>
      </c>
    </row>
    <row r="66" spans="1:4">
      <c r="A66" s="7" t="s">
        <v>522</v>
      </c>
      <c r="B66" s="12" t="s">
        <v>126</v>
      </c>
      <c r="C66" s="12" t="s">
        <v>289</v>
      </c>
      <c r="D66" s="13" t="s">
        <v>462</v>
      </c>
    </row>
    <row r="67" spans="1:4">
      <c r="A67" s="7" t="s">
        <v>522</v>
      </c>
      <c r="B67" s="12" t="s">
        <v>140</v>
      </c>
      <c r="C67" s="12" t="s">
        <v>301</v>
      </c>
      <c r="D67" s="13" t="s">
        <v>477</v>
      </c>
    </row>
    <row r="68" spans="1:4">
      <c r="A68" s="7" t="s">
        <v>522</v>
      </c>
      <c r="B68" s="12" t="s">
        <v>149</v>
      </c>
      <c r="C68" s="12" t="s">
        <v>296</v>
      </c>
      <c r="D68" s="13" t="s">
        <v>486</v>
      </c>
    </row>
    <row r="69" spans="1:4">
      <c r="A69" s="7" t="s">
        <v>517</v>
      </c>
      <c r="B69" s="12" t="s">
        <v>2</v>
      </c>
      <c r="C69" s="12" t="s">
        <v>173</v>
      </c>
      <c r="D69" s="13" t="s">
        <v>329</v>
      </c>
    </row>
    <row r="70" spans="1:4">
      <c r="A70" s="7" t="s">
        <v>517</v>
      </c>
      <c r="B70" s="12" t="s">
        <v>82</v>
      </c>
      <c r="C70" s="12" t="s">
        <v>255</v>
      </c>
      <c r="D70" s="13" t="s">
        <v>415</v>
      </c>
    </row>
    <row r="71" spans="1:4">
      <c r="A71" s="7" t="s">
        <v>517</v>
      </c>
      <c r="B71" s="12" t="s">
        <v>93</v>
      </c>
      <c r="C71" s="12" t="s">
        <v>263</v>
      </c>
      <c r="D71" s="13" t="s">
        <v>426</v>
      </c>
    </row>
    <row r="72" spans="1:4">
      <c r="A72" s="7" t="s">
        <v>517</v>
      </c>
      <c r="B72" s="12" t="s">
        <v>111</v>
      </c>
      <c r="C72" s="12" t="s">
        <v>241</v>
      </c>
      <c r="D72" s="13" t="s">
        <v>445</v>
      </c>
    </row>
    <row r="73" spans="1:4" ht="30">
      <c r="A73" s="7" t="s">
        <v>517</v>
      </c>
      <c r="B73" s="12" t="s">
        <v>162</v>
      </c>
      <c r="C73" s="12" t="s">
        <v>318</v>
      </c>
      <c r="D73" s="13" t="s">
        <v>501</v>
      </c>
    </row>
    <row r="74" spans="1:4">
      <c r="A74" s="7" t="s">
        <v>528</v>
      </c>
      <c r="B74" s="12" t="s">
        <v>28</v>
      </c>
      <c r="C74" s="12" t="s">
        <v>198</v>
      </c>
      <c r="D74" s="13" t="s">
        <v>355</v>
      </c>
    </row>
    <row r="75" spans="1:4">
      <c r="A75" s="7" t="s">
        <v>528</v>
      </c>
      <c r="B75" s="12" t="s">
        <v>36</v>
      </c>
      <c r="C75" s="12" t="s">
        <v>205</v>
      </c>
      <c r="D75" s="13" t="s">
        <v>363</v>
      </c>
    </row>
    <row r="76" spans="1:4">
      <c r="A76" s="7" t="s">
        <v>528</v>
      </c>
      <c r="B76" s="12" t="s">
        <v>42</v>
      </c>
      <c r="C76" s="12" t="s">
        <v>210</v>
      </c>
      <c r="D76" s="13" t="s">
        <v>369</v>
      </c>
    </row>
    <row r="77" spans="1:4">
      <c r="A77" s="7" t="s">
        <v>528</v>
      </c>
      <c r="B77" s="12" t="s">
        <v>102</v>
      </c>
      <c r="C77" s="12" t="s">
        <v>212</v>
      </c>
      <c r="D77" s="13" t="s">
        <v>436</v>
      </c>
    </row>
    <row r="78" spans="1:4">
      <c r="A78" s="7" t="s">
        <v>528</v>
      </c>
      <c r="B78" s="12" t="s">
        <v>114</v>
      </c>
      <c r="C78" s="12" t="s">
        <v>280</v>
      </c>
      <c r="D78" s="13" t="s">
        <v>448</v>
      </c>
    </row>
    <row r="79" spans="1:4">
      <c r="A79" s="7" t="s">
        <v>528</v>
      </c>
      <c r="B79" s="12" t="s">
        <v>156</v>
      </c>
      <c r="C79" s="12" t="s">
        <v>209</v>
      </c>
      <c r="D79" s="13" t="s">
        <v>492</v>
      </c>
    </row>
    <row r="80" spans="1:4">
      <c r="A80" s="26" t="s">
        <v>605</v>
      </c>
      <c r="B80" s="18" t="s">
        <v>36</v>
      </c>
      <c r="C80" s="27" t="s">
        <v>603</v>
      </c>
      <c r="D80" s="25" t="s">
        <v>601</v>
      </c>
    </row>
    <row r="81" spans="1:4">
      <c r="A81" s="7" t="s">
        <v>529</v>
      </c>
      <c r="B81" s="12" t="s">
        <v>16</v>
      </c>
      <c r="C81" s="12" t="s">
        <v>187</v>
      </c>
      <c r="D81" s="13" t="s">
        <v>343</v>
      </c>
    </row>
    <row r="82" spans="1:4">
      <c r="A82" s="7" t="s">
        <v>529</v>
      </c>
      <c r="B82" s="12" t="s">
        <v>44</v>
      </c>
      <c r="C82" s="12" t="s">
        <v>211</v>
      </c>
      <c r="D82" s="13" t="s">
        <v>371</v>
      </c>
    </row>
    <row r="83" spans="1:4">
      <c r="A83" s="7" t="s">
        <v>529</v>
      </c>
      <c r="B83" s="12" t="s">
        <v>65</v>
      </c>
      <c r="C83" s="12" t="s">
        <v>235</v>
      </c>
      <c r="D83" s="13" t="s">
        <v>394</v>
      </c>
    </row>
    <row r="84" spans="1:4">
      <c r="A84" s="7" t="s">
        <v>529</v>
      </c>
      <c r="B84" s="12" t="s">
        <v>71</v>
      </c>
      <c r="C84" s="12" t="s">
        <v>240</v>
      </c>
      <c r="D84" s="13" t="s">
        <v>401</v>
      </c>
    </row>
    <row r="85" spans="1:4">
      <c r="A85" s="7" t="s">
        <v>529</v>
      </c>
      <c r="B85" s="12" t="s">
        <v>75</v>
      </c>
      <c r="C85" s="12" t="s">
        <v>245</v>
      </c>
      <c r="D85" s="13" t="s">
        <v>407</v>
      </c>
    </row>
    <row r="86" spans="1:4">
      <c r="A86" s="7" t="s">
        <v>529</v>
      </c>
      <c r="B86" s="12" t="s">
        <v>80</v>
      </c>
      <c r="C86" s="12" t="s">
        <v>251</v>
      </c>
      <c r="D86" s="13" t="s">
        <v>413</v>
      </c>
    </row>
    <row r="87" spans="1:4">
      <c r="A87" s="7" t="s">
        <v>529</v>
      </c>
      <c r="B87" s="12" t="s">
        <v>87</v>
      </c>
      <c r="C87" s="12" t="s">
        <v>253</v>
      </c>
      <c r="D87" s="13" t="s">
        <v>420</v>
      </c>
    </row>
    <row r="88" spans="1:4">
      <c r="A88" s="7" t="s">
        <v>529</v>
      </c>
      <c r="B88" s="12" t="s">
        <v>95</v>
      </c>
      <c r="C88" s="12" t="s">
        <v>265</v>
      </c>
      <c r="D88" s="13" t="s">
        <v>428</v>
      </c>
    </row>
    <row r="89" spans="1:4">
      <c r="A89" s="7" t="s">
        <v>529</v>
      </c>
      <c r="B89" s="12" t="s">
        <v>97</v>
      </c>
      <c r="C89" s="12" t="s">
        <v>267</v>
      </c>
      <c r="D89" s="13" t="s">
        <v>430</v>
      </c>
    </row>
    <row r="90" spans="1:4">
      <c r="A90" s="7" t="s">
        <v>529</v>
      </c>
      <c r="B90" s="12" t="s">
        <v>123</v>
      </c>
      <c r="C90" s="12" t="s">
        <v>287</v>
      </c>
      <c r="D90" s="13" t="s">
        <v>458</v>
      </c>
    </row>
    <row r="91" spans="1:4">
      <c r="A91" s="7" t="s">
        <v>529</v>
      </c>
      <c r="B91" s="12" t="s">
        <v>126</v>
      </c>
      <c r="C91" s="12" t="s">
        <v>289</v>
      </c>
      <c r="D91" s="13" t="s">
        <v>461</v>
      </c>
    </row>
    <row r="92" spans="1:4">
      <c r="A92" s="7" t="s">
        <v>529</v>
      </c>
      <c r="B92" s="12" t="s">
        <v>170</v>
      </c>
      <c r="C92" s="12" t="s">
        <v>187</v>
      </c>
      <c r="D92" s="13" t="s">
        <v>512</v>
      </c>
    </row>
    <row r="93" spans="1:4" ht="30">
      <c r="A93" s="7" t="s">
        <v>532</v>
      </c>
      <c r="B93" s="12" t="s">
        <v>17</v>
      </c>
      <c r="C93" s="12" t="s">
        <v>189</v>
      </c>
      <c r="D93" s="13" t="s">
        <v>344</v>
      </c>
    </row>
    <row r="94" spans="1:4" ht="30">
      <c r="A94" s="7" t="s">
        <v>532</v>
      </c>
      <c r="B94" s="12" t="s">
        <v>142</v>
      </c>
      <c r="C94" s="12" t="s">
        <v>303</v>
      </c>
      <c r="D94" s="13" t="s">
        <v>479</v>
      </c>
    </row>
    <row r="95" spans="1:4" ht="30">
      <c r="A95" s="7" t="s">
        <v>532</v>
      </c>
      <c r="B95" s="12" t="s">
        <v>163</v>
      </c>
      <c r="C95" s="12" t="s">
        <v>322</v>
      </c>
      <c r="D95" s="13" t="s">
        <v>505</v>
      </c>
    </row>
    <row r="96" spans="1:4">
      <c r="A96" s="7" t="s">
        <v>525</v>
      </c>
      <c r="B96" s="12" t="s">
        <v>25</v>
      </c>
      <c r="C96" s="12" t="s">
        <v>195</v>
      </c>
      <c r="D96" s="13" t="s">
        <v>352</v>
      </c>
    </row>
    <row r="97" spans="1:4">
      <c r="A97" s="7" t="s">
        <v>525</v>
      </c>
      <c r="B97" s="12" t="s">
        <v>55</v>
      </c>
      <c r="C97" s="12" t="s">
        <v>224</v>
      </c>
      <c r="D97" s="13" t="s">
        <v>383</v>
      </c>
    </row>
    <row r="98" spans="1:4">
      <c r="A98" s="7" t="s">
        <v>525</v>
      </c>
      <c r="B98" s="12" t="s">
        <v>56</v>
      </c>
      <c r="C98" s="12" t="s">
        <v>225</v>
      </c>
      <c r="D98" s="13" t="s">
        <v>384</v>
      </c>
    </row>
    <row r="99" spans="1:4">
      <c r="A99" s="7" t="s">
        <v>525</v>
      </c>
      <c r="B99" s="12" t="s">
        <v>67</v>
      </c>
      <c r="C99" s="12" t="s">
        <v>60</v>
      </c>
      <c r="D99" s="13" t="s">
        <v>396</v>
      </c>
    </row>
    <row r="100" spans="1:4">
      <c r="A100" s="7" t="s">
        <v>525</v>
      </c>
      <c r="B100" s="12" t="s">
        <v>72</v>
      </c>
      <c r="C100" s="12" t="s">
        <v>242</v>
      </c>
      <c r="D100" s="13" t="s">
        <v>403</v>
      </c>
    </row>
    <row r="101" spans="1:4">
      <c r="A101" s="7" t="s">
        <v>525</v>
      </c>
      <c r="B101" s="12" t="s">
        <v>578</v>
      </c>
      <c r="C101" s="12" t="s">
        <v>269</v>
      </c>
      <c r="D101" s="13" t="s">
        <v>431</v>
      </c>
    </row>
    <row r="102" spans="1:4">
      <c r="A102" s="7" t="s">
        <v>525</v>
      </c>
      <c r="B102" s="12" t="s">
        <v>130</v>
      </c>
      <c r="C102" s="12" t="s">
        <v>291</v>
      </c>
      <c r="D102" s="13" t="s">
        <v>466</v>
      </c>
    </row>
    <row r="103" spans="1:4">
      <c r="A103" s="7" t="s">
        <v>525</v>
      </c>
      <c r="B103" s="12" t="s">
        <v>165</v>
      </c>
      <c r="C103" s="12" t="s">
        <v>313</v>
      </c>
      <c r="D103" s="13" t="s">
        <v>507</v>
      </c>
    </row>
    <row r="104" spans="1:4">
      <c r="A104" s="7" t="s">
        <v>534</v>
      </c>
      <c r="B104" s="12" t="s">
        <v>30</v>
      </c>
      <c r="C104" s="12" t="s">
        <v>200</v>
      </c>
      <c r="D104" s="13" t="s">
        <v>357</v>
      </c>
    </row>
    <row r="105" spans="1:4">
      <c r="A105" s="7" t="s">
        <v>534</v>
      </c>
      <c r="B105" s="12" t="s">
        <v>79</v>
      </c>
      <c r="C105" s="12" t="s">
        <v>250</v>
      </c>
      <c r="D105" s="13" t="s">
        <v>412</v>
      </c>
    </row>
    <row r="106" spans="1:4">
      <c r="A106" s="7" t="s">
        <v>534</v>
      </c>
      <c r="B106" s="12" t="s">
        <v>92</v>
      </c>
      <c r="C106" s="12" t="s">
        <v>233</v>
      </c>
      <c r="D106" s="13" t="s">
        <v>425</v>
      </c>
    </row>
    <row r="107" spans="1:4">
      <c r="A107" s="7" t="s">
        <v>534</v>
      </c>
      <c r="B107" s="12" t="s">
        <v>150</v>
      </c>
      <c r="C107" s="12" t="s">
        <v>308</v>
      </c>
      <c r="D107" s="13" t="s">
        <v>487</v>
      </c>
    </row>
    <row r="108" spans="1:4">
      <c r="A108" s="7" t="s">
        <v>530</v>
      </c>
      <c r="B108" s="12" t="s">
        <v>26</v>
      </c>
      <c r="C108" s="12" t="s">
        <v>196</v>
      </c>
      <c r="D108" s="13" t="s">
        <v>353</v>
      </c>
    </row>
    <row r="109" spans="1:4">
      <c r="A109" s="7" t="s">
        <v>530</v>
      </c>
      <c r="B109" s="12" t="s">
        <v>52</v>
      </c>
      <c r="C109" s="12" t="s">
        <v>221</v>
      </c>
      <c r="D109" s="13" t="s">
        <v>380</v>
      </c>
    </row>
    <row r="110" spans="1:4">
      <c r="A110" s="7" t="s">
        <v>530</v>
      </c>
      <c r="B110" s="12" t="s">
        <v>580</v>
      </c>
      <c r="C110" s="12" t="s">
        <v>581</v>
      </c>
      <c r="D110" s="3" t="s">
        <v>579</v>
      </c>
    </row>
    <row r="111" spans="1:4">
      <c r="A111" s="7" t="s">
        <v>530</v>
      </c>
      <c r="B111" s="12" t="s">
        <v>160</v>
      </c>
      <c r="C111" s="12" t="s">
        <v>315</v>
      </c>
      <c r="D111" s="13" t="s">
        <v>497</v>
      </c>
    </row>
    <row r="112" spans="1:4">
      <c r="A112" s="7" t="s">
        <v>530</v>
      </c>
      <c r="B112" s="12" t="s">
        <v>162</v>
      </c>
      <c r="C112" s="12" t="s">
        <v>319</v>
      </c>
      <c r="D112" s="13" t="s">
        <v>502</v>
      </c>
    </row>
    <row r="113" spans="1:4">
      <c r="A113" s="7" t="s">
        <v>536</v>
      </c>
      <c r="B113" s="12" t="s">
        <v>86</v>
      </c>
      <c r="C113" s="12" t="s">
        <v>258</v>
      </c>
      <c r="D113" s="13" t="s">
        <v>419</v>
      </c>
    </row>
    <row r="114" spans="1:4">
      <c r="A114" s="7" t="s">
        <v>536</v>
      </c>
      <c r="B114" s="12" t="s">
        <v>127</v>
      </c>
      <c r="C114" s="12" t="s">
        <v>290</v>
      </c>
      <c r="D114" s="13" t="s">
        <v>463</v>
      </c>
    </row>
    <row r="115" spans="1:4">
      <c r="A115" s="7" t="s">
        <v>536</v>
      </c>
      <c r="B115" s="12" t="s">
        <v>131</v>
      </c>
      <c r="C115" s="12" t="s">
        <v>292</v>
      </c>
      <c r="D115" s="13" t="s">
        <v>467</v>
      </c>
    </row>
    <row r="116" spans="1:4">
      <c r="A116" s="7" t="s">
        <v>536</v>
      </c>
      <c r="B116" s="12" t="s">
        <v>134</v>
      </c>
      <c r="C116" s="12" t="s">
        <v>295</v>
      </c>
      <c r="D116" s="13" t="s">
        <v>470</v>
      </c>
    </row>
    <row r="117" spans="1:4">
      <c r="A117" s="7" t="s">
        <v>527</v>
      </c>
      <c r="B117" s="12" t="s">
        <v>582</v>
      </c>
      <c r="C117" s="12" t="s">
        <v>297</v>
      </c>
      <c r="D117" s="4" t="s">
        <v>583</v>
      </c>
    </row>
    <row r="118" spans="1:4">
      <c r="A118" s="7" t="s">
        <v>527</v>
      </c>
      <c r="B118" s="12" t="s">
        <v>40</v>
      </c>
      <c r="C118" s="12" t="s">
        <v>208</v>
      </c>
      <c r="D118" s="13" t="s">
        <v>367</v>
      </c>
    </row>
    <row r="119" spans="1:4">
      <c r="A119" s="7" t="s">
        <v>527</v>
      </c>
      <c r="B119" s="12" t="s">
        <v>66</v>
      </c>
      <c r="C119" s="12" t="s">
        <v>236</v>
      </c>
      <c r="D119" s="13" t="s">
        <v>395</v>
      </c>
    </row>
    <row r="120" spans="1:4" ht="30">
      <c r="A120" s="7" t="s">
        <v>527</v>
      </c>
      <c r="B120" s="12" t="s">
        <v>68</v>
      </c>
      <c r="C120" s="12" t="s">
        <v>237</v>
      </c>
      <c r="D120" s="13" t="s">
        <v>397</v>
      </c>
    </row>
    <row r="121" spans="1:4">
      <c r="A121" s="7" t="s">
        <v>527</v>
      </c>
      <c r="B121" s="12" t="s">
        <v>78</v>
      </c>
      <c r="C121" s="12" t="s">
        <v>249</v>
      </c>
      <c r="D121" s="13" t="s">
        <v>411</v>
      </c>
    </row>
    <row r="122" spans="1:4">
      <c r="A122" s="7" t="s">
        <v>527</v>
      </c>
      <c r="B122" s="12" t="s">
        <v>83</v>
      </c>
      <c r="C122" s="12" t="s">
        <v>256</v>
      </c>
      <c r="D122" s="13" t="s">
        <v>416</v>
      </c>
    </row>
    <row r="123" spans="1:4">
      <c r="A123" s="7" t="s">
        <v>527</v>
      </c>
      <c r="B123" s="12" t="s">
        <v>85</v>
      </c>
      <c r="C123" s="12" t="s">
        <v>178</v>
      </c>
      <c r="D123" s="13" t="s">
        <v>418</v>
      </c>
    </row>
    <row r="124" spans="1:4">
      <c r="A124" s="7" t="s">
        <v>527</v>
      </c>
      <c r="B124" s="12" t="s">
        <v>575</v>
      </c>
      <c r="C124" s="12" t="s">
        <v>576</v>
      </c>
      <c r="D124" s="19" t="s">
        <v>577</v>
      </c>
    </row>
    <row r="125" spans="1:4">
      <c r="A125" s="7" t="s">
        <v>527</v>
      </c>
      <c r="B125" s="12" t="s">
        <v>91</v>
      </c>
      <c r="C125" s="12" t="s">
        <v>262</v>
      </c>
      <c r="D125" s="13" t="s">
        <v>424</v>
      </c>
    </row>
    <row r="126" spans="1:4">
      <c r="A126" s="7" t="s">
        <v>527</v>
      </c>
      <c r="B126" s="12" t="s">
        <v>96</v>
      </c>
      <c r="C126" s="12" t="s">
        <v>266</v>
      </c>
      <c r="D126" s="13" t="s">
        <v>429</v>
      </c>
    </row>
    <row r="127" spans="1:4">
      <c r="A127" s="7" t="s">
        <v>527</v>
      </c>
      <c r="B127" s="12" t="s">
        <v>99</v>
      </c>
      <c r="C127" s="12" t="s">
        <v>271</v>
      </c>
      <c r="D127" s="13" t="s">
        <v>433</v>
      </c>
    </row>
    <row r="128" spans="1:4">
      <c r="A128" s="7" t="s">
        <v>527</v>
      </c>
      <c r="B128" s="12" t="s">
        <v>115</v>
      </c>
      <c r="C128" s="12" t="s">
        <v>281</v>
      </c>
      <c r="D128" s="13" t="s">
        <v>449</v>
      </c>
    </row>
    <row r="129" spans="1:4">
      <c r="A129" s="7" t="s">
        <v>527</v>
      </c>
      <c r="B129" s="12" t="s">
        <v>117</v>
      </c>
      <c r="C129" s="12" t="s">
        <v>283</v>
      </c>
      <c r="D129" s="13" t="s">
        <v>451</v>
      </c>
    </row>
    <row r="130" spans="1:4">
      <c r="A130" s="7" t="s">
        <v>527</v>
      </c>
      <c r="B130" s="12" t="s">
        <v>124</v>
      </c>
      <c r="C130" s="12" t="s">
        <v>288</v>
      </c>
      <c r="D130" s="13" t="s">
        <v>459</v>
      </c>
    </row>
    <row r="131" spans="1:4">
      <c r="A131" s="7" t="s">
        <v>527</v>
      </c>
      <c r="B131" s="12" t="s">
        <v>125</v>
      </c>
      <c r="C131" s="12" t="s">
        <v>209</v>
      </c>
      <c r="D131" s="13" t="s">
        <v>460</v>
      </c>
    </row>
    <row r="132" spans="1:4">
      <c r="A132" s="7" t="s">
        <v>527</v>
      </c>
      <c r="B132" s="12" t="s">
        <v>139</v>
      </c>
      <c r="C132" s="12" t="s">
        <v>300</v>
      </c>
      <c r="D132" s="13" t="s">
        <v>476</v>
      </c>
    </row>
    <row r="133" spans="1:4">
      <c r="A133" s="7" t="s">
        <v>527</v>
      </c>
      <c r="B133" s="12" t="s">
        <v>145</v>
      </c>
      <c r="C133" s="12" t="s">
        <v>238</v>
      </c>
      <c r="D133" s="13" t="s">
        <v>482</v>
      </c>
    </row>
    <row r="134" spans="1:4">
      <c r="A134" s="7" t="s">
        <v>527</v>
      </c>
      <c r="B134" s="12" t="s">
        <v>159</v>
      </c>
      <c r="C134" s="12" t="s">
        <v>214</v>
      </c>
      <c r="D134" s="13" t="s">
        <v>496</v>
      </c>
    </row>
    <row r="135" spans="1:4">
      <c r="A135" s="7" t="s">
        <v>527</v>
      </c>
      <c r="B135" s="12" t="s">
        <v>162</v>
      </c>
      <c r="C135" s="12" t="s">
        <v>320</v>
      </c>
      <c r="D135" s="13" t="s">
        <v>503</v>
      </c>
    </row>
    <row r="136" spans="1:4">
      <c r="A136" s="7" t="s">
        <v>540</v>
      </c>
      <c r="B136" s="12" t="s">
        <v>46</v>
      </c>
      <c r="C136" s="12" t="s">
        <v>215</v>
      </c>
      <c r="D136" s="13" t="s">
        <v>374</v>
      </c>
    </row>
    <row r="137" spans="1:4">
      <c r="A137" s="7" t="s">
        <v>540</v>
      </c>
      <c r="B137" s="12" t="s">
        <v>90</v>
      </c>
      <c r="C137" s="12" t="s">
        <v>261</v>
      </c>
      <c r="D137" s="13" t="s">
        <v>423</v>
      </c>
    </row>
    <row r="138" spans="1:4">
      <c r="A138" s="7" t="s">
        <v>540</v>
      </c>
      <c r="B138" s="12" t="s">
        <v>162</v>
      </c>
      <c r="C138" s="12" t="s">
        <v>317</v>
      </c>
      <c r="D138" s="13" t="s">
        <v>500</v>
      </c>
    </row>
    <row r="139" spans="1:4">
      <c r="A139" s="7" t="s">
        <v>546</v>
      </c>
      <c r="B139" s="12" t="s">
        <v>138</v>
      </c>
      <c r="C139" s="12" t="s">
        <v>299</v>
      </c>
      <c r="D139" s="13" t="s">
        <v>475</v>
      </c>
    </row>
    <row r="140" spans="1:4">
      <c r="A140" s="7" t="s">
        <v>519</v>
      </c>
      <c r="B140" s="12" t="s">
        <v>4</v>
      </c>
      <c r="C140" s="12" t="s">
        <v>175</v>
      </c>
      <c r="D140" s="13" t="s">
        <v>331</v>
      </c>
    </row>
    <row r="141" spans="1:4">
      <c r="A141" s="7" t="s">
        <v>519</v>
      </c>
      <c r="B141" s="12" t="s">
        <v>19</v>
      </c>
      <c r="C141" s="12" t="s">
        <v>191</v>
      </c>
      <c r="D141" s="13" t="s">
        <v>346</v>
      </c>
    </row>
    <row r="142" spans="1:4">
      <c r="A142" s="7" t="s">
        <v>519</v>
      </c>
      <c r="B142" s="12" t="s">
        <v>70</v>
      </c>
      <c r="C142" s="12" t="s">
        <v>95</v>
      </c>
      <c r="D142" s="13" t="s">
        <v>400</v>
      </c>
    </row>
    <row r="143" spans="1:4">
      <c r="A143" s="7" t="s">
        <v>519</v>
      </c>
      <c r="B143" s="5" t="s">
        <v>585</v>
      </c>
      <c r="C143" s="5" t="s">
        <v>576</v>
      </c>
      <c r="D143" s="3" t="s">
        <v>584</v>
      </c>
    </row>
    <row r="144" spans="1:4">
      <c r="A144" s="7" t="s">
        <v>519</v>
      </c>
      <c r="B144" s="12" t="s">
        <v>113</v>
      </c>
      <c r="C144" s="12" t="s">
        <v>279</v>
      </c>
      <c r="D144" s="13" t="s">
        <v>447</v>
      </c>
    </row>
    <row r="145" spans="1:4">
      <c r="A145" s="7" t="s">
        <v>519</v>
      </c>
      <c r="B145" s="17" t="s">
        <v>589</v>
      </c>
      <c r="C145" s="17" t="s">
        <v>590</v>
      </c>
      <c r="D145" s="3" t="s">
        <v>588</v>
      </c>
    </row>
    <row r="146" spans="1:4">
      <c r="A146" s="7" t="s">
        <v>519</v>
      </c>
      <c r="B146" s="12" t="s">
        <v>122</v>
      </c>
      <c r="C146" s="12" t="s">
        <v>286</v>
      </c>
      <c r="D146" s="13" t="s">
        <v>457</v>
      </c>
    </row>
    <row r="147" spans="1:4">
      <c r="A147" s="7" t="s">
        <v>553</v>
      </c>
      <c r="B147" s="12" t="s">
        <v>58</v>
      </c>
      <c r="C147" s="12" t="s">
        <v>227</v>
      </c>
      <c r="D147" s="13" t="s">
        <v>386</v>
      </c>
    </row>
    <row r="148" spans="1:4">
      <c r="A148" s="7" t="s">
        <v>553</v>
      </c>
      <c r="B148" s="12" t="s">
        <v>72</v>
      </c>
      <c r="C148" s="12" t="s">
        <v>241</v>
      </c>
      <c r="D148" s="13" t="s">
        <v>402</v>
      </c>
    </row>
    <row r="149" spans="1:4">
      <c r="A149" s="7" t="s">
        <v>553</v>
      </c>
      <c r="B149" s="12" t="s">
        <v>76</v>
      </c>
      <c r="C149" s="12" t="s">
        <v>247</v>
      </c>
      <c r="D149" s="13" t="s">
        <v>409</v>
      </c>
    </row>
    <row r="150" spans="1:4">
      <c r="A150" s="7" t="s">
        <v>553</v>
      </c>
      <c r="B150" s="12" t="s">
        <v>136</v>
      </c>
      <c r="C150" s="12" t="s">
        <v>297</v>
      </c>
      <c r="D150" s="13" t="s">
        <v>473</v>
      </c>
    </row>
    <row r="151" spans="1:4">
      <c r="A151" s="7" t="s">
        <v>553</v>
      </c>
      <c r="B151" s="12" t="s">
        <v>144</v>
      </c>
      <c r="C151" s="12" t="s">
        <v>304</v>
      </c>
      <c r="D151" s="13" t="s">
        <v>481</v>
      </c>
    </row>
    <row r="152" spans="1:4">
      <c r="A152" s="7" t="s">
        <v>553</v>
      </c>
      <c r="B152" s="12" t="s">
        <v>162</v>
      </c>
      <c r="C152" s="12" t="s">
        <v>321</v>
      </c>
      <c r="D152" s="13" t="s">
        <v>504</v>
      </c>
    </row>
    <row r="153" spans="1:4">
      <c r="A153" s="7" t="s">
        <v>553</v>
      </c>
      <c r="B153" s="12" t="s">
        <v>166</v>
      </c>
      <c r="C153" s="12" t="s">
        <v>216</v>
      </c>
      <c r="D153" s="13" t="s">
        <v>508</v>
      </c>
    </row>
    <row r="154" spans="1:4" ht="30">
      <c r="A154" s="7" t="s">
        <v>523</v>
      </c>
      <c r="B154" s="12" t="s">
        <v>7</v>
      </c>
      <c r="C154" s="12" t="s">
        <v>178</v>
      </c>
      <c r="D154" s="13" t="s">
        <v>334</v>
      </c>
    </row>
    <row r="155" spans="1:4" ht="30">
      <c r="A155" s="7" t="s">
        <v>523</v>
      </c>
      <c r="B155" s="12" t="s">
        <v>14</v>
      </c>
      <c r="C155" s="12" t="s">
        <v>185</v>
      </c>
      <c r="D155" s="13" t="s">
        <v>341</v>
      </c>
    </row>
    <row r="156" spans="1:4">
      <c r="A156" s="7" t="s">
        <v>567</v>
      </c>
      <c r="B156" s="12" t="s">
        <v>121</v>
      </c>
      <c r="C156" s="12" t="s">
        <v>279</v>
      </c>
      <c r="D156" s="13" t="s">
        <v>456</v>
      </c>
    </row>
    <row r="157" spans="1:4">
      <c r="A157" s="7" t="s">
        <v>557</v>
      </c>
      <c r="B157" s="12" t="s">
        <v>18</v>
      </c>
      <c r="C157" s="12" t="s">
        <v>190</v>
      </c>
      <c r="D157" s="13" t="s">
        <v>345</v>
      </c>
    </row>
    <row r="158" spans="1:4">
      <c r="A158" s="7" t="s">
        <v>556</v>
      </c>
      <c r="B158" s="12" t="s">
        <v>15</v>
      </c>
      <c r="C158" s="12" t="s">
        <v>186</v>
      </c>
      <c r="D158" s="13" t="s">
        <v>342</v>
      </c>
    </row>
    <row r="159" spans="1:4">
      <c r="A159" s="7" t="s">
        <v>556</v>
      </c>
      <c r="B159" s="12" t="s">
        <v>70</v>
      </c>
      <c r="C159" s="12" t="s">
        <v>239</v>
      </c>
      <c r="D159" s="13" t="s">
        <v>399</v>
      </c>
    </row>
    <row r="160" spans="1:4">
      <c r="A160" s="7" t="s">
        <v>551</v>
      </c>
      <c r="B160" s="12" t="s">
        <v>157</v>
      </c>
      <c r="C160" s="12" t="s">
        <v>314</v>
      </c>
      <c r="D160" s="13" t="s">
        <v>493</v>
      </c>
    </row>
    <row r="161" spans="1:4">
      <c r="A161" s="7" t="s">
        <v>551</v>
      </c>
      <c r="B161" s="12" t="s">
        <v>171</v>
      </c>
      <c r="C161" s="12" t="s">
        <v>327</v>
      </c>
      <c r="D161" s="13" t="s">
        <v>513</v>
      </c>
    </row>
    <row r="162" spans="1:4">
      <c r="A162" s="7" t="s">
        <v>559</v>
      </c>
      <c r="B162" s="12" t="s">
        <v>20</v>
      </c>
      <c r="C162" s="12" t="s">
        <v>120</v>
      </c>
      <c r="D162" s="13" t="s">
        <v>347</v>
      </c>
    </row>
    <row r="163" spans="1:4">
      <c r="A163" s="7" t="s">
        <v>559</v>
      </c>
      <c r="B163" s="12" t="s">
        <v>158</v>
      </c>
      <c r="C163" s="12" t="s">
        <v>204</v>
      </c>
      <c r="D163" s="13" t="s">
        <v>495</v>
      </c>
    </row>
    <row r="164" spans="1:4">
      <c r="A164" s="7" t="s">
        <v>552</v>
      </c>
      <c r="B164" s="12" t="s">
        <v>160</v>
      </c>
      <c r="C164" s="12" t="s">
        <v>316</v>
      </c>
      <c r="D164" s="13" t="s">
        <v>498</v>
      </c>
    </row>
    <row r="165" spans="1:4">
      <c r="A165" s="7" t="s">
        <v>535</v>
      </c>
      <c r="B165" s="12" t="s">
        <v>59</v>
      </c>
      <c r="C165" s="12" t="s">
        <v>229</v>
      </c>
      <c r="D165" s="13" t="s">
        <v>388</v>
      </c>
    </row>
    <row r="166" spans="1:4">
      <c r="A166" s="7" t="s">
        <v>568</v>
      </c>
      <c r="B166" s="12" t="s">
        <v>117</v>
      </c>
      <c r="C166" s="12" t="s">
        <v>284</v>
      </c>
      <c r="D166" s="13" t="s">
        <v>452</v>
      </c>
    </row>
    <row r="167" spans="1:4">
      <c r="A167" s="7" t="s">
        <v>568</v>
      </c>
      <c r="B167" s="12" t="s">
        <v>152</v>
      </c>
      <c r="C167" s="12" t="s">
        <v>310</v>
      </c>
      <c r="D167" s="13" t="s">
        <v>488</v>
      </c>
    </row>
    <row r="168" spans="1:4">
      <c r="A168" s="7" t="s">
        <v>568</v>
      </c>
      <c r="B168" s="12" t="s">
        <v>154</v>
      </c>
      <c r="C168" s="12" t="s">
        <v>310</v>
      </c>
      <c r="D168" s="13" t="s">
        <v>490</v>
      </c>
    </row>
    <row r="169" spans="1:4">
      <c r="A169" s="7" t="s">
        <v>544</v>
      </c>
      <c r="B169" s="12" t="s">
        <v>118</v>
      </c>
      <c r="C169" s="12" t="s">
        <v>185</v>
      </c>
      <c r="D169" s="13" t="s">
        <v>453</v>
      </c>
    </row>
    <row r="170" spans="1:4">
      <c r="A170" s="7" t="s">
        <v>555</v>
      </c>
      <c r="B170" s="12" t="s">
        <v>9</v>
      </c>
      <c r="C170" s="12" t="s">
        <v>180</v>
      </c>
      <c r="D170" s="13" t="s">
        <v>336</v>
      </c>
    </row>
    <row r="171" spans="1:4">
      <c r="A171" s="7" t="s">
        <v>555</v>
      </c>
      <c r="B171" s="12" t="s">
        <v>74</v>
      </c>
      <c r="C171" s="12" t="s">
        <v>244</v>
      </c>
      <c r="D171" s="13" t="s">
        <v>406</v>
      </c>
    </row>
    <row r="172" spans="1:4">
      <c r="A172" s="7" t="s">
        <v>524</v>
      </c>
      <c r="B172" s="12" t="s">
        <v>39</v>
      </c>
      <c r="C172" s="12" t="s">
        <v>190</v>
      </c>
      <c r="D172" s="13" t="s">
        <v>366</v>
      </c>
    </row>
    <row r="173" spans="1:4">
      <c r="A173" s="7" t="s">
        <v>524</v>
      </c>
      <c r="B173" s="12" t="s">
        <v>53</v>
      </c>
      <c r="C173" s="12" t="s">
        <v>222</v>
      </c>
      <c r="D173" s="13" t="s">
        <v>381</v>
      </c>
    </row>
    <row r="174" spans="1:4">
      <c r="A174" s="7" t="s">
        <v>524</v>
      </c>
      <c r="B174" s="12" t="s">
        <v>60</v>
      </c>
      <c r="C174" s="12" t="s">
        <v>230</v>
      </c>
      <c r="D174" s="13" t="s">
        <v>389</v>
      </c>
    </row>
    <row r="175" spans="1:4">
      <c r="A175" s="7" t="s">
        <v>524</v>
      </c>
      <c r="B175" s="12" t="s">
        <v>151</v>
      </c>
      <c r="C175" s="12" t="s">
        <v>309</v>
      </c>
      <c r="D175" s="4" t="s">
        <v>596</v>
      </c>
    </row>
    <row r="176" spans="1:4">
      <c r="A176" s="7" t="s">
        <v>533</v>
      </c>
      <c r="B176" s="12" t="s">
        <v>75</v>
      </c>
      <c r="C176" s="12" t="s">
        <v>246</v>
      </c>
      <c r="D176" s="13" t="s">
        <v>408</v>
      </c>
    </row>
    <row r="177" spans="1:5">
      <c r="A177" s="7" t="s">
        <v>526</v>
      </c>
      <c r="B177" s="12" t="s">
        <v>107</v>
      </c>
      <c r="C177" s="12" t="s">
        <v>248</v>
      </c>
      <c r="D177" s="13" t="s">
        <v>441</v>
      </c>
    </row>
    <row r="178" spans="1:5">
      <c r="A178" s="7" t="s">
        <v>549</v>
      </c>
      <c r="B178" s="12" t="s">
        <v>51</v>
      </c>
      <c r="C178" s="12" t="s">
        <v>220</v>
      </c>
      <c r="D178" s="13" t="s">
        <v>379</v>
      </c>
    </row>
    <row r="179" spans="1:5">
      <c r="A179" s="7" t="s">
        <v>549</v>
      </c>
      <c r="B179" s="12" t="s">
        <v>146</v>
      </c>
      <c r="C179" s="12" t="s">
        <v>305</v>
      </c>
      <c r="D179" s="13" t="s">
        <v>483</v>
      </c>
    </row>
    <row r="180" spans="1:5">
      <c r="A180" s="7" t="s">
        <v>531</v>
      </c>
      <c r="B180" s="12" t="s">
        <v>64</v>
      </c>
      <c r="C180" s="12" t="s">
        <v>234</v>
      </c>
      <c r="D180" s="13" t="s">
        <v>393</v>
      </c>
    </row>
    <row r="181" spans="1:5">
      <c r="A181" s="7" t="s">
        <v>550</v>
      </c>
      <c r="B181" s="12" t="s">
        <v>563</v>
      </c>
      <c r="C181" s="12" t="s">
        <v>564</v>
      </c>
      <c r="D181" s="6" t="s">
        <v>565</v>
      </c>
    </row>
    <row r="182" spans="1:5">
      <c r="A182" s="7" t="s">
        <v>550</v>
      </c>
      <c r="B182" s="12" t="s">
        <v>62</v>
      </c>
      <c r="C182" s="12" t="s">
        <v>232</v>
      </c>
      <c r="D182" s="13" t="s">
        <v>391</v>
      </c>
    </row>
    <row r="183" spans="1:5">
      <c r="A183" s="7" t="s">
        <v>561</v>
      </c>
      <c r="B183" s="12" t="s">
        <v>143</v>
      </c>
      <c r="C183" s="12" t="s">
        <v>209</v>
      </c>
      <c r="D183" s="13" t="s">
        <v>480</v>
      </c>
    </row>
    <row r="184" spans="1:5">
      <c r="A184" s="7" t="s">
        <v>548</v>
      </c>
      <c r="B184" s="12" t="s">
        <v>45</v>
      </c>
      <c r="C184" s="12" t="s">
        <v>212</v>
      </c>
      <c r="D184" s="13" t="s">
        <v>372</v>
      </c>
    </row>
    <row r="185" spans="1:5">
      <c r="A185" s="7" t="s">
        <v>545</v>
      </c>
      <c r="B185" s="12" t="s">
        <v>119</v>
      </c>
      <c r="C185" s="12" t="s">
        <v>285</v>
      </c>
      <c r="D185" s="13" t="s">
        <v>454</v>
      </c>
    </row>
    <row r="186" spans="1:5">
      <c r="A186" s="7" t="s">
        <v>538</v>
      </c>
      <c r="B186" s="12" t="s">
        <v>157</v>
      </c>
      <c r="C186" s="12" t="s">
        <v>231</v>
      </c>
      <c r="D186" s="13" t="s">
        <v>494</v>
      </c>
    </row>
    <row r="187" spans="1:5">
      <c r="A187" s="7" t="s">
        <v>518</v>
      </c>
      <c r="B187" s="12" t="s">
        <v>3</v>
      </c>
      <c r="C187" s="12" t="s">
        <v>174</v>
      </c>
      <c r="D187" s="13" t="s">
        <v>330</v>
      </c>
    </row>
    <row r="188" spans="1:5">
      <c r="A188" s="7" t="s">
        <v>518</v>
      </c>
      <c r="B188" s="12" t="s">
        <v>597</v>
      </c>
      <c r="C188" s="12" t="s">
        <v>599</v>
      </c>
      <c r="D188" s="21" t="s">
        <v>598</v>
      </c>
    </row>
    <row r="189" spans="1:5">
      <c r="A189" s="7" t="s">
        <v>518</v>
      </c>
      <c r="B189" s="12" t="s">
        <v>169</v>
      </c>
      <c r="C189" s="12" t="s">
        <v>326</v>
      </c>
      <c r="D189" s="13" t="s">
        <v>511</v>
      </c>
    </row>
    <row r="190" spans="1:5">
      <c r="A190" s="7" t="s">
        <v>554</v>
      </c>
      <c r="B190" s="12" t="s">
        <v>161</v>
      </c>
      <c r="C190" s="12" t="s">
        <v>188</v>
      </c>
      <c r="D190" s="13" t="s">
        <v>499</v>
      </c>
    </row>
    <row r="191" spans="1:5">
      <c r="A191" s="7" t="s">
        <v>537</v>
      </c>
      <c r="B191" s="12" t="s">
        <v>128</v>
      </c>
      <c r="C191" s="12" t="s">
        <v>79</v>
      </c>
      <c r="D191" s="13" t="s">
        <v>464</v>
      </c>
    </row>
    <row r="192" spans="1:5">
      <c r="A192" s="7" t="s">
        <v>595</v>
      </c>
      <c r="B192" s="18" t="s">
        <v>587</v>
      </c>
      <c r="C192" s="18" t="s">
        <v>204</v>
      </c>
      <c r="D192" s="3" t="s">
        <v>586</v>
      </c>
      <c r="E192" s="14"/>
    </row>
    <row r="193" spans="1:4">
      <c r="A193" s="7" t="s">
        <v>541</v>
      </c>
      <c r="B193" s="12" t="s">
        <v>59</v>
      </c>
      <c r="C193" s="12" t="s">
        <v>228</v>
      </c>
      <c r="D193" s="13" t="s">
        <v>387</v>
      </c>
    </row>
    <row r="194" spans="1:4">
      <c r="A194" s="7" t="s">
        <v>541</v>
      </c>
      <c r="B194" s="12" t="s">
        <v>168</v>
      </c>
      <c r="C194" s="12" t="s">
        <v>325</v>
      </c>
      <c r="D194" s="13" t="s">
        <v>510</v>
      </c>
    </row>
    <row r="195" spans="1:4">
      <c r="A195" s="7" t="s">
        <v>543</v>
      </c>
      <c r="B195" s="12" t="s">
        <v>104</v>
      </c>
      <c r="C195" s="12" t="s">
        <v>274</v>
      </c>
      <c r="D195" s="13" t="s">
        <v>438</v>
      </c>
    </row>
    <row r="196" spans="1:4">
      <c r="A196" s="7" t="s">
        <v>539</v>
      </c>
      <c r="B196" s="12" t="s">
        <v>24</v>
      </c>
      <c r="C196" s="12" t="s">
        <v>194</v>
      </c>
      <c r="D196" s="13" t="s">
        <v>351</v>
      </c>
    </row>
    <row r="197" spans="1:4">
      <c r="A197" s="7" t="s">
        <v>539</v>
      </c>
      <c r="B197" s="12" t="s">
        <v>89</v>
      </c>
      <c r="C197" s="12" t="s">
        <v>260</v>
      </c>
      <c r="D197" s="13" t="s">
        <v>422</v>
      </c>
    </row>
    <row r="198" spans="1:4">
      <c r="A198" s="7" t="s">
        <v>521</v>
      </c>
      <c r="B198" s="12" t="s">
        <v>6</v>
      </c>
      <c r="C198" s="12" t="s">
        <v>177</v>
      </c>
      <c r="D198" s="13" t="s">
        <v>333</v>
      </c>
    </row>
    <row r="199" spans="1:4">
      <c r="A199" s="7" t="s">
        <v>521</v>
      </c>
      <c r="B199" s="12" t="s">
        <v>31</v>
      </c>
      <c r="C199" s="12" t="s">
        <v>201</v>
      </c>
      <c r="D199" s="13" t="s">
        <v>358</v>
      </c>
    </row>
    <row r="200" spans="1:4">
      <c r="A200" s="7" t="s">
        <v>521</v>
      </c>
      <c r="B200" s="12" t="s">
        <v>69</v>
      </c>
      <c r="C200" s="12" t="s">
        <v>238</v>
      </c>
      <c r="D200" s="13" t="s">
        <v>398</v>
      </c>
    </row>
    <row r="201" spans="1:4">
      <c r="A201" s="28" t="s">
        <v>521</v>
      </c>
      <c r="B201" s="29" t="s">
        <v>73</v>
      </c>
      <c r="C201" s="29" t="s">
        <v>190</v>
      </c>
      <c r="D201" s="30" t="s">
        <v>404</v>
      </c>
    </row>
  </sheetData>
  <autoFilter ref="A1:E201">
    <sortState ref="A2:E203">
      <sortCondition ref="A1:A203"/>
    </sortState>
  </autoFilter>
  <sortState ref="A2:D230">
    <sortCondition ref="A213"/>
  </sortState>
  <phoneticPr fontId="0" type="noConversion"/>
  <hyperlinks>
    <hyperlink ref="D181" r:id="rId1" display="mailto:stephanie.chapman@nara.gov"/>
    <hyperlink ref="D117" r:id="rId2"/>
    <hyperlink ref="D143" r:id="rId3" display="mailto:brian.mozingo@va.gov"/>
    <hyperlink ref="D192" r:id="rId4" display="mailto:Palmer.Michael@pbgc.gov"/>
    <hyperlink ref="D145" r:id="rId5" display="mailto:paulette.pereira@va.gov"/>
    <hyperlink ref="D37" r:id="rId6" display="mailto:james.e.thomasson@census.gov"/>
    <hyperlink ref="D28" r:id="rId7" display="mailto:debra.lucas@bis.doc.gov"/>
    <hyperlink ref="D110" r:id="rId8"/>
    <hyperlink ref="D175" r:id="rId9"/>
    <hyperlink ref="D17" r:id="rId10"/>
    <hyperlink ref="D80" r:id="rId11" display="mailto:bobbisue.cline@psc.hhs.gov"/>
  </hyperlinks>
  <pageMargins left="0.7" right="0.7" top="0.75" bottom="0.75" header="0.3" footer="0.3"/>
  <pageSetup orientation="portrait" r:id="rId12"/>
  <customProperties>
    <customPr name="DVSECTIONID" r:id="rId13"/>
  </customPropertie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  <pageSetup orientation="portrait" r:id="rId1"/>
  <customProperties>
    <customPr name="DVSECTION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  <pageSetup orientation="portrait" r:id="rId1"/>
  <customProperties>
    <customPr name="DVSECTION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IV5"/>
  <sheetViews>
    <sheetView workbookViewId="0">
      <selection activeCell="IP5" sqref="IP5"/>
    </sheetView>
  </sheetViews>
  <sheetFormatPr defaultRowHeight="15"/>
  <sheetData>
    <row r="1" spans="1:256">
      <c r="A1" t="e">
        <f>IF(Sheet1!1:1,"RGhoPg3/XQA=",0)</f>
        <v>#VALUE!</v>
      </c>
      <c r="B1" t="e">
        <f>AND(Sheet1!A1,"RGhoPg3/XQE=")</f>
        <v>#VALUE!</v>
      </c>
      <c r="C1" t="e">
        <f>AND(Sheet1!B1,"RGhoPg3/XQI=")</f>
        <v>#VALUE!</v>
      </c>
      <c r="D1" t="e">
        <f>AND(Sheet1!C1,"RGhoPg3/XQM=")</f>
        <v>#VALUE!</v>
      </c>
      <c r="E1" t="e">
        <f>AND(Sheet1!D1,"RGhoPg3/XQQ=")</f>
        <v>#VALUE!</v>
      </c>
      <c r="F1">
        <f>IF(Sheet1!2:2,"RGhoPg3/XQU=",0)</f>
        <v>0</v>
      </c>
      <c r="G1" t="e">
        <f>AND(Sheet1!A2,"RGhoPg3/XQY=")</f>
        <v>#VALUE!</v>
      </c>
      <c r="H1" t="e">
        <f>AND(Sheet1!B2,"RGhoPg3/XQc=")</f>
        <v>#VALUE!</v>
      </c>
      <c r="I1" t="e">
        <f>AND(Sheet1!C2,"RGhoPg3/XQg=")</f>
        <v>#VALUE!</v>
      </c>
      <c r="J1" t="e">
        <f>AND(Sheet1!D2,"RGhoPg3/XQk=")</f>
        <v>#VALUE!</v>
      </c>
      <c r="K1">
        <f>IF(Sheet1!3:3,"RGhoPg3/XQo=",0)</f>
        <v>0</v>
      </c>
      <c r="L1" t="e">
        <f>AND(Sheet1!A3,"RGhoPg3/XQs=")</f>
        <v>#VALUE!</v>
      </c>
      <c r="M1" t="e">
        <f>AND(Sheet1!B3,"RGhoPg3/XQw=")</f>
        <v>#VALUE!</v>
      </c>
      <c r="N1" t="e">
        <f>AND(Sheet1!C3,"RGhoPg3/XQ0=")</f>
        <v>#VALUE!</v>
      </c>
      <c r="O1" t="e">
        <f>AND(Sheet1!D3,"RGhoPg3/XQ4=")</f>
        <v>#VALUE!</v>
      </c>
      <c r="P1">
        <f>IF(Sheet1!4:4,"RGhoPg3/XQ8=",0)</f>
        <v>0</v>
      </c>
      <c r="Q1" t="e">
        <f>AND(Sheet1!A4,"RGhoPg3/XRA=")</f>
        <v>#VALUE!</v>
      </c>
      <c r="R1" t="e">
        <f>AND(Sheet1!B4,"RGhoPg3/XRE=")</f>
        <v>#VALUE!</v>
      </c>
      <c r="S1" t="e">
        <f>AND(Sheet1!C4,"RGhoPg3/XRI=")</f>
        <v>#VALUE!</v>
      </c>
      <c r="T1" t="e">
        <f>AND(Sheet1!D4,"RGhoPg3/XRM=")</f>
        <v>#VALUE!</v>
      </c>
      <c r="U1">
        <f>IF(Sheet1!5:5,"RGhoPg3/XRQ=",0)</f>
        <v>0</v>
      </c>
      <c r="V1" t="e">
        <f>AND(Sheet1!A5,"RGhoPg3/XRU=")</f>
        <v>#VALUE!</v>
      </c>
      <c r="W1" t="e">
        <f>AND(Sheet1!B5,"RGhoPg3/XRY=")</f>
        <v>#VALUE!</v>
      </c>
      <c r="X1" t="e">
        <f>AND(Sheet1!C5,"RGhoPg3/XRc=")</f>
        <v>#VALUE!</v>
      </c>
      <c r="Y1" t="e">
        <f>AND(Sheet1!D5,"RGhoPg3/XRg=")</f>
        <v>#VALUE!</v>
      </c>
      <c r="Z1">
        <f>IF(Sheet1!6:6,"RGhoPg3/XRk=",0)</f>
        <v>0</v>
      </c>
      <c r="AA1" t="e">
        <f>AND(Sheet1!A6,"RGhoPg3/XRo=")</f>
        <v>#VALUE!</v>
      </c>
      <c r="AB1" t="e">
        <f>AND(Sheet1!B6,"RGhoPg3/XRs=")</f>
        <v>#VALUE!</v>
      </c>
      <c r="AC1" t="e">
        <f>AND(Sheet1!C6,"RGhoPg3/XRw=")</f>
        <v>#VALUE!</v>
      </c>
      <c r="AD1" t="e">
        <f>AND(Sheet1!D6,"RGhoPg3/XR0=")</f>
        <v>#VALUE!</v>
      </c>
      <c r="AE1">
        <f>IF(Sheet1!7:7,"RGhoPg3/XR4=",0)</f>
        <v>0</v>
      </c>
      <c r="AF1" t="e">
        <f>AND(Sheet1!A7,"RGhoPg3/XR8=")</f>
        <v>#VALUE!</v>
      </c>
      <c r="AG1" t="e">
        <f>AND(Sheet1!B7,"RGhoPg3/XSA=")</f>
        <v>#VALUE!</v>
      </c>
      <c r="AH1" t="e">
        <f>AND(Sheet1!C7,"RGhoPg3/XSE=")</f>
        <v>#VALUE!</v>
      </c>
      <c r="AI1" t="e">
        <f>AND(Sheet1!D7,"RGhoPg3/XSI=")</f>
        <v>#VALUE!</v>
      </c>
      <c r="AJ1">
        <f>IF(Sheet1!8:8,"RGhoPg3/XSM=",0)</f>
        <v>0</v>
      </c>
      <c r="AK1" t="e">
        <f>AND(Sheet1!A8,"RGhoPg3/XSQ=")</f>
        <v>#VALUE!</v>
      </c>
      <c r="AL1" t="e">
        <f>AND(Sheet1!B8,"RGhoPg3/XSU=")</f>
        <v>#VALUE!</v>
      </c>
      <c r="AM1" t="e">
        <f>AND(Sheet1!C8,"RGhoPg3/XSY=")</f>
        <v>#VALUE!</v>
      </c>
      <c r="AN1" t="e">
        <f>AND(Sheet1!D8,"RGhoPg3/XSc=")</f>
        <v>#VALUE!</v>
      </c>
      <c r="AO1" t="e">
        <f>IF(Sheet1!#REF!,"RGhoPg3/XSg=",0)</f>
        <v>#REF!</v>
      </c>
      <c r="AP1" t="e">
        <f>AND(Sheet1!#REF!,"RGhoPg3/XSk=")</f>
        <v>#REF!</v>
      </c>
      <c r="AQ1" t="e">
        <f>AND(Sheet1!#REF!,"RGhoPg3/XSo=")</f>
        <v>#REF!</v>
      </c>
      <c r="AR1" t="e">
        <f>AND(Sheet1!#REF!,"RGhoPg3/XSs=")</f>
        <v>#REF!</v>
      </c>
      <c r="AS1" t="e">
        <f>AND(Sheet1!#REF!,"RGhoPg3/XSw=")</f>
        <v>#REF!</v>
      </c>
      <c r="AT1">
        <f>IF(Sheet1!9:9,"RGhoPg3/XS0=",0)</f>
        <v>0</v>
      </c>
      <c r="AU1" t="e">
        <f>AND(Sheet1!A9,"RGhoPg3/XS4=")</f>
        <v>#VALUE!</v>
      </c>
      <c r="AV1" t="e">
        <f>AND(Sheet1!B9,"RGhoPg3/XS8=")</f>
        <v>#VALUE!</v>
      </c>
      <c r="AW1" t="e">
        <f>AND(Sheet1!C9,"RGhoPg3/XTA=")</f>
        <v>#VALUE!</v>
      </c>
      <c r="AX1" t="e">
        <f>AND(Sheet1!D9,"RGhoPg3/XTE=")</f>
        <v>#VALUE!</v>
      </c>
      <c r="AY1">
        <f>IF(Sheet1!10:10,"RGhoPg3/XTI=",0)</f>
        <v>0</v>
      </c>
      <c r="AZ1" t="e">
        <f>AND(Sheet1!A10,"RGhoPg3/XTM=")</f>
        <v>#VALUE!</v>
      </c>
      <c r="BA1" t="e">
        <f>AND(Sheet1!B10,"RGhoPg3/XTQ=")</f>
        <v>#VALUE!</v>
      </c>
      <c r="BB1" t="e">
        <f>AND(Sheet1!C10,"RGhoPg3/XTU=")</f>
        <v>#VALUE!</v>
      </c>
      <c r="BC1" t="e">
        <f>AND(Sheet1!D10,"RGhoPg3/XTY=")</f>
        <v>#VALUE!</v>
      </c>
      <c r="BD1">
        <f>IF(Sheet1!11:11,"RGhoPg3/XTc=",0)</f>
        <v>0</v>
      </c>
      <c r="BE1" t="e">
        <f>AND(Sheet1!A11,"RGhoPg3/XTg=")</f>
        <v>#VALUE!</v>
      </c>
      <c r="BF1" t="e">
        <f>AND(Sheet1!B11,"RGhoPg3/XTk=")</f>
        <v>#VALUE!</v>
      </c>
      <c r="BG1" t="e">
        <f>AND(Sheet1!C11,"RGhoPg3/XTo=")</f>
        <v>#VALUE!</v>
      </c>
      <c r="BH1" t="e">
        <f>AND(Sheet1!D11,"RGhoPg3/XTs=")</f>
        <v>#VALUE!</v>
      </c>
      <c r="BI1">
        <f>IF(Sheet1!12:12,"RGhoPg3/XTw=",0)</f>
        <v>0</v>
      </c>
      <c r="BJ1" t="e">
        <f>AND(Sheet1!A12,"RGhoPg3/XT0=")</f>
        <v>#VALUE!</v>
      </c>
      <c r="BK1" t="e">
        <f>AND(Sheet1!B12,"RGhoPg3/XT4=")</f>
        <v>#VALUE!</v>
      </c>
      <c r="BL1" t="e">
        <f>AND(Sheet1!C12,"RGhoPg3/XT8=")</f>
        <v>#VALUE!</v>
      </c>
      <c r="BM1" t="e">
        <f>AND(Sheet1!D12,"RGhoPg3/XUA=")</f>
        <v>#VALUE!</v>
      </c>
      <c r="BN1">
        <f>IF(Sheet1!13:13,"RGhoPg3/XUE=",0)</f>
        <v>0</v>
      </c>
      <c r="BO1" t="e">
        <f>AND(Sheet1!A13,"RGhoPg3/XUI=")</f>
        <v>#VALUE!</v>
      </c>
      <c r="BP1" t="e">
        <f>AND(Sheet1!B13,"RGhoPg3/XUM=")</f>
        <v>#VALUE!</v>
      </c>
      <c r="BQ1" t="e">
        <f>AND(Sheet1!C13,"RGhoPg3/XUQ=")</f>
        <v>#VALUE!</v>
      </c>
      <c r="BR1" t="e">
        <f>AND(Sheet1!D13,"RGhoPg3/XUU=")</f>
        <v>#VALUE!</v>
      </c>
      <c r="BS1">
        <f>IF(Sheet1!14:14,"RGhoPg3/XUY=",0)</f>
        <v>0</v>
      </c>
      <c r="BT1" t="e">
        <f>AND(Sheet1!A14,"RGhoPg3/XUc=")</f>
        <v>#VALUE!</v>
      </c>
      <c r="BU1" t="e">
        <f>AND(Sheet1!B14,"RGhoPg3/XUg=")</f>
        <v>#VALUE!</v>
      </c>
      <c r="BV1" t="e">
        <f>AND(Sheet1!C14,"RGhoPg3/XUk=")</f>
        <v>#VALUE!</v>
      </c>
      <c r="BW1" t="e">
        <f>AND(Sheet1!D14,"RGhoPg3/XUo=")</f>
        <v>#VALUE!</v>
      </c>
      <c r="BX1">
        <f>IF(Sheet1!15:15,"RGhoPg3/XUs=",0)</f>
        <v>0</v>
      </c>
      <c r="BY1" t="e">
        <f>AND(Sheet1!A15,"RGhoPg3/XUw=")</f>
        <v>#VALUE!</v>
      </c>
      <c r="BZ1" t="e">
        <f>AND(Sheet1!B15,"RGhoPg3/XU0=")</f>
        <v>#VALUE!</v>
      </c>
      <c r="CA1" t="e">
        <f>AND(Sheet1!C15,"RGhoPg3/XU4=")</f>
        <v>#VALUE!</v>
      </c>
      <c r="CB1" t="e">
        <f>AND(Sheet1!D15,"RGhoPg3/XU8=")</f>
        <v>#VALUE!</v>
      </c>
      <c r="CC1">
        <f>IF(Sheet1!16:16,"RGhoPg3/XVA=",0)</f>
        <v>0</v>
      </c>
      <c r="CD1" t="e">
        <f>AND(Sheet1!A16,"RGhoPg3/XVE=")</f>
        <v>#VALUE!</v>
      </c>
      <c r="CE1" t="e">
        <f>AND(Sheet1!B16,"RGhoPg3/XVI=")</f>
        <v>#VALUE!</v>
      </c>
      <c r="CF1" t="e">
        <f>AND(Sheet1!C16,"RGhoPg3/XVM=")</f>
        <v>#VALUE!</v>
      </c>
      <c r="CG1" t="e">
        <f>AND(Sheet1!D16,"RGhoPg3/XVQ=")</f>
        <v>#VALUE!</v>
      </c>
      <c r="CH1">
        <f>IF(Sheet1!17:17,"RGhoPg3/XVU=",0)</f>
        <v>0</v>
      </c>
      <c r="CI1" t="e">
        <f>AND(Sheet1!A17,"RGhoPg3/XVY=")</f>
        <v>#VALUE!</v>
      </c>
      <c r="CJ1" t="e">
        <f>AND(Sheet1!B17,"RGhoPg3/XVc=")</f>
        <v>#VALUE!</v>
      </c>
      <c r="CK1" t="e">
        <f>AND(Sheet1!C17,"RGhoPg3/XVg=")</f>
        <v>#VALUE!</v>
      </c>
      <c r="CL1" t="e">
        <f>AND(Sheet1!D17,"RGhoPg3/XVk=")</f>
        <v>#VALUE!</v>
      </c>
      <c r="CM1">
        <f>IF(Sheet1!18:18,"RGhoPg3/XVo=",0)</f>
        <v>0</v>
      </c>
      <c r="CN1" t="e">
        <f>AND(Sheet1!A18,"RGhoPg3/XVs=")</f>
        <v>#VALUE!</v>
      </c>
      <c r="CO1" t="e">
        <f>AND(Sheet1!B18,"RGhoPg3/XVw=")</f>
        <v>#VALUE!</v>
      </c>
      <c r="CP1" t="e">
        <f>AND(Sheet1!C18,"RGhoPg3/XV0=")</f>
        <v>#VALUE!</v>
      </c>
      <c r="CQ1" t="e">
        <f>AND(Sheet1!D18,"RGhoPg3/XV4=")</f>
        <v>#VALUE!</v>
      </c>
      <c r="CR1" t="e">
        <f>IF(Sheet1!#REF!,"RGhoPg3/XV8=",0)</f>
        <v>#REF!</v>
      </c>
      <c r="CS1" t="e">
        <f>AND(Sheet1!#REF!,"RGhoPg3/XWA=")</f>
        <v>#REF!</v>
      </c>
      <c r="CT1" t="e">
        <f>AND(Sheet1!#REF!,"RGhoPg3/XWE=")</f>
        <v>#REF!</v>
      </c>
      <c r="CU1" t="e">
        <f>AND(Sheet1!#REF!,"RGhoPg3/XWI=")</f>
        <v>#REF!</v>
      </c>
      <c r="CV1" t="e">
        <f>AND(Sheet1!#REF!,"RGhoPg3/XWM=")</f>
        <v>#REF!</v>
      </c>
      <c r="CW1" t="e">
        <f>IF(Sheet1!#REF!,"RGhoPg3/XWQ=",0)</f>
        <v>#REF!</v>
      </c>
      <c r="CX1" t="e">
        <f>AND(Sheet1!#REF!,"RGhoPg3/XWU=")</f>
        <v>#REF!</v>
      </c>
      <c r="CY1" t="e">
        <f>AND(Sheet1!#REF!,"RGhoPg3/XWY=")</f>
        <v>#REF!</v>
      </c>
      <c r="CZ1" t="e">
        <f>AND(Sheet1!#REF!,"RGhoPg3/XWc=")</f>
        <v>#REF!</v>
      </c>
      <c r="DA1" t="e">
        <f>AND(Sheet1!#REF!,"RGhoPg3/XWg=")</f>
        <v>#REF!</v>
      </c>
      <c r="DB1" t="e">
        <f>IF(Sheet1!#REF!,"RGhoPg3/XWk=",0)</f>
        <v>#REF!</v>
      </c>
      <c r="DC1" t="e">
        <f>AND(Sheet1!#REF!,"RGhoPg3/XWo=")</f>
        <v>#REF!</v>
      </c>
      <c r="DD1" t="e">
        <f>AND(Sheet1!#REF!,"RGhoPg3/XWs=")</f>
        <v>#REF!</v>
      </c>
      <c r="DE1" t="e">
        <f>AND(Sheet1!#REF!,"RGhoPg3/XWw=")</f>
        <v>#REF!</v>
      </c>
      <c r="DF1" t="e">
        <f>AND(Sheet1!#REF!,"RGhoPg3/XW0=")</f>
        <v>#REF!</v>
      </c>
      <c r="DG1">
        <f>IF(Sheet1!20:20,"RGhoPg3/XW4=",0)</f>
        <v>0</v>
      </c>
      <c r="DH1" t="e">
        <f>AND(Sheet1!A20,"RGhoPg3/XW8=")</f>
        <v>#VALUE!</v>
      </c>
      <c r="DI1" t="e">
        <f>AND(Sheet1!B20,"RGhoPg3/XXA=")</f>
        <v>#VALUE!</v>
      </c>
      <c r="DJ1" t="e">
        <f>AND(Sheet1!C20,"RGhoPg3/XXE=")</f>
        <v>#VALUE!</v>
      </c>
      <c r="DK1" t="e">
        <f>AND(Sheet1!D20,"RGhoPg3/XXI=")</f>
        <v>#VALUE!</v>
      </c>
      <c r="DL1">
        <f>IF(Sheet1!21:21,"RGhoPg3/XXM=",0)</f>
        <v>0</v>
      </c>
      <c r="DM1" t="e">
        <f>AND(Sheet1!A21,"RGhoPg3/XXQ=")</f>
        <v>#VALUE!</v>
      </c>
      <c r="DN1" t="e">
        <f>AND(Sheet1!B21,"RGhoPg3/XXU=")</f>
        <v>#VALUE!</v>
      </c>
      <c r="DO1" t="e">
        <f>AND(Sheet1!C21,"RGhoPg3/XXY=")</f>
        <v>#VALUE!</v>
      </c>
      <c r="DP1" t="e">
        <f>AND(Sheet1!D21,"RGhoPg3/XXc=")</f>
        <v>#VALUE!</v>
      </c>
      <c r="DQ1">
        <f>IF(Sheet1!22:22,"RGhoPg3/XXg=",0)</f>
        <v>0</v>
      </c>
      <c r="DR1" t="e">
        <f>AND(Sheet1!A22,"RGhoPg3/XXk=")</f>
        <v>#VALUE!</v>
      </c>
      <c r="DS1" t="e">
        <f>AND(Sheet1!B22,"RGhoPg3/XXo=")</f>
        <v>#VALUE!</v>
      </c>
      <c r="DT1" t="e">
        <f>AND(Sheet1!C22,"RGhoPg3/XXs=")</f>
        <v>#VALUE!</v>
      </c>
      <c r="DU1" t="e">
        <f>AND(Sheet1!D22,"RGhoPg3/XXw=")</f>
        <v>#VALUE!</v>
      </c>
      <c r="DV1" t="e">
        <f>IF(Sheet1!#REF!,"RGhoPg3/XX0=",0)</f>
        <v>#REF!</v>
      </c>
      <c r="DW1" t="e">
        <f>AND(Sheet1!#REF!,"RGhoPg3/XX4=")</f>
        <v>#REF!</v>
      </c>
      <c r="DX1" t="e">
        <f>AND(Sheet1!#REF!,"RGhoPg3/XX8=")</f>
        <v>#REF!</v>
      </c>
      <c r="DY1" t="e">
        <f>AND(Sheet1!#REF!,"RGhoPg3/XYA=")</f>
        <v>#REF!</v>
      </c>
      <c r="DZ1" t="e">
        <f>AND(Sheet1!#REF!,"RGhoPg3/XYE=")</f>
        <v>#REF!</v>
      </c>
      <c r="EA1" t="e">
        <f>IF(Sheet1!#REF!,"RGhoPg3/XYI=",0)</f>
        <v>#REF!</v>
      </c>
      <c r="EB1" t="e">
        <f>AND(Sheet1!#REF!,"RGhoPg3/XYM=")</f>
        <v>#REF!</v>
      </c>
      <c r="EC1" t="e">
        <f>AND(Sheet1!#REF!,"RGhoPg3/XYQ=")</f>
        <v>#REF!</v>
      </c>
      <c r="ED1" t="e">
        <f>AND(Sheet1!#REF!,"RGhoPg3/XYU=")</f>
        <v>#REF!</v>
      </c>
      <c r="EE1" t="e">
        <f>AND(Sheet1!#REF!,"RGhoPg3/XYY=")</f>
        <v>#REF!</v>
      </c>
      <c r="EF1">
        <f>IF(Sheet1!23:23,"RGhoPg3/XYc=",0)</f>
        <v>0</v>
      </c>
      <c r="EG1" t="e">
        <f>AND(Sheet1!A23,"RGhoPg3/XYg=")</f>
        <v>#VALUE!</v>
      </c>
      <c r="EH1" t="e">
        <f>AND(Sheet1!B23,"RGhoPg3/XYk=")</f>
        <v>#VALUE!</v>
      </c>
      <c r="EI1" t="e">
        <f>AND(Sheet1!C23,"RGhoPg3/XYo=")</f>
        <v>#VALUE!</v>
      </c>
      <c r="EJ1" t="e">
        <f>AND(Sheet1!D23,"RGhoPg3/XYs=")</f>
        <v>#VALUE!</v>
      </c>
      <c r="EK1">
        <f>IF(Sheet1!24:24,"RGhoPg3/XYw=",0)</f>
        <v>0</v>
      </c>
      <c r="EL1" t="e">
        <f>AND(Sheet1!A24,"RGhoPg3/XY0=")</f>
        <v>#VALUE!</v>
      </c>
      <c r="EM1" t="e">
        <f>AND(Sheet1!B24,"RGhoPg3/XY4=")</f>
        <v>#VALUE!</v>
      </c>
      <c r="EN1" t="e">
        <f>AND(Sheet1!C24,"RGhoPg3/XY8=")</f>
        <v>#VALUE!</v>
      </c>
      <c r="EO1" t="e">
        <f>AND(Sheet1!D24,"RGhoPg3/XZA=")</f>
        <v>#VALUE!</v>
      </c>
      <c r="EP1">
        <f>IF(Sheet1!26:26,"RGhoPg3/XZE=",0)</f>
        <v>0</v>
      </c>
      <c r="EQ1" t="e">
        <f>AND(Sheet1!A26,"RGhoPg3/XZI=")</f>
        <v>#VALUE!</v>
      </c>
      <c r="ER1" t="e">
        <f>AND(Sheet1!B26,"RGhoPg3/XZM=")</f>
        <v>#VALUE!</v>
      </c>
      <c r="ES1" t="e">
        <f>AND(Sheet1!C26,"RGhoPg3/XZQ=")</f>
        <v>#VALUE!</v>
      </c>
      <c r="ET1" t="e">
        <f>AND(Sheet1!D26,"RGhoPg3/XZU=")</f>
        <v>#VALUE!</v>
      </c>
      <c r="EU1">
        <f>IF(Sheet1!27:27,"RGhoPg3/XZY=",0)</f>
        <v>0</v>
      </c>
      <c r="EV1" t="e">
        <f>AND(Sheet1!A27,"RGhoPg3/XZc=")</f>
        <v>#VALUE!</v>
      </c>
      <c r="EW1" t="e">
        <f>AND(Sheet1!B27,"RGhoPg3/XZg=")</f>
        <v>#VALUE!</v>
      </c>
      <c r="EX1" t="e">
        <f>AND(Sheet1!C27,"RGhoPg3/XZk=")</f>
        <v>#VALUE!</v>
      </c>
      <c r="EY1" t="e">
        <f>AND(Sheet1!D27,"RGhoPg3/XZo=")</f>
        <v>#VALUE!</v>
      </c>
      <c r="EZ1">
        <f>IF(Sheet1!28:28,"RGhoPg3/XZs=",0)</f>
        <v>0</v>
      </c>
      <c r="FA1" t="e">
        <f>AND(Sheet1!A28,"RGhoPg3/XZw=")</f>
        <v>#VALUE!</v>
      </c>
      <c r="FB1" t="e">
        <f>AND(Sheet1!B28,"RGhoPg3/XZ0=")</f>
        <v>#VALUE!</v>
      </c>
      <c r="FC1" t="e">
        <f>AND(Sheet1!C28,"RGhoPg3/XZ4=")</f>
        <v>#VALUE!</v>
      </c>
      <c r="FD1" t="e">
        <f>AND(Sheet1!D28,"RGhoPg3/XZ8=")</f>
        <v>#VALUE!</v>
      </c>
      <c r="FE1">
        <f>IF(Sheet1!29:29,"RGhoPg3/XaA=",0)</f>
        <v>0</v>
      </c>
      <c r="FF1" t="e">
        <f>AND(Sheet1!A29,"RGhoPg3/XaE=")</f>
        <v>#VALUE!</v>
      </c>
      <c r="FG1" t="e">
        <f>AND(Sheet1!B29,"RGhoPg3/XaI=")</f>
        <v>#VALUE!</v>
      </c>
      <c r="FH1" t="e">
        <f>AND(Sheet1!C29,"RGhoPg3/XaM=")</f>
        <v>#VALUE!</v>
      </c>
      <c r="FI1" t="e">
        <f>AND(Sheet1!D29,"RGhoPg3/XaQ=")</f>
        <v>#VALUE!</v>
      </c>
      <c r="FJ1">
        <f>IF(Sheet1!30:30,"RGhoPg3/XaU=",0)</f>
        <v>0</v>
      </c>
      <c r="FK1" t="e">
        <f>AND(Sheet1!A30,"RGhoPg3/XaY=")</f>
        <v>#VALUE!</v>
      </c>
      <c r="FL1" t="e">
        <f>AND(Sheet1!B30,"RGhoPg3/Xac=")</f>
        <v>#VALUE!</v>
      </c>
      <c r="FM1" t="e">
        <f>AND(Sheet1!C30,"RGhoPg3/Xag=")</f>
        <v>#VALUE!</v>
      </c>
      <c r="FN1" t="e">
        <f>AND(Sheet1!D30,"RGhoPg3/Xak=")</f>
        <v>#VALUE!</v>
      </c>
      <c r="FO1">
        <f>IF(Sheet1!31:31,"RGhoPg3/Xao=",0)</f>
        <v>0</v>
      </c>
      <c r="FP1" t="e">
        <f>AND(Sheet1!A31,"RGhoPg3/Xas=")</f>
        <v>#VALUE!</v>
      </c>
      <c r="FQ1" t="e">
        <f>AND(Sheet1!B31,"RGhoPg3/Xaw=")</f>
        <v>#VALUE!</v>
      </c>
      <c r="FR1" t="e">
        <f>AND(Sheet1!C31,"RGhoPg3/Xa0=")</f>
        <v>#VALUE!</v>
      </c>
      <c r="FS1" t="e">
        <f>AND(Sheet1!D31,"RGhoPg3/Xa4=")</f>
        <v>#VALUE!</v>
      </c>
      <c r="FT1">
        <f>IF(Sheet1!32:32,"RGhoPg3/Xa8=",0)</f>
        <v>0</v>
      </c>
      <c r="FU1" t="e">
        <f>AND(Sheet1!A32,"RGhoPg3/XbA=")</f>
        <v>#VALUE!</v>
      </c>
      <c r="FV1" t="e">
        <f>AND(Sheet1!B32,"RGhoPg3/XbE=")</f>
        <v>#VALUE!</v>
      </c>
      <c r="FW1" t="e">
        <f>AND(Sheet1!C32,"RGhoPg3/XbI=")</f>
        <v>#VALUE!</v>
      </c>
      <c r="FX1" t="e">
        <f>AND(Sheet1!D32,"RGhoPg3/XbM=")</f>
        <v>#VALUE!</v>
      </c>
      <c r="FY1">
        <f>IF(Sheet1!33:33,"RGhoPg3/XbQ=",0)</f>
        <v>0</v>
      </c>
      <c r="FZ1" t="e">
        <f>AND(Sheet1!A33,"RGhoPg3/XbU=")</f>
        <v>#VALUE!</v>
      </c>
      <c r="GA1" t="e">
        <f>AND(Sheet1!B33,"RGhoPg3/XbY=")</f>
        <v>#VALUE!</v>
      </c>
      <c r="GB1" t="e">
        <f>AND(Sheet1!C33,"RGhoPg3/Xbc=")</f>
        <v>#VALUE!</v>
      </c>
      <c r="GC1" t="e">
        <f>AND(Sheet1!D33,"RGhoPg3/Xbg=")</f>
        <v>#VALUE!</v>
      </c>
      <c r="GD1">
        <f>IF(Sheet1!34:34,"RGhoPg3/Xbk=",0)</f>
        <v>0</v>
      </c>
      <c r="GE1" t="e">
        <f>AND(Sheet1!A34,"RGhoPg3/Xbo=")</f>
        <v>#VALUE!</v>
      </c>
      <c r="GF1" t="e">
        <f>AND(Sheet1!B34,"RGhoPg3/Xbs=")</f>
        <v>#VALUE!</v>
      </c>
      <c r="GG1" t="e">
        <f>AND(Sheet1!C34,"RGhoPg3/Xbw=")</f>
        <v>#VALUE!</v>
      </c>
      <c r="GH1" t="e">
        <f>AND(Sheet1!D34,"RGhoPg3/Xb0=")</f>
        <v>#VALUE!</v>
      </c>
      <c r="GI1">
        <f>IF(Sheet1!35:35,"RGhoPg3/Xb4=",0)</f>
        <v>0</v>
      </c>
      <c r="GJ1" t="e">
        <f>AND(Sheet1!A35,"RGhoPg3/Xb8=")</f>
        <v>#VALUE!</v>
      </c>
      <c r="GK1" t="e">
        <f>AND(Sheet1!B35,"RGhoPg3/XcA=")</f>
        <v>#VALUE!</v>
      </c>
      <c r="GL1" t="e">
        <f>AND(Sheet1!C35,"RGhoPg3/XcE=")</f>
        <v>#VALUE!</v>
      </c>
      <c r="GM1" t="e">
        <f>AND(Sheet1!D35,"RGhoPg3/XcI=")</f>
        <v>#VALUE!</v>
      </c>
      <c r="GN1">
        <f>IF(Sheet1!37:37,"RGhoPg3/XcM=",0)</f>
        <v>0</v>
      </c>
      <c r="GO1" t="e">
        <f>AND(Sheet1!A37,"RGhoPg3/XcQ=")</f>
        <v>#VALUE!</v>
      </c>
      <c r="GP1" t="e">
        <f>AND(Sheet1!B37,"RGhoPg3/XcU=")</f>
        <v>#VALUE!</v>
      </c>
      <c r="GQ1" t="e">
        <f>AND(Sheet1!C37,"RGhoPg3/XcY=")</f>
        <v>#VALUE!</v>
      </c>
      <c r="GR1" t="e">
        <f>AND(Sheet1!D37,"RGhoPg3/Xcc=")</f>
        <v>#VALUE!</v>
      </c>
      <c r="GS1">
        <f>IF(Sheet1!38:38,"RGhoPg3/Xcg=",0)</f>
        <v>0</v>
      </c>
      <c r="GT1" t="e">
        <f>AND(Sheet1!A38,"RGhoPg3/Xck=")</f>
        <v>#VALUE!</v>
      </c>
      <c r="GU1" t="e">
        <f>AND(Sheet1!B38,"RGhoPg3/Xco=")</f>
        <v>#VALUE!</v>
      </c>
      <c r="GV1" t="e">
        <f>AND(Sheet1!C38,"RGhoPg3/Xcs=")</f>
        <v>#VALUE!</v>
      </c>
      <c r="GW1" t="e">
        <f>AND(Sheet1!D38,"RGhoPg3/Xcw=")</f>
        <v>#VALUE!</v>
      </c>
      <c r="GX1">
        <f>IF(Sheet1!39:39,"RGhoPg3/Xc0=",0)</f>
        <v>0</v>
      </c>
      <c r="GY1" t="e">
        <f>AND(Sheet1!A39,"RGhoPg3/Xc4=")</f>
        <v>#VALUE!</v>
      </c>
      <c r="GZ1" t="e">
        <f>AND(Sheet1!B39,"RGhoPg3/Xc8=")</f>
        <v>#VALUE!</v>
      </c>
      <c r="HA1" t="e">
        <f>AND(Sheet1!C39,"RGhoPg3/XdA=")</f>
        <v>#VALUE!</v>
      </c>
      <c r="HB1" t="e">
        <f>AND(Sheet1!D39,"RGhoPg3/XdE=")</f>
        <v>#VALUE!</v>
      </c>
      <c r="HC1" t="e">
        <f>IF(Sheet1!#REF!,"RGhoPg3/XdI=",0)</f>
        <v>#REF!</v>
      </c>
      <c r="HD1" t="e">
        <f>AND(Sheet1!#REF!,"RGhoPg3/XdM=")</f>
        <v>#REF!</v>
      </c>
      <c r="HE1" t="e">
        <f>AND(Sheet1!#REF!,"RGhoPg3/XdQ=")</f>
        <v>#REF!</v>
      </c>
      <c r="HF1" t="e">
        <f>AND(Sheet1!#REF!,"RGhoPg3/XdU=")</f>
        <v>#REF!</v>
      </c>
      <c r="HG1" t="e">
        <f>AND(Sheet1!#REF!,"RGhoPg3/XdY=")</f>
        <v>#REF!</v>
      </c>
      <c r="HH1">
        <f>IF(Sheet1!40:40,"RGhoPg3/Xdc=",0)</f>
        <v>0</v>
      </c>
      <c r="HI1" t="e">
        <f>AND(Sheet1!A40,"RGhoPg3/Xdg=")</f>
        <v>#VALUE!</v>
      </c>
      <c r="HJ1" t="e">
        <f>AND(Sheet1!B40,"RGhoPg3/Xdk=")</f>
        <v>#VALUE!</v>
      </c>
      <c r="HK1" t="e">
        <f>AND(Sheet1!C40,"RGhoPg3/Xdo=")</f>
        <v>#VALUE!</v>
      </c>
      <c r="HL1" t="e">
        <f>AND(Sheet1!D40,"RGhoPg3/Xds=")</f>
        <v>#VALUE!</v>
      </c>
      <c r="HM1">
        <f>IF(Sheet1!41:41,"RGhoPg3/Xdw=",0)</f>
        <v>0</v>
      </c>
      <c r="HN1" t="e">
        <f>AND(Sheet1!A41,"RGhoPg3/Xd0=")</f>
        <v>#VALUE!</v>
      </c>
      <c r="HO1" t="e">
        <f>AND(Sheet1!B41,"RGhoPg3/Xd4=")</f>
        <v>#VALUE!</v>
      </c>
      <c r="HP1" t="e">
        <f>AND(Sheet1!C41,"RGhoPg3/Xd8=")</f>
        <v>#VALUE!</v>
      </c>
      <c r="HQ1" t="e">
        <f>AND(Sheet1!D41,"RGhoPg3/XeA=")</f>
        <v>#VALUE!</v>
      </c>
      <c r="HR1">
        <f>IF(Sheet1!42:42,"RGhoPg3/XeE=",0)</f>
        <v>0</v>
      </c>
      <c r="HS1" t="e">
        <f>AND(Sheet1!A42,"RGhoPg3/XeI=")</f>
        <v>#VALUE!</v>
      </c>
      <c r="HT1" t="e">
        <f>AND(Sheet1!B42,"RGhoPg3/XeM=")</f>
        <v>#VALUE!</v>
      </c>
      <c r="HU1" t="e">
        <f>AND(Sheet1!C42,"RGhoPg3/XeQ=")</f>
        <v>#VALUE!</v>
      </c>
      <c r="HV1" t="e">
        <f>AND(Sheet1!D42,"RGhoPg3/XeU=")</f>
        <v>#VALUE!</v>
      </c>
      <c r="HW1">
        <f>IF(Sheet1!43:43,"RGhoPg3/XeY=",0)</f>
        <v>0</v>
      </c>
      <c r="HX1" t="e">
        <f>AND(Sheet1!A43,"RGhoPg3/Xec=")</f>
        <v>#VALUE!</v>
      </c>
      <c r="HY1" t="e">
        <f>AND(Sheet1!B43,"RGhoPg3/Xeg=")</f>
        <v>#VALUE!</v>
      </c>
      <c r="HZ1" t="e">
        <f>AND(Sheet1!C43,"RGhoPg3/Xek=")</f>
        <v>#VALUE!</v>
      </c>
      <c r="IA1" t="e">
        <f>AND(Sheet1!D43,"RGhoPg3/Xeo=")</f>
        <v>#VALUE!</v>
      </c>
      <c r="IB1" t="e">
        <f>IF(Sheet1!#REF!,"RGhoPg3/Xes=",0)</f>
        <v>#REF!</v>
      </c>
      <c r="IC1" t="e">
        <f>AND(Sheet1!#REF!,"RGhoPg3/Xew=")</f>
        <v>#REF!</v>
      </c>
      <c r="ID1" t="e">
        <f>AND(Sheet1!#REF!,"RGhoPg3/Xe0=")</f>
        <v>#REF!</v>
      </c>
      <c r="IE1" t="e">
        <f>AND(Sheet1!#REF!,"RGhoPg3/Xe4=")</f>
        <v>#REF!</v>
      </c>
      <c r="IF1" t="e">
        <f>AND(Sheet1!#REF!,"RGhoPg3/Xe8=")</f>
        <v>#REF!</v>
      </c>
      <c r="IG1">
        <f>IF(Sheet1!44:44,"RGhoPg3/XfA=",0)</f>
        <v>0</v>
      </c>
      <c r="IH1" t="e">
        <f>AND(Sheet1!A44,"RGhoPg3/XfE=")</f>
        <v>#VALUE!</v>
      </c>
      <c r="II1" t="e">
        <f>AND(Sheet1!B44,"RGhoPg3/XfI=")</f>
        <v>#VALUE!</v>
      </c>
      <c r="IJ1" t="e">
        <f>AND(Sheet1!C44,"RGhoPg3/XfM=")</f>
        <v>#VALUE!</v>
      </c>
      <c r="IK1" t="e">
        <f>AND(Sheet1!D44,"RGhoPg3/XfQ=")</f>
        <v>#VALUE!</v>
      </c>
      <c r="IL1" t="e">
        <f>IF(Sheet1!#REF!,"RGhoPg3/XfU=",0)</f>
        <v>#REF!</v>
      </c>
      <c r="IM1" t="e">
        <f>AND(Sheet1!#REF!,"RGhoPg3/XfY=")</f>
        <v>#REF!</v>
      </c>
      <c r="IN1" t="e">
        <f>AND(Sheet1!#REF!,"RGhoPg3/Xfc=")</f>
        <v>#REF!</v>
      </c>
      <c r="IO1" t="e">
        <f>AND(Sheet1!#REF!,"RGhoPg3/Xfg=")</f>
        <v>#REF!</v>
      </c>
      <c r="IP1" t="e">
        <f>AND(Sheet1!#REF!,"RGhoPg3/Xfk=")</f>
        <v>#REF!</v>
      </c>
      <c r="IQ1">
        <f>IF(Sheet1!45:45,"RGhoPg3/Xfo=",0)</f>
        <v>0</v>
      </c>
      <c r="IR1" t="e">
        <f>AND(Sheet1!A45,"RGhoPg3/Xfs=")</f>
        <v>#VALUE!</v>
      </c>
      <c r="IS1" t="e">
        <f>AND(Sheet1!B45,"RGhoPg3/Xfw=")</f>
        <v>#VALUE!</v>
      </c>
      <c r="IT1" t="e">
        <f>AND(Sheet1!C45,"RGhoPg3/Xf0=")</f>
        <v>#VALUE!</v>
      </c>
      <c r="IU1" t="e">
        <f>AND(Sheet1!D45,"RGhoPg3/Xf4=")</f>
        <v>#VALUE!</v>
      </c>
      <c r="IV1">
        <f>IF(Sheet1!46:46,"RGhoPg3/Xf8=",0)</f>
        <v>0</v>
      </c>
    </row>
    <row r="2" spans="1:256">
      <c r="A2" t="e">
        <f>AND(Sheet1!A46,"crMNOgtODgA=")</f>
        <v>#VALUE!</v>
      </c>
      <c r="B2" t="e">
        <f>AND(Sheet1!B46,"crMNOgtODgE=")</f>
        <v>#VALUE!</v>
      </c>
      <c r="C2" t="e">
        <f>AND(Sheet1!C46,"crMNOgtODgI=")</f>
        <v>#VALUE!</v>
      </c>
      <c r="D2" t="e">
        <f>AND(Sheet1!D46,"crMNOgtODgM=")</f>
        <v>#VALUE!</v>
      </c>
      <c r="E2">
        <f>IF(Sheet1!47:47,"crMNOgtODgQ=",0)</f>
        <v>0</v>
      </c>
      <c r="F2" t="e">
        <f>AND(Sheet1!A47,"crMNOgtODgU=")</f>
        <v>#VALUE!</v>
      </c>
      <c r="G2" t="e">
        <f>AND(Sheet1!B47,"crMNOgtODgY=")</f>
        <v>#VALUE!</v>
      </c>
      <c r="H2" t="e">
        <f>AND(Sheet1!C47,"crMNOgtODgc=")</f>
        <v>#VALUE!</v>
      </c>
      <c r="I2" t="e">
        <f>AND(Sheet1!D47,"crMNOgtODgg=")</f>
        <v>#VALUE!</v>
      </c>
      <c r="J2" t="e">
        <f>IF(Sheet1!#REF!,"crMNOgtODgk=",0)</f>
        <v>#REF!</v>
      </c>
      <c r="K2" t="e">
        <f>AND(Sheet1!#REF!,"crMNOgtODgo=")</f>
        <v>#REF!</v>
      </c>
      <c r="L2" t="e">
        <f>AND(Sheet1!#REF!,"crMNOgtODgs=")</f>
        <v>#REF!</v>
      </c>
      <c r="M2" t="e">
        <f>AND(Sheet1!#REF!,"crMNOgtODgw=")</f>
        <v>#REF!</v>
      </c>
      <c r="N2" t="e">
        <f>AND(Sheet1!#REF!,"crMNOgtODg0=")</f>
        <v>#REF!</v>
      </c>
      <c r="O2">
        <f>IF(Sheet1!48:48,"crMNOgtODg4=",0)</f>
        <v>0</v>
      </c>
      <c r="P2" t="e">
        <f>AND(Sheet1!A48,"crMNOgtODg8=")</f>
        <v>#VALUE!</v>
      </c>
      <c r="Q2" t="e">
        <f>AND(Sheet1!B48,"crMNOgtODhA=")</f>
        <v>#VALUE!</v>
      </c>
      <c r="R2" t="e">
        <f>AND(Sheet1!C48,"crMNOgtODhE=")</f>
        <v>#VALUE!</v>
      </c>
      <c r="S2" t="e">
        <f>AND(Sheet1!D48,"crMNOgtODhI=")</f>
        <v>#VALUE!</v>
      </c>
      <c r="T2">
        <f>IF(Sheet1!49:49,"crMNOgtODhM=",0)</f>
        <v>0</v>
      </c>
      <c r="U2" t="e">
        <f>AND(Sheet1!A49,"crMNOgtODhQ=")</f>
        <v>#VALUE!</v>
      </c>
      <c r="V2" t="e">
        <f>AND(Sheet1!B49,"crMNOgtODhU=")</f>
        <v>#VALUE!</v>
      </c>
      <c r="W2" t="e">
        <f>AND(Sheet1!C49,"crMNOgtODhY=")</f>
        <v>#VALUE!</v>
      </c>
      <c r="X2" t="e">
        <f>AND(Sheet1!D49,"crMNOgtODhc=")</f>
        <v>#VALUE!</v>
      </c>
      <c r="Y2" t="e">
        <f>IF(Sheet1!#REF!,"crMNOgtODhg=",0)</f>
        <v>#REF!</v>
      </c>
      <c r="Z2" t="e">
        <f>AND(Sheet1!#REF!,"crMNOgtODhk=")</f>
        <v>#REF!</v>
      </c>
      <c r="AA2" t="e">
        <f>AND(Sheet1!#REF!,"crMNOgtODho=")</f>
        <v>#REF!</v>
      </c>
      <c r="AB2" t="e">
        <f>AND(Sheet1!#REF!,"crMNOgtODhs=")</f>
        <v>#REF!</v>
      </c>
      <c r="AC2" t="e">
        <f>AND(Sheet1!#REF!,"crMNOgtODhw=")</f>
        <v>#REF!</v>
      </c>
      <c r="AD2">
        <f>IF(Sheet1!50:50,"crMNOgtODh0=",0)</f>
        <v>0</v>
      </c>
      <c r="AE2" t="e">
        <f>AND(Sheet1!A50,"crMNOgtODh4=")</f>
        <v>#VALUE!</v>
      </c>
      <c r="AF2" t="e">
        <f>AND(Sheet1!B50,"crMNOgtODh8=")</f>
        <v>#VALUE!</v>
      </c>
      <c r="AG2" t="e">
        <f>AND(Sheet1!C50,"crMNOgtODiA=")</f>
        <v>#VALUE!</v>
      </c>
      <c r="AH2" t="e">
        <f>AND(Sheet1!D50,"crMNOgtODiE=")</f>
        <v>#VALUE!</v>
      </c>
      <c r="AI2" t="e">
        <f>IF(Sheet1!#REF!,"crMNOgtODiI=",0)</f>
        <v>#REF!</v>
      </c>
      <c r="AJ2" t="e">
        <f>AND(Sheet1!#REF!,"crMNOgtODiM=")</f>
        <v>#REF!</v>
      </c>
      <c r="AK2" t="e">
        <f>AND(Sheet1!#REF!,"crMNOgtODiQ=")</f>
        <v>#REF!</v>
      </c>
      <c r="AL2" t="e">
        <f>AND(Sheet1!#REF!,"crMNOgtODiU=")</f>
        <v>#REF!</v>
      </c>
      <c r="AM2" t="e">
        <f>AND(Sheet1!#REF!,"crMNOgtODiY=")</f>
        <v>#REF!</v>
      </c>
      <c r="AN2">
        <f>IF(Sheet1!51:51,"crMNOgtODic=",0)</f>
        <v>0</v>
      </c>
      <c r="AO2" t="e">
        <f>AND(Sheet1!A51,"crMNOgtODig=")</f>
        <v>#VALUE!</v>
      </c>
      <c r="AP2" t="e">
        <f>AND(Sheet1!B51,"crMNOgtODik=")</f>
        <v>#VALUE!</v>
      </c>
      <c r="AQ2" t="e">
        <f>AND(Sheet1!C51,"crMNOgtODio=")</f>
        <v>#VALUE!</v>
      </c>
      <c r="AR2" t="e">
        <f>AND(Sheet1!D51,"crMNOgtODis=")</f>
        <v>#VALUE!</v>
      </c>
      <c r="AS2">
        <f>IF(Sheet1!52:52,"crMNOgtODiw=",0)</f>
        <v>0</v>
      </c>
      <c r="AT2" t="e">
        <f>AND(Sheet1!A52,"crMNOgtODi0=")</f>
        <v>#VALUE!</v>
      </c>
      <c r="AU2" t="e">
        <f>AND(Sheet1!B52,"crMNOgtODi4=")</f>
        <v>#VALUE!</v>
      </c>
      <c r="AV2" t="e">
        <f>AND(Sheet1!C52,"crMNOgtODi8=")</f>
        <v>#VALUE!</v>
      </c>
      <c r="AW2" t="e">
        <f>AND(Sheet1!D52,"crMNOgtODjA=")</f>
        <v>#VALUE!</v>
      </c>
      <c r="AX2" t="e">
        <f>IF(Sheet1!#REF!,"crMNOgtODjE=",0)</f>
        <v>#REF!</v>
      </c>
      <c r="AY2" t="e">
        <f>AND(Sheet1!#REF!,"crMNOgtODjI=")</f>
        <v>#REF!</v>
      </c>
      <c r="AZ2" t="e">
        <f>AND(Sheet1!#REF!,"crMNOgtODjM=")</f>
        <v>#REF!</v>
      </c>
      <c r="BA2" t="e">
        <f>AND(Sheet1!#REF!,"crMNOgtODjQ=")</f>
        <v>#REF!</v>
      </c>
      <c r="BB2" t="e">
        <f>AND(Sheet1!#REF!,"crMNOgtODjU=")</f>
        <v>#REF!</v>
      </c>
      <c r="BC2">
        <f>IF(Sheet1!53:53,"crMNOgtODjY=",0)</f>
        <v>0</v>
      </c>
      <c r="BD2" t="e">
        <f>AND(Sheet1!A53,"crMNOgtODjc=")</f>
        <v>#VALUE!</v>
      </c>
      <c r="BE2" t="e">
        <f>AND(Sheet1!B53,"crMNOgtODjg=")</f>
        <v>#VALUE!</v>
      </c>
      <c r="BF2" t="e">
        <f>AND(Sheet1!C53,"crMNOgtODjk=")</f>
        <v>#VALUE!</v>
      </c>
      <c r="BG2" t="e">
        <f>AND(Sheet1!D53,"crMNOgtODjo=")</f>
        <v>#VALUE!</v>
      </c>
      <c r="BH2">
        <f>IF(Sheet1!54:54,"crMNOgtODjs=",0)</f>
        <v>0</v>
      </c>
      <c r="BI2" t="e">
        <f>AND(Sheet1!A54,"crMNOgtODjw=")</f>
        <v>#VALUE!</v>
      </c>
      <c r="BJ2" t="e">
        <f>AND(Sheet1!B54,"crMNOgtODj0=")</f>
        <v>#VALUE!</v>
      </c>
      <c r="BK2" t="e">
        <f>AND(Sheet1!C54,"crMNOgtODj4=")</f>
        <v>#VALUE!</v>
      </c>
      <c r="BL2" t="e">
        <f>AND(Sheet1!D54,"crMNOgtODj8=")</f>
        <v>#VALUE!</v>
      </c>
      <c r="BM2">
        <f>IF(Sheet1!55:55,"crMNOgtODkA=",0)</f>
        <v>0</v>
      </c>
      <c r="BN2" t="e">
        <f>AND(Sheet1!A55,"crMNOgtODkE=")</f>
        <v>#VALUE!</v>
      </c>
      <c r="BO2" t="e">
        <f>AND(Sheet1!B55,"crMNOgtODkI=")</f>
        <v>#VALUE!</v>
      </c>
      <c r="BP2" t="e">
        <f>AND(Sheet1!C55,"crMNOgtODkM=")</f>
        <v>#VALUE!</v>
      </c>
      <c r="BQ2" t="e">
        <f>AND(Sheet1!D55,"crMNOgtODkQ=")</f>
        <v>#VALUE!</v>
      </c>
      <c r="BR2">
        <f>IF(Sheet1!56:56,"crMNOgtODkU=",0)</f>
        <v>0</v>
      </c>
      <c r="BS2" t="e">
        <f>AND(Sheet1!A56,"crMNOgtODkY=")</f>
        <v>#VALUE!</v>
      </c>
      <c r="BT2" t="e">
        <f>AND(Sheet1!B56,"crMNOgtODkc=")</f>
        <v>#VALUE!</v>
      </c>
      <c r="BU2" t="e">
        <f>AND(Sheet1!C56,"crMNOgtODkg=")</f>
        <v>#VALUE!</v>
      </c>
      <c r="BV2" t="e">
        <f>AND(Sheet1!D56,"crMNOgtODkk=")</f>
        <v>#VALUE!</v>
      </c>
      <c r="BW2">
        <f>IF(Sheet1!57:57,"crMNOgtODko=",0)</f>
        <v>0</v>
      </c>
      <c r="BX2" t="e">
        <f>AND(Sheet1!A57,"crMNOgtODks=")</f>
        <v>#VALUE!</v>
      </c>
      <c r="BY2" t="e">
        <f>AND(Sheet1!B57,"crMNOgtODkw=")</f>
        <v>#VALUE!</v>
      </c>
      <c r="BZ2" t="e">
        <f>AND(Sheet1!C57,"crMNOgtODk0=")</f>
        <v>#VALUE!</v>
      </c>
      <c r="CA2" t="e">
        <f>AND(Sheet1!D57,"crMNOgtODk4=")</f>
        <v>#VALUE!</v>
      </c>
      <c r="CB2">
        <f>IF(Sheet1!58:58,"crMNOgtODk8=",0)</f>
        <v>0</v>
      </c>
      <c r="CC2" t="e">
        <f>AND(Sheet1!A58,"crMNOgtODlA=")</f>
        <v>#VALUE!</v>
      </c>
      <c r="CD2" t="e">
        <f>AND(Sheet1!B58,"crMNOgtODlE=")</f>
        <v>#VALUE!</v>
      </c>
      <c r="CE2" t="e">
        <f>AND(Sheet1!C58,"crMNOgtODlI=")</f>
        <v>#VALUE!</v>
      </c>
      <c r="CF2" t="e">
        <f>AND(Sheet1!D58,"crMNOgtODlM=")</f>
        <v>#VALUE!</v>
      </c>
      <c r="CG2" t="e">
        <f>IF(Sheet1!#REF!,"crMNOgtODlQ=",0)</f>
        <v>#REF!</v>
      </c>
      <c r="CH2" t="e">
        <f>AND(Sheet1!#REF!,"crMNOgtODlU=")</f>
        <v>#REF!</v>
      </c>
      <c r="CI2" t="e">
        <f>AND(Sheet1!#REF!,"crMNOgtODlY=")</f>
        <v>#REF!</v>
      </c>
      <c r="CJ2" t="e">
        <f>AND(Sheet1!#REF!,"crMNOgtODlc=")</f>
        <v>#REF!</v>
      </c>
      <c r="CK2" t="e">
        <f>AND(Sheet1!#REF!,"crMNOgtODlg=")</f>
        <v>#REF!</v>
      </c>
      <c r="CL2">
        <f>IF(Sheet1!60:60,"crMNOgtODlk=",0)</f>
        <v>0</v>
      </c>
      <c r="CM2" t="e">
        <f>AND(Sheet1!A60,"crMNOgtODlo=")</f>
        <v>#VALUE!</v>
      </c>
      <c r="CN2" t="e">
        <f>AND(Sheet1!B60,"crMNOgtODls=")</f>
        <v>#VALUE!</v>
      </c>
      <c r="CO2" t="e">
        <f>AND(Sheet1!C60,"crMNOgtODlw=")</f>
        <v>#VALUE!</v>
      </c>
      <c r="CP2" t="e">
        <f>AND(Sheet1!D60,"crMNOgtODl0=")</f>
        <v>#VALUE!</v>
      </c>
      <c r="CQ2">
        <f>IF(Sheet1!61:61,"crMNOgtODl4=",0)</f>
        <v>0</v>
      </c>
      <c r="CR2" t="e">
        <f>AND(Sheet1!A61,"crMNOgtODl8=")</f>
        <v>#VALUE!</v>
      </c>
      <c r="CS2" t="e">
        <f>AND(Sheet1!B61,"crMNOgtODmA=")</f>
        <v>#VALUE!</v>
      </c>
      <c r="CT2" t="e">
        <f>AND(Sheet1!C61,"crMNOgtODmE=")</f>
        <v>#VALUE!</v>
      </c>
      <c r="CU2" t="e">
        <f>AND(Sheet1!D61,"crMNOgtODmI=")</f>
        <v>#VALUE!</v>
      </c>
      <c r="CV2">
        <f>IF(Sheet1!62:62,"crMNOgtODmM=",0)</f>
        <v>0</v>
      </c>
      <c r="CW2" t="e">
        <f>AND(Sheet1!A62,"crMNOgtODmQ=")</f>
        <v>#VALUE!</v>
      </c>
      <c r="CX2" t="e">
        <f>AND(Sheet1!B62,"crMNOgtODmU=")</f>
        <v>#VALUE!</v>
      </c>
      <c r="CY2" t="e">
        <f>AND(Sheet1!C62,"crMNOgtODmY=")</f>
        <v>#VALUE!</v>
      </c>
      <c r="CZ2" t="e">
        <f>AND(Sheet1!D62,"crMNOgtODmc=")</f>
        <v>#VALUE!</v>
      </c>
      <c r="DA2">
        <f>IF(Sheet1!63:63,"crMNOgtODmg=",0)</f>
        <v>0</v>
      </c>
      <c r="DB2" t="e">
        <f>AND(Sheet1!A63,"crMNOgtODmk=")</f>
        <v>#VALUE!</v>
      </c>
      <c r="DC2" t="e">
        <f>AND(Sheet1!B63,"crMNOgtODmo=")</f>
        <v>#VALUE!</v>
      </c>
      <c r="DD2" t="e">
        <f>AND(Sheet1!C63,"crMNOgtODms=")</f>
        <v>#VALUE!</v>
      </c>
      <c r="DE2" t="e">
        <f>AND(Sheet1!D63,"crMNOgtODmw=")</f>
        <v>#VALUE!</v>
      </c>
      <c r="DF2" t="e">
        <f>IF(Sheet1!#REF!,"crMNOgtODm0=",0)</f>
        <v>#REF!</v>
      </c>
      <c r="DG2" t="e">
        <f>AND(Sheet1!#REF!,"crMNOgtODm4=")</f>
        <v>#REF!</v>
      </c>
      <c r="DH2" t="e">
        <f>AND(Sheet1!#REF!,"crMNOgtODm8=")</f>
        <v>#REF!</v>
      </c>
      <c r="DI2" t="e">
        <f>AND(Sheet1!#REF!,"crMNOgtODnA=")</f>
        <v>#REF!</v>
      </c>
      <c r="DJ2" t="e">
        <f>AND(Sheet1!#REF!,"crMNOgtODnE=")</f>
        <v>#REF!</v>
      </c>
      <c r="DK2">
        <f>IF(Sheet1!64:64,"crMNOgtODnI=",0)</f>
        <v>0</v>
      </c>
      <c r="DL2" t="e">
        <f>AND(Sheet1!A64,"crMNOgtODnM=")</f>
        <v>#VALUE!</v>
      </c>
      <c r="DM2" t="e">
        <f>AND(Sheet1!B64,"crMNOgtODnQ=")</f>
        <v>#VALUE!</v>
      </c>
      <c r="DN2" t="e">
        <f>AND(Sheet1!C64,"crMNOgtODnU=")</f>
        <v>#VALUE!</v>
      </c>
      <c r="DO2" t="e">
        <f>AND(Sheet1!D64,"crMNOgtODnY=")</f>
        <v>#VALUE!</v>
      </c>
      <c r="DP2">
        <f>IF(Sheet1!65:65,"crMNOgtODnc=",0)</f>
        <v>0</v>
      </c>
      <c r="DQ2" t="e">
        <f>AND(Sheet1!A65,"crMNOgtODng=")</f>
        <v>#VALUE!</v>
      </c>
      <c r="DR2" t="e">
        <f>AND(Sheet1!B65,"crMNOgtODnk=")</f>
        <v>#VALUE!</v>
      </c>
      <c r="DS2" t="e">
        <f>AND(Sheet1!C65,"crMNOgtODno=")</f>
        <v>#VALUE!</v>
      </c>
      <c r="DT2" t="e">
        <f>AND(Sheet1!D65,"crMNOgtODns=")</f>
        <v>#VALUE!</v>
      </c>
      <c r="DU2" t="e">
        <f>IF(Sheet1!#REF!,"crMNOgtODnw=",0)</f>
        <v>#REF!</v>
      </c>
      <c r="DV2" t="e">
        <f>AND(Sheet1!#REF!,"crMNOgtODn0=")</f>
        <v>#REF!</v>
      </c>
      <c r="DW2" t="e">
        <f>AND(Sheet1!#REF!,"crMNOgtODn4=")</f>
        <v>#REF!</v>
      </c>
      <c r="DX2" t="e">
        <f>AND(Sheet1!#REF!,"crMNOgtODn8=")</f>
        <v>#REF!</v>
      </c>
      <c r="DY2" t="e">
        <f>AND(Sheet1!#REF!,"crMNOgtODoA=")</f>
        <v>#REF!</v>
      </c>
      <c r="DZ2" t="e">
        <f>IF(Sheet1!#REF!,"crMNOgtODoE=",0)</f>
        <v>#REF!</v>
      </c>
      <c r="EA2" t="e">
        <f>AND(Sheet1!#REF!,"crMNOgtODoI=")</f>
        <v>#REF!</v>
      </c>
      <c r="EB2" t="e">
        <f>AND(Sheet1!#REF!,"crMNOgtODoM=")</f>
        <v>#REF!</v>
      </c>
      <c r="EC2" t="e">
        <f>AND(Sheet1!#REF!,"crMNOgtODoQ=")</f>
        <v>#REF!</v>
      </c>
      <c r="ED2" t="e">
        <f>AND(Sheet1!#REF!,"crMNOgtODoU=")</f>
        <v>#REF!</v>
      </c>
      <c r="EE2" t="e">
        <f>IF(Sheet1!#REF!,"crMNOgtODoY=",0)</f>
        <v>#REF!</v>
      </c>
      <c r="EF2" t="e">
        <f>AND(Sheet1!#REF!,"crMNOgtODoc=")</f>
        <v>#REF!</v>
      </c>
      <c r="EG2" t="e">
        <f>AND(Sheet1!#REF!,"crMNOgtODog=")</f>
        <v>#REF!</v>
      </c>
      <c r="EH2" t="e">
        <f>AND(Sheet1!#REF!,"crMNOgtODok=")</f>
        <v>#REF!</v>
      </c>
      <c r="EI2" t="e">
        <f>AND(Sheet1!#REF!,"crMNOgtODoo=")</f>
        <v>#REF!</v>
      </c>
      <c r="EJ2" t="e">
        <f>IF(Sheet1!#REF!,"crMNOgtODos=",0)</f>
        <v>#REF!</v>
      </c>
      <c r="EK2" t="e">
        <f>AND(Sheet1!#REF!,"crMNOgtODow=")</f>
        <v>#REF!</v>
      </c>
      <c r="EL2" t="e">
        <f>AND(Sheet1!#REF!,"crMNOgtODo0=")</f>
        <v>#REF!</v>
      </c>
      <c r="EM2" t="e">
        <f>AND(Sheet1!#REF!,"crMNOgtODo4=")</f>
        <v>#REF!</v>
      </c>
      <c r="EN2" t="e">
        <f>AND(Sheet1!#REF!,"crMNOgtODo8=")</f>
        <v>#REF!</v>
      </c>
      <c r="EO2" t="e">
        <f>IF(Sheet1!#REF!,"crMNOgtODpA=",0)</f>
        <v>#REF!</v>
      </c>
      <c r="EP2" t="e">
        <f>AND(Sheet1!#REF!,"crMNOgtODpE=")</f>
        <v>#REF!</v>
      </c>
      <c r="EQ2" t="e">
        <f>AND(Sheet1!#REF!,"crMNOgtODpI=")</f>
        <v>#REF!</v>
      </c>
      <c r="ER2" t="e">
        <f>AND(Sheet1!#REF!,"crMNOgtODpM=")</f>
        <v>#REF!</v>
      </c>
      <c r="ES2" t="e">
        <f>AND(Sheet1!#REF!,"crMNOgtODpQ=")</f>
        <v>#REF!</v>
      </c>
      <c r="ET2">
        <f>IF(Sheet1!66:66,"crMNOgtODpU=",0)</f>
        <v>0</v>
      </c>
      <c r="EU2" t="e">
        <f>AND(Sheet1!A66,"crMNOgtODpY=")</f>
        <v>#VALUE!</v>
      </c>
      <c r="EV2" t="e">
        <f>AND(Sheet1!B66,"crMNOgtODpc=")</f>
        <v>#VALUE!</v>
      </c>
      <c r="EW2" t="e">
        <f>AND(Sheet1!C66,"crMNOgtODpg=")</f>
        <v>#VALUE!</v>
      </c>
      <c r="EX2" t="e">
        <f>AND(Sheet1!D66,"crMNOgtODpk=")</f>
        <v>#VALUE!</v>
      </c>
      <c r="EY2">
        <f>IF(Sheet1!67:67,"crMNOgtODpo=",0)</f>
        <v>0</v>
      </c>
      <c r="EZ2" t="e">
        <f>AND(Sheet1!A67,"crMNOgtODps=")</f>
        <v>#VALUE!</v>
      </c>
      <c r="FA2" t="e">
        <f>AND(Sheet1!B67,"crMNOgtODpw=")</f>
        <v>#VALUE!</v>
      </c>
      <c r="FB2" t="e">
        <f>AND(Sheet1!C67,"crMNOgtODp0=")</f>
        <v>#VALUE!</v>
      </c>
      <c r="FC2" t="e">
        <f>AND(Sheet1!D67,"crMNOgtODp4=")</f>
        <v>#VALUE!</v>
      </c>
      <c r="FD2">
        <f>IF(Sheet1!68:68,"crMNOgtODp8=",0)</f>
        <v>0</v>
      </c>
      <c r="FE2" t="e">
        <f>AND(Sheet1!A68,"crMNOgtODqA=")</f>
        <v>#VALUE!</v>
      </c>
      <c r="FF2" t="e">
        <f>AND(Sheet1!B68,"crMNOgtODqE=")</f>
        <v>#VALUE!</v>
      </c>
      <c r="FG2" t="e">
        <f>AND(Sheet1!C68,"crMNOgtODqI=")</f>
        <v>#VALUE!</v>
      </c>
      <c r="FH2" t="e">
        <f>AND(Sheet1!D68,"crMNOgtODqM=")</f>
        <v>#VALUE!</v>
      </c>
      <c r="FI2">
        <f>IF(Sheet1!69:69,"crMNOgtODqQ=",0)</f>
        <v>0</v>
      </c>
      <c r="FJ2" t="e">
        <f>AND(Sheet1!A69,"crMNOgtODqU=")</f>
        <v>#VALUE!</v>
      </c>
      <c r="FK2" t="e">
        <f>AND(Sheet1!B69,"crMNOgtODqY=")</f>
        <v>#VALUE!</v>
      </c>
      <c r="FL2" t="e">
        <f>AND(Sheet1!C69,"crMNOgtODqc=")</f>
        <v>#VALUE!</v>
      </c>
      <c r="FM2" t="e">
        <f>AND(Sheet1!D69,"crMNOgtODqg=")</f>
        <v>#VALUE!</v>
      </c>
      <c r="FN2">
        <f>IF(Sheet1!70:70,"crMNOgtODqk=",0)</f>
        <v>0</v>
      </c>
      <c r="FO2" t="e">
        <f>AND(Sheet1!A70,"crMNOgtODqo=")</f>
        <v>#VALUE!</v>
      </c>
      <c r="FP2" t="e">
        <f>AND(Sheet1!B70,"crMNOgtODqs=")</f>
        <v>#VALUE!</v>
      </c>
      <c r="FQ2" t="e">
        <f>AND(Sheet1!C70,"crMNOgtODqw=")</f>
        <v>#VALUE!</v>
      </c>
      <c r="FR2" t="e">
        <f>AND(Sheet1!D70,"crMNOgtODq0=")</f>
        <v>#VALUE!</v>
      </c>
      <c r="FS2" t="e">
        <f>IF(Sheet1!#REF!,"crMNOgtODq4=",0)</f>
        <v>#REF!</v>
      </c>
      <c r="FT2" t="e">
        <f>AND(Sheet1!#REF!,"crMNOgtODq8=")</f>
        <v>#REF!</v>
      </c>
      <c r="FU2" t="e">
        <f>AND(Sheet1!#REF!,"crMNOgtODrA=")</f>
        <v>#REF!</v>
      </c>
      <c r="FV2" t="e">
        <f>AND(Sheet1!#REF!,"crMNOgtODrE=")</f>
        <v>#REF!</v>
      </c>
      <c r="FW2" t="e">
        <f>AND(Sheet1!#REF!,"crMNOgtODrI=")</f>
        <v>#REF!</v>
      </c>
      <c r="FX2">
        <f>IF(Sheet1!71:71,"crMNOgtODrM=",0)</f>
        <v>0</v>
      </c>
      <c r="FY2" t="e">
        <f>AND(Sheet1!A71,"crMNOgtODrQ=")</f>
        <v>#VALUE!</v>
      </c>
      <c r="FZ2" t="e">
        <f>AND(Sheet1!B71,"crMNOgtODrU=")</f>
        <v>#VALUE!</v>
      </c>
      <c r="GA2" t="e">
        <f>AND(Sheet1!C71,"crMNOgtODrY=")</f>
        <v>#VALUE!</v>
      </c>
      <c r="GB2" t="e">
        <f>AND(Sheet1!D71,"crMNOgtODrc=")</f>
        <v>#VALUE!</v>
      </c>
      <c r="GC2">
        <f>IF(Sheet1!72:72,"crMNOgtODrg=",0)</f>
        <v>0</v>
      </c>
      <c r="GD2" t="e">
        <f>AND(Sheet1!A72,"crMNOgtODrk=")</f>
        <v>#VALUE!</v>
      </c>
      <c r="GE2" t="e">
        <f>AND(Sheet1!B72,"crMNOgtODro=")</f>
        <v>#VALUE!</v>
      </c>
      <c r="GF2" t="e">
        <f>AND(Sheet1!C72,"crMNOgtODrs=")</f>
        <v>#VALUE!</v>
      </c>
      <c r="GG2" t="e">
        <f>AND(Sheet1!D72,"crMNOgtODrw=")</f>
        <v>#VALUE!</v>
      </c>
      <c r="GH2">
        <f>IF(Sheet1!73:73,"crMNOgtODr0=",0)</f>
        <v>0</v>
      </c>
      <c r="GI2" t="e">
        <f>AND(Sheet1!A73,"crMNOgtODr4=")</f>
        <v>#VALUE!</v>
      </c>
      <c r="GJ2" t="e">
        <f>AND(Sheet1!B73,"crMNOgtODr8=")</f>
        <v>#VALUE!</v>
      </c>
      <c r="GK2" t="e">
        <f>AND(Sheet1!C73,"crMNOgtODsA=")</f>
        <v>#VALUE!</v>
      </c>
      <c r="GL2" t="e">
        <f>AND(Sheet1!D73,"crMNOgtODsE=")</f>
        <v>#VALUE!</v>
      </c>
      <c r="GM2">
        <f>IF(Sheet1!74:74,"crMNOgtODsI=",0)</f>
        <v>0</v>
      </c>
      <c r="GN2" t="e">
        <f>AND(Sheet1!A74,"crMNOgtODsM=")</f>
        <v>#VALUE!</v>
      </c>
      <c r="GO2" t="e">
        <f>AND(Sheet1!B74,"crMNOgtODsQ=")</f>
        <v>#VALUE!</v>
      </c>
      <c r="GP2" t="e">
        <f>AND(Sheet1!C74,"crMNOgtODsU=")</f>
        <v>#VALUE!</v>
      </c>
      <c r="GQ2" t="e">
        <f>AND(Sheet1!D74,"crMNOgtODsY=")</f>
        <v>#VALUE!</v>
      </c>
      <c r="GR2">
        <f>IF(Sheet1!75:75,"crMNOgtODsc=",0)</f>
        <v>0</v>
      </c>
      <c r="GS2" t="e">
        <f>AND(Sheet1!A75,"crMNOgtODsg=")</f>
        <v>#VALUE!</v>
      </c>
      <c r="GT2" t="e">
        <f>AND(Sheet1!B75,"crMNOgtODsk=")</f>
        <v>#VALUE!</v>
      </c>
      <c r="GU2" t="e">
        <f>AND(Sheet1!C75,"crMNOgtODso=")</f>
        <v>#VALUE!</v>
      </c>
      <c r="GV2" t="e">
        <f>AND(Sheet1!D75,"crMNOgtODss=")</f>
        <v>#VALUE!</v>
      </c>
      <c r="GW2">
        <f>IF(Sheet1!76:76,"crMNOgtODsw=",0)</f>
        <v>0</v>
      </c>
      <c r="GX2" t="e">
        <f>AND(Sheet1!A76,"crMNOgtODs0=")</f>
        <v>#VALUE!</v>
      </c>
      <c r="GY2" t="e">
        <f>AND(Sheet1!B76,"crMNOgtODs4=")</f>
        <v>#VALUE!</v>
      </c>
      <c r="GZ2" t="e">
        <f>AND(Sheet1!C76,"crMNOgtODs8=")</f>
        <v>#VALUE!</v>
      </c>
      <c r="HA2" t="e">
        <f>AND(Sheet1!D76,"crMNOgtODtA=")</f>
        <v>#VALUE!</v>
      </c>
      <c r="HB2">
        <f>IF(Sheet1!77:77,"crMNOgtODtE=",0)</f>
        <v>0</v>
      </c>
      <c r="HC2" t="e">
        <f>AND(Sheet1!A77,"crMNOgtODtI=")</f>
        <v>#VALUE!</v>
      </c>
      <c r="HD2" t="e">
        <f>AND(Sheet1!B77,"crMNOgtODtM=")</f>
        <v>#VALUE!</v>
      </c>
      <c r="HE2" t="e">
        <f>AND(Sheet1!C77,"crMNOgtODtQ=")</f>
        <v>#VALUE!</v>
      </c>
      <c r="HF2" t="e">
        <f>AND(Sheet1!D77,"crMNOgtODtU=")</f>
        <v>#VALUE!</v>
      </c>
      <c r="HG2">
        <f>IF(Sheet1!78:78,"crMNOgtODtY=",0)</f>
        <v>0</v>
      </c>
      <c r="HH2" t="e">
        <f>AND(Sheet1!A78,"crMNOgtODtc=")</f>
        <v>#VALUE!</v>
      </c>
      <c r="HI2" t="e">
        <f>AND(Sheet1!B78,"crMNOgtODtg=")</f>
        <v>#VALUE!</v>
      </c>
      <c r="HJ2" t="e">
        <f>AND(Sheet1!C78,"crMNOgtODtk=")</f>
        <v>#VALUE!</v>
      </c>
      <c r="HK2" t="e">
        <f>AND(Sheet1!D78,"crMNOgtODto=")</f>
        <v>#VALUE!</v>
      </c>
      <c r="HL2" t="e">
        <f>IF(Sheet1!#REF!,"crMNOgtODts=",0)</f>
        <v>#REF!</v>
      </c>
      <c r="HM2" t="e">
        <f>AND(Sheet1!#REF!,"crMNOgtODtw=")</f>
        <v>#REF!</v>
      </c>
      <c r="HN2" t="e">
        <f>AND(Sheet1!#REF!,"crMNOgtODt0=")</f>
        <v>#REF!</v>
      </c>
      <c r="HO2" t="e">
        <f>AND(Sheet1!#REF!,"crMNOgtODt4=")</f>
        <v>#REF!</v>
      </c>
      <c r="HP2" t="e">
        <f>AND(Sheet1!#REF!,"crMNOgtODt8=")</f>
        <v>#REF!</v>
      </c>
      <c r="HQ2">
        <f>IF(Sheet1!79:79,"crMNOgtODuA=",0)</f>
        <v>0</v>
      </c>
      <c r="HR2" t="e">
        <f>AND(Sheet1!A79,"crMNOgtODuE=")</f>
        <v>#VALUE!</v>
      </c>
      <c r="HS2" t="e">
        <f>AND(Sheet1!B79,"crMNOgtODuI=")</f>
        <v>#VALUE!</v>
      </c>
      <c r="HT2" t="e">
        <f>AND(Sheet1!C79,"crMNOgtODuM=")</f>
        <v>#VALUE!</v>
      </c>
      <c r="HU2" t="e">
        <f>AND(Sheet1!D79,"crMNOgtODuQ=")</f>
        <v>#VALUE!</v>
      </c>
      <c r="HV2" t="e">
        <f>IF(Sheet1!#REF!,"crMNOgtODuU=",0)</f>
        <v>#REF!</v>
      </c>
      <c r="HW2" t="e">
        <f>AND(Sheet1!#REF!,"crMNOgtODuY=")</f>
        <v>#REF!</v>
      </c>
      <c r="HX2" t="e">
        <f>AND(Sheet1!#REF!,"crMNOgtODuc=")</f>
        <v>#REF!</v>
      </c>
      <c r="HY2" t="e">
        <f>AND(Sheet1!#REF!,"crMNOgtODug=")</f>
        <v>#REF!</v>
      </c>
      <c r="HZ2" t="e">
        <f>AND(Sheet1!#REF!,"crMNOgtODuk=")</f>
        <v>#REF!</v>
      </c>
      <c r="IA2">
        <f>IF(Sheet1!80:80,"crMNOgtODuo=",0)</f>
        <v>0</v>
      </c>
      <c r="IB2" t="e">
        <f>AND(Sheet1!A80,"crMNOgtODus=")</f>
        <v>#VALUE!</v>
      </c>
      <c r="IC2" t="e">
        <f>AND(Sheet1!B80,"crMNOgtODuw=")</f>
        <v>#VALUE!</v>
      </c>
      <c r="ID2" t="e">
        <f>AND(Sheet1!C80,"crMNOgtODu0=")</f>
        <v>#VALUE!</v>
      </c>
      <c r="IE2" t="e">
        <f>AND(Sheet1!D80,"crMNOgtODu4=")</f>
        <v>#VALUE!</v>
      </c>
      <c r="IF2">
        <f>IF(Sheet1!81:81,"crMNOgtODu8=",0)</f>
        <v>0</v>
      </c>
      <c r="IG2" t="e">
        <f>AND(Sheet1!A81,"crMNOgtODvA=")</f>
        <v>#VALUE!</v>
      </c>
      <c r="IH2" t="e">
        <f>AND(Sheet1!B81,"crMNOgtODvE=")</f>
        <v>#VALUE!</v>
      </c>
      <c r="II2" t="e">
        <f>AND(Sheet1!C81,"crMNOgtODvI=")</f>
        <v>#VALUE!</v>
      </c>
      <c r="IJ2" t="e">
        <f>AND(Sheet1!D81,"crMNOgtODvM=")</f>
        <v>#VALUE!</v>
      </c>
      <c r="IK2">
        <f>IF(Sheet1!82:82,"crMNOgtODvQ=",0)</f>
        <v>0</v>
      </c>
      <c r="IL2" t="e">
        <f>AND(Sheet1!A82,"crMNOgtODvU=")</f>
        <v>#VALUE!</v>
      </c>
      <c r="IM2" t="e">
        <f>AND(Sheet1!B82,"crMNOgtODvY=")</f>
        <v>#VALUE!</v>
      </c>
      <c r="IN2" t="e">
        <f>AND(Sheet1!C82,"crMNOgtODvc=")</f>
        <v>#VALUE!</v>
      </c>
      <c r="IO2" t="e">
        <f>AND(Sheet1!D82,"crMNOgtODvg=")</f>
        <v>#VALUE!</v>
      </c>
      <c r="IP2">
        <f>IF(Sheet1!83:83,"crMNOgtODvk=",0)</f>
        <v>0</v>
      </c>
      <c r="IQ2" t="e">
        <f>AND(Sheet1!A83,"crMNOgtODvo=")</f>
        <v>#VALUE!</v>
      </c>
      <c r="IR2" t="e">
        <f>AND(Sheet1!B83,"crMNOgtODvs=")</f>
        <v>#VALUE!</v>
      </c>
      <c r="IS2" t="e">
        <f>AND(Sheet1!C83,"crMNOgtODvw=")</f>
        <v>#VALUE!</v>
      </c>
      <c r="IT2" t="e">
        <f>AND(Sheet1!D83,"crMNOgtODv0=")</f>
        <v>#VALUE!</v>
      </c>
      <c r="IU2">
        <f>IF(Sheet1!84:84,"crMNOgtODv4=",0)</f>
        <v>0</v>
      </c>
      <c r="IV2" t="e">
        <f>AND(Sheet1!A84,"crMNOgtODv8=")</f>
        <v>#VALUE!</v>
      </c>
    </row>
    <row r="3" spans="1:256">
      <c r="A3" t="e">
        <f>AND(Sheet1!B84,"TJ52PmPGJwA=")</f>
        <v>#VALUE!</v>
      </c>
      <c r="B3" t="e">
        <f>AND(Sheet1!C84,"TJ52PmPGJwE=")</f>
        <v>#VALUE!</v>
      </c>
      <c r="C3" t="e">
        <f>AND(Sheet1!D84,"TJ52PmPGJwI=")</f>
        <v>#VALUE!</v>
      </c>
      <c r="D3" t="e">
        <f>IF(Sheet1!85:85,"TJ52PmPGJwM=",0)</f>
        <v>#VALUE!</v>
      </c>
      <c r="E3" t="e">
        <f>AND(Sheet1!A85,"TJ52PmPGJwQ=")</f>
        <v>#VALUE!</v>
      </c>
      <c r="F3" t="e">
        <f>AND(Sheet1!B85,"TJ52PmPGJwU=")</f>
        <v>#VALUE!</v>
      </c>
      <c r="G3" t="e">
        <f>AND(Sheet1!C85,"TJ52PmPGJwY=")</f>
        <v>#VALUE!</v>
      </c>
      <c r="H3" t="e">
        <f>AND(Sheet1!D85,"TJ52PmPGJwc=")</f>
        <v>#VALUE!</v>
      </c>
      <c r="I3">
        <f>IF(Sheet1!86:86,"TJ52PmPGJwg=",0)</f>
        <v>0</v>
      </c>
      <c r="J3" t="e">
        <f>AND(Sheet1!A86,"TJ52PmPGJwk=")</f>
        <v>#VALUE!</v>
      </c>
      <c r="K3" t="e">
        <f>AND(Sheet1!B86,"TJ52PmPGJwo=")</f>
        <v>#VALUE!</v>
      </c>
      <c r="L3" t="e">
        <f>AND(Sheet1!C86,"TJ52PmPGJws=")</f>
        <v>#VALUE!</v>
      </c>
      <c r="M3" t="e">
        <f>AND(Sheet1!D86,"TJ52PmPGJww=")</f>
        <v>#VALUE!</v>
      </c>
      <c r="N3">
        <f>IF(Sheet1!87:87,"TJ52PmPGJw0=",0)</f>
        <v>0</v>
      </c>
      <c r="O3" t="e">
        <f>AND(Sheet1!A87,"TJ52PmPGJw4=")</f>
        <v>#VALUE!</v>
      </c>
      <c r="P3" t="e">
        <f>AND(Sheet1!B87,"TJ52PmPGJw8=")</f>
        <v>#VALUE!</v>
      </c>
      <c r="Q3" t="e">
        <f>AND(Sheet1!C87,"TJ52PmPGJxA=")</f>
        <v>#VALUE!</v>
      </c>
      <c r="R3" t="e">
        <f>AND(Sheet1!D87,"TJ52PmPGJxE=")</f>
        <v>#VALUE!</v>
      </c>
      <c r="S3">
        <f>IF(Sheet1!88:88,"TJ52PmPGJxI=",0)</f>
        <v>0</v>
      </c>
      <c r="T3" t="e">
        <f>AND(Sheet1!A88,"TJ52PmPGJxM=")</f>
        <v>#VALUE!</v>
      </c>
      <c r="U3" t="e">
        <f>AND(Sheet1!B88,"TJ52PmPGJxQ=")</f>
        <v>#VALUE!</v>
      </c>
      <c r="V3" t="e">
        <f>AND(Sheet1!C88,"TJ52PmPGJxU=")</f>
        <v>#VALUE!</v>
      </c>
      <c r="W3" t="e">
        <f>AND(Sheet1!D88,"TJ52PmPGJxY=")</f>
        <v>#VALUE!</v>
      </c>
      <c r="X3">
        <f>IF(Sheet1!89:89,"TJ52PmPGJxc=",0)</f>
        <v>0</v>
      </c>
      <c r="Y3" t="e">
        <f>AND(Sheet1!A89,"TJ52PmPGJxg=")</f>
        <v>#VALUE!</v>
      </c>
      <c r="Z3" t="e">
        <f>AND(Sheet1!B89,"TJ52PmPGJxk=")</f>
        <v>#VALUE!</v>
      </c>
      <c r="AA3" t="e">
        <f>AND(Sheet1!C89,"TJ52PmPGJxo=")</f>
        <v>#VALUE!</v>
      </c>
      <c r="AB3" t="e">
        <f>AND(Sheet1!D89,"TJ52PmPGJxs=")</f>
        <v>#VALUE!</v>
      </c>
      <c r="AC3">
        <f>IF(Sheet1!90:90,"TJ52PmPGJxw=",0)</f>
        <v>0</v>
      </c>
      <c r="AD3" t="e">
        <f>AND(Sheet1!A90,"TJ52PmPGJx0=")</f>
        <v>#VALUE!</v>
      </c>
      <c r="AE3" t="e">
        <f>AND(Sheet1!B90,"TJ52PmPGJx4=")</f>
        <v>#VALUE!</v>
      </c>
      <c r="AF3" t="e">
        <f>AND(Sheet1!C90,"TJ52PmPGJx8=")</f>
        <v>#VALUE!</v>
      </c>
      <c r="AG3" t="e">
        <f>AND(Sheet1!D90,"TJ52PmPGJyA=")</f>
        <v>#VALUE!</v>
      </c>
      <c r="AH3" t="e">
        <f>IF(Sheet1!#REF!,"TJ52PmPGJyE=",0)</f>
        <v>#REF!</v>
      </c>
      <c r="AI3" t="e">
        <f>AND(Sheet1!#REF!,"TJ52PmPGJyI=")</f>
        <v>#REF!</v>
      </c>
      <c r="AJ3" t="e">
        <f>AND(Sheet1!#REF!,"TJ52PmPGJyM=")</f>
        <v>#REF!</v>
      </c>
      <c r="AK3" t="e">
        <f>AND(Sheet1!#REF!,"TJ52PmPGJyQ=")</f>
        <v>#REF!</v>
      </c>
      <c r="AL3" t="e">
        <f>AND(Sheet1!#REF!,"TJ52PmPGJyU=")</f>
        <v>#REF!</v>
      </c>
      <c r="AM3">
        <f>IF(Sheet1!91:91,"TJ52PmPGJyY=",0)</f>
        <v>0</v>
      </c>
      <c r="AN3" t="e">
        <f>AND(Sheet1!A91,"TJ52PmPGJyc=")</f>
        <v>#VALUE!</v>
      </c>
      <c r="AO3" t="e">
        <f>AND(Sheet1!B91,"TJ52PmPGJyg=")</f>
        <v>#VALUE!</v>
      </c>
      <c r="AP3" t="e">
        <f>AND(Sheet1!C91,"TJ52PmPGJyk=")</f>
        <v>#VALUE!</v>
      </c>
      <c r="AQ3" t="e">
        <f>AND(Sheet1!D91,"TJ52PmPGJyo=")</f>
        <v>#VALUE!</v>
      </c>
      <c r="AR3" t="e">
        <f>IF(Sheet1!#REF!,"TJ52PmPGJys=",0)</f>
        <v>#REF!</v>
      </c>
      <c r="AS3" t="e">
        <f>AND(Sheet1!#REF!,"TJ52PmPGJyw=")</f>
        <v>#REF!</v>
      </c>
      <c r="AT3" t="e">
        <f>AND(Sheet1!#REF!,"TJ52PmPGJy0=")</f>
        <v>#REF!</v>
      </c>
      <c r="AU3" t="e">
        <f>AND(Sheet1!#REF!,"TJ52PmPGJy4=")</f>
        <v>#REF!</v>
      </c>
      <c r="AV3" t="e">
        <f>AND(Sheet1!#REF!,"TJ52PmPGJy8=")</f>
        <v>#REF!</v>
      </c>
      <c r="AW3">
        <f>IF(Sheet1!92:92,"TJ52PmPGJzA=",0)</f>
        <v>0</v>
      </c>
      <c r="AX3" t="e">
        <f>AND(Sheet1!A92,"TJ52PmPGJzE=")</f>
        <v>#VALUE!</v>
      </c>
      <c r="AY3" t="e">
        <f>AND(Sheet1!B92,"TJ52PmPGJzI=")</f>
        <v>#VALUE!</v>
      </c>
      <c r="AZ3" t="e">
        <f>AND(Sheet1!C92,"TJ52PmPGJzM=")</f>
        <v>#VALUE!</v>
      </c>
      <c r="BA3" t="e">
        <f>AND(Sheet1!D92,"TJ52PmPGJzQ=")</f>
        <v>#VALUE!</v>
      </c>
      <c r="BB3">
        <f>IF(Sheet1!93:93,"TJ52PmPGJzU=",0)</f>
        <v>0</v>
      </c>
      <c r="BC3" t="e">
        <f>AND(Sheet1!A93,"TJ52PmPGJzY=")</f>
        <v>#VALUE!</v>
      </c>
      <c r="BD3" t="e">
        <f>AND(Sheet1!B93,"TJ52PmPGJzc=")</f>
        <v>#VALUE!</v>
      </c>
      <c r="BE3" t="e">
        <f>AND(Sheet1!C93,"TJ52PmPGJzg=")</f>
        <v>#VALUE!</v>
      </c>
      <c r="BF3" t="e">
        <f>AND(Sheet1!D93,"TJ52PmPGJzk=")</f>
        <v>#VALUE!</v>
      </c>
      <c r="BG3">
        <f>IF(Sheet1!94:94,"TJ52PmPGJzo=",0)</f>
        <v>0</v>
      </c>
      <c r="BH3" t="e">
        <f>AND(Sheet1!A94,"TJ52PmPGJzs=")</f>
        <v>#VALUE!</v>
      </c>
      <c r="BI3" t="e">
        <f>AND(Sheet1!B94,"TJ52PmPGJzw=")</f>
        <v>#VALUE!</v>
      </c>
      <c r="BJ3" t="e">
        <f>AND(Sheet1!C94,"TJ52PmPGJz0=")</f>
        <v>#VALUE!</v>
      </c>
      <c r="BK3" t="e">
        <f>AND(Sheet1!D94,"TJ52PmPGJz4=")</f>
        <v>#VALUE!</v>
      </c>
      <c r="BL3">
        <f>IF(Sheet1!95:95,"TJ52PmPGJz8=",0)</f>
        <v>0</v>
      </c>
      <c r="BM3" t="e">
        <f>AND(Sheet1!A95,"TJ52PmPGJ0A=")</f>
        <v>#VALUE!</v>
      </c>
      <c r="BN3" t="e">
        <f>AND(Sheet1!B95,"TJ52PmPGJ0E=")</f>
        <v>#VALUE!</v>
      </c>
      <c r="BO3" t="e">
        <f>AND(Sheet1!C95,"TJ52PmPGJ0I=")</f>
        <v>#VALUE!</v>
      </c>
      <c r="BP3" t="e">
        <f>AND(Sheet1!D95,"TJ52PmPGJ0M=")</f>
        <v>#VALUE!</v>
      </c>
      <c r="BQ3">
        <f>IF(Sheet1!96:96,"TJ52PmPGJ0Q=",0)</f>
        <v>0</v>
      </c>
      <c r="BR3" t="e">
        <f>AND(Sheet1!A96,"TJ52PmPGJ0U=")</f>
        <v>#VALUE!</v>
      </c>
      <c r="BS3" t="e">
        <f>AND(Sheet1!B96,"TJ52PmPGJ0Y=")</f>
        <v>#VALUE!</v>
      </c>
      <c r="BT3" t="e">
        <f>AND(Sheet1!C96,"TJ52PmPGJ0c=")</f>
        <v>#VALUE!</v>
      </c>
      <c r="BU3" t="e">
        <f>AND(Sheet1!D96,"TJ52PmPGJ0g=")</f>
        <v>#VALUE!</v>
      </c>
      <c r="BV3">
        <f>IF(Sheet1!97:97,"TJ52PmPGJ0k=",0)</f>
        <v>0</v>
      </c>
      <c r="BW3" t="e">
        <f>AND(Sheet1!A97,"TJ52PmPGJ0o=")</f>
        <v>#VALUE!</v>
      </c>
      <c r="BX3" t="e">
        <f>AND(Sheet1!B97,"TJ52PmPGJ0s=")</f>
        <v>#VALUE!</v>
      </c>
      <c r="BY3" t="e">
        <f>AND(Sheet1!C97,"TJ52PmPGJ0w=")</f>
        <v>#VALUE!</v>
      </c>
      <c r="BZ3" t="e">
        <f>AND(Sheet1!D97,"TJ52PmPGJ00=")</f>
        <v>#VALUE!</v>
      </c>
      <c r="CA3">
        <f>IF(Sheet1!98:98,"TJ52PmPGJ04=",0)</f>
        <v>0</v>
      </c>
      <c r="CB3" t="e">
        <f>AND(Sheet1!A98,"TJ52PmPGJ08=")</f>
        <v>#VALUE!</v>
      </c>
      <c r="CC3" t="e">
        <f>AND(Sheet1!B98,"TJ52PmPGJ1A=")</f>
        <v>#VALUE!</v>
      </c>
      <c r="CD3" t="e">
        <f>AND(Sheet1!C98,"TJ52PmPGJ1E=")</f>
        <v>#VALUE!</v>
      </c>
      <c r="CE3" t="e">
        <f>AND(Sheet1!D98,"TJ52PmPGJ1I=")</f>
        <v>#VALUE!</v>
      </c>
      <c r="CF3">
        <f>IF(Sheet1!99:99,"TJ52PmPGJ1M=",0)</f>
        <v>0</v>
      </c>
      <c r="CG3" t="e">
        <f>AND(Sheet1!A99,"TJ52PmPGJ1Q=")</f>
        <v>#VALUE!</v>
      </c>
      <c r="CH3" t="e">
        <f>AND(Sheet1!B99,"TJ52PmPGJ1U=")</f>
        <v>#VALUE!</v>
      </c>
      <c r="CI3" t="e">
        <f>AND(Sheet1!C99,"TJ52PmPGJ1Y=")</f>
        <v>#VALUE!</v>
      </c>
      <c r="CJ3" t="e">
        <f>AND(Sheet1!D99,"TJ52PmPGJ1c=")</f>
        <v>#VALUE!</v>
      </c>
      <c r="CK3" t="e">
        <f>IF(Sheet1!#REF!,"TJ52PmPGJ1g=",0)</f>
        <v>#REF!</v>
      </c>
      <c r="CL3" t="e">
        <f>AND(Sheet1!#REF!,"TJ52PmPGJ1k=")</f>
        <v>#REF!</v>
      </c>
      <c r="CM3" t="e">
        <f>AND(Sheet1!#REF!,"TJ52PmPGJ1o=")</f>
        <v>#REF!</v>
      </c>
      <c r="CN3" t="e">
        <f>AND(Sheet1!#REF!,"TJ52PmPGJ1s=")</f>
        <v>#REF!</v>
      </c>
      <c r="CO3" t="e">
        <f>AND(Sheet1!#REF!,"TJ52PmPGJ1w=")</f>
        <v>#REF!</v>
      </c>
      <c r="CP3">
        <f>IF(Sheet1!100:100,"TJ52PmPGJ10=",0)</f>
        <v>0</v>
      </c>
      <c r="CQ3" t="e">
        <f>AND(Sheet1!A100,"TJ52PmPGJ14=")</f>
        <v>#VALUE!</v>
      </c>
      <c r="CR3" t="e">
        <f>AND(Sheet1!B100,"TJ52PmPGJ18=")</f>
        <v>#VALUE!</v>
      </c>
      <c r="CS3" t="e">
        <f>AND(Sheet1!C100,"TJ52PmPGJ2A=")</f>
        <v>#VALUE!</v>
      </c>
      <c r="CT3" t="e">
        <f>AND(Sheet1!D100,"TJ52PmPGJ2E=")</f>
        <v>#VALUE!</v>
      </c>
      <c r="CU3">
        <f>IF(Sheet1!102:102,"TJ52PmPGJ2I=",0)</f>
        <v>0</v>
      </c>
      <c r="CV3" t="e">
        <f>AND(Sheet1!A102,"TJ52PmPGJ2M=")</f>
        <v>#VALUE!</v>
      </c>
      <c r="CW3" t="e">
        <f>AND(Sheet1!B102,"TJ52PmPGJ2Q=")</f>
        <v>#VALUE!</v>
      </c>
      <c r="CX3" t="e">
        <f>AND(Sheet1!C102,"TJ52PmPGJ2U=")</f>
        <v>#VALUE!</v>
      </c>
      <c r="CY3" t="e">
        <f>AND(Sheet1!D102,"TJ52PmPGJ2Y=")</f>
        <v>#VALUE!</v>
      </c>
      <c r="CZ3">
        <f>IF(Sheet1!103:103,"TJ52PmPGJ2c=",0)</f>
        <v>0</v>
      </c>
      <c r="DA3" t="e">
        <f>AND(Sheet1!A103,"TJ52PmPGJ2g=")</f>
        <v>#VALUE!</v>
      </c>
      <c r="DB3" t="e">
        <f>AND(Sheet1!B103,"TJ52PmPGJ2k=")</f>
        <v>#VALUE!</v>
      </c>
      <c r="DC3" t="e">
        <f>AND(Sheet1!C103,"TJ52PmPGJ2o=")</f>
        <v>#VALUE!</v>
      </c>
      <c r="DD3" t="e">
        <f>AND(Sheet1!D103,"TJ52PmPGJ2s=")</f>
        <v>#VALUE!</v>
      </c>
      <c r="DE3">
        <f>IF(Sheet1!104:104,"TJ52PmPGJ2w=",0)</f>
        <v>0</v>
      </c>
      <c r="DF3" t="e">
        <f>AND(Sheet1!A104,"TJ52PmPGJ20=")</f>
        <v>#VALUE!</v>
      </c>
      <c r="DG3" t="e">
        <f>AND(Sheet1!B104,"TJ52PmPGJ24=")</f>
        <v>#VALUE!</v>
      </c>
      <c r="DH3" t="e">
        <f>AND(Sheet1!C104,"TJ52PmPGJ28=")</f>
        <v>#VALUE!</v>
      </c>
      <c r="DI3" t="e">
        <f>AND(Sheet1!D104,"TJ52PmPGJ3A=")</f>
        <v>#VALUE!</v>
      </c>
      <c r="DJ3">
        <f>IF(Sheet1!105:105,"TJ52PmPGJ3E=",0)</f>
        <v>0</v>
      </c>
      <c r="DK3" t="e">
        <f>AND(Sheet1!A105,"TJ52PmPGJ3I=")</f>
        <v>#VALUE!</v>
      </c>
      <c r="DL3" t="e">
        <f>AND(Sheet1!B105,"TJ52PmPGJ3M=")</f>
        <v>#VALUE!</v>
      </c>
      <c r="DM3" t="e">
        <f>AND(Sheet1!C105,"TJ52PmPGJ3Q=")</f>
        <v>#VALUE!</v>
      </c>
      <c r="DN3" t="e">
        <f>AND(Sheet1!D105,"TJ52PmPGJ3U=")</f>
        <v>#VALUE!</v>
      </c>
      <c r="DO3" t="e">
        <f>IF(Sheet1!#REF!,"TJ52PmPGJ3Y=",0)</f>
        <v>#REF!</v>
      </c>
      <c r="DP3" t="e">
        <f>AND(Sheet1!#REF!,"TJ52PmPGJ3c=")</f>
        <v>#REF!</v>
      </c>
      <c r="DQ3" t="e">
        <f>AND(Sheet1!#REF!,"TJ52PmPGJ3g=")</f>
        <v>#REF!</v>
      </c>
      <c r="DR3" t="e">
        <f>AND(Sheet1!#REF!,"TJ52PmPGJ3k=")</f>
        <v>#REF!</v>
      </c>
      <c r="DS3" t="e">
        <f>AND(Sheet1!#REF!,"TJ52PmPGJ3o=")</f>
        <v>#REF!</v>
      </c>
      <c r="DT3">
        <f>IF(Sheet1!106:106,"TJ52PmPGJ3s=",0)</f>
        <v>0</v>
      </c>
      <c r="DU3" t="e">
        <f>AND(Sheet1!A106,"TJ52PmPGJ3w=")</f>
        <v>#VALUE!</v>
      </c>
      <c r="DV3" t="e">
        <f>AND(Sheet1!B106,"TJ52PmPGJ30=")</f>
        <v>#VALUE!</v>
      </c>
      <c r="DW3" t="e">
        <f>AND(Sheet1!C106,"TJ52PmPGJ34=")</f>
        <v>#VALUE!</v>
      </c>
      <c r="DX3" t="e">
        <f>AND(Sheet1!D106,"TJ52PmPGJ38=")</f>
        <v>#VALUE!</v>
      </c>
      <c r="DY3" t="e">
        <f>IF(Sheet1!#REF!,"TJ52PmPGJ4A=",0)</f>
        <v>#REF!</v>
      </c>
      <c r="DZ3" t="e">
        <f>AND(Sheet1!#REF!,"TJ52PmPGJ4E=")</f>
        <v>#REF!</v>
      </c>
      <c r="EA3" t="e">
        <f>AND(Sheet1!#REF!,"TJ52PmPGJ4I=")</f>
        <v>#REF!</v>
      </c>
      <c r="EB3" t="e">
        <f>AND(Sheet1!#REF!,"TJ52PmPGJ4M=")</f>
        <v>#REF!</v>
      </c>
      <c r="EC3" t="e">
        <f>AND(Sheet1!#REF!,"TJ52PmPGJ4Q=")</f>
        <v>#REF!</v>
      </c>
      <c r="ED3">
        <f>IF(Sheet1!107:107,"TJ52PmPGJ4U=",0)</f>
        <v>0</v>
      </c>
      <c r="EE3" t="e">
        <f>AND(Sheet1!A107,"TJ52PmPGJ4Y=")</f>
        <v>#VALUE!</v>
      </c>
      <c r="EF3" t="e">
        <f>AND(Sheet1!B107,"TJ52PmPGJ4c=")</f>
        <v>#VALUE!</v>
      </c>
      <c r="EG3" t="e">
        <f>AND(Sheet1!C107,"TJ52PmPGJ4g=")</f>
        <v>#VALUE!</v>
      </c>
      <c r="EH3" t="e">
        <f>AND(Sheet1!D107,"TJ52PmPGJ4k=")</f>
        <v>#VALUE!</v>
      </c>
      <c r="EI3">
        <f>IF(Sheet1!108:108,"TJ52PmPGJ4o=",0)</f>
        <v>0</v>
      </c>
      <c r="EJ3" t="e">
        <f>AND(Sheet1!A108,"TJ52PmPGJ4s=")</f>
        <v>#VALUE!</v>
      </c>
      <c r="EK3" t="e">
        <f>AND(Sheet1!B108,"TJ52PmPGJ4w=")</f>
        <v>#VALUE!</v>
      </c>
      <c r="EL3" t="e">
        <f>AND(Sheet1!C108,"TJ52PmPGJ40=")</f>
        <v>#VALUE!</v>
      </c>
      <c r="EM3" t="e">
        <f>AND(Sheet1!D108,"TJ52PmPGJ44=")</f>
        <v>#VALUE!</v>
      </c>
      <c r="EN3" t="e">
        <f>IF(Sheet1!#REF!,"TJ52PmPGJ48=",0)</f>
        <v>#REF!</v>
      </c>
      <c r="EO3" t="e">
        <f>AND(Sheet1!#REF!,"TJ52PmPGJ5A=")</f>
        <v>#REF!</v>
      </c>
      <c r="EP3" t="e">
        <f>AND(Sheet1!#REF!,"TJ52PmPGJ5E=")</f>
        <v>#REF!</v>
      </c>
      <c r="EQ3" t="e">
        <f>AND(Sheet1!#REF!,"TJ52PmPGJ5I=")</f>
        <v>#REF!</v>
      </c>
      <c r="ER3" t="e">
        <f>AND(Sheet1!#REF!,"TJ52PmPGJ5M=")</f>
        <v>#REF!</v>
      </c>
      <c r="ES3">
        <f>IF(Sheet1!109:109,"TJ52PmPGJ5Q=",0)</f>
        <v>0</v>
      </c>
      <c r="ET3" t="e">
        <f>AND(Sheet1!A109,"TJ52PmPGJ5U=")</f>
        <v>#VALUE!</v>
      </c>
      <c r="EU3" t="e">
        <f>AND(Sheet1!B109,"TJ52PmPGJ5Y=")</f>
        <v>#VALUE!</v>
      </c>
      <c r="EV3" t="e">
        <f>AND(Sheet1!C109,"TJ52PmPGJ5c=")</f>
        <v>#VALUE!</v>
      </c>
      <c r="EW3" t="e">
        <f>AND(Sheet1!D109,"TJ52PmPGJ5g=")</f>
        <v>#VALUE!</v>
      </c>
      <c r="EX3">
        <f>IF(Sheet1!110:110,"TJ52PmPGJ5k=",0)</f>
        <v>0</v>
      </c>
      <c r="EY3" t="e">
        <f>AND(Sheet1!A110,"TJ52PmPGJ5o=")</f>
        <v>#VALUE!</v>
      </c>
      <c r="EZ3" t="e">
        <f>AND(Sheet1!B110,"TJ52PmPGJ5s=")</f>
        <v>#VALUE!</v>
      </c>
      <c r="FA3" t="e">
        <f>AND(Sheet1!C110,"TJ52PmPGJ5w=")</f>
        <v>#VALUE!</v>
      </c>
      <c r="FB3" t="e">
        <f>AND(Sheet1!D110,"TJ52PmPGJ50=")</f>
        <v>#VALUE!</v>
      </c>
      <c r="FC3">
        <f>IF(Sheet1!111:111,"TJ52PmPGJ54=",0)</f>
        <v>0</v>
      </c>
      <c r="FD3" t="e">
        <f>AND(Sheet1!A111,"TJ52PmPGJ58=")</f>
        <v>#VALUE!</v>
      </c>
      <c r="FE3" t="e">
        <f>AND(Sheet1!B111,"TJ52PmPGJ6A=")</f>
        <v>#VALUE!</v>
      </c>
      <c r="FF3" t="e">
        <f>AND(Sheet1!C111,"TJ52PmPGJ6E=")</f>
        <v>#VALUE!</v>
      </c>
      <c r="FG3" t="e">
        <f>AND(Sheet1!D111,"TJ52PmPGJ6I=")</f>
        <v>#VALUE!</v>
      </c>
      <c r="FH3">
        <f>IF(Sheet1!112:112,"TJ52PmPGJ6M=",0)</f>
        <v>0</v>
      </c>
      <c r="FI3" t="e">
        <f>AND(Sheet1!A112,"TJ52PmPGJ6Q=")</f>
        <v>#VALUE!</v>
      </c>
      <c r="FJ3" t="e">
        <f>AND(Sheet1!B112,"TJ52PmPGJ6U=")</f>
        <v>#VALUE!</v>
      </c>
      <c r="FK3" t="e">
        <f>AND(Sheet1!C112,"TJ52PmPGJ6Y=")</f>
        <v>#VALUE!</v>
      </c>
      <c r="FL3" t="e">
        <f>AND(Sheet1!D112,"TJ52PmPGJ6c=")</f>
        <v>#VALUE!</v>
      </c>
      <c r="FM3">
        <f>IF(Sheet1!113:113,"TJ52PmPGJ6g=",0)</f>
        <v>0</v>
      </c>
      <c r="FN3" t="e">
        <f>AND(Sheet1!A113,"TJ52PmPGJ6k=")</f>
        <v>#VALUE!</v>
      </c>
      <c r="FO3" t="e">
        <f>AND(Sheet1!B113,"TJ52PmPGJ6o=")</f>
        <v>#VALUE!</v>
      </c>
      <c r="FP3" t="e">
        <f>AND(Sheet1!C113,"TJ52PmPGJ6s=")</f>
        <v>#VALUE!</v>
      </c>
      <c r="FQ3" t="e">
        <f>AND(Sheet1!D113,"TJ52PmPGJ6w=")</f>
        <v>#VALUE!</v>
      </c>
      <c r="FR3">
        <f>IF(Sheet1!114:114,"TJ52PmPGJ60=",0)</f>
        <v>0</v>
      </c>
      <c r="FS3" t="e">
        <f>AND(Sheet1!A114,"TJ52PmPGJ64=")</f>
        <v>#VALUE!</v>
      </c>
      <c r="FT3" t="e">
        <f>AND(Sheet1!B114,"TJ52PmPGJ68=")</f>
        <v>#VALUE!</v>
      </c>
      <c r="FU3" t="e">
        <f>AND(Sheet1!C114,"TJ52PmPGJ7A=")</f>
        <v>#VALUE!</v>
      </c>
      <c r="FV3" t="e">
        <f>AND(Sheet1!D114,"TJ52PmPGJ7E=")</f>
        <v>#VALUE!</v>
      </c>
      <c r="FW3">
        <f>IF(Sheet1!115:115,"TJ52PmPGJ7I=",0)</f>
        <v>0</v>
      </c>
      <c r="FX3" t="e">
        <f>AND(Sheet1!A115,"TJ52PmPGJ7M=")</f>
        <v>#VALUE!</v>
      </c>
      <c r="FY3" t="e">
        <f>AND(Sheet1!B115,"TJ52PmPGJ7Q=")</f>
        <v>#VALUE!</v>
      </c>
      <c r="FZ3" t="e">
        <f>AND(Sheet1!C115,"TJ52PmPGJ7U=")</f>
        <v>#VALUE!</v>
      </c>
      <c r="GA3" t="e">
        <f>AND(Sheet1!D115,"TJ52PmPGJ7Y=")</f>
        <v>#VALUE!</v>
      </c>
      <c r="GB3">
        <f>IF(Sheet1!116:116,"TJ52PmPGJ7c=",0)</f>
        <v>0</v>
      </c>
      <c r="GC3" t="e">
        <f>AND(Sheet1!A116,"TJ52PmPGJ7g=")</f>
        <v>#VALUE!</v>
      </c>
      <c r="GD3" t="e">
        <f>AND(Sheet1!B116,"TJ52PmPGJ7k=")</f>
        <v>#VALUE!</v>
      </c>
      <c r="GE3" t="e">
        <f>AND(Sheet1!C116,"TJ52PmPGJ7o=")</f>
        <v>#VALUE!</v>
      </c>
      <c r="GF3" t="e">
        <f>AND(Sheet1!D116,"TJ52PmPGJ7s=")</f>
        <v>#VALUE!</v>
      </c>
      <c r="GG3">
        <f>IF(Sheet1!118:118,"TJ52PmPGJ7w=",0)</f>
        <v>0</v>
      </c>
      <c r="GH3" t="e">
        <f>AND(Sheet1!A118,"TJ52PmPGJ70=")</f>
        <v>#VALUE!</v>
      </c>
      <c r="GI3" t="e">
        <f>AND(Sheet1!B118,"TJ52PmPGJ74=")</f>
        <v>#VALUE!</v>
      </c>
      <c r="GJ3" t="e">
        <f>AND(Sheet1!C118,"TJ52PmPGJ78=")</f>
        <v>#VALUE!</v>
      </c>
      <c r="GK3" t="e">
        <f>AND(Sheet1!D118,"TJ52PmPGJ8A=")</f>
        <v>#VALUE!</v>
      </c>
      <c r="GL3">
        <f>IF(Sheet1!119:119,"TJ52PmPGJ8E=",0)</f>
        <v>0</v>
      </c>
      <c r="GM3" t="e">
        <f>AND(Sheet1!A119,"TJ52PmPGJ8I=")</f>
        <v>#VALUE!</v>
      </c>
      <c r="GN3" t="e">
        <f>AND(Sheet1!B119,"TJ52PmPGJ8M=")</f>
        <v>#VALUE!</v>
      </c>
      <c r="GO3" t="e">
        <f>AND(Sheet1!C119,"TJ52PmPGJ8Q=")</f>
        <v>#VALUE!</v>
      </c>
      <c r="GP3" t="e">
        <f>AND(Sheet1!D119,"TJ52PmPGJ8U=")</f>
        <v>#VALUE!</v>
      </c>
      <c r="GQ3">
        <f>IF(Sheet1!120:120,"TJ52PmPGJ8Y=",0)</f>
        <v>0</v>
      </c>
      <c r="GR3" t="e">
        <f>AND(Sheet1!A120,"TJ52PmPGJ8c=")</f>
        <v>#VALUE!</v>
      </c>
      <c r="GS3" t="e">
        <f>AND(Sheet1!B120,"TJ52PmPGJ8g=")</f>
        <v>#VALUE!</v>
      </c>
      <c r="GT3" t="e">
        <f>AND(Sheet1!C120,"TJ52PmPGJ8k=")</f>
        <v>#VALUE!</v>
      </c>
      <c r="GU3" t="e">
        <f>AND(Sheet1!D120,"TJ52PmPGJ8o=")</f>
        <v>#VALUE!</v>
      </c>
      <c r="GV3" t="e">
        <f>IF(Sheet1!#REF!,"TJ52PmPGJ8s=",0)</f>
        <v>#REF!</v>
      </c>
      <c r="GW3" t="e">
        <f>AND(Sheet1!#REF!,"TJ52PmPGJ8w=")</f>
        <v>#REF!</v>
      </c>
      <c r="GX3" t="e">
        <f>AND(Sheet1!#REF!,"TJ52PmPGJ80=")</f>
        <v>#REF!</v>
      </c>
      <c r="GY3" t="e">
        <f>AND(Sheet1!#REF!,"TJ52PmPGJ84=")</f>
        <v>#REF!</v>
      </c>
      <c r="GZ3" t="e">
        <f>AND(Sheet1!#REF!,"TJ52PmPGJ88=")</f>
        <v>#REF!</v>
      </c>
      <c r="HA3">
        <f>IF(Sheet1!121:121,"TJ52PmPGJ9A=",0)</f>
        <v>0</v>
      </c>
      <c r="HB3" t="e">
        <f>AND(Sheet1!A121,"TJ52PmPGJ9E=")</f>
        <v>#VALUE!</v>
      </c>
      <c r="HC3" t="e">
        <f>AND(Sheet1!B121,"TJ52PmPGJ9I=")</f>
        <v>#VALUE!</v>
      </c>
      <c r="HD3" t="e">
        <f>AND(Sheet1!C121,"TJ52PmPGJ9M=")</f>
        <v>#VALUE!</v>
      </c>
      <c r="HE3" t="e">
        <f>AND(Sheet1!D121,"TJ52PmPGJ9Q=")</f>
        <v>#VALUE!</v>
      </c>
      <c r="HF3">
        <f>IF(Sheet1!122:122,"TJ52PmPGJ9U=",0)</f>
        <v>0</v>
      </c>
      <c r="HG3" t="e">
        <f>AND(Sheet1!A122,"TJ52PmPGJ9Y=")</f>
        <v>#VALUE!</v>
      </c>
      <c r="HH3" t="e">
        <f>AND(Sheet1!B122,"TJ52PmPGJ9c=")</f>
        <v>#VALUE!</v>
      </c>
      <c r="HI3" t="e">
        <f>AND(Sheet1!C122,"TJ52PmPGJ9g=")</f>
        <v>#VALUE!</v>
      </c>
      <c r="HJ3" t="e">
        <f>AND(Sheet1!D122,"TJ52PmPGJ9k=")</f>
        <v>#VALUE!</v>
      </c>
      <c r="HK3">
        <f>IF(Sheet1!123:123,"TJ52PmPGJ9o=",0)</f>
        <v>0</v>
      </c>
      <c r="HL3" t="e">
        <f>AND(Sheet1!A123,"TJ52PmPGJ9s=")</f>
        <v>#VALUE!</v>
      </c>
      <c r="HM3" t="e">
        <f>AND(Sheet1!B123,"TJ52PmPGJ9w=")</f>
        <v>#VALUE!</v>
      </c>
      <c r="HN3" t="e">
        <f>AND(Sheet1!C123,"TJ52PmPGJ90=")</f>
        <v>#VALUE!</v>
      </c>
      <c r="HO3" t="e">
        <f>AND(Sheet1!D123,"TJ52PmPGJ94=")</f>
        <v>#VALUE!</v>
      </c>
      <c r="HP3" t="e">
        <f>IF(Sheet1!#REF!,"TJ52PmPGJ98=",0)</f>
        <v>#REF!</v>
      </c>
      <c r="HQ3" t="e">
        <f>AND(Sheet1!#REF!,"TJ52PmPGJ+A=")</f>
        <v>#REF!</v>
      </c>
      <c r="HR3" t="e">
        <f>AND(Sheet1!#REF!,"TJ52PmPGJ+E=")</f>
        <v>#REF!</v>
      </c>
      <c r="HS3" t="e">
        <f>AND(Sheet1!#REF!,"TJ52PmPGJ+I=")</f>
        <v>#REF!</v>
      </c>
      <c r="HT3" t="e">
        <f>AND(Sheet1!#REF!,"TJ52PmPGJ+M=")</f>
        <v>#REF!</v>
      </c>
      <c r="HU3">
        <f>IF(Sheet1!124:124,"TJ52PmPGJ+Q=",0)</f>
        <v>0</v>
      </c>
      <c r="HV3" t="e">
        <f>AND(Sheet1!A124,"TJ52PmPGJ+U=")</f>
        <v>#VALUE!</v>
      </c>
      <c r="HW3" t="e">
        <f>AND(Sheet1!B124,"TJ52PmPGJ+Y=")</f>
        <v>#VALUE!</v>
      </c>
      <c r="HX3" t="e">
        <f>AND(Sheet1!C124,"TJ52PmPGJ+c=")</f>
        <v>#VALUE!</v>
      </c>
      <c r="HY3" t="e">
        <f>AND(Sheet1!D124,"TJ52PmPGJ+g=")</f>
        <v>#VALUE!</v>
      </c>
      <c r="HZ3">
        <f>IF(Sheet1!125:125,"TJ52PmPGJ+k=",0)</f>
        <v>0</v>
      </c>
      <c r="IA3" t="e">
        <f>AND(Sheet1!A125,"TJ52PmPGJ+o=")</f>
        <v>#VALUE!</v>
      </c>
      <c r="IB3" t="e">
        <f>AND(Sheet1!B125,"TJ52PmPGJ+s=")</f>
        <v>#VALUE!</v>
      </c>
      <c r="IC3" t="e">
        <f>AND(Sheet1!C125,"TJ52PmPGJ+w=")</f>
        <v>#VALUE!</v>
      </c>
      <c r="ID3" t="e">
        <f>AND(Sheet1!D125,"TJ52PmPGJ+0=")</f>
        <v>#VALUE!</v>
      </c>
      <c r="IE3" t="e">
        <f>IF(Sheet1!#REF!,"TJ52PmPGJ+4=",0)</f>
        <v>#REF!</v>
      </c>
      <c r="IF3" t="e">
        <f>AND(Sheet1!#REF!,"TJ52PmPGJ+8=")</f>
        <v>#REF!</v>
      </c>
      <c r="IG3" t="e">
        <f>AND(Sheet1!#REF!,"TJ52PmPGJ/A=")</f>
        <v>#REF!</v>
      </c>
      <c r="IH3" t="e">
        <f>AND(Sheet1!#REF!,"TJ52PmPGJ/E=")</f>
        <v>#REF!</v>
      </c>
      <c r="II3" t="e">
        <f>AND(Sheet1!#REF!,"TJ52PmPGJ/I=")</f>
        <v>#REF!</v>
      </c>
      <c r="IJ3">
        <f>IF(Sheet1!126:126,"TJ52PmPGJ/M=",0)</f>
        <v>0</v>
      </c>
      <c r="IK3" t="e">
        <f>AND(Sheet1!A126,"TJ52PmPGJ/Q=")</f>
        <v>#VALUE!</v>
      </c>
      <c r="IL3" t="e">
        <f>AND(Sheet1!B126,"TJ52PmPGJ/U=")</f>
        <v>#VALUE!</v>
      </c>
      <c r="IM3" t="e">
        <f>AND(Sheet1!C126,"TJ52PmPGJ/Y=")</f>
        <v>#VALUE!</v>
      </c>
      <c r="IN3" t="e">
        <f>AND(Sheet1!D126,"TJ52PmPGJ/c=")</f>
        <v>#VALUE!</v>
      </c>
      <c r="IO3">
        <f>IF(Sheet1!128:128,"TJ52PmPGJ/g=",0)</f>
        <v>0</v>
      </c>
      <c r="IP3" t="e">
        <f>AND(Sheet1!A128,"TJ52PmPGJ/k=")</f>
        <v>#VALUE!</v>
      </c>
      <c r="IQ3" t="e">
        <f>AND(Sheet1!B128,"TJ52PmPGJ/o=")</f>
        <v>#VALUE!</v>
      </c>
      <c r="IR3" t="e">
        <f>AND(Sheet1!C128,"TJ52PmPGJ/s=")</f>
        <v>#VALUE!</v>
      </c>
      <c r="IS3" t="e">
        <f>AND(Sheet1!D128,"TJ52PmPGJ/w=")</f>
        <v>#VALUE!</v>
      </c>
      <c r="IT3" t="e">
        <f>IF(Sheet1!#REF!,"TJ52PmPGJ/0=",0)</f>
        <v>#REF!</v>
      </c>
      <c r="IU3" t="e">
        <f>AND(Sheet1!#REF!,"TJ52PmPGJ/4=")</f>
        <v>#REF!</v>
      </c>
      <c r="IV3" t="e">
        <f>AND(Sheet1!#REF!,"TJ52PmPGJ/8=")</f>
        <v>#REF!</v>
      </c>
    </row>
    <row r="4" spans="1:256">
      <c r="A4" t="e">
        <f>AND(Sheet1!#REF!,"fcaKe1x6ogA=")</f>
        <v>#REF!</v>
      </c>
      <c r="B4" t="e">
        <f>AND(Sheet1!#REF!,"fcaKe1x6ogE=")</f>
        <v>#REF!</v>
      </c>
      <c r="C4" t="e">
        <f>IF(Sheet1!129:129,"fcaKe1x6ogI=",0)</f>
        <v>#VALUE!</v>
      </c>
      <c r="D4" t="e">
        <f>AND(Sheet1!A129,"fcaKe1x6ogM=")</f>
        <v>#VALUE!</v>
      </c>
      <c r="E4" t="e">
        <f>AND(Sheet1!B129,"fcaKe1x6ogQ=")</f>
        <v>#VALUE!</v>
      </c>
      <c r="F4" t="e">
        <f>AND(Sheet1!C129,"fcaKe1x6ogU=")</f>
        <v>#VALUE!</v>
      </c>
      <c r="G4" t="e">
        <f>AND(Sheet1!D129,"fcaKe1x6ogY=")</f>
        <v>#VALUE!</v>
      </c>
      <c r="H4">
        <f>IF(Sheet1!130:130,"fcaKe1x6ogc=",0)</f>
        <v>0</v>
      </c>
      <c r="I4" t="e">
        <f>AND(Sheet1!A130,"fcaKe1x6ogg=")</f>
        <v>#VALUE!</v>
      </c>
      <c r="J4" t="e">
        <f>AND(Sheet1!B130,"fcaKe1x6ogk=")</f>
        <v>#VALUE!</v>
      </c>
      <c r="K4" t="e">
        <f>AND(Sheet1!C130,"fcaKe1x6ogo=")</f>
        <v>#VALUE!</v>
      </c>
      <c r="L4" t="e">
        <f>AND(Sheet1!D130,"fcaKe1x6ogs=")</f>
        <v>#VALUE!</v>
      </c>
      <c r="M4">
        <f>IF(Sheet1!131:131,"fcaKe1x6ogw=",0)</f>
        <v>0</v>
      </c>
      <c r="N4" t="e">
        <f>AND(Sheet1!A131,"fcaKe1x6og0=")</f>
        <v>#VALUE!</v>
      </c>
      <c r="O4" t="e">
        <f>AND(Sheet1!B131,"fcaKe1x6og4=")</f>
        <v>#VALUE!</v>
      </c>
      <c r="P4" t="e">
        <f>AND(Sheet1!C131,"fcaKe1x6og8=")</f>
        <v>#VALUE!</v>
      </c>
      <c r="Q4" t="e">
        <f>AND(Sheet1!D131,"fcaKe1x6ohA=")</f>
        <v>#VALUE!</v>
      </c>
      <c r="R4">
        <f>IF(Sheet1!132:132,"fcaKe1x6ohE=",0)</f>
        <v>0</v>
      </c>
      <c r="S4" t="e">
        <f>AND(Sheet1!A132,"fcaKe1x6ohI=")</f>
        <v>#VALUE!</v>
      </c>
      <c r="T4" t="e">
        <f>AND(Sheet1!B132,"fcaKe1x6ohM=")</f>
        <v>#VALUE!</v>
      </c>
      <c r="U4" t="e">
        <f>AND(Sheet1!C132,"fcaKe1x6ohQ=")</f>
        <v>#VALUE!</v>
      </c>
      <c r="V4" t="e">
        <f>AND(Sheet1!D132,"fcaKe1x6ohU=")</f>
        <v>#VALUE!</v>
      </c>
      <c r="W4">
        <f>IF(Sheet1!133:133,"fcaKe1x6ohY=",0)</f>
        <v>0</v>
      </c>
      <c r="X4" t="e">
        <f>AND(Sheet1!A133,"fcaKe1x6ohc=")</f>
        <v>#VALUE!</v>
      </c>
      <c r="Y4" t="e">
        <f>AND(Sheet1!B133,"fcaKe1x6ohg=")</f>
        <v>#VALUE!</v>
      </c>
      <c r="Z4" t="e">
        <f>AND(Sheet1!C133,"fcaKe1x6ohk=")</f>
        <v>#VALUE!</v>
      </c>
      <c r="AA4" t="e">
        <f>AND(Sheet1!D133,"fcaKe1x6oho=")</f>
        <v>#VALUE!</v>
      </c>
      <c r="AB4">
        <f>IF(Sheet1!134:134,"fcaKe1x6ohs=",0)</f>
        <v>0</v>
      </c>
      <c r="AC4" t="e">
        <f>AND(Sheet1!A134,"fcaKe1x6ohw=")</f>
        <v>#VALUE!</v>
      </c>
      <c r="AD4" t="e">
        <f>AND(Sheet1!B134,"fcaKe1x6oh0=")</f>
        <v>#VALUE!</v>
      </c>
      <c r="AE4" t="e">
        <f>AND(Sheet1!C134,"fcaKe1x6oh4=")</f>
        <v>#VALUE!</v>
      </c>
      <c r="AF4" t="e">
        <f>AND(Sheet1!D134,"fcaKe1x6oh8=")</f>
        <v>#VALUE!</v>
      </c>
      <c r="AG4">
        <f>IF(Sheet1!135:135,"fcaKe1x6oiA=",0)</f>
        <v>0</v>
      </c>
      <c r="AH4" t="e">
        <f>AND(Sheet1!A135,"fcaKe1x6oiE=")</f>
        <v>#VALUE!</v>
      </c>
      <c r="AI4" t="e">
        <f>AND(Sheet1!B135,"fcaKe1x6oiI=")</f>
        <v>#VALUE!</v>
      </c>
      <c r="AJ4" t="e">
        <f>AND(Sheet1!C135,"fcaKe1x6oiM=")</f>
        <v>#VALUE!</v>
      </c>
      <c r="AK4" t="e">
        <f>AND(Sheet1!D135,"fcaKe1x6oiQ=")</f>
        <v>#VALUE!</v>
      </c>
      <c r="AL4">
        <f>IF(Sheet1!136:136,"fcaKe1x6oiU=",0)</f>
        <v>0</v>
      </c>
      <c r="AM4" t="e">
        <f>AND(Sheet1!A136,"fcaKe1x6oiY=")</f>
        <v>#VALUE!</v>
      </c>
      <c r="AN4" t="e">
        <f>AND(Sheet1!B136,"fcaKe1x6oic=")</f>
        <v>#VALUE!</v>
      </c>
      <c r="AO4" t="e">
        <f>AND(Sheet1!C136,"fcaKe1x6oig=")</f>
        <v>#VALUE!</v>
      </c>
      <c r="AP4" t="e">
        <f>AND(Sheet1!D136,"fcaKe1x6oik=")</f>
        <v>#VALUE!</v>
      </c>
      <c r="AQ4">
        <f>IF(Sheet1!137:137,"fcaKe1x6oio=",0)</f>
        <v>0</v>
      </c>
      <c r="AR4" t="e">
        <f>AND(Sheet1!A137,"fcaKe1x6ois=")</f>
        <v>#VALUE!</v>
      </c>
      <c r="AS4" t="e">
        <f>AND(Sheet1!B137,"fcaKe1x6oiw=")</f>
        <v>#VALUE!</v>
      </c>
      <c r="AT4" t="e">
        <f>AND(Sheet1!C137,"fcaKe1x6oi0=")</f>
        <v>#VALUE!</v>
      </c>
      <c r="AU4" t="e">
        <f>AND(Sheet1!D137,"fcaKe1x6oi4=")</f>
        <v>#VALUE!</v>
      </c>
      <c r="AV4">
        <f>IF(Sheet1!138:138,"fcaKe1x6oi8=",0)</f>
        <v>0</v>
      </c>
      <c r="AW4" t="e">
        <f>AND(Sheet1!A138,"fcaKe1x6ojA=")</f>
        <v>#VALUE!</v>
      </c>
      <c r="AX4" t="e">
        <f>AND(Sheet1!B138,"fcaKe1x6ojE=")</f>
        <v>#VALUE!</v>
      </c>
      <c r="AY4" t="e">
        <f>AND(Sheet1!C138,"fcaKe1x6ojI=")</f>
        <v>#VALUE!</v>
      </c>
      <c r="AZ4" t="e">
        <f>AND(Sheet1!D138,"fcaKe1x6ojM=")</f>
        <v>#VALUE!</v>
      </c>
      <c r="BA4">
        <f>IF(Sheet1!139:139,"fcaKe1x6ojQ=",0)</f>
        <v>0</v>
      </c>
      <c r="BB4" t="e">
        <f>AND(Sheet1!A139,"fcaKe1x6ojU=")</f>
        <v>#VALUE!</v>
      </c>
      <c r="BC4" t="e">
        <f>AND(Sheet1!B139,"fcaKe1x6ojY=")</f>
        <v>#VALUE!</v>
      </c>
      <c r="BD4" t="e">
        <f>AND(Sheet1!C139,"fcaKe1x6ojc=")</f>
        <v>#VALUE!</v>
      </c>
      <c r="BE4" t="e">
        <f>AND(Sheet1!D139,"fcaKe1x6ojg=")</f>
        <v>#VALUE!</v>
      </c>
      <c r="BF4">
        <f>IF(Sheet1!140:140,"fcaKe1x6ojk=",0)</f>
        <v>0</v>
      </c>
      <c r="BG4" t="e">
        <f>AND(Sheet1!A140,"fcaKe1x6ojo=")</f>
        <v>#VALUE!</v>
      </c>
      <c r="BH4" t="e">
        <f>AND(Sheet1!B140,"fcaKe1x6ojs=")</f>
        <v>#VALUE!</v>
      </c>
      <c r="BI4" t="e">
        <f>AND(Sheet1!C140,"fcaKe1x6ojw=")</f>
        <v>#VALUE!</v>
      </c>
      <c r="BJ4" t="e">
        <f>AND(Sheet1!D140,"fcaKe1x6oj0=")</f>
        <v>#VALUE!</v>
      </c>
      <c r="BK4">
        <f>IF(Sheet1!141:141,"fcaKe1x6oj4=",0)</f>
        <v>0</v>
      </c>
      <c r="BL4" t="e">
        <f>AND(Sheet1!A141,"fcaKe1x6oj8=")</f>
        <v>#VALUE!</v>
      </c>
      <c r="BM4" t="e">
        <f>AND(Sheet1!B141,"fcaKe1x6okA=")</f>
        <v>#VALUE!</v>
      </c>
      <c r="BN4" t="e">
        <f>AND(Sheet1!C141,"fcaKe1x6okE=")</f>
        <v>#VALUE!</v>
      </c>
      <c r="BO4" t="e">
        <f>AND(Sheet1!D141,"fcaKe1x6okI=")</f>
        <v>#VALUE!</v>
      </c>
      <c r="BP4">
        <f>IF(Sheet1!142:142,"fcaKe1x6okM=",0)</f>
        <v>0</v>
      </c>
      <c r="BQ4" t="e">
        <f>AND(Sheet1!A142,"fcaKe1x6okQ=")</f>
        <v>#VALUE!</v>
      </c>
      <c r="BR4" t="e">
        <f>AND(Sheet1!B142,"fcaKe1x6okU=")</f>
        <v>#VALUE!</v>
      </c>
      <c r="BS4" t="e">
        <f>AND(Sheet1!C142,"fcaKe1x6okY=")</f>
        <v>#VALUE!</v>
      </c>
      <c r="BT4" t="e">
        <f>AND(Sheet1!D142,"fcaKe1x6okc=")</f>
        <v>#VALUE!</v>
      </c>
      <c r="BU4">
        <f>IF(Sheet1!143:143,"fcaKe1x6okg=",0)</f>
        <v>0</v>
      </c>
      <c r="BV4" t="e">
        <f>AND(Sheet1!A143,"fcaKe1x6okk=")</f>
        <v>#VALUE!</v>
      </c>
      <c r="BW4" t="e">
        <f>AND(Sheet1!B143,"fcaKe1x6oko=")</f>
        <v>#VALUE!</v>
      </c>
      <c r="BX4" t="e">
        <f>AND(Sheet1!C143,"fcaKe1x6oks=")</f>
        <v>#VALUE!</v>
      </c>
      <c r="BY4" t="e">
        <f>AND(Sheet1!D143,"fcaKe1x6okw=")</f>
        <v>#VALUE!</v>
      </c>
      <c r="BZ4">
        <f>IF(Sheet1!144:144,"fcaKe1x6ok0=",0)</f>
        <v>0</v>
      </c>
      <c r="CA4" t="e">
        <f>AND(Sheet1!A144,"fcaKe1x6ok4=")</f>
        <v>#VALUE!</v>
      </c>
      <c r="CB4" t="e">
        <f>AND(Sheet1!B144,"fcaKe1x6ok8=")</f>
        <v>#VALUE!</v>
      </c>
      <c r="CC4" t="e">
        <f>AND(Sheet1!C144,"fcaKe1x6olA=")</f>
        <v>#VALUE!</v>
      </c>
      <c r="CD4" t="e">
        <f>AND(Sheet1!D144,"fcaKe1x6olE=")</f>
        <v>#VALUE!</v>
      </c>
      <c r="CE4" t="e">
        <f>IF(Sheet1!#REF!,"fcaKe1x6olI=",0)</f>
        <v>#REF!</v>
      </c>
      <c r="CF4" t="e">
        <f>AND(Sheet1!#REF!,"fcaKe1x6olM=")</f>
        <v>#REF!</v>
      </c>
      <c r="CG4" t="e">
        <f>AND(Sheet1!#REF!,"fcaKe1x6olQ=")</f>
        <v>#REF!</v>
      </c>
      <c r="CH4" t="e">
        <f>AND(Sheet1!#REF!,"fcaKe1x6olU=")</f>
        <v>#REF!</v>
      </c>
      <c r="CI4" t="e">
        <f>AND(Sheet1!#REF!,"fcaKe1x6olY=")</f>
        <v>#REF!</v>
      </c>
      <c r="CJ4">
        <f>IF(Sheet1!145:145,"fcaKe1x6olc=",0)</f>
        <v>0</v>
      </c>
      <c r="CK4" t="e">
        <f>AND(Sheet1!A145,"fcaKe1x6olg=")</f>
        <v>#VALUE!</v>
      </c>
      <c r="CL4" t="e">
        <f>AND(Sheet1!B145,"fcaKe1x6olk=")</f>
        <v>#VALUE!</v>
      </c>
      <c r="CM4" t="e">
        <f>AND(Sheet1!C145,"fcaKe1x6olo=")</f>
        <v>#VALUE!</v>
      </c>
      <c r="CN4" t="e">
        <f>AND(Sheet1!D145,"fcaKe1x6ols=")</f>
        <v>#VALUE!</v>
      </c>
      <c r="CO4" t="e">
        <f>IF(Sheet1!#REF!,"fcaKe1x6olw=",0)</f>
        <v>#REF!</v>
      </c>
      <c r="CP4" t="e">
        <f>AND(Sheet1!#REF!,"fcaKe1x6ol0=")</f>
        <v>#REF!</v>
      </c>
      <c r="CQ4" t="e">
        <f>AND(Sheet1!#REF!,"fcaKe1x6ol4=")</f>
        <v>#REF!</v>
      </c>
      <c r="CR4" t="e">
        <f>AND(Sheet1!#REF!,"fcaKe1x6ol8=")</f>
        <v>#REF!</v>
      </c>
      <c r="CS4" t="e">
        <f>AND(Sheet1!#REF!,"fcaKe1x6omA=")</f>
        <v>#REF!</v>
      </c>
      <c r="CT4">
        <f>IF(Sheet1!146:146,"fcaKe1x6omE=",0)</f>
        <v>0</v>
      </c>
      <c r="CU4" t="e">
        <f>AND(Sheet1!A146,"fcaKe1x6omI=")</f>
        <v>#VALUE!</v>
      </c>
      <c r="CV4" t="e">
        <f>AND(Sheet1!B146,"fcaKe1x6omM=")</f>
        <v>#VALUE!</v>
      </c>
      <c r="CW4" t="e">
        <f>AND(Sheet1!C146,"fcaKe1x6omQ=")</f>
        <v>#VALUE!</v>
      </c>
      <c r="CX4" t="e">
        <f>AND(Sheet1!D146,"fcaKe1x6omU=")</f>
        <v>#VALUE!</v>
      </c>
      <c r="CY4">
        <f>IF(Sheet1!147:147,"fcaKe1x6omY=",0)</f>
        <v>0</v>
      </c>
      <c r="CZ4" t="e">
        <f>AND(Sheet1!A147,"fcaKe1x6omc=")</f>
        <v>#VALUE!</v>
      </c>
      <c r="DA4" t="e">
        <f>AND(Sheet1!B147,"fcaKe1x6omg=")</f>
        <v>#VALUE!</v>
      </c>
      <c r="DB4" t="e">
        <f>AND(Sheet1!C147,"fcaKe1x6omk=")</f>
        <v>#VALUE!</v>
      </c>
      <c r="DC4" t="e">
        <f>AND(Sheet1!D147,"fcaKe1x6omo=")</f>
        <v>#VALUE!</v>
      </c>
      <c r="DD4">
        <f>IF(Sheet1!148:148,"fcaKe1x6oms=",0)</f>
        <v>0</v>
      </c>
      <c r="DE4" t="e">
        <f>AND(Sheet1!A148,"fcaKe1x6omw=")</f>
        <v>#VALUE!</v>
      </c>
      <c r="DF4" t="e">
        <f>AND(Sheet1!B148,"fcaKe1x6om0=")</f>
        <v>#VALUE!</v>
      </c>
      <c r="DG4" t="e">
        <f>AND(Sheet1!C148,"fcaKe1x6om4=")</f>
        <v>#VALUE!</v>
      </c>
      <c r="DH4" t="e">
        <f>AND(Sheet1!D148,"fcaKe1x6om8=")</f>
        <v>#VALUE!</v>
      </c>
      <c r="DI4" t="e">
        <f>IF(Sheet1!#REF!,"fcaKe1x6onA=",0)</f>
        <v>#REF!</v>
      </c>
      <c r="DJ4" t="e">
        <f>AND(Sheet1!#REF!,"fcaKe1x6onE=")</f>
        <v>#REF!</v>
      </c>
      <c r="DK4" t="e">
        <f>AND(Sheet1!#REF!,"fcaKe1x6onI=")</f>
        <v>#REF!</v>
      </c>
      <c r="DL4" t="e">
        <f>AND(Sheet1!#REF!,"fcaKe1x6onM=")</f>
        <v>#REF!</v>
      </c>
      <c r="DM4" t="e">
        <f>AND(Sheet1!#REF!,"fcaKe1x6onQ=")</f>
        <v>#REF!</v>
      </c>
      <c r="DN4">
        <f>IF(Sheet1!149:149,"fcaKe1x6onU=",0)</f>
        <v>0</v>
      </c>
      <c r="DO4" t="e">
        <f>AND(Sheet1!A149,"fcaKe1x6onY=")</f>
        <v>#VALUE!</v>
      </c>
      <c r="DP4" t="e">
        <f>AND(Sheet1!B149,"fcaKe1x6onc=")</f>
        <v>#VALUE!</v>
      </c>
      <c r="DQ4" t="e">
        <f>AND(Sheet1!C149,"fcaKe1x6ong=")</f>
        <v>#VALUE!</v>
      </c>
      <c r="DR4" t="e">
        <f>AND(Sheet1!D149,"fcaKe1x6onk=")</f>
        <v>#VALUE!</v>
      </c>
      <c r="DS4">
        <f>IF(Sheet1!150:150,"fcaKe1x6ono=",0)</f>
        <v>0</v>
      </c>
      <c r="DT4" t="e">
        <f>AND(Sheet1!A150,"fcaKe1x6ons=")</f>
        <v>#VALUE!</v>
      </c>
      <c r="DU4" t="e">
        <f>AND(Sheet1!B150,"fcaKe1x6onw=")</f>
        <v>#VALUE!</v>
      </c>
      <c r="DV4" t="e">
        <f>AND(Sheet1!C150,"fcaKe1x6on0=")</f>
        <v>#VALUE!</v>
      </c>
      <c r="DW4" t="e">
        <f>AND(Sheet1!D150,"fcaKe1x6on4=")</f>
        <v>#VALUE!</v>
      </c>
      <c r="DX4">
        <f>IF(Sheet1!151:151,"fcaKe1x6on8=",0)</f>
        <v>0</v>
      </c>
      <c r="DY4" t="e">
        <f>AND(Sheet1!A151,"fcaKe1x6ooA=")</f>
        <v>#VALUE!</v>
      </c>
      <c r="DZ4" t="e">
        <f>AND(Sheet1!B151,"fcaKe1x6ooE=")</f>
        <v>#VALUE!</v>
      </c>
      <c r="EA4" t="e">
        <f>AND(Sheet1!C151,"fcaKe1x6ooI=")</f>
        <v>#VALUE!</v>
      </c>
      <c r="EB4" t="e">
        <f>AND(Sheet1!D151,"fcaKe1x6ooM=")</f>
        <v>#VALUE!</v>
      </c>
      <c r="EC4">
        <f>IF(Sheet1!152:152,"fcaKe1x6ooQ=",0)</f>
        <v>0</v>
      </c>
      <c r="ED4" t="e">
        <f>AND(Sheet1!A152,"fcaKe1x6ooU=")</f>
        <v>#VALUE!</v>
      </c>
      <c r="EE4" t="e">
        <f>AND(Sheet1!B152,"fcaKe1x6ooY=")</f>
        <v>#VALUE!</v>
      </c>
      <c r="EF4" t="e">
        <f>AND(Sheet1!C152,"fcaKe1x6ooc=")</f>
        <v>#VALUE!</v>
      </c>
      <c r="EG4" t="e">
        <f>AND(Sheet1!D152,"fcaKe1x6oog=")</f>
        <v>#VALUE!</v>
      </c>
      <c r="EH4" t="e">
        <f>IF(Sheet1!#REF!,"fcaKe1x6ook=",0)</f>
        <v>#REF!</v>
      </c>
      <c r="EI4" t="e">
        <f>AND(Sheet1!#REF!,"fcaKe1x6ooo=")</f>
        <v>#REF!</v>
      </c>
      <c r="EJ4" t="e">
        <f>AND(Sheet1!#REF!,"fcaKe1x6oos=")</f>
        <v>#REF!</v>
      </c>
      <c r="EK4" t="e">
        <f>AND(Sheet1!#REF!,"fcaKe1x6oow=")</f>
        <v>#REF!</v>
      </c>
      <c r="EL4" t="e">
        <f>AND(Sheet1!#REF!,"fcaKe1x6oo0=")</f>
        <v>#REF!</v>
      </c>
      <c r="EM4">
        <f>IF(Sheet1!153:153,"fcaKe1x6oo4=",0)</f>
        <v>0</v>
      </c>
      <c r="EN4" t="e">
        <f>AND(Sheet1!A153,"fcaKe1x6oo8=")</f>
        <v>#VALUE!</v>
      </c>
      <c r="EO4" t="e">
        <f>AND(Sheet1!B153,"fcaKe1x6opA=")</f>
        <v>#VALUE!</v>
      </c>
      <c r="EP4" t="e">
        <f>AND(Sheet1!C153,"fcaKe1x6opE=")</f>
        <v>#VALUE!</v>
      </c>
      <c r="EQ4" t="e">
        <f>AND(Sheet1!D153,"fcaKe1x6opI=")</f>
        <v>#VALUE!</v>
      </c>
      <c r="ER4">
        <f>IF(Sheet1!154:154,"fcaKe1x6opM=",0)</f>
        <v>0</v>
      </c>
      <c r="ES4" t="e">
        <f>AND(Sheet1!A154,"fcaKe1x6opQ=")</f>
        <v>#VALUE!</v>
      </c>
      <c r="ET4" t="e">
        <f>AND(Sheet1!B154,"fcaKe1x6opU=")</f>
        <v>#VALUE!</v>
      </c>
      <c r="EU4" t="e">
        <f>AND(Sheet1!C154,"fcaKe1x6opY=")</f>
        <v>#VALUE!</v>
      </c>
      <c r="EV4" t="e">
        <f>AND(Sheet1!D154,"fcaKe1x6opc=")</f>
        <v>#VALUE!</v>
      </c>
      <c r="EW4">
        <f>IF(Sheet1!155:155,"fcaKe1x6opg=",0)</f>
        <v>0</v>
      </c>
      <c r="EX4" t="e">
        <f>AND(Sheet1!A155,"fcaKe1x6opk=")</f>
        <v>#VALUE!</v>
      </c>
      <c r="EY4" t="e">
        <f>AND(Sheet1!B155,"fcaKe1x6opo=")</f>
        <v>#VALUE!</v>
      </c>
      <c r="EZ4" t="e">
        <f>AND(Sheet1!C155,"fcaKe1x6ops=")</f>
        <v>#VALUE!</v>
      </c>
      <c r="FA4" t="e">
        <f>AND(Sheet1!D155,"fcaKe1x6opw=")</f>
        <v>#VALUE!</v>
      </c>
      <c r="FB4" t="e">
        <f>IF(Sheet1!#REF!,"fcaKe1x6op0=",0)</f>
        <v>#REF!</v>
      </c>
      <c r="FC4" t="e">
        <f>AND(Sheet1!#REF!,"fcaKe1x6op4=")</f>
        <v>#REF!</v>
      </c>
      <c r="FD4" t="e">
        <f>AND(Sheet1!#REF!,"fcaKe1x6op8=")</f>
        <v>#REF!</v>
      </c>
      <c r="FE4" t="e">
        <f>AND(Sheet1!#REF!,"fcaKe1x6oqA=")</f>
        <v>#REF!</v>
      </c>
      <c r="FF4" t="e">
        <f>AND(Sheet1!#REF!,"fcaKe1x6oqE=")</f>
        <v>#REF!</v>
      </c>
      <c r="FG4">
        <f>IF(Sheet1!156:156,"fcaKe1x6oqI=",0)</f>
        <v>0</v>
      </c>
      <c r="FH4" t="e">
        <f>AND(Sheet1!A156,"fcaKe1x6oqM=")</f>
        <v>#VALUE!</v>
      </c>
      <c r="FI4" t="e">
        <f>AND(Sheet1!B156,"fcaKe1x6oqQ=")</f>
        <v>#VALUE!</v>
      </c>
      <c r="FJ4" t="e">
        <f>AND(Sheet1!C156,"fcaKe1x6oqU=")</f>
        <v>#VALUE!</v>
      </c>
      <c r="FK4" t="e">
        <f>AND(Sheet1!D156,"fcaKe1x6oqY=")</f>
        <v>#VALUE!</v>
      </c>
      <c r="FL4" t="e">
        <f>IF(Sheet1!#REF!,"fcaKe1x6oqc=",0)</f>
        <v>#REF!</v>
      </c>
      <c r="FM4" t="e">
        <f>AND(Sheet1!#REF!,"fcaKe1x6oqg=")</f>
        <v>#REF!</v>
      </c>
      <c r="FN4" t="e">
        <f>AND(Sheet1!#REF!,"fcaKe1x6oqk=")</f>
        <v>#REF!</v>
      </c>
      <c r="FO4" t="e">
        <f>AND(Sheet1!#REF!,"fcaKe1x6oqo=")</f>
        <v>#REF!</v>
      </c>
      <c r="FP4" t="e">
        <f>AND(Sheet1!#REF!,"fcaKe1x6oqs=")</f>
        <v>#REF!</v>
      </c>
      <c r="FQ4" t="e">
        <f>IF(Sheet1!#REF!,"fcaKe1x6oqw=",0)</f>
        <v>#REF!</v>
      </c>
      <c r="FR4" t="e">
        <f>AND(Sheet1!#REF!,"fcaKe1x6oq0=")</f>
        <v>#REF!</v>
      </c>
      <c r="FS4" t="e">
        <f>AND(Sheet1!#REF!,"fcaKe1x6oq4=")</f>
        <v>#REF!</v>
      </c>
      <c r="FT4" t="e">
        <f>AND(Sheet1!#REF!,"fcaKe1x6oq8=")</f>
        <v>#REF!</v>
      </c>
      <c r="FU4" t="e">
        <f>AND(Sheet1!#REF!,"fcaKe1x6orA=")</f>
        <v>#REF!</v>
      </c>
      <c r="FV4">
        <f>IF(Sheet1!157:157,"fcaKe1x6orE=",0)</f>
        <v>0</v>
      </c>
      <c r="FW4" t="e">
        <f>AND(Sheet1!A157,"fcaKe1x6orI=")</f>
        <v>#VALUE!</v>
      </c>
      <c r="FX4" t="e">
        <f>AND(Sheet1!B157,"fcaKe1x6orM=")</f>
        <v>#VALUE!</v>
      </c>
      <c r="FY4" t="e">
        <f>AND(Sheet1!C157,"fcaKe1x6orQ=")</f>
        <v>#VALUE!</v>
      </c>
      <c r="FZ4" t="e">
        <f>AND(Sheet1!D157,"fcaKe1x6orU=")</f>
        <v>#VALUE!</v>
      </c>
      <c r="GA4" t="e">
        <f>IF(Sheet1!#REF!,"fcaKe1x6orY=",0)</f>
        <v>#REF!</v>
      </c>
      <c r="GB4" t="e">
        <f>AND(Sheet1!#REF!,"fcaKe1x6orc=")</f>
        <v>#REF!</v>
      </c>
      <c r="GC4" t="e">
        <f>AND(Sheet1!#REF!,"fcaKe1x6org=")</f>
        <v>#REF!</v>
      </c>
      <c r="GD4" t="e">
        <f>AND(Sheet1!#REF!,"fcaKe1x6ork=")</f>
        <v>#REF!</v>
      </c>
      <c r="GE4" t="e">
        <f>AND(Sheet1!#REF!,"fcaKe1x6oro=")</f>
        <v>#REF!</v>
      </c>
      <c r="GF4">
        <f>IF(Sheet1!158:158,"fcaKe1x6ors=",0)</f>
        <v>0</v>
      </c>
      <c r="GG4" t="e">
        <f>AND(Sheet1!A158,"fcaKe1x6orw=")</f>
        <v>#VALUE!</v>
      </c>
      <c r="GH4" t="e">
        <f>AND(Sheet1!B158,"fcaKe1x6or0=")</f>
        <v>#VALUE!</v>
      </c>
      <c r="GI4" t="e">
        <f>AND(Sheet1!C158,"fcaKe1x6or4=")</f>
        <v>#VALUE!</v>
      </c>
      <c r="GJ4" t="e">
        <f>AND(Sheet1!D158,"fcaKe1x6or8=")</f>
        <v>#VALUE!</v>
      </c>
      <c r="GK4" t="e">
        <f>IF(Sheet1!#REF!,"fcaKe1x6osA=",0)</f>
        <v>#REF!</v>
      </c>
      <c r="GL4" t="e">
        <f>AND(Sheet1!#REF!,"fcaKe1x6osE=")</f>
        <v>#REF!</v>
      </c>
      <c r="GM4" t="e">
        <f>AND(Sheet1!#REF!,"fcaKe1x6osI=")</f>
        <v>#REF!</v>
      </c>
      <c r="GN4" t="e">
        <f>AND(Sheet1!#REF!,"fcaKe1x6osM=")</f>
        <v>#REF!</v>
      </c>
      <c r="GO4" t="e">
        <f>AND(Sheet1!#REF!,"fcaKe1x6osQ=")</f>
        <v>#REF!</v>
      </c>
      <c r="GP4">
        <f>IF(Sheet1!159:159,"fcaKe1x6osU=",0)</f>
        <v>0</v>
      </c>
      <c r="GQ4" t="e">
        <f>AND(Sheet1!A159,"fcaKe1x6osY=")</f>
        <v>#VALUE!</v>
      </c>
      <c r="GR4" t="e">
        <f>AND(Sheet1!B159,"fcaKe1x6osc=")</f>
        <v>#VALUE!</v>
      </c>
      <c r="GS4" t="e">
        <f>AND(Sheet1!C159,"fcaKe1x6osg=")</f>
        <v>#VALUE!</v>
      </c>
      <c r="GT4" t="e">
        <f>AND(Sheet1!D159,"fcaKe1x6osk=")</f>
        <v>#VALUE!</v>
      </c>
      <c r="GU4" t="e">
        <f>IF(Sheet1!#REF!,"fcaKe1x6oso=",0)</f>
        <v>#REF!</v>
      </c>
      <c r="GV4" t="e">
        <f>AND(Sheet1!#REF!,"fcaKe1x6oss=")</f>
        <v>#REF!</v>
      </c>
      <c r="GW4" t="e">
        <f>AND(Sheet1!#REF!,"fcaKe1x6osw=")</f>
        <v>#REF!</v>
      </c>
      <c r="GX4" t="e">
        <f>AND(Sheet1!#REF!,"fcaKe1x6os0=")</f>
        <v>#REF!</v>
      </c>
      <c r="GY4" t="e">
        <f>AND(Sheet1!#REF!,"fcaKe1x6os4=")</f>
        <v>#REF!</v>
      </c>
      <c r="GZ4">
        <f>IF(Sheet1!160:160,"fcaKe1x6os8=",0)</f>
        <v>0</v>
      </c>
      <c r="HA4" t="e">
        <f>AND(Sheet1!A160,"fcaKe1x6otA=")</f>
        <v>#VALUE!</v>
      </c>
      <c r="HB4" t="e">
        <f>AND(Sheet1!B160,"fcaKe1x6otE=")</f>
        <v>#VALUE!</v>
      </c>
      <c r="HC4" t="e">
        <f>AND(Sheet1!C160,"fcaKe1x6otI=")</f>
        <v>#VALUE!</v>
      </c>
      <c r="HD4" t="e">
        <f>AND(Sheet1!D160,"fcaKe1x6otM=")</f>
        <v>#VALUE!</v>
      </c>
      <c r="HE4" t="e">
        <f>IF(Sheet1!#REF!,"fcaKe1x6otQ=",0)</f>
        <v>#REF!</v>
      </c>
      <c r="HF4" t="e">
        <f>AND(Sheet1!#REF!,"fcaKe1x6otU=")</f>
        <v>#REF!</v>
      </c>
      <c r="HG4" t="e">
        <f>AND(Sheet1!#REF!,"fcaKe1x6otY=")</f>
        <v>#REF!</v>
      </c>
      <c r="HH4" t="e">
        <f>AND(Sheet1!#REF!,"fcaKe1x6otc=")</f>
        <v>#REF!</v>
      </c>
      <c r="HI4" t="e">
        <f>AND(Sheet1!#REF!,"fcaKe1x6otg=")</f>
        <v>#REF!</v>
      </c>
      <c r="HJ4" t="e">
        <f>IF(Sheet1!#REF!,"fcaKe1x6otk=",0)</f>
        <v>#REF!</v>
      </c>
      <c r="HK4" t="e">
        <f>AND(Sheet1!#REF!,"fcaKe1x6oto=")</f>
        <v>#REF!</v>
      </c>
      <c r="HL4" t="e">
        <f>AND(Sheet1!#REF!,"fcaKe1x6ots=")</f>
        <v>#REF!</v>
      </c>
      <c r="HM4" t="e">
        <f>AND(Sheet1!#REF!,"fcaKe1x6otw=")</f>
        <v>#REF!</v>
      </c>
      <c r="HN4" t="e">
        <f>AND(Sheet1!#REF!,"fcaKe1x6ot0=")</f>
        <v>#REF!</v>
      </c>
      <c r="HO4" t="e">
        <f>IF(Sheet1!#REF!,"fcaKe1x6ot4=",0)</f>
        <v>#REF!</v>
      </c>
      <c r="HP4" t="e">
        <f>AND(Sheet1!#REF!,"fcaKe1x6ot8=")</f>
        <v>#REF!</v>
      </c>
      <c r="HQ4" t="e">
        <f>AND(Sheet1!#REF!,"fcaKe1x6ouA=")</f>
        <v>#REF!</v>
      </c>
      <c r="HR4" t="e">
        <f>AND(Sheet1!#REF!,"fcaKe1x6ouE=")</f>
        <v>#REF!</v>
      </c>
      <c r="HS4" t="e">
        <f>AND(Sheet1!#REF!,"fcaKe1x6ouI=")</f>
        <v>#REF!</v>
      </c>
      <c r="HT4" t="e">
        <f>IF(Sheet1!#REF!,"fcaKe1x6ouM=",0)</f>
        <v>#REF!</v>
      </c>
      <c r="HU4" t="e">
        <f>AND(Sheet1!#REF!,"fcaKe1x6ouQ=")</f>
        <v>#REF!</v>
      </c>
      <c r="HV4" t="e">
        <f>AND(Sheet1!#REF!,"fcaKe1x6ouU=")</f>
        <v>#REF!</v>
      </c>
      <c r="HW4" t="e">
        <f>AND(Sheet1!#REF!,"fcaKe1x6ouY=")</f>
        <v>#REF!</v>
      </c>
      <c r="HX4" t="e">
        <f>AND(Sheet1!#REF!,"fcaKe1x6ouc=")</f>
        <v>#REF!</v>
      </c>
      <c r="HY4" t="e">
        <f>IF(Sheet1!#REF!,"fcaKe1x6oug=",0)</f>
        <v>#REF!</v>
      </c>
      <c r="HZ4" t="e">
        <f>AND(Sheet1!#REF!,"fcaKe1x6ouk=")</f>
        <v>#REF!</v>
      </c>
      <c r="IA4" t="e">
        <f>AND(Sheet1!#REF!,"fcaKe1x6ouo=")</f>
        <v>#REF!</v>
      </c>
      <c r="IB4" t="e">
        <f>AND(Sheet1!#REF!,"fcaKe1x6ous=")</f>
        <v>#REF!</v>
      </c>
      <c r="IC4" t="e">
        <f>AND(Sheet1!#REF!,"fcaKe1x6ouw=")</f>
        <v>#REF!</v>
      </c>
      <c r="ID4" t="e">
        <f>IF(Sheet1!#REF!,"fcaKe1x6ou0=",0)</f>
        <v>#REF!</v>
      </c>
      <c r="IE4" t="e">
        <f>AND(Sheet1!#REF!,"fcaKe1x6ou4=")</f>
        <v>#REF!</v>
      </c>
      <c r="IF4" t="e">
        <f>AND(Sheet1!#REF!,"fcaKe1x6ou8=")</f>
        <v>#REF!</v>
      </c>
      <c r="IG4" t="e">
        <f>AND(Sheet1!#REF!,"fcaKe1x6ovA=")</f>
        <v>#REF!</v>
      </c>
      <c r="IH4" t="e">
        <f>AND(Sheet1!#REF!,"fcaKe1x6ovE=")</f>
        <v>#REF!</v>
      </c>
      <c r="II4" t="e">
        <f>IF(Sheet1!#REF!,"fcaKe1x6ovI=",0)</f>
        <v>#REF!</v>
      </c>
      <c r="IJ4" t="e">
        <f>AND(Sheet1!#REF!,"fcaKe1x6ovM=")</f>
        <v>#REF!</v>
      </c>
      <c r="IK4" t="e">
        <f>AND(Sheet1!#REF!,"fcaKe1x6ovQ=")</f>
        <v>#REF!</v>
      </c>
      <c r="IL4" t="e">
        <f>AND(Sheet1!#REF!,"fcaKe1x6ovU=")</f>
        <v>#REF!</v>
      </c>
      <c r="IM4" t="e">
        <f>AND(Sheet1!#REF!,"fcaKe1x6ovY=")</f>
        <v>#REF!</v>
      </c>
      <c r="IN4" t="e">
        <f>IF(Sheet1!#REF!,"fcaKe1x6ovc=",0)</f>
        <v>#REF!</v>
      </c>
      <c r="IO4" t="e">
        <f>AND(Sheet1!#REF!,"fcaKe1x6ovg=")</f>
        <v>#REF!</v>
      </c>
      <c r="IP4" t="e">
        <f>AND(Sheet1!#REF!,"fcaKe1x6ovk=")</f>
        <v>#REF!</v>
      </c>
      <c r="IQ4" t="e">
        <f>AND(Sheet1!#REF!,"fcaKe1x6ovo=")</f>
        <v>#REF!</v>
      </c>
      <c r="IR4" t="e">
        <f>AND(Sheet1!#REF!,"fcaKe1x6ovs=")</f>
        <v>#REF!</v>
      </c>
      <c r="IS4">
        <f>IF(Sheet1!161:161,"fcaKe1x6ovw=",0)</f>
        <v>0</v>
      </c>
      <c r="IT4" t="e">
        <f>AND(Sheet1!A161,"fcaKe1x6ov0=")</f>
        <v>#VALUE!</v>
      </c>
      <c r="IU4" t="e">
        <f>AND(Sheet1!B161,"fcaKe1x6ov4=")</f>
        <v>#VALUE!</v>
      </c>
      <c r="IV4" t="e">
        <f>AND(Sheet1!C161,"fcaKe1x6ov8=")</f>
        <v>#VALUE!</v>
      </c>
    </row>
    <row r="5" spans="1:256" ht="18.75">
      <c r="A5" t="e">
        <f>AND(Sheet1!D161,"eycrYk20JAA=")</f>
        <v>#VALUE!</v>
      </c>
      <c r="B5" t="e">
        <f>IF(Sheet1!#REF!,"eycrYk20JAE=",0)</f>
        <v>#REF!</v>
      </c>
      <c r="C5" t="e">
        <f>AND(Sheet1!#REF!,"eycrYk20JAI=")</f>
        <v>#REF!</v>
      </c>
      <c r="D5" t="e">
        <f>AND(Sheet1!#REF!,"eycrYk20JAM=")</f>
        <v>#REF!</v>
      </c>
      <c r="E5" t="e">
        <f>AND(Sheet1!#REF!,"eycrYk20JAQ=")</f>
        <v>#REF!</v>
      </c>
      <c r="F5" t="e">
        <f>AND(Sheet1!#REF!,"eycrYk20JAU=")</f>
        <v>#REF!</v>
      </c>
      <c r="G5">
        <f>IF(Sheet1!162:162,"eycrYk20JAY=",0)</f>
        <v>0</v>
      </c>
      <c r="H5" t="e">
        <f>AND(Sheet1!A162,"eycrYk20JAc=")</f>
        <v>#VALUE!</v>
      </c>
      <c r="I5" t="e">
        <f>AND(Sheet1!B162,"eycrYk20JAg=")</f>
        <v>#VALUE!</v>
      </c>
      <c r="J5" t="e">
        <f>AND(Sheet1!C162,"eycrYk20JAk=")</f>
        <v>#VALUE!</v>
      </c>
      <c r="K5" t="e">
        <f>AND(Sheet1!D162,"eycrYk20JAo=")</f>
        <v>#VALUE!</v>
      </c>
      <c r="L5" t="e">
        <f>IF(Sheet1!#REF!,"eycrYk20JAs=",0)</f>
        <v>#REF!</v>
      </c>
      <c r="M5" t="e">
        <f>AND(Sheet1!#REF!,"eycrYk20JAw=")</f>
        <v>#REF!</v>
      </c>
      <c r="N5" t="e">
        <f>AND(Sheet1!#REF!,"eycrYk20JA0=")</f>
        <v>#REF!</v>
      </c>
      <c r="O5" t="e">
        <f>AND(Sheet1!#REF!,"eycrYk20JA4=")</f>
        <v>#REF!</v>
      </c>
      <c r="P5" t="e">
        <f>AND(Sheet1!#REF!,"eycrYk20JA8=")</f>
        <v>#REF!</v>
      </c>
      <c r="Q5" t="e">
        <f>IF(Sheet1!#REF!,"eycrYk20JBA=",0)</f>
        <v>#REF!</v>
      </c>
      <c r="R5" t="e">
        <f>AND(Sheet1!#REF!,"eycrYk20JBE=")</f>
        <v>#REF!</v>
      </c>
      <c r="S5" t="e">
        <f>AND(Sheet1!#REF!,"eycrYk20JBI=")</f>
        <v>#REF!</v>
      </c>
      <c r="T5" t="e">
        <f>AND(Sheet1!#REF!,"eycrYk20JBM=")</f>
        <v>#REF!</v>
      </c>
      <c r="U5" t="e">
        <f>AND(Sheet1!#REF!,"eycrYk20JBQ=")</f>
        <v>#REF!</v>
      </c>
      <c r="V5">
        <f>IF(Sheet1!163:163,"eycrYk20JBU=",0)</f>
        <v>0</v>
      </c>
      <c r="W5" t="e">
        <f>AND(Sheet1!A163,"eycrYk20JBY=")</f>
        <v>#VALUE!</v>
      </c>
      <c r="X5" t="e">
        <f>AND(Sheet1!B163,"eycrYk20JBc=")</f>
        <v>#VALUE!</v>
      </c>
      <c r="Y5" t="e">
        <f>AND(Sheet1!C163,"eycrYk20JBg=")</f>
        <v>#VALUE!</v>
      </c>
      <c r="Z5" t="e">
        <f>AND(Sheet1!D163,"eycrYk20JBk=")</f>
        <v>#VALUE!</v>
      </c>
      <c r="AA5" t="e">
        <f>IF(Sheet1!#REF!,"eycrYk20JBo=",0)</f>
        <v>#REF!</v>
      </c>
      <c r="AB5" t="e">
        <f>AND(Sheet1!#REF!,"eycrYk20JBs=")</f>
        <v>#REF!</v>
      </c>
      <c r="AC5" t="e">
        <f>AND(Sheet1!#REF!,"eycrYk20JBw=")</f>
        <v>#REF!</v>
      </c>
      <c r="AD5" t="e">
        <f>AND(Sheet1!#REF!,"eycrYk20JB0=")</f>
        <v>#REF!</v>
      </c>
      <c r="AE5" t="e">
        <f>AND(Sheet1!#REF!,"eycrYk20JB4=")</f>
        <v>#REF!</v>
      </c>
      <c r="AF5" t="e">
        <f>IF(Sheet1!#REF!,"eycrYk20JB8=",0)</f>
        <v>#REF!</v>
      </c>
      <c r="AG5" t="e">
        <f>AND(Sheet1!#REF!,"eycrYk20JCA=")</f>
        <v>#REF!</v>
      </c>
      <c r="AH5" t="e">
        <f>AND(Sheet1!#REF!,"eycrYk20JCE=")</f>
        <v>#REF!</v>
      </c>
      <c r="AI5" t="e">
        <f>AND(Sheet1!#REF!,"eycrYk20JCI=")</f>
        <v>#REF!</v>
      </c>
      <c r="AJ5" t="e">
        <f>AND(Sheet1!#REF!,"eycrYk20JCM=")</f>
        <v>#REF!</v>
      </c>
      <c r="AK5">
        <f>IF(Sheet1!164:164,"eycrYk20JCQ=",0)</f>
        <v>0</v>
      </c>
      <c r="AL5" t="e">
        <f>AND(Sheet1!A164,"eycrYk20JCU=")</f>
        <v>#VALUE!</v>
      </c>
      <c r="AM5" t="e">
        <f>AND(Sheet1!B164,"eycrYk20JCY=")</f>
        <v>#VALUE!</v>
      </c>
      <c r="AN5" t="e">
        <f>AND(Sheet1!C164,"eycrYk20JCc=")</f>
        <v>#VALUE!</v>
      </c>
      <c r="AO5" t="e">
        <f>AND(Sheet1!D164,"eycrYk20JCg=")</f>
        <v>#VALUE!</v>
      </c>
      <c r="AP5" t="e">
        <f>IF(Sheet1!#REF!,"eycrYk20JCk=",0)</f>
        <v>#REF!</v>
      </c>
      <c r="AQ5" t="e">
        <f>AND(Sheet1!#REF!,"eycrYk20JCo=")</f>
        <v>#REF!</v>
      </c>
      <c r="AR5" t="e">
        <f>AND(Sheet1!#REF!,"eycrYk20JCs=")</f>
        <v>#REF!</v>
      </c>
      <c r="AS5" t="e">
        <f>AND(Sheet1!#REF!,"eycrYk20JCw=")</f>
        <v>#REF!</v>
      </c>
      <c r="AT5" t="e">
        <f>AND(Sheet1!#REF!,"eycrYk20JC0=")</f>
        <v>#REF!</v>
      </c>
      <c r="AU5" t="e">
        <f>IF(Sheet1!#REF!,"eycrYk20JC4=",0)</f>
        <v>#REF!</v>
      </c>
      <c r="AV5" t="e">
        <f>AND(Sheet1!#REF!,"eycrYk20JC8=")</f>
        <v>#REF!</v>
      </c>
      <c r="AW5" t="e">
        <f>AND(Sheet1!#REF!,"eycrYk20JDA=")</f>
        <v>#REF!</v>
      </c>
      <c r="AX5" t="e">
        <f>AND(Sheet1!#REF!,"eycrYk20JDE=")</f>
        <v>#REF!</v>
      </c>
      <c r="AY5" t="e">
        <f>AND(Sheet1!#REF!,"eycrYk20JDI=")</f>
        <v>#REF!</v>
      </c>
      <c r="AZ5">
        <f>IF(Sheet1!165:165,"eycrYk20JDM=",0)</f>
        <v>0</v>
      </c>
      <c r="BA5" t="e">
        <f>AND(Sheet1!A165,"eycrYk20JDQ=")</f>
        <v>#VALUE!</v>
      </c>
      <c r="BB5" t="e">
        <f>AND(Sheet1!B165,"eycrYk20JDU=")</f>
        <v>#VALUE!</v>
      </c>
      <c r="BC5" t="e">
        <f>AND(Sheet1!C165,"eycrYk20JDY=")</f>
        <v>#VALUE!</v>
      </c>
      <c r="BD5" t="e">
        <f>AND(Sheet1!D165,"eycrYk20JDc=")</f>
        <v>#VALUE!</v>
      </c>
      <c r="BE5">
        <f>IF(Sheet1!166:166,"eycrYk20JDg=",0)</f>
        <v>0</v>
      </c>
      <c r="BF5" t="e">
        <f>AND(Sheet1!A166,"eycrYk20JDk=")</f>
        <v>#VALUE!</v>
      </c>
      <c r="BG5" t="e">
        <f>AND(Sheet1!B166,"eycrYk20JDo=")</f>
        <v>#VALUE!</v>
      </c>
      <c r="BH5" t="e">
        <f>AND(Sheet1!C166,"eycrYk20JDs=")</f>
        <v>#VALUE!</v>
      </c>
      <c r="BI5" t="e">
        <f>AND(Sheet1!D166,"eycrYk20JDw=")</f>
        <v>#VALUE!</v>
      </c>
      <c r="BJ5" t="e">
        <f>IF(Sheet1!#REF!,"eycrYk20JD0=",0)</f>
        <v>#REF!</v>
      </c>
      <c r="BK5" t="e">
        <f>AND(Sheet1!#REF!,"eycrYk20JD4=")</f>
        <v>#REF!</v>
      </c>
      <c r="BL5" t="e">
        <f>AND(Sheet1!#REF!,"eycrYk20JD8=")</f>
        <v>#REF!</v>
      </c>
      <c r="BM5" t="e">
        <f>AND(Sheet1!#REF!,"eycrYk20JEA=")</f>
        <v>#REF!</v>
      </c>
      <c r="BN5" t="e">
        <f>AND(Sheet1!#REF!,"eycrYk20JEE=")</f>
        <v>#REF!</v>
      </c>
      <c r="BO5" t="e">
        <f>IF(Sheet1!#REF!,"eycrYk20JEI=",0)</f>
        <v>#REF!</v>
      </c>
      <c r="BP5" t="e">
        <f>AND(Sheet1!#REF!,"eycrYk20JEM=")</f>
        <v>#REF!</v>
      </c>
      <c r="BQ5" t="e">
        <f>AND(Sheet1!#REF!,"eycrYk20JEQ=")</f>
        <v>#REF!</v>
      </c>
      <c r="BR5" t="e">
        <f>AND(Sheet1!#REF!,"eycrYk20JEU=")</f>
        <v>#REF!</v>
      </c>
      <c r="BS5" t="e">
        <f>AND(Sheet1!#REF!,"eycrYk20JEY=")</f>
        <v>#REF!</v>
      </c>
      <c r="BT5">
        <f>IF(Sheet1!167:167,"eycrYk20JEc=",0)</f>
        <v>0</v>
      </c>
      <c r="BU5" t="e">
        <f>AND(Sheet1!A167,"eycrYk20JEg=")</f>
        <v>#VALUE!</v>
      </c>
      <c r="BV5" t="e">
        <f>AND(Sheet1!B167,"eycrYk20JEk=")</f>
        <v>#VALUE!</v>
      </c>
      <c r="BW5" t="e">
        <f>AND(Sheet1!C167,"eycrYk20JEo=")</f>
        <v>#VALUE!</v>
      </c>
      <c r="BX5" t="e">
        <f>AND(Sheet1!D167,"eycrYk20JEs=")</f>
        <v>#VALUE!</v>
      </c>
      <c r="BY5">
        <f>IF(Sheet1!168:168,"eycrYk20JEw=",0)</f>
        <v>0</v>
      </c>
      <c r="BZ5" t="e">
        <f>AND(Sheet1!A168,"eycrYk20JE0=")</f>
        <v>#VALUE!</v>
      </c>
      <c r="CA5" t="e">
        <f>AND(Sheet1!B168,"eycrYk20JE4=")</f>
        <v>#VALUE!</v>
      </c>
      <c r="CB5" t="e">
        <f>AND(Sheet1!C168,"eycrYk20JE8=")</f>
        <v>#VALUE!</v>
      </c>
      <c r="CC5" t="e">
        <f>AND(Sheet1!D168,"eycrYk20JFA=")</f>
        <v>#VALUE!</v>
      </c>
      <c r="CD5">
        <f>IF(Sheet1!169:169,"eycrYk20JFE=",0)</f>
        <v>0</v>
      </c>
      <c r="CE5" t="e">
        <f>AND(Sheet1!A169,"eycrYk20JFI=")</f>
        <v>#VALUE!</v>
      </c>
      <c r="CF5" t="e">
        <f>AND(Sheet1!B169,"eycrYk20JFM=")</f>
        <v>#VALUE!</v>
      </c>
      <c r="CG5" t="e">
        <f>AND(Sheet1!C169,"eycrYk20JFQ=")</f>
        <v>#VALUE!</v>
      </c>
      <c r="CH5" t="e">
        <f>AND(Sheet1!D169,"eycrYk20JFU=")</f>
        <v>#VALUE!</v>
      </c>
      <c r="CI5">
        <f>IF(Sheet1!170:170,"eycrYk20JFY=",0)</f>
        <v>0</v>
      </c>
      <c r="CJ5" t="e">
        <f>AND(Sheet1!A170,"eycrYk20JFc=")</f>
        <v>#VALUE!</v>
      </c>
      <c r="CK5" t="e">
        <f>AND(Sheet1!B170,"eycrYk20JFg=")</f>
        <v>#VALUE!</v>
      </c>
      <c r="CL5" t="e">
        <f>AND(Sheet1!C170,"eycrYk20JFk=")</f>
        <v>#VALUE!</v>
      </c>
      <c r="CM5" t="e">
        <f>AND(Sheet1!D170,"eycrYk20JFo=")</f>
        <v>#VALUE!</v>
      </c>
      <c r="CN5">
        <f>IF(Sheet1!171:171,"eycrYk20JFs=",0)</f>
        <v>0</v>
      </c>
      <c r="CO5" t="e">
        <f>AND(Sheet1!A171,"eycrYk20JFw=")</f>
        <v>#VALUE!</v>
      </c>
      <c r="CP5" t="e">
        <f>AND(Sheet1!B171,"eycrYk20JF0=")</f>
        <v>#VALUE!</v>
      </c>
      <c r="CQ5" t="e">
        <f>AND(Sheet1!C171,"eycrYk20JF4=")</f>
        <v>#VALUE!</v>
      </c>
      <c r="CR5" t="e">
        <f>AND(Sheet1!D171,"eycrYk20JF8=")</f>
        <v>#VALUE!</v>
      </c>
      <c r="CS5" t="e">
        <f>IF(Sheet1!#REF!,"eycrYk20JGA=",0)</f>
        <v>#REF!</v>
      </c>
      <c r="CT5" t="e">
        <f>AND(Sheet1!#REF!,"eycrYk20JGE=")</f>
        <v>#REF!</v>
      </c>
      <c r="CU5" t="e">
        <f>AND(Sheet1!#REF!,"eycrYk20JGI=")</f>
        <v>#REF!</v>
      </c>
      <c r="CV5" t="e">
        <f>AND(Sheet1!#REF!,"eycrYk20JGM=")</f>
        <v>#REF!</v>
      </c>
      <c r="CW5" t="e">
        <f>AND(Sheet1!#REF!,"eycrYk20JGQ=")</f>
        <v>#REF!</v>
      </c>
      <c r="CX5">
        <f>IF(Sheet1!172:172,"eycrYk20JGU=",0)</f>
        <v>0</v>
      </c>
      <c r="CY5" t="e">
        <f>AND(Sheet1!A172,"eycrYk20JGY=")</f>
        <v>#VALUE!</v>
      </c>
      <c r="CZ5" t="e">
        <f>AND(Sheet1!B172,"eycrYk20JGc=")</f>
        <v>#VALUE!</v>
      </c>
      <c r="DA5" t="e">
        <f>AND(Sheet1!C172,"eycrYk20JGg=")</f>
        <v>#VALUE!</v>
      </c>
      <c r="DB5" t="e">
        <f>AND(Sheet1!D172,"eycrYk20JGk=")</f>
        <v>#VALUE!</v>
      </c>
      <c r="DC5" t="e">
        <f>IF(Sheet1!#REF!,"eycrYk20JGo=",0)</f>
        <v>#REF!</v>
      </c>
      <c r="DD5" t="e">
        <f>AND(Sheet1!#REF!,"eycrYk20JGs=")</f>
        <v>#REF!</v>
      </c>
      <c r="DE5" t="e">
        <f>AND(Sheet1!#REF!,"eycrYk20JGw=")</f>
        <v>#REF!</v>
      </c>
      <c r="DF5" t="e">
        <f>AND(Sheet1!#REF!,"eycrYk20JG0=")</f>
        <v>#REF!</v>
      </c>
      <c r="DG5" t="e">
        <f>AND(Sheet1!#REF!,"eycrYk20JG4=")</f>
        <v>#REF!</v>
      </c>
      <c r="DH5">
        <f>IF(Sheet1!173:173,"eycrYk20JG8=",0)</f>
        <v>0</v>
      </c>
      <c r="DI5" t="e">
        <f>AND(Sheet1!A173,"eycrYk20JHA=")</f>
        <v>#VALUE!</v>
      </c>
      <c r="DJ5" t="e">
        <f>AND(Sheet1!B173,"eycrYk20JHE=")</f>
        <v>#VALUE!</v>
      </c>
      <c r="DK5" t="e">
        <f>AND(Sheet1!C173,"eycrYk20JHI=")</f>
        <v>#VALUE!</v>
      </c>
      <c r="DL5" t="e">
        <f>AND(Sheet1!D173,"eycrYk20JHM=")</f>
        <v>#VALUE!</v>
      </c>
      <c r="DM5">
        <f>IF(Sheet1!174:174,"eycrYk20JHQ=",0)</f>
        <v>0</v>
      </c>
      <c r="DN5" t="e">
        <f>AND(Sheet1!A174,"eycrYk20JHU=")</f>
        <v>#VALUE!</v>
      </c>
      <c r="DO5" t="e">
        <f>AND(Sheet1!B174,"eycrYk20JHY=")</f>
        <v>#VALUE!</v>
      </c>
      <c r="DP5" t="e">
        <f>AND(Sheet1!C174,"eycrYk20JHc=")</f>
        <v>#VALUE!</v>
      </c>
      <c r="DQ5" t="e">
        <f>AND(Sheet1!D174,"eycrYk20JHg=")</f>
        <v>#VALUE!</v>
      </c>
      <c r="DR5">
        <f>IF(Sheet1!175:175,"eycrYk20JHk=",0)</f>
        <v>0</v>
      </c>
      <c r="DS5" t="e">
        <f>AND(Sheet1!A175,"eycrYk20JHo=")</f>
        <v>#VALUE!</v>
      </c>
      <c r="DT5" t="e">
        <f>AND(Sheet1!B175,"eycrYk20JHs=")</f>
        <v>#VALUE!</v>
      </c>
      <c r="DU5" t="e">
        <f>AND(Sheet1!C175,"eycrYk20JHw=")</f>
        <v>#VALUE!</v>
      </c>
      <c r="DV5" t="e">
        <f>AND(Sheet1!D175,"eycrYk20JH0=")</f>
        <v>#VALUE!</v>
      </c>
      <c r="DW5" t="e">
        <f>IF(Sheet1!#REF!,"eycrYk20JH4=",0)</f>
        <v>#REF!</v>
      </c>
      <c r="DX5" t="e">
        <f>AND(Sheet1!#REF!,"eycrYk20JH8=")</f>
        <v>#REF!</v>
      </c>
      <c r="DY5" t="e">
        <f>AND(Sheet1!#REF!,"eycrYk20JIA=")</f>
        <v>#REF!</v>
      </c>
      <c r="DZ5" t="e">
        <f>AND(Sheet1!#REF!,"eycrYk20JIE=")</f>
        <v>#REF!</v>
      </c>
      <c r="EA5" t="e">
        <f>AND(Sheet1!#REF!,"eycrYk20JII=")</f>
        <v>#REF!</v>
      </c>
      <c r="EB5" t="e">
        <f>IF(Sheet1!#REF!,"eycrYk20JIM=",0)</f>
        <v>#REF!</v>
      </c>
      <c r="EC5" t="e">
        <f>AND(Sheet1!#REF!,"eycrYk20JIQ=")</f>
        <v>#REF!</v>
      </c>
      <c r="ED5" t="e">
        <f>AND(Sheet1!#REF!,"eycrYk20JIU=")</f>
        <v>#REF!</v>
      </c>
      <c r="EE5" t="e">
        <f>AND(Sheet1!#REF!,"eycrYk20JIY=")</f>
        <v>#REF!</v>
      </c>
      <c r="EF5" t="e">
        <f>AND(Sheet1!#REF!,"eycrYk20JIc=")</f>
        <v>#REF!</v>
      </c>
      <c r="EG5" t="e">
        <f>IF(Sheet1!#REF!,"eycrYk20JIg=",0)</f>
        <v>#REF!</v>
      </c>
      <c r="EH5" t="e">
        <f>AND(Sheet1!#REF!,"eycrYk20JIk=")</f>
        <v>#REF!</v>
      </c>
      <c r="EI5" t="e">
        <f>AND(Sheet1!#REF!,"eycrYk20JIo=")</f>
        <v>#REF!</v>
      </c>
      <c r="EJ5" t="e">
        <f>AND(Sheet1!#REF!,"eycrYk20JIs=")</f>
        <v>#REF!</v>
      </c>
      <c r="EK5" t="e">
        <f>AND(Sheet1!#REF!,"eycrYk20JIw=")</f>
        <v>#REF!</v>
      </c>
      <c r="EL5" t="e">
        <f>IF(Sheet1!#REF!,"eycrYk20JI0=",0)</f>
        <v>#REF!</v>
      </c>
      <c r="EM5" t="e">
        <f>AND(Sheet1!#REF!,"eycrYk20JI4=")</f>
        <v>#REF!</v>
      </c>
      <c r="EN5" t="e">
        <f>AND(Sheet1!#REF!,"eycrYk20JI8=")</f>
        <v>#REF!</v>
      </c>
      <c r="EO5" t="e">
        <f>AND(Sheet1!#REF!,"eycrYk20JJA=")</f>
        <v>#REF!</v>
      </c>
      <c r="EP5" t="e">
        <f>AND(Sheet1!#REF!,"eycrYk20JJE=")</f>
        <v>#REF!</v>
      </c>
      <c r="EQ5" t="e">
        <f>IF(Sheet1!#REF!,"eycrYk20JJI=",0)</f>
        <v>#REF!</v>
      </c>
      <c r="ER5" t="e">
        <f>AND(Sheet1!#REF!,"eycrYk20JJM=")</f>
        <v>#REF!</v>
      </c>
      <c r="ES5" t="e">
        <f>AND(Sheet1!#REF!,"eycrYk20JJQ=")</f>
        <v>#REF!</v>
      </c>
      <c r="ET5" t="e">
        <f>AND(Sheet1!#REF!,"eycrYk20JJU=")</f>
        <v>#REF!</v>
      </c>
      <c r="EU5" t="e">
        <f>AND(Sheet1!#REF!,"eycrYk20JJY=")</f>
        <v>#REF!</v>
      </c>
      <c r="EV5">
        <f>IF(Sheet1!176:176,"eycrYk20JJc=",0)</f>
        <v>0</v>
      </c>
      <c r="EW5" t="e">
        <f>AND(Sheet1!A176,"eycrYk20JJg=")</f>
        <v>#VALUE!</v>
      </c>
      <c r="EX5" t="e">
        <f>AND(Sheet1!B176,"eycrYk20JJk=")</f>
        <v>#VALUE!</v>
      </c>
      <c r="EY5" t="e">
        <f>AND(Sheet1!C176,"eycrYk20JJo=")</f>
        <v>#VALUE!</v>
      </c>
      <c r="EZ5" t="e">
        <f>AND(Sheet1!D176,"eycrYk20JJs=")</f>
        <v>#VALUE!</v>
      </c>
      <c r="FA5" t="e">
        <f>IF(Sheet1!#REF!,"eycrYk20JJw=",0)</f>
        <v>#REF!</v>
      </c>
      <c r="FB5" t="e">
        <f>AND(Sheet1!#REF!,"eycrYk20JJ0=")</f>
        <v>#REF!</v>
      </c>
      <c r="FC5" t="e">
        <f>AND(Sheet1!#REF!,"eycrYk20JJ4=")</f>
        <v>#REF!</v>
      </c>
      <c r="FD5" t="e">
        <f>AND(Sheet1!#REF!,"eycrYk20JJ8=")</f>
        <v>#REF!</v>
      </c>
      <c r="FE5" t="e">
        <f>AND(Sheet1!#REF!,"eycrYk20JKA=")</f>
        <v>#REF!</v>
      </c>
      <c r="FF5">
        <f>IF(Sheet1!177:177,"eycrYk20JKE=",0)</f>
        <v>0</v>
      </c>
      <c r="FG5" t="e">
        <f>AND(Sheet1!A177,"eycrYk20JKI=")</f>
        <v>#VALUE!</v>
      </c>
      <c r="FH5" t="e">
        <f>AND(Sheet1!B177,"eycrYk20JKM=")</f>
        <v>#VALUE!</v>
      </c>
      <c r="FI5" t="e">
        <f>AND(Sheet1!C177,"eycrYk20JKQ=")</f>
        <v>#VALUE!</v>
      </c>
      <c r="FJ5" t="e">
        <f>AND(Sheet1!D177,"eycrYk20JKU=")</f>
        <v>#VALUE!</v>
      </c>
      <c r="FK5">
        <f>IF(Sheet1!178:178,"eycrYk20JKY=",0)</f>
        <v>0</v>
      </c>
      <c r="FL5" t="e">
        <f>AND(Sheet1!A178,"eycrYk20JKc=")</f>
        <v>#VALUE!</v>
      </c>
      <c r="FM5" t="e">
        <f>AND(Sheet1!B178,"eycrYk20JKg=")</f>
        <v>#VALUE!</v>
      </c>
      <c r="FN5" t="e">
        <f>AND(Sheet1!C178,"eycrYk20JKk=")</f>
        <v>#VALUE!</v>
      </c>
      <c r="FO5" t="e">
        <f>AND(Sheet1!D178,"eycrYk20JKo=")</f>
        <v>#VALUE!</v>
      </c>
      <c r="FP5">
        <f>IF(Sheet1!179:179,"eycrYk20JKs=",0)</f>
        <v>0</v>
      </c>
      <c r="FQ5" t="e">
        <f>AND(Sheet1!A179,"eycrYk20JKw=")</f>
        <v>#VALUE!</v>
      </c>
      <c r="FR5" t="e">
        <f>AND(Sheet1!B179,"eycrYk20JK0=")</f>
        <v>#VALUE!</v>
      </c>
      <c r="FS5" t="e">
        <f>AND(Sheet1!C179,"eycrYk20JK4=")</f>
        <v>#VALUE!</v>
      </c>
      <c r="FT5" t="e">
        <f>AND(Sheet1!D179,"eycrYk20JK8=")</f>
        <v>#VALUE!</v>
      </c>
      <c r="FU5">
        <f>IF(Sheet1!180:180,"eycrYk20JLA=",0)</f>
        <v>0</v>
      </c>
      <c r="FV5" t="e">
        <f>AND(Sheet1!A180,"eycrYk20JLE=")</f>
        <v>#VALUE!</v>
      </c>
      <c r="FW5" t="e">
        <f>AND(Sheet1!B180,"eycrYk20JLI=")</f>
        <v>#VALUE!</v>
      </c>
      <c r="FX5" t="e">
        <f>AND(Sheet1!C180,"eycrYk20JLM=")</f>
        <v>#VALUE!</v>
      </c>
      <c r="FY5" t="e">
        <f>AND(Sheet1!D180,"eycrYk20JLQ=")</f>
        <v>#VALUE!</v>
      </c>
      <c r="FZ5">
        <f>IF(Sheet1!181:181,"eycrYk20JLU=",0)</f>
        <v>0</v>
      </c>
      <c r="GA5" t="e">
        <f>AND(Sheet1!A181,"eycrYk20JLY=")</f>
        <v>#VALUE!</v>
      </c>
      <c r="GB5" t="e">
        <f>AND(Sheet1!B181,"eycrYk20JLc=")</f>
        <v>#VALUE!</v>
      </c>
      <c r="GC5" t="e">
        <f>AND(Sheet1!C181,"eycrYk20JLg=")</f>
        <v>#VALUE!</v>
      </c>
      <c r="GD5" t="e">
        <f>AND(Sheet1!D181,"eycrYk20JLk=")</f>
        <v>#VALUE!</v>
      </c>
      <c r="GE5">
        <f>IF(Sheet1!182:182,"eycrYk20JLo=",0)</f>
        <v>0</v>
      </c>
      <c r="GF5" t="e">
        <f>AND(Sheet1!A182,"eycrYk20JLs=")</f>
        <v>#VALUE!</v>
      </c>
      <c r="GG5" t="e">
        <f>AND(Sheet1!B182,"eycrYk20JLw=")</f>
        <v>#VALUE!</v>
      </c>
      <c r="GH5" t="e">
        <f>AND(Sheet1!C182,"eycrYk20JL0=")</f>
        <v>#VALUE!</v>
      </c>
      <c r="GI5" t="e">
        <f>AND(Sheet1!D182,"eycrYk20JL4=")</f>
        <v>#VALUE!</v>
      </c>
      <c r="GJ5">
        <f>IF(Sheet1!183:183,"eycrYk20JL8=",0)</f>
        <v>0</v>
      </c>
      <c r="GK5" t="e">
        <f>AND(Sheet1!A183,"eycrYk20JMA=")</f>
        <v>#VALUE!</v>
      </c>
      <c r="GL5" t="e">
        <f>AND(Sheet1!B183,"eycrYk20JME=")</f>
        <v>#VALUE!</v>
      </c>
      <c r="GM5" t="e">
        <f>AND(Sheet1!C183,"eycrYk20JMI=")</f>
        <v>#VALUE!</v>
      </c>
      <c r="GN5" t="e">
        <f>AND(Sheet1!D183,"eycrYk20JMM=")</f>
        <v>#VALUE!</v>
      </c>
      <c r="GO5">
        <f>IF(Sheet1!184:184,"eycrYk20JMQ=",0)</f>
        <v>0</v>
      </c>
      <c r="GP5" t="e">
        <f>AND(Sheet1!A184,"eycrYk20JMU=")</f>
        <v>#VALUE!</v>
      </c>
      <c r="GQ5" t="e">
        <f>AND(Sheet1!B184,"eycrYk20JMY=")</f>
        <v>#VALUE!</v>
      </c>
      <c r="GR5" t="e">
        <f>AND(Sheet1!C184,"eycrYk20JMc=")</f>
        <v>#VALUE!</v>
      </c>
      <c r="GS5" t="e">
        <f>AND(Sheet1!D184,"eycrYk20JMg=")</f>
        <v>#VALUE!</v>
      </c>
      <c r="GT5" t="e">
        <f>IF(Sheet1!#REF!,"eycrYk20JMk=",0)</f>
        <v>#REF!</v>
      </c>
      <c r="GU5" t="e">
        <f>AND(Sheet1!#REF!,"eycrYk20JMo=")</f>
        <v>#REF!</v>
      </c>
      <c r="GV5" t="e">
        <f>AND(Sheet1!#REF!,"eycrYk20JMs=")</f>
        <v>#REF!</v>
      </c>
      <c r="GW5" t="e">
        <f>AND(Sheet1!#REF!,"eycrYk20JMw=")</f>
        <v>#REF!</v>
      </c>
      <c r="GX5" t="e">
        <f>AND(Sheet1!#REF!,"eycrYk20JM0=")</f>
        <v>#REF!</v>
      </c>
      <c r="GY5">
        <f>IF(Sheet1!185:185,"eycrYk20JM4=",0)</f>
        <v>0</v>
      </c>
      <c r="GZ5" t="e">
        <f>AND(Sheet1!A185,"eycrYk20JM8=")</f>
        <v>#VALUE!</v>
      </c>
      <c r="HA5" t="e">
        <f>AND(Sheet1!B185,"eycrYk20JNA=")</f>
        <v>#VALUE!</v>
      </c>
      <c r="HB5" t="e">
        <f>AND(Sheet1!C185,"eycrYk20JNE=")</f>
        <v>#VALUE!</v>
      </c>
      <c r="HC5" t="e">
        <f>AND(Sheet1!D185,"eycrYk20JNI=")</f>
        <v>#VALUE!</v>
      </c>
      <c r="HD5">
        <f>IF(Sheet1!186:186,"eycrYk20JNM=",0)</f>
        <v>0</v>
      </c>
      <c r="HE5" t="e">
        <f>AND(Sheet1!A186,"eycrYk20JNQ=")</f>
        <v>#VALUE!</v>
      </c>
      <c r="HF5" t="e">
        <f>AND(Sheet1!B186,"eycrYk20JNU=")</f>
        <v>#VALUE!</v>
      </c>
      <c r="HG5" t="e">
        <f>AND(Sheet1!C186,"eycrYk20JNY=")</f>
        <v>#VALUE!</v>
      </c>
      <c r="HH5" t="e">
        <f>AND(Sheet1!D186,"eycrYk20JNc=")</f>
        <v>#VALUE!</v>
      </c>
      <c r="HI5">
        <f>IF(Sheet1!187:187,"eycrYk20JNg=",0)</f>
        <v>0</v>
      </c>
      <c r="HJ5" t="e">
        <f>AND(Sheet1!A187,"eycrYk20JNk=")</f>
        <v>#VALUE!</v>
      </c>
      <c r="HK5" t="e">
        <f>AND(Sheet1!B187,"eycrYk20JNo=")</f>
        <v>#VALUE!</v>
      </c>
      <c r="HL5" t="e">
        <f>AND(Sheet1!C187,"eycrYk20JNs=")</f>
        <v>#VALUE!</v>
      </c>
      <c r="HM5" t="e">
        <f>AND(Sheet1!D187,"eycrYk20JNw=")</f>
        <v>#VALUE!</v>
      </c>
      <c r="HN5">
        <f>IF(Sheet1!188:188,"eycrYk20JN0=",0)</f>
        <v>0</v>
      </c>
      <c r="HO5" t="e">
        <f>AND(Sheet1!A188,"eycrYk20JN4=")</f>
        <v>#VALUE!</v>
      </c>
      <c r="HP5" t="e">
        <f>AND(Sheet1!B188,"eycrYk20JN8=")</f>
        <v>#VALUE!</v>
      </c>
      <c r="HQ5" t="e">
        <f>AND(Sheet1!C188,"eycrYk20JOA=")</f>
        <v>#VALUE!</v>
      </c>
      <c r="HR5" t="e">
        <f>AND(Sheet1!D188,"eycrYk20JOE=")</f>
        <v>#VALUE!</v>
      </c>
      <c r="HS5">
        <f>IF(Sheet1!189:189,"eycrYk20JOI=",0)</f>
        <v>0</v>
      </c>
      <c r="HT5" t="e">
        <f>AND(Sheet1!A189,"eycrYk20JOM=")</f>
        <v>#VALUE!</v>
      </c>
      <c r="HU5" t="e">
        <f>AND(Sheet1!B189,"eycrYk20JOQ=")</f>
        <v>#VALUE!</v>
      </c>
      <c r="HV5" t="e">
        <f>AND(Sheet1!C189,"eycrYk20JOU=")</f>
        <v>#VALUE!</v>
      </c>
      <c r="HW5" t="e">
        <f>AND(Sheet1!D189,"eycrYk20JOY=")</f>
        <v>#VALUE!</v>
      </c>
      <c r="HX5">
        <f>IF(Sheet1!190:190,"eycrYk20JOc=",0)</f>
        <v>0</v>
      </c>
      <c r="HY5" t="e">
        <f>AND(Sheet1!A190,"eycrYk20JOg=")</f>
        <v>#VALUE!</v>
      </c>
      <c r="HZ5" t="e">
        <f>AND(Sheet1!B190,"eycrYk20JOk=")</f>
        <v>#VALUE!</v>
      </c>
      <c r="IA5" t="e">
        <f>AND(Sheet1!C190,"eycrYk20JOo=")</f>
        <v>#VALUE!</v>
      </c>
      <c r="IB5" t="e">
        <f>AND(Sheet1!D190,"eycrYk20JOs=")</f>
        <v>#VALUE!</v>
      </c>
      <c r="IC5" t="e">
        <f>IF(Sheet1!A:A,"eycrYk20JOw=",0)</f>
        <v>#VALUE!</v>
      </c>
      <c r="ID5" t="e">
        <f>IF(Sheet1!B:B,"eycrYk20JO0=",0)</f>
        <v>#VALUE!</v>
      </c>
      <c r="IE5" t="e">
        <f>IF(Sheet1!C:C,"eycrYk20JO4=",0)</f>
        <v>#VALUE!</v>
      </c>
      <c r="IF5" t="e">
        <f>IF(Sheet1!D:D,"eycrYk20JO8=",0)</f>
        <v>#VALUE!</v>
      </c>
      <c r="IG5">
        <f>IF(Sheet1!E:E,"eycrYk20JPA=",0)</f>
        <v>0</v>
      </c>
      <c r="IH5">
        <f>IF(Sheet2!1:1,"eycrYk20JPE=",0)</f>
        <v>0</v>
      </c>
      <c r="II5" t="e">
        <f>AND(Sheet2!A1,"eycrYk20JPI=")</f>
        <v>#VALUE!</v>
      </c>
      <c r="IJ5">
        <f>IF(Sheet2!A:A,"eycrYk20JPM=",0)</f>
        <v>0</v>
      </c>
      <c r="IK5">
        <f>IF(Sheet3!1:1,"eycrYk20JPQ=",0)</f>
        <v>0</v>
      </c>
      <c r="IL5" t="e">
        <f>AND(Sheet3!A1,"eycrYk20JPU=")</f>
        <v>#VALUE!</v>
      </c>
      <c r="IM5">
        <f>IF(Sheet3!A:A,"eycrYk20JPY=",0)</f>
        <v>0</v>
      </c>
      <c r="IN5" s="1" t="s">
        <v>572</v>
      </c>
      <c r="IO5" t="s">
        <v>573</v>
      </c>
      <c r="IP5" s="2" t="s">
        <v>574</v>
      </c>
    </row>
  </sheetData>
  <phoneticPr fontId="0" type="noConversion"/>
  <pageMargins left="0.7" right="0.7" top="0.75" bottom="0.75" header="0.3" footer="0.3"/>
  <customProperties>
    <customPr name="DVSECTION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DV-IDENTITY-0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2011-02-25T17:02:50Z</dcterms:created>
  <dcterms:modified xsi:type="dcterms:W3CDTF">2013-12-10T17:24:34Z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V.DocumentId">
    <vt:lpwstr>1fkOWne6PCxpH30nQdAb9U</vt:lpwstr>
  </property>
  <property fmtid="{D5CDD505-2E9C-101B-9397-08002B2CF9AE}" pid="3" name="DV.VersionId">
    <vt:lpwstr>AVHOmdODLRV0KtMnSSRwwY</vt:lpwstr>
  </property>
  <property fmtid="{D5CDD505-2E9C-101B-9397-08002B2CF9AE}" pid="4" name="DV.PreviousVersionId">
    <vt:lpwstr>Z0rPhIFvdk2NP4pxP0hYOr</vt:lpwstr>
  </property>
  <property fmtid="{D5CDD505-2E9C-101B-9397-08002B2CF9AE}" pid="5" name="DV.PluginVersion">
    <vt:lpwstr>1.2.3275.0</vt:lpwstr>
  </property>
</Properties>
</file>