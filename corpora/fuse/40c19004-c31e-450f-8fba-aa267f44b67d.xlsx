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3.xml" ContentType="application/vnd.openxmlformats-officedocument.spreadsheetml.worksheet+xml"/>
  <Override PartName="/xl/worksheets/sheet62.xml" ContentType="application/vnd.openxmlformats-officedocument.spreadsheetml.worksheet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1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67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Default Extension="emf" ContentType="image/x-emf"/>
  <Override PartName="/xl/diagrams/data1.xml" ContentType="application/vnd.openxmlformats-officedocument.drawingml.diagramData+xml"/>
  <Override PartName="/xl/diagrams/colors1.xml" ContentType="application/vnd.openxmlformats-officedocument.drawingml.diagramColor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mbeddings/oleObject1.bin" ContentType="application/vnd.openxmlformats-officedocument.oleObject"/>
  <Override PartName="/xl/diagrams/drawing1.xml" ContentType="application/vnd.ms-office.drawingml.diagram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59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8.xml" ContentType="application/vnd.openxmlformats-officedocument.spreadsheetml.worksheet+xml"/>
  <Override PartName="/xl/worksheets/sheet57.xml" ContentType="application/vnd.openxmlformats-officedocument.spreadsheetml.worksheet+xml"/>
  <Override PartName="/xl/worksheets/sheet6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9035" windowHeight="12015" tabRatio="674"/>
  </bookViews>
  <sheets>
    <sheet name="TableOfContents" sheetId="1" r:id="rId1"/>
    <sheet name="Chart 1" sheetId="2" r:id="rId2"/>
    <sheet name="Chart 2" sheetId="3" r:id="rId3"/>
    <sheet name="Chart 3" sheetId="4" r:id="rId4"/>
    <sheet name="Chart 4" sheetId="5" r:id="rId5"/>
    <sheet name="Chart 5" sheetId="6" r:id="rId6"/>
    <sheet name="Chart 6" sheetId="7" r:id="rId7"/>
    <sheet name="Chart 7" sheetId="8" r:id="rId8"/>
    <sheet name="Chart 8" sheetId="9" r:id="rId9"/>
    <sheet name="Chart 9" sheetId="10" r:id="rId10"/>
    <sheet name="Chart 10" sheetId="11" r:id="rId11"/>
    <sheet name="Chart 11" sheetId="12" r:id="rId12"/>
    <sheet name="Chart 12" sheetId="13" r:id="rId13"/>
    <sheet name="Chart 13" sheetId="14" r:id="rId14"/>
    <sheet name="Chart 14" sheetId="15" r:id="rId15"/>
    <sheet name="Chart 15" sheetId="16" r:id="rId16"/>
    <sheet name="Chart 16" sheetId="17" r:id="rId17"/>
    <sheet name="Chart 17" sheetId="18" r:id="rId18"/>
    <sheet name="Chart 18" sheetId="19" r:id="rId19"/>
    <sheet name="Chart 19" sheetId="20" r:id="rId20"/>
    <sheet name="Chart 20" sheetId="21" r:id="rId21"/>
    <sheet name="Chart 21" sheetId="22" r:id="rId22"/>
    <sheet name="Chart 22" sheetId="23" r:id="rId23"/>
    <sheet name="Chart 23" sheetId="24" r:id="rId24"/>
    <sheet name="Chart 24" sheetId="25" r:id="rId25"/>
    <sheet name="Chart 25" sheetId="26" r:id="rId26"/>
    <sheet name="Chart 26" sheetId="27" r:id="rId27"/>
    <sheet name="Chart 27" sheetId="28" r:id="rId28"/>
    <sheet name="Chart 28" sheetId="29" r:id="rId29"/>
    <sheet name="Chart 29" sheetId="30" r:id="rId30"/>
    <sheet name="Chart 30" sheetId="31" r:id="rId31"/>
    <sheet name="Chart 31" sheetId="32" r:id="rId32"/>
    <sheet name="Chart 32" sheetId="33" r:id="rId33"/>
    <sheet name="Chart 33" sheetId="34" r:id="rId34"/>
    <sheet name="Chart 34" sheetId="35" r:id="rId35"/>
    <sheet name="Chart 35" sheetId="36" r:id="rId36"/>
    <sheet name="Chart 36" sheetId="37" r:id="rId37"/>
    <sheet name="Chart 37" sheetId="38" r:id="rId38"/>
    <sheet name="Chart 38" sheetId="39" r:id="rId39"/>
    <sheet name="Chart 39" sheetId="40" r:id="rId40"/>
    <sheet name="Chart 40" sheetId="41" r:id="rId41"/>
    <sheet name="Chart 41" sheetId="42" r:id="rId42"/>
    <sheet name="Chart 42" sheetId="43" r:id="rId43"/>
    <sheet name="Chart 43" sheetId="44" r:id="rId44"/>
    <sheet name="Chart 44" sheetId="45" r:id="rId45"/>
    <sheet name="Chart 45" sheetId="46" r:id="rId46"/>
    <sheet name="Chart 46" sheetId="47" r:id="rId47"/>
    <sheet name="Chart 47" sheetId="48" r:id="rId48"/>
    <sheet name="Chart 48" sheetId="49" r:id="rId49"/>
    <sheet name="Chart 49" sheetId="50" r:id="rId50"/>
    <sheet name="Chart 50" sheetId="51" r:id="rId51"/>
    <sheet name="Chart 51" sheetId="52" r:id="rId52"/>
    <sheet name="Chart 52" sheetId="53" r:id="rId53"/>
    <sheet name="Chart 53" sheetId="54" r:id="rId54"/>
    <sheet name="Chart 54" sheetId="55" r:id="rId55"/>
    <sheet name="Chart 55" sheetId="56" r:id="rId56"/>
    <sheet name="Chart 56" sheetId="57" r:id="rId57"/>
    <sheet name="Chart 57" sheetId="58" r:id="rId58"/>
    <sheet name="Chart 58" sheetId="59" r:id="rId59"/>
    <sheet name="Chart 59" sheetId="60" r:id="rId60"/>
    <sheet name="Chart 60" sheetId="61" r:id="rId61"/>
    <sheet name="Chart 61" sheetId="62" r:id="rId62"/>
    <sheet name="Chart 62" sheetId="63" r:id="rId63"/>
    <sheet name="Chart 63" sheetId="64" r:id="rId64"/>
    <sheet name="Chart 64" sheetId="65" r:id="rId65"/>
    <sheet name="Chart 65" sheetId="66" r:id="rId66"/>
    <sheet name="Chart 66" sheetId="67" r:id="rId67"/>
  </sheets>
  <calcPr calcId="125725"/>
</workbook>
</file>

<file path=xl/calcChain.xml><?xml version="1.0" encoding="utf-8"?>
<calcChain xmlns="http://schemas.openxmlformats.org/spreadsheetml/2006/main">
  <c r="E30" i="54"/>
  <c r="D30"/>
  <c r="C30"/>
  <c r="E30" i="53"/>
  <c r="D30"/>
  <c r="C30"/>
  <c r="K13" i="29"/>
  <c r="K16" s="1"/>
  <c r="L11" l="1"/>
  <c r="L9"/>
  <c r="L12"/>
  <c r="L10"/>
  <c r="L13"/>
  <c r="L16" l="1"/>
  <c r="G9" i="26" l="1"/>
  <c r="F9"/>
  <c r="G8"/>
  <c r="F8"/>
  <c r="G11"/>
  <c r="F11"/>
  <c r="G10"/>
  <c r="F10"/>
  <c r="G12"/>
  <c r="F12"/>
  <c r="G13"/>
  <c r="F13"/>
  <c r="G14"/>
  <c r="F14"/>
  <c r="G16"/>
  <c r="F16"/>
  <c r="G15"/>
  <c r="F15"/>
  <c r="G17"/>
  <c r="F17"/>
  <c r="G18"/>
  <c r="F18"/>
  <c r="G19"/>
  <c r="F19"/>
  <c r="G23"/>
  <c r="F23"/>
  <c r="G20"/>
  <c r="F20"/>
  <c r="G21"/>
  <c r="F21"/>
  <c r="G22"/>
  <c r="F22"/>
  <c r="G24"/>
  <c r="F24"/>
  <c r="G25"/>
  <c r="F25"/>
  <c r="G26"/>
  <c r="F26"/>
  <c r="G29"/>
  <c r="F29"/>
  <c r="G28"/>
  <c r="F28"/>
  <c r="G27"/>
  <c r="F27"/>
  <c r="G30"/>
  <c r="F30"/>
  <c r="G31"/>
  <c r="F31"/>
  <c r="G33"/>
  <c r="F33"/>
  <c r="G32"/>
  <c r="F32"/>
  <c r="G34"/>
  <c r="F34"/>
  <c r="G41"/>
  <c r="F41"/>
  <c r="G42"/>
  <c r="F42"/>
  <c r="G35"/>
  <c r="F35"/>
  <c r="G37"/>
  <c r="F37"/>
  <c r="G38"/>
  <c r="F38"/>
  <c r="G39"/>
  <c r="F39"/>
  <c r="G36"/>
  <c r="F36"/>
  <c r="G40"/>
  <c r="F40"/>
  <c r="G43"/>
  <c r="F43"/>
  <c r="G44"/>
  <c r="F44"/>
  <c r="G45"/>
  <c r="F45"/>
  <c r="G46"/>
  <c r="F46"/>
  <c r="G47"/>
  <c r="F47"/>
  <c r="G48"/>
  <c r="F48"/>
  <c r="G49"/>
  <c r="F49"/>
  <c r="G50"/>
  <c r="F50"/>
  <c r="G51"/>
  <c r="F51"/>
  <c r="G52"/>
  <c r="F52"/>
  <c r="G54"/>
  <c r="F54"/>
  <c r="G53"/>
  <c r="F53"/>
  <c r="G55"/>
  <c r="F55"/>
  <c r="G57"/>
  <c r="F57"/>
  <c r="G56"/>
  <c r="F56"/>
  <c r="G58"/>
  <c r="F58"/>
  <c r="N34" i="18" l="1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N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9"/>
  <c r="D25" i="14" l="1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A8" i="10" l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G11" i="9" l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A1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J61" i="5" l="1"/>
  <c r="D61"/>
  <c r="J60"/>
  <c r="D60"/>
  <c r="J59"/>
  <c r="D59"/>
  <c r="J58"/>
  <c r="D58"/>
  <c r="J57"/>
  <c r="D57"/>
  <c r="J56"/>
  <c r="D56"/>
  <c r="J55"/>
  <c r="D55"/>
  <c r="J54"/>
  <c r="D54"/>
  <c r="J53"/>
  <c r="D53"/>
  <c r="J52"/>
  <c r="D52"/>
  <c r="J51"/>
  <c r="D51"/>
  <c r="J50"/>
  <c r="D50"/>
  <c r="J49"/>
  <c r="D49"/>
  <c r="J48"/>
  <c r="D48"/>
  <c r="J47"/>
  <c r="D47"/>
  <c r="J46"/>
  <c r="D46"/>
  <c r="J45"/>
  <c r="D45"/>
  <c r="J44"/>
  <c r="D44"/>
  <c r="J43"/>
  <c r="D43"/>
  <c r="J42"/>
  <c r="D42"/>
  <c r="J41"/>
  <c r="D41"/>
  <c r="J40"/>
  <c r="D40"/>
  <c r="J39"/>
  <c r="D39"/>
  <c r="J38"/>
  <c r="D38"/>
  <c r="J37"/>
  <c r="D37"/>
  <c r="J36"/>
  <c r="D36"/>
  <c r="J35"/>
  <c r="D35"/>
  <c r="J34"/>
  <c r="D34"/>
  <c r="J33"/>
  <c r="D33"/>
  <c r="J32"/>
  <c r="D32"/>
  <c r="J31"/>
  <c r="D31"/>
  <c r="J30"/>
  <c r="D30"/>
  <c r="J29"/>
  <c r="D29"/>
  <c r="J28"/>
  <c r="D28"/>
  <c r="J27"/>
  <c r="D27"/>
  <c r="J26"/>
  <c r="D26"/>
  <c r="J25"/>
  <c r="D25"/>
  <c r="J24"/>
  <c r="D24"/>
  <c r="J23"/>
  <c r="D23"/>
  <c r="J22"/>
  <c r="D22"/>
  <c r="J21"/>
  <c r="D21"/>
  <c r="J20"/>
  <c r="D20"/>
  <c r="J19"/>
  <c r="D19"/>
  <c r="J18"/>
  <c r="D18"/>
  <c r="J17"/>
  <c r="D17"/>
  <c r="J16"/>
  <c r="D16"/>
  <c r="J15"/>
  <c r="D15"/>
  <c r="J14"/>
  <c r="D14"/>
  <c r="J13"/>
  <c r="D13"/>
  <c r="J12"/>
  <c r="D12"/>
  <c r="J11"/>
  <c r="D11"/>
  <c r="F44" i="2" l="1"/>
  <c r="E44"/>
  <c r="F43"/>
  <c r="E43"/>
  <c r="F42"/>
  <c r="E42"/>
  <c r="F41"/>
  <c r="E41"/>
  <c r="F40"/>
  <c r="E40"/>
  <c r="F39"/>
  <c r="E39"/>
  <c r="F38"/>
  <c r="E38"/>
  <c r="F37"/>
  <c r="E37"/>
  <c r="F36"/>
  <c r="E36"/>
  <c r="F35"/>
  <c r="E35"/>
  <c r="F34"/>
  <c r="E34"/>
  <c r="F33"/>
  <c r="E33"/>
  <c r="F32"/>
  <c r="E32"/>
  <c r="F31"/>
  <c r="E31"/>
  <c r="F30"/>
  <c r="E30"/>
  <c r="F29"/>
  <c r="E29"/>
  <c r="F28"/>
  <c r="E28"/>
  <c r="F27"/>
  <c r="E27"/>
  <c r="F26"/>
  <c r="E26"/>
  <c r="F25"/>
  <c r="E25"/>
  <c r="F24"/>
  <c r="E24"/>
  <c r="F23"/>
  <c r="E23"/>
  <c r="F22"/>
  <c r="E22"/>
  <c r="F21"/>
  <c r="E21"/>
  <c r="F20"/>
  <c r="E20"/>
  <c r="F19"/>
  <c r="E19"/>
  <c r="F18"/>
  <c r="E18"/>
  <c r="F17"/>
  <c r="E17"/>
  <c r="F16"/>
  <c r="E16"/>
  <c r="F15"/>
  <c r="E15"/>
  <c r="F14"/>
  <c r="E14"/>
  <c r="F13"/>
  <c r="E13"/>
  <c r="F12"/>
  <c r="E12"/>
  <c r="F11"/>
  <c r="E11"/>
  <c r="F10"/>
  <c r="E10"/>
  <c r="F9"/>
  <c r="E9"/>
</calcChain>
</file>

<file path=xl/sharedStrings.xml><?xml version="1.0" encoding="utf-8"?>
<sst xmlns="http://schemas.openxmlformats.org/spreadsheetml/2006/main" count="2772" uniqueCount="973">
  <si>
    <t>A. Applications</t>
  </si>
  <si>
    <t>Workers Insured for Disability Benefits, by Gender—Calendar Years 1975-2010</t>
  </si>
  <si>
    <t>Disability Insurance and Supplemental Security Income Disability Applications—Calendar Years 1975-2010</t>
  </si>
  <si>
    <t>Disability Insurance Application Rates by State as a Percentage of State Population Ages 18-64—Calendar Year 2010</t>
  </si>
  <si>
    <t>SSI Adult Disability Application Rates by State—Calendar Year 2010</t>
  </si>
  <si>
    <t>SSI Child Disability Application Rates by State—Calendar Year 2010</t>
  </si>
  <si>
    <t>Percent of Population in Poverty Applying for SSI, by Age Group—Calendar Years 1974-2010</t>
  </si>
  <si>
    <t>Combined DI and SSI Allowance Rates at Each Level of Adjudication—Fiscal Years 1986-2010</t>
  </si>
  <si>
    <t>State Agency Allowance Rates—Fiscal Years 1990-2010</t>
  </si>
  <si>
    <t>Hearing Decision Allowance Rates—Fiscal Years 1990-2010</t>
  </si>
  <si>
    <t>Disability Awards—Calendar Years 1975-2010</t>
  </si>
  <si>
    <t>B. Allowances</t>
  </si>
  <si>
    <t>Incidence Rates for DI Worker Benefits—Calendar Years 1980-2009</t>
  </si>
  <si>
    <t>Outcomes of Claims—Filed in 2008</t>
  </si>
  <si>
    <t>C. Continuing Disability Reviews</t>
  </si>
  <si>
    <t>Number of CDRs Processed—Fiscal Years 1990-2009</t>
  </si>
  <si>
    <t>Medical CDR Continuation Rates by Decision Level and Year of Initial Decision</t>
  </si>
  <si>
    <t>Medical CDR Continuation Rates for SSI Children by Decision Level and Year of Initial Decision</t>
  </si>
  <si>
    <t>Ten Year Estimated Federal Savings by Program from Initial CDR Cessations in Fiscal Year 2009</t>
  </si>
  <si>
    <t>D. Terminations</t>
  </si>
  <si>
    <t>DI Worker Terminations—Calendar Years 1985-2010</t>
  </si>
  <si>
    <t>Disabled Worker Beneficiaries Terminated for Work in 2010 by Gender and Age Group</t>
  </si>
  <si>
    <r>
      <t>Study of Beneficiaries Awarded DI Benefits in 1996 and Their Experience with Returning to Work and Leaving the Disability Rolls (</t>
    </r>
    <r>
      <rPr>
        <i/>
        <sz val="12"/>
        <color theme="1"/>
        <rFont val="Times New Roman"/>
        <family val="1"/>
      </rPr>
      <t>Mathematica Policy Research Study</t>
    </r>
    <r>
      <rPr>
        <sz val="12"/>
        <color theme="1"/>
        <rFont val="Times New Roman"/>
        <family val="1"/>
      </rPr>
      <t>)</t>
    </r>
  </si>
  <si>
    <t>E. Beneficiaries</t>
  </si>
  <si>
    <t>DI and SSI Beneficiaries—Calendar Years 1980-2035 (Projected)</t>
  </si>
  <si>
    <t>DI Worker Beneficiaries as Percentage of Population Insured for Disability by Gender—Calendar Years 1975-2010</t>
  </si>
  <si>
    <t>SSI Beneficiaries as Percentage of Population by Age Group—Calendar Years 1980-2010</t>
  </si>
  <si>
    <t>Disabled Worker Beneficiaries as Percentage of State Population Ages 18 to 64—2010</t>
  </si>
  <si>
    <t>SSI Disabled Adult Beneficiaries in 2010 as Percentage of Total State Population 18 to 64 and of State Population 18 to 64 Below 125% of Poverty Level</t>
  </si>
  <si>
    <t>SSI Children Beneficiaries in 2010 as Percentage of Total State Population under 18 and of Population under 18 below 125% of Poverty Level</t>
  </si>
  <si>
    <t>Expected Time on DI Rolls—2010</t>
  </si>
  <si>
    <t>F. Beneficiary Characteristics</t>
  </si>
  <si>
    <t>Initial DI Worker Awards by Major Cause of Disability—Calendar Years 1975-2010</t>
  </si>
  <si>
    <t>Number and Percentage of Beneficiaries by Type of Impairment—December 2010</t>
  </si>
  <si>
    <t>DI and SSI Beneficiaries with Diagnosis of Mental Impairment—Calendar Years 1986-2010</t>
  </si>
  <si>
    <t>Share of DI Worker Beneficiaries by Age Group—Calendar Years 1984-2010</t>
  </si>
  <si>
    <t>Share of SSI Disabled Beneficiaries under Age 65 by Age Group—Calendar Years 1974-2010</t>
  </si>
  <si>
    <t>Average Age of Newly Awarded DI and SSI Disabled Adult Beneficiaries—Calendar Years 1960-2010 (DI) and 1980-2010 (SSI)</t>
  </si>
  <si>
    <t>Number of DI Worker Beneficiaries by Gender—Calendar Years 1970-2010</t>
  </si>
  <si>
    <t>Percentage of U.S. Population Receiving DI Worker Benefits by Gender and Age Group, 2010</t>
  </si>
  <si>
    <t>Number of SSI Disabled Adult and Child Beneficiaries by Gender—Calendar Years 1993-2010</t>
  </si>
  <si>
    <t>Average Monthly DI Worker Benefit in 2010 Dollars—Calendar Years 1974-2010</t>
  </si>
  <si>
    <t>Monthly SSI Individual Federal Benefit Rate in 2010 Dollars—Calendar Years 1974-2010</t>
  </si>
  <si>
    <t>G. Variation in DDS Decision Making</t>
  </si>
  <si>
    <t>Variations in State Agency Initial Allowance Rates—Fiscal Years 1980-2010</t>
  </si>
  <si>
    <t>State Agency Initial Allowance Rates for DI and SSI by State—Fiscal Years 1985 and 2010</t>
  </si>
  <si>
    <t>Percentage of State Agency DI Awards by Basis for Decision—Fiscal Years 1975-2010</t>
  </si>
  <si>
    <t>Variations in Basis for DI Initial Awards—Fiscal Year 2010</t>
  </si>
  <si>
    <t>DI State Agency Initial Denials by Basis for Decision—Fiscal Years 1975-2010</t>
  </si>
  <si>
    <t>Percentage of State Agency Initial Denials Based on Non-Severe Impairment—Fiscal Year 2010</t>
  </si>
  <si>
    <t>Percentage of State Agency Initial Denials Based on Ability to Perform Usual Work—Fiscal Year 2010</t>
  </si>
  <si>
    <t>Percentage of State Agency Initial Denials Based on Ability to Perform Other Work—Fiscal Year 2010</t>
  </si>
  <si>
    <t>Percentage of Initial Level Claims with Consultative Examinations—Fiscal Year 2010</t>
  </si>
  <si>
    <t>H. State Administrative Arrangements</t>
  </si>
  <si>
    <t>Minimum Salary Levels for Initial Level State Agency Disability Examiners—Fiscal Year 2009</t>
  </si>
  <si>
    <t>Attrition Rates for State Agency Full Time Examiners—Fiscal Year 2010</t>
  </si>
  <si>
    <t>I. Hearings and Appeals</t>
  </si>
  <si>
    <t>Hearing Level Workloads—Fiscal Year 1986-2010</t>
  </si>
  <si>
    <t>Dispositions and ALJs on Duty—Fiscal Years 1986-2010</t>
  </si>
  <si>
    <t>Allowance Rates at Initial and Hearing Levels by State—Fiscal Year 2010</t>
  </si>
  <si>
    <t>Percentage Distribution of ALJ Decisions in Fiscal Years 2002, 2006, and 2010</t>
  </si>
  <si>
    <t>Percentage Distribution of ALJ Allowance Rates in Fiscal Years 2002, 2006, and 2010</t>
  </si>
  <si>
    <t>Medical and Vocational Expert Participation in ALJ Hearings—Fiscal Years 1977-2010</t>
  </si>
  <si>
    <t>Cases with Representation at ALJ Hearings—Fiscal Years 1977-2010</t>
  </si>
  <si>
    <t>Appeals Council Workloads—Fiscal Year 2010</t>
  </si>
  <si>
    <t>Appeals Council Dispositions—Fiscal Years 1975-2010</t>
  </si>
  <si>
    <t>Appeals Council Requests for Review—Fiscal Years 1995-2010</t>
  </si>
  <si>
    <t>J. Processing Times</t>
  </si>
  <si>
    <t>Average Initial Claim Processing Time—Fiscal Years 1991-2010</t>
  </si>
  <si>
    <t>DI and SSI Applications Pending in State Agencies at End of Year—Fiscal Years 1989-2010</t>
  </si>
  <si>
    <t>Average Hearing Level Processing Time—Fiscal Years 1990-2010</t>
  </si>
  <si>
    <t>Cases Pending in Hearing Offices at End of Year—Fiscal Years 1990-2010</t>
  </si>
  <si>
    <t>Appeals Council Processing Times—Fiscal Years 1993-2010</t>
  </si>
  <si>
    <t>K. Federal Courts</t>
  </si>
  <si>
    <t>New Disability Cases Brought to Federal District Courts—Fiscal Years 1993-2010</t>
  </si>
  <si>
    <t>Federal District Court Actions—Fiscal Years 1995-2010</t>
  </si>
  <si>
    <t>Social Security Cases Commenced and Terminated in U.S. Courts of Appeals—Fiscal Years 1997-2010</t>
  </si>
  <si>
    <t>Total DI applications</t>
  </si>
  <si>
    <t>Total DI insured 15-64</t>
  </si>
  <si>
    <t>DI applications as percent of DI insured</t>
  </si>
  <si>
    <t>DI applications as percent of Area population 15-64</t>
  </si>
  <si>
    <t>Number in poverty ages 0-17</t>
  </si>
  <si>
    <t>Number in poverty ages 18-64</t>
  </si>
  <si>
    <t>Total number in poverty</t>
  </si>
  <si>
    <t>SSI aplications as a percent of population in poverty</t>
  </si>
  <si>
    <t>SSI aplications as a percent of population 0-17  in poverty</t>
  </si>
  <si>
    <t>SSI aplications as a percent of population 18-64  in poverty</t>
  </si>
  <si>
    <t>Year</t>
  </si>
  <si>
    <t>SSDI Applications &amp; Insured Population data:</t>
  </si>
  <si>
    <t>U.S. Social Security Administration, Office of the Chief Actuary, data received January 2012.</t>
  </si>
  <si>
    <t>http://www.ssa.gov/policy/docs/statcomps/supplement/2011/6c.html#table6.c7</t>
  </si>
  <si>
    <t>SSI Applications &amp; Poverty data:</t>
  </si>
  <si>
    <t>http://www.ssa.gov/OACT/ssir/SSI11/Participants.html#676195</t>
  </si>
  <si>
    <t>http://www.census.gov/hhes/www/cpstables/032011/pov/new46_100125_05.htm</t>
  </si>
  <si>
    <t>U.S. Social Security Administration, Annual Report of the Supplemental Security Income Program, 2011, table IV.BI, May 2011.</t>
  </si>
  <si>
    <t>U.S. Census Bureau, Current Population Survey, table POV46, September 2011,</t>
  </si>
  <si>
    <t>Male</t>
  </si>
  <si>
    <t>Female</t>
  </si>
  <si>
    <t>Disability</t>
  </si>
  <si>
    <t>(thousands)</t>
  </si>
  <si>
    <t>DI Insured Rate</t>
  </si>
  <si>
    <t xml:space="preserve"> </t>
  </si>
  <si>
    <t>http://www.ssa.gov/policy/docs/statcomps/supplement/2011/4c.html#table4.c2</t>
  </si>
  <si>
    <t>Percent of Population Age 15-64* Insured for Disability, 1970-2010:</t>
  </si>
  <si>
    <t>*Population below full retirement age.</t>
  </si>
  <si>
    <t>Number of Disability Insured Workers:</t>
  </si>
  <si>
    <t>Sources:</t>
  </si>
  <si>
    <t xml:space="preserve">FEMALE </t>
  </si>
  <si>
    <t xml:space="preserve">Disability Insured </t>
  </si>
  <si>
    <t>Workers (thousands)</t>
  </si>
  <si>
    <t xml:space="preserve">MALE </t>
  </si>
  <si>
    <t>State Population</t>
  </si>
  <si>
    <t>(18-64)</t>
  </si>
  <si>
    <t>as % of State Pop</t>
  </si>
  <si>
    <t>UT</t>
  </si>
  <si>
    <t>Utah</t>
  </si>
  <si>
    <t>SD</t>
  </si>
  <si>
    <t>South Dakota</t>
  </si>
  <si>
    <t>HI</t>
  </si>
  <si>
    <t>Hawaii</t>
  </si>
  <si>
    <t>NJ</t>
  </si>
  <si>
    <t>New Jersey</t>
  </si>
  <si>
    <t>WY</t>
  </si>
  <si>
    <t>Wyoming</t>
  </si>
  <si>
    <t>CO</t>
  </si>
  <si>
    <t>Colorado</t>
  </si>
  <si>
    <t>MN</t>
  </si>
  <si>
    <t>Minnesota</t>
  </si>
  <si>
    <t>CT</t>
  </si>
  <si>
    <t>Connecticut</t>
  </si>
  <si>
    <t>NE</t>
  </si>
  <si>
    <t>Nebraska</t>
  </si>
  <si>
    <t>ND</t>
  </si>
  <si>
    <t>North Dakota</t>
  </si>
  <si>
    <t>AZ</t>
  </si>
  <si>
    <t>Arizona</t>
  </si>
  <si>
    <t>VA</t>
  </si>
  <si>
    <t>Virginia</t>
  </si>
  <si>
    <t>IL</t>
  </si>
  <si>
    <t>Illinois</t>
  </si>
  <si>
    <t>NV</t>
  </si>
  <si>
    <t>Nevada</t>
  </si>
  <si>
    <t>CA</t>
  </si>
  <si>
    <t>California</t>
  </si>
  <si>
    <t>AK</t>
  </si>
  <si>
    <t>Alaska</t>
  </si>
  <si>
    <t>WA</t>
  </si>
  <si>
    <t>Washington</t>
  </si>
  <si>
    <t>MT</t>
  </si>
  <si>
    <t>Montana</t>
  </si>
  <si>
    <t>NY</t>
  </si>
  <si>
    <t>New York</t>
  </si>
  <si>
    <t>MA</t>
  </si>
  <si>
    <t>Massachusetts</t>
  </si>
  <si>
    <t>WI</t>
  </si>
  <si>
    <t>Wisconsin</t>
  </si>
  <si>
    <t>DE</t>
  </si>
  <si>
    <t>Delaware</t>
  </si>
  <si>
    <t>IA</t>
  </si>
  <si>
    <t>Iowa</t>
  </si>
  <si>
    <t>TX</t>
  </si>
  <si>
    <t>Texas</t>
  </si>
  <si>
    <t>MD</t>
  </si>
  <si>
    <t>Maryland</t>
  </si>
  <si>
    <t>NH</t>
  </si>
  <si>
    <t>New Hampshire</t>
  </si>
  <si>
    <t>OR</t>
  </si>
  <si>
    <t>Oregon</t>
  </si>
  <si>
    <t>ID</t>
  </si>
  <si>
    <t>Idaho</t>
  </si>
  <si>
    <t>KS</t>
  </si>
  <si>
    <t>Kansas</t>
  </si>
  <si>
    <t>VT</t>
  </si>
  <si>
    <t>Vermont</t>
  </si>
  <si>
    <t>RI</t>
  </si>
  <si>
    <t>Rhode Island</t>
  </si>
  <si>
    <t>DC</t>
  </si>
  <si>
    <t>District of Columbia</t>
  </si>
  <si>
    <t>PA</t>
  </si>
  <si>
    <t>Pennsylvania</t>
  </si>
  <si>
    <t>FL</t>
  </si>
  <si>
    <t>Florida</t>
  </si>
  <si>
    <t>GA</t>
  </si>
  <si>
    <t>Georgia</t>
  </si>
  <si>
    <t>IN</t>
  </si>
  <si>
    <t>Indiana</t>
  </si>
  <si>
    <t>NC</t>
  </si>
  <si>
    <t>North Carolina</t>
  </si>
  <si>
    <t>ME</t>
  </si>
  <si>
    <t>Maine</t>
  </si>
  <si>
    <t>OH</t>
  </si>
  <si>
    <t>Ohio</t>
  </si>
  <si>
    <t>MI</t>
  </si>
  <si>
    <t>Michigan</t>
  </si>
  <si>
    <t>SC</t>
  </si>
  <si>
    <t>South Carolina</t>
  </si>
  <si>
    <t>NM</t>
  </si>
  <si>
    <t>New Mexico</t>
  </si>
  <si>
    <t>OK</t>
  </si>
  <si>
    <t>Oklahoma</t>
  </si>
  <si>
    <t>MO</t>
  </si>
  <si>
    <t>Missouri</t>
  </si>
  <si>
    <t>LA</t>
  </si>
  <si>
    <t>Louisiana</t>
  </si>
  <si>
    <t>TN</t>
  </si>
  <si>
    <t>Tennessee</t>
  </si>
  <si>
    <t>AL</t>
  </si>
  <si>
    <t>Alabama</t>
  </si>
  <si>
    <t>AR</t>
  </si>
  <si>
    <t>Arkansas</t>
  </si>
  <si>
    <t>KY</t>
  </si>
  <si>
    <t>Kentucky</t>
  </si>
  <si>
    <t>WV</t>
  </si>
  <si>
    <t>West Virginia</t>
  </si>
  <si>
    <t>MS</t>
  </si>
  <si>
    <t>Mississippi</t>
  </si>
  <si>
    <t>PR</t>
  </si>
  <si>
    <t>Puerto Rico</t>
  </si>
  <si>
    <t>State</t>
  </si>
  <si>
    <t>http://www.census.gov/prod/cen2010/briefs/c2010br-03.pdf</t>
  </si>
  <si>
    <t>(Although not shown on the map, Puerto Rico is included in the dataset.)</t>
  </si>
  <si>
    <t xml:space="preserve">U.S. Census Bureau, “Age and Sex Composition: 2010,” 2010 Census Briefs, table 3, May 2011,  </t>
  </si>
  <si>
    <t>DI claim receipts data:</t>
  </si>
  <si>
    <t>U.S. Population by state:</t>
  </si>
  <si>
    <t xml:space="preserve">U.S. Social Security Administration, Office of Disability Determinations, </t>
  </si>
  <si>
    <r>
      <rPr>
        <i/>
        <sz val="11"/>
        <color theme="1"/>
        <rFont val="Calibri"/>
        <family val="2"/>
        <scheme val="minor"/>
      </rPr>
      <t>District Office Workload Report</t>
    </r>
    <r>
      <rPr>
        <sz val="11"/>
        <color theme="1"/>
        <rFont val="Calibri"/>
        <family val="2"/>
        <scheme val="minor"/>
      </rPr>
      <t>, data received August 2011.</t>
    </r>
  </si>
  <si>
    <t>3. Disability Insurance Application Rates by State as a Percentage of State Population Ages 18-64—Calendar Year 2010</t>
  </si>
  <si>
    <t>SSI Claims</t>
  </si>
  <si>
    <t>State Pop under</t>
  </si>
  <si>
    <t>125% poverty</t>
  </si>
  <si>
    <t xml:space="preserve">4a. SSI Adult Disability Application Rates as a Percentage </t>
  </si>
  <si>
    <t xml:space="preserve">4b. SSI Adult Disability Application Rates as a Percentage </t>
  </si>
  <si>
    <t xml:space="preserve">State Pop (18-64) </t>
  </si>
  <si>
    <t>under 125% poverty</t>
  </si>
  <si>
    <t>U.S. Census Bureau, “Age and Sex Composition: 2010,” 2010 Census Briefs, table 3, May 2011,</t>
  </si>
  <si>
    <r>
      <t xml:space="preserve">U.S. Social Security Administration, </t>
    </r>
    <r>
      <rPr>
        <i/>
        <sz val="11"/>
        <color theme="1"/>
        <rFont val="Calibri"/>
        <family val="2"/>
        <scheme val="minor"/>
      </rPr>
      <t>SSI Annual Statistical Report, 2010</t>
    </r>
    <r>
      <rPr>
        <sz val="11"/>
        <color theme="1"/>
        <rFont val="Calibri"/>
        <family val="2"/>
        <scheme val="minor"/>
      </rPr>
      <t>, table 61, August 2011,</t>
    </r>
  </si>
  <si>
    <t>http://www.ssa.gov/policy/docs/statcomps/ssi_asr/2010/sect08.html#table61</t>
  </si>
  <si>
    <r>
      <t xml:space="preserve">U.S. Census Bureau, </t>
    </r>
    <r>
      <rPr>
        <i/>
        <sz val="11"/>
        <color theme="1"/>
        <rFont val="Calibri"/>
        <family val="2"/>
        <scheme val="minor"/>
      </rPr>
      <t>Current Population Survey</t>
    </r>
    <r>
      <rPr>
        <sz val="11"/>
        <color theme="1"/>
        <rFont val="Calibri"/>
        <family val="2"/>
        <scheme val="minor"/>
      </rPr>
      <t>, table POV46, September 2011,</t>
    </r>
  </si>
  <si>
    <t>(under 18)</t>
  </si>
  <si>
    <t>5a. SSI Child Disability Application Rates as a Percentage</t>
  </si>
  <si>
    <t xml:space="preserve">5b. SSI Child Disability Application Rates as a Percentage </t>
  </si>
  <si>
    <r>
      <t xml:space="preserve">U.S. Census Bureau, “Age and Sex Composition: 2010,” </t>
    </r>
    <r>
      <rPr>
        <i/>
        <sz val="11"/>
        <color theme="1"/>
        <rFont val="Calibri"/>
        <family val="2"/>
        <scheme val="minor"/>
      </rPr>
      <t>2010 Census Briefs</t>
    </r>
    <r>
      <rPr>
        <sz val="11"/>
        <color theme="1"/>
        <rFont val="Calibri"/>
        <family val="2"/>
        <scheme val="minor"/>
      </rPr>
      <t>, table 3, May 2011,</t>
    </r>
  </si>
  <si>
    <t>6. Percent of Population in Poverty Applying for SSI, by Age Group—Calendar Years 1974-2010</t>
  </si>
  <si>
    <t>under 18</t>
  </si>
  <si>
    <t>18-64</t>
  </si>
  <si>
    <t>poverty</t>
  </si>
  <si>
    <t>in poverty</t>
  </si>
  <si>
    <t>Under 18</t>
  </si>
  <si>
    <t>18 to 64</t>
  </si>
  <si>
    <t>applying</t>
  </si>
  <si>
    <t>U.S. Census Bureau, Current Population Survey, table POV46, (below 100 percent of poverty), September 2011,</t>
  </si>
  <si>
    <t>http://www.ssa.gov/policy/docs/statcomps/ssi_asr/2010/sect08.html#table57</t>
  </si>
  <si>
    <t>Back</t>
  </si>
  <si>
    <t>to Table of Contents</t>
  </si>
  <si>
    <t>Chart (1):</t>
  </si>
  <si>
    <t>Chart (2):</t>
  </si>
  <si>
    <t>Chart (3):</t>
  </si>
  <si>
    <t>Chart (4):</t>
  </si>
  <si>
    <t>Chart (5):</t>
  </si>
  <si>
    <t>Chart (6):</t>
  </si>
  <si>
    <t>Chart (7):</t>
  </si>
  <si>
    <t>Chart (8):</t>
  </si>
  <si>
    <t>Chart (9):</t>
  </si>
  <si>
    <t>Chart (10):</t>
  </si>
  <si>
    <t>Chart (11):</t>
  </si>
  <si>
    <t>Chart (12):</t>
  </si>
  <si>
    <t>Chart (13):</t>
  </si>
  <si>
    <t>Chart (14):</t>
  </si>
  <si>
    <t>Chart (15):</t>
  </si>
  <si>
    <t>Chart (16):</t>
  </si>
  <si>
    <t>Chart (17):</t>
  </si>
  <si>
    <t>Chart (18):</t>
  </si>
  <si>
    <t>Chart (19):</t>
  </si>
  <si>
    <t>Chart (20):</t>
  </si>
  <si>
    <t>Chart (21):</t>
  </si>
  <si>
    <t>Chart (22):</t>
  </si>
  <si>
    <t>Chart (23):</t>
  </si>
  <si>
    <t>Chart (24):</t>
  </si>
  <si>
    <t>Chart (25):</t>
  </si>
  <si>
    <t>Chart (26):</t>
  </si>
  <si>
    <t>Chart (27):</t>
  </si>
  <si>
    <t>Chart (28):</t>
  </si>
  <si>
    <t>Chart (29):</t>
  </si>
  <si>
    <t>Chart (30):</t>
  </si>
  <si>
    <t>Chart (31):</t>
  </si>
  <si>
    <t>Chart (32):</t>
  </si>
  <si>
    <t>Chart (33):</t>
  </si>
  <si>
    <t>Chart (34):</t>
  </si>
  <si>
    <t>Chart (35):</t>
  </si>
  <si>
    <t>Chart (36):</t>
  </si>
  <si>
    <t>Chart (37):</t>
  </si>
  <si>
    <t>Chart (38):</t>
  </si>
  <si>
    <t>Chart (39):</t>
  </si>
  <si>
    <t>Chart (40):</t>
  </si>
  <si>
    <t>Chart (41):</t>
  </si>
  <si>
    <t>Chart (42):</t>
  </si>
  <si>
    <t>Chart (43):</t>
  </si>
  <si>
    <t>Chart (44):</t>
  </si>
  <si>
    <t>Chart (45):</t>
  </si>
  <si>
    <t>Chart (46):</t>
  </si>
  <si>
    <t>Chart (47):</t>
  </si>
  <si>
    <t>Chart (48):</t>
  </si>
  <si>
    <t>Chart (49):</t>
  </si>
  <si>
    <t>Chart (50):</t>
  </si>
  <si>
    <t>Chart (51):</t>
  </si>
  <si>
    <t>Chart (52):</t>
  </si>
  <si>
    <t>Chart (53):</t>
  </si>
  <si>
    <t>Chart (54):</t>
  </si>
  <si>
    <t>Chart (55):</t>
  </si>
  <si>
    <t>Chart (56):</t>
  </si>
  <si>
    <t>Chart (57):</t>
  </si>
  <si>
    <t>Chart (58):</t>
  </si>
  <si>
    <t>Chart (59):</t>
  </si>
  <si>
    <t>Chart (60):</t>
  </si>
  <si>
    <t>Chart (61):</t>
  </si>
  <si>
    <t>Chart (62):</t>
  </si>
  <si>
    <t>Chart (63):</t>
  </si>
  <si>
    <t>Chart (64):</t>
  </si>
  <si>
    <t>Chart (65):</t>
  </si>
  <si>
    <t>Chart (66):</t>
  </si>
  <si>
    <t xml:space="preserve">         Social Security Advisory Board</t>
  </si>
  <si>
    <r>
      <t xml:space="preserve">2012 </t>
    </r>
    <r>
      <rPr>
        <b/>
        <i/>
        <sz val="18"/>
        <rFont val="Times New Roman"/>
        <family val="1"/>
      </rPr>
      <t xml:space="preserve">Aspects of Disability Decision Making: Data and Materials </t>
    </r>
    <r>
      <rPr>
        <b/>
        <sz val="18"/>
        <rFont val="Times New Roman"/>
        <family val="1"/>
      </rPr>
      <t>-- Datasets</t>
    </r>
  </si>
  <si>
    <t>Table of Contents</t>
  </si>
  <si>
    <t>7. Combined DI and SSI Allowance Rates at Each Level of Adjudication—Fiscal Years 1986-2010</t>
  </si>
  <si>
    <t>Initial Level</t>
  </si>
  <si>
    <t>Reconsideration Level</t>
  </si>
  <si>
    <t>*Figures for the hearing level include those involving Social Security retirement and SSI aged issues, but not Medicare.  The vast majority involve disability issues.  Data received August 2011.</t>
  </si>
  <si>
    <r>
      <t xml:space="preserve">U.S. Social Security Administration, Office of Disability Programs (initial and reconsideration level data from </t>
    </r>
    <r>
      <rPr>
        <i/>
        <sz val="11"/>
        <color theme="1"/>
        <rFont val="Calibri"/>
        <family val="2"/>
        <scheme val="minor"/>
      </rPr>
      <t>State Agency Operations Report</t>
    </r>
    <r>
      <rPr>
        <sz val="11"/>
        <color theme="1"/>
        <rFont val="Calibri"/>
        <family val="2"/>
        <scheme val="minor"/>
      </rPr>
      <t xml:space="preserve">)  </t>
    </r>
  </si>
  <si>
    <t>DI</t>
  </si>
  <si>
    <t>SSI</t>
  </si>
  <si>
    <t>Concurrent</t>
  </si>
  <si>
    <r>
      <rPr>
        <b/>
        <sz val="11"/>
        <color theme="1"/>
        <rFont val="Calibri"/>
        <family val="2"/>
        <scheme val="minor"/>
      </rPr>
      <t xml:space="preserve">Note: </t>
    </r>
    <r>
      <rPr>
        <sz val="11"/>
        <color theme="1"/>
        <rFont val="Calibri"/>
        <family val="2"/>
        <scheme val="minor"/>
      </rPr>
      <t>A revised process was introduced on October 1, 1999 in 10 States where initial denials could be appealed directly to the hearing level without a reconsideration.</t>
    </r>
  </si>
  <si>
    <r>
      <t xml:space="preserve">U.S. Social Security Administration, Office of Disability Programs, </t>
    </r>
    <r>
      <rPr>
        <i/>
        <sz val="11"/>
        <color theme="1"/>
        <rFont val="Calibri"/>
        <family val="2"/>
        <scheme val="minor"/>
      </rPr>
      <t>State Agency Operations Report</t>
    </r>
    <r>
      <rPr>
        <sz val="11"/>
        <color theme="1"/>
        <rFont val="Calibri"/>
        <family val="2"/>
        <scheme val="minor"/>
      </rPr>
      <t>, data received August 2011.</t>
    </r>
  </si>
  <si>
    <t>9. Hearing Decision Allowance Rates—Fiscal Years 1990-2010</t>
  </si>
  <si>
    <t>based on Case Control System and Case Processing Management Systems, data received July 2011.</t>
  </si>
  <si>
    <r>
      <t xml:space="preserve">U.S. Social Security Administration, Office of Disability Adjudication and Review, </t>
    </r>
    <r>
      <rPr>
        <i/>
        <sz val="11"/>
        <color theme="1"/>
        <rFont val="Calibri"/>
        <family val="2"/>
        <scheme val="minor"/>
      </rPr>
      <t>Key Workload Indicator Reports</t>
    </r>
  </si>
  <si>
    <r>
      <t xml:space="preserve">U.S. Social Security Administration, Office of Disability Adjudication and Review (hearing level data from </t>
    </r>
    <r>
      <rPr>
        <i/>
        <sz val="11"/>
        <color theme="1"/>
        <rFont val="Calibri"/>
        <family val="2"/>
        <scheme val="minor"/>
      </rPr>
      <t xml:space="preserve">Key Workload Indicator Reports (KWI) </t>
    </r>
  </si>
  <si>
    <t xml:space="preserve">based on Case Control System and Case Processing Management Systems [CPMS]) </t>
  </si>
  <si>
    <t>CY</t>
  </si>
  <si>
    <t>18-34</t>
  </si>
  <si>
    <t>35-49</t>
  </si>
  <si>
    <t>50-64</t>
  </si>
  <si>
    <t>*In thousands</t>
  </si>
  <si>
    <t xml:space="preserve">10b. Percent Difference between Actual DI Expenditures and </t>
  </si>
  <si>
    <t>Estimated in:</t>
  </si>
  <si>
    <t>Est for the year:</t>
  </si>
  <si>
    <t>Estimate in 1991 report</t>
  </si>
  <si>
    <t>Estimate in 1992 report</t>
  </si>
  <si>
    <t>Estimate in 1993 report</t>
  </si>
  <si>
    <t>Estimate in 1994 report</t>
  </si>
  <si>
    <t>Estimate in 1995 report</t>
  </si>
  <si>
    <t>Estimate in 1996 report</t>
  </si>
  <si>
    <t>Estimate in 1998 report</t>
  </si>
  <si>
    <t>Estimate in 1999 report</t>
  </si>
  <si>
    <t>Estimate in 2000 report</t>
  </si>
  <si>
    <t>Estimate in 2001 report</t>
  </si>
  <si>
    <t>Estimate in 2002 report</t>
  </si>
  <si>
    <t>Estimate in 2003 report</t>
  </si>
  <si>
    <t>Estimate in 2004 report</t>
  </si>
  <si>
    <t>Estimate in 2005 report</t>
  </si>
  <si>
    <t>Estimate in 2006 report</t>
  </si>
  <si>
    <t>Estimate in 2007 report</t>
  </si>
  <si>
    <t>Estimate in 2008 report</t>
  </si>
  <si>
    <t>Estimate in 2009 report</t>
  </si>
  <si>
    <t>Percent difference from actual</t>
  </si>
  <si>
    <t>Reported in TR:</t>
  </si>
  <si>
    <t>Estimate in 1997 report</t>
  </si>
  <si>
    <t>http://www.socialsecurity.gov/OACT/ssir/SSI11/Participants.html#642998</t>
  </si>
  <si>
    <t>Disability Awards data:</t>
  </si>
  <si>
    <t>Program Expenditures data from Trustees' Reports – Estimates vs. Actual:</t>
  </si>
  <si>
    <t>11. Incidence Rates for DI Worker Benefits—Calendar Years 1980-2009</t>
  </si>
  <si>
    <t>Gross Rate per 1,000 exposed</t>
  </si>
  <si>
    <r>
      <t xml:space="preserve">U.S. Social Security Administration, Office of the Chief Actuary, </t>
    </r>
    <r>
      <rPr>
        <i/>
        <sz val="11"/>
        <color theme="1"/>
        <rFont val="Calibri"/>
        <family val="2"/>
        <scheme val="minor"/>
      </rPr>
      <t>Social Security Disability Insurance Program Worker Experience</t>
    </r>
    <r>
      <rPr>
        <sz val="11"/>
        <color theme="1"/>
        <rFont val="Calibri"/>
        <family val="2"/>
        <scheme val="minor"/>
      </rPr>
      <t xml:space="preserve"> (Actuarial Study 122), May 2011 </t>
    </r>
  </si>
  <si>
    <t>http://www.socialsecurity.gov/OACT/NOTES/s2010s.html</t>
  </si>
  <si>
    <t>12. Outcomes of Claims—Filed in 2008</t>
  </si>
  <si>
    <t>U.S. Social Security Administration, Office of Retirement and Disability Policy, Longitudinal Disability Research File, July 15, 2011.</t>
  </si>
  <si>
    <t>13. Number of CDRs Processed—Fiscal Years 1990-2009</t>
  </si>
  <si>
    <t>FY</t>
  </si>
  <si>
    <t>Mailers</t>
  </si>
  <si>
    <t>Total</t>
  </si>
  <si>
    <t>Medical CDRs</t>
  </si>
  <si>
    <r>
      <t xml:space="preserve">U.S. Social Security Administration, </t>
    </r>
    <r>
      <rPr>
        <i/>
        <sz val="11"/>
        <color theme="1"/>
        <rFont val="Calibri"/>
        <family val="2"/>
        <scheme val="minor"/>
      </rPr>
      <t>Annual Report of Continuing Disability Reviews, Fiscal Year 2009</t>
    </r>
    <r>
      <rPr>
        <sz val="11"/>
        <color theme="1"/>
        <rFont val="Calibri"/>
        <family val="2"/>
        <scheme val="minor"/>
      </rPr>
      <t>, February 2011.</t>
    </r>
  </si>
  <si>
    <t>FY of initial DDS decision</t>
  </si>
  <si>
    <t>Recon continuation rate</t>
  </si>
  <si>
    <t>Initial continuation rate</t>
  </si>
  <si>
    <t>Appeals continuation rate</t>
  </si>
  <si>
    <t>Title 2 data: Appendix A, Table A2</t>
  </si>
  <si>
    <t>Title XVI data: Appendix A, Table A6</t>
  </si>
  <si>
    <t>Appendix A, Table A5</t>
  </si>
  <si>
    <t>OASDI</t>
  </si>
  <si>
    <t>SMI-B</t>
  </si>
  <si>
    <t>SMI-D</t>
  </si>
  <si>
    <t>Medicaid</t>
  </si>
  <si>
    <t>16. Ten Year Estimated Federal Savings* by Program from Initial CDR Cessations in Fiscal Year 2009</t>
  </si>
  <si>
    <t>*in millions of dollars</t>
  </si>
  <si>
    <t>Appendix B, Table B2</t>
  </si>
  <si>
    <t>Recovery</t>
  </si>
  <si>
    <t>Death</t>
  </si>
  <si>
    <t>Conversion</t>
  </si>
  <si>
    <t>Other</t>
  </si>
  <si>
    <t>*in thousands</t>
  </si>
  <si>
    <r>
      <t xml:space="preserve">U.S. Social Security Administration, Office of the Chief Actuary, </t>
    </r>
    <r>
      <rPr>
        <i/>
        <sz val="11"/>
        <color theme="1"/>
        <rFont val="Calibri"/>
        <family val="2"/>
        <scheme val="minor"/>
      </rPr>
      <t>Social Security Disability Insurance Program Worker Experience</t>
    </r>
    <r>
      <rPr>
        <sz val="11"/>
        <color theme="1"/>
        <rFont val="Calibri"/>
        <family val="2"/>
        <scheme val="minor"/>
      </rPr>
      <t xml:space="preserve"> (Actuarial Study 122), Table 5, May 2011, </t>
    </r>
  </si>
  <si>
    <t>2010 data received from unpublished Office of the Chief Actuary DIB terminations summary dated June 2011</t>
  </si>
  <si>
    <t>Men</t>
  </si>
  <si>
    <t>Women</t>
  </si>
  <si>
    <t>Under 30</t>
  </si>
  <si>
    <t>30-39</t>
  </si>
  <si>
    <t>40-49</t>
  </si>
  <si>
    <t>50-59</t>
  </si>
  <si>
    <t>60-FRA</t>
  </si>
  <si>
    <t>Age</t>
  </si>
  <si>
    <t>http://www.ssa.gov/policy/docs/statcomps/di_asr/2010/sect03g.html#table57</t>
  </si>
  <si>
    <t>Number</t>
  </si>
  <si>
    <t>Percent</t>
  </si>
  <si>
    <t>Number:</t>
  </si>
  <si>
    <t>Percent:</t>
  </si>
  <si>
    <t>19. Study of Beneficiaries Awarded DI Benefits in 1996 and Their Experience with Returning to</t>
  </si>
  <si>
    <t>Work and Leaving the Disability Rolls—(Mathematica Policy Research Study)</t>
  </si>
  <si>
    <t xml:space="preserve">SSDI Awards: </t>
  </si>
  <si>
    <t>Completed Trial Work Period:</t>
  </si>
  <si>
    <t>Employed:</t>
  </si>
  <si>
    <t>Benefits Terminated After Finding Work:</t>
  </si>
  <si>
    <t>Benefits Suspended After Finding Work:</t>
  </si>
  <si>
    <t>Source:</t>
  </si>
  <si>
    <t xml:space="preserve">Liu, Sui and David Stapleton, "How Many SSDI Beneficiaries Leave the Rolls for Work?  More Than You Might Think," Disability Policy Research Brief #10-01, </t>
  </si>
  <si>
    <t xml:space="preserve">Washington, D.C.: Center for Studying Disability Policy, Mathematica, Policy Research Inc., April 2010, </t>
  </si>
  <si>
    <t>http://www.mathematica-mpr.com/publications/PDFs/disability/ssdi_benef_ib.pdf</t>
  </si>
  <si>
    <t xml:space="preserve">DI </t>
  </si>
  <si>
    <t>20. DI and SSI Beneficiaries*—Calendar Years 1980-2035 (Projected)</t>
  </si>
  <si>
    <t>SSI 18 to 64</t>
  </si>
  <si>
    <t>SSI under 18</t>
  </si>
  <si>
    <r>
      <t xml:space="preserve">U.S. Social Security Administration, Office of the Chief Actuary, </t>
    </r>
    <r>
      <rPr>
        <i/>
        <sz val="11"/>
        <color theme="1"/>
        <rFont val="Calibri"/>
        <family val="2"/>
        <scheme val="minor"/>
      </rPr>
      <t>OASDI Trustees Report, 2011</t>
    </r>
    <r>
      <rPr>
        <sz val="11"/>
        <color theme="1"/>
        <rFont val="Calibri"/>
        <family val="2"/>
        <scheme val="minor"/>
      </rPr>
      <t xml:space="preserve">, table IV.B2 (intermediate assumptions), May 2011, </t>
    </r>
  </si>
  <si>
    <t>http://www.socialsecurity.gov/OACT/TR/2011/lr4b2.html</t>
  </si>
  <si>
    <t>SSI data:</t>
  </si>
  <si>
    <t>DI data:</t>
  </si>
  <si>
    <r>
      <t xml:space="preserve">U.S. Social Security Administration, Office of the Chief Actuary, </t>
    </r>
    <r>
      <rPr>
        <i/>
        <sz val="11"/>
        <color theme="1"/>
        <rFont val="Calibri"/>
        <family val="2"/>
        <scheme val="minor"/>
      </rPr>
      <t>Annual Report of the SSI Program, 2011</t>
    </r>
    <r>
      <rPr>
        <sz val="11"/>
        <color theme="1"/>
        <rFont val="Calibri"/>
        <family val="2"/>
        <scheme val="minor"/>
      </rPr>
      <t xml:space="preserve">, table IV.B6, May 2011, </t>
    </r>
  </si>
  <si>
    <t xml:space="preserve">U.S. Social Security Administration, Office of Retirement and Disability Policy, </t>
  </si>
  <si>
    <r>
      <rPr>
        <i/>
        <sz val="11"/>
        <color theme="1"/>
        <rFont val="Calibri"/>
        <family val="2"/>
        <scheme val="minor"/>
      </rPr>
      <t>Annual Statistical Report on the Social Security Disability Insurance Program</t>
    </r>
    <r>
      <rPr>
        <sz val="11"/>
        <color theme="1"/>
        <rFont val="Calibri"/>
        <family val="2"/>
        <scheme val="minor"/>
      </rPr>
      <t>, 2010, table 57, August 2011</t>
    </r>
  </si>
  <si>
    <r>
      <t xml:space="preserve">U.S. Social Security Administration, Office of the Chief Actuary, </t>
    </r>
    <r>
      <rPr>
        <i/>
        <sz val="11"/>
        <color theme="1"/>
        <rFont val="Calibri"/>
        <family val="2"/>
        <scheme val="minor"/>
      </rPr>
      <t>Annual Report of the SSI Program, 2011</t>
    </r>
    <r>
      <rPr>
        <sz val="11"/>
        <color theme="1"/>
        <rFont val="Calibri"/>
        <family val="2"/>
        <scheme val="minor"/>
      </rPr>
      <t>, table IV.B2, August 2011</t>
    </r>
  </si>
  <si>
    <r>
      <t xml:space="preserve">U.S. Social Security Administration, Office of Retirement and Disability Policy, </t>
    </r>
    <r>
      <rPr>
        <i/>
        <sz val="11"/>
        <color theme="1"/>
        <rFont val="Calibri"/>
        <family val="2"/>
        <scheme val="minor"/>
      </rPr>
      <t>Annual Statistical Supplement</t>
    </r>
    <r>
      <rPr>
        <sz val="11"/>
        <color theme="1"/>
        <rFont val="Calibri"/>
        <family val="2"/>
        <scheme val="minor"/>
      </rPr>
      <t>, 2011, table 6.C7, February 2012</t>
    </r>
  </si>
  <si>
    <r>
      <t xml:space="preserve">U.S. Social Security Administration, Office of Retirement and Disability Policy, </t>
    </r>
    <r>
      <rPr>
        <i/>
        <sz val="11"/>
        <color theme="1"/>
        <rFont val="Calibri"/>
        <family val="2"/>
        <scheme val="minor"/>
      </rPr>
      <t>SSI Annual Statistical Report, 2010</t>
    </r>
    <r>
      <rPr>
        <sz val="11"/>
        <color theme="1"/>
        <rFont val="Calibri"/>
        <family val="2"/>
        <scheme val="minor"/>
      </rPr>
      <t>, table 57, August 2011,</t>
    </r>
  </si>
  <si>
    <r>
      <t xml:space="preserve">U.S. Social Security Administration, Office of Retirement and Disability Policy, </t>
    </r>
    <r>
      <rPr>
        <i/>
        <sz val="11"/>
        <color theme="1"/>
        <rFont val="Calibri"/>
        <family val="2"/>
        <scheme val="minor"/>
      </rPr>
      <t>SSI Annual Statistical Report, 2010</t>
    </r>
    <r>
      <rPr>
        <sz val="11"/>
        <color theme="1"/>
        <rFont val="Calibri"/>
        <family val="2"/>
        <scheme val="minor"/>
      </rPr>
      <t>, table 61, August 2011,</t>
    </r>
  </si>
  <si>
    <r>
      <t xml:space="preserve">U.S. Social Security Administration, Office of Retirement and Disability Policy, </t>
    </r>
    <r>
      <rPr>
        <i/>
        <sz val="11"/>
        <color theme="1"/>
        <rFont val="Calibri"/>
        <family val="2"/>
        <scheme val="minor"/>
      </rPr>
      <t>Annual Statistical Supplement, 2011</t>
    </r>
    <r>
      <rPr>
        <sz val="11"/>
        <color theme="1"/>
        <rFont val="Calibri"/>
        <family val="2"/>
        <scheme val="minor"/>
      </rPr>
      <t xml:space="preserve">, table 4.C2, </t>
    </r>
  </si>
  <si>
    <r>
      <t xml:space="preserve">U.S. Social Security Administration, Office of Retirement and Disability Policy, </t>
    </r>
    <r>
      <rPr>
        <i/>
        <sz val="11"/>
        <color theme="1"/>
        <rFont val="Calibri"/>
        <family val="2"/>
        <scheme val="minor"/>
      </rPr>
      <t>Annual Statistical Supplement, 2011</t>
    </r>
    <r>
      <rPr>
        <sz val="11"/>
        <color theme="1"/>
        <rFont val="Calibri"/>
        <family val="2"/>
        <scheme val="minor"/>
      </rPr>
      <t>, table 6.7C,</t>
    </r>
  </si>
  <si>
    <t>21. DI Worker Beneficiaries as Percentage of Population Insured for Disability by Gender—</t>
  </si>
  <si>
    <t>Calendar Years 1975-2010</t>
  </si>
  <si>
    <t>Disability Insured Workers (thousands)</t>
  </si>
  <si>
    <t>Disabled Worker Beneficiaries (thousands)</t>
  </si>
  <si>
    <t>Disabled Worker Beneficiaries as % of Disability Insured Workers</t>
  </si>
  <si>
    <t>MALE Disability Insured Workers (thousands)</t>
  </si>
  <si>
    <t>MALE Disabled Worker Beneficiaries (thousands)</t>
  </si>
  <si>
    <t>MALE Disabled Worker Beneficiaries as % of MALE Disability Insured Workers</t>
  </si>
  <si>
    <t>FEMALE Disability Insured Workers (thousands)</t>
  </si>
  <si>
    <t>FEMALE Disabled Worker Beneficiaries (thousands)</t>
  </si>
  <si>
    <t>FEMALE Disabled Worker Beneficiaries as % of FEMALE Disability Insured Workers</t>
  </si>
  <si>
    <r>
      <t xml:space="preserve">U.S. Social Security Administration, Office of Retirement and Disability, </t>
    </r>
    <r>
      <rPr>
        <i/>
        <sz val="11"/>
        <color theme="1"/>
        <rFont val="Calibri"/>
        <family val="2"/>
        <scheme val="minor"/>
      </rPr>
      <t>Annual Statistical Supplement, 2011</t>
    </r>
    <r>
      <rPr>
        <sz val="11"/>
        <color theme="1"/>
        <rFont val="Calibri"/>
        <family val="2"/>
        <scheme val="minor"/>
      </rPr>
      <t>, tables 4.C2 and 5.D1, February 2012</t>
    </r>
  </si>
  <si>
    <t>http://www.ssa.gov/policy/docs/statcomps/supplement/2011/5d.html#table5.d1</t>
  </si>
  <si>
    <t>22. SSI Beneficiaries as Percentage of Population by Age Group—Calendar Years 1980-2010</t>
  </si>
  <si>
    <t>0-17</t>
  </si>
  <si>
    <t>Resident Population 18 to 64 (thousands)</t>
  </si>
  <si>
    <t>Resident Population Under 18 (thousands)</t>
  </si>
  <si>
    <t>Population data:</t>
  </si>
  <si>
    <t>http://www.socialsecurity.gov/oact/ssir/SSI11/Participants.html#642998</t>
  </si>
  <si>
    <r>
      <t xml:space="preserve">U.S. Social Security Administration, Office of the Chief Actuary, </t>
    </r>
    <r>
      <rPr>
        <i/>
        <sz val="11"/>
        <color theme="1"/>
        <rFont val="Calibri"/>
        <family val="2"/>
        <scheme val="minor"/>
      </rPr>
      <t>Annual Report of the SSI Program, 2011</t>
    </r>
    <r>
      <rPr>
        <sz val="11"/>
        <color theme="1"/>
        <rFont val="Calibri"/>
        <family val="2"/>
        <scheme val="minor"/>
      </rPr>
      <t xml:space="preserve">, table IV.B6, May 2011, </t>
    </r>
  </si>
  <si>
    <r>
      <t xml:space="preserve">U.S. Census Bureau, </t>
    </r>
    <r>
      <rPr>
        <i/>
        <sz val="11"/>
        <color theme="1"/>
        <rFont val="Calibri"/>
        <family val="2"/>
        <scheme val="minor"/>
      </rPr>
      <t>Statistical Abstract of the United States</t>
    </r>
    <r>
      <rPr>
        <sz val="11"/>
        <color theme="1"/>
        <rFont val="Calibri"/>
        <family val="2"/>
        <scheme val="minor"/>
      </rPr>
      <t xml:space="preserve"> and “Age and Sex Composition: 2010,” 2010 Census Briefs, May 2011,</t>
    </r>
  </si>
  <si>
    <t>23. Disabled Worker Beneficiaries as Percentage of State Population Ages 18 to 64—2010</t>
  </si>
  <si>
    <t>Disabled Workers</t>
  </si>
  <si>
    <t>Code</t>
  </si>
  <si>
    <t>State Population, aged 18-64</t>
  </si>
  <si>
    <t>Worker beneficiaries as % of State Population aged 18-64</t>
  </si>
  <si>
    <r>
      <t xml:space="preserve">U.S. Social Security Administration, Office of Retirement and Disability Policy, </t>
    </r>
    <r>
      <rPr>
        <i/>
        <sz val="11"/>
        <color theme="1"/>
        <rFont val="Calibri"/>
        <family val="2"/>
        <scheme val="minor"/>
      </rPr>
      <t>Annual Statistical Supplement, 2011</t>
    </r>
    <r>
      <rPr>
        <sz val="11"/>
        <color theme="1"/>
        <rFont val="Calibri"/>
        <family val="2"/>
        <scheme val="minor"/>
      </rPr>
      <t xml:space="preserve">, table 5.J14, </t>
    </r>
  </si>
  <si>
    <t>http://www.socialsecurity.gov/policy/docs/statcomps/supplement/2011/5j.html#table5.j14</t>
  </si>
  <si>
    <r>
      <t xml:space="preserve">U.S. Census Bureau, “Age and Sex Composition: 2010,” </t>
    </r>
    <r>
      <rPr>
        <i/>
        <sz val="11"/>
        <color theme="1"/>
        <rFont val="Calibri"/>
        <family val="2"/>
        <scheme val="minor"/>
      </rPr>
      <t>2010 Census Briefs</t>
    </r>
    <r>
      <rPr>
        <sz val="11"/>
        <color theme="1"/>
        <rFont val="Calibri"/>
        <family val="2"/>
        <scheme val="minor"/>
      </rPr>
      <t xml:space="preserve">, table 3, May 2011, </t>
    </r>
  </si>
  <si>
    <t>24. SSI Disabled Adult Beneficiaries in 2010 as Percentage of Total State Population 18 to 64 and</t>
  </si>
  <si>
    <t>of State Population 18 to 64 Below 125% of Poverty Level</t>
  </si>
  <si>
    <t>SSI Recipients, 18-64</t>
  </si>
  <si>
    <t>State Population, 18-64</t>
  </si>
  <si>
    <t>State Population, 18-64, below 125% poverty</t>
  </si>
  <si>
    <t>SSI Recipients, 18-64, as % of state pop</t>
  </si>
  <si>
    <t>SSI Recipients, 18-64, as a % of state pop below 125% pov</t>
  </si>
  <si>
    <r>
      <t xml:space="preserve">U.S. Social Security Administration, Office of Retirement and Disability Policy, </t>
    </r>
    <r>
      <rPr>
        <i/>
        <sz val="11"/>
        <color theme="1"/>
        <rFont val="Calibri"/>
        <family val="2"/>
        <scheme val="minor"/>
      </rPr>
      <t>SSI Annual Statistical Report, 2010</t>
    </r>
    <r>
      <rPr>
        <sz val="11"/>
        <color theme="1"/>
        <rFont val="Calibri"/>
        <family val="2"/>
        <scheme val="minor"/>
      </rPr>
      <t xml:space="preserve">, table 10, May 2011, </t>
    </r>
  </si>
  <si>
    <t>http://www.ssa.gov/policy/docs/statcomps/ssi_asr/2010/sect02.html#table10</t>
  </si>
  <si>
    <t>Poverty data:</t>
  </si>
  <si>
    <r>
      <t xml:space="preserve">U.S. Census Bureau, </t>
    </r>
    <r>
      <rPr>
        <i/>
        <sz val="11"/>
        <color theme="1"/>
        <rFont val="Calibri"/>
        <family val="2"/>
        <scheme val="minor"/>
      </rPr>
      <t>Current Population Survey</t>
    </r>
    <r>
      <rPr>
        <sz val="11"/>
        <color theme="1"/>
        <rFont val="Calibri"/>
        <family val="2"/>
        <scheme val="minor"/>
      </rPr>
      <t xml:space="preserve">, 2011 Annual Social and Economic Supplement, POV46, Poverty status by state: 2010, September 2011, </t>
    </r>
  </si>
  <si>
    <t>25. SSI Children Beneficiaries in 2010 as Percentage of Total State Population under 18 and of</t>
  </si>
  <si>
    <t>Population under 18 below 125% of Poverty Level</t>
  </si>
  <si>
    <t>SSI Recipients, Under 18</t>
  </si>
  <si>
    <t>State Population, Under 18</t>
  </si>
  <si>
    <t>State Population, Under 18, below 125% poverty</t>
  </si>
  <si>
    <t>SSI Recipients, Under 18, as % of state pop</t>
  </si>
  <si>
    <t>SSI Recipients, Under 18, as a % of state pop below 125% pov</t>
  </si>
  <si>
    <t>Age at Entitlement</t>
  </si>
  <si>
    <t>26. Expected Time* on DI Rolls—2010</t>
  </si>
  <si>
    <t>*Years</t>
  </si>
  <si>
    <t>26a. 2001-2005 Social Security DI Disability Experience:</t>
  </si>
  <si>
    <t>26b. 1996-2000 Social Security DI Disability Experience:</t>
  </si>
  <si>
    <r>
      <t xml:space="preserve">U.S. Social Security Administration, Office of the Chief Actuary, </t>
    </r>
    <r>
      <rPr>
        <i/>
        <sz val="11"/>
        <color theme="1"/>
        <rFont val="Calibri"/>
        <family val="2"/>
        <scheme val="minor"/>
      </rPr>
      <t>Disabled Workers: Aggregate Probability of Death or Recovery and Expected Time on the Rolls</t>
    </r>
    <r>
      <rPr>
        <sz val="11"/>
        <color theme="1"/>
        <rFont val="Calibri"/>
        <family val="2"/>
        <scheme val="minor"/>
      </rPr>
      <t xml:space="preserve">, </t>
    </r>
  </si>
  <si>
    <t>2001-2005 data:</t>
  </si>
  <si>
    <t>1996-2000 data:</t>
  </si>
  <si>
    <r>
      <rPr>
        <i/>
        <sz val="11"/>
        <color theme="1"/>
        <rFont val="Calibri"/>
        <family val="2"/>
        <scheme val="minor"/>
      </rPr>
      <t>by Select Age</t>
    </r>
    <r>
      <rPr>
        <sz val="11"/>
        <color theme="1"/>
        <rFont val="Calibri"/>
        <family val="2"/>
        <scheme val="minor"/>
      </rPr>
      <t xml:space="preserve"> (Actuarial Study 122, table 25), May 2011, </t>
    </r>
  </si>
  <si>
    <r>
      <rPr>
        <i/>
        <sz val="11"/>
        <color theme="1"/>
        <rFont val="Calibri"/>
        <family val="2"/>
        <scheme val="minor"/>
      </rPr>
      <t>by Select Age</t>
    </r>
    <r>
      <rPr>
        <sz val="11"/>
        <color theme="1"/>
        <rFont val="Calibri"/>
        <family val="2"/>
        <scheme val="minor"/>
      </rPr>
      <t xml:space="preserve"> (Actuarial Study 118, table 25), June 2005, </t>
    </r>
  </si>
  <si>
    <t>http://www.socialsecurity.gov/OACT/NOTES/s2000s.html</t>
  </si>
  <si>
    <t>27. Initial DI Worker Awards by Major Cause of Disability—Calendar Years 1975-2010</t>
  </si>
  <si>
    <t>Musculoskeletal</t>
  </si>
  <si>
    <t>Mental, psychoneurotic, &amp; Personality disorders</t>
  </si>
  <si>
    <t>Cancer/Neoplasms</t>
  </si>
  <si>
    <t>Circulatory System</t>
  </si>
  <si>
    <t>Musculoskeletal System</t>
  </si>
  <si>
    <r>
      <t xml:space="preserve">U.S. Social Security Administration, Office of Research, Evaluation and Statistics, </t>
    </r>
    <r>
      <rPr>
        <i/>
        <sz val="11"/>
        <color theme="1"/>
        <rFont val="Calibri"/>
        <family val="2"/>
        <scheme val="minor"/>
      </rPr>
      <t>SSA-831 File</t>
    </r>
    <r>
      <rPr>
        <sz val="11"/>
        <color theme="1"/>
        <rFont val="Calibri"/>
        <family val="2"/>
        <scheme val="minor"/>
      </rPr>
      <t>, data received August 2011</t>
    </r>
  </si>
  <si>
    <t>28. Number and Percentage of Beneficiaries by Type of Impairment—December 2010</t>
  </si>
  <si>
    <t>Intellectual disability</t>
  </si>
  <si>
    <t>Other mental</t>
  </si>
  <si>
    <t>Circulatory system</t>
  </si>
  <si>
    <t>Nervous system and sense organs</t>
  </si>
  <si>
    <t xml:space="preserve">Other  </t>
  </si>
  <si>
    <t>Total:</t>
  </si>
  <si>
    <t>28a. DI Worker Beneficiaries:</t>
  </si>
  <si>
    <t>28b. SSI Beneficiaries, Ages 18 to 64:</t>
  </si>
  <si>
    <t>28c. SSI Beneficiaries under Age 18:</t>
  </si>
  <si>
    <t>Congenital anomalies</t>
  </si>
  <si>
    <r>
      <t xml:space="preserve">U.S. Social Security Administration, Office of Retirement and Disability Policy, </t>
    </r>
    <r>
      <rPr>
        <sz val="11"/>
        <color theme="1"/>
        <rFont val="Calibri"/>
        <family val="2"/>
        <scheme val="minor"/>
      </rPr>
      <t xml:space="preserve"> </t>
    </r>
  </si>
  <si>
    <r>
      <rPr>
        <i/>
        <sz val="11"/>
        <color theme="1"/>
        <rFont val="Calibri"/>
        <family val="2"/>
        <scheme val="minor"/>
      </rPr>
      <t>Annual Statistical Report on the Social Security Disability Program, 2010</t>
    </r>
    <r>
      <rPr>
        <sz val="11"/>
        <color theme="1"/>
        <rFont val="Calibri"/>
        <family val="2"/>
        <scheme val="minor"/>
      </rPr>
      <t>, table 21, August 2011,</t>
    </r>
  </si>
  <si>
    <t>http://www.ssa.gov/policy/docs/statcomps/di_asr/2010/sect01c.html#table21</t>
  </si>
  <si>
    <r>
      <rPr>
        <i/>
        <sz val="11"/>
        <color theme="1"/>
        <rFont val="Calibri"/>
        <family val="2"/>
        <scheme val="minor"/>
      </rPr>
      <t>SSI Annual Statistical Report, 2010</t>
    </r>
    <r>
      <rPr>
        <sz val="11"/>
        <color theme="1"/>
        <rFont val="Calibri"/>
        <family val="2"/>
        <scheme val="minor"/>
      </rPr>
      <t>, tables 35 and 36, August 2011,</t>
    </r>
  </si>
  <si>
    <t>http://www.ssa.gov/policy/docs/statcomps/ssi_asr/2010/sect06.html#table35</t>
  </si>
  <si>
    <t>http://www.ssa.gov/policy/docs/statcomps/ssi_asr/2010/sect06.html#table36</t>
  </si>
  <si>
    <t>29. DI and SSI Beneficiaries with Diagnosis of Mental Impairment—Calendar Years 1986-2010</t>
  </si>
  <si>
    <t>29a. DI Beneficiaries with Diagnosis of Mental Impairment, 1986-2010:</t>
  </si>
  <si>
    <t>Intellectual Disability</t>
  </si>
  <si>
    <t>Other Mental</t>
  </si>
  <si>
    <t>Total Mental</t>
  </si>
  <si>
    <t>29b. SSI Beneficiaries with Diagnosis of Mental Impairment, 1986-2010:</t>
  </si>
  <si>
    <r>
      <t xml:space="preserve">U.S. Social Security Administration, Office of Retirement and Disability Policy, </t>
    </r>
    <r>
      <rPr>
        <i/>
        <sz val="11"/>
        <color theme="1"/>
        <rFont val="Calibri"/>
        <family val="2"/>
        <scheme val="minor"/>
      </rPr>
      <t>Annual Statistical Report on the Social Security Disability Program, 2010</t>
    </r>
    <r>
      <rPr>
        <sz val="11"/>
        <color theme="1"/>
        <rFont val="Calibri"/>
        <family val="2"/>
        <scheme val="minor"/>
      </rPr>
      <t xml:space="preserve">, table 21, August 2011, </t>
    </r>
  </si>
  <si>
    <r>
      <t xml:space="preserve">U.S. Social Security Administration, Office of Retirement and Disability Policy, </t>
    </r>
    <r>
      <rPr>
        <i/>
        <sz val="11"/>
        <color theme="1"/>
        <rFont val="Calibri"/>
        <family val="2"/>
        <scheme val="minor"/>
      </rPr>
      <t>SSI Annual Statistical Report, 2010</t>
    </r>
    <r>
      <rPr>
        <sz val="11"/>
        <color theme="1"/>
        <rFont val="Calibri"/>
        <family val="2"/>
        <scheme val="minor"/>
      </rPr>
      <t xml:space="preserve">, table 34, August 2011, </t>
    </r>
  </si>
  <si>
    <t>http://www.ssa.gov/policy/docs/statcomps/ssi_asr/2010/sect06.html#table34</t>
  </si>
  <si>
    <t>30. Share of DI Worker Beneficiaries by Age Group—Calendar Years 1984-2010</t>
  </si>
  <si>
    <t>Percent Under 30</t>
  </si>
  <si>
    <t>Percent 30-39</t>
  </si>
  <si>
    <t>Percent 40-49</t>
  </si>
  <si>
    <t>Percent 50-59</t>
  </si>
  <si>
    <t>Percent 60-FRA*</t>
  </si>
  <si>
    <t>*FRA = Full Retirement Age</t>
  </si>
  <si>
    <t>http://www.ssa.gov/policy/docs/statcomps/supplement/2011/5d.html#table5.d4</t>
  </si>
  <si>
    <r>
      <t xml:space="preserve">U.S. Social Security Administration, Office of Retirement and Disability Policy, </t>
    </r>
    <r>
      <rPr>
        <i/>
        <sz val="11"/>
        <color theme="1"/>
        <rFont val="Calibri"/>
        <family val="2"/>
        <scheme val="minor"/>
      </rPr>
      <t>Annual Statistical Supplement, 2011</t>
    </r>
    <r>
      <rPr>
        <sz val="11"/>
        <color theme="1"/>
        <rFont val="Calibri"/>
        <family val="2"/>
        <scheme val="minor"/>
      </rPr>
      <t>, table 5.D4, February 2012</t>
    </r>
  </si>
  <si>
    <t>31. Share of SSI Disabled Beneficiaries* under Age 65 by Age Group—Calendar Years 1974-2010</t>
  </si>
  <si>
    <t>http://www.ssa.gov/oact/ssir/SSI11/Participants.html#642998</t>
  </si>
  <si>
    <t>32. Average Age of Newly Awarded DI and SSI Disabled Adult Beneficiaries—Calendar Years</t>
  </si>
  <si>
    <t>1960-2010 (DI) and 1980-2010 (SSI)</t>
  </si>
  <si>
    <t>32a. Average Age of Newly Awarded DI Beneficiaries, 1960-2010:</t>
  </si>
  <si>
    <t>32b. Average Age of Newly Awarded SSI Disabled Adult Beneficiaries, 1980-2010:</t>
  </si>
  <si>
    <t>U.S. Social Security Administration, Office of the Chief Actuary, from 10 percent sample files, data received June 2011</t>
  </si>
  <si>
    <r>
      <t xml:space="preserve">U.S. Social Security Administration, Office of Research, Evaluation, and Statistics, </t>
    </r>
    <r>
      <rPr>
        <i/>
        <sz val="11"/>
        <color theme="1"/>
        <rFont val="Calibri"/>
        <family val="2"/>
        <scheme val="minor"/>
      </rPr>
      <t>SSA-831 file</t>
    </r>
    <r>
      <rPr>
        <sz val="11"/>
        <color theme="1"/>
        <rFont val="Calibri"/>
        <family val="2"/>
        <scheme val="minor"/>
      </rPr>
      <t>, data received September 2011</t>
    </r>
  </si>
  <si>
    <t>33. Number of DI Worker Beneficiaries by Gender—Calendar Years 1970-2010</t>
  </si>
  <si>
    <t>table 5.D3, February 2012</t>
  </si>
  <si>
    <r>
      <t xml:space="preserve">U.S. Social Security Administration, Office of Retirement and Disability Policy, </t>
    </r>
    <r>
      <rPr>
        <i/>
        <sz val="11"/>
        <color theme="1"/>
        <rFont val="Calibri"/>
        <family val="2"/>
        <scheme val="minor"/>
      </rPr>
      <t>Annual Statistical Supplement, 2011</t>
    </r>
    <r>
      <rPr>
        <sz val="11"/>
        <color theme="1"/>
        <rFont val="Calibri"/>
        <family val="2"/>
        <scheme val="minor"/>
      </rPr>
      <t xml:space="preserve">,  </t>
    </r>
  </si>
  <si>
    <t>http://www.ssa.gov/policy/docs/statcomps/supplement/2011/5d.html#table5.d3</t>
  </si>
  <si>
    <t>34. Percentage of U.S. Population Receiving DI Worker Benefits by Gender and Age Group, 2010</t>
  </si>
  <si>
    <t>DI beneficiaries</t>
  </si>
  <si>
    <t xml:space="preserve">20–24 </t>
  </si>
  <si>
    <t xml:space="preserve">25–29 </t>
  </si>
  <si>
    <t xml:space="preserve">30–34 </t>
  </si>
  <si>
    <t xml:space="preserve">35–39 </t>
  </si>
  <si>
    <t xml:space="preserve">40–44 </t>
  </si>
  <si>
    <t xml:space="preserve">45–49 </t>
  </si>
  <si>
    <t xml:space="preserve">50–54 </t>
  </si>
  <si>
    <t xml:space="preserve">55–59 </t>
  </si>
  <si>
    <t>Age Group</t>
  </si>
  <si>
    <t>Resident population</t>
  </si>
  <si>
    <t>60–64</t>
  </si>
  <si>
    <t>Sources</t>
  </si>
  <si>
    <r>
      <rPr>
        <b/>
        <sz val="11"/>
        <color theme="1"/>
        <rFont val="Calibri"/>
        <family val="2"/>
        <scheme val="minor"/>
      </rPr>
      <t xml:space="preserve">Note: </t>
    </r>
    <r>
      <rPr>
        <sz val="11"/>
        <color theme="1"/>
        <rFont val="Calibri"/>
        <family val="2"/>
        <scheme val="minor"/>
      </rPr>
      <t xml:space="preserve"> Estimates of the U.S. resident population include persons who are residents in the 50 States and the District of Columbia.  </t>
    </r>
  </si>
  <si>
    <t xml:space="preserve">These estimates exclude residents of the Commonwealth of Puerto Rico and residents of the Island areas under U.S. sovereignty </t>
  </si>
  <si>
    <t xml:space="preserve">or jurisdiction (principally American Samoa, Guam, U.S. Virgin Islands, and the Commonwealth of the Northern Mariana Islands).  </t>
  </si>
  <si>
    <t xml:space="preserve">The definition of residence conforms to the criteria used in Census 2000, which defines a resident of a specified area as a person </t>
  </si>
  <si>
    <t>“usually resident” in that area.  Estimates of the resident population exclude the U.S. Armed Forces overseas, as well as civilian U.S. </t>
  </si>
  <si>
    <t>citizens whose usual place of residence is outside the U.S.</t>
  </si>
  <si>
    <r>
      <t xml:space="preserve">U.S. Social Security Administration, Office of Retirement and Disability Policy, </t>
    </r>
    <r>
      <rPr>
        <i/>
        <sz val="11"/>
        <color theme="1"/>
        <rFont val="Calibri"/>
        <family val="2"/>
        <scheme val="minor"/>
      </rPr>
      <t>Annual Statistical Supplement, 2011</t>
    </r>
    <r>
      <rPr>
        <sz val="11"/>
        <color theme="1"/>
        <rFont val="Calibri"/>
        <family val="2"/>
        <scheme val="minor"/>
      </rPr>
      <t xml:space="preserve">, table 5.A1.2, February 2012, </t>
    </r>
  </si>
  <si>
    <t>http://www.ssa.gov/policy/docs/statcomps/supplement/2011/5a.html#table5.a1.2</t>
  </si>
  <si>
    <r>
      <t xml:space="preserve">U.S. Census Bureau, “Age and Sex Composition: 2010,” </t>
    </r>
    <r>
      <rPr>
        <i/>
        <sz val="11"/>
        <color theme="1"/>
        <rFont val="Calibri"/>
        <family val="2"/>
        <scheme val="minor"/>
      </rPr>
      <t>2010 Census Briefs</t>
    </r>
    <r>
      <rPr>
        <sz val="11"/>
        <color theme="1"/>
        <rFont val="Calibri"/>
        <family val="2"/>
        <scheme val="minor"/>
      </rPr>
      <t xml:space="preserve">, table 2, May 2011, </t>
    </r>
  </si>
  <si>
    <t>35. Number of SSI Disabled Adult and Child Beneficiaries by Gender—Calendar Years 1993-2010</t>
  </si>
  <si>
    <t>35a. SSI Disabled Adult Beneficiaries, 1993-2010:</t>
  </si>
  <si>
    <t>35b. SSI Disabled Child Beneficiaries, 1993-2010:</t>
  </si>
  <si>
    <t>http://www.socialsecurity.gov/policy/docs/statcomps/supplement/2011/7e.html#table7.e3</t>
  </si>
  <si>
    <r>
      <t xml:space="preserve">U.S. Social Security Administration, Office of Retirement and Disability Policy, </t>
    </r>
    <r>
      <rPr>
        <i/>
        <sz val="11"/>
        <color theme="1"/>
        <rFont val="Calibri"/>
        <family val="2"/>
        <scheme val="minor"/>
      </rPr>
      <t>Annual Statistical Supplement 2011</t>
    </r>
    <r>
      <rPr>
        <sz val="11"/>
        <color theme="1"/>
        <rFont val="Calibri"/>
        <family val="2"/>
        <scheme val="minor"/>
      </rPr>
      <t>, table 7.E3, February 2012</t>
    </r>
  </si>
  <si>
    <t>36. Average Monthly DI Worker Benefit in 2010 Dollars—Calendar Years 1974-2010</t>
  </si>
  <si>
    <t>2004</t>
  </si>
  <si>
    <t>2005</t>
  </si>
  <si>
    <t>2006</t>
  </si>
  <si>
    <t>2007</t>
  </si>
  <si>
    <t>2008</t>
  </si>
  <si>
    <t>2009</t>
  </si>
  <si>
    <t>2010</t>
  </si>
  <si>
    <t>Avg Monthly Benefit</t>
  </si>
  <si>
    <t>Avg Monthly Benefit in 2010 Dollars</t>
  </si>
  <si>
    <t>http://www.ssa.gov/policy/docs/statcomps/supplement/2011/5d.html</t>
  </si>
  <si>
    <r>
      <t xml:space="preserve">U.S. Social Security Administration, Office of Retirement and Disability Policy, </t>
    </r>
    <r>
      <rPr>
        <i/>
        <sz val="11"/>
        <color theme="1"/>
        <rFont val="Calibri"/>
        <family val="2"/>
        <scheme val="minor"/>
      </rPr>
      <t>Annual Statistical Supplement, 2011</t>
    </r>
    <r>
      <rPr>
        <sz val="11"/>
        <color theme="1"/>
        <rFont val="Calibri"/>
        <family val="2"/>
        <scheme val="minor"/>
      </rPr>
      <t>, table 5.D1, February 2012</t>
    </r>
  </si>
  <si>
    <t>Converted to 2010 Dollars with:</t>
  </si>
  <si>
    <r>
      <t xml:space="preserve">U.S. Department of Labor, Bureau of Labor Statistics, </t>
    </r>
    <r>
      <rPr>
        <i/>
        <sz val="11"/>
        <color theme="1"/>
        <rFont val="Calibri"/>
        <family val="2"/>
        <scheme val="minor"/>
      </rPr>
      <t>CPI Inflation Calculator</t>
    </r>
    <r>
      <rPr>
        <sz val="11"/>
        <color theme="1"/>
        <rFont val="Calibri"/>
        <family val="2"/>
        <scheme val="minor"/>
      </rPr>
      <t>,</t>
    </r>
  </si>
  <si>
    <t>http://www.bls.gov/data/inflation_calculator.htm</t>
  </si>
  <si>
    <t>37. Monthly SSI Individual Federal Benefit Rate in 2010 Dollars—Calendar Years 1974-2010</t>
  </si>
  <si>
    <r>
      <t xml:space="preserve">U.S. Social Security Administration, Office of the Chief Actuary, </t>
    </r>
    <r>
      <rPr>
        <i/>
        <sz val="11"/>
        <color theme="1"/>
        <rFont val="Calibri"/>
        <family val="2"/>
        <scheme val="minor"/>
      </rPr>
      <t>Annual Report of the Supplemental Security Income Program, 2011</t>
    </r>
    <r>
      <rPr>
        <sz val="11"/>
        <color theme="1"/>
        <rFont val="Calibri"/>
        <family val="2"/>
        <scheme val="minor"/>
      </rPr>
      <t xml:space="preserve">, table IV.A2, May 2011, </t>
    </r>
  </si>
  <si>
    <t>http://www.ssa.gov/oact/ssir/SSI11/EcoDemoAssumptions.html#150288</t>
  </si>
  <si>
    <t>38. Variations in State Agency Initial Allowance Rates—Fiscal Years 1980-2010</t>
  </si>
  <si>
    <t>High State</t>
  </si>
  <si>
    <t>National Average</t>
  </si>
  <si>
    <t>Low State</t>
  </si>
  <si>
    <t>38a. DI-only Claims, 1980-2010:</t>
  </si>
  <si>
    <t>38b. SSI-only Claims, 1980-2010:</t>
  </si>
  <si>
    <t>38c. Concurrent Claims, 1980-2010:</t>
  </si>
  <si>
    <t>39. State Agency Initial Allowance Rates for DI and SSI by State—Fiscal Years 1985 and 2010</t>
  </si>
  <si>
    <t>FY 1985</t>
  </si>
  <si>
    <t>FY 2010</t>
  </si>
  <si>
    <r>
      <t xml:space="preserve">U.S. Social Security Administration, Office of Disability Programs, </t>
    </r>
    <r>
      <rPr>
        <i/>
        <sz val="11"/>
        <color theme="1"/>
        <rFont val="Calibri"/>
        <family val="2"/>
        <scheme val="minor"/>
      </rPr>
      <t>Performance Management Report</t>
    </r>
    <r>
      <rPr>
        <sz val="11"/>
        <color theme="1"/>
        <rFont val="Calibri"/>
        <family val="2"/>
        <scheme val="minor"/>
      </rPr>
      <t>, data received August 2011</t>
    </r>
  </si>
  <si>
    <t>40. Percentage of State Agency DI Awards by Basis for Decision—Fiscal Years 1975-2010</t>
  </si>
  <si>
    <t>Meets Listing</t>
  </si>
  <si>
    <t>Equals Listing</t>
  </si>
  <si>
    <t>Vocational Considerations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</si>
  <si>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Initial DDS determinations for DI only, SSI is not included.  Percentages do not reflect effects of reconsideration, hearing, or higher appellate decisions.</t>
    </r>
  </si>
  <si>
    <t>41. Variations in Basis for DI Initial Awards—Fiscal Year 2010*</t>
  </si>
  <si>
    <t>NEW YORK</t>
  </si>
  <si>
    <t>VERMONT</t>
  </si>
  <si>
    <t>ARKANSAS</t>
  </si>
  <si>
    <t>SOUTH CAROLINA</t>
  </si>
  <si>
    <t>WASHINGTON</t>
  </si>
  <si>
    <t>WYOMING</t>
  </si>
  <si>
    <t>KENTUCKY</t>
  </si>
  <si>
    <t>IOWA</t>
  </si>
  <si>
    <t>NEW JERSEY</t>
  </si>
  <si>
    <t>NEW MEXICO</t>
  </si>
  <si>
    <t>NEBRASKA</t>
  </si>
  <si>
    <t>TEXAS</t>
  </si>
  <si>
    <t>MINNESOTA</t>
  </si>
  <si>
    <t>MONTANA</t>
  </si>
  <si>
    <t>PENNSYLVANIA</t>
  </si>
  <si>
    <t>MICHIGAN</t>
  </si>
  <si>
    <t>OREGON</t>
  </si>
  <si>
    <t>NORTH CAROLINA</t>
  </si>
  <si>
    <t>DISTRICT OF COLUMBIA</t>
  </si>
  <si>
    <t>MISSOURI</t>
  </si>
  <si>
    <t>NEVADA</t>
  </si>
  <si>
    <t>DELAWARE</t>
  </si>
  <si>
    <t>ALABAMA</t>
  </si>
  <si>
    <t>WEST VIRGINIA</t>
  </si>
  <si>
    <t>LOUISIANA</t>
  </si>
  <si>
    <t>IDAHO</t>
  </si>
  <si>
    <t>OHIO</t>
  </si>
  <si>
    <t>FLORIDA</t>
  </si>
  <si>
    <t>TENNESSEE</t>
  </si>
  <si>
    <t>SOUTH DAKOTA</t>
  </si>
  <si>
    <t>VIRGINIA</t>
  </si>
  <si>
    <t>WISCONSIN</t>
  </si>
  <si>
    <t>RHODE ISLAND</t>
  </si>
  <si>
    <t>ALASKA</t>
  </si>
  <si>
    <t>MASSACHUSETTS</t>
  </si>
  <si>
    <t>CALIFORNIA</t>
  </si>
  <si>
    <t>INDIANA</t>
  </si>
  <si>
    <t>ILLINOIS</t>
  </si>
  <si>
    <t>UTAH</t>
  </si>
  <si>
    <t>KANSAS</t>
  </si>
  <si>
    <t>MARYLAND</t>
  </si>
  <si>
    <t>COLORADO</t>
  </si>
  <si>
    <t>GEORGIA</t>
  </si>
  <si>
    <t>MISSISSIPPI</t>
  </si>
  <si>
    <t>ARIZONA</t>
  </si>
  <si>
    <t>OKLAHOMA</t>
  </si>
  <si>
    <t>NEW HAMPSHIRE</t>
  </si>
  <si>
    <t>MAINE</t>
  </si>
  <si>
    <t>CONNECTICUT</t>
  </si>
  <si>
    <t>NORTH DAKOTA</t>
  </si>
  <si>
    <t>HAWAII</t>
  </si>
  <si>
    <t>41a. Meets the Medical Listings:</t>
  </si>
  <si>
    <t xml:space="preserve">*For Chart 41, we compared the 5 states with the lowest initial allowance rates, the 5 states with </t>
  </si>
  <si>
    <t xml:space="preserve">the highest initial allowance rates, and the national average initial allowance rate for each category: </t>
  </si>
  <si>
    <t>41b. Equals the Medical Listings:</t>
  </si>
  <si>
    <t>41c. Vocational Factors:</t>
  </si>
  <si>
    <r>
      <rPr>
        <b/>
        <i/>
        <sz val="11"/>
        <color theme="1"/>
        <rFont val="Calibri"/>
        <family val="2"/>
        <scheme val="minor"/>
      </rPr>
      <t>meets listing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i/>
        <sz val="11"/>
        <color theme="1"/>
        <rFont val="Calibri"/>
        <family val="2"/>
        <scheme val="minor"/>
      </rPr>
      <t>equals listing</t>
    </r>
    <r>
      <rPr>
        <b/>
        <sz val="11"/>
        <color theme="1"/>
        <rFont val="Calibri"/>
        <family val="2"/>
        <scheme val="minor"/>
      </rPr>
      <t xml:space="preserve">, and </t>
    </r>
    <r>
      <rPr>
        <b/>
        <i/>
        <sz val="11"/>
        <color theme="1"/>
        <rFont val="Calibri"/>
        <family val="2"/>
        <scheme val="minor"/>
      </rPr>
      <t>vocational factors</t>
    </r>
    <r>
      <rPr>
        <b/>
        <sz val="11"/>
        <color theme="1"/>
        <rFont val="Calibri"/>
        <family val="2"/>
        <scheme val="minor"/>
      </rPr>
      <t>.</t>
    </r>
  </si>
  <si>
    <t>National Average:</t>
  </si>
  <si>
    <t>42. DI State Agency Initial Denials by Basis for Decision—Fiscal Years 1975-2010</t>
  </si>
  <si>
    <t>Duration</t>
  </si>
  <si>
    <t>Impairment Not Severe</t>
  </si>
  <si>
    <t>Able to Perform Usual Work</t>
  </si>
  <si>
    <t>Able to Perform Other  Work</t>
  </si>
  <si>
    <r>
      <rPr>
        <b/>
        <sz val="11"/>
        <rFont val="Calibri"/>
        <family val="2"/>
        <scheme val="minor"/>
      </rPr>
      <t xml:space="preserve">Note: </t>
    </r>
    <r>
      <rPr>
        <sz val="11"/>
        <rFont val="Calibri"/>
        <family val="2"/>
        <scheme val="minor"/>
      </rPr>
      <t xml:space="preserve">Initial DDS determinations for DI-only and concurrent claims.  Does not include disposition of cases at </t>
    </r>
  </si>
  <si>
    <t>the reconsideration, hearing, or higher levels of appeal.  Does not include children.</t>
  </si>
  <si>
    <t>Claimant Failure/Other*</t>
  </si>
  <si>
    <t>*Includes denials for failure to attend a scheduled consultative examination, failure to cooperate in submitting</t>
  </si>
  <si>
    <t>evidence of disability, and failure to follow prescribed treatment.</t>
  </si>
  <si>
    <t>43. Percentage of State Agency Initial Denials Based on Non-Severe Impairment—Fiscal Year 2010</t>
  </si>
  <si>
    <t xml:space="preserve">WYOMING             </t>
  </si>
  <si>
    <t xml:space="preserve">WEST VIRGINIA       </t>
  </si>
  <si>
    <t xml:space="preserve">WISCONSIN           </t>
  </si>
  <si>
    <t xml:space="preserve">WASHINGTON          </t>
  </si>
  <si>
    <t xml:space="preserve">VERMONT             </t>
  </si>
  <si>
    <t xml:space="preserve">VIRGINIA            </t>
  </si>
  <si>
    <t xml:space="preserve">UTAH                </t>
  </si>
  <si>
    <t xml:space="preserve">TEXAS               </t>
  </si>
  <si>
    <t xml:space="preserve">TENNESSEE           </t>
  </si>
  <si>
    <t xml:space="preserve">SOUTH DAKOTA        </t>
  </si>
  <si>
    <t xml:space="preserve">SOUTH CAROLINA      </t>
  </si>
  <si>
    <t xml:space="preserve">RHODE ISLAND        </t>
  </si>
  <si>
    <t xml:space="preserve">PENNSYLVANIA        </t>
  </si>
  <si>
    <t xml:space="preserve">OREGON              </t>
  </si>
  <si>
    <t xml:space="preserve">OKLAHOMA            </t>
  </si>
  <si>
    <t xml:space="preserve">OHIO                </t>
  </si>
  <si>
    <t xml:space="preserve">NEW YORK            </t>
  </si>
  <si>
    <t xml:space="preserve">NEVADA              </t>
  </si>
  <si>
    <t xml:space="preserve">NEW MEXICO          </t>
  </si>
  <si>
    <t xml:space="preserve">NEW JERSEY          </t>
  </si>
  <si>
    <t xml:space="preserve">NEW HAMPSHIRE       </t>
  </si>
  <si>
    <t xml:space="preserve">NEBRASKA            </t>
  </si>
  <si>
    <t xml:space="preserve">NORTH DAKOTA        </t>
  </si>
  <si>
    <t xml:space="preserve">NORTH CAROLINA      </t>
  </si>
  <si>
    <t xml:space="preserve">MONTANA             </t>
  </si>
  <si>
    <t xml:space="preserve">MISSISSIPPI         </t>
  </si>
  <si>
    <t xml:space="preserve">MISSOURI            </t>
  </si>
  <si>
    <t xml:space="preserve">MINNESOTA           </t>
  </si>
  <si>
    <t xml:space="preserve">MICHIGAN            </t>
  </si>
  <si>
    <t xml:space="preserve">MAINE               </t>
  </si>
  <si>
    <t xml:space="preserve">MARYLAND            </t>
  </si>
  <si>
    <t xml:space="preserve">MASSAHCUSETTS       </t>
  </si>
  <si>
    <t xml:space="preserve">LOUISIANA           </t>
  </si>
  <si>
    <t xml:space="preserve">KENTUCKY            </t>
  </si>
  <si>
    <t xml:space="preserve">KANSAS              </t>
  </si>
  <si>
    <t xml:space="preserve">INDIANA             </t>
  </si>
  <si>
    <t xml:space="preserve">ILLINOIS            </t>
  </si>
  <si>
    <t xml:space="preserve">IDAHO               </t>
  </si>
  <si>
    <t xml:space="preserve">IOWA                </t>
  </si>
  <si>
    <t xml:space="preserve">HAWAII              </t>
  </si>
  <si>
    <t xml:space="preserve">GEORGIA             </t>
  </si>
  <si>
    <t xml:space="preserve">FLORIDA             </t>
  </si>
  <si>
    <t xml:space="preserve">DELAWARE            </t>
  </si>
  <si>
    <t xml:space="preserve">CONNECTICUT         </t>
  </si>
  <si>
    <t xml:space="preserve">COLORADO            </t>
  </si>
  <si>
    <t xml:space="preserve">CALIFORNIA          </t>
  </si>
  <si>
    <t xml:space="preserve">ARIZONA             </t>
  </si>
  <si>
    <t xml:space="preserve">ARKANSAS            </t>
  </si>
  <si>
    <t xml:space="preserve">ALABAMA             </t>
  </si>
  <si>
    <t xml:space="preserve">ALASKA              </t>
  </si>
  <si>
    <r>
      <t xml:space="preserve">Note: </t>
    </r>
    <r>
      <rPr>
        <sz val="11"/>
        <color theme="1"/>
        <rFont val="Calibri"/>
        <family val="2"/>
        <scheme val="minor"/>
      </rPr>
      <t>Includes adult claims only.</t>
    </r>
  </si>
  <si>
    <t>44. Percentage of State Agency Initial Denials Based on Ability to Perform Usual Work—Fiscal Year 2010</t>
  </si>
  <si>
    <t>DI: Impairment Not Severe</t>
  </si>
  <si>
    <t>SSI: Impairment Not Severe</t>
  </si>
  <si>
    <t xml:space="preserve">DI: Able to Perform Usual Work </t>
  </si>
  <si>
    <t>SSI: Able to Perform Usual Work</t>
  </si>
  <si>
    <t>45. Percentage of State Agency Initial Denials Based on Ability to Perform Other Work—Fiscal Year 2010</t>
  </si>
  <si>
    <t>DI: Able to Perform Other Work</t>
  </si>
  <si>
    <t>SSI: Able to Perform Other Work</t>
  </si>
  <si>
    <t>46. Percentage of Initial Level Claims with Consultative Examinations—Fiscal Year 2010</t>
  </si>
  <si>
    <t>Data used for Chart:</t>
  </si>
  <si>
    <t>*For Chart 46, we compared the 5 lowest states, the 5 highest states, and the national</t>
  </si>
  <si>
    <t>average for the percentage of initial level claims with consultative examinations.</t>
  </si>
  <si>
    <t>Puerto Rico was excluded for consistency, as it is not included in all data.</t>
  </si>
  <si>
    <t>Natl Avg</t>
  </si>
  <si>
    <t xml:space="preserve">INITIAL </t>
  </si>
  <si>
    <t>EXAMINER</t>
  </si>
  <si>
    <t>MIN</t>
  </si>
  <si>
    <t>MAX</t>
  </si>
  <si>
    <t>no max.</t>
  </si>
  <si>
    <t>47. Minimum Salary Levels for Initial Level State Agency Disability Examiners—Fiscal Year 2009*</t>
  </si>
  <si>
    <t>*Only minimum salary is used for Chart. Data is for full-time non-trainee initial examiners.</t>
  </si>
  <si>
    <t>48. Attrition Rates for State Agency Full Time Examiners—Fiscal Year 2010</t>
  </si>
  <si>
    <t>Attrition Rate (%)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</si>
  <si>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Full-time examiners</t>
    </r>
  </si>
  <si>
    <r>
      <t xml:space="preserve">U.S. Social Security Administration, Office of Disability Determinations, </t>
    </r>
    <r>
      <rPr>
        <i/>
        <sz val="11"/>
        <color theme="1"/>
        <rFont val="Calibri"/>
        <family val="2"/>
        <scheme val="minor"/>
      </rPr>
      <t>DDS Staffing and Workload Analysis Report</t>
    </r>
    <r>
      <rPr>
        <sz val="11"/>
        <color theme="1"/>
        <rFont val="Calibri"/>
        <family val="2"/>
        <scheme val="minor"/>
      </rPr>
      <t>, data received August 2011</t>
    </r>
  </si>
  <si>
    <t>49. Hearing Level Workloads—Fiscal Year 1986-2010</t>
  </si>
  <si>
    <t>Receipts</t>
  </si>
  <si>
    <t>Dispositions</t>
  </si>
  <si>
    <r>
      <t xml:space="preserve">U.S. Social Security Administration, Office of Disability Adjudication and Review, </t>
    </r>
    <r>
      <rPr>
        <i/>
        <sz val="11"/>
        <color theme="1"/>
        <rFont val="Calibri"/>
        <family val="2"/>
        <scheme val="minor"/>
      </rPr>
      <t>Key Workload Indicators Report</t>
    </r>
    <r>
      <rPr>
        <sz val="11"/>
        <color theme="1"/>
        <rFont val="Calibri"/>
        <family val="2"/>
        <scheme val="minor"/>
      </rPr>
      <t>, Fiscal Year 2010 (4th quarter/cumulative)</t>
    </r>
  </si>
  <si>
    <t>Pending Cases</t>
  </si>
  <si>
    <t>50. Dispositions and ALJs on Duty—Fiscal Years 1986-2010</t>
  </si>
  <si>
    <t>ALJs on Duty</t>
  </si>
  <si>
    <t>51. Allowance Rates at Initial and Hearing Levels by State—Fiscal Year 2010</t>
  </si>
  <si>
    <t>Initial Level Allow Rate</t>
  </si>
  <si>
    <t>Hearing Level Allow Rate</t>
  </si>
  <si>
    <t>Initial Level data:</t>
  </si>
  <si>
    <r>
      <t xml:space="preserve">U.S. Social Security Administration, Office of Disability Adjudication and Review, </t>
    </r>
    <r>
      <rPr>
        <i/>
        <sz val="11"/>
        <color theme="1"/>
        <rFont val="Calibri"/>
        <family val="2"/>
        <scheme val="minor"/>
      </rPr>
      <t>Case Processing Management Systems</t>
    </r>
    <r>
      <rPr>
        <sz val="11"/>
        <color theme="1"/>
        <rFont val="Calibri"/>
        <family val="2"/>
        <scheme val="minor"/>
      </rPr>
      <t>, data received July 2011</t>
    </r>
  </si>
  <si>
    <r>
      <t xml:space="preserve">U.S. Social Security Administration, Office of Disability Programs, </t>
    </r>
    <r>
      <rPr>
        <i/>
        <sz val="11"/>
        <color theme="1"/>
        <rFont val="Calibri"/>
        <family val="2"/>
        <scheme val="minor"/>
      </rPr>
      <t>State Agency Operations Report</t>
    </r>
    <r>
      <rPr>
        <sz val="11"/>
        <color theme="1"/>
        <rFont val="Calibri"/>
        <family val="2"/>
        <scheme val="minor"/>
      </rPr>
      <t>, data received July 2011</t>
    </r>
  </si>
  <si>
    <t>Hearing Level data:</t>
  </si>
  <si>
    <r>
      <t>U.S. Social Security Administration, Office of Research, Evaluation and Statistics,</t>
    </r>
    <r>
      <rPr>
        <i/>
        <sz val="11"/>
        <color theme="1"/>
        <rFont val="Calibri"/>
        <family val="2"/>
        <scheme val="minor"/>
      </rPr>
      <t xml:space="preserve"> SSA-831 file</t>
    </r>
    <r>
      <rPr>
        <sz val="11"/>
        <color theme="1"/>
        <rFont val="Calibri"/>
        <family val="2"/>
        <scheme val="minor"/>
      </rPr>
      <t>, data received August 2011</t>
    </r>
  </si>
  <si>
    <r>
      <t xml:space="preserve">U.S. Social Security Administration, Office of Research, Evaluation and Statistics, </t>
    </r>
    <r>
      <rPr>
        <i/>
        <sz val="11"/>
        <color theme="1"/>
        <rFont val="Calibri"/>
        <family val="2"/>
        <scheme val="minor"/>
      </rPr>
      <t>SSA-831 file</t>
    </r>
    <r>
      <rPr>
        <sz val="11"/>
        <color theme="1"/>
        <rFont val="Calibri"/>
        <family val="2"/>
        <scheme val="minor"/>
      </rPr>
      <t>, data received August 2011</t>
    </r>
  </si>
  <si>
    <t>52. Percentage Distribution of ALJ Decisions in Fiscal Years 2002, 2006, and 2010</t>
  </si>
  <si>
    <t>0 to 1</t>
  </si>
  <si>
    <t>1 to 50</t>
  </si>
  <si>
    <t>51 to 100</t>
  </si>
  <si>
    <t>101 to 150</t>
  </si>
  <si>
    <t>151 to 200</t>
  </si>
  <si>
    <t>201 to 250</t>
  </si>
  <si>
    <t>251 to 300</t>
  </si>
  <si>
    <t>301 to 350</t>
  </si>
  <si>
    <t>351 to 400</t>
  </si>
  <si>
    <t>401 to 450</t>
  </si>
  <si>
    <t>451 to 500</t>
  </si>
  <si>
    <t>501 to 550</t>
  </si>
  <si>
    <t>551 to 600</t>
  </si>
  <si>
    <t>601 to 650</t>
  </si>
  <si>
    <t>651 to 700</t>
  </si>
  <si>
    <t>701 to 750</t>
  </si>
  <si>
    <t>751 to 800</t>
  </si>
  <si>
    <t>801 to 850</t>
  </si>
  <si>
    <t>851 to 900</t>
  </si>
  <si>
    <t>901 to 950</t>
  </si>
  <si>
    <t>951 to 1000</t>
  </si>
  <si>
    <t>1001 and above</t>
  </si>
  <si>
    <t>Number of decisions</t>
  </si>
  <si>
    <r>
      <t xml:space="preserve">U.S. Social Security Administration, Office of Disability Adjudication and Review, </t>
    </r>
    <r>
      <rPr>
        <i/>
        <sz val="11"/>
        <color theme="1"/>
        <rFont val="Calibri"/>
        <family val="2"/>
        <scheme val="minor"/>
      </rPr>
      <t>Case Processing Management Systems</t>
    </r>
    <r>
      <rPr>
        <sz val="11"/>
        <color theme="1"/>
        <rFont val="Calibri"/>
        <family val="2"/>
        <scheme val="minor"/>
      </rPr>
      <t>, data received June 2011</t>
    </r>
  </si>
  <si>
    <t>53. Percentage Distribution of ALJ Allowance Rates in Fiscal Years 2002, 2006, and 2010</t>
  </si>
  <si>
    <t>0 to .99</t>
  </si>
  <si>
    <t>1 to 4.9</t>
  </si>
  <si>
    <t>5 to 9.9</t>
  </si>
  <si>
    <t>10 to 14.9</t>
  </si>
  <si>
    <t>15 to 19.9</t>
  </si>
  <si>
    <t>20 to 24.9</t>
  </si>
  <si>
    <t>25 to 29.9</t>
  </si>
  <si>
    <t>30 to 34.9</t>
  </si>
  <si>
    <t>35 to 39.9</t>
  </si>
  <si>
    <t>40 to 44.9</t>
  </si>
  <si>
    <t>45 to 49.9</t>
  </si>
  <si>
    <t>50 to 54.9</t>
  </si>
  <si>
    <t>55 to 59.9</t>
  </si>
  <si>
    <t>60 to 64.9</t>
  </si>
  <si>
    <t>65 to 69.9</t>
  </si>
  <si>
    <t>70 to 74.9</t>
  </si>
  <si>
    <t>75 to 79.9</t>
  </si>
  <si>
    <t>80 to 84.9</t>
  </si>
  <si>
    <t>85 to 89.9</t>
  </si>
  <si>
    <t>90 to 94.9</t>
  </si>
  <si>
    <t>95 to 98.9</t>
  </si>
  <si>
    <t>99 to 100</t>
  </si>
  <si>
    <t>Allowance Rates</t>
  </si>
  <si>
    <t>% of ALJs (FY 2002)</t>
  </si>
  <si>
    <t>% of ALJs (FY 2006)</t>
  </si>
  <si>
    <t>% of ALJs (FY 2010)</t>
  </si>
  <si>
    <r>
      <t xml:space="preserve">U.S. Social Security Administration, Office of Disability Adjudication and Review, </t>
    </r>
    <r>
      <rPr>
        <i/>
        <sz val="11"/>
        <color theme="1"/>
        <rFont val="Calibri"/>
        <family val="2"/>
        <scheme val="minor"/>
      </rPr>
      <t>Case Processing Management Systems</t>
    </r>
    <r>
      <rPr>
        <sz val="11"/>
        <color theme="1"/>
        <rFont val="Calibri"/>
        <family val="2"/>
        <scheme val="minor"/>
      </rPr>
      <t xml:space="preserve">, data received June 2011.  </t>
    </r>
  </si>
  <si>
    <t>54. Medical and Vocational Expert Participation in ALJ Hearings—Fiscal Years 1977-2010</t>
  </si>
  <si>
    <t>Vocational Expert</t>
  </si>
  <si>
    <t>Medical Expert</t>
  </si>
  <si>
    <t>55. Cases with Representation at ALJ Hearings—Fiscal Years 1977-2010</t>
  </si>
  <si>
    <t>Attorney Participation</t>
  </si>
  <si>
    <t>Non-Attorney Participation</t>
  </si>
  <si>
    <r>
      <t xml:space="preserve">U.S. Social Security Administration, Office of Disability Adjudication and Review, </t>
    </r>
    <r>
      <rPr>
        <i/>
        <sz val="11"/>
        <color theme="1"/>
        <rFont val="Calibri"/>
        <family val="2"/>
        <scheme val="minor"/>
      </rPr>
      <t xml:space="preserve">ODAR Participation Report </t>
    </r>
  </si>
  <si>
    <t>and OHA Case Control System (years before 1985), data received July 2011</t>
  </si>
  <si>
    <t>56. Appeals Council Workloads—Fiscal Year 2010</t>
  </si>
  <si>
    <t>Requests for Review Dispositions:</t>
  </si>
  <si>
    <t>New Court Cases Processed:</t>
  </si>
  <si>
    <t>Court Remands Processed:</t>
  </si>
  <si>
    <t>Final Decisions After Court Remand Processed:</t>
  </si>
  <si>
    <t>Fiscal Year 2010</t>
  </si>
  <si>
    <t>Denied</t>
  </si>
  <si>
    <t>Remanded</t>
  </si>
  <si>
    <t>Dismissed</t>
  </si>
  <si>
    <t>Allowed</t>
  </si>
  <si>
    <r>
      <t>Remands as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pct of total</t>
    </r>
  </si>
  <si>
    <t>57. Appeals Council Dispositions—Fiscal Years 1975-2010</t>
  </si>
  <si>
    <r>
      <t xml:space="preserve">U.S. Social Security Administration, Office of Disability Adjudication and Review, </t>
    </r>
    <r>
      <rPr>
        <i/>
        <sz val="11"/>
        <color theme="1"/>
        <rFont val="Calibri"/>
        <family val="2"/>
        <scheme val="minor"/>
      </rPr>
      <t>Key Workload Indicators Reports</t>
    </r>
    <r>
      <rPr>
        <sz val="11"/>
        <color theme="1"/>
        <rFont val="Calibri"/>
        <family val="2"/>
        <scheme val="minor"/>
      </rPr>
      <t>, data received July 2011</t>
    </r>
  </si>
  <si>
    <r>
      <t xml:space="preserve">U.S. Social Security Administration, Office of Disability Adjudication and Review, </t>
    </r>
    <r>
      <rPr>
        <i/>
        <sz val="11"/>
        <color theme="1"/>
        <rFont val="Calibri"/>
        <family val="2"/>
        <scheme val="minor"/>
      </rPr>
      <t>Appeals Review Processing System</t>
    </r>
    <r>
      <rPr>
        <sz val="11"/>
        <color theme="1"/>
        <rFont val="Calibri"/>
        <family val="2"/>
        <scheme val="minor"/>
      </rPr>
      <t xml:space="preserve">, data received May 2011.  </t>
    </r>
  </si>
  <si>
    <r>
      <t xml:space="preserve">Note: </t>
    </r>
    <r>
      <rPr>
        <sz val="11"/>
        <color theme="1"/>
        <rFont val="Calibri"/>
        <family val="2"/>
        <scheme val="minor"/>
      </rPr>
      <t>The figures in this chart include non-disability claims</t>
    </r>
  </si>
  <si>
    <r>
      <t xml:space="preserve">Note: </t>
    </r>
    <r>
      <rPr>
        <sz val="11"/>
        <color theme="1"/>
        <rFont val="Calibri"/>
        <family val="2"/>
        <scheme val="minor"/>
      </rPr>
      <t>The figures for attorney and non-attorney representatives are not additive since some claimants may have both</t>
    </r>
  </si>
  <si>
    <t>58. Appeals Council Requests for Review—Fiscal Years 1995-2010</t>
  </si>
  <si>
    <t>Request for Review Receipts</t>
  </si>
  <si>
    <t>Request for Review Dispositions</t>
  </si>
  <si>
    <t>Request for Review Pending</t>
  </si>
  <si>
    <r>
      <t xml:space="preserve">U.S. Social Security Administration, Office of Hearings and Appeals, </t>
    </r>
    <r>
      <rPr>
        <i/>
        <sz val="11"/>
        <color theme="1"/>
        <rFont val="Calibri"/>
        <family val="2"/>
        <scheme val="minor"/>
      </rPr>
      <t xml:space="preserve">Key Workload Indicator Reports </t>
    </r>
    <r>
      <rPr>
        <sz val="11"/>
        <color theme="1"/>
        <rFont val="Calibri"/>
        <family val="2"/>
        <scheme val="minor"/>
      </rPr>
      <t>for fiscal years 1975-2004</t>
    </r>
  </si>
  <si>
    <r>
      <t xml:space="preserve">U.S. Social Security Administration, Office of Disability Adjudication and Review, </t>
    </r>
    <r>
      <rPr>
        <i/>
        <sz val="11"/>
        <color theme="1"/>
        <rFont val="Calibri"/>
        <family val="2"/>
        <scheme val="minor"/>
      </rPr>
      <t>Appeals Council Automated Processing System</t>
    </r>
    <r>
      <rPr>
        <sz val="11"/>
        <color theme="1"/>
        <rFont val="Calibri"/>
        <family val="2"/>
        <scheme val="minor"/>
      </rPr>
      <t xml:space="preserve"> for fiscal years 2005-2010, data received May 2011</t>
    </r>
  </si>
  <si>
    <t>59. Average Initial Claim Processing Time—Fiscal Years 1991-2010</t>
  </si>
  <si>
    <t>Initial DI Processing Time (days)</t>
  </si>
  <si>
    <t>Initial SSI Processing Time (days)</t>
  </si>
  <si>
    <t xml:space="preserve">processing of the award or denial. Includes field office and processing center as well as </t>
  </si>
  <si>
    <t>state agency time.  This table reflects processing times only for cases processed by a</t>
  </si>
  <si>
    <t xml:space="preserve">DDS at the initial adjudicative level and does not include reconsideration or </t>
  </si>
  <si>
    <t>higher appeals.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</si>
  <si>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 Processing time is the time (in days) from the date of the application to the </t>
    </r>
  </si>
  <si>
    <r>
      <t>U.S. Social Security Administration, Office of Disability Programs, DI and SSI Claims Systems (</t>
    </r>
    <r>
      <rPr>
        <i/>
        <sz val="11"/>
        <color theme="1"/>
        <rFont val="Calibri"/>
        <family val="2"/>
        <scheme val="minor"/>
      </rPr>
      <t>Disability Operational Data Store [DIODS]</t>
    </r>
    <r>
      <rPr>
        <sz val="11"/>
        <color theme="1"/>
        <rFont val="Calibri"/>
        <family val="2"/>
        <scheme val="minor"/>
      </rPr>
      <t>), data received August 2011</t>
    </r>
  </si>
  <si>
    <t>60. DI and SSI Applications Pending in State Agencies at End of Year—Fiscal Years 1989-2010</t>
  </si>
  <si>
    <t>Applications Pending (thousands)</t>
  </si>
  <si>
    <t>61. Average Hearing Level Processing Time—Fiscal Years 1990-2010</t>
  </si>
  <si>
    <t>Processing Time (days)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</si>
  <si>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Fiscal year 2006 and previous years included Medicare cases.  Beginning fiscal year 2007, </t>
    </r>
  </si>
  <si>
    <t xml:space="preserve">figures include only SSA cases, because Medicare cases were transferred to the Department of </t>
  </si>
  <si>
    <t>Health and Human Services.</t>
  </si>
  <si>
    <r>
      <t>U.S. Social Security Administration, Office of Disability Adjudication and Review,</t>
    </r>
    <r>
      <rPr>
        <i/>
        <sz val="11"/>
        <color theme="1"/>
        <rFont val="Calibri"/>
        <family val="2"/>
        <scheme val="minor"/>
      </rPr>
      <t xml:space="preserve"> Case Control System and Case Processing Management Systems</t>
    </r>
    <r>
      <rPr>
        <sz val="11"/>
        <color theme="1"/>
        <rFont val="Calibri"/>
        <family val="2"/>
        <scheme val="minor"/>
      </rPr>
      <t>, data received May 2011.</t>
    </r>
  </si>
  <si>
    <t>62. Cases Pending in Hearing Offices at End of Year—Fiscal Years 1990-2010</t>
  </si>
  <si>
    <t>Cases Pending (thousands)</t>
  </si>
  <si>
    <t>63. Appeals Council Processing Times—Fiscal Years 1993-2010</t>
  </si>
  <si>
    <t>Processing Times (days)</t>
  </si>
  <si>
    <r>
      <t xml:space="preserve">U.S. Social Security Administration, Office of Disability Adjudication and Review, </t>
    </r>
    <r>
      <rPr>
        <i/>
        <sz val="11"/>
        <color theme="1"/>
        <rFont val="Calibri"/>
        <family val="2"/>
        <scheme val="minor"/>
      </rPr>
      <t>Key Workload Indicator Reports</t>
    </r>
    <r>
      <rPr>
        <sz val="11"/>
        <color theme="1"/>
        <rFont val="Calibri"/>
        <family val="2"/>
        <scheme val="minor"/>
      </rPr>
      <t xml:space="preserve"> for fiscal years 1993-2010. Updated January 2012.</t>
    </r>
  </si>
  <si>
    <t>64. New Disability Cases Brought to Federal District Courts—Fiscal Years 1993-2010</t>
  </si>
  <si>
    <t>DI Cases</t>
  </si>
  <si>
    <t>SSI Cases</t>
  </si>
  <si>
    <t>http://www.uscourts.gov/uscourts/Statistics/JudicialBusiness/2010/appendices/C02ASep10.pdf</t>
  </si>
  <si>
    <r>
      <t xml:space="preserve">Administrative Office of the United States Courts, </t>
    </r>
    <r>
      <rPr>
        <i/>
        <sz val="11"/>
        <color theme="1"/>
        <rFont val="Calibri"/>
        <family val="2"/>
        <scheme val="minor"/>
      </rPr>
      <t>Judicial Business of the United States Courts</t>
    </r>
    <r>
      <rPr>
        <sz val="11"/>
        <color theme="1"/>
        <rFont val="Calibri"/>
        <family val="2"/>
        <scheme val="minor"/>
      </rPr>
      <t xml:space="preserve"> for the years shown, table C-2A, June 2011</t>
    </r>
  </si>
  <si>
    <t>65. Federal District Court Actions—Fiscal Years 1995-2010</t>
  </si>
  <si>
    <t>65a. Number of Federal District Court Actions, 1995-2010:</t>
  </si>
  <si>
    <t>Affirmances</t>
  </si>
  <si>
    <t>Reversals</t>
  </si>
  <si>
    <t>Remands</t>
  </si>
  <si>
    <t>65b. Percent Distribution of Federal District Court Actions, 1995-2010: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</si>
  <si>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These numbers include all Social Security program litigation, disability and non-disability cases.  The affirmance numbers include dismissals.</t>
    </r>
  </si>
  <si>
    <r>
      <t xml:space="preserve">U.S. Social Security Administration, Office of General Counsel, </t>
    </r>
    <r>
      <rPr>
        <i/>
        <sz val="11"/>
        <color theme="1"/>
        <rFont val="Calibri"/>
        <family val="2"/>
        <scheme val="minor"/>
      </rPr>
      <t>OGC Docket System,</t>
    </r>
    <r>
      <rPr>
        <sz val="11"/>
        <color theme="1"/>
        <rFont val="Calibri"/>
        <family val="2"/>
        <scheme val="minor"/>
      </rPr>
      <t xml:space="preserve"> data received June 2011</t>
    </r>
  </si>
  <si>
    <t>66. Social Security Cases Commenced and Terminated in U.S. Courts of Appeals—Fiscal Years 1997-2010</t>
  </si>
  <si>
    <t>Number Commenced</t>
  </si>
  <si>
    <t>Number Terminated</t>
  </si>
  <si>
    <t>http://www.uscourts.gov/uscourts/Statistics/JudicialBusiness/2010/JudicialBusinespdfversion.pdf</t>
  </si>
  <si>
    <r>
      <t xml:space="preserve">Administrative Office of the United States Courts, </t>
    </r>
    <r>
      <rPr>
        <i/>
        <sz val="11"/>
        <color theme="1"/>
        <rFont val="Calibri"/>
        <family val="2"/>
        <scheme val="minor"/>
      </rPr>
      <t>Judicial Business of the United States Courts</t>
    </r>
    <r>
      <rPr>
        <sz val="11"/>
        <color theme="1"/>
        <rFont val="Calibri"/>
        <family val="2"/>
        <scheme val="minor"/>
      </rPr>
      <t xml:space="preserve"> for the years shown, table B-1A, June 2011</t>
    </r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</si>
  <si>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Data do not break out categories of Social Security cases.</t>
    </r>
  </si>
  <si>
    <t>1a. SSDI Applications, 1975-2010:</t>
  </si>
  <si>
    <t>1b. SSI Disability Applications, 1975-2010:</t>
  </si>
  <si>
    <t>1. Disability Insurance and Supplemental Security Income Disability Applications—Calendar Years 1975-2010</t>
  </si>
  <si>
    <t>2. Workers Insured for Disability Benefits, by Gender—Calendar Years 1975-2010</t>
  </si>
  <si>
    <t>2a. Number of Workers Insured for Disability, 1975-2010:</t>
  </si>
  <si>
    <t>2b. Percent of Population Insured for Disability, 1970-2010:</t>
  </si>
  <si>
    <t>of State Population ages 18-64, 2010:</t>
  </si>
  <si>
    <t>of State Population ages 18-64 below 125% of the Poverty Level, 2010:</t>
  </si>
  <si>
    <t>4. SSI Adult Disability Application Rates by State—Calendar Year 2010</t>
  </si>
  <si>
    <t>5. SSI Child Disability Application Rates by State—Calendar Year 2010</t>
  </si>
  <si>
    <t>8. State Agency Allowance Rates—Fiscal Years 1990-2010</t>
  </si>
  <si>
    <t>10a. Number of Disability Awards for DI and SSI, 1975-2010*:</t>
  </si>
  <si>
    <t>8a. Allowance Rates for Initial Claims, 1990-2010:</t>
  </si>
  <si>
    <t>8b. Allowance Rates for Reconsiderations, 1990-2010:</t>
  </si>
  <si>
    <t>of State Population under age 18, 2010:</t>
  </si>
  <si>
    <t>of State Population aged 18-64 below 125% of the Poverty Level, 2010:</t>
  </si>
  <si>
    <t>10. Disability Awards—Calendar Years 1975-2010</t>
  </si>
  <si>
    <t>Estimates in Prior Year’s Trustees Report, 2000-2010**:</t>
  </si>
  <si>
    <t>**For the report, historical data from before 2000 was not used.</t>
  </si>
  <si>
    <t>14. Medical CDR Continuation Rates by Decision Level and Year of Initial Decision</t>
  </si>
  <si>
    <t>14a. SSDI and SSDI/SSI Beneficiaries, 1993-2009:</t>
  </si>
  <si>
    <t>14b. SSI Disabled Adult Recipients, 1995-2009:</t>
  </si>
  <si>
    <t>15. Medical CDR Continuation Rates for SSI Children by Decision Level and Year of Initial Decision</t>
  </si>
  <si>
    <t>15a. Low Birth Weight Children, 1994-2009:</t>
  </si>
  <si>
    <t>15b. Age-18 Redeterminations, 1995-2009:</t>
  </si>
  <si>
    <t>15c. All Other Medical Continuing Disability Reviews, 1995-2009:</t>
  </si>
  <si>
    <t>17. DI Worker Terminations—Calendar Years 1985-2010</t>
  </si>
  <si>
    <t>17a. Number of DI Worker Terminations, 1985-2010:</t>
  </si>
  <si>
    <t>17b. DI Worker Termination Rates, 1985-2010:</t>
  </si>
  <si>
    <t>18. Disabled Worker Beneficiaries Terminated for Work in 2010 by Gender and Age Group</t>
  </si>
  <si>
    <t>DI Claims</t>
  </si>
  <si>
    <t>Total SSI Disability  applications</t>
  </si>
  <si>
    <t>Total Social Security Area  Population* 15-64</t>
  </si>
  <si>
    <t>Social Security Area Population</t>
  </si>
  <si>
    <t>Disability Insured Workers</t>
  </si>
  <si>
    <t xml:space="preserve"> State Population</t>
  </si>
  <si>
    <t>DI claims as % of</t>
  </si>
  <si>
    <t>Percent &lt;18</t>
  </si>
  <si>
    <t>Percent  18-64</t>
  </si>
  <si>
    <t>SSI applicants</t>
  </si>
  <si>
    <t>Population in</t>
  </si>
  <si>
    <t>Hearing Level* (% of Dispositions)</t>
  </si>
  <si>
    <t>Hearing Level* (% of Decisions)</t>
  </si>
  <si>
    <t>SSI, under 18</t>
  </si>
  <si>
    <t xml:space="preserve">DI Worker Awards </t>
  </si>
  <si>
    <t xml:space="preserve">SSI ages 18-64 </t>
  </si>
  <si>
    <t>Estimates (in millions)</t>
  </si>
  <si>
    <r>
      <t xml:space="preserve">U.S. Social Security Administration, Office of the Chief Actuary, </t>
    </r>
    <r>
      <rPr>
        <i/>
        <sz val="11"/>
        <color theme="1"/>
        <rFont val="Calibri"/>
        <family val="2"/>
        <scheme val="minor"/>
      </rPr>
      <t>OASDI Trustees Reports 2001-2011</t>
    </r>
    <r>
      <rPr>
        <sz val="11"/>
        <color theme="1"/>
        <rFont val="Calibri"/>
        <family val="2"/>
        <scheme val="minor"/>
      </rPr>
      <t>, Table III.A6,  or III.A4</t>
    </r>
  </si>
  <si>
    <t>Actual        (in millions)</t>
  </si>
  <si>
    <t>Calendar year</t>
  </si>
  <si>
    <t>(per 1000 beneficiaries)</t>
  </si>
  <si>
    <t xml:space="preserve">18a. Number of Disabled Worker Beneficiaries Terminated </t>
  </si>
  <si>
    <t>for successful return to work, 2010:</t>
  </si>
  <si>
    <t>18b. Percent of Disabled Worker Beneficiaries Terminated</t>
  </si>
  <si>
    <t>SSI Disability Recipients in Current-Payment Status Under 18 (thousands)</t>
  </si>
  <si>
    <t>SSI Disability Recipients in Current-Payment Status 18 to 64 (thousands)</t>
  </si>
  <si>
    <t>SSI Disability Recipients under 18 as % of population under 18</t>
  </si>
  <si>
    <t>SSI Disability Recipients 18 to 64 as % of population 18 to 64</t>
  </si>
  <si>
    <t>Beneficiairies age 0-17 as % of total</t>
  </si>
  <si>
    <t>Beneficiairies age 18-34 as % of total</t>
  </si>
  <si>
    <t>Beneficiairies age  35-49 as % of total</t>
  </si>
  <si>
    <t>Beneficiairies age  50-64 as % of total</t>
  </si>
  <si>
    <t>Beneficiaries as % of population</t>
  </si>
  <si>
    <t>% Male</t>
  </si>
  <si>
    <t>% Female</t>
  </si>
  <si>
    <t>Monthly FBR (current dollars)</t>
  </si>
  <si>
    <t>Monthly FBR (constant 2010 Dollars)</t>
  </si>
  <si>
    <t>Percent of awards</t>
  </si>
  <si>
    <t>% of Initial Level Claims with consultative exams</t>
  </si>
</sst>
</file>

<file path=xl/styles.xml><?xml version="1.0" encoding="utf-8"?>
<styleSheet xmlns="http://schemas.openxmlformats.org/spreadsheetml/2006/main">
  <numFmts count="12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00000000000000%"/>
    <numFmt numFmtId="167" formatCode="0.0"/>
    <numFmt numFmtId="168" formatCode="&quot;$&quot;#,##0"/>
    <numFmt numFmtId="169" formatCode="0.0;[Red]0.0"/>
    <numFmt numFmtId="170" formatCode="&quot;$&quot;#,##0.00"/>
    <numFmt numFmtId="171" formatCode="#,##0.0%"/>
    <numFmt numFmtId="172" formatCode="##,##0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Times New Roman"/>
      <family val="1"/>
    </font>
    <font>
      <b/>
      <u/>
      <sz val="12"/>
      <color theme="10"/>
      <name val="Times New Roman"/>
      <family val="1"/>
    </font>
    <font>
      <sz val="16"/>
      <color theme="1"/>
      <name val="Times New Roman"/>
      <family val="1"/>
    </font>
    <font>
      <b/>
      <sz val="18"/>
      <name val="Times New Roman"/>
      <family val="1"/>
    </font>
    <font>
      <b/>
      <i/>
      <sz val="18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u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u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8"/>
      <name val="Microsoft Sans Serif"/>
      <family val="2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u/>
      <sz val="10"/>
      <color theme="1"/>
      <name val="Calibri"/>
      <family val="2"/>
      <scheme val="minor"/>
    </font>
    <font>
      <b/>
      <u/>
      <sz val="14"/>
      <color theme="10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4"/>
      <name val="Calibri"/>
      <family val="2"/>
    </font>
    <font>
      <b/>
      <sz val="18"/>
      <color theme="1"/>
      <name val="Times New Roman"/>
      <family val="1"/>
    </font>
    <font>
      <u/>
      <sz val="10"/>
      <name val="Arial"/>
      <family val="2"/>
    </font>
    <font>
      <b/>
      <u/>
      <sz val="10"/>
      <name val="Arial"/>
      <family val="2"/>
    </font>
    <font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indexed="8"/>
      <name val="Arial"/>
      <family val="2"/>
    </font>
    <font>
      <b/>
      <u/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u/>
      <sz val="14"/>
      <color theme="10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39994506668294322"/>
        <bgColor indexed="64"/>
      </patternFill>
    </fill>
  </fills>
  <borders count="14">
    <border>
      <left/>
      <right/>
      <top/>
      <bottom/>
      <diagonal/>
    </border>
    <border>
      <left style="thin">
        <color rgb="FF9EEEEE"/>
      </left>
      <right style="thin">
        <color rgb="FF9EEEEE"/>
      </right>
      <top style="thin">
        <color rgb="FF9EEEEE"/>
      </top>
      <bottom style="thin">
        <color rgb="FF9EEEE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23" fillId="0" borderId="0"/>
    <xf numFmtId="0" fontId="29" fillId="0" borderId="0"/>
    <xf numFmtId="0" fontId="23" fillId="0" borderId="0"/>
    <xf numFmtId="0" fontId="14" fillId="0" borderId="0"/>
    <xf numFmtId="0" fontId="32" fillId="0" borderId="0" applyNumberFormat="0">
      <alignment horizontal="right"/>
    </xf>
    <xf numFmtId="0" fontId="7" fillId="0" borderId="0" applyFont="0" applyFill="0" applyBorder="0" applyAlignment="0" applyProtection="0">
      <alignment horizontal="left"/>
    </xf>
    <xf numFmtId="0" fontId="7" fillId="0" borderId="0" applyFont="0" applyAlignment="0">
      <alignment horizontal="left"/>
    </xf>
    <xf numFmtId="0" fontId="26" fillId="0" borderId="0"/>
    <xf numFmtId="49" fontId="32" fillId="0" borderId="0">
      <alignment horizontal="left" wrapText="1"/>
    </xf>
    <xf numFmtId="44" fontId="1" fillId="0" borderId="0" applyFont="0" applyFill="0" applyBorder="0" applyAlignment="0" applyProtection="0"/>
  </cellStyleXfs>
  <cellXfs count="278">
    <xf numFmtId="0" fontId="0" fillId="0" borderId="0" xfId="0"/>
    <xf numFmtId="0" fontId="3" fillId="0" borderId="0" xfId="3" applyAlignment="1" applyProtection="1"/>
    <xf numFmtId="0" fontId="13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/>
    <xf numFmtId="165" fontId="0" fillId="0" borderId="0" xfId="2" applyNumberFormat="1" applyFont="1"/>
    <xf numFmtId="3" fontId="0" fillId="0" borderId="0" xfId="0" applyNumberFormat="1"/>
    <xf numFmtId="0" fontId="1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9" fontId="0" fillId="0" borderId="0" xfId="0" applyNumberFormat="1"/>
    <xf numFmtId="0" fontId="0" fillId="0" borderId="0" xfId="0" applyFont="1"/>
    <xf numFmtId="0" fontId="13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0" fontId="18" fillId="0" borderId="0" xfId="0" applyFont="1"/>
    <xf numFmtId="0" fontId="2" fillId="0" borderId="0" xfId="0" applyFont="1" applyAlignment="1">
      <alignment horizontal="center"/>
    </xf>
    <xf numFmtId="0" fontId="15" fillId="0" borderId="0" xfId="0" applyFont="1"/>
    <xf numFmtId="0" fontId="21" fillId="0" borderId="0" xfId="0" applyFont="1"/>
    <xf numFmtId="0" fontId="14" fillId="0" borderId="0" xfId="4"/>
    <xf numFmtId="3" fontId="14" fillId="0" borderId="0" xfId="4" applyNumberFormat="1"/>
    <xf numFmtId="165" fontId="14" fillId="0" borderId="0" xfId="4" applyNumberFormat="1"/>
    <xf numFmtId="0" fontId="14" fillId="0" borderId="0" xfId="4" applyFont="1"/>
    <xf numFmtId="0" fontId="14" fillId="0" borderId="0" xfId="4" applyFont="1" applyAlignment="1">
      <alignment horizontal="center"/>
    </xf>
    <xf numFmtId="0" fontId="13" fillId="0" borderId="0" xfId="4" applyFont="1" applyAlignment="1">
      <alignment horizontal="center"/>
    </xf>
    <xf numFmtId="0" fontId="13" fillId="0" borderId="0" xfId="4" applyFont="1"/>
    <xf numFmtId="0" fontId="25" fillId="0" borderId="0" xfId="0" applyFont="1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28" fillId="0" borderId="0" xfId="3" applyFont="1" applyAlignment="1" applyProtection="1"/>
    <xf numFmtId="165" fontId="0" fillId="0" borderId="0" xfId="0" applyNumberFormat="1"/>
    <xf numFmtId="0" fontId="33" fillId="0" borderId="0" xfId="3" applyFont="1" applyAlignment="1" applyProtection="1"/>
    <xf numFmtId="0" fontId="7" fillId="2" borderId="3" xfId="3" applyFont="1" applyFill="1" applyBorder="1" applyAlignment="1" applyProtection="1">
      <alignment horizontal="left"/>
    </xf>
    <xf numFmtId="0" fontId="6" fillId="2" borderId="4" xfId="0" applyFont="1" applyFill="1" applyBorder="1"/>
    <xf numFmtId="0" fontId="4" fillId="2" borderId="4" xfId="0" applyFont="1" applyFill="1" applyBorder="1"/>
    <xf numFmtId="0" fontId="34" fillId="2" borderId="4" xfId="0" applyFont="1" applyFill="1" applyBorder="1"/>
    <xf numFmtId="0" fontId="0" fillId="2" borderId="4" xfId="0" applyFill="1" applyBorder="1"/>
    <xf numFmtId="0" fontId="4" fillId="2" borderId="5" xfId="0" applyFont="1" applyFill="1" applyBorder="1"/>
    <xf numFmtId="0" fontId="4" fillId="2" borderId="0" xfId="0" applyFont="1" applyFill="1" applyBorder="1"/>
    <xf numFmtId="0" fontId="0" fillId="2" borderId="0" xfId="0" applyFill="1" applyBorder="1"/>
    <xf numFmtId="0" fontId="11" fillId="2" borderId="5" xfId="0" applyFont="1" applyFill="1" applyBorder="1"/>
    <xf numFmtId="0" fontId="23" fillId="2" borderId="0" xfId="5" applyFill="1" applyBorder="1"/>
    <xf numFmtId="0" fontId="4" fillId="2" borderId="0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left"/>
    </xf>
    <xf numFmtId="0" fontId="0" fillId="2" borderId="5" xfId="0" applyFill="1" applyBorder="1"/>
    <xf numFmtId="0" fontId="5" fillId="2" borderId="5" xfId="3" applyFont="1" applyFill="1" applyBorder="1" applyAlignment="1" applyProtection="1">
      <alignment horizontal="left"/>
    </xf>
    <xf numFmtId="0" fontId="9" fillId="2" borderId="5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3" fillId="0" borderId="0" xfId="0" applyFont="1" applyBorder="1"/>
    <xf numFmtId="0" fontId="35" fillId="0" borderId="0" xfId="0" applyFont="1"/>
    <xf numFmtId="0" fontId="0" fillId="0" borderId="0" xfId="0" applyBorder="1"/>
    <xf numFmtId="0" fontId="13" fillId="0" borderId="0" xfId="0" applyFont="1" applyAlignment="1">
      <alignment horizontal="center"/>
    </xf>
    <xf numFmtId="0" fontId="13" fillId="0" borderId="0" xfId="0" applyFont="1" applyBorder="1" applyAlignment="1">
      <alignment horizontal="center"/>
    </xf>
    <xf numFmtId="167" fontId="0" fillId="0" borderId="0" xfId="0" applyNumberFormat="1"/>
    <xf numFmtId="167" fontId="0" fillId="0" borderId="0" xfId="0" applyNumberFormat="1" applyAlignment="1">
      <alignment horizontal="center"/>
    </xf>
    <xf numFmtId="167" fontId="0" fillId="0" borderId="0" xfId="0" applyNumberFormat="1" applyFill="1" applyBorder="1" applyAlignment="1">
      <alignment horizontal="center"/>
    </xf>
    <xf numFmtId="0" fontId="24" fillId="0" borderId="0" xfId="0" applyFont="1"/>
    <xf numFmtId="0" fontId="19" fillId="0" borderId="0" xfId="0" applyFont="1"/>
    <xf numFmtId="0" fontId="19" fillId="0" borderId="0" xfId="0" applyFont="1" applyFill="1" applyBorder="1"/>
    <xf numFmtId="0" fontId="0" fillId="0" borderId="0" xfId="0" applyFont="1" applyBorder="1"/>
    <xf numFmtId="0" fontId="0" fillId="0" borderId="2" xfId="0" applyBorder="1" applyAlignment="1">
      <alignment horizontal="center"/>
    </xf>
    <xf numFmtId="0" fontId="40" fillId="0" borderId="0" xfId="0" applyFont="1" applyAlignment="1">
      <alignment horizontal="center"/>
    </xf>
    <xf numFmtId="0" fontId="40" fillId="0" borderId="0" xfId="0" applyFont="1" applyAlignment="1">
      <alignment horizontal="center" wrapText="1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center" wrapText="1"/>
    </xf>
    <xf numFmtId="2" fontId="0" fillId="0" borderId="0" xfId="0" applyNumberFormat="1" applyAlignment="1"/>
    <xf numFmtId="0" fontId="0" fillId="0" borderId="0" xfId="0" applyFill="1" applyAlignment="1">
      <alignment horizontal="right"/>
    </xf>
    <xf numFmtId="0" fontId="14" fillId="0" borderId="0" xfId="0" applyFont="1" applyBorder="1" applyAlignment="1">
      <alignment horizontal="right" wrapText="1"/>
    </xf>
    <xf numFmtId="3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1" fillId="0" borderId="0" xfId="0" applyFont="1"/>
    <xf numFmtId="3" fontId="14" fillId="0" borderId="0" xfId="4" applyNumberFormat="1" applyAlignment="1">
      <alignment horizontal="center"/>
    </xf>
    <xf numFmtId="165" fontId="14" fillId="0" borderId="0" xfId="4" applyNumberFormat="1" applyAlignment="1">
      <alignment horizontal="center"/>
    </xf>
    <xf numFmtId="0" fontId="14" fillId="0" borderId="0" xfId="4" applyAlignment="1">
      <alignment horizontal="center"/>
    </xf>
    <xf numFmtId="0" fontId="6" fillId="2" borderId="0" xfId="0" applyFont="1" applyFill="1" applyBorder="1"/>
    <xf numFmtId="0" fontId="34" fillId="2" borderId="0" xfId="0" applyFont="1" applyFill="1" applyBorder="1"/>
    <xf numFmtId="17" fontId="42" fillId="2" borderId="5" xfId="3" applyNumberFormat="1" applyFont="1" applyFill="1" applyBorder="1" applyAlignment="1" applyProtection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wrapText="1"/>
    </xf>
    <xf numFmtId="0" fontId="39" fillId="0" borderId="0" xfId="4" applyFont="1" applyAlignment="1"/>
    <xf numFmtId="0" fontId="19" fillId="0" borderId="0" xfId="4" applyFont="1"/>
    <xf numFmtId="0" fontId="43" fillId="0" borderId="0" xfId="3" applyFont="1" applyAlignment="1" applyProtection="1"/>
    <xf numFmtId="0" fontId="44" fillId="0" borderId="0" xfId="3" applyFont="1" applyAlignment="1" applyProtection="1"/>
    <xf numFmtId="1" fontId="0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67" fontId="0" fillId="0" borderId="0" xfId="0" applyNumberFormat="1" applyFont="1"/>
    <xf numFmtId="167" fontId="19" fillId="0" borderId="0" xfId="0" quotePrefix="1" applyNumberFormat="1" applyFont="1" applyBorder="1" applyAlignment="1"/>
    <xf numFmtId="0" fontId="19" fillId="0" borderId="0" xfId="0" applyFont="1" applyFill="1" applyBorder="1" applyAlignment="1"/>
    <xf numFmtId="0" fontId="0" fillId="0" borderId="0" xfId="0" applyNumberFormat="1"/>
    <xf numFmtId="0" fontId="15" fillId="0" borderId="0" xfId="0" applyNumberFormat="1" applyFont="1"/>
    <xf numFmtId="0" fontId="3" fillId="0" borderId="0" xfId="3" applyNumberFormat="1" applyAlignment="1" applyProtection="1"/>
    <xf numFmtId="49" fontId="19" fillId="0" borderId="0" xfId="13" applyFont="1">
      <alignment horizontal="left" wrapText="1"/>
    </xf>
    <xf numFmtId="170" fontId="19" fillId="0" borderId="0" xfId="9" applyNumberFormat="1" applyFont="1">
      <alignment horizontal="right"/>
    </xf>
    <xf numFmtId="170" fontId="1" fillId="0" borderId="0" xfId="0" applyNumberFormat="1" applyFont="1"/>
    <xf numFmtId="170" fontId="0" fillId="0" borderId="0" xfId="0" applyNumberFormat="1"/>
    <xf numFmtId="0" fontId="0" fillId="0" borderId="0" xfId="0" applyFill="1" applyBorder="1"/>
    <xf numFmtId="0" fontId="2" fillId="0" borderId="0" xfId="0" applyFont="1" applyBorder="1" applyAlignment="1">
      <alignment horizontal="left"/>
    </xf>
    <xf numFmtId="0" fontId="14" fillId="0" borderId="0" xfId="0" applyFont="1" applyBorder="1"/>
    <xf numFmtId="165" fontId="0" fillId="0" borderId="0" xfId="2" applyNumberFormat="1" applyFont="1" applyBorder="1"/>
    <xf numFmtId="171" fontId="14" fillId="0" borderId="0" xfId="0" applyNumberFormat="1" applyFont="1"/>
    <xf numFmtId="171" fontId="0" fillId="0" borderId="0" xfId="0" applyNumberFormat="1"/>
    <xf numFmtId="0" fontId="14" fillId="0" borderId="0" xfId="0" applyFont="1"/>
    <xf numFmtId="1" fontId="0" fillId="0" borderId="0" xfId="0" applyNumberFormat="1" applyBorder="1" applyAlignment="1">
      <alignment horizontal="center"/>
    </xf>
    <xf numFmtId="0" fontId="19" fillId="0" borderId="0" xfId="0" applyFont="1" applyBorder="1"/>
    <xf numFmtId="165" fontId="2" fillId="0" borderId="0" xfId="0" applyNumberFormat="1" applyFont="1"/>
    <xf numFmtId="0" fontId="39" fillId="0" borderId="0" xfId="0" applyFont="1" applyFill="1" applyBorder="1" applyAlignment="1" applyProtection="1">
      <alignment horizontal="left"/>
    </xf>
    <xf numFmtId="0" fontId="46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0" fontId="46" fillId="0" borderId="0" xfId="0" applyNumberFormat="1" applyFont="1" applyAlignment="1">
      <alignment horizontal="right" wrapText="1"/>
    </xf>
    <xf numFmtId="17" fontId="0" fillId="0" borderId="0" xfId="0" applyNumberFormat="1" applyFont="1"/>
    <xf numFmtId="165" fontId="0" fillId="4" borderId="3" xfId="0" applyNumberFormat="1" applyFill="1" applyBorder="1"/>
    <xf numFmtId="165" fontId="0" fillId="4" borderId="4" xfId="0" applyNumberFormat="1" applyFill="1" applyBorder="1"/>
    <xf numFmtId="165" fontId="0" fillId="4" borderId="7" xfId="0" applyNumberFormat="1" applyFill="1" applyBorder="1"/>
    <xf numFmtId="165" fontId="0" fillId="4" borderId="5" xfId="0" applyNumberFormat="1" applyFill="1" applyBorder="1"/>
    <xf numFmtId="165" fontId="0" fillId="4" borderId="0" xfId="0" applyNumberFormat="1" applyFill="1" applyBorder="1"/>
    <xf numFmtId="165" fontId="0" fillId="4" borderId="8" xfId="0" applyNumberFormat="1" applyFill="1" applyBorder="1"/>
    <xf numFmtId="165" fontId="0" fillId="4" borderId="9" xfId="0" applyNumberFormat="1" applyFill="1" applyBorder="1"/>
    <xf numFmtId="165" fontId="0" fillId="4" borderId="10" xfId="0" applyNumberFormat="1" applyFill="1" applyBorder="1"/>
    <xf numFmtId="165" fontId="0" fillId="4" borderId="11" xfId="0" applyNumberFormat="1" applyFill="1" applyBorder="1"/>
    <xf numFmtId="2" fontId="0" fillId="0" borderId="3" xfId="0" applyNumberFormat="1" applyBorder="1"/>
    <xf numFmtId="2" fontId="0" fillId="0" borderId="5" xfId="0" applyNumberFormat="1" applyBorder="1"/>
    <xf numFmtId="2" fontId="0" fillId="0" borderId="9" xfId="0" applyNumberFormat="1" applyBorder="1"/>
    <xf numFmtId="165" fontId="0" fillId="5" borderId="12" xfId="0" applyNumberFormat="1" applyFill="1" applyBorder="1"/>
    <xf numFmtId="165" fontId="0" fillId="5" borderId="13" xfId="0" applyNumberFormat="1" applyFill="1" applyBorder="1"/>
    <xf numFmtId="0" fontId="0" fillId="0" borderId="12" xfId="0" applyBorder="1"/>
    <xf numFmtId="0" fontId="0" fillId="0" borderId="13" xfId="0" applyBorder="1"/>
    <xf numFmtId="0" fontId="0" fillId="0" borderId="6" xfId="0" applyBorder="1"/>
    <xf numFmtId="165" fontId="19" fillId="5" borderId="13" xfId="0" applyNumberFormat="1" applyFont="1" applyFill="1" applyBorder="1"/>
    <xf numFmtId="165" fontId="19" fillId="5" borderId="6" xfId="0" applyNumberFormat="1" applyFont="1" applyFill="1" applyBorder="1"/>
    <xf numFmtId="0" fontId="2" fillId="0" borderId="0" xfId="0" applyFont="1" applyAlignment="1"/>
    <xf numFmtId="0" fontId="0" fillId="0" borderId="0" xfId="0" applyAlignment="1"/>
    <xf numFmtId="3" fontId="0" fillId="0" borderId="0" xfId="0" applyNumberFormat="1" applyFill="1"/>
    <xf numFmtId="0" fontId="0" fillId="0" borderId="0" xfId="0" applyBorder="1" applyAlignment="1">
      <alignment horizontal="center"/>
    </xf>
    <xf numFmtId="172" fontId="38" fillId="0" borderId="0" xfId="0" applyNumberFormat="1" applyFont="1" applyAlignment="1">
      <alignment horizontal="center"/>
    </xf>
    <xf numFmtId="37" fontId="19" fillId="0" borderId="0" xfId="0" applyNumberFormat="1" applyFont="1" applyAlignment="1" applyProtection="1">
      <alignment horizontal="center"/>
    </xf>
    <xf numFmtId="0" fontId="0" fillId="0" borderId="0" xfId="0" applyNumberFormat="1" applyFont="1" applyAlignment="1">
      <alignment horizontal="center"/>
    </xf>
    <xf numFmtId="0" fontId="14" fillId="0" borderId="0" xfId="0" applyFont="1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13" fillId="0" borderId="0" xfId="0" applyFont="1" applyAlignment="1">
      <alignment horizontal="right" wrapText="1"/>
    </xf>
    <xf numFmtId="0" fontId="0" fillId="0" borderId="0" xfId="0" applyFill="1" applyBorder="1" applyAlignment="1">
      <alignment horizontal="right" wrapText="1"/>
    </xf>
    <xf numFmtId="3" fontId="0" fillId="0" borderId="0" xfId="0" applyNumberFormat="1" applyFill="1" applyBorder="1" applyAlignment="1">
      <alignment horizontal="right" wrapText="1"/>
    </xf>
    <xf numFmtId="3" fontId="19" fillId="0" borderId="0" xfId="0" applyNumberFormat="1" applyFont="1" applyFill="1" applyBorder="1" applyAlignment="1">
      <alignment horizontal="right" wrapText="1"/>
    </xf>
    <xf numFmtId="3" fontId="0" fillId="0" borderId="0" xfId="0" applyNumberFormat="1" applyFont="1" applyFill="1"/>
    <xf numFmtId="0" fontId="25" fillId="0" borderId="0" xfId="0" applyFont="1" applyFill="1"/>
    <xf numFmtId="0" fontId="0" fillId="0" borderId="0" xfId="0" applyFill="1"/>
    <xf numFmtId="0" fontId="28" fillId="0" borderId="0" xfId="3" applyFont="1" applyFill="1" applyAlignment="1" applyProtection="1"/>
    <xf numFmtId="0" fontId="33" fillId="0" borderId="0" xfId="3" applyFont="1" applyFill="1" applyAlignment="1" applyProtection="1"/>
    <xf numFmtId="0" fontId="2" fillId="0" borderId="0" xfId="0" applyFont="1" applyFill="1"/>
    <xf numFmtId="0" fontId="0" fillId="0" borderId="0" xfId="0" applyFont="1" applyFill="1"/>
    <xf numFmtId="0" fontId="21" fillId="0" borderId="0" xfId="0" applyFont="1" applyFill="1"/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right"/>
    </xf>
    <xf numFmtId="9" fontId="2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center"/>
    </xf>
    <xf numFmtId="0" fontId="0" fillId="0" borderId="0" xfId="0" applyFont="1" applyFill="1" applyAlignment="1">
      <alignment horizontal="right"/>
    </xf>
    <xf numFmtId="9" fontId="0" fillId="0" borderId="0" xfId="2" applyFont="1" applyFill="1"/>
    <xf numFmtId="1" fontId="0" fillId="0" borderId="0" xfId="0" applyNumberFormat="1" applyFill="1"/>
    <xf numFmtId="10" fontId="0" fillId="0" borderId="0" xfId="0" applyNumberFormat="1" applyFill="1"/>
    <xf numFmtId="9" fontId="0" fillId="0" borderId="0" xfId="0" applyNumberFormat="1" applyFill="1"/>
    <xf numFmtId="166" fontId="0" fillId="0" borderId="0" xfId="0" applyNumberFormat="1" applyFill="1"/>
    <xf numFmtId="0" fontId="22" fillId="0" borderId="0" xfId="0" applyFont="1" applyFill="1"/>
    <xf numFmtId="0" fontId="3" fillId="0" borderId="0" xfId="3" applyFill="1" applyAlignment="1" applyProtection="1"/>
    <xf numFmtId="0" fontId="13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 wrapText="1"/>
    </xf>
    <xf numFmtId="0" fontId="13" fillId="0" borderId="0" xfId="0" applyFont="1" applyFill="1" applyAlignment="1">
      <alignment horizontal="right" wrapText="1"/>
    </xf>
    <xf numFmtId="0" fontId="13" fillId="0" borderId="0" xfId="0" applyFont="1" applyFill="1" applyAlignment="1">
      <alignment horizontal="right"/>
    </xf>
    <xf numFmtId="164" fontId="0" fillId="0" borderId="0" xfId="1" applyNumberFormat="1" applyFont="1" applyFill="1"/>
    <xf numFmtId="165" fontId="0" fillId="0" borderId="0" xfId="2" applyNumberFormat="1" applyFont="1" applyFill="1"/>
    <xf numFmtId="0" fontId="13" fillId="0" borderId="0" xfId="0" applyFont="1" applyFill="1"/>
    <xf numFmtId="0" fontId="13" fillId="0" borderId="1" xfId="0" applyFont="1" applyFill="1" applyBorder="1" applyAlignment="1">
      <alignment horizontal="right" wrapText="1"/>
    </xf>
    <xf numFmtId="0" fontId="13" fillId="0" borderId="0" xfId="0" applyFont="1" applyFill="1" applyBorder="1" applyAlignment="1">
      <alignment horizontal="right" wrapText="1"/>
    </xf>
    <xf numFmtId="0" fontId="15" fillId="0" borderId="0" xfId="0" applyFont="1" applyFill="1"/>
    <xf numFmtId="0" fontId="2" fillId="0" borderId="0" xfId="0" applyFont="1" applyFill="1" applyAlignment="1">
      <alignment horizontal="right" wrapText="1"/>
    </xf>
    <xf numFmtId="0" fontId="14" fillId="0" borderId="0" xfId="5" applyFont="1" applyBorder="1" applyProtection="1">
      <protection locked="0"/>
    </xf>
    <xf numFmtId="3" fontId="14" fillId="0" borderId="0" xfId="5" applyNumberFormat="1" applyFont="1" applyBorder="1" applyProtection="1">
      <protection locked="0"/>
    </xf>
    <xf numFmtId="0" fontId="14" fillId="0" borderId="0" xfId="4" applyBorder="1"/>
    <xf numFmtId="0" fontId="13" fillId="0" borderId="0" xfId="4" applyFont="1" applyAlignment="1">
      <alignment horizontal="right"/>
    </xf>
    <xf numFmtId="0" fontId="25" fillId="0" borderId="0" xfId="0" applyFont="1" applyBorder="1"/>
    <xf numFmtId="0" fontId="28" fillId="0" borderId="0" xfId="3" applyFont="1" applyBorder="1" applyAlignment="1" applyProtection="1"/>
    <xf numFmtId="0" fontId="33" fillId="0" borderId="0" xfId="3" applyFont="1" applyBorder="1" applyAlignment="1" applyProtection="1"/>
    <xf numFmtId="0" fontId="2" fillId="0" borderId="0" xfId="0" applyFont="1" applyBorder="1"/>
    <xf numFmtId="0" fontId="17" fillId="0" borderId="0" xfId="0" applyFont="1" applyBorder="1"/>
    <xf numFmtId="0" fontId="20" fillId="0" borderId="0" xfId="0" applyFont="1" applyBorder="1"/>
    <xf numFmtId="0" fontId="2" fillId="0" borderId="0" xfId="0" applyFont="1" applyBorder="1" applyAlignment="1"/>
    <xf numFmtId="0" fontId="22" fillId="0" borderId="0" xfId="0" applyFont="1" applyBorder="1"/>
    <xf numFmtId="0" fontId="27" fillId="0" borderId="0" xfId="0" applyFont="1" applyBorder="1"/>
    <xf numFmtId="0" fontId="0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6" fillId="0" borderId="0" xfId="0" applyFont="1" applyBorder="1"/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3" fontId="26" fillId="0" borderId="0" xfId="0" applyNumberFormat="1" applyFont="1" applyBorder="1"/>
    <xf numFmtId="3" fontId="14" fillId="0" borderId="0" xfId="4" applyNumberFormat="1" applyBorder="1"/>
    <xf numFmtId="165" fontId="26" fillId="0" borderId="0" xfId="0" applyNumberFormat="1" applyFont="1" applyBorder="1"/>
    <xf numFmtId="0" fontId="15" fillId="0" borderId="0" xfId="0" applyFont="1" applyBorder="1"/>
    <xf numFmtId="0" fontId="3" fillId="0" borderId="0" xfId="3" applyBorder="1" applyAlignment="1" applyProtection="1"/>
    <xf numFmtId="0" fontId="13" fillId="0" borderId="0" xfId="4" applyFont="1" applyBorder="1" applyAlignment="1">
      <alignment horizontal="center"/>
    </xf>
    <xf numFmtId="0" fontId="31" fillId="0" borderId="0" xfId="6" applyFont="1" applyBorder="1" applyAlignment="1">
      <alignment horizontal="center"/>
    </xf>
    <xf numFmtId="0" fontId="31" fillId="0" borderId="0" xfId="6" applyFont="1" applyBorder="1" applyAlignment="1">
      <alignment horizontal="center" vertical="center"/>
    </xf>
    <xf numFmtId="165" fontId="14" fillId="0" borderId="0" xfId="4" applyNumberFormat="1" applyBorder="1"/>
    <xf numFmtId="0" fontId="14" fillId="0" borderId="0" xfId="7" applyFont="1" applyBorder="1" applyProtection="1">
      <protection locked="0"/>
    </xf>
    <xf numFmtId="3" fontId="14" fillId="0" borderId="0" xfId="8" applyNumberFormat="1" applyBorder="1"/>
    <xf numFmtId="3" fontId="30" fillId="0" borderId="0" xfId="6" applyNumberFormat="1" applyFont="1" applyBorder="1"/>
    <xf numFmtId="165" fontId="30" fillId="0" borderId="0" xfId="6" applyNumberFormat="1" applyFont="1" applyBorder="1"/>
    <xf numFmtId="0" fontId="36" fillId="0" borderId="0" xfId="0" applyFont="1" applyAlignment="1">
      <alignment horizontal="center"/>
    </xf>
    <xf numFmtId="0" fontId="39" fillId="0" borderId="0" xfId="0" applyFont="1" applyBorder="1" applyAlignment="1">
      <alignment horizontal="right" wrapText="1"/>
    </xf>
    <xf numFmtId="0" fontId="2" fillId="0" borderId="0" xfId="0" applyFont="1" applyBorder="1" applyAlignment="1">
      <alignment horizontal="right" wrapText="1"/>
    </xf>
    <xf numFmtId="0" fontId="0" fillId="0" borderId="2" xfId="0" applyFont="1" applyBorder="1" applyAlignment="1">
      <alignment horizontal="right"/>
    </xf>
    <xf numFmtId="0" fontId="38" fillId="0" borderId="2" xfId="0" applyFont="1" applyBorder="1" applyAlignment="1">
      <alignment horizontal="right" wrapText="1"/>
    </xf>
    <xf numFmtId="0" fontId="19" fillId="0" borderId="2" xfId="0" applyFont="1" applyFill="1" applyBorder="1" applyAlignment="1">
      <alignment horizontal="right"/>
    </xf>
    <xf numFmtId="0" fontId="38" fillId="0" borderId="2" xfId="0" applyFont="1" applyFill="1" applyBorder="1" applyAlignment="1">
      <alignment horizontal="right" wrapText="1"/>
    </xf>
    <xf numFmtId="0" fontId="40" fillId="0" borderId="0" xfId="0" applyFont="1" applyAlignment="1">
      <alignment horizontal="right" wrapText="1"/>
    </xf>
    <xf numFmtId="168" fontId="30" fillId="0" borderId="0" xfId="0" applyNumberFormat="1" applyFont="1" applyBorder="1" applyAlignment="1">
      <alignment horizontal="right"/>
    </xf>
    <xf numFmtId="168" fontId="14" fillId="0" borderId="0" xfId="0" applyNumberFormat="1" applyFont="1" applyBorder="1" applyAlignment="1">
      <alignment horizontal="right"/>
    </xf>
    <xf numFmtId="165" fontId="30" fillId="0" borderId="0" xfId="2" applyNumberFormat="1" applyFont="1" applyBorder="1" applyAlignment="1">
      <alignment horizontal="right"/>
    </xf>
    <xf numFmtId="168" fontId="30" fillId="0" borderId="0" xfId="0" applyNumberFormat="1" applyFont="1" applyAlignment="1">
      <alignment horizontal="right"/>
    </xf>
    <xf numFmtId="165" fontId="30" fillId="0" borderId="0" xfId="2" applyNumberFormat="1" applyFont="1" applyAlignment="1">
      <alignment horizontal="right"/>
    </xf>
    <xf numFmtId="168" fontId="30" fillId="0" borderId="0" xfId="0" applyNumberFormat="1" applyFont="1" applyAlignment="1">
      <alignment horizontal="right" wrapText="1"/>
    </xf>
    <xf numFmtId="165" fontId="30" fillId="0" borderId="0" xfId="2" applyNumberFormat="1" applyFont="1" applyAlignment="1">
      <alignment horizontal="right" wrapText="1"/>
    </xf>
    <xf numFmtId="167" fontId="0" fillId="3" borderId="2" xfId="0" applyNumberFormat="1" applyFont="1" applyFill="1" applyBorder="1" applyAlignment="1">
      <alignment horizontal="right" wrapText="1"/>
    </xf>
    <xf numFmtId="167" fontId="19" fillId="3" borderId="2" xfId="0" applyNumberFormat="1" applyFont="1" applyFill="1" applyBorder="1" applyAlignment="1">
      <alignment horizontal="right"/>
    </xf>
    <xf numFmtId="168" fontId="40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3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0" fontId="13" fillId="0" borderId="0" xfId="4" applyFont="1" applyBorder="1"/>
    <xf numFmtId="0" fontId="13" fillId="0" borderId="0" xfId="4" applyFont="1" applyAlignment="1">
      <alignment horizontal="right" wrapText="1"/>
    </xf>
    <xf numFmtId="3" fontId="14" fillId="0" borderId="0" xfId="4" applyNumberFormat="1" applyAlignment="1">
      <alignment horizontal="right"/>
    </xf>
    <xf numFmtId="165" fontId="14" fillId="0" borderId="0" xfId="4" applyNumberFormat="1" applyAlignment="1">
      <alignment horizontal="right"/>
    </xf>
    <xf numFmtId="3" fontId="1" fillId="0" borderId="0" xfId="0" applyNumberFormat="1" applyFont="1" applyAlignment="1">
      <alignment horizontal="right"/>
    </xf>
    <xf numFmtId="3" fontId="19" fillId="0" borderId="0" xfId="4" applyNumberFormat="1" applyFont="1" applyAlignment="1">
      <alignment horizontal="right"/>
    </xf>
    <xf numFmtId="10" fontId="1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3" fontId="19" fillId="0" borderId="0" xfId="0" applyNumberFormat="1" applyFont="1" applyAlignment="1">
      <alignment horizontal="right"/>
    </xf>
    <xf numFmtId="165" fontId="19" fillId="0" borderId="0" xfId="0" applyNumberFormat="1" applyFont="1" applyAlignment="1">
      <alignment horizontal="right"/>
    </xf>
    <xf numFmtId="3" fontId="0" fillId="0" borderId="0" xfId="0" applyNumberFormat="1" applyFont="1" applyAlignment="1">
      <alignment horizontal="right"/>
    </xf>
    <xf numFmtId="3" fontId="19" fillId="0" borderId="0" xfId="9" applyNumberFormat="1" applyFont="1" applyAlignment="1">
      <alignment horizontal="right"/>
    </xf>
    <xf numFmtId="3" fontId="19" fillId="0" borderId="0" xfId="9" applyNumberFormat="1" applyFont="1" applyFill="1" applyAlignment="1">
      <alignment horizontal="right"/>
    </xf>
    <xf numFmtId="0" fontId="39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165" fontId="0" fillId="0" borderId="0" xfId="2" applyNumberFormat="1" applyFont="1" applyAlignment="1">
      <alignment horizontal="right"/>
    </xf>
    <xf numFmtId="165" fontId="0" fillId="0" borderId="0" xfId="2" applyNumberFormat="1" applyFont="1" applyBorder="1" applyAlignment="1">
      <alignment horizontal="right"/>
    </xf>
    <xf numFmtId="165" fontId="0" fillId="0" borderId="0" xfId="2" applyNumberFormat="1" applyFont="1" applyFill="1" applyBorder="1" applyAlignment="1">
      <alignment horizontal="right"/>
    </xf>
    <xf numFmtId="0" fontId="0" fillId="0" borderId="0" xfId="0" applyAlignment="1">
      <alignment horizontal="right" wrapText="1"/>
    </xf>
    <xf numFmtId="9" fontId="0" fillId="0" borderId="0" xfId="2" applyNumberFormat="1" applyFont="1"/>
    <xf numFmtId="9" fontId="0" fillId="0" borderId="0" xfId="2" applyNumberFormat="1" applyFont="1" applyBorder="1" applyAlignment="1">
      <alignment horizontal="right"/>
    </xf>
    <xf numFmtId="0" fontId="39" fillId="0" borderId="0" xfId="0" applyFont="1" applyBorder="1"/>
    <xf numFmtId="0" fontId="39" fillId="0" borderId="0" xfId="0" applyFont="1" applyBorder="1" applyAlignment="1">
      <alignment horizontal="centerContinuous"/>
    </xf>
    <xf numFmtId="0" fontId="39" fillId="0" borderId="0" xfId="0" applyFont="1" applyBorder="1" applyAlignment="1" applyProtection="1">
      <alignment horizontal="centerContinuous"/>
    </xf>
    <xf numFmtId="0" fontId="39" fillId="0" borderId="0" xfId="0" applyFont="1" applyBorder="1" applyAlignment="1" applyProtection="1">
      <alignment horizontal="center"/>
    </xf>
    <xf numFmtId="0" fontId="39" fillId="0" borderId="0" xfId="0" applyFont="1" applyBorder="1" applyAlignment="1" applyProtection="1">
      <alignment horizontal="left"/>
    </xf>
    <xf numFmtId="0" fontId="43" fillId="0" borderId="0" xfId="3" applyFont="1" applyBorder="1" applyAlignment="1" applyProtection="1"/>
    <xf numFmtId="0" fontId="44" fillId="0" borderId="0" xfId="3" applyFont="1" applyBorder="1" applyAlignment="1" applyProtection="1"/>
    <xf numFmtId="0" fontId="2" fillId="0" borderId="0" xfId="0" applyFont="1" applyBorder="1" applyAlignment="1">
      <alignment wrapText="1"/>
    </xf>
    <xf numFmtId="1" fontId="2" fillId="0" borderId="0" xfId="0" applyNumberFormat="1" applyFont="1" applyBorder="1" applyAlignment="1">
      <alignment horizontal="left"/>
    </xf>
    <xf numFmtId="9" fontId="19" fillId="0" borderId="0" xfId="2" applyFont="1" applyBorder="1" applyAlignment="1">
      <alignment horizontal="right"/>
    </xf>
    <xf numFmtId="2" fontId="0" fillId="0" borderId="0" xfId="0" applyNumberFormat="1" applyFill="1" applyBorder="1"/>
    <xf numFmtId="167" fontId="0" fillId="0" borderId="0" xfId="0" applyNumberFormat="1" applyBorder="1" applyAlignment="1">
      <alignment horizontal="right"/>
    </xf>
    <xf numFmtId="167" fontId="0" fillId="0" borderId="0" xfId="0" quotePrefix="1" applyNumberFormat="1" applyBorder="1" applyAlignment="1">
      <alignment horizontal="right"/>
    </xf>
    <xf numFmtId="0" fontId="0" fillId="0" borderId="0" xfId="0" applyBorder="1" applyAlignment="1">
      <alignment horizontal="left"/>
    </xf>
    <xf numFmtId="167" fontId="0" fillId="0" borderId="0" xfId="0" applyNumberFormat="1" applyAlignment="1">
      <alignment horizontal="right"/>
    </xf>
    <xf numFmtId="0" fontId="0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2" fontId="14" fillId="0" borderId="0" xfId="0" applyNumberFormat="1" applyFont="1" applyAlignment="1">
      <alignment horizontal="right"/>
    </xf>
    <xf numFmtId="169" fontId="0" fillId="0" borderId="0" xfId="0" applyNumberFormat="1" applyFont="1" applyAlignment="1">
      <alignment horizontal="right"/>
    </xf>
    <xf numFmtId="0" fontId="37" fillId="0" borderId="0" xfId="0" applyFont="1" applyAlignment="1">
      <alignment horizontal="right"/>
    </xf>
    <xf numFmtId="168" fontId="19" fillId="0" borderId="0" xfId="14" applyNumberFormat="1" applyFont="1" applyBorder="1" applyAlignment="1" applyProtection="1">
      <alignment horizontal="right"/>
    </xf>
    <xf numFmtId="6" fontId="19" fillId="0" borderId="0" xfId="14" applyNumberFormat="1" applyFont="1" applyBorder="1" applyAlignment="1" applyProtection="1">
      <alignment horizontal="right"/>
    </xf>
    <xf numFmtId="0" fontId="2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horizontal="center" wrapText="1"/>
    </xf>
  </cellXfs>
  <cellStyles count="15">
    <cellStyle name="Comma" xfId="1" builtinId="3"/>
    <cellStyle name="Currency" xfId="14" builtinId="4"/>
    <cellStyle name="Data" xfId="9"/>
    <cellStyle name="Hyperlink" xfId="3" builtinId="8"/>
    <cellStyle name="Normal" xfId="0" builtinId="0"/>
    <cellStyle name="Normal 2" xfId="12"/>
    <cellStyle name="Normal 5" xfId="5"/>
    <cellStyle name="Normal 5_Data2010" xfId="7"/>
    <cellStyle name="Normal_Sheet1" xfId="4"/>
    <cellStyle name="Normal_Sheet1_1" xfId="8"/>
    <cellStyle name="Normal_Sheet1_Data2010" xfId="6"/>
    <cellStyle name="Percent" xfId="2" builtinId="5"/>
    <cellStyle name="Row Stub" xfId="13"/>
    <cellStyle name="Style 1" xfId="10"/>
    <cellStyle name="Style 2" xfId="1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1">
  <dgm:title val=""/>
  <dgm:desc val=""/>
  <dgm:catLst>
    <dgm:cat type="accent1" pri="11100"/>
  </dgm:catLst>
  <dgm:styleLbl name="node0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accent1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accent1">
        <a:tint val="4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4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4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accent1">
        <a:alpha val="4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accent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accent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accent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AB4E5BF4-F989-475C-A05E-BE8B5264DC55}" type="doc">
      <dgm:prSet loTypeId="urn:microsoft.com/office/officeart/2005/8/layout/process1" loCatId="process" qsTypeId="urn:microsoft.com/office/officeart/2005/8/quickstyle/simple1" qsCatId="simple" csTypeId="urn:microsoft.com/office/officeart/2005/8/colors/accent1_1" csCatId="accent1" phldr="1"/>
      <dgm:spPr/>
      <dgm:t>
        <a:bodyPr/>
        <a:lstStyle/>
        <a:p>
          <a:endParaRPr lang="en-US"/>
        </a:p>
      </dgm:t>
    </dgm:pt>
    <dgm:pt modelId="{89524C97-C9A0-480A-B334-7784877DFACA}">
      <dgm:prSet phldrT="[Text]" custT="1"/>
      <dgm:spPr>
        <a:xfrm>
          <a:off x="2902" y="475908"/>
          <a:ext cx="899666" cy="892857"/>
        </a:xfrm>
        <a:solidFill>
          <a:sysClr val="window" lastClr="FFFFFF">
            <a:hueOff val="0"/>
            <a:satOff val="0"/>
            <a:lumOff val="0"/>
            <a:alphaOff val="0"/>
          </a:sysClr>
        </a:solidFill>
        <a:ln w="25400" cap="flat" cmpd="sng" algn="ctr">
          <a:solidFill>
            <a:srgbClr val="4F81BD">
              <a:shade val="80000"/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r>
            <a:rPr lang="en-US" sz="1000" dirty="0" smtClean="0">
              <a:solidFill>
                <a:sysClr val="windowText" lastClr="000000">
                  <a:hueOff val="0"/>
                  <a:satOff val="0"/>
                  <a:lumOff val="0"/>
                  <a:alphaOff val="0"/>
                </a:sysClr>
              </a:solidFill>
              <a:latin typeface="Calibri"/>
              <a:ea typeface="+mn-ea"/>
              <a:cs typeface="+mn-cs"/>
            </a:rPr>
            <a:t>SSDI Awards: 591,493 (100%)</a:t>
          </a:r>
          <a:endParaRPr lang="en-US" sz="1000" dirty="0">
            <a:solidFill>
              <a:sysClr val="windowText" lastClr="000000">
                <a:hueOff val="0"/>
                <a:satOff val="0"/>
                <a:lumOff val="0"/>
                <a:alphaOff val="0"/>
              </a:sysClr>
            </a:solidFill>
            <a:latin typeface="Calibri"/>
            <a:ea typeface="+mn-ea"/>
            <a:cs typeface="+mn-cs"/>
          </a:endParaRPr>
        </a:p>
      </dgm:t>
    </dgm:pt>
    <dgm:pt modelId="{72BDE36B-6FF6-40A7-B05D-26FAD2716473}" type="parTrans" cxnId="{630A49A5-89AB-49ED-916D-21FA7D6CB5C5}">
      <dgm:prSet/>
      <dgm:spPr/>
      <dgm:t>
        <a:bodyPr/>
        <a:lstStyle/>
        <a:p>
          <a:endParaRPr lang="en-US"/>
        </a:p>
      </dgm:t>
    </dgm:pt>
    <dgm:pt modelId="{DC8AF518-09FB-4E72-A190-4D9346399E8C}" type="sibTrans" cxnId="{630A49A5-89AB-49ED-916D-21FA7D6CB5C5}">
      <dgm:prSet/>
      <dgm:spPr>
        <a:xfrm>
          <a:off x="992534" y="810778"/>
          <a:ext cx="190729" cy="223117"/>
        </a:xfrm>
        <a:solidFill>
          <a:srgbClr val="4F81BD">
            <a:tint val="60000"/>
            <a:hueOff val="0"/>
            <a:satOff val="0"/>
            <a:lumOff val="0"/>
            <a:alphaOff val="0"/>
          </a:srgbClr>
        </a:solidFill>
        <a:ln>
          <a:noFill/>
        </a:ln>
        <a:effectLst/>
      </dgm:spPr>
      <dgm:t>
        <a:bodyPr/>
        <a:lstStyle/>
        <a:p>
          <a:endParaRPr lang="en-US">
            <a:solidFill>
              <a:sysClr val="windowText" lastClr="000000">
                <a:hueOff val="0"/>
                <a:satOff val="0"/>
                <a:lumOff val="0"/>
                <a:alphaOff val="0"/>
              </a:sysClr>
            </a:solidFill>
            <a:latin typeface="Calibri"/>
            <a:ea typeface="+mn-ea"/>
            <a:cs typeface="+mn-cs"/>
          </a:endParaRPr>
        </a:p>
      </dgm:t>
    </dgm:pt>
    <dgm:pt modelId="{B494A4D9-D8B5-46D5-BB1B-0801123EC253}">
      <dgm:prSet phldrT="[Text]" custT="1"/>
      <dgm:spPr>
        <a:xfrm>
          <a:off x="1262434" y="475908"/>
          <a:ext cx="899666" cy="892857"/>
        </a:xfrm>
        <a:solidFill>
          <a:sysClr val="window" lastClr="FFFFFF">
            <a:hueOff val="0"/>
            <a:satOff val="0"/>
            <a:lumOff val="0"/>
            <a:alphaOff val="0"/>
          </a:sysClr>
        </a:solidFill>
        <a:ln w="25400" cap="flat" cmpd="sng" algn="ctr">
          <a:solidFill>
            <a:srgbClr val="4F81BD">
              <a:shade val="80000"/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r>
            <a:rPr lang="en-US" sz="1000" dirty="0" smtClean="0">
              <a:solidFill>
                <a:sysClr val="windowText" lastClr="000000">
                  <a:hueOff val="0"/>
                  <a:satOff val="0"/>
                  <a:lumOff val="0"/>
                  <a:alphaOff val="0"/>
                </a:sysClr>
              </a:solidFill>
              <a:latin typeface="Calibri"/>
              <a:ea typeface="+mn-ea"/>
              <a:cs typeface="+mn-cs"/>
            </a:rPr>
            <a:t>Employed: </a:t>
          </a:r>
        </a:p>
        <a:p>
          <a:r>
            <a:rPr lang="en-US" sz="1000" dirty="0" smtClean="0">
              <a:solidFill>
                <a:sysClr val="windowText" lastClr="000000">
                  <a:hueOff val="0"/>
                  <a:satOff val="0"/>
                  <a:lumOff val="0"/>
                  <a:alphaOff val="0"/>
                </a:sysClr>
              </a:solidFill>
              <a:latin typeface="Calibri"/>
              <a:ea typeface="+mn-ea"/>
              <a:cs typeface="+mn-cs"/>
            </a:rPr>
            <a:t>165,801 (28.0%)</a:t>
          </a:r>
          <a:endParaRPr lang="en-US" sz="1000" dirty="0">
            <a:solidFill>
              <a:sysClr val="windowText" lastClr="000000">
                <a:hueOff val="0"/>
                <a:satOff val="0"/>
                <a:lumOff val="0"/>
                <a:alphaOff val="0"/>
              </a:sysClr>
            </a:solidFill>
            <a:latin typeface="Calibri"/>
            <a:ea typeface="+mn-ea"/>
            <a:cs typeface="+mn-cs"/>
          </a:endParaRPr>
        </a:p>
      </dgm:t>
    </dgm:pt>
    <dgm:pt modelId="{12DD23E8-41CF-4873-A80D-C3043CFA4ADD}" type="parTrans" cxnId="{9F5AD24C-CC9A-4BDA-9F61-C08D4C4BE1B8}">
      <dgm:prSet/>
      <dgm:spPr/>
      <dgm:t>
        <a:bodyPr/>
        <a:lstStyle/>
        <a:p>
          <a:endParaRPr lang="en-US"/>
        </a:p>
      </dgm:t>
    </dgm:pt>
    <dgm:pt modelId="{60C312DC-E59E-4D28-A00A-6C1CD60E46B5}" type="sibTrans" cxnId="{9F5AD24C-CC9A-4BDA-9F61-C08D4C4BE1B8}">
      <dgm:prSet/>
      <dgm:spPr>
        <a:xfrm>
          <a:off x="2252067" y="810778"/>
          <a:ext cx="190729" cy="223117"/>
        </a:xfrm>
        <a:solidFill>
          <a:srgbClr val="4F81BD">
            <a:tint val="60000"/>
            <a:hueOff val="0"/>
            <a:satOff val="0"/>
            <a:lumOff val="0"/>
            <a:alphaOff val="0"/>
          </a:srgbClr>
        </a:solidFill>
        <a:ln>
          <a:noFill/>
        </a:ln>
        <a:effectLst/>
      </dgm:spPr>
      <dgm:t>
        <a:bodyPr/>
        <a:lstStyle/>
        <a:p>
          <a:endParaRPr lang="en-US">
            <a:solidFill>
              <a:sysClr val="windowText" lastClr="000000">
                <a:hueOff val="0"/>
                <a:satOff val="0"/>
                <a:lumOff val="0"/>
                <a:alphaOff val="0"/>
              </a:sysClr>
            </a:solidFill>
            <a:latin typeface="Calibri"/>
            <a:ea typeface="+mn-ea"/>
            <a:cs typeface="+mn-cs"/>
          </a:endParaRPr>
        </a:p>
      </dgm:t>
    </dgm:pt>
    <dgm:pt modelId="{FF9C8F1E-AE09-42AF-A8B5-E64F5BE6C892}">
      <dgm:prSet phldrT="[Text]" custT="1"/>
      <dgm:spPr>
        <a:xfrm>
          <a:off x="5041031" y="475908"/>
          <a:ext cx="899666" cy="892857"/>
        </a:xfrm>
        <a:solidFill>
          <a:sysClr val="window" lastClr="FFFFFF">
            <a:hueOff val="0"/>
            <a:satOff val="0"/>
            <a:lumOff val="0"/>
            <a:alphaOff val="0"/>
          </a:sysClr>
        </a:solidFill>
        <a:ln w="25400" cap="flat" cmpd="sng" algn="ctr">
          <a:solidFill>
            <a:srgbClr val="4F81BD">
              <a:shade val="80000"/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r>
            <a:rPr lang="en-US" sz="1000" dirty="0" smtClean="0">
              <a:solidFill>
                <a:sysClr val="windowText" lastClr="000000">
                  <a:hueOff val="0"/>
                  <a:satOff val="0"/>
                  <a:lumOff val="0"/>
                  <a:alphaOff val="0"/>
                </a:sysClr>
              </a:solidFill>
              <a:latin typeface="Calibri"/>
              <a:ea typeface="+mn-ea"/>
              <a:cs typeface="+mn-cs"/>
            </a:rPr>
            <a:t>Benefits terminated after finding  work: </a:t>
          </a:r>
        </a:p>
        <a:p>
          <a:r>
            <a:rPr lang="en-US" sz="1000" dirty="0" smtClean="0">
              <a:solidFill>
                <a:sysClr val="windowText" lastClr="000000">
                  <a:hueOff val="0"/>
                  <a:satOff val="0"/>
                  <a:lumOff val="0"/>
                  <a:alphaOff val="0"/>
                </a:sysClr>
              </a:solidFill>
              <a:latin typeface="Calibri"/>
              <a:ea typeface="+mn-ea"/>
              <a:cs typeface="+mn-cs"/>
            </a:rPr>
            <a:t>21,829 (3.7%)</a:t>
          </a:r>
          <a:endParaRPr lang="en-US" sz="1000" dirty="0">
            <a:solidFill>
              <a:sysClr val="windowText" lastClr="000000">
                <a:hueOff val="0"/>
                <a:satOff val="0"/>
                <a:lumOff val="0"/>
                <a:alphaOff val="0"/>
              </a:sysClr>
            </a:solidFill>
            <a:latin typeface="Calibri"/>
            <a:ea typeface="+mn-ea"/>
            <a:cs typeface="+mn-cs"/>
          </a:endParaRPr>
        </a:p>
      </dgm:t>
    </dgm:pt>
    <dgm:pt modelId="{525BF20B-17E3-42ED-9B8B-1474F092D392}" type="parTrans" cxnId="{05702541-CC9E-4F1D-87D0-AC473E9EAA5D}">
      <dgm:prSet/>
      <dgm:spPr/>
      <dgm:t>
        <a:bodyPr/>
        <a:lstStyle/>
        <a:p>
          <a:endParaRPr lang="en-US"/>
        </a:p>
      </dgm:t>
    </dgm:pt>
    <dgm:pt modelId="{287AD0AE-8F00-493C-A5F4-379A2FD5E893}" type="sibTrans" cxnId="{05702541-CC9E-4F1D-87D0-AC473E9EAA5D}">
      <dgm:prSet/>
      <dgm:spPr/>
      <dgm:t>
        <a:bodyPr/>
        <a:lstStyle/>
        <a:p>
          <a:endParaRPr lang="en-US"/>
        </a:p>
      </dgm:t>
    </dgm:pt>
    <dgm:pt modelId="{9A4054BC-9F2C-4444-AD79-D60F7C78D30A}">
      <dgm:prSet phldrT="[Text]" custT="1"/>
      <dgm:spPr>
        <a:xfrm>
          <a:off x="3781499" y="475908"/>
          <a:ext cx="899666" cy="892857"/>
        </a:xfrm>
        <a:solidFill>
          <a:sysClr val="window" lastClr="FFFFFF">
            <a:hueOff val="0"/>
            <a:satOff val="0"/>
            <a:lumOff val="0"/>
            <a:alphaOff val="0"/>
          </a:sysClr>
        </a:solidFill>
        <a:ln w="25400" cap="flat" cmpd="sng" algn="ctr">
          <a:solidFill>
            <a:srgbClr val="4F81BD">
              <a:shade val="80000"/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r>
            <a:rPr lang="en-US" sz="1000" dirty="0" smtClean="0">
              <a:solidFill>
                <a:sysClr val="windowText" lastClr="000000">
                  <a:hueOff val="0"/>
                  <a:satOff val="0"/>
                  <a:lumOff val="0"/>
                  <a:alphaOff val="0"/>
                </a:sysClr>
              </a:solidFill>
              <a:latin typeface="Calibri"/>
              <a:ea typeface="+mn-ea"/>
              <a:cs typeface="+mn-cs"/>
            </a:rPr>
            <a:t>Benefits suspended after finding  work: </a:t>
          </a:r>
        </a:p>
        <a:p>
          <a:r>
            <a:rPr lang="en-US" sz="1000" dirty="0" smtClean="0">
              <a:solidFill>
                <a:sysClr val="windowText" lastClr="000000">
                  <a:hueOff val="0"/>
                  <a:satOff val="0"/>
                  <a:lumOff val="0"/>
                  <a:alphaOff val="0"/>
                </a:sysClr>
              </a:solidFill>
              <a:latin typeface="Calibri"/>
              <a:ea typeface="+mn-ea"/>
              <a:cs typeface="+mn-cs"/>
            </a:rPr>
            <a:t>38,546 (6.5%)</a:t>
          </a:r>
          <a:endParaRPr lang="en-US" sz="1000" dirty="0">
            <a:solidFill>
              <a:sysClr val="windowText" lastClr="000000">
                <a:hueOff val="0"/>
                <a:satOff val="0"/>
                <a:lumOff val="0"/>
                <a:alphaOff val="0"/>
              </a:sysClr>
            </a:solidFill>
            <a:latin typeface="Calibri"/>
            <a:ea typeface="+mn-ea"/>
            <a:cs typeface="+mn-cs"/>
          </a:endParaRPr>
        </a:p>
      </dgm:t>
    </dgm:pt>
    <dgm:pt modelId="{B09F8273-4E93-4629-8107-1C302F0D8A4C}" type="parTrans" cxnId="{5DDE9B96-8A5A-482E-BF79-6654652DFE63}">
      <dgm:prSet/>
      <dgm:spPr/>
      <dgm:t>
        <a:bodyPr/>
        <a:lstStyle/>
        <a:p>
          <a:endParaRPr lang="en-US"/>
        </a:p>
      </dgm:t>
    </dgm:pt>
    <dgm:pt modelId="{BB90E5BC-EA9D-4BD6-AB74-F0BE9B81E007}" type="sibTrans" cxnId="{5DDE9B96-8A5A-482E-BF79-6654652DFE63}">
      <dgm:prSet/>
      <dgm:spPr>
        <a:xfrm>
          <a:off x="4771132" y="810778"/>
          <a:ext cx="190729" cy="223117"/>
        </a:xfrm>
        <a:solidFill>
          <a:srgbClr val="4F81BD">
            <a:tint val="60000"/>
            <a:hueOff val="0"/>
            <a:satOff val="0"/>
            <a:lumOff val="0"/>
            <a:alphaOff val="0"/>
          </a:srgbClr>
        </a:solidFill>
        <a:ln>
          <a:noFill/>
        </a:ln>
        <a:effectLst/>
      </dgm:spPr>
      <dgm:t>
        <a:bodyPr/>
        <a:lstStyle/>
        <a:p>
          <a:endParaRPr lang="en-US">
            <a:solidFill>
              <a:sysClr val="windowText" lastClr="000000">
                <a:hueOff val="0"/>
                <a:satOff val="0"/>
                <a:lumOff val="0"/>
                <a:alphaOff val="0"/>
              </a:sysClr>
            </a:solidFill>
            <a:latin typeface="Calibri"/>
            <a:ea typeface="+mn-ea"/>
            <a:cs typeface="+mn-cs"/>
          </a:endParaRPr>
        </a:p>
      </dgm:t>
    </dgm:pt>
    <dgm:pt modelId="{6867B153-428E-49CC-B855-1915E8009415}">
      <dgm:prSet phldrT="[Text]" custT="1"/>
      <dgm:spPr>
        <a:xfrm>
          <a:off x="2521966" y="475908"/>
          <a:ext cx="899666" cy="892857"/>
        </a:xfrm>
        <a:solidFill>
          <a:sysClr val="window" lastClr="FFFFFF">
            <a:hueOff val="0"/>
            <a:satOff val="0"/>
            <a:lumOff val="0"/>
            <a:alphaOff val="0"/>
          </a:sysClr>
        </a:solidFill>
        <a:ln w="25400" cap="flat" cmpd="sng" algn="ctr">
          <a:solidFill>
            <a:srgbClr val="4F81BD">
              <a:shade val="80000"/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r>
            <a:rPr lang="en-US" sz="1000" dirty="0" smtClean="0">
              <a:solidFill>
                <a:sysClr val="windowText" lastClr="000000">
                  <a:hueOff val="0"/>
                  <a:satOff val="0"/>
                  <a:lumOff val="0"/>
                  <a:alphaOff val="0"/>
                </a:sysClr>
              </a:solidFill>
              <a:latin typeface="Calibri"/>
              <a:ea typeface="+mn-ea"/>
              <a:cs typeface="+mn-cs"/>
            </a:rPr>
            <a:t>Completed trial work period: 60,761 (10.3)</a:t>
          </a:r>
          <a:endParaRPr lang="en-US" sz="1000" dirty="0">
            <a:solidFill>
              <a:sysClr val="windowText" lastClr="000000">
                <a:hueOff val="0"/>
                <a:satOff val="0"/>
                <a:lumOff val="0"/>
                <a:alphaOff val="0"/>
              </a:sysClr>
            </a:solidFill>
            <a:latin typeface="Calibri"/>
            <a:ea typeface="+mn-ea"/>
            <a:cs typeface="+mn-cs"/>
          </a:endParaRPr>
        </a:p>
      </dgm:t>
    </dgm:pt>
    <dgm:pt modelId="{F94E2B08-1E72-48C6-A41F-2C6A3BC05411}" type="parTrans" cxnId="{23646432-F33C-4894-A9C0-662E86426121}">
      <dgm:prSet/>
      <dgm:spPr/>
      <dgm:t>
        <a:bodyPr/>
        <a:lstStyle/>
        <a:p>
          <a:endParaRPr lang="en-US"/>
        </a:p>
      </dgm:t>
    </dgm:pt>
    <dgm:pt modelId="{9FA14A16-D5C3-4066-BD5E-6456CED20F1F}" type="sibTrans" cxnId="{23646432-F33C-4894-A9C0-662E86426121}">
      <dgm:prSet/>
      <dgm:spPr>
        <a:xfrm>
          <a:off x="3511599" y="810778"/>
          <a:ext cx="190729" cy="223117"/>
        </a:xfrm>
        <a:solidFill>
          <a:srgbClr val="4F81BD">
            <a:tint val="60000"/>
            <a:hueOff val="0"/>
            <a:satOff val="0"/>
            <a:lumOff val="0"/>
            <a:alphaOff val="0"/>
          </a:srgbClr>
        </a:solidFill>
        <a:ln>
          <a:noFill/>
        </a:ln>
        <a:effectLst/>
      </dgm:spPr>
      <dgm:t>
        <a:bodyPr/>
        <a:lstStyle/>
        <a:p>
          <a:endParaRPr lang="en-US">
            <a:solidFill>
              <a:sysClr val="windowText" lastClr="000000">
                <a:hueOff val="0"/>
                <a:satOff val="0"/>
                <a:lumOff val="0"/>
                <a:alphaOff val="0"/>
              </a:sysClr>
            </a:solidFill>
            <a:latin typeface="Calibri"/>
            <a:ea typeface="+mn-ea"/>
            <a:cs typeface="+mn-cs"/>
          </a:endParaRPr>
        </a:p>
      </dgm:t>
    </dgm:pt>
    <dgm:pt modelId="{06D5229F-4559-4215-B0F8-DE622F172CAE}" type="pres">
      <dgm:prSet presAssocID="{AB4E5BF4-F989-475C-A05E-BE8B5264DC55}" presName="Name0" presStyleCnt="0">
        <dgm:presLayoutVars>
          <dgm:dir/>
          <dgm:resizeHandles val="exact"/>
        </dgm:presLayoutVars>
      </dgm:prSet>
      <dgm:spPr/>
      <dgm:t>
        <a:bodyPr/>
        <a:lstStyle/>
        <a:p>
          <a:endParaRPr lang="en-US"/>
        </a:p>
      </dgm:t>
    </dgm:pt>
    <dgm:pt modelId="{CCF8540D-838E-4AC1-9B63-A07C06FDEF99}" type="pres">
      <dgm:prSet presAssocID="{89524C97-C9A0-480A-B334-7784877DFACA}" presName="node" presStyleLbl="node1" presStyleIdx="0" presStyleCnt="5">
        <dgm:presLayoutVars>
          <dgm:bulletEnabled val="1"/>
        </dgm:presLayoutVars>
      </dgm:prSet>
      <dgm:spPr>
        <a:prstGeom prst="roundRect">
          <a:avLst>
            <a:gd name="adj" fmla="val 10000"/>
          </a:avLst>
        </a:prstGeom>
      </dgm:spPr>
      <dgm:t>
        <a:bodyPr/>
        <a:lstStyle/>
        <a:p>
          <a:endParaRPr lang="en-US"/>
        </a:p>
      </dgm:t>
    </dgm:pt>
    <dgm:pt modelId="{72CA6F0C-3BD3-4A80-93CB-F423C4A8EFC3}" type="pres">
      <dgm:prSet presAssocID="{DC8AF518-09FB-4E72-A190-4D9346399E8C}" presName="sibTrans" presStyleLbl="sibTrans2D1" presStyleIdx="0" presStyleCnt="4"/>
      <dgm:spPr>
        <a:prstGeom prst="rightArrow">
          <a:avLst>
            <a:gd name="adj1" fmla="val 60000"/>
            <a:gd name="adj2" fmla="val 50000"/>
          </a:avLst>
        </a:prstGeom>
      </dgm:spPr>
      <dgm:t>
        <a:bodyPr/>
        <a:lstStyle/>
        <a:p>
          <a:endParaRPr lang="en-US"/>
        </a:p>
      </dgm:t>
    </dgm:pt>
    <dgm:pt modelId="{1C411A81-9F22-40AD-9D57-999740660C50}" type="pres">
      <dgm:prSet presAssocID="{DC8AF518-09FB-4E72-A190-4D9346399E8C}" presName="connectorText" presStyleLbl="sibTrans2D1" presStyleIdx="0" presStyleCnt="4"/>
      <dgm:spPr/>
      <dgm:t>
        <a:bodyPr/>
        <a:lstStyle/>
        <a:p>
          <a:endParaRPr lang="en-US"/>
        </a:p>
      </dgm:t>
    </dgm:pt>
    <dgm:pt modelId="{D172BB1B-503D-4ADA-9450-9ABDBBE1E592}" type="pres">
      <dgm:prSet presAssocID="{B494A4D9-D8B5-46D5-BB1B-0801123EC253}" presName="node" presStyleLbl="node1" presStyleIdx="1" presStyleCnt="5">
        <dgm:presLayoutVars>
          <dgm:bulletEnabled val="1"/>
        </dgm:presLayoutVars>
      </dgm:prSet>
      <dgm:spPr>
        <a:prstGeom prst="roundRect">
          <a:avLst>
            <a:gd name="adj" fmla="val 10000"/>
          </a:avLst>
        </a:prstGeom>
      </dgm:spPr>
      <dgm:t>
        <a:bodyPr/>
        <a:lstStyle/>
        <a:p>
          <a:endParaRPr lang="en-US"/>
        </a:p>
      </dgm:t>
    </dgm:pt>
    <dgm:pt modelId="{B5F4775E-7DD1-433B-8F34-E49D703EDAEE}" type="pres">
      <dgm:prSet presAssocID="{60C312DC-E59E-4D28-A00A-6C1CD60E46B5}" presName="sibTrans" presStyleLbl="sibTrans2D1" presStyleIdx="1" presStyleCnt="4"/>
      <dgm:spPr>
        <a:prstGeom prst="rightArrow">
          <a:avLst>
            <a:gd name="adj1" fmla="val 60000"/>
            <a:gd name="adj2" fmla="val 50000"/>
          </a:avLst>
        </a:prstGeom>
      </dgm:spPr>
      <dgm:t>
        <a:bodyPr/>
        <a:lstStyle/>
        <a:p>
          <a:endParaRPr lang="en-US"/>
        </a:p>
      </dgm:t>
    </dgm:pt>
    <dgm:pt modelId="{C91B2623-3FA8-4622-BBE4-9BE5DC02AD0C}" type="pres">
      <dgm:prSet presAssocID="{60C312DC-E59E-4D28-A00A-6C1CD60E46B5}" presName="connectorText" presStyleLbl="sibTrans2D1" presStyleIdx="1" presStyleCnt="4"/>
      <dgm:spPr/>
      <dgm:t>
        <a:bodyPr/>
        <a:lstStyle/>
        <a:p>
          <a:endParaRPr lang="en-US"/>
        </a:p>
      </dgm:t>
    </dgm:pt>
    <dgm:pt modelId="{D5710B70-BBE5-4A65-AC08-46590386BF5B}" type="pres">
      <dgm:prSet presAssocID="{6867B153-428E-49CC-B855-1915E8009415}" presName="node" presStyleLbl="node1" presStyleIdx="2" presStyleCnt="5">
        <dgm:presLayoutVars>
          <dgm:bulletEnabled val="1"/>
        </dgm:presLayoutVars>
      </dgm:prSet>
      <dgm:spPr>
        <a:prstGeom prst="roundRect">
          <a:avLst>
            <a:gd name="adj" fmla="val 10000"/>
          </a:avLst>
        </a:prstGeom>
      </dgm:spPr>
      <dgm:t>
        <a:bodyPr/>
        <a:lstStyle/>
        <a:p>
          <a:endParaRPr lang="en-US"/>
        </a:p>
      </dgm:t>
    </dgm:pt>
    <dgm:pt modelId="{FBEBC943-9B31-4B61-9943-30DC17E13DB8}" type="pres">
      <dgm:prSet presAssocID="{9FA14A16-D5C3-4066-BD5E-6456CED20F1F}" presName="sibTrans" presStyleLbl="sibTrans2D1" presStyleIdx="2" presStyleCnt="4"/>
      <dgm:spPr>
        <a:prstGeom prst="rightArrow">
          <a:avLst>
            <a:gd name="adj1" fmla="val 60000"/>
            <a:gd name="adj2" fmla="val 50000"/>
          </a:avLst>
        </a:prstGeom>
      </dgm:spPr>
      <dgm:t>
        <a:bodyPr/>
        <a:lstStyle/>
        <a:p>
          <a:endParaRPr lang="en-US"/>
        </a:p>
      </dgm:t>
    </dgm:pt>
    <dgm:pt modelId="{17243EFE-E2ED-4908-94C7-470F52371ACC}" type="pres">
      <dgm:prSet presAssocID="{9FA14A16-D5C3-4066-BD5E-6456CED20F1F}" presName="connectorText" presStyleLbl="sibTrans2D1" presStyleIdx="2" presStyleCnt="4"/>
      <dgm:spPr/>
      <dgm:t>
        <a:bodyPr/>
        <a:lstStyle/>
        <a:p>
          <a:endParaRPr lang="en-US"/>
        </a:p>
      </dgm:t>
    </dgm:pt>
    <dgm:pt modelId="{EDFE73BA-90BD-4E27-AA43-7AAE6345D7F0}" type="pres">
      <dgm:prSet presAssocID="{9A4054BC-9F2C-4444-AD79-D60F7C78D30A}" presName="node" presStyleLbl="node1" presStyleIdx="3" presStyleCnt="5">
        <dgm:presLayoutVars>
          <dgm:bulletEnabled val="1"/>
        </dgm:presLayoutVars>
      </dgm:prSet>
      <dgm:spPr>
        <a:prstGeom prst="roundRect">
          <a:avLst>
            <a:gd name="adj" fmla="val 10000"/>
          </a:avLst>
        </a:prstGeom>
      </dgm:spPr>
      <dgm:t>
        <a:bodyPr/>
        <a:lstStyle/>
        <a:p>
          <a:endParaRPr lang="en-US"/>
        </a:p>
      </dgm:t>
    </dgm:pt>
    <dgm:pt modelId="{F28B03EC-F725-47B4-BF48-B22C7B5BFA6A}" type="pres">
      <dgm:prSet presAssocID="{BB90E5BC-EA9D-4BD6-AB74-F0BE9B81E007}" presName="sibTrans" presStyleLbl="sibTrans2D1" presStyleIdx="3" presStyleCnt="4"/>
      <dgm:spPr>
        <a:prstGeom prst="rightArrow">
          <a:avLst>
            <a:gd name="adj1" fmla="val 60000"/>
            <a:gd name="adj2" fmla="val 50000"/>
          </a:avLst>
        </a:prstGeom>
      </dgm:spPr>
      <dgm:t>
        <a:bodyPr/>
        <a:lstStyle/>
        <a:p>
          <a:endParaRPr lang="en-US"/>
        </a:p>
      </dgm:t>
    </dgm:pt>
    <dgm:pt modelId="{58E3C060-E160-4E40-8B92-FC1CD62B0B00}" type="pres">
      <dgm:prSet presAssocID="{BB90E5BC-EA9D-4BD6-AB74-F0BE9B81E007}" presName="connectorText" presStyleLbl="sibTrans2D1" presStyleIdx="3" presStyleCnt="4"/>
      <dgm:spPr/>
      <dgm:t>
        <a:bodyPr/>
        <a:lstStyle/>
        <a:p>
          <a:endParaRPr lang="en-US"/>
        </a:p>
      </dgm:t>
    </dgm:pt>
    <dgm:pt modelId="{EBD35A37-6DBC-41CD-8BC3-2E423D6E9A05}" type="pres">
      <dgm:prSet presAssocID="{FF9C8F1E-AE09-42AF-A8B5-E64F5BE6C892}" presName="node" presStyleLbl="node1" presStyleIdx="4" presStyleCnt="5">
        <dgm:presLayoutVars>
          <dgm:bulletEnabled val="1"/>
        </dgm:presLayoutVars>
      </dgm:prSet>
      <dgm:spPr>
        <a:prstGeom prst="roundRect">
          <a:avLst>
            <a:gd name="adj" fmla="val 10000"/>
          </a:avLst>
        </a:prstGeom>
      </dgm:spPr>
      <dgm:t>
        <a:bodyPr/>
        <a:lstStyle/>
        <a:p>
          <a:endParaRPr lang="en-US"/>
        </a:p>
      </dgm:t>
    </dgm:pt>
  </dgm:ptLst>
  <dgm:cxnLst>
    <dgm:cxn modelId="{6309B018-9CAD-4191-8835-71CF9FE52D8A}" type="presOf" srcId="{9FA14A16-D5C3-4066-BD5E-6456CED20F1F}" destId="{FBEBC943-9B31-4B61-9943-30DC17E13DB8}" srcOrd="0" destOrd="0" presId="urn:microsoft.com/office/officeart/2005/8/layout/process1"/>
    <dgm:cxn modelId="{87A0F608-9988-430E-9F56-FBF7305CA027}" type="presOf" srcId="{89524C97-C9A0-480A-B334-7784877DFACA}" destId="{CCF8540D-838E-4AC1-9B63-A07C06FDEF99}" srcOrd="0" destOrd="0" presId="urn:microsoft.com/office/officeart/2005/8/layout/process1"/>
    <dgm:cxn modelId="{BE477F75-F2B8-490D-B822-F6074BCD2087}" type="presOf" srcId="{BB90E5BC-EA9D-4BD6-AB74-F0BE9B81E007}" destId="{F28B03EC-F725-47B4-BF48-B22C7B5BFA6A}" srcOrd="0" destOrd="0" presId="urn:microsoft.com/office/officeart/2005/8/layout/process1"/>
    <dgm:cxn modelId="{23646432-F33C-4894-A9C0-662E86426121}" srcId="{AB4E5BF4-F989-475C-A05E-BE8B5264DC55}" destId="{6867B153-428E-49CC-B855-1915E8009415}" srcOrd="2" destOrd="0" parTransId="{F94E2B08-1E72-48C6-A41F-2C6A3BC05411}" sibTransId="{9FA14A16-D5C3-4066-BD5E-6456CED20F1F}"/>
    <dgm:cxn modelId="{5DDE9B96-8A5A-482E-BF79-6654652DFE63}" srcId="{AB4E5BF4-F989-475C-A05E-BE8B5264DC55}" destId="{9A4054BC-9F2C-4444-AD79-D60F7C78D30A}" srcOrd="3" destOrd="0" parTransId="{B09F8273-4E93-4629-8107-1C302F0D8A4C}" sibTransId="{BB90E5BC-EA9D-4BD6-AB74-F0BE9B81E007}"/>
    <dgm:cxn modelId="{C49EBD0E-7D59-41EC-B276-256387D8FD08}" type="presOf" srcId="{60C312DC-E59E-4D28-A00A-6C1CD60E46B5}" destId="{B5F4775E-7DD1-433B-8F34-E49D703EDAEE}" srcOrd="0" destOrd="0" presId="urn:microsoft.com/office/officeart/2005/8/layout/process1"/>
    <dgm:cxn modelId="{D403033F-F8B2-4F18-920B-A27DC1B5DBAD}" type="presOf" srcId="{6867B153-428E-49CC-B855-1915E8009415}" destId="{D5710B70-BBE5-4A65-AC08-46590386BF5B}" srcOrd="0" destOrd="0" presId="urn:microsoft.com/office/officeart/2005/8/layout/process1"/>
    <dgm:cxn modelId="{03002E50-A27C-4245-ADF5-8454782E2D22}" type="presOf" srcId="{9FA14A16-D5C3-4066-BD5E-6456CED20F1F}" destId="{17243EFE-E2ED-4908-94C7-470F52371ACC}" srcOrd="1" destOrd="0" presId="urn:microsoft.com/office/officeart/2005/8/layout/process1"/>
    <dgm:cxn modelId="{5F998730-D188-4902-823C-DC4B646C69C4}" type="presOf" srcId="{B494A4D9-D8B5-46D5-BB1B-0801123EC253}" destId="{D172BB1B-503D-4ADA-9450-9ABDBBE1E592}" srcOrd="0" destOrd="0" presId="urn:microsoft.com/office/officeart/2005/8/layout/process1"/>
    <dgm:cxn modelId="{E5FDEE00-E098-4A0A-BAAE-ABEE177FA0AC}" type="presOf" srcId="{60C312DC-E59E-4D28-A00A-6C1CD60E46B5}" destId="{C91B2623-3FA8-4622-BBE4-9BE5DC02AD0C}" srcOrd="1" destOrd="0" presId="urn:microsoft.com/office/officeart/2005/8/layout/process1"/>
    <dgm:cxn modelId="{F30CA5D6-2459-4F43-802F-2B5CE4DB3B9F}" type="presOf" srcId="{9A4054BC-9F2C-4444-AD79-D60F7C78D30A}" destId="{EDFE73BA-90BD-4E27-AA43-7AAE6345D7F0}" srcOrd="0" destOrd="0" presId="urn:microsoft.com/office/officeart/2005/8/layout/process1"/>
    <dgm:cxn modelId="{8A1C3098-23B5-45D1-817C-DA61E97D4291}" type="presOf" srcId="{FF9C8F1E-AE09-42AF-A8B5-E64F5BE6C892}" destId="{EBD35A37-6DBC-41CD-8BC3-2E423D6E9A05}" srcOrd="0" destOrd="0" presId="urn:microsoft.com/office/officeart/2005/8/layout/process1"/>
    <dgm:cxn modelId="{E6F8DFBD-907A-4868-A1EC-B2CD625A6C59}" type="presOf" srcId="{AB4E5BF4-F989-475C-A05E-BE8B5264DC55}" destId="{06D5229F-4559-4215-B0F8-DE622F172CAE}" srcOrd="0" destOrd="0" presId="urn:microsoft.com/office/officeart/2005/8/layout/process1"/>
    <dgm:cxn modelId="{9F5AD24C-CC9A-4BDA-9F61-C08D4C4BE1B8}" srcId="{AB4E5BF4-F989-475C-A05E-BE8B5264DC55}" destId="{B494A4D9-D8B5-46D5-BB1B-0801123EC253}" srcOrd="1" destOrd="0" parTransId="{12DD23E8-41CF-4873-A80D-C3043CFA4ADD}" sibTransId="{60C312DC-E59E-4D28-A00A-6C1CD60E46B5}"/>
    <dgm:cxn modelId="{05702541-CC9E-4F1D-87D0-AC473E9EAA5D}" srcId="{AB4E5BF4-F989-475C-A05E-BE8B5264DC55}" destId="{FF9C8F1E-AE09-42AF-A8B5-E64F5BE6C892}" srcOrd="4" destOrd="0" parTransId="{525BF20B-17E3-42ED-9B8B-1474F092D392}" sibTransId="{287AD0AE-8F00-493C-A5F4-379A2FD5E893}"/>
    <dgm:cxn modelId="{B75E19F5-34E5-405D-98FE-4B2F6D3FAF06}" type="presOf" srcId="{DC8AF518-09FB-4E72-A190-4D9346399E8C}" destId="{72CA6F0C-3BD3-4A80-93CB-F423C4A8EFC3}" srcOrd="0" destOrd="0" presId="urn:microsoft.com/office/officeart/2005/8/layout/process1"/>
    <dgm:cxn modelId="{4DCFD3DD-CC64-40F4-B52A-2866721C34EB}" type="presOf" srcId="{BB90E5BC-EA9D-4BD6-AB74-F0BE9B81E007}" destId="{58E3C060-E160-4E40-8B92-FC1CD62B0B00}" srcOrd="1" destOrd="0" presId="urn:microsoft.com/office/officeart/2005/8/layout/process1"/>
    <dgm:cxn modelId="{61A01BFB-A14B-47BE-A99A-86CA8B3FBFCF}" type="presOf" srcId="{DC8AF518-09FB-4E72-A190-4D9346399E8C}" destId="{1C411A81-9F22-40AD-9D57-999740660C50}" srcOrd="1" destOrd="0" presId="urn:microsoft.com/office/officeart/2005/8/layout/process1"/>
    <dgm:cxn modelId="{630A49A5-89AB-49ED-916D-21FA7D6CB5C5}" srcId="{AB4E5BF4-F989-475C-A05E-BE8B5264DC55}" destId="{89524C97-C9A0-480A-B334-7784877DFACA}" srcOrd="0" destOrd="0" parTransId="{72BDE36B-6FF6-40A7-B05D-26FAD2716473}" sibTransId="{DC8AF518-09FB-4E72-A190-4D9346399E8C}"/>
    <dgm:cxn modelId="{D4B58575-D2CB-41ED-9373-87901144DB0F}" type="presParOf" srcId="{06D5229F-4559-4215-B0F8-DE622F172CAE}" destId="{CCF8540D-838E-4AC1-9B63-A07C06FDEF99}" srcOrd="0" destOrd="0" presId="urn:microsoft.com/office/officeart/2005/8/layout/process1"/>
    <dgm:cxn modelId="{9F21B1E8-31D4-4DEF-99BD-83F3D971BE8F}" type="presParOf" srcId="{06D5229F-4559-4215-B0F8-DE622F172CAE}" destId="{72CA6F0C-3BD3-4A80-93CB-F423C4A8EFC3}" srcOrd="1" destOrd="0" presId="urn:microsoft.com/office/officeart/2005/8/layout/process1"/>
    <dgm:cxn modelId="{8FD2130B-FF4D-4A2A-A24D-04699D506437}" type="presParOf" srcId="{72CA6F0C-3BD3-4A80-93CB-F423C4A8EFC3}" destId="{1C411A81-9F22-40AD-9D57-999740660C50}" srcOrd="0" destOrd="0" presId="urn:microsoft.com/office/officeart/2005/8/layout/process1"/>
    <dgm:cxn modelId="{FCA02F22-18A4-4DAD-B65D-5B5E93D97995}" type="presParOf" srcId="{06D5229F-4559-4215-B0F8-DE622F172CAE}" destId="{D172BB1B-503D-4ADA-9450-9ABDBBE1E592}" srcOrd="2" destOrd="0" presId="urn:microsoft.com/office/officeart/2005/8/layout/process1"/>
    <dgm:cxn modelId="{FE7BE6BF-2F33-429A-9D57-C57BEB795467}" type="presParOf" srcId="{06D5229F-4559-4215-B0F8-DE622F172CAE}" destId="{B5F4775E-7DD1-433B-8F34-E49D703EDAEE}" srcOrd="3" destOrd="0" presId="urn:microsoft.com/office/officeart/2005/8/layout/process1"/>
    <dgm:cxn modelId="{36F606FC-ED41-4A29-8C69-157A8F23E9FD}" type="presParOf" srcId="{B5F4775E-7DD1-433B-8F34-E49D703EDAEE}" destId="{C91B2623-3FA8-4622-BBE4-9BE5DC02AD0C}" srcOrd="0" destOrd="0" presId="urn:microsoft.com/office/officeart/2005/8/layout/process1"/>
    <dgm:cxn modelId="{8F6E766B-E6B5-4BD0-A7BF-A8E2F2CC007B}" type="presParOf" srcId="{06D5229F-4559-4215-B0F8-DE622F172CAE}" destId="{D5710B70-BBE5-4A65-AC08-46590386BF5B}" srcOrd="4" destOrd="0" presId="urn:microsoft.com/office/officeart/2005/8/layout/process1"/>
    <dgm:cxn modelId="{0C694F31-FEEC-4032-8B01-41E7FB935F95}" type="presParOf" srcId="{06D5229F-4559-4215-B0F8-DE622F172CAE}" destId="{FBEBC943-9B31-4B61-9943-30DC17E13DB8}" srcOrd="5" destOrd="0" presId="urn:microsoft.com/office/officeart/2005/8/layout/process1"/>
    <dgm:cxn modelId="{EFE109FA-9713-4030-A04C-BF08E0D8F84E}" type="presParOf" srcId="{FBEBC943-9B31-4B61-9943-30DC17E13DB8}" destId="{17243EFE-E2ED-4908-94C7-470F52371ACC}" srcOrd="0" destOrd="0" presId="urn:microsoft.com/office/officeart/2005/8/layout/process1"/>
    <dgm:cxn modelId="{80580C23-01FF-4804-ACE8-A21F3D787D3D}" type="presParOf" srcId="{06D5229F-4559-4215-B0F8-DE622F172CAE}" destId="{EDFE73BA-90BD-4E27-AA43-7AAE6345D7F0}" srcOrd="6" destOrd="0" presId="urn:microsoft.com/office/officeart/2005/8/layout/process1"/>
    <dgm:cxn modelId="{3A12AAFA-EDF6-415F-8EE5-A8940785E11D}" type="presParOf" srcId="{06D5229F-4559-4215-B0F8-DE622F172CAE}" destId="{F28B03EC-F725-47B4-BF48-B22C7B5BFA6A}" srcOrd="7" destOrd="0" presId="urn:microsoft.com/office/officeart/2005/8/layout/process1"/>
    <dgm:cxn modelId="{58A9EB9B-94BA-452C-9DB6-49467DBD5D49}" type="presParOf" srcId="{F28B03EC-F725-47B4-BF48-B22C7B5BFA6A}" destId="{58E3C060-E160-4E40-8B92-FC1CD62B0B00}" srcOrd="0" destOrd="0" presId="urn:microsoft.com/office/officeart/2005/8/layout/process1"/>
    <dgm:cxn modelId="{220CAA12-3790-4A29-93AA-9746DB1ABAFE}" type="presParOf" srcId="{06D5229F-4559-4215-B0F8-DE622F172CAE}" destId="{EBD35A37-6DBC-41CD-8BC3-2E423D6E9A05}" srcOrd="8" destOrd="0" presId="urn:microsoft.com/office/officeart/2005/8/layout/process1"/>
  </dgm:cxnLst>
  <dgm:bg/>
  <dgm:whole/>
  <dgm:extLst>
    <a:ext uri="http://schemas.microsoft.com/office/drawing/2008/diagram">
      <dsp:dataModelExt xmlns:dsp="http://schemas.microsoft.com/office/drawing/2008/diagram" xmlns="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a="http://schemas.openxmlformats.org/drawingml/2006/main" xmlns:dsp="http://schemas.microsoft.com/office/drawing/2008/diagram">
  <dsp:spTree>
    <dsp:nvGrpSpPr>
      <dsp:cNvPr id="0" name=""/>
      <dsp:cNvGrpSpPr/>
    </dsp:nvGrpSpPr>
    <dsp:grpSpPr/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process1">
  <dgm:title val=""/>
  <dgm:desc val=""/>
  <dgm:catLst>
    <dgm:cat type="process" pri="1000"/>
    <dgm:cat type="convert" pri="15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h" for="ch" ptType="node" op="equ"/>
      <dgm:constr type="primFontSz" for="ch" ptType="node" op="equ" val="65"/>
      <dgm:constr type="w" for="ch" ptType="sibTrans" refType="w" refFor="ch" refPtType="node" op="equ" fact="0.4"/>
      <dgm:constr type="h" for="ch" ptType="sibTrans" op="equ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/>
        <dgm:shape xmlns:r="http://schemas.openxmlformats.org/officeDocument/2006/relationships" type="roundRect" r:blip="">
          <dgm:adjLst>
            <dgm:adj idx="1" val="0.1"/>
          </dgm:adjLst>
        </dgm:shape>
        <dgm:presOf axis="desOrSelf" ptType="node"/>
        <dgm:constrLst>
          <dgm:constr type="h" refType="w" fact="0.6"/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primFontSz" val="18" fact="NaN" max="NaN"/>
          <dgm:rule type="h" val="NaN" fact="1.5" max="NaN"/>
          <dgm:rule type="primFontSz" val="5" fact="NaN" max="NaN"/>
          <dgm:rule type="h" val="INF" fact="NaN" max="NaN"/>
        </dgm:ruleLst>
      </dgm:layoutNode>
      <dgm:forEach name="sibTransForEach" axis="followSib" ptType="sibTrans" cnt="1">
        <dgm:layoutNode name="sibTrans">
          <dgm:alg type="conn">
            <dgm:param type="begPts" val="auto"/>
            <dgm:param type="endPts" val="auto"/>
          </dgm:alg>
          <dgm:shape xmlns:r="http://schemas.openxmlformats.org/officeDocument/2006/relationships" type="conn" r:blip="">
            <dgm:adjLst/>
          </dgm:shape>
          <dgm:presOf axis="self"/>
          <dgm:constrLst>
            <dgm:constr type="h" refType="w" fact="0.62"/>
            <dgm:constr type="connDist"/>
            <dgm:constr type="begPad" refType="connDist" fact="0.25"/>
            <dgm:constr type="endPad" refType="connDist" fact="0.22"/>
          </dgm:constrLst>
          <dgm:ruleLst/>
          <dgm:layoutNode name="connectorText">
            <dgm:alg type="tx">
              <dgm:param type="autoTxRot" val="grav"/>
            </dgm:alg>
            <dgm:shape xmlns:r="http://schemas.openxmlformats.org/officeDocument/2006/relationships" type="conn" r:blip="" hideGeom="1">
              <dgm:adjLst/>
            </dgm:shape>
            <dgm:presOf axis="self"/>
            <dgm:constrLst>
              <dgm:constr type="lMarg"/>
              <dgm:constr type="rMarg"/>
              <dgm:constr type="tMarg"/>
              <dgm:constr type="bMarg"/>
            </dgm:constrLst>
            <dgm:ruleLst>
              <dgm:rule type="primFontSz" val="5" fact="NaN" max="NaN"/>
            </dgm:ruleLst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44</xdr:row>
      <xdr:rowOff>114299</xdr:rowOff>
    </xdr:from>
    <xdr:ext cx="6391275" cy="790576"/>
    <xdr:sp macro="" textlink="">
      <xdr:nvSpPr>
        <xdr:cNvPr id="2" name="TextBox 1"/>
        <xdr:cNvSpPr txBox="1"/>
      </xdr:nvSpPr>
      <xdr:spPr>
        <a:xfrm>
          <a:off x="9525" y="9296399"/>
          <a:ext cx="6391275" cy="79057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100" b="1" i="0">
              <a:solidFill>
                <a:schemeClr val="tx1"/>
              </a:solidFill>
              <a:latin typeface="+mn-lt"/>
              <a:ea typeface="+mn-ea"/>
              <a:cs typeface="+mn-cs"/>
            </a:rPr>
            <a:t>*Population in the Social Security area includes residents of the 50 states and the District of Columbia adjusted for net census undercount; civilian residents of Puerto Rico, the Virgin Islands, Guam, American Samoa and Northern Mariana Islands; federal civilian employees and persons in the Armed Forces abroad and their dependents; crew members of merchant vessels, and all other U.S. citizens abroad. </a:t>
          </a:r>
          <a:endParaRPr lang="en-US" sz="1100" b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9</xdr:row>
      <xdr:rowOff>19050</xdr:rowOff>
    </xdr:from>
    <xdr:to>
      <xdr:col>13</xdr:col>
      <xdr:colOff>238125</xdr:colOff>
      <xdr:row>21</xdr:row>
      <xdr:rowOff>123825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ensus.gov/hhes/www/cpstables/032011/pov/new46_100125_05.htm" TargetMode="External"/><Relationship Id="rId2" Type="http://schemas.openxmlformats.org/officeDocument/2006/relationships/hyperlink" Target="http://www.ssa.gov/OACT/ssir/SSI11/Participants.html" TargetMode="External"/><Relationship Id="rId1" Type="http://schemas.openxmlformats.org/officeDocument/2006/relationships/hyperlink" Target="http://www.ssa.gov/policy/docs/statcomps/supplement/2011/6c.html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sa.gov/policy/docs/statcomps/supplement/2011/4c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ensus.gov/prod/cen2010/briefs/c2010br-03.pdf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sa.gov/policy/docs/statcomps/ssi_asr/2010/sect08.html" TargetMode="External"/><Relationship Id="rId2" Type="http://schemas.openxmlformats.org/officeDocument/2006/relationships/hyperlink" Target="http://www.census.gov/hhes/www/cpstables/032011/pov/new46_100125_05.htm" TargetMode="External"/><Relationship Id="rId1" Type="http://schemas.openxmlformats.org/officeDocument/2006/relationships/hyperlink" Target="http://www.census.gov/prod/cen2010/briefs/c2010br-03.pdf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sa.gov/policy/docs/statcomps/ssi_asr/2010/sect08.html" TargetMode="External"/><Relationship Id="rId2" Type="http://schemas.openxmlformats.org/officeDocument/2006/relationships/hyperlink" Target="http://www.census.gov/hhes/www/cpstables/032011/pov/new46_100125_05.htm" TargetMode="External"/><Relationship Id="rId1" Type="http://schemas.openxmlformats.org/officeDocument/2006/relationships/hyperlink" Target="http://www.census.gov/prod/cen2010/briefs/c2010br-03.pdf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://www.ssa.gov/policy/docs/statcomps/ssi_asr/2010/sect08.html" TargetMode="External"/><Relationship Id="rId1" Type="http://schemas.openxmlformats.org/officeDocument/2006/relationships/hyperlink" Target="http://www.census.gov/hhes/www/cpstables/032011/pov/new46_100125_05.ht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ssa.gov/policy/docs/statcomps/supplement/2011/6c.html" TargetMode="External"/><Relationship Id="rId1" Type="http://schemas.openxmlformats.org/officeDocument/2006/relationships/hyperlink" Target="http://www.socialsecurity.gov/OACT/ssir/SSI11/Participants.html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ocialsecurity.gov/OACT/NOTES/s2010s.html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oleObject" Target="../embeddings/oleObject1.bin"/><Relationship Id="rId1" Type="http://schemas.openxmlformats.org/officeDocument/2006/relationships/vmlDrawing" Target="../drawings/vmlDrawing1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ocialsecurity.gov/OACT/NOTES/s2010s.html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sa.gov/policy/docs/statcomps/di_asr/2010/sect03g.html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mathematica-mpr.com/publications/PDFs/disability/ssdi_benef_ib.pdf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socialsecurity.gov/OACT/ssir/SSI11/Participants.html" TargetMode="External"/><Relationship Id="rId1" Type="http://schemas.openxmlformats.org/officeDocument/2006/relationships/hyperlink" Target="http://www.socialsecurity.gov/OACT/TR/2011/lr4b2.html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hyperlink" Target="http://www.ssa.gov/policy/docs/statcomps/supplement/2011/5d.html" TargetMode="External"/><Relationship Id="rId1" Type="http://schemas.openxmlformats.org/officeDocument/2006/relationships/hyperlink" Target="http://www.ssa.gov/policy/docs/statcomps/supplement/2011/4c.html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hyperlink" Target="http://www.census.gov/prod/cen2010/briefs/c2010br-03.pdf" TargetMode="External"/><Relationship Id="rId1" Type="http://schemas.openxmlformats.org/officeDocument/2006/relationships/hyperlink" Target="http://www.socialsecurity.gov/oact/ssir/SSI11/Participants.html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://www.census.gov/prod/cen2010/briefs/c2010br-03.pdf" TargetMode="External"/><Relationship Id="rId1" Type="http://schemas.openxmlformats.org/officeDocument/2006/relationships/hyperlink" Target="http://www.socialsecurity.gov/policy/docs/statcomps/supplement/2011/5j.html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hyperlink" Target="http://www.census.gov/hhes/www/cpstables/032011/pov/new46_100125_05.htm" TargetMode="External"/><Relationship Id="rId1" Type="http://schemas.openxmlformats.org/officeDocument/2006/relationships/hyperlink" Target="http://www.ssa.gov/policy/docs/statcomps/ssi_asr/2010/sect02.html" TargetMode="Externa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hyperlink" Target="http://www.census.gov/hhes/www/cpstables/032011/pov/new46_100125_05.htm" TargetMode="External"/><Relationship Id="rId1" Type="http://schemas.openxmlformats.org/officeDocument/2006/relationships/hyperlink" Target="http://www.ssa.gov/policy/docs/statcomps/ssi_asr/2010/sect02.html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ocialsecurity.gov/OACT/NOTES/s2000s.html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sa.gov/policy/docs/statcomps/ssi_asr/2010/sect06.html" TargetMode="External"/><Relationship Id="rId2" Type="http://schemas.openxmlformats.org/officeDocument/2006/relationships/hyperlink" Target="http://www.ssa.gov/policy/docs/statcomps/ssi_asr/2010/sect06.html" TargetMode="External"/><Relationship Id="rId1" Type="http://schemas.openxmlformats.org/officeDocument/2006/relationships/hyperlink" Target="http://www.ssa.gov/policy/docs/statcomps/di_asr/2010/sect01c.html" TargetMode="Externa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hyperlink" Target="http://www.ssa.gov/policy/docs/statcomps/ssi_asr/2010/sect06.html" TargetMode="External"/><Relationship Id="rId1" Type="http://schemas.openxmlformats.org/officeDocument/2006/relationships/hyperlink" Target="http://www.ssa.gov/policy/docs/statcomps/di_asr/2010/sect01c.html" TargetMode="Externa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sa.gov/policy/docs/statcomps/supplement/2011/5d.html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sa.gov/oact/ssir/SSI11/Participants.html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sa.gov/policy/docs/statcomps/supplement/2011/5d.html" TargetMode="Externa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hyperlink" Target="http://www.census.gov/prod/cen2010/briefs/c2010br-03.pdf" TargetMode="External"/><Relationship Id="rId1" Type="http://schemas.openxmlformats.org/officeDocument/2006/relationships/hyperlink" Target="http://www.ssa.gov/policy/docs/statcomps/supplement/2011/5a.html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ocialsecurity.gov/policy/docs/statcomps/supplement/2011/7e.html" TargetMode="Externa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hyperlink" Target="http://www.bls.gov/data/inflation_calculator.htm" TargetMode="External"/><Relationship Id="rId1" Type="http://schemas.openxmlformats.org/officeDocument/2006/relationships/hyperlink" Target="http://www.ssa.gov/policy/docs/statcomps/supplement/2011/5d.html" TargetMode="Externa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hyperlink" Target="http://www.bls.gov/data/inflation_calculator.htm" TargetMode="External"/><Relationship Id="rId1" Type="http://schemas.openxmlformats.org/officeDocument/2006/relationships/hyperlink" Target="http://www.ssa.gov/oact/ssir/SSI11/EcoDemoAssumptions.html" TargetMode="Externa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uscourts.gov/uscourts/Statistics/JudicialBusiness/2010/appendices/C02ASep10.pdf" TargetMode="Externa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uscourts.gov/uscourts/Statistics/JudicialBusiness/2010/JudicialBusinespdfversio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384"/>
  <sheetViews>
    <sheetView tabSelected="1" workbookViewId="0">
      <selection activeCell="E3" sqref="E3"/>
    </sheetView>
  </sheetViews>
  <sheetFormatPr defaultRowHeight="15"/>
  <cols>
    <col min="1" max="1" width="11.28515625" style="42" customWidth="1"/>
    <col min="2" max="16384" width="9.140625" style="37"/>
  </cols>
  <sheetData>
    <row r="1" spans="1:19" s="34" customFormat="1" ht="23.25">
      <c r="A1" s="30" t="s">
        <v>321</v>
      </c>
      <c r="B1" s="31"/>
      <c r="C1" s="31"/>
      <c r="D1" s="31"/>
      <c r="E1" s="31"/>
      <c r="F1" s="31"/>
      <c r="G1" s="31"/>
      <c r="H1" s="32"/>
      <c r="I1" s="32"/>
      <c r="J1" s="32"/>
      <c r="K1" s="32"/>
      <c r="L1" s="32"/>
      <c r="M1" s="32"/>
      <c r="N1" s="33" t="s">
        <v>320</v>
      </c>
      <c r="O1" s="33"/>
      <c r="P1" s="32"/>
      <c r="Q1" s="32"/>
      <c r="R1" s="32"/>
      <c r="S1" s="32"/>
    </row>
    <row r="2" spans="1:19" ht="22.5">
      <c r="A2" s="79">
        <v>40940</v>
      </c>
      <c r="B2" s="77"/>
      <c r="C2" s="77"/>
      <c r="D2" s="77"/>
      <c r="E2" s="77"/>
      <c r="F2" s="77"/>
      <c r="G2" s="77"/>
      <c r="H2" s="36"/>
      <c r="I2" s="36"/>
      <c r="J2" s="36"/>
      <c r="K2" s="36"/>
      <c r="L2" s="36"/>
      <c r="M2" s="36"/>
      <c r="N2" s="78"/>
      <c r="O2" s="78"/>
      <c r="P2" s="36"/>
      <c r="Q2" s="36"/>
      <c r="R2" s="36"/>
      <c r="S2" s="36"/>
    </row>
    <row r="3" spans="1:19" ht="15.75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</row>
    <row r="4" spans="1:19" ht="20.25">
      <c r="A4" s="38" t="s">
        <v>322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</row>
    <row r="5" spans="1:19" ht="15.75">
      <c r="A5" s="35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</row>
    <row r="6" spans="1:19" ht="18.75">
      <c r="A6" s="41" t="s">
        <v>0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9"/>
      <c r="S6" s="36"/>
    </row>
    <row r="7" spans="1:19" ht="15.75">
      <c r="A7" s="43" t="s">
        <v>254</v>
      </c>
      <c r="B7" s="36" t="s">
        <v>2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</row>
    <row r="8" spans="1:19" ht="15.75">
      <c r="A8" s="43" t="s">
        <v>255</v>
      </c>
      <c r="B8" s="36" t="s">
        <v>1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</row>
    <row r="9" spans="1:19" ht="15.75">
      <c r="A9" s="43" t="s">
        <v>256</v>
      </c>
      <c r="B9" s="36" t="s">
        <v>3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</row>
    <row r="10" spans="1:19" ht="15.75">
      <c r="A10" s="43" t="s">
        <v>257</v>
      </c>
      <c r="B10" s="36" t="s">
        <v>4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</row>
    <row r="11" spans="1:19" ht="15.75">
      <c r="A11" s="43" t="s">
        <v>258</v>
      </c>
      <c r="B11" s="36" t="s">
        <v>5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  <row r="12" spans="1:19" ht="15.75">
      <c r="A12" s="43" t="s">
        <v>259</v>
      </c>
      <c r="B12" s="36" t="s">
        <v>6</v>
      </c>
      <c r="C12" s="36"/>
      <c r="D12" s="36"/>
      <c r="E12" s="40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</row>
    <row r="13" spans="1:19" ht="15.75">
      <c r="A13" s="44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</row>
    <row r="14" spans="1:19" ht="18.75">
      <c r="A14" s="41" t="s">
        <v>11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</row>
    <row r="15" spans="1:19" ht="15.75">
      <c r="A15" s="43" t="s">
        <v>260</v>
      </c>
      <c r="B15" s="36" t="s">
        <v>7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</row>
    <row r="16" spans="1:19" ht="15.75">
      <c r="A16" s="43" t="s">
        <v>261</v>
      </c>
      <c r="B16" s="36" t="s">
        <v>8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</row>
    <row r="17" spans="1:19" ht="15.75">
      <c r="A17" s="43" t="s">
        <v>262</v>
      </c>
      <c r="B17" s="36" t="s">
        <v>9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</row>
    <row r="18" spans="1:19" ht="15.75">
      <c r="A18" s="43" t="s">
        <v>263</v>
      </c>
      <c r="B18" s="36" t="s">
        <v>10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</row>
    <row r="19" spans="1:19" ht="15.75">
      <c r="A19" s="43" t="s">
        <v>264</v>
      </c>
      <c r="B19" s="36" t="s">
        <v>12</v>
      </c>
      <c r="C19" s="36"/>
      <c r="D19" s="4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</row>
    <row r="20" spans="1:19" ht="15.75">
      <c r="A20" s="43" t="s">
        <v>265</v>
      </c>
      <c r="B20" s="36" t="s">
        <v>13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</row>
    <row r="21" spans="1:19" ht="15.75">
      <c r="A21" s="44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</row>
    <row r="22" spans="1:19" ht="18.75">
      <c r="A22" s="41" t="s">
        <v>14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</row>
    <row r="23" spans="1:19" ht="15.75">
      <c r="A23" s="43" t="s">
        <v>266</v>
      </c>
      <c r="B23" s="36" t="s">
        <v>15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</row>
    <row r="24" spans="1:19" ht="15.75">
      <c r="A24" s="43" t="s">
        <v>267</v>
      </c>
      <c r="B24" s="36" t="s">
        <v>16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</row>
    <row r="25" spans="1:19" ht="15.75">
      <c r="A25" s="43" t="s">
        <v>268</v>
      </c>
      <c r="B25" s="36" t="s">
        <v>17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</row>
    <row r="26" spans="1:19" ht="15.75">
      <c r="A26" s="43" t="s">
        <v>269</v>
      </c>
      <c r="B26" s="36" t="s">
        <v>18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</row>
    <row r="27" spans="1:19" ht="15.75">
      <c r="A27" s="44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</row>
    <row r="28" spans="1:19" ht="18.75">
      <c r="A28" s="41" t="s">
        <v>19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</row>
    <row r="29" spans="1:19" ht="15.75">
      <c r="A29" s="43" t="s">
        <v>270</v>
      </c>
      <c r="B29" s="36" t="s">
        <v>20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</row>
    <row r="30" spans="1:19" ht="15.75">
      <c r="A30" s="43" t="s">
        <v>271</v>
      </c>
      <c r="B30" s="36" t="s">
        <v>21</v>
      </c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</row>
    <row r="31" spans="1:19" ht="15.75">
      <c r="A31" s="43" t="s">
        <v>272</v>
      </c>
      <c r="B31" s="36" t="s">
        <v>22</v>
      </c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</row>
    <row r="32" spans="1:19" ht="15.75">
      <c r="A32" s="44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</row>
    <row r="33" spans="1:19" ht="18.75">
      <c r="A33" s="41" t="s">
        <v>23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</row>
    <row r="34" spans="1:19" ht="15.75">
      <c r="A34" s="43" t="s">
        <v>273</v>
      </c>
      <c r="B34" s="36" t="s">
        <v>24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</row>
    <row r="35" spans="1:19" ht="15.75">
      <c r="A35" s="43" t="s">
        <v>274</v>
      </c>
      <c r="B35" s="36" t="s">
        <v>25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</row>
    <row r="36" spans="1:19" ht="15.75">
      <c r="A36" s="43" t="s">
        <v>275</v>
      </c>
      <c r="B36" s="36" t="s">
        <v>26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</row>
    <row r="37" spans="1:19" ht="15.75">
      <c r="A37" s="43" t="s">
        <v>276</v>
      </c>
      <c r="B37" s="36" t="s">
        <v>27</v>
      </c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</row>
    <row r="38" spans="1:19" ht="15.75">
      <c r="A38" s="43" t="s">
        <v>277</v>
      </c>
      <c r="B38" s="36" t="s">
        <v>28</v>
      </c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</row>
    <row r="39" spans="1:19" ht="15.75">
      <c r="A39" s="43" t="s">
        <v>278</v>
      </c>
      <c r="B39" s="36" t="s">
        <v>29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</row>
    <row r="40" spans="1:19" ht="15.75">
      <c r="A40" s="43" t="s">
        <v>279</v>
      </c>
      <c r="B40" s="36" t="s">
        <v>30</v>
      </c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</row>
    <row r="41" spans="1:19" ht="15.75">
      <c r="A41" s="44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</row>
    <row r="42" spans="1:19" ht="18.75">
      <c r="A42" s="41" t="s">
        <v>31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</row>
    <row r="43" spans="1:19" ht="15.75">
      <c r="A43" s="43" t="s">
        <v>280</v>
      </c>
      <c r="B43" s="36" t="s">
        <v>32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</row>
    <row r="44" spans="1:19" ht="15.75">
      <c r="A44" s="43" t="s">
        <v>281</v>
      </c>
      <c r="B44" s="36" t="s">
        <v>33</v>
      </c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</row>
    <row r="45" spans="1:19" ht="15.75">
      <c r="A45" s="43" t="s">
        <v>282</v>
      </c>
      <c r="B45" s="36" t="s">
        <v>34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</row>
    <row r="46" spans="1:19" ht="15.75">
      <c r="A46" s="43" t="s">
        <v>283</v>
      </c>
      <c r="B46" s="36" t="s">
        <v>35</v>
      </c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</row>
    <row r="47" spans="1:19" ht="15.75">
      <c r="A47" s="43" t="s">
        <v>284</v>
      </c>
      <c r="B47" s="36" t="s">
        <v>36</v>
      </c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</row>
    <row r="48" spans="1:19" ht="15.75">
      <c r="A48" s="43" t="s">
        <v>285</v>
      </c>
      <c r="B48" s="36" t="s">
        <v>37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</row>
    <row r="49" spans="1:19" ht="15.75">
      <c r="A49" s="43" t="s">
        <v>286</v>
      </c>
      <c r="B49" s="36" t="s">
        <v>38</v>
      </c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</row>
    <row r="50" spans="1:19" ht="15.75">
      <c r="A50" s="43" t="s">
        <v>287</v>
      </c>
      <c r="B50" s="36" t="s">
        <v>39</v>
      </c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</row>
    <row r="51" spans="1:19" ht="15.75">
      <c r="A51" s="43" t="s">
        <v>288</v>
      </c>
      <c r="B51" s="36" t="s">
        <v>40</v>
      </c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</row>
    <row r="52" spans="1:19" ht="15.75">
      <c r="A52" s="43" t="s">
        <v>289</v>
      </c>
      <c r="B52" s="36" t="s">
        <v>41</v>
      </c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</row>
    <row r="53" spans="1:19" ht="15.75">
      <c r="A53" s="43" t="s">
        <v>290</v>
      </c>
      <c r="B53" s="36" t="s">
        <v>42</v>
      </c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</row>
    <row r="54" spans="1:19" ht="15.75">
      <c r="A54" s="44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</row>
    <row r="55" spans="1:19" ht="18.75">
      <c r="A55" s="41" t="s">
        <v>43</v>
      </c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</row>
    <row r="56" spans="1:19" ht="15.75">
      <c r="A56" s="43" t="s">
        <v>291</v>
      </c>
      <c r="B56" s="36" t="s">
        <v>44</v>
      </c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</row>
    <row r="57" spans="1:19" ht="15.75">
      <c r="A57" s="43" t="s">
        <v>292</v>
      </c>
      <c r="B57" s="36" t="s">
        <v>45</v>
      </c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</row>
    <row r="58" spans="1:19" ht="15.75">
      <c r="A58" s="43" t="s">
        <v>293</v>
      </c>
      <c r="B58" s="36" t="s">
        <v>46</v>
      </c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</row>
    <row r="59" spans="1:19" ht="15.75">
      <c r="A59" s="43" t="s">
        <v>294</v>
      </c>
      <c r="B59" s="36" t="s">
        <v>47</v>
      </c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</row>
    <row r="60" spans="1:19" ht="15.75">
      <c r="A60" s="43" t="s">
        <v>295</v>
      </c>
      <c r="B60" s="36" t="s">
        <v>48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</row>
    <row r="61" spans="1:19" ht="15.75">
      <c r="A61" s="43" t="s">
        <v>296</v>
      </c>
      <c r="B61" s="36" t="s">
        <v>49</v>
      </c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</row>
    <row r="62" spans="1:19" ht="15.75">
      <c r="A62" s="43" t="s">
        <v>297</v>
      </c>
      <c r="B62" s="36" t="s">
        <v>50</v>
      </c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</row>
    <row r="63" spans="1:19" ht="15.75">
      <c r="A63" s="43" t="s">
        <v>298</v>
      </c>
      <c r="B63" s="36" t="s">
        <v>51</v>
      </c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</row>
    <row r="64" spans="1:19" ht="15.75">
      <c r="A64" s="43" t="s">
        <v>299</v>
      </c>
      <c r="B64" s="36" t="s">
        <v>52</v>
      </c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</row>
    <row r="65" spans="1:19" ht="15.75">
      <c r="A65" s="44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</row>
    <row r="66" spans="1:19" ht="18.75">
      <c r="A66" s="41" t="s">
        <v>53</v>
      </c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</row>
    <row r="67" spans="1:19" ht="15.75">
      <c r="A67" s="43" t="s">
        <v>300</v>
      </c>
      <c r="B67" s="36" t="s">
        <v>54</v>
      </c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</row>
    <row r="68" spans="1:19" ht="15.75">
      <c r="A68" s="43" t="s">
        <v>301</v>
      </c>
      <c r="B68" s="36" t="s">
        <v>55</v>
      </c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</row>
    <row r="69" spans="1:19" ht="15.75">
      <c r="A69" s="44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</row>
    <row r="70" spans="1:19" ht="18.75">
      <c r="A70" s="41" t="s">
        <v>56</v>
      </c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</row>
    <row r="71" spans="1:19" ht="15.75">
      <c r="A71" s="43" t="s">
        <v>302</v>
      </c>
      <c r="B71" s="36" t="s">
        <v>57</v>
      </c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</row>
    <row r="72" spans="1:19" ht="15.75">
      <c r="A72" s="43" t="s">
        <v>303</v>
      </c>
      <c r="B72" s="36" t="s">
        <v>58</v>
      </c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</row>
    <row r="73" spans="1:19" ht="15.75">
      <c r="A73" s="43" t="s">
        <v>304</v>
      </c>
      <c r="B73" s="36" t="s">
        <v>59</v>
      </c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</row>
    <row r="74" spans="1:19" ht="15.75">
      <c r="A74" s="43" t="s">
        <v>305</v>
      </c>
      <c r="B74" s="36" t="s">
        <v>60</v>
      </c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</row>
    <row r="75" spans="1:19" ht="15.75">
      <c r="A75" s="43" t="s">
        <v>306</v>
      </c>
      <c r="B75" s="36" t="s">
        <v>61</v>
      </c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</row>
    <row r="76" spans="1:19" ht="15.75">
      <c r="A76" s="43" t="s">
        <v>307</v>
      </c>
      <c r="B76" s="36" t="s">
        <v>62</v>
      </c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</row>
    <row r="77" spans="1:19" ht="15.75">
      <c r="A77" s="43" t="s">
        <v>308</v>
      </c>
      <c r="B77" s="36" t="s">
        <v>63</v>
      </c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</row>
    <row r="78" spans="1:19" ht="15.75">
      <c r="A78" s="43" t="s">
        <v>309</v>
      </c>
      <c r="B78" s="36" t="s">
        <v>64</v>
      </c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</row>
    <row r="79" spans="1:19" ht="15.75">
      <c r="A79" s="43" t="s">
        <v>310</v>
      </c>
      <c r="B79" s="36" t="s">
        <v>65</v>
      </c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</row>
    <row r="80" spans="1:19" ht="15.75">
      <c r="A80" s="43" t="s">
        <v>311</v>
      </c>
      <c r="B80" s="36" t="s">
        <v>66</v>
      </c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</row>
    <row r="81" spans="1:19" ht="15.75">
      <c r="A81" s="44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</row>
    <row r="82" spans="1:19" ht="18.75">
      <c r="A82" s="41" t="s">
        <v>67</v>
      </c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</row>
    <row r="83" spans="1:19" ht="15.75">
      <c r="A83" s="43" t="s">
        <v>312</v>
      </c>
      <c r="B83" s="36" t="s">
        <v>68</v>
      </c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</row>
    <row r="84" spans="1:19" ht="15.75">
      <c r="A84" s="43" t="s">
        <v>313</v>
      </c>
      <c r="B84" s="36" t="s">
        <v>69</v>
      </c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</row>
    <row r="85" spans="1:19" ht="15.75">
      <c r="A85" s="43" t="s">
        <v>314</v>
      </c>
      <c r="B85" s="36" t="s">
        <v>70</v>
      </c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</row>
    <row r="86" spans="1:19" ht="15.75">
      <c r="A86" s="43" t="s">
        <v>315</v>
      </c>
      <c r="B86" s="36" t="s">
        <v>71</v>
      </c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</row>
    <row r="87" spans="1:19" ht="15.75">
      <c r="A87" s="43" t="s">
        <v>316</v>
      </c>
      <c r="B87" s="36" t="s">
        <v>72</v>
      </c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</row>
    <row r="88" spans="1:19" ht="15.75">
      <c r="A88" s="44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</row>
    <row r="89" spans="1:19" ht="18.75">
      <c r="A89" s="41" t="s">
        <v>73</v>
      </c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</row>
    <row r="90" spans="1:19" ht="15.75">
      <c r="A90" s="43" t="s">
        <v>317</v>
      </c>
      <c r="B90" s="36" t="s">
        <v>74</v>
      </c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</row>
    <row r="91" spans="1:19" ht="15.75">
      <c r="A91" s="43" t="s">
        <v>318</v>
      </c>
      <c r="B91" s="36" t="s">
        <v>75</v>
      </c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</row>
    <row r="92" spans="1:19" ht="15.75">
      <c r="A92" s="43" t="s">
        <v>319</v>
      </c>
      <c r="B92" s="36" t="s">
        <v>76</v>
      </c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</row>
    <row r="93" spans="1:19" ht="15.75">
      <c r="A93" s="45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</row>
    <row r="94" spans="1:19" ht="15.75">
      <c r="A94" s="45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</row>
    <row r="95" spans="1:19" ht="15.75">
      <c r="A95" s="45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</row>
    <row r="96" spans="1:19" ht="15.75">
      <c r="A96" s="45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</row>
    <row r="97" spans="1:19" ht="15.75">
      <c r="A97" s="45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</row>
    <row r="98" spans="1:19" ht="15.75">
      <c r="A98" s="45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</row>
    <row r="99" spans="1:19" ht="15.75">
      <c r="A99" s="45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</row>
    <row r="100" spans="1:19" ht="15.75">
      <c r="A100" s="45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</row>
    <row r="101" spans="1:19" ht="15.75">
      <c r="A101" s="45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</row>
    <row r="102" spans="1:19" ht="15.75">
      <c r="A102" s="45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</row>
    <row r="103" spans="1:19" ht="15.75">
      <c r="A103" s="45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</row>
    <row r="104" spans="1:19" ht="15.75">
      <c r="A104" s="45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</row>
    <row r="105" spans="1:19" ht="15.75">
      <c r="A105" s="45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</row>
    <row r="106" spans="1:19" ht="15.75">
      <c r="A106" s="45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</row>
    <row r="107" spans="1:19" ht="15.75">
      <c r="A107" s="45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</row>
    <row r="108" spans="1:19" ht="15.75">
      <c r="A108" s="45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</row>
    <row r="109" spans="1:19" ht="15.75">
      <c r="A109" s="45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</row>
    <row r="110" spans="1:19" ht="15.75">
      <c r="A110" s="45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</row>
    <row r="111" spans="1:19" ht="15.75">
      <c r="A111" s="45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</row>
    <row r="112" spans="1:19" ht="15.75">
      <c r="A112" s="45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</row>
    <row r="113" spans="1:19" ht="15.75">
      <c r="A113" s="45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</row>
    <row r="114" spans="1:19" ht="15.75">
      <c r="A114" s="45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</row>
    <row r="115" spans="1:19" ht="15.75">
      <c r="A115" s="4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</row>
    <row r="116" spans="1:19" ht="15.75">
      <c r="A116" s="45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</row>
    <row r="117" spans="1:19" ht="15.75">
      <c r="A117" s="45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</row>
    <row r="118" spans="1:19" ht="15.75">
      <c r="A118" s="45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</row>
    <row r="119" spans="1:19" ht="15.75">
      <c r="A119" s="45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</row>
    <row r="120" spans="1:19" ht="15.75">
      <c r="A120" s="45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</row>
    <row r="121" spans="1:19" ht="15.75">
      <c r="A121" s="45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</row>
    <row r="122" spans="1:19" ht="15.75">
      <c r="A122" s="45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</row>
    <row r="123" spans="1:19" ht="15.75">
      <c r="A123" s="45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</row>
    <row r="124" spans="1:19" ht="15.75">
      <c r="A124" s="45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</row>
    <row r="125" spans="1:19" ht="15.75">
      <c r="A125" s="45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</row>
    <row r="126" spans="1:19" ht="15.75">
      <c r="A126" s="45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</row>
    <row r="127" spans="1:19" ht="15.75">
      <c r="A127" s="45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</row>
    <row r="128" spans="1:19" ht="15.75">
      <c r="A128" s="45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</row>
    <row r="129" spans="1:19" ht="15.75">
      <c r="A129" s="45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</row>
    <row r="130" spans="1:19" ht="15.75">
      <c r="A130" s="45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</row>
    <row r="131" spans="1:19" ht="15.75">
      <c r="A131" s="45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</row>
    <row r="132" spans="1:19" ht="15.75">
      <c r="A132" s="45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</row>
    <row r="133" spans="1:19" ht="15.75">
      <c r="A133" s="45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</row>
    <row r="134" spans="1:19" ht="15.75">
      <c r="A134" s="45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</row>
    <row r="135" spans="1:19" ht="15.75">
      <c r="A135" s="45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</row>
    <row r="136" spans="1:19" ht="15.75">
      <c r="A136" s="45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</row>
    <row r="137" spans="1:19" ht="15.75">
      <c r="A137" s="45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</row>
    <row r="138" spans="1:19" ht="15.75">
      <c r="A138" s="45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</row>
    <row r="139" spans="1:19" ht="15.75">
      <c r="A139" s="45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</row>
    <row r="140" spans="1:19" ht="15.75">
      <c r="A140" s="45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</row>
    <row r="141" spans="1:19" ht="15.75">
      <c r="A141" s="45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</row>
    <row r="142" spans="1:19" ht="15.75">
      <c r="A142" s="45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</row>
    <row r="143" spans="1:19" ht="15.75">
      <c r="A143" s="45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</row>
    <row r="144" spans="1:19" ht="15.75">
      <c r="A144" s="45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</row>
    <row r="145" spans="1:19" ht="15.75">
      <c r="A145" s="45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</row>
    <row r="146" spans="1:19" ht="15.75">
      <c r="A146" s="45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</row>
    <row r="147" spans="1:19" ht="15.75">
      <c r="A147" s="45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</row>
    <row r="148" spans="1:19" ht="15.75">
      <c r="A148" s="45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</row>
    <row r="149" spans="1:19" ht="15.75">
      <c r="A149" s="45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</row>
    <row r="150" spans="1:19" ht="15.75">
      <c r="A150" s="45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</row>
    <row r="151" spans="1:19" ht="15.75">
      <c r="A151" s="45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</row>
    <row r="152" spans="1:19" ht="15.75">
      <c r="A152" s="45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</row>
    <row r="153" spans="1:19" ht="15.75">
      <c r="A153" s="45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</row>
    <row r="154" spans="1:19" ht="15.75">
      <c r="A154" s="45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</row>
    <row r="155" spans="1:19" ht="15.75">
      <c r="A155" s="45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</row>
    <row r="156" spans="1:19" ht="15.75">
      <c r="A156" s="45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</row>
    <row r="157" spans="1:19" ht="15.75">
      <c r="A157" s="45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</row>
    <row r="158" spans="1:19" ht="15.75">
      <c r="A158" s="45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</row>
    <row r="159" spans="1:19" ht="15.75">
      <c r="A159" s="45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</row>
    <row r="160" spans="1:19" ht="15.75">
      <c r="A160" s="45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</row>
    <row r="161" spans="1:19" ht="15.75">
      <c r="A161" s="45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</row>
    <row r="162" spans="1:19" ht="15.75">
      <c r="A162" s="45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</row>
    <row r="163" spans="1:19" ht="15.75">
      <c r="A163" s="45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</row>
    <row r="164" spans="1:19" ht="15.75">
      <c r="A164" s="45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</row>
    <row r="165" spans="1:19" ht="15.75">
      <c r="A165" s="45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</row>
    <row r="166" spans="1:19" ht="15.75">
      <c r="A166" s="45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</row>
    <row r="167" spans="1:19" ht="15.75">
      <c r="A167" s="45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</row>
    <row r="168" spans="1:19" ht="15.75">
      <c r="A168" s="45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</row>
    <row r="169" spans="1:19" ht="15.75">
      <c r="A169" s="45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</row>
    <row r="170" spans="1:19" ht="15.75">
      <c r="A170" s="45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</row>
    <row r="171" spans="1:19" ht="15.75">
      <c r="A171" s="35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</row>
    <row r="172" spans="1:19" ht="15.75">
      <c r="A172" s="35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</row>
    <row r="173" spans="1:19" ht="15.75">
      <c r="A173" s="35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</row>
    <row r="174" spans="1:19" ht="15.75">
      <c r="A174" s="35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</row>
    <row r="175" spans="1:19" ht="15.75">
      <c r="A175" s="35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</row>
    <row r="176" spans="1:19" ht="15.75">
      <c r="A176" s="35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</row>
    <row r="177" spans="1:19" ht="15.75">
      <c r="A177" s="35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</row>
    <row r="178" spans="1:19" ht="15.75">
      <c r="A178" s="35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</row>
    <row r="179" spans="1:19" ht="15.75">
      <c r="A179" s="35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</row>
    <row r="180" spans="1:19" ht="15.75">
      <c r="A180" s="35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</row>
    <row r="181" spans="1:19" ht="15.75">
      <c r="A181" s="35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</row>
    <row r="182" spans="1:19" ht="15.75">
      <c r="A182" s="35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</row>
    <row r="183" spans="1:19" ht="15.75">
      <c r="A183" s="35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</row>
    <row r="184" spans="1:19" ht="15.75">
      <c r="A184" s="35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</row>
    <row r="185" spans="1:19" ht="15.75">
      <c r="A185" s="35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</row>
    <row r="186" spans="1:19" ht="15.75">
      <c r="A186" s="35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</row>
    <row r="187" spans="1:19" ht="15.75">
      <c r="A187" s="35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</row>
    <row r="188" spans="1:19" ht="15.75">
      <c r="A188" s="35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</row>
    <row r="189" spans="1:19" ht="15.75">
      <c r="A189" s="35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</row>
    <row r="190" spans="1:19" ht="15.75">
      <c r="A190" s="35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</row>
    <row r="191" spans="1:19" ht="15.75">
      <c r="A191" s="35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</row>
    <row r="192" spans="1:19" ht="15.75">
      <c r="A192" s="35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</row>
    <row r="193" spans="1:19" ht="15.75">
      <c r="A193" s="35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</row>
    <row r="194" spans="1:19" ht="15.75">
      <c r="A194" s="35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</row>
    <row r="195" spans="1:19" ht="15.75">
      <c r="A195" s="35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</row>
    <row r="196" spans="1:19" ht="15.75">
      <c r="A196" s="35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</row>
    <row r="197" spans="1:19" ht="15.75">
      <c r="A197" s="35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</row>
    <row r="198" spans="1:19" ht="15.75">
      <c r="A198" s="35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</row>
    <row r="199" spans="1:19" ht="15.75">
      <c r="A199" s="35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</row>
    <row r="200" spans="1:19" ht="15.75">
      <c r="A200" s="35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</row>
    <row r="201" spans="1:19" ht="15.75">
      <c r="A201" s="35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</row>
    <row r="202" spans="1:19" ht="15.75">
      <c r="A202" s="35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</row>
    <row r="203" spans="1:19" ht="15.75">
      <c r="A203" s="35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</row>
    <row r="204" spans="1:19" ht="15.75">
      <c r="A204" s="35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</row>
    <row r="205" spans="1:19" ht="15.75">
      <c r="A205" s="35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</row>
    <row r="206" spans="1:19" ht="15.75">
      <c r="A206" s="35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</row>
    <row r="207" spans="1:19" ht="15.75">
      <c r="A207" s="35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</row>
    <row r="208" spans="1:19" ht="15.75">
      <c r="A208" s="35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</row>
    <row r="209" spans="1:19" ht="15.75">
      <c r="A209" s="35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</row>
    <row r="210" spans="1:19" ht="15.75">
      <c r="A210" s="35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</row>
    <row r="211" spans="1:19" ht="15.75">
      <c r="A211" s="35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</row>
    <row r="212" spans="1:19" ht="15.75">
      <c r="A212" s="35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</row>
    <row r="213" spans="1:19" ht="15.75">
      <c r="A213" s="35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</row>
    <row r="214" spans="1:19" ht="15.75">
      <c r="A214" s="35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</row>
    <row r="215" spans="1:19" ht="15.75">
      <c r="A215" s="35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</row>
    <row r="216" spans="1:19" ht="15.75">
      <c r="A216" s="35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</row>
    <row r="217" spans="1:19" ht="15.75">
      <c r="A217" s="35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</row>
    <row r="218" spans="1:19" ht="15.75">
      <c r="A218" s="35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</row>
    <row r="219" spans="1:19" ht="15.75">
      <c r="A219" s="35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</row>
    <row r="220" spans="1:19" ht="15.75">
      <c r="A220" s="35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</row>
    <row r="221" spans="1:19" ht="15.75">
      <c r="A221" s="35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</row>
    <row r="222" spans="1:19" ht="15.75">
      <c r="A222" s="35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</row>
    <row r="223" spans="1:19" ht="15.75">
      <c r="A223" s="35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</row>
    <row r="224" spans="1:19" ht="15.75">
      <c r="A224" s="35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</row>
    <row r="225" spans="1:19" ht="15.75">
      <c r="A225" s="35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</row>
    <row r="226" spans="1:19" ht="15.75">
      <c r="A226" s="35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</row>
    <row r="227" spans="1:19" ht="15.75">
      <c r="A227" s="35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</row>
    <row r="228" spans="1:19" ht="15.75">
      <c r="A228" s="35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</row>
    <row r="229" spans="1:19" ht="15.75">
      <c r="A229" s="35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</row>
    <row r="230" spans="1:19" ht="15.75">
      <c r="A230" s="35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</row>
    <row r="231" spans="1:19" ht="15.75">
      <c r="A231" s="35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</row>
    <row r="232" spans="1:19" ht="15.75">
      <c r="A232" s="35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</row>
    <row r="233" spans="1:19" ht="15.75">
      <c r="A233" s="35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</row>
    <row r="234" spans="1:19" ht="15.75">
      <c r="A234" s="35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</row>
    <row r="235" spans="1:19" ht="15.75">
      <c r="A235" s="35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</row>
    <row r="236" spans="1:19" ht="15.75">
      <c r="A236" s="35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</row>
    <row r="237" spans="1:19" ht="15.75">
      <c r="A237" s="35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</row>
    <row r="238" spans="1:19" ht="15.75">
      <c r="A238" s="35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</row>
    <row r="239" spans="1:19" ht="15.75">
      <c r="A239" s="35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</row>
    <row r="240" spans="1:19" ht="15.75">
      <c r="A240" s="35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</row>
    <row r="241" spans="1:19" ht="15.75">
      <c r="A241" s="35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</row>
    <row r="242" spans="1:19" ht="15.75">
      <c r="A242" s="35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</row>
    <row r="243" spans="1:19" ht="15.75">
      <c r="A243" s="35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</row>
    <row r="244" spans="1:19" ht="15.75">
      <c r="A244" s="35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</row>
    <row r="245" spans="1:19" ht="15.75">
      <c r="A245" s="35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</row>
    <row r="246" spans="1:19" ht="15.75">
      <c r="A246" s="35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</row>
    <row r="247" spans="1:19" ht="15.75">
      <c r="A247" s="35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</row>
    <row r="248" spans="1:19" ht="15.75">
      <c r="A248" s="35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</row>
    <row r="249" spans="1:19" ht="15.75">
      <c r="A249" s="35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</row>
    <row r="250" spans="1:19" ht="15.75">
      <c r="A250" s="35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</row>
    <row r="251" spans="1:19" ht="15.75">
      <c r="A251" s="35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</row>
    <row r="252" spans="1:19" ht="15.75">
      <c r="A252" s="35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</row>
    <row r="253" spans="1:19" ht="15.75">
      <c r="A253" s="35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</row>
    <row r="254" spans="1:19" ht="15.75">
      <c r="A254" s="35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</row>
    <row r="255" spans="1:19" ht="15.75">
      <c r="A255" s="35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</row>
    <row r="256" spans="1:19" ht="15.75">
      <c r="A256" s="35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</row>
    <row r="257" spans="1:19" ht="15.75">
      <c r="A257" s="35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</row>
    <row r="258" spans="1:19" ht="15.75">
      <c r="A258" s="35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</row>
    <row r="259" spans="1:19" ht="15.75">
      <c r="A259" s="35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</row>
    <row r="260" spans="1:19" ht="15.75">
      <c r="A260" s="35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</row>
    <row r="261" spans="1:19" ht="15.75">
      <c r="A261" s="35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</row>
    <row r="262" spans="1:19" ht="15.75">
      <c r="A262" s="35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</row>
    <row r="263" spans="1:19" ht="15.75">
      <c r="A263" s="35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</row>
    <row r="264" spans="1:19" ht="15.75">
      <c r="A264" s="35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</row>
    <row r="265" spans="1:19" ht="15.75">
      <c r="A265" s="35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</row>
    <row r="266" spans="1:19" ht="15.75">
      <c r="A266" s="35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</row>
    <row r="267" spans="1:19" ht="15.75">
      <c r="A267" s="35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</row>
    <row r="268" spans="1:19" ht="15.75">
      <c r="A268" s="35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</row>
    <row r="269" spans="1:19" ht="15.75">
      <c r="A269" s="35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</row>
    <row r="270" spans="1:19" ht="15.75">
      <c r="A270" s="35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</row>
    <row r="271" spans="1:19" ht="15.75">
      <c r="A271" s="35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</row>
    <row r="272" spans="1:19" ht="15.75">
      <c r="A272" s="35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</row>
    <row r="273" spans="1:19" ht="15.75">
      <c r="A273" s="35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</row>
    <row r="274" spans="1:19" ht="15.75">
      <c r="A274" s="35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</row>
    <row r="275" spans="1:19" ht="15.75">
      <c r="A275" s="35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</row>
    <row r="276" spans="1:19" ht="15.75">
      <c r="A276" s="35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</row>
    <row r="277" spans="1:19" ht="15.75">
      <c r="A277" s="35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</row>
    <row r="278" spans="1:19" ht="15.75">
      <c r="A278" s="35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</row>
    <row r="279" spans="1:19" ht="15.75">
      <c r="A279" s="35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</row>
    <row r="280" spans="1:19" ht="15.75">
      <c r="A280" s="35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</row>
    <row r="281" spans="1:19" ht="15.75">
      <c r="A281" s="35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</row>
    <row r="282" spans="1:19" ht="15.75">
      <c r="A282" s="35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</row>
    <row r="283" spans="1:19" ht="15.75">
      <c r="A283" s="35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</row>
    <row r="284" spans="1:19" ht="15.75">
      <c r="A284" s="35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</row>
    <row r="285" spans="1:19" ht="15.75">
      <c r="A285" s="35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</row>
    <row r="286" spans="1:19" ht="15.75">
      <c r="A286" s="35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</row>
    <row r="287" spans="1:19" ht="15.75">
      <c r="A287" s="35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</row>
    <row r="288" spans="1:19" ht="15.75">
      <c r="A288" s="35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</row>
    <row r="289" spans="1:19" ht="15.75">
      <c r="A289" s="35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</row>
    <row r="290" spans="1:19" ht="15.75">
      <c r="A290" s="35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</row>
    <row r="291" spans="1:19" ht="15.75">
      <c r="A291" s="35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</row>
    <row r="292" spans="1:19" ht="15.75">
      <c r="A292" s="35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</row>
    <row r="293" spans="1:19" ht="15.75">
      <c r="A293" s="35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</row>
    <row r="294" spans="1:19" ht="15.75">
      <c r="A294" s="35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</row>
    <row r="295" spans="1:19" ht="15.75">
      <c r="A295" s="35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</row>
    <row r="296" spans="1:19" ht="15.75">
      <c r="A296" s="35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</row>
    <row r="297" spans="1:19" ht="15.75">
      <c r="A297" s="35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</row>
    <row r="298" spans="1:19" ht="15.75">
      <c r="A298" s="35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</row>
    <row r="299" spans="1:19" ht="15.75">
      <c r="A299" s="35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</row>
    <row r="300" spans="1:19" ht="15.75">
      <c r="A300" s="35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</row>
    <row r="301" spans="1:19" ht="15.75">
      <c r="A301" s="35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</row>
    <row r="302" spans="1:19" ht="15.75">
      <c r="A302" s="35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</row>
    <row r="303" spans="1:19" ht="15.75">
      <c r="A303" s="35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</row>
    <row r="304" spans="1:19" ht="15.75">
      <c r="A304" s="35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</row>
    <row r="305" spans="1:19" ht="15.75">
      <c r="A305" s="35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</row>
    <row r="306" spans="1:19" ht="15.75">
      <c r="A306" s="35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</row>
    <row r="307" spans="1:19" ht="15.75">
      <c r="A307" s="35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</row>
    <row r="308" spans="1:19" ht="15.75">
      <c r="A308" s="35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</row>
    <row r="309" spans="1:19" ht="15.75">
      <c r="A309" s="35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</row>
    <row r="310" spans="1:19" ht="15.75">
      <c r="A310" s="35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</row>
    <row r="311" spans="1:19" ht="15.75">
      <c r="A311" s="35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</row>
    <row r="312" spans="1:19" ht="15.75">
      <c r="A312" s="35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</row>
    <row r="313" spans="1:19" ht="15.75">
      <c r="A313" s="35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</row>
    <row r="314" spans="1:19" ht="15.75">
      <c r="A314" s="35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</row>
    <row r="315" spans="1:19" ht="15.75">
      <c r="A315" s="35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</row>
    <row r="316" spans="1:19" ht="15.75">
      <c r="A316" s="35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</row>
    <row r="317" spans="1:19" ht="15.75">
      <c r="A317" s="35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</row>
    <row r="318" spans="1:19" ht="15.75">
      <c r="A318" s="35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</row>
    <row r="319" spans="1:19" ht="15.75">
      <c r="A319" s="35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</row>
    <row r="320" spans="1:19" ht="15.75">
      <c r="A320" s="35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</row>
    <row r="321" spans="1:19" ht="15.75">
      <c r="A321" s="35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</row>
    <row r="322" spans="1:19" ht="15.75">
      <c r="A322" s="35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</row>
    <row r="323" spans="1:19" ht="15.75">
      <c r="A323" s="35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</row>
    <row r="324" spans="1:19" ht="15.75">
      <c r="A324" s="35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</row>
    <row r="325" spans="1:19" ht="15.75">
      <c r="A325" s="35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</row>
    <row r="326" spans="1:19" ht="15.75">
      <c r="A326" s="35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</row>
    <row r="327" spans="1:19" ht="15.75">
      <c r="A327" s="35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</row>
    <row r="328" spans="1:19" ht="15.75">
      <c r="A328" s="35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</row>
    <row r="329" spans="1:19" ht="15.75">
      <c r="A329" s="35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</row>
    <row r="330" spans="1:19" ht="15.75">
      <c r="A330" s="35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</row>
    <row r="331" spans="1:19" ht="15.75">
      <c r="A331" s="35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</row>
    <row r="332" spans="1:19" ht="15.75">
      <c r="A332" s="35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</row>
    <row r="333" spans="1:19" ht="15.75">
      <c r="A333" s="35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</row>
    <row r="334" spans="1:19" ht="15.75">
      <c r="A334" s="35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</row>
    <row r="335" spans="1:19" ht="15.75">
      <c r="A335" s="35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</row>
    <row r="336" spans="1:19" ht="15.75">
      <c r="A336" s="35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</row>
    <row r="337" spans="1:19" ht="15.75">
      <c r="A337" s="35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</row>
    <row r="338" spans="1:19" ht="15.75">
      <c r="A338" s="35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</row>
    <row r="339" spans="1:19" ht="15.75">
      <c r="A339" s="35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</row>
    <row r="340" spans="1:19" ht="15.75">
      <c r="A340" s="35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</row>
    <row r="341" spans="1:19" ht="15.75">
      <c r="A341" s="35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</row>
    <row r="342" spans="1:19" ht="15.75">
      <c r="A342" s="35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</row>
    <row r="343" spans="1:19" ht="15.75">
      <c r="A343" s="35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</row>
    <row r="344" spans="1:19" ht="15.75">
      <c r="A344" s="35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</row>
    <row r="345" spans="1:19" ht="15.75">
      <c r="A345" s="35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</row>
    <row r="346" spans="1:19" ht="15.75">
      <c r="A346" s="35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</row>
    <row r="347" spans="1:19" ht="15.75">
      <c r="A347" s="35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</row>
    <row r="348" spans="1:19" ht="15.75">
      <c r="A348" s="35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</row>
    <row r="349" spans="1:19" ht="15.75">
      <c r="A349" s="35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</row>
    <row r="350" spans="1:19" ht="15.75">
      <c r="A350" s="35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</row>
    <row r="351" spans="1:19" ht="15.75">
      <c r="A351" s="35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</row>
    <row r="352" spans="1:19" ht="15.75">
      <c r="A352" s="35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</row>
    <row r="353" spans="1:19" ht="15.75">
      <c r="A353" s="35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</row>
    <row r="354" spans="1:19" ht="15.75">
      <c r="A354" s="35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</row>
    <row r="355" spans="1:19" ht="15.75">
      <c r="A355" s="35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</row>
    <row r="356" spans="1:19" ht="15.75">
      <c r="A356" s="35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</row>
    <row r="357" spans="1:19" ht="15.75">
      <c r="A357" s="35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</row>
    <row r="358" spans="1:19" ht="15.75">
      <c r="A358" s="35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</row>
    <row r="359" spans="1:19" ht="15.75">
      <c r="A359" s="35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</row>
    <row r="360" spans="1:19" ht="15.75">
      <c r="A360" s="35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</row>
    <row r="361" spans="1:19" ht="15.75">
      <c r="A361" s="35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</row>
    <row r="362" spans="1:19" ht="15.75">
      <c r="A362" s="35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</row>
    <row r="363" spans="1:19" ht="15.75">
      <c r="A363" s="35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</row>
    <row r="364" spans="1:19" ht="15.75">
      <c r="A364" s="35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</row>
    <row r="365" spans="1:19" ht="15.75">
      <c r="A365" s="35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</row>
    <row r="366" spans="1:19" ht="15.75">
      <c r="A366" s="35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</row>
    <row r="367" spans="1:19" ht="15.75">
      <c r="A367" s="35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</row>
    <row r="368" spans="1:19" ht="15.75">
      <c r="A368" s="35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</row>
    <row r="369" spans="1:19" ht="15.75">
      <c r="A369" s="35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</row>
    <row r="370" spans="1:19" ht="15.75">
      <c r="A370" s="35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</row>
    <row r="371" spans="1:19" ht="15.75">
      <c r="A371" s="35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</row>
    <row r="372" spans="1:19" ht="15.75">
      <c r="A372" s="35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</row>
    <row r="373" spans="1:19" ht="15.75">
      <c r="A373" s="35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</row>
    <row r="374" spans="1:19" ht="15.75">
      <c r="A374" s="35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</row>
    <row r="375" spans="1:19" ht="15.75">
      <c r="A375" s="35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</row>
    <row r="376" spans="1:19" ht="15.75">
      <c r="A376" s="35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</row>
    <row r="377" spans="1:19" ht="15.75">
      <c r="A377" s="35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</row>
    <row r="378" spans="1:19" ht="15.75">
      <c r="A378" s="35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</row>
    <row r="379" spans="1:19" ht="15.75">
      <c r="A379" s="35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</row>
    <row r="380" spans="1:19" ht="15.75">
      <c r="A380" s="35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</row>
    <row r="381" spans="1:19" ht="15.75">
      <c r="A381" s="35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</row>
    <row r="382" spans="1:19" ht="15.75">
      <c r="A382" s="35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</row>
    <row r="383" spans="1:19" ht="15.75">
      <c r="A383" s="35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</row>
    <row r="384" spans="1:19" ht="15.75">
      <c r="A384" s="35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</row>
    <row r="385" spans="1:19" ht="15.75">
      <c r="A385" s="35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</row>
    <row r="386" spans="1:19" ht="15.75">
      <c r="A386" s="35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</row>
    <row r="387" spans="1:19" ht="15.75">
      <c r="A387" s="35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</row>
    <row r="388" spans="1:19" ht="15.75">
      <c r="A388" s="35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</row>
    <row r="389" spans="1:19" ht="15.75">
      <c r="A389" s="35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</row>
    <row r="390" spans="1:19" ht="15.75">
      <c r="A390" s="35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</row>
    <row r="391" spans="1:19" ht="15.75">
      <c r="A391" s="35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</row>
    <row r="392" spans="1:19" ht="15.75">
      <c r="A392" s="35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</row>
    <row r="393" spans="1:19" ht="15.75">
      <c r="A393" s="35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</row>
    <row r="394" spans="1:19" ht="15.75">
      <c r="A394" s="35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</row>
    <row r="395" spans="1:19" ht="15.75">
      <c r="A395" s="35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</row>
    <row r="396" spans="1:19" ht="15.75">
      <c r="A396" s="35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</row>
    <row r="397" spans="1:19" ht="15.75">
      <c r="A397" s="35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</row>
    <row r="398" spans="1:19" ht="15.75">
      <c r="A398" s="35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</row>
    <row r="399" spans="1:19" ht="15.75">
      <c r="A399" s="35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</row>
    <row r="400" spans="1:19" ht="15.75">
      <c r="A400" s="35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</row>
    <row r="401" spans="1:19" ht="15.75">
      <c r="A401" s="35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</row>
    <row r="402" spans="1:19" ht="15.75">
      <c r="A402" s="35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</row>
    <row r="403" spans="1:19" ht="15.75">
      <c r="A403" s="35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</row>
    <row r="404" spans="1:19" ht="15.75">
      <c r="A404" s="35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</row>
    <row r="405" spans="1:19" ht="15.75">
      <c r="A405" s="35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</row>
    <row r="406" spans="1:19" ht="15.75">
      <c r="A406" s="35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</row>
    <row r="407" spans="1:19" ht="15.75">
      <c r="A407" s="35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</row>
    <row r="408" spans="1:19" ht="15.75">
      <c r="A408" s="35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</row>
    <row r="409" spans="1:19" ht="15.75">
      <c r="A409" s="35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</row>
    <row r="410" spans="1:19" ht="15.75">
      <c r="A410" s="35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</row>
    <row r="411" spans="1:19" ht="15.75">
      <c r="A411" s="35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</row>
    <row r="412" spans="1:19" ht="15.75">
      <c r="A412" s="35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</row>
    <row r="413" spans="1:19" ht="15.75">
      <c r="A413" s="35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</row>
    <row r="414" spans="1:19" ht="15.75">
      <c r="A414" s="35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</row>
    <row r="415" spans="1:19" ht="15.75">
      <c r="A415" s="35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</row>
    <row r="416" spans="1:19" ht="15.75">
      <c r="A416" s="35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</row>
    <row r="417" spans="1:19" ht="15.75">
      <c r="A417" s="35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</row>
    <row r="418" spans="1:19" ht="15.75">
      <c r="A418" s="35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</row>
    <row r="419" spans="1:19" ht="15.75">
      <c r="A419" s="35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</row>
    <row r="420" spans="1:19" ht="15.75">
      <c r="A420" s="35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</row>
    <row r="421" spans="1:19" ht="15.75">
      <c r="A421" s="35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</row>
    <row r="422" spans="1:19" ht="15.75">
      <c r="A422" s="35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</row>
    <row r="423" spans="1:19" ht="15.75">
      <c r="A423" s="35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</row>
    <row r="424" spans="1:19" ht="15.75">
      <c r="A424" s="35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</row>
    <row r="425" spans="1:19" ht="15.75">
      <c r="A425" s="35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</row>
    <row r="426" spans="1:19" ht="15.75">
      <c r="A426" s="35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</row>
    <row r="427" spans="1:19" ht="15.75">
      <c r="A427" s="35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</row>
    <row r="428" spans="1:19" ht="15.75">
      <c r="A428" s="35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</row>
    <row r="429" spans="1:19" ht="15.75">
      <c r="A429" s="35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</row>
    <row r="430" spans="1:19" ht="15.75">
      <c r="A430" s="35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</row>
    <row r="431" spans="1:19" ht="15.75">
      <c r="A431" s="35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</row>
    <row r="432" spans="1:19" ht="15.75">
      <c r="A432" s="35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</row>
    <row r="433" spans="1:19" ht="15.75">
      <c r="A433" s="35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</row>
    <row r="434" spans="1:19" ht="15.75">
      <c r="A434" s="35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</row>
    <row r="435" spans="1:19" ht="15.75">
      <c r="A435" s="35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</row>
    <row r="436" spans="1:19" ht="15.75">
      <c r="A436" s="35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</row>
    <row r="437" spans="1:19" ht="15.75">
      <c r="A437" s="35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</row>
    <row r="438" spans="1:19" ht="15.75">
      <c r="A438" s="35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</row>
    <row r="439" spans="1:19" ht="15.75">
      <c r="A439" s="35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</row>
    <row r="440" spans="1:19" ht="15.75">
      <c r="A440" s="35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</row>
    <row r="441" spans="1:19" ht="15.75">
      <c r="A441" s="35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</row>
    <row r="442" spans="1:19" ht="15.75">
      <c r="A442" s="35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</row>
    <row r="443" spans="1:19" ht="15.75">
      <c r="A443" s="35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</row>
    <row r="444" spans="1:19" ht="15.75">
      <c r="A444" s="35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</row>
    <row r="445" spans="1:19" ht="15.75">
      <c r="A445" s="35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</row>
    <row r="446" spans="1:19" ht="15.75">
      <c r="A446" s="35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</row>
    <row r="447" spans="1:19" ht="15.75">
      <c r="A447" s="35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</row>
    <row r="448" spans="1:19" ht="15.75">
      <c r="A448" s="35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</row>
    <row r="449" spans="1:19" ht="15.75">
      <c r="A449" s="35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</row>
    <row r="450" spans="1:19" ht="15.75">
      <c r="A450" s="35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</row>
    <row r="451" spans="1:19" ht="15.75">
      <c r="A451" s="35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</row>
    <row r="452" spans="1:19" ht="15.75">
      <c r="A452" s="35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</row>
    <row r="453" spans="1:19" ht="15.75">
      <c r="A453" s="35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</row>
    <row r="454" spans="1:19" ht="15.75">
      <c r="A454" s="35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</row>
    <row r="455" spans="1:19" ht="15.75">
      <c r="A455" s="35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</row>
    <row r="456" spans="1:19" ht="15.75">
      <c r="A456" s="35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</row>
    <row r="457" spans="1:19" ht="15.75">
      <c r="A457" s="35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</row>
    <row r="458" spans="1:19" ht="15.75">
      <c r="A458" s="35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</row>
    <row r="459" spans="1:19" ht="15.75">
      <c r="A459" s="35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</row>
    <row r="460" spans="1:19" ht="15.75">
      <c r="A460" s="35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</row>
    <row r="461" spans="1:19" ht="15.75">
      <c r="A461" s="35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</row>
    <row r="462" spans="1:19" ht="15.75">
      <c r="A462" s="35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</row>
    <row r="463" spans="1:19" ht="15.75">
      <c r="A463" s="35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</row>
    <row r="464" spans="1:19" ht="15.75">
      <c r="A464" s="35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</row>
    <row r="465" spans="1:19" ht="15.75">
      <c r="A465" s="35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</row>
    <row r="466" spans="1:19" ht="15.75">
      <c r="A466" s="35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</row>
    <row r="467" spans="1:19" ht="15.75">
      <c r="A467" s="35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</row>
    <row r="468" spans="1:19" ht="15.75">
      <c r="A468" s="35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</row>
    <row r="469" spans="1:19" ht="15.75">
      <c r="A469" s="35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</row>
    <row r="470" spans="1:19" ht="15.75">
      <c r="A470" s="35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</row>
    <row r="471" spans="1:19" ht="15.75">
      <c r="A471" s="35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</row>
    <row r="472" spans="1:19" ht="15.75">
      <c r="A472" s="35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</row>
    <row r="473" spans="1:19" ht="15.75">
      <c r="A473" s="35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</row>
    <row r="474" spans="1:19" ht="15.75">
      <c r="A474" s="35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</row>
    <row r="475" spans="1:19" ht="15.75">
      <c r="A475" s="35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</row>
    <row r="476" spans="1:19" ht="15.75">
      <c r="A476" s="35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</row>
    <row r="477" spans="1:19" ht="15.75">
      <c r="A477" s="35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</row>
    <row r="478" spans="1:19" ht="15.75">
      <c r="A478" s="35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</row>
    <row r="479" spans="1:19" ht="15.75">
      <c r="A479" s="35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</row>
    <row r="480" spans="1:19" ht="15.75">
      <c r="A480" s="35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</row>
    <row r="481" spans="1:19" ht="15.75">
      <c r="A481" s="35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</row>
    <row r="482" spans="1:19" ht="15.75">
      <c r="A482" s="35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</row>
    <row r="483" spans="1:19" ht="15.75">
      <c r="A483" s="35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</row>
    <row r="484" spans="1:19" ht="15.75">
      <c r="A484" s="35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</row>
    <row r="485" spans="1:19" ht="15.75">
      <c r="A485" s="35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</row>
    <row r="486" spans="1:19" ht="15.75">
      <c r="A486" s="35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</row>
    <row r="487" spans="1:19" ht="15.75">
      <c r="A487" s="35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</row>
    <row r="488" spans="1:19" ht="15.75">
      <c r="A488" s="35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</row>
    <row r="489" spans="1:19" ht="15.75">
      <c r="A489" s="35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</row>
    <row r="490" spans="1:19" ht="15.75">
      <c r="A490" s="35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</row>
    <row r="491" spans="1:19" ht="15.75">
      <c r="A491" s="35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</row>
    <row r="492" spans="1:19" ht="15.75">
      <c r="A492" s="35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</row>
    <row r="493" spans="1:19" ht="15.75">
      <c r="A493" s="35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</row>
    <row r="494" spans="1:19" ht="15.75">
      <c r="A494" s="35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</row>
    <row r="495" spans="1:19" ht="15.75">
      <c r="A495" s="35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</row>
    <row r="496" spans="1:19" ht="15.75">
      <c r="A496" s="35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</row>
    <row r="497" spans="1:19" ht="15.75">
      <c r="A497" s="35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</row>
    <row r="498" spans="1:19" ht="15.75">
      <c r="A498" s="35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</row>
    <row r="499" spans="1:19" ht="15.75">
      <c r="A499" s="35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</row>
    <row r="500" spans="1:19" ht="15.75">
      <c r="A500" s="35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</row>
    <row r="501" spans="1:19" ht="15.75">
      <c r="A501" s="35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</row>
    <row r="502" spans="1:19" ht="15.75">
      <c r="A502" s="35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</row>
    <row r="503" spans="1:19" ht="15.75">
      <c r="A503" s="35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</row>
    <row r="504" spans="1:19" ht="15.75">
      <c r="A504" s="35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</row>
    <row r="505" spans="1:19" ht="15.75">
      <c r="A505" s="35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</row>
    <row r="506" spans="1:19" ht="15.75">
      <c r="A506" s="35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</row>
    <row r="507" spans="1:19" ht="15.75">
      <c r="A507" s="35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</row>
    <row r="508" spans="1:19" ht="15.75">
      <c r="A508" s="35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</row>
    <row r="509" spans="1:19" ht="15.75">
      <c r="A509" s="35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</row>
    <row r="510" spans="1:19" ht="15.75">
      <c r="A510" s="35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</row>
    <row r="511" spans="1:19" ht="15.75">
      <c r="A511" s="35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</row>
    <row r="512" spans="1:19" ht="15.75">
      <c r="A512" s="35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</row>
    <row r="513" spans="1:19" ht="15.75">
      <c r="A513" s="35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</row>
    <row r="514" spans="1:19" ht="15.75">
      <c r="A514" s="35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</row>
    <row r="515" spans="1:19" ht="15.75">
      <c r="A515" s="35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</row>
    <row r="516" spans="1:19" ht="15.75">
      <c r="A516" s="35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</row>
    <row r="517" spans="1:19" ht="15.75">
      <c r="A517" s="35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</row>
    <row r="518" spans="1:19" ht="15.75">
      <c r="A518" s="35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</row>
    <row r="519" spans="1:19" ht="15.75">
      <c r="A519" s="35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</row>
    <row r="520" spans="1:19" ht="15.75">
      <c r="A520" s="35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</row>
    <row r="521" spans="1:19" ht="15.75">
      <c r="A521" s="35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</row>
    <row r="522" spans="1:19" ht="15.75">
      <c r="A522" s="35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</row>
    <row r="523" spans="1:19" ht="15.75">
      <c r="A523" s="35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</row>
    <row r="524" spans="1:19" ht="15.75">
      <c r="A524" s="35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</row>
    <row r="525" spans="1:19" ht="15.75">
      <c r="A525" s="35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</row>
    <row r="526" spans="1:19" ht="15.75">
      <c r="A526" s="35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</row>
    <row r="527" spans="1:19" ht="15.75">
      <c r="A527" s="35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</row>
    <row r="528" spans="1:19" ht="15.75">
      <c r="A528" s="35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</row>
    <row r="529" spans="1:19" ht="15.75">
      <c r="A529" s="35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</row>
    <row r="530" spans="1:19" ht="15.75">
      <c r="A530" s="35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</row>
    <row r="531" spans="1:19" ht="15.75">
      <c r="A531" s="35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</row>
    <row r="532" spans="1:19" ht="15.75">
      <c r="A532" s="35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</row>
    <row r="533" spans="1:19" ht="15.75">
      <c r="A533" s="35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</row>
    <row r="534" spans="1:19" ht="15.75">
      <c r="A534" s="35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</row>
    <row r="535" spans="1:19" ht="15.75">
      <c r="A535" s="35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</row>
    <row r="536" spans="1:19" ht="15.75">
      <c r="A536" s="35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</row>
    <row r="537" spans="1:19" ht="15.75">
      <c r="A537" s="35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</row>
    <row r="538" spans="1:19" ht="15.75">
      <c r="A538" s="35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</row>
    <row r="539" spans="1:19" ht="15.75">
      <c r="A539" s="35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</row>
    <row r="540" spans="1:19" ht="15.75">
      <c r="A540" s="35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</row>
    <row r="541" spans="1:19" ht="15.75">
      <c r="A541" s="35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</row>
    <row r="542" spans="1:19" ht="15.75">
      <c r="A542" s="35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</row>
    <row r="543" spans="1:19" ht="15.75">
      <c r="A543" s="35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</row>
    <row r="544" spans="1:19" ht="15.75">
      <c r="A544" s="35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</row>
    <row r="545" spans="1:19" ht="15.75">
      <c r="A545" s="35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</row>
    <row r="546" spans="1:19" ht="15.75">
      <c r="A546" s="35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</row>
    <row r="547" spans="1:19" ht="15.75">
      <c r="A547" s="35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</row>
    <row r="548" spans="1:19" ht="15.75">
      <c r="A548" s="35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</row>
    <row r="549" spans="1:19" ht="15.75">
      <c r="A549" s="35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</row>
    <row r="550" spans="1:19" ht="15.75">
      <c r="A550" s="35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</row>
    <row r="551" spans="1:19" ht="15.75">
      <c r="A551" s="35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</row>
    <row r="552" spans="1:19" ht="15.75">
      <c r="A552" s="35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</row>
    <row r="553" spans="1:19" ht="15.75">
      <c r="A553" s="35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</row>
    <row r="554" spans="1:19" ht="15.75">
      <c r="A554" s="35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</row>
    <row r="555" spans="1:19" ht="15.75">
      <c r="A555" s="35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</row>
    <row r="556" spans="1:19" ht="15.75">
      <c r="A556" s="35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</row>
    <row r="557" spans="1:19" ht="15.75">
      <c r="A557" s="35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</row>
    <row r="558" spans="1:19" ht="15.75">
      <c r="A558" s="35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</row>
    <row r="559" spans="1:19" ht="15.75">
      <c r="A559" s="35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</row>
    <row r="560" spans="1:19" ht="15.75">
      <c r="A560" s="35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</row>
    <row r="561" spans="1:19" ht="15.75">
      <c r="A561" s="35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</row>
    <row r="562" spans="1:19" ht="15.75">
      <c r="A562" s="35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</row>
    <row r="563" spans="1:19" ht="15.75">
      <c r="A563" s="35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</row>
    <row r="564" spans="1:19" ht="15.75">
      <c r="A564" s="35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</row>
    <row r="565" spans="1:19" ht="15.75">
      <c r="A565" s="35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</row>
    <row r="566" spans="1:19" ht="15.75">
      <c r="A566" s="35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</row>
    <row r="567" spans="1:19" ht="15.75">
      <c r="A567" s="35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</row>
    <row r="568" spans="1:19" ht="15.75">
      <c r="A568" s="35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</row>
    <row r="569" spans="1:19" ht="15.75">
      <c r="A569" s="35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</row>
    <row r="570" spans="1:19" ht="15.75">
      <c r="A570" s="35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</row>
    <row r="571" spans="1:19" ht="15.75">
      <c r="A571" s="35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</row>
    <row r="572" spans="1:19" ht="15.75">
      <c r="A572" s="35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</row>
    <row r="573" spans="1:19" ht="15.75">
      <c r="A573" s="35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</row>
    <row r="574" spans="1:19" ht="15.75">
      <c r="A574" s="35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</row>
    <row r="575" spans="1:19" ht="15.75">
      <c r="A575" s="35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</row>
    <row r="576" spans="1:19" ht="15.75">
      <c r="A576" s="35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</row>
    <row r="577" spans="1:19" ht="15.75">
      <c r="A577" s="35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</row>
    <row r="578" spans="1:19" ht="15.75">
      <c r="A578" s="35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</row>
    <row r="579" spans="1:19" ht="15.75">
      <c r="A579" s="35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</row>
    <row r="580" spans="1:19" ht="15.75">
      <c r="A580" s="35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</row>
    <row r="581" spans="1:19" ht="15.75">
      <c r="A581" s="35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</row>
    <row r="582" spans="1:19" ht="15.75">
      <c r="A582" s="35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</row>
    <row r="583" spans="1:19" ht="15.75">
      <c r="A583" s="35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</row>
    <row r="584" spans="1:19" ht="15.75">
      <c r="A584" s="35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</row>
    <row r="585" spans="1:19" ht="15.75">
      <c r="A585" s="35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</row>
    <row r="586" spans="1:19" ht="15.75">
      <c r="A586" s="35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</row>
    <row r="587" spans="1:19" ht="15.75">
      <c r="A587" s="35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</row>
    <row r="588" spans="1:19" ht="15.75">
      <c r="A588" s="35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</row>
    <row r="589" spans="1:19" ht="15.75">
      <c r="A589" s="35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</row>
    <row r="590" spans="1:19" ht="15.75">
      <c r="A590" s="35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</row>
    <row r="591" spans="1:19" ht="15.75">
      <c r="A591" s="35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</row>
    <row r="592" spans="1:19" ht="15.75">
      <c r="A592" s="35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</row>
    <row r="593" spans="1:19" ht="15.75">
      <c r="A593" s="35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</row>
    <row r="594" spans="1:19" ht="15.75">
      <c r="A594" s="35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</row>
    <row r="595" spans="1:19" ht="15.75">
      <c r="A595" s="35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</row>
    <row r="596" spans="1:19" ht="15.75">
      <c r="A596" s="35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</row>
    <row r="597" spans="1:19" ht="15.75">
      <c r="A597" s="35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</row>
    <row r="598" spans="1:19" ht="15.75">
      <c r="A598" s="35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</row>
    <row r="599" spans="1:19" ht="15.75">
      <c r="A599" s="35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</row>
    <row r="600" spans="1:19" ht="15.75">
      <c r="A600" s="35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</row>
    <row r="601" spans="1:19" ht="15.75">
      <c r="A601" s="35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</row>
    <row r="602" spans="1:19" ht="15.75">
      <c r="A602" s="35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</row>
    <row r="603" spans="1:19" ht="15.75">
      <c r="A603" s="35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</row>
    <row r="604" spans="1:19" ht="15.75">
      <c r="A604" s="35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</row>
    <row r="605" spans="1:19" ht="15.75">
      <c r="A605" s="35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</row>
    <row r="606" spans="1:19" ht="15.75">
      <c r="A606" s="35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</row>
    <row r="607" spans="1:19" ht="15.75">
      <c r="A607" s="35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</row>
    <row r="608" spans="1:19" ht="15.75">
      <c r="A608" s="35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</row>
    <row r="609" spans="1:19" ht="15.75">
      <c r="A609" s="35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</row>
    <row r="610" spans="1:19" ht="15.75">
      <c r="A610" s="35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</row>
    <row r="611" spans="1:19" ht="15.75">
      <c r="A611" s="35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</row>
    <row r="612" spans="1:19" ht="15.75">
      <c r="A612" s="35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</row>
    <row r="613" spans="1:19" ht="15.75">
      <c r="A613" s="35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</row>
    <row r="614" spans="1:19" ht="15.75">
      <c r="A614" s="35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</row>
    <row r="615" spans="1:19" ht="15.75">
      <c r="A615" s="35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</row>
    <row r="616" spans="1:19" ht="15.75">
      <c r="A616" s="35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</row>
    <row r="617" spans="1:19" ht="15.75">
      <c r="A617" s="35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</row>
    <row r="618" spans="1:19" ht="15.75">
      <c r="A618" s="35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</row>
    <row r="619" spans="1:19" ht="15.75">
      <c r="A619" s="35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</row>
    <row r="620" spans="1:19" ht="15.75">
      <c r="A620" s="35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</row>
    <row r="621" spans="1:19" ht="15.75">
      <c r="A621" s="35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</row>
    <row r="622" spans="1:19" ht="15.75">
      <c r="A622" s="35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</row>
    <row r="623" spans="1:19" ht="15.75">
      <c r="A623" s="35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</row>
    <row r="624" spans="1:19" ht="15.75">
      <c r="A624" s="35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</row>
    <row r="625" spans="1:19" ht="15.75">
      <c r="A625" s="35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</row>
    <row r="626" spans="1:19" ht="15.75">
      <c r="A626" s="35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</row>
    <row r="627" spans="1:19" ht="15.75">
      <c r="A627" s="35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</row>
    <row r="628" spans="1:19" ht="15.75">
      <c r="A628" s="35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</row>
    <row r="629" spans="1:19" ht="15.75">
      <c r="A629" s="35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</row>
    <row r="630" spans="1:19" ht="15.75">
      <c r="A630" s="35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</row>
    <row r="631" spans="1:19" ht="15.75">
      <c r="A631" s="35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</row>
    <row r="632" spans="1:19" ht="15.75">
      <c r="A632" s="35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</row>
    <row r="633" spans="1:19" ht="15.75">
      <c r="A633" s="35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</row>
    <row r="634" spans="1:19" ht="15.75">
      <c r="A634" s="35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</row>
    <row r="635" spans="1:19" ht="15.75">
      <c r="A635" s="35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</row>
    <row r="636" spans="1:19" ht="15.75">
      <c r="A636" s="35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</row>
    <row r="637" spans="1:19" ht="15.75">
      <c r="A637" s="35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</row>
    <row r="638" spans="1:19" ht="15.75">
      <c r="A638" s="35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</row>
    <row r="639" spans="1:19" ht="15.75">
      <c r="A639" s="35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</row>
    <row r="640" spans="1:19" ht="15.75">
      <c r="A640" s="35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</row>
    <row r="641" spans="1:19" ht="15.75">
      <c r="A641" s="35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</row>
    <row r="642" spans="1:19" ht="15.75">
      <c r="A642" s="35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</row>
    <row r="643" spans="1:19" ht="15.75">
      <c r="A643" s="35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</row>
    <row r="644" spans="1:19" ht="15.75">
      <c r="A644" s="35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</row>
    <row r="645" spans="1:19" ht="15.75">
      <c r="A645" s="35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</row>
    <row r="646" spans="1:19" ht="15.75">
      <c r="A646" s="35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</row>
    <row r="647" spans="1:19" ht="15.75">
      <c r="A647" s="35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</row>
    <row r="648" spans="1:19" ht="15.75">
      <c r="A648" s="35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</row>
    <row r="649" spans="1:19" ht="15.75">
      <c r="A649" s="35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</row>
    <row r="650" spans="1:19" ht="15.75">
      <c r="A650" s="35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</row>
    <row r="651" spans="1:19" ht="15.75">
      <c r="A651" s="35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</row>
    <row r="652" spans="1:19" ht="15.75">
      <c r="A652" s="35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</row>
    <row r="653" spans="1:19" ht="15.75">
      <c r="A653" s="35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</row>
    <row r="654" spans="1:19" ht="15.75">
      <c r="A654" s="35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</row>
    <row r="655" spans="1:19" ht="15.75">
      <c r="A655" s="35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</row>
    <row r="656" spans="1:19" ht="15.75">
      <c r="A656" s="35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</row>
    <row r="657" spans="1:19" ht="15.75">
      <c r="A657" s="35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</row>
    <row r="658" spans="1:19" ht="15.75">
      <c r="A658" s="35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</row>
    <row r="659" spans="1:19" ht="15.75">
      <c r="A659" s="35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</row>
    <row r="660" spans="1:19" ht="15.75">
      <c r="A660" s="35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</row>
    <row r="661" spans="1:19" ht="15.75">
      <c r="A661" s="35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</row>
    <row r="662" spans="1:19" ht="15.75">
      <c r="A662" s="35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</row>
    <row r="663" spans="1:19" ht="15.75">
      <c r="A663" s="35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</row>
    <row r="664" spans="1:19" ht="15.75">
      <c r="A664" s="35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</row>
    <row r="665" spans="1:19" ht="15.75">
      <c r="A665" s="35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</row>
    <row r="666" spans="1:19" ht="15.75">
      <c r="A666" s="35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</row>
    <row r="667" spans="1:19" ht="15.75">
      <c r="A667" s="35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</row>
    <row r="668" spans="1:19" ht="15.75">
      <c r="A668" s="35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</row>
    <row r="669" spans="1:19" ht="15.75">
      <c r="A669" s="35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</row>
    <row r="670" spans="1:19" ht="15.75">
      <c r="A670" s="35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</row>
    <row r="671" spans="1:19" ht="15.75">
      <c r="A671" s="35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</row>
    <row r="672" spans="1:19" ht="15.75">
      <c r="A672" s="35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</row>
    <row r="673" spans="1:19" ht="15.75">
      <c r="A673" s="35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</row>
    <row r="674" spans="1:19" ht="15.75">
      <c r="A674" s="35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</row>
    <row r="675" spans="1:19" ht="15.75">
      <c r="A675" s="35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</row>
    <row r="676" spans="1:19" ht="15.75">
      <c r="A676" s="35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</row>
    <row r="677" spans="1:19" ht="15.75">
      <c r="A677" s="35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</row>
    <row r="678" spans="1:19" ht="15.75">
      <c r="A678" s="35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</row>
    <row r="679" spans="1:19" ht="15.75">
      <c r="A679" s="35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</row>
    <row r="680" spans="1:19" ht="15.75">
      <c r="A680" s="35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</row>
    <row r="681" spans="1:19" ht="15.75">
      <c r="A681" s="35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</row>
    <row r="682" spans="1:19" ht="15.75">
      <c r="A682" s="35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</row>
    <row r="683" spans="1:19" ht="15.75">
      <c r="A683" s="35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</row>
    <row r="684" spans="1:19" ht="15.75">
      <c r="A684" s="35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</row>
    <row r="685" spans="1:19" ht="15.75">
      <c r="A685" s="35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</row>
    <row r="686" spans="1:19" ht="15.75">
      <c r="A686" s="35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</row>
    <row r="687" spans="1:19" ht="15.75">
      <c r="A687" s="35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</row>
    <row r="688" spans="1:19" ht="15.75">
      <c r="A688" s="35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</row>
    <row r="689" spans="1:19" ht="15.75">
      <c r="A689" s="35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</row>
    <row r="690" spans="1:19" ht="15.75">
      <c r="A690" s="35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</row>
    <row r="691" spans="1:19" ht="15.75">
      <c r="A691" s="35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</row>
    <row r="692" spans="1:19" ht="15.75">
      <c r="A692" s="35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</row>
    <row r="693" spans="1:19" ht="15.75">
      <c r="A693" s="35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</row>
    <row r="694" spans="1:19" ht="15.75">
      <c r="A694" s="35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</row>
    <row r="695" spans="1:19" ht="15.75">
      <c r="A695" s="35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</row>
    <row r="696" spans="1:19" ht="15.75">
      <c r="A696" s="35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</row>
    <row r="697" spans="1:19" ht="15.75">
      <c r="A697" s="35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</row>
    <row r="698" spans="1:19" ht="15.75">
      <c r="A698" s="35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</row>
    <row r="699" spans="1:19" ht="15.75">
      <c r="A699" s="35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</row>
    <row r="700" spans="1:19" ht="15.75">
      <c r="A700" s="35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</row>
    <row r="701" spans="1:19" ht="15.75">
      <c r="A701" s="35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</row>
    <row r="702" spans="1:19" ht="15.75">
      <c r="A702" s="35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</row>
    <row r="703" spans="1:19" ht="15.75">
      <c r="A703" s="35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</row>
    <row r="704" spans="1:19" ht="15.75">
      <c r="A704" s="35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</row>
    <row r="705" spans="1:19" ht="15.75">
      <c r="A705" s="35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</row>
    <row r="706" spans="1:19" ht="15.75">
      <c r="A706" s="35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</row>
    <row r="707" spans="1:19" ht="15.75">
      <c r="A707" s="35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</row>
    <row r="708" spans="1:19" ht="15.75">
      <c r="A708" s="35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</row>
    <row r="709" spans="1:19" ht="15.75">
      <c r="A709" s="35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</row>
    <row r="710" spans="1:19" ht="15.75">
      <c r="A710" s="35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</row>
    <row r="711" spans="1:19" ht="15.75">
      <c r="A711" s="35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</row>
    <row r="712" spans="1:19" ht="15.75">
      <c r="A712" s="35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</row>
    <row r="713" spans="1:19" ht="15.75">
      <c r="A713" s="35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</row>
    <row r="714" spans="1:19" ht="15.75">
      <c r="A714" s="35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</row>
    <row r="715" spans="1:19" ht="15.75">
      <c r="A715" s="35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</row>
    <row r="716" spans="1:19" ht="15.75">
      <c r="A716" s="35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</row>
    <row r="717" spans="1:19" ht="15.75">
      <c r="A717" s="35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</row>
    <row r="718" spans="1:19" ht="15.75">
      <c r="A718" s="35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</row>
    <row r="719" spans="1:19" ht="15.75">
      <c r="A719" s="35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</row>
    <row r="720" spans="1:19" ht="15.75">
      <c r="A720" s="35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</row>
    <row r="721" spans="1:19" ht="15.75">
      <c r="A721" s="35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</row>
    <row r="722" spans="1:19" ht="15.75">
      <c r="A722" s="35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</row>
    <row r="723" spans="1:19" ht="15.75">
      <c r="A723" s="35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</row>
    <row r="724" spans="1:19" ht="15.75">
      <c r="A724" s="35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</row>
    <row r="725" spans="1:19" ht="15.75">
      <c r="A725" s="35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</row>
    <row r="726" spans="1:19" ht="15.75">
      <c r="A726" s="35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</row>
    <row r="727" spans="1:19" ht="15.75">
      <c r="A727" s="35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</row>
    <row r="728" spans="1:19" ht="15.75">
      <c r="A728" s="35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</row>
    <row r="729" spans="1:19" ht="15.75">
      <c r="A729" s="35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</row>
    <row r="730" spans="1:19" ht="15.75">
      <c r="A730" s="35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</row>
    <row r="731" spans="1:19" ht="15.75">
      <c r="A731" s="35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</row>
    <row r="732" spans="1:19" ht="15.75">
      <c r="A732" s="35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</row>
    <row r="733" spans="1:19" ht="15.75">
      <c r="A733" s="35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</row>
    <row r="734" spans="1:19" ht="15.75">
      <c r="A734" s="35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</row>
    <row r="735" spans="1:19" ht="15.75">
      <c r="A735" s="35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</row>
    <row r="736" spans="1:19" ht="15.75">
      <c r="A736" s="35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</row>
    <row r="737" spans="1:19" ht="15.75">
      <c r="A737" s="35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</row>
    <row r="738" spans="1:19" ht="15.75">
      <c r="A738" s="35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</row>
    <row r="739" spans="1:19" ht="15.75">
      <c r="A739" s="35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</row>
    <row r="740" spans="1:19" ht="15.75">
      <c r="A740" s="35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</row>
    <row r="741" spans="1:19" ht="15.75">
      <c r="A741" s="35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</row>
    <row r="742" spans="1:19" ht="15.75">
      <c r="A742" s="35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</row>
    <row r="743" spans="1:19" ht="15.75">
      <c r="A743" s="35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</row>
    <row r="744" spans="1:19" ht="15.75">
      <c r="A744" s="35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</row>
    <row r="745" spans="1:19" ht="15.75">
      <c r="A745" s="35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</row>
    <row r="746" spans="1:19" ht="15.75">
      <c r="A746" s="35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</row>
    <row r="747" spans="1:19" ht="15.75">
      <c r="A747" s="35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</row>
    <row r="748" spans="1:19" ht="15.75">
      <c r="A748" s="35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</row>
    <row r="749" spans="1:19" ht="15.75">
      <c r="A749" s="35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</row>
    <row r="750" spans="1:19" ht="15.75">
      <c r="A750" s="35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</row>
    <row r="751" spans="1:19" ht="15.75">
      <c r="A751" s="35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</row>
    <row r="752" spans="1:19" ht="15.75">
      <c r="A752" s="35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</row>
    <row r="753" spans="1:19" ht="15.75">
      <c r="A753" s="35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</row>
    <row r="754" spans="1:19" ht="15.75">
      <c r="A754" s="35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</row>
    <row r="755" spans="1:19" ht="15.75">
      <c r="A755" s="35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</row>
    <row r="756" spans="1:19" ht="15.75">
      <c r="A756" s="35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</row>
    <row r="757" spans="1:19" ht="15.75">
      <c r="A757" s="35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</row>
    <row r="758" spans="1:19" ht="15.75">
      <c r="A758" s="35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</row>
    <row r="759" spans="1:19" ht="15.75">
      <c r="A759" s="35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</row>
    <row r="760" spans="1:19" ht="15.75">
      <c r="A760" s="35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</row>
    <row r="761" spans="1:19" ht="15.75">
      <c r="A761" s="35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</row>
    <row r="762" spans="1:19" ht="15.75">
      <c r="A762" s="35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</row>
    <row r="763" spans="1:19" ht="15.75">
      <c r="A763" s="35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</row>
    <row r="764" spans="1:19" ht="15.75">
      <c r="A764" s="35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</row>
    <row r="765" spans="1:19" ht="15.75">
      <c r="A765" s="35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</row>
    <row r="766" spans="1:19" ht="15.75">
      <c r="A766" s="35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</row>
    <row r="767" spans="1:19" ht="15.75">
      <c r="A767" s="35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</row>
    <row r="768" spans="1:19" ht="15.75">
      <c r="A768" s="35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</row>
    <row r="769" spans="1:19" ht="15.75">
      <c r="A769" s="35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</row>
    <row r="770" spans="1:19" ht="15.75">
      <c r="A770" s="35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</row>
    <row r="771" spans="1:19" ht="15.75">
      <c r="A771" s="35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</row>
    <row r="772" spans="1:19" ht="15.75">
      <c r="A772" s="35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</row>
    <row r="773" spans="1:19" ht="15.75">
      <c r="A773" s="35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</row>
    <row r="774" spans="1:19" ht="15.75">
      <c r="A774" s="35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</row>
    <row r="775" spans="1:19" ht="15.75">
      <c r="A775" s="35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</row>
    <row r="776" spans="1:19" ht="15.75">
      <c r="A776" s="35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</row>
    <row r="777" spans="1:19" ht="15.75">
      <c r="A777" s="35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</row>
    <row r="778" spans="1:19" ht="15.75">
      <c r="A778" s="35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</row>
    <row r="779" spans="1:19" ht="15.75">
      <c r="A779" s="35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</row>
    <row r="780" spans="1:19" ht="15.75">
      <c r="A780" s="35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</row>
    <row r="781" spans="1:19" ht="15.75">
      <c r="A781" s="35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</row>
    <row r="782" spans="1:19" ht="15.75">
      <c r="A782" s="35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</row>
    <row r="783" spans="1:19" ht="15.75">
      <c r="A783" s="35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</row>
    <row r="784" spans="1:19" ht="15.75">
      <c r="A784" s="35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</row>
    <row r="785" spans="1:19" ht="15.75">
      <c r="A785" s="35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</row>
    <row r="786" spans="1:19" ht="15.75">
      <c r="A786" s="35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</row>
    <row r="787" spans="1:19" ht="15.75">
      <c r="A787" s="35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</row>
    <row r="788" spans="1:19" ht="15.75">
      <c r="A788" s="35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</row>
    <row r="789" spans="1:19" ht="15.75">
      <c r="A789" s="35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</row>
    <row r="790" spans="1:19" ht="15.75">
      <c r="A790" s="35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</row>
    <row r="791" spans="1:19" ht="15.75">
      <c r="A791" s="35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</row>
    <row r="792" spans="1:19" ht="15.75">
      <c r="A792" s="35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</row>
    <row r="793" spans="1:19" ht="15.75">
      <c r="A793" s="35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</row>
    <row r="794" spans="1:19" ht="15.75">
      <c r="A794" s="35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</row>
    <row r="795" spans="1:19" ht="15.75">
      <c r="A795" s="35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</row>
    <row r="796" spans="1:19" ht="15.75">
      <c r="A796" s="35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</row>
    <row r="797" spans="1:19" ht="15.75">
      <c r="A797" s="35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</row>
    <row r="798" spans="1:19" ht="15.75">
      <c r="A798" s="35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</row>
    <row r="799" spans="1:19" ht="15.75">
      <c r="A799" s="35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</row>
    <row r="800" spans="1:19" ht="15.75">
      <c r="A800" s="35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</row>
    <row r="801" spans="1:19" ht="15.75">
      <c r="A801" s="35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</row>
    <row r="802" spans="1:19" ht="15.75">
      <c r="A802" s="35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</row>
    <row r="803" spans="1:19" ht="15.75">
      <c r="A803" s="35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</row>
    <row r="804" spans="1:19" ht="15.75">
      <c r="A804" s="35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</row>
    <row r="805" spans="1:19" ht="15.75">
      <c r="A805" s="35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</row>
    <row r="806" spans="1:19" ht="15.75">
      <c r="A806" s="35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</row>
    <row r="807" spans="1:19" ht="15.75">
      <c r="A807" s="35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</row>
    <row r="808" spans="1:19" ht="15.75">
      <c r="A808" s="35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</row>
    <row r="809" spans="1:19" ht="15.75">
      <c r="A809" s="35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</row>
    <row r="810" spans="1:19" ht="15.75">
      <c r="A810" s="35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</row>
    <row r="811" spans="1:19" ht="15.75">
      <c r="A811" s="35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</row>
    <row r="812" spans="1:19" ht="15.75">
      <c r="A812" s="35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</row>
    <row r="813" spans="1:19" ht="15.75">
      <c r="A813" s="35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</row>
    <row r="814" spans="1:19" ht="15.75">
      <c r="A814" s="35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</row>
    <row r="815" spans="1:19" ht="15.75">
      <c r="A815" s="35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</row>
    <row r="816" spans="1:19" ht="15.75">
      <c r="A816" s="35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</row>
    <row r="817" spans="1:19" ht="15.75">
      <c r="A817" s="35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</row>
    <row r="818" spans="1:19" ht="15.75">
      <c r="A818" s="35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</row>
    <row r="819" spans="1:19" ht="15.75">
      <c r="A819" s="35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</row>
    <row r="820" spans="1:19" ht="15.75">
      <c r="A820" s="35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</row>
    <row r="821" spans="1:19" ht="15.75">
      <c r="A821" s="35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</row>
    <row r="822" spans="1:19" ht="15.75">
      <c r="A822" s="35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</row>
    <row r="823" spans="1:19" ht="15.75">
      <c r="A823" s="35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</row>
    <row r="824" spans="1:19" ht="15.75">
      <c r="A824" s="35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</row>
    <row r="825" spans="1:19" ht="15.75">
      <c r="A825" s="35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</row>
    <row r="826" spans="1:19" ht="15.75">
      <c r="A826" s="35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</row>
    <row r="827" spans="1:19" ht="15.75">
      <c r="A827" s="35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</row>
    <row r="828" spans="1:19" ht="15.75">
      <c r="A828" s="35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</row>
    <row r="829" spans="1:19" ht="15.75">
      <c r="A829" s="35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</row>
    <row r="830" spans="1:19" ht="15.75">
      <c r="A830" s="35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</row>
    <row r="831" spans="1:19" ht="15.75">
      <c r="A831" s="35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</row>
    <row r="832" spans="1:19" ht="15.75">
      <c r="A832" s="35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</row>
    <row r="833" spans="1:19" ht="15.75">
      <c r="A833" s="35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</row>
    <row r="834" spans="1:19" ht="15.75">
      <c r="A834" s="35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</row>
    <row r="835" spans="1:19" ht="15.75">
      <c r="A835" s="35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</row>
    <row r="836" spans="1:19" ht="15.75">
      <c r="A836" s="35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</row>
    <row r="837" spans="1:19" ht="15.75">
      <c r="A837" s="35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</row>
    <row r="838" spans="1:19" ht="15.75">
      <c r="A838" s="35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</row>
    <row r="839" spans="1:19" ht="15.75">
      <c r="A839" s="35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</row>
    <row r="840" spans="1:19" ht="15.75">
      <c r="A840" s="35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</row>
    <row r="841" spans="1:19" ht="15.75">
      <c r="A841" s="35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</row>
    <row r="842" spans="1:19" ht="15.75">
      <c r="A842" s="35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</row>
    <row r="843" spans="1:19" ht="15.75">
      <c r="A843" s="35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</row>
    <row r="844" spans="1:19" ht="15.75">
      <c r="A844" s="35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</row>
    <row r="845" spans="1:19" ht="15.75">
      <c r="A845" s="35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</row>
    <row r="846" spans="1:19" ht="15.75">
      <c r="A846" s="35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</row>
    <row r="847" spans="1:19" ht="15.75">
      <c r="A847" s="35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</row>
    <row r="848" spans="1:19" ht="15.75">
      <c r="A848" s="35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</row>
    <row r="849" spans="1:19" ht="15.75">
      <c r="A849" s="35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</row>
    <row r="850" spans="1:19" ht="15.75">
      <c r="A850" s="35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</row>
    <row r="851" spans="1:19" ht="15.75">
      <c r="A851" s="35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</row>
    <row r="852" spans="1:19" ht="15.75">
      <c r="A852" s="35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</row>
    <row r="853" spans="1:19" ht="15.75">
      <c r="A853" s="35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</row>
    <row r="854" spans="1:19" ht="15.75">
      <c r="A854" s="35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</row>
    <row r="855" spans="1:19" ht="15.75">
      <c r="A855" s="35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</row>
    <row r="856" spans="1:19" ht="15.75">
      <c r="A856" s="35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</row>
    <row r="857" spans="1:19" ht="15.75">
      <c r="A857" s="35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</row>
    <row r="858" spans="1:19" ht="15.75">
      <c r="A858" s="35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</row>
    <row r="859" spans="1:19" ht="15.75">
      <c r="A859" s="35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</row>
    <row r="860" spans="1:19" ht="15.75">
      <c r="A860" s="35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</row>
    <row r="861" spans="1:19" ht="15.75">
      <c r="A861" s="35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</row>
    <row r="862" spans="1:19" ht="15.75">
      <c r="A862" s="35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</row>
    <row r="863" spans="1:19" ht="15.75">
      <c r="A863" s="35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</row>
    <row r="864" spans="1:19" ht="15.75">
      <c r="A864" s="35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</row>
    <row r="865" spans="1:19" ht="15.75">
      <c r="A865" s="35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</row>
    <row r="866" spans="1:19" ht="15.75">
      <c r="A866" s="35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</row>
    <row r="867" spans="1:19" ht="15.75">
      <c r="A867" s="35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</row>
    <row r="868" spans="1:19" ht="15.75">
      <c r="A868" s="35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</row>
    <row r="869" spans="1:19" ht="15.75">
      <c r="A869" s="35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</row>
    <row r="870" spans="1:19" ht="15.75">
      <c r="A870" s="35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</row>
    <row r="871" spans="1:19" ht="15.75">
      <c r="A871" s="35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</row>
    <row r="872" spans="1:19" ht="15.75">
      <c r="A872" s="35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</row>
    <row r="873" spans="1:19" ht="15.75">
      <c r="A873" s="35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</row>
    <row r="874" spans="1:19" ht="15.75">
      <c r="A874" s="35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</row>
    <row r="875" spans="1:19" ht="15.75">
      <c r="A875" s="35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</row>
    <row r="876" spans="1:19" ht="15.75">
      <c r="A876" s="35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</row>
    <row r="877" spans="1:19" ht="15.75">
      <c r="A877" s="35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</row>
    <row r="878" spans="1:19" ht="15.75">
      <c r="A878" s="35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</row>
    <row r="879" spans="1:19" ht="15.75">
      <c r="A879" s="35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</row>
    <row r="880" spans="1:19" ht="15.75">
      <c r="A880" s="35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</row>
    <row r="881" spans="1:19" ht="15.75">
      <c r="A881" s="35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</row>
    <row r="882" spans="1:19" ht="15.75">
      <c r="A882" s="35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</row>
    <row r="883" spans="1:19" ht="15.75">
      <c r="A883" s="35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</row>
    <row r="884" spans="1:19" ht="15.75">
      <c r="A884" s="35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</row>
    <row r="885" spans="1:19" ht="15.75">
      <c r="A885" s="35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</row>
    <row r="886" spans="1:19" ht="15.75">
      <c r="A886" s="35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</row>
    <row r="887" spans="1:19" ht="15.75">
      <c r="A887" s="35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</row>
    <row r="888" spans="1:19" ht="15.75">
      <c r="A888" s="35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</row>
    <row r="889" spans="1:19" ht="15.75">
      <c r="A889" s="35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</row>
    <row r="890" spans="1:19" ht="15.75">
      <c r="A890" s="35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</row>
    <row r="891" spans="1:19" ht="15.75">
      <c r="A891" s="35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</row>
    <row r="892" spans="1:19" ht="15.75">
      <c r="A892" s="35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</row>
    <row r="893" spans="1:19" ht="15.75">
      <c r="A893" s="35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</row>
    <row r="894" spans="1:19" ht="15.75">
      <c r="A894" s="35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</row>
    <row r="895" spans="1:19" ht="15.75">
      <c r="A895" s="35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</row>
    <row r="896" spans="1:19" ht="15.75">
      <c r="A896" s="35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</row>
    <row r="897" spans="1:19" ht="15.75">
      <c r="A897" s="35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</row>
    <row r="898" spans="1:19" ht="15.75">
      <c r="A898" s="35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</row>
    <row r="899" spans="1:19" ht="15.75">
      <c r="A899" s="35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</row>
    <row r="900" spans="1:19" ht="15.75">
      <c r="A900" s="35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</row>
    <row r="901" spans="1:19" ht="15.75">
      <c r="A901" s="35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</row>
    <row r="902" spans="1:19" ht="15.75">
      <c r="A902" s="35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</row>
    <row r="903" spans="1:19" ht="15.75">
      <c r="A903" s="35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</row>
    <row r="904" spans="1:19" ht="15.75">
      <c r="A904" s="35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</row>
    <row r="905" spans="1:19" ht="15.75">
      <c r="A905" s="35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</row>
    <row r="906" spans="1:19" ht="15.75">
      <c r="A906" s="35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</row>
    <row r="907" spans="1:19" ht="15.75">
      <c r="A907" s="35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</row>
    <row r="908" spans="1:19" ht="15.75">
      <c r="A908" s="35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</row>
    <row r="909" spans="1:19" ht="15.75">
      <c r="A909" s="35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</row>
    <row r="910" spans="1:19" ht="15.75">
      <c r="A910" s="35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</row>
    <row r="911" spans="1:19" ht="15.75">
      <c r="A911" s="35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</row>
    <row r="912" spans="1:19" ht="15.75">
      <c r="A912" s="35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</row>
    <row r="913" spans="1:19" ht="15.75">
      <c r="A913" s="35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</row>
    <row r="914" spans="1:19" ht="15.75">
      <c r="A914" s="35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</row>
    <row r="915" spans="1:19" ht="15.75">
      <c r="A915" s="35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</row>
    <row r="916" spans="1:19" ht="15.75">
      <c r="A916" s="35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</row>
    <row r="917" spans="1:19" ht="15.75">
      <c r="A917" s="35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</row>
    <row r="918" spans="1:19" ht="15.75">
      <c r="A918" s="35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</row>
    <row r="919" spans="1:19" ht="15.75">
      <c r="A919" s="35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</row>
    <row r="920" spans="1:19" ht="15.75">
      <c r="A920" s="35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</row>
    <row r="921" spans="1:19" ht="15.75">
      <c r="A921" s="35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</row>
    <row r="922" spans="1:19" ht="15.75">
      <c r="A922" s="35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</row>
    <row r="923" spans="1:19" ht="15.75">
      <c r="A923" s="35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</row>
    <row r="924" spans="1:19" ht="15.75">
      <c r="A924" s="35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</row>
    <row r="925" spans="1:19" ht="15.75">
      <c r="A925" s="35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</row>
    <row r="926" spans="1:19" ht="15.75">
      <c r="A926" s="35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</row>
    <row r="927" spans="1:19" ht="15.75">
      <c r="A927" s="35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</row>
    <row r="928" spans="1:19" ht="15.75">
      <c r="A928" s="35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</row>
    <row r="929" spans="1:19" ht="15.75">
      <c r="A929" s="35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</row>
    <row r="930" spans="1:19" ht="15.75">
      <c r="A930" s="35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</row>
    <row r="931" spans="1:19" ht="15.75">
      <c r="A931" s="35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</row>
    <row r="932" spans="1:19" ht="15.75">
      <c r="A932" s="35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</row>
    <row r="933" spans="1:19" ht="15.75">
      <c r="A933" s="35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</row>
    <row r="934" spans="1:19" ht="15.75">
      <c r="A934" s="35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</row>
    <row r="935" spans="1:19" ht="15.75">
      <c r="A935" s="35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</row>
    <row r="936" spans="1:19" ht="15.75">
      <c r="A936" s="35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</row>
    <row r="937" spans="1:19" ht="15.75">
      <c r="A937" s="35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</row>
    <row r="938" spans="1:19" ht="15.75">
      <c r="A938" s="35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</row>
    <row r="939" spans="1:19" ht="15.75">
      <c r="A939" s="35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</row>
    <row r="940" spans="1:19" ht="15.75">
      <c r="A940" s="35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</row>
    <row r="941" spans="1:19" ht="15.75">
      <c r="A941" s="35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</row>
    <row r="942" spans="1:19" ht="15.75">
      <c r="A942" s="35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</row>
    <row r="943" spans="1:19" ht="15.75">
      <c r="A943" s="35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</row>
    <row r="944" spans="1:19" ht="15.75">
      <c r="A944" s="35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</row>
    <row r="945" spans="1:19" ht="15.75">
      <c r="A945" s="35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</row>
    <row r="946" spans="1:19" ht="15.75">
      <c r="A946" s="35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</row>
    <row r="947" spans="1:19" ht="15.75">
      <c r="A947" s="35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</row>
    <row r="948" spans="1:19" ht="15.75">
      <c r="A948" s="35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</row>
    <row r="949" spans="1:19" ht="15.75">
      <c r="A949" s="35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</row>
    <row r="950" spans="1:19" ht="15.75">
      <c r="A950" s="35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</row>
    <row r="951" spans="1:19" ht="15.75">
      <c r="A951" s="35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</row>
    <row r="952" spans="1:19" ht="15.75">
      <c r="A952" s="35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</row>
    <row r="953" spans="1:19" ht="15.75">
      <c r="A953" s="35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</row>
    <row r="954" spans="1:19" ht="15.75">
      <c r="A954" s="35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</row>
    <row r="955" spans="1:19" ht="15.75">
      <c r="A955" s="35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</row>
    <row r="956" spans="1:19" ht="15.75">
      <c r="A956" s="35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</row>
    <row r="957" spans="1:19" ht="15.75">
      <c r="A957" s="35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</row>
    <row r="958" spans="1:19" ht="15.75">
      <c r="A958" s="35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</row>
    <row r="959" spans="1:19" ht="15.75">
      <c r="A959" s="35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</row>
    <row r="960" spans="1:19" ht="15.75">
      <c r="A960" s="35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</row>
    <row r="961" spans="1:19" ht="15.75">
      <c r="A961" s="35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</row>
    <row r="962" spans="1:19" ht="15.75">
      <c r="A962" s="35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</row>
    <row r="963" spans="1:19" ht="15.75">
      <c r="A963" s="35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</row>
    <row r="964" spans="1:19" ht="15.75">
      <c r="A964" s="35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</row>
    <row r="965" spans="1:19" ht="15.75">
      <c r="A965" s="35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</row>
    <row r="966" spans="1:19" ht="15.75">
      <c r="A966" s="35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</row>
    <row r="967" spans="1:19" ht="15.75">
      <c r="A967" s="35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</row>
    <row r="968" spans="1:19" ht="15.75">
      <c r="A968" s="35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</row>
    <row r="969" spans="1:19" ht="15.75">
      <c r="A969" s="35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</row>
    <row r="970" spans="1:19" ht="15.75">
      <c r="A970" s="35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</row>
    <row r="971" spans="1:19" ht="15.75">
      <c r="A971" s="35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</row>
    <row r="972" spans="1:19" ht="15.75">
      <c r="A972" s="35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</row>
    <row r="973" spans="1:19" ht="15.75">
      <c r="A973" s="35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</row>
    <row r="974" spans="1:19" ht="15.75">
      <c r="A974" s="35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</row>
    <row r="975" spans="1:19" ht="15.75">
      <c r="A975" s="35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</row>
    <row r="976" spans="1:19" ht="15.75">
      <c r="A976" s="35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</row>
    <row r="977" spans="1:19" ht="15.75">
      <c r="A977" s="35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</row>
    <row r="978" spans="1:19" ht="15.75">
      <c r="A978" s="35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</row>
    <row r="979" spans="1:19" ht="15.75">
      <c r="A979" s="35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</row>
    <row r="980" spans="1:19" ht="15.75">
      <c r="A980" s="35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</row>
    <row r="981" spans="1:19" ht="15.75">
      <c r="A981" s="35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</row>
    <row r="982" spans="1:19" ht="15.75">
      <c r="A982" s="35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</row>
    <row r="983" spans="1:19" ht="15.75">
      <c r="A983" s="35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</row>
    <row r="984" spans="1:19" ht="15.75">
      <c r="A984" s="35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</row>
    <row r="985" spans="1:19" ht="15.75">
      <c r="A985" s="35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</row>
    <row r="986" spans="1:19" ht="15.75">
      <c r="A986" s="35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</row>
    <row r="987" spans="1:19" ht="15.75">
      <c r="A987" s="35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</row>
    <row r="988" spans="1:19" ht="15.75">
      <c r="A988" s="35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</row>
    <row r="989" spans="1:19" ht="15.75">
      <c r="A989" s="35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</row>
    <row r="990" spans="1:19" ht="15.75">
      <c r="A990" s="35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</row>
    <row r="991" spans="1:19" ht="15.75">
      <c r="A991" s="35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</row>
    <row r="992" spans="1:19" ht="15.75">
      <c r="A992" s="35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</row>
    <row r="993" spans="1:19" ht="15.75">
      <c r="A993" s="35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</row>
    <row r="994" spans="1:19" ht="15.75">
      <c r="A994" s="35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</row>
    <row r="995" spans="1:19" ht="15.75">
      <c r="A995" s="35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</row>
    <row r="996" spans="1:19" ht="15.75">
      <c r="A996" s="35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</row>
    <row r="997" spans="1:19" ht="15.75">
      <c r="A997" s="35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</row>
    <row r="998" spans="1:19" ht="15.75">
      <c r="A998" s="35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</row>
    <row r="999" spans="1:19" ht="15.75">
      <c r="A999" s="35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</row>
    <row r="1000" spans="1:19" ht="15.75">
      <c r="A1000" s="35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</row>
    <row r="1001" spans="1:19" ht="15.75">
      <c r="A1001" s="35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</row>
    <row r="1002" spans="1:19" ht="15.75">
      <c r="A1002" s="35"/>
      <c r="B1002" s="36"/>
      <c r="C1002" s="36"/>
      <c r="D1002" s="36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</row>
    <row r="1003" spans="1:19" ht="15.75">
      <c r="A1003" s="35"/>
      <c r="B1003" s="36"/>
      <c r="C1003" s="36"/>
      <c r="D1003" s="36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</row>
    <row r="1004" spans="1:19" ht="15.75">
      <c r="A1004" s="35"/>
      <c r="B1004" s="36"/>
      <c r="C1004" s="36"/>
      <c r="D1004" s="36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</row>
    <row r="1005" spans="1:19" ht="15.75">
      <c r="A1005" s="35"/>
      <c r="B1005" s="36"/>
      <c r="C1005" s="3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</row>
    <row r="1006" spans="1:19" ht="15.75">
      <c r="A1006" s="35"/>
      <c r="B1006" s="36"/>
      <c r="C1006" s="36"/>
      <c r="D1006" s="36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</row>
    <row r="1007" spans="1:19" ht="15.75">
      <c r="A1007" s="35"/>
      <c r="B1007" s="36"/>
      <c r="C1007" s="36"/>
      <c r="D1007" s="36"/>
      <c r="E1007" s="36"/>
      <c r="F1007" s="36"/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</row>
    <row r="1008" spans="1:19" ht="15.75">
      <c r="A1008" s="35"/>
      <c r="B1008" s="36"/>
      <c r="C1008" s="36"/>
      <c r="D1008" s="36"/>
      <c r="E1008" s="36"/>
      <c r="F1008" s="36"/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</row>
    <row r="1009" spans="1:19" ht="15.75">
      <c r="A1009" s="35"/>
      <c r="B1009" s="36"/>
      <c r="C1009" s="3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</row>
    <row r="1010" spans="1:19" ht="15.75">
      <c r="A1010" s="35"/>
      <c r="B1010" s="36"/>
      <c r="C1010" s="36"/>
      <c r="D1010" s="36"/>
      <c r="E1010" s="36"/>
      <c r="F1010" s="36"/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</row>
    <row r="1011" spans="1:19" ht="15.75">
      <c r="A1011" s="35"/>
      <c r="B1011" s="36"/>
      <c r="C1011" s="36"/>
      <c r="D1011" s="36"/>
      <c r="E1011" s="36"/>
      <c r="F1011" s="36"/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</row>
    <row r="1012" spans="1:19" ht="15.75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</row>
    <row r="1013" spans="1:19" ht="15.75">
      <c r="A1013" s="35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</row>
    <row r="1014" spans="1:19" ht="15.75">
      <c r="A1014" s="35"/>
      <c r="B1014" s="36"/>
      <c r="C1014" s="36"/>
      <c r="D1014" s="36"/>
      <c r="E1014" s="36"/>
      <c r="F1014" s="36"/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</row>
    <row r="1015" spans="1:19" ht="15.75">
      <c r="A1015" s="35"/>
      <c r="B1015" s="36"/>
      <c r="C1015" s="36"/>
      <c r="D1015" s="36"/>
      <c r="E1015" s="36"/>
      <c r="F1015" s="36"/>
      <c r="G1015" s="36"/>
      <c r="H1015" s="36"/>
      <c r="I1015" s="36"/>
      <c r="J1015" s="36"/>
      <c r="K1015" s="36"/>
      <c r="L1015" s="36"/>
      <c r="M1015" s="36"/>
      <c r="N1015" s="36"/>
      <c r="O1015" s="36"/>
      <c r="P1015" s="36"/>
      <c r="Q1015" s="36"/>
      <c r="R1015" s="36"/>
      <c r="S1015" s="36"/>
    </row>
    <row r="1016" spans="1:19" ht="15.75">
      <c r="A1016" s="35"/>
      <c r="B1016" s="36"/>
      <c r="C1016" s="36"/>
      <c r="D1016" s="36"/>
      <c r="E1016" s="36"/>
      <c r="F1016" s="36"/>
      <c r="G1016" s="36"/>
      <c r="H1016" s="36"/>
      <c r="I1016" s="36"/>
      <c r="J1016" s="36"/>
      <c r="K1016" s="36"/>
      <c r="L1016" s="36"/>
      <c r="M1016" s="36"/>
      <c r="N1016" s="36"/>
      <c r="O1016" s="36"/>
      <c r="P1016" s="36"/>
      <c r="Q1016" s="36"/>
      <c r="R1016" s="36"/>
      <c r="S1016" s="36"/>
    </row>
    <row r="1017" spans="1:19" ht="15.75">
      <c r="A1017" s="35"/>
      <c r="B1017" s="36"/>
      <c r="C1017" s="3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  <c r="S1017" s="36"/>
    </row>
    <row r="1018" spans="1:19" ht="15.75">
      <c r="A1018" s="35"/>
      <c r="B1018" s="36"/>
      <c r="C1018" s="36"/>
      <c r="D1018" s="36"/>
      <c r="E1018" s="36"/>
      <c r="F1018" s="36"/>
      <c r="G1018" s="36"/>
      <c r="H1018" s="36"/>
      <c r="I1018" s="36"/>
      <c r="J1018" s="36"/>
      <c r="K1018" s="36"/>
      <c r="L1018" s="36"/>
      <c r="M1018" s="36"/>
      <c r="N1018" s="36"/>
      <c r="O1018" s="36"/>
      <c r="P1018" s="36"/>
      <c r="Q1018" s="36"/>
      <c r="R1018" s="36"/>
      <c r="S1018" s="36"/>
    </row>
    <row r="1019" spans="1:19" ht="15.75">
      <c r="A1019" s="35"/>
      <c r="B1019" s="36"/>
      <c r="C1019" s="36"/>
      <c r="D1019" s="36"/>
      <c r="E1019" s="36"/>
      <c r="F1019" s="36"/>
      <c r="G1019" s="36"/>
      <c r="H1019" s="36"/>
      <c r="I1019" s="36"/>
      <c r="J1019" s="36"/>
      <c r="K1019" s="36"/>
      <c r="L1019" s="36"/>
      <c r="M1019" s="36"/>
      <c r="N1019" s="36"/>
      <c r="O1019" s="36"/>
      <c r="P1019" s="36"/>
      <c r="Q1019" s="36"/>
      <c r="R1019" s="36"/>
      <c r="S1019" s="36"/>
    </row>
    <row r="1020" spans="1:19" ht="15.75">
      <c r="A1020" s="35"/>
      <c r="B1020" s="36"/>
      <c r="C1020" s="36"/>
      <c r="D1020" s="36"/>
      <c r="E1020" s="36"/>
      <c r="F1020" s="36"/>
      <c r="G1020" s="36"/>
      <c r="H1020" s="36"/>
      <c r="I1020" s="36"/>
      <c r="J1020" s="36"/>
      <c r="K1020" s="36"/>
      <c r="L1020" s="36"/>
      <c r="M1020" s="36"/>
      <c r="N1020" s="36"/>
      <c r="O1020" s="36"/>
      <c r="P1020" s="36"/>
      <c r="Q1020" s="36"/>
      <c r="R1020" s="36"/>
      <c r="S1020" s="36"/>
    </row>
    <row r="1021" spans="1:19" ht="15.75">
      <c r="A1021" s="35"/>
      <c r="B1021" s="36"/>
      <c r="C1021" s="3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  <c r="S1021" s="36"/>
    </row>
    <row r="1022" spans="1:19" ht="15.75">
      <c r="A1022" s="35"/>
      <c r="B1022" s="36"/>
      <c r="C1022" s="36"/>
      <c r="D1022" s="36"/>
      <c r="E1022" s="36"/>
      <c r="F1022" s="36"/>
      <c r="G1022" s="36"/>
      <c r="H1022" s="36"/>
      <c r="I1022" s="36"/>
      <c r="J1022" s="36"/>
      <c r="K1022" s="36"/>
      <c r="L1022" s="36"/>
      <c r="M1022" s="36"/>
      <c r="N1022" s="36"/>
      <c r="O1022" s="36"/>
      <c r="P1022" s="36"/>
      <c r="Q1022" s="36"/>
      <c r="R1022" s="36"/>
      <c r="S1022" s="36"/>
    </row>
    <row r="1023" spans="1:19" ht="15.75">
      <c r="A1023" s="35"/>
      <c r="B1023" s="36"/>
      <c r="C1023" s="36"/>
      <c r="D1023" s="36"/>
      <c r="E1023" s="36"/>
      <c r="F1023" s="36"/>
      <c r="G1023" s="36"/>
      <c r="H1023" s="36"/>
      <c r="I1023" s="36"/>
      <c r="J1023" s="36"/>
      <c r="K1023" s="36"/>
      <c r="L1023" s="36"/>
      <c r="M1023" s="36"/>
      <c r="N1023" s="36"/>
      <c r="O1023" s="36"/>
      <c r="P1023" s="36"/>
      <c r="Q1023" s="36"/>
      <c r="R1023" s="36"/>
      <c r="S1023" s="36"/>
    </row>
    <row r="1024" spans="1:19" ht="15.75">
      <c r="A1024" s="35"/>
      <c r="B1024" s="36"/>
      <c r="C1024" s="36"/>
      <c r="D1024" s="36"/>
      <c r="E1024" s="36"/>
      <c r="F1024" s="36"/>
      <c r="G1024" s="36"/>
      <c r="H1024" s="36"/>
      <c r="I1024" s="36"/>
      <c r="J1024" s="36"/>
      <c r="K1024" s="36"/>
      <c r="L1024" s="36"/>
      <c r="M1024" s="36"/>
      <c r="N1024" s="36"/>
      <c r="O1024" s="36"/>
      <c r="P1024" s="36"/>
      <c r="Q1024" s="36"/>
      <c r="R1024" s="36"/>
      <c r="S1024" s="36"/>
    </row>
    <row r="1025" spans="1:19" ht="15.75">
      <c r="A1025" s="35"/>
      <c r="B1025" s="36"/>
      <c r="C1025" s="3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</row>
    <row r="1026" spans="1:19" ht="15.75">
      <c r="A1026" s="35"/>
      <c r="B1026" s="36"/>
      <c r="C1026" s="36"/>
      <c r="D1026" s="36"/>
      <c r="E1026" s="36"/>
      <c r="F1026" s="36"/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</row>
    <row r="1027" spans="1:19" ht="15.75">
      <c r="A1027" s="35"/>
      <c r="B1027" s="36"/>
      <c r="C1027" s="36"/>
      <c r="D1027" s="36"/>
      <c r="E1027" s="36"/>
      <c r="F1027" s="36"/>
      <c r="G1027" s="36"/>
      <c r="H1027" s="36"/>
      <c r="I1027" s="36"/>
      <c r="J1027" s="36"/>
      <c r="K1027" s="36"/>
      <c r="L1027" s="36"/>
      <c r="M1027" s="36"/>
      <c r="N1027" s="36"/>
      <c r="O1027" s="36"/>
      <c r="P1027" s="36"/>
      <c r="Q1027" s="36"/>
      <c r="R1027" s="36"/>
      <c r="S1027" s="36"/>
    </row>
    <row r="1028" spans="1:19" ht="15.75">
      <c r="A1028" s="35"/>
      <c r="B1028" s="36"/>
      <c r="C1028" s="36"/>
      <c r="D1028" s="36"/>
      <c r="E1028" s="36"/>
      <c r="F1028" s="36"/>
      <c r="G1028" s="36"/>
      <c r="H1028" s="36"/>
      <c r="I1028" s="36"/>
      <c r="J1028" s="36"/>
      <c r="K1028" s="36"/>
      <c r="L1028" s="36"/>
      <c r="M1028" s="36"/>
      <c r="N1028" s="36"/>
      <c r="O1028" s="36"/>
      <c r="P1028" s="36"/>
      <c r="Q1028" s="36"/>
      <c r="R1028" s="36"/>
      <c r="S1028" s="36"/>
    </row>
    <row r="1029" spans="1:19" ht="15.75">
      <c r="A1029" s="35"/>
      <c r="B1029" s="36"/>
      <c r="C1029" s="3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  <c r="S1029" s="36"/>
    </row>
    <row r="1030" spans="1:19" ht="15.75">
      <c r="A1030" s="35"/>
      <c r="B1030" s="36"/>
      <c r="C1030" s="36"/>
      <c r="D1030" s="36"/>
      <c r="E1030" s="36"/>
      <c r="F1030" s="36"/>
      <c r="G1030" s="36"/>
      <c r="H1030" s="36"/>
      <c r="I1030" s="36"/>
      <c r="J1030" s="36"/>
      <c r="K1030" s="36"/>
      <c r="L1030" s="36"/>
      <c r="M1030" s="36"/>
      <c r="N1030" s="36"/>
      <c r="O1030" s="36"/>
      <c r="P1030" s="36"/>
      <c r="Q1030" s="36"/>
      <c r="R1030" s="36"/>
      <c r="S1030" s="36"/>
    </row>
    <row r="1031" spans="1:19" ht="15.75">
      <c r="A1031" s="35"/>
      <c r="B1031" s="36"/>
      <c r="C1031" s="36"/>
      <c r="D1031" s="36"/>
      <c r="E1031" s="36"/>
      <c r="F1031" s="36"/>
      <c r="G1031" s="36"/>
      <c r="H1031" s="36"/>
      <c r="I1031" s="36"/>
      <c r="J1031" s="36"/>
      <c r="K1031" s="36"/>
      <c r="L1031" s="36"/>
      <c r="M1031" s="36"/>
      <c r="N1031" s="36"/>
      <c r="O1031" s="36"/>
      <c r="P1031" s="36"/>
      <c r="Q1031" s="36"/>
      <c r="R1031" s="36"/>
      <c r="S1031" s="36"/>
    </row>
    <row r="1032" spans="1:19" ht="15.75">
      <c r="A1032" s="35"/>
      <c r="B1032" s="36"/>
      <c r="C1032" s="36"/>
      <c r="D1032" s="36"/>
      <c r="E1032" s="36"/>
      <c r="F1032" s="36"/>
      <c r="G1032" s="36"/>
      <c r="H1032" s="36"/>
      <c r="I1032" s="36"/>
      <c r="J1032" s="36"/>
      <c r="K1032" s="36"/>
      <c r="L1032" s="36"/>
      <c r="M1032" s="36"/>
      <c r="N1032" s="36"/>
      <c r="O1032" s="36"/>
      <c r="P1032" s="36"/>
      <c r="Q1032" s="36"/>
      <c r="R1032" s="36"/>
      <c r="S1032" s="36"/>
    </row>
    <row r="1033" spans="1:19" ht="15.75">
      <c r="A1033" s="35"/>
      <c r="B1033" s="36"/>
      <c r="C1033" s="3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  <c r="S1033" s="36"/>
    </row>
    <row r="1034" spans="1:19" ht="15.75">
      <c r="A1034" s="35"/>
      <c r="B1034" s="36"/>
      <c r="C1034" s="36"/>
      <c r="D1034" s="36"/>
      <c r="E1034" s="36"/>
      <c r="F1034" s="36"/>
      <c r="G1034" s="36"/>
      <c r="H1034" s="36"/>
      <c r="I1034" s="36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</row>
    <row r="1035" spans="1:19" ht="15.75">
      <c r="A1035" s="35"/>
      <c r="B1035" s="36"/>
      <c r="C1035" s="36"/>
      <c r="D1035" s="36"/>
      <c r="E1035" s="36"/>
      <c r="F1035" s="36"/>
      <c r="G1035" s="36"/>
      <c r="H1035" s="36"/>
      <c r="I1035" s="36"/>
      <c r="J1035" s="36"/>
      <c r="K1035" s="36"/>
      <c r="L1035" s="36"/>
      <c r="M1035" s="36"/>
      <c r="N1035" s="36"/>
      <c r="O1035" s="36"/>
      <c r="P1035" s="36"/>
      <c r="Q1035" s="36"/>
      <c r="R1035" s="36"/>
      <c r="S1035" s="36"/>
    </row>
    <row r="1036" spans="1:19" ht="15.75">
      <c r="A1036" s="35"/>
      <c r="B1036" s="36"/>
      <c r="C1036" s="36"/>
      <c r="D1036" s="36"/>
      <c r="E1036" s="36"/>
      <c r="F1036" s="36"/>
      <c r="G1036" s="36"/>
      <c r="H1036" s="36"/>
      <c r="I1036" s="36"/>
      <c r="J1036" s="36"/>
      <c r="K1036" s="36"/>
      <c r="L1036" s="36"/>
      <c r="M1036" s="36"/>
      <c r="N1036" s="36"/>
      <c r="O1036" s="36"/>
      <c r="P1036" s="36"/>
      <c r="Q1036" s="36"/>
      <c r="R1036" s="36"/>
      <c r="S1036" s="36"/>
    </row>
    <row r="1037" spans="1:19" ht="15.75">
      <c r="A1037" s="35"/>
      <c r="B1037" s="36"/>
      <c r="C1037" s="3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  <c r="S1037" s="36"/>
    </row>
    <row r="1038" spans="1:19" ht="15.75">
      <c r="A1038" s="35"/>
      <c r="B1038" s="36"/>
      <c r="C1038" s="36"/>
      <c r="D1038" s="36"/>
      <c r="E1038" s="36"/>
      <c r="F1038" s="36"/>
      <c r="G1038" s="36"/>
      <c r="H1038" s="36"/>
      <c r="I1038" s="36"/>
      <c r="J1038" s="36"/>
      <c r="K1038" s="36"/>
      <c r="L1038" s="36"/>
      <c r="M1038" s="36"/>
      <c r="N1038" s="36"/>
      <c r="O1038" s="36"/>
      <c r="P1038" s="36"/>
      <c r="Q1038" s="36"/>
      <c r="R1038" s="36"/>
      <c r="S1038" s="36"/>
    </row>
    <row r="1039" spans="1:19" ht="15.75">
      <c r="A1039" s="35"/>
      <c r="B1039" s="36"/>
      <c r="C1039" s="36"/>
      <c r="D1039" s="36"/>
      <c r="E1039" s="36"/>
      <c r="F1039" s="36"/>
      <c r="G1039" s="36"/>
      <c r="H1039" s="36"/>
      <c r="I1039" s="36"/>
      <c r="J1039" s="36"/>
      <c r="K1039" s="36"/>
      <c r="L1039" s="36"/>
      <c r="M1039" s="36"/>
      <c r="N1039" s="36"/>
      <c r="O1039" s="36"/>
      <c r="P1039" s="36"/>
      <c r="Q1039" s="36"/>
      <c r="R1039" s="36"/>
      <c r="S1039" s="36"/>
    </row>
    <row r="1040" spans="1:19" ht="15.75">
      <c r="A1040" s="35"/>
      <c r="B1040" s="36"/>
      <c r="C1040" s="36"/>
      <c r="D1040" s="36"/>
      <c r="E1040" s="36"/>
      <c r="F1040" s="36"/>
      <c r="G1040" s="36"/>
      <c r="H1040" s="36"/>
      <c r="I1040" s="36"/>
      <c r="J1040" s="36"/>
      <c r="K1040" s="36"/>
      <c r="L1040" s="36"/>
      <c r="M1040" s="36"/>
      <c r="N1040" s="36"/>
      <c r="O1040" s="36"/>
      <c r="P1040" s="36"/>
      <c r="Q1040" s="36"/>
      <c r="R1040" s="36"/>
      <c r="S1040" s="36"/>
    </row>
    <row r="1041" spans="1:19" ht="15.75">
      <c r="A1041" s="35"/>
      <c r="B1041" s="36"/>
      <c r="C1041" s="3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  <c r="S1041" s="36"/>
    </row>
    <row r="1042" spans="1:19" ht="15.75">
      <c r="A1042" s="35"/>
      <c r="B1042" s="36"/>
      <c r="C1042" s="36"/>
      <c r="D1042" s="36"/>
      <c r="E1042" s="36"/>
      <c r="F1042" s="36"/>
      <c r="G1042" s="36"/>
      <c r="H1042" s="36"/>
      <c r="I1042" s="36"/>
      <c r="J1042" s="36"/>
      <c r="K1042" s="36"/>
      <c r="L1042" s="36"/>
      <c r="M1042" s="36"/>
      <c r="N1042" s="36"/>
      <c r="O1042" s="36"/>
      <c r="P1042" s="36"/>
      <c r="Q1042" s="36"/>
      <c r="R1042" s="36"/>
      <c r="S1042" s="36"/>
    </row>
    <row r="1043" spans="1:19" ht="15.75">
      <c r="A1043" s="35"/>
      <c r="B1043" s="36"/>
      <c r="C1043" s="36"/>
      <c r="D1043" s="36"/>
      <c r="E1043" s="36"/>
      <c r="F1043" s="36"/>
      <c r="G1043" s="36"/>
      <c r="H1043" s="36"/>
      <c r="I1043" s="36"/>
      <c r="J1043" s="36"/>
      <c r="K1043" s="36"/>
      <c r="L1043" s="36"/>
      <c r="M1043" s="36"/>
      <c r="N1043" s="36"/>
      <c r="O1043" s="36"/>
      <c r="P1043" s="36"/>
      <c r="Q1043" s="36"/>
      <c r="R1043" s="36"/>
      <c r="S1043" s="36"/>
    </row>
    <row r="1044" spans="1:19" ht="15.75">
      <c r="A1044" s="35"/>
      <c r="B1044" s="36"/>
      <c r="C1044" s="36"/>
      <c r="D1044" s="36"/>
      <c r="E1044" s="36"/>
      <c r="F1044" s="36"/>
      <c r="G1044" s="36"/>
      <c r="H1044" s="36"/>
      <c r="I1044" s="36"/>
      <c r="J1044" s="36"/>
      <c r="K1044" s="36"/>
      <c r="L1044" s="36"/>
      <c r="M1044" s="36"/>
      <c r="N1044" s="36"/>
      <c r="O1044" s="36"/>
      <c r="P1044" s="36"/>
      <c r="Q1044" s="36"/>
      <c r="R1044" s="36"/>
      <c r="S1044" s="36"/>
    </row>
    <row r="1045" spans="1:19" ht="15.75">
      <c r="A1045" s="35"/>
      <c r="B1045" s="36"/>
      <c r="C1045" s="3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  <c r="S1045" s="36"/>
    </row>
    <row r="1046" spans="1:19" ht="15.75">
      <c r="A1046" s="35"/>
      <c r="B1046" s="36"/>
      <c r="C1046" s="36"/>
      <c r="D1046" s="36"/>
      <c r="E1046" s="36"/>
      <c r="F1046" s="36"/>
      <c r="G1046" s="36"/>
      <c r="H1046" s="36"/>
      <c r="I1046" s="36"/>
      <c r="J1046" s="36"/>
      <c r="K1046" s="36"/>
      <c r="L1046" s="36"/>
      <c r="M1046" s="36"/>
      <c r="N1046" s="36"/>
      <c r="O1046" s="36"/>
      <c r="P1046" s="36"/>
      <c r="Q1046" s="36"/>
      <c r="R1046" s="36"/>
      <c r="S1046" s="36"/>
    </row>
    <row r="1047" spans="1:19" ht="15.75">
      <c r="A1047" s="35"/>
      <c r="B1047" s="36"/>
      <c r="C1047" s="36"/>
      <c r="D1047" s="36"/>
      <c r="E1047" s="36"/>
      <c r="F1047" s="36"/>
      <c r="G1047" s="36"/>
      <c r="H1047" s="36"/>
      <c r="I1047" s="36"/>
      <c r="J1047" s="36"/>
      <c r="K1047" s="36"/>
      <c r="L1047" s="36"/>
      <c r="M1047" s="36"/>
      <c r="N1047" s="36"/>
      <c r="O1047" s="36"/>
      <c r="P1047" s="36"/>
      <c r="Q1047" s="36"/>
      <c r="R1047" s="36"/>
      <c r="S1047" s="36"/>
    </row>
    <row r="1048" spans="1:19" ht="15.75">
      <c r="A1048" s="35"/>
      <c r="B1048" s="36"/>
      <c r="C1048" s="36"/>
      <c r="D1048" s="36"/>
      <c r="E1048" s="36"/>
      <c r="F1048" s="36"/>
      <c r="G1048" s="36"/>
      <c r="H1048" s="36"/>
      <c r="I1048" s="36"/>
      <c r="J1048" s="36"/>
      <c r="K1048" s="36"/>
      <c r="L1048" s="36"/>
      <c r="M1048" s="36"/>
      <c r="N1048" s="36"/>
      <c r="O1048" s="36"/>
      <c r="P1048" s="36"/>
      <c r="Q1048" s="36"/>
      <c r="R1048" s="36"/>
      <c r="S1048" s="36"/>
    </row>
    <row r="1049" spans="1:19" ht="15.75">
      <c r="A1049" s="35"/>
      <c r="B1049" s="36"/>
      <c r="C1049" s="3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  <c r="S1049" s="36"/>
    </row>
    <row r="1050" spans="1:19" ht="15.75">
      <c r="A1050" s="35"/>
      <c r="B1050" s="36"/>
      <c r="C1050" s="36"/>
      <c r="D1050" s="36"/>
      <c r="E1050" s="36"/>
      <c r="F1050" s="36"/>
      <c r="G1050" s="36"/>
      <c r="H1050" s="36"/>
      <c r="I1050" s="36"/>
      <c r="J1050" s="36"/>
      <c r="K1050" s="36"/>
      <c r="L1050" s="36"/>
      <c r="M1050" s="36"/>
      <c r="N1050" s="36"/>
      <c r="O1050" s="36"/>
      <c r="P1050" s="36"/>
      <c r="Q1050" s="36"/>
      <c r="R1050" s="36"/>
      <c r="S1050" s="36"/>
    </row>
    <row r="1051" spans="1:19" ht="15.75">
      <c r="A1051" s="35"/>
      <c r="B1051" s="36"/>
      <c r="C1051" s="36"/>
      <c r="D1051" s="36"/>
      <c r="E1051" s="36"/>
      <c r="F1051" s="36"/>
      <c r="G1051" s="36"/>
      <c r="H1051" s="36"/>
      <c r="I1051" s="36"/>
      <c r="J1051" s="36"/>
      <c r="K1051" s="36"/>
      <c r="L1051" s="36"/>
      <c r="M1051" s="36"/>
      <c r="N1051" s="36"/>
      <c r="O1051" s="36"/>
      <c r="P1051" s="36"/>
      <c r="Q1051" s="36"/>
      <c r="R1051" s="36"/>
      <c r="S1051" s="36"/>
    </row>
    <row r="1052" spans="1:19" ht="15.75">
      <c r="A1052" s="35"/>
      <c r="B1052" s="36"/>
      <c r="C1052" s="36"/>
      <c r="D1052" s="36"/>
      <c r="E1052" s="36"/>
      <c r="F1052" s="36"/>
      <c r="G1052" s="36"/>
      <c r="H1052" s="36"/>
      <c r="I1052" s="36"/>
      <c r="J1052" s="36"/>
      <c r="K1052" s="36"/>
      <c r="L1052" s="36"/>
      <c r="M1052" s="36"/>
      <c r="N1052" s="36"/>
      <c r="O1052" s="36"/>
      <c r="P1052" s="36"/>
      <c r="Q1052" s="36"/>
      <c r="R1052" s="36"/>
      <c r="S1052" s="36"/>
    </row>
    <row r="1053" spans="1:19" ht="15.75">
      <c r="A1053" s="35"/>
      <c r="B1053" s="36"/>
      <c r="C1053" s="3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  <c r="S1053" s="36"/>
    </row>
    <row r="1054" spans="1:19" ht="15.75">
      <c r="A1054" s="35"/>
      <c r="B1054" s="36"/>
      <c r="C1054" s="36"/>
      <c r="D1054" s="36"/>
      <c r="E1054" s="36"/>
      <c r="F1054" s="36"/>
      <c r="G1054" s="36"/>
      <c r="H1054" s="36"/>
      <c r="I1054" s="36"/>
      <c r="J1054" s="36"/>
      <c r="K1054" s="36"/>
      <c r="L1054" s="36"/>
      <c r="M1054" s="36"/>
      <c r="N1054" s="36"/>
      <c r="O1054" s="36"/>
      <c r="P1054" s="36"/>
      <c r="Q1054" s="36"/>
      <c r="R1054" s="36"/>
      <c r="S1054" s="36"/>
    </row>
    <row r="1055" spans="1:19" ht="15.75">
      <c r="A1055" s="35"/>
      <c r="B1055" s="36"/>
      <c r="C1055" s="36"/>
      <c r="D1055" s="36"/>
      <c r="E1055" s="36"/>
      <c r="F1055" s="36"/>
      <c r="G1055" s="36"/>
      <c r="H1055" s="36"/>
      <c r="I1055" s="36"/>
      <c r="J1055" s="36"/>
      <c r="K1055" s="36"/>
      <c r="L1055" s="36"/>
      <c r="M1055" s="36"/>
      <c r="N1055" s="36"/>
      <c r="O1055" s="36"/>
      <c r="P1055" s="36"/>
      <c r="Q1055" s="36"/>
      <c r="R1055" s="36"/>
      <c r="S1055" s="36"/>
    </row>
    <row r="1056" spans="1:19" ht="15.75">
      <c r="A1056" s="35"/>
      <c r="B1056" s="36"/>
      <c r="C1056" s="36"/>
      <c r="D1056" s="36"/>
      <c r="E1056" s="36"/>
      <c r="F1056" s="36"/>
      <c r="G1056" s="36"/>
      <c r="H1056" s="36"/>
      <c r="I1056" s="36"/>
      <c r="J1056" s="36"/>
      <c r="K1056" s="36"/>
      <c r="L1056" s="36"/>
      <c r="M1056" s="36"/>
      <c r="N1056" s="36"/>
      <c r="O1056" s="36"/>
      <c r="P1056" s="36"/>
      <c r="Q1056" s="36"/>
      <c r="R1056" s="36"/>
      <c r="S1056" s="36"/>
    </row>
    <row r="1057" spans="1:19" ht="15.75">
      <c r="A1057" s="35"/>
      <c r="B1057" s="36"/>
      <c r="C1057" s="3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  <c r="S1057" s="36"/>
    </row>
    <row r="1058" spans="1:19" ht="15.75">
      <c r="A1058" s="35"/>
      <c r="B1058" s="36"/>
      <c r="C1058" s="36"/>
      <c r="D1058" s="36"/>
      <c r="E1058" s="36"/>
      <c r="F1058" s="36"/>
      <c r="G1058" s="36"/>
      <c r="H1058" s="36"/>
      <c r="I1058" s="36"/>
      <c r="J1058" s="36"/>
      <c r="K1058" s="36"/>
      <c r="L1058" s="36"/>
      <c r="M1058" s="36"/>
      <c r="N1058" s="36"/>
      <c r="O1058" s="36"/>
      <c r="P1058" s="36"/>
      <c r="Q1058" s="36"/>
      <c r="R1058" s="36"/>
      <c r="S1058" s="36"/>
    </row>
    <row r="1059" spans="1:19" ht="15.75">
      <c r="A1059" s="35"/>
      <c r="B1059" s="36"/>
      <c r="C1059" s="36"/>
      <c r="D1059" s="36"/>
      <c r="E1059" s="36"/>
      <c r="F1059" s="36"/>
      <c r="G1059" s="36"/>
      <c r="H1059" s="36"/>
      <c r="I1059" s="36"/>
      <c r="J1059" s="36"/>
      <c r="K1059" s="36"/>
      <c r="L1059" s="36"/>
      <c r="M1059" s="36"/>
      <c r="N1059" s="36"/>
      <c r="O1059" s="36"/>
      <c r="P1059" s="36"/>
      <c r="Q1059" s="36"/>
      <c r="R1059" s="36"/>
      <c r="S1059" s="36"/>
    </row>
    <row r="1060" spans="1:19" ht="15.75">
      <c r="A1060" s="35"/>
      <c r="B1060" s="36"/>
      <c r="C1060" s="36"/>
      <c r="D1060" s="36"/>
      <c r="E1060" s="36"/>
      <c r="F1060" s="36"/>
      <c r="G1060" s="36"/>
      <c r="H1060" s="36"/>
      <c r="I1060" s="36"/>
      <c r="J1060" s="36"/>
      <c r="K1060" s="36"/>
      <c r="L1060" s="36"/>
      <c r="M1060" s="36"/>
      <c r="N1060" s="36"/>
      <c r="O1060" s="36"/>
      <c r="P1060" s="36"/>
      <c r="Q1060" s="36"/>
      <c r="R1060" s="36"/>
      <c r="S1060" s="36"/>
    </row>
    <row r="1061" spans="1:19" ht="15.75">
      <c r="A1061" s="35"/>
      <c r="B1061" s="36"/>
      <c r="C1061" s="3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  <c r="S1061" s="36"/>
    </row>
    <row r="1062" spans="1:19" ht="15.75">
      <c r="A1062" s="35"/>
      <c r="B1062" s="36"/>
      <c r="C1062" s="36"/>
      <c r="D1062" s="36"/>
      <c r="E1062" s="36"/>
      <c r="F1062" s="36"/>
      <c r="G1062" s="36"/>
      <c r="H1062" s="36"/>
      <c r="I1062" s="36"/>
      <c r="J1062" s="36"/>
      <c r="K1062" s="36"/>
      <c r="L1062" s="36"/>
      <c r="M1062" s="36"/>
      <c r="N1062" s="36"/>
      <c r="O1062" s="36"/>
      <c r="P1062" s="36"/>
      <c r="Q1062" s="36"/>
      <c r="R1062" s="36"/>
      <c r="S1062" s="36"/>
    </row>
    <row r="1063" spans="1:19" ht="15.75">
      <c r="A1063" s="35"/>
      <c r="B1063" s="36"/>
      <c r="C1063" s="36"/>
      <c r="D1063" s="36"/>
      <c r="E1063" s="36"/>
      <c r="F1063" s="36"/>
      <c r="G1063" s="36"/>
      <c r="H1063" s="36"/>
      <c r="I1063" s="36"/>
      <c r="J1063" s="36"/>
      <c r="K1063" s="36"/>
      <c r="L1063" s="36"/>
      <c r="M1063" s="36"/>
      <c r="N1063" s="36"/>
      <c r="O1063" s="36"/>
      <c r="P1063" s="36"/>
      <c r="Q1063" s="36"/>
      <c r="R1063" s="36"/>
      <c r="S1063" s="36"/>
    </row>
    <row r="1064" spans="1:19" ht="15.75">
      <c r="A1064" s="35"/>
      <c r="B1064" s="36"/>
      <c r="C1064" s="36"/>
      <c r="D1064" s="36"/>
      <c r="E1064" s="36"/>
      <c r="F1064" s="36"/>
      <c r="G1064" s="36"/>
      <c r="H1064" s="36"/>
      <c r="I1064" s="36"/>
      <c r="J1064" s="36"/>
      <c r="K1064" s="36"/>
      <c r="L1064" s="36"/>
      <c r="M1064" s="36"/>
      <c r="N1064" s="36"/>
      <c r="O1064" s="36"/>
      <c r="P1064" s="36"/>
      <c r="Q1064" s="36"/>
      <c r="R1064" s="36"/>
      <c r="S1064" s="36"/>
    </row>
    <row r="1065" spans="1:19" ht="15.75">
      <c r="A1065" s="35"/>
      <c r="B1065" s="36"/>
      <c r="C1065" s="3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  <c r="S1065" s="36"/>
    </row>
    <row r="1066" spans="1:19" ht="15.75">
      <c r="A1066" s="35"/>
      <c r="B1066" s="36"/>
      <c r="C1066" s="36"/>
      <c r="D1066" s="36"/>
      <c r="E1066" s="36"/>
      <c r="F1066" s="36"/>
      <c r="G1066" s="36"/>
      <c r="H1066" s="36"/>
      <c r="I1066" s="36"/>
      <c r="J1066" s="36"/>
      <c r="K1066" s="36"/>
      <c r="L1066" s="36"/>
      <c r="M1066" s="36"/>
      <c r="N1066" s="36"/>
      <c r="O1066" s="36"/>
      <c r="P1066" s="36"/>
      <c r="Q1066" s="36"/>
      <c r="R1066" s="36"/>
      <c r="S1066" s="36"/>
    </row>
    <row r="1067" spans="1:19" ht="15.75">
      <c r="A1067" s="35"/>
      <c r="B1067" s="36"/>
      <c r="C1067" s="36"/>
      <c r="D1067" s="36"/>
      <c r="E1067" s="36"/>
      <c r="F1067" s="36"/>
      <c r="G1067" s="36"/>
      <c r="H1067" s="36"/>
      <c r="I1067" s="36"/>
      <c r="J1067" s="36"/>
      <c r="K1067" s="36"/>
      <c r="L1067" s="36"/>
      <c r="M1067" s="36"/>
      <c r="N1067" s="36"/>
      <c r="O1067" s="36"/>
      <c r="P1067" s="36"/>
      <c r="Q1067" s="36"/>
      <c r="R1067" s="36"/>
      <c r="S1067" s="36"/>
    </row>
    <row r="1068" spans="1:19" ht="15.75">
      <c r="A1068" s="35"/>
      <c r="B1068" s="36"/>
      <c r="C1068" s="36"/>
      <c r="D1068" s="36"/>
      <c r="E1068" s="36"/>
      <c r="F1068" s="36"/>
      <c r="G1068" s="36"/>
      <c r="H1068" s="36"/>
      <c r="I1068" s="36"/>
      <c r="J1068" s="36"/>
      <c r="K1068" s="36"/>
      <c r="L1068" s="36"/>
      <c r="M1068" s="36"/>
      <c r="N1068" s="36"/>
      <c r="O1068" s="36"/>
      <c r="P1068" s="36"/>
      <c r="Q1068" s="36"/>
      <c r="R1068" s="36"/>
      <c r="S1068" s="36"/>
    </row>
    <row r="1069" spans="1:19" ht="15.75">
      <c r="A1069" s="35"/>
      <c r="B1069" s="36"/>
      <c r="C1069" s="3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  <c r="S1069" s="36"/>
    </row>
    <row r="1070" spans="1:19" ht="15.75">
      <c r="A1070" s="35"/>
      <c r="B1070" s="36"/>
      <c r="C1070" s="36"/>
      <c r="D1070" s="36"/>
      <c r="E1070" s="36"/>
      <c r="F1070" s="36"/>
      <c r="G1070" s="36"/>
      <c r="H1070" s="36"/>
      <c r="I1070" s="36"/>
      <c r="J1070" s="36"/>
      <c r="K1070" s="36"/>
      <c r="L1070" s="36"/>
      <c r="M1070" s="36"/>
      <c r="N1070" s="36"/>
      <c r="O1070" s="36"/>
      <c r="P1070" s="36"/>
      <c r="Q1070" s="36"/>
      <c r="R1070" s="36"/>
      <c r="S1070" s="36"/>
    </row>
    <row r="1071" spans="1:19" ht="15.75">
      <c r="A1071" s="35"/>
      <c r="B1071" s="36"/>
      <c r="C1071" s="36"/>
      <c r="D1071" s="36"/>
      <c r="E1071" s="36"/>
      <c r="F1071" s="36"/>
      <c r="G1071" s="36"/>
      <c r="H1071" s="36"/>
      <c r="I1071" s="36"/>
      <c r="J1071" s="36"/>
      <c r="K1071" s="36"/>
      <c r="L1071" s="36"/>
      <c r="M1071" s="36"/>
      <c r="N1071" s="36"/>
      <c r="O1071" s="36"/>
      <c r="P1071" s="36"/>
      <c r="Q1071" s="36"/>
      <c r="R1071" s="36"/>
      <c r="S1071" s="36"/>
    </row>
    <row r="1072" spans="1:19" ht="15.75">
      <c r="A1072" s="35"/>
      <c r="B1072" s="36"/>
      <c r="C1072" s="36"/>
      <c r="D1072" s="36"/>
      <c r="E1072" s="36"/>
      <c r="F1072" s="36"/>
      <c r="G1072" s="36"/>
      <c r="H1072" s="36"/>
      <c r="I1072" s="36"/>
      <c r="J1072" s="36"/>
      <c r="K1072" s="36"/>
      <c r="L1072" s="36"/>
      <c r="M1072" s="36"/>
      <c r="N1072" s="36"/>
      <c r="O1072" s="36"/>
      <c r="P1072" s="36"/>
      <c r="Q1072" s="36"/>
      <c r="R1072" s="36"/>
      <c r="S1072" s="36"/>
    </row>
    <row r="1073" spans="1:19" ht="15.75">
      <c r="A1073" s="35"/>
      <c r="B1073" s="36"/>
      <c r="C1073" s="3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  <c r="S1073" s="36"/>
    </row>
    <row r="1074" spans="1:19" ht="15.75">
      <c r="A1074" s="35"/>
      <c r="B1074" s="36"/>
      <c r="C1074" s="36"/>
      <c r="D1074" s="36"/>
      <c r="E1074" s="36"/>
      <c r="F1074" s="36"/>
      <c r="G1074" s="36"/>
      <c r="H1074" s="36"/>
      <c r="I1074" s="36"/>
      <c r="J1074" s="36"/>
      <c r="K1074" s="36"/>
      <c r="L1074" s="36"/>
      <c r="M1074" s="36"/>
      <c r="N1074" s="36"/>
      <c r="O1074" s="36"/>
      <c r="P1074" s="36"/>
      <c r="Q1074" s="36"/>
      <c r="R1074" s="36"/>
      <c r="S1074" s="36"/>
    </row>
    <row r="1075" spans="1:19" ht="15.75">
      <c r="A1075" s="35"/>
      <c r="B1075" s="36"/>
      <c r="C1075" s="36"/>
      <c r="D1075" s="36"/>
      <c r="E1075" s="36"/>
      <c r="F1075" s="36"/>
      <c r="G1075" s="36"/>
      <c r="H1075" s="36"/>
      <c r="I1075" s="36"/>
      <c r="J1075" s="36"/>
      <c r="K1075" s="36"/>
      <c r="L1075" s="36"/>
      <c r="M1075" s="36"/>
      <c r="N1075" s="36"/>
      <c r="O1075" s="36"/>
      <c r="P1075" s="36"/>
      <c r="Q1075" s="36"/>
      <c r="R1075" s="36"/>
      <c r="S1075" s="36"/>
    </row>
    <row r="1076" spans="1:19" ht="15.75">
      <c r="A1076" s="35"/>
      <c r="B1076" s="36"/>
      <c r="C1076" s="36"/>
      <c r="D1076" s="36"/>
      <c r="E1076" s="36"/>
      <c r="F1076" s="36"/>
      <c r="G1076" s="36"/>
      <c r="H1076" s="36"/>
      <c r="I1076" s="36"/>
      <c r="J1076" s="36"/>
      <c r="K1076" s="36"/>
      <c r="L1076" s="36"/>
      <c r="M1076" s="36"/>
      <c r="N1076" s="36"/>
      <c r="O1076" s="36"/>
      <c r="P1076" s="36"/>
      <c r="Q1076" s="36"/>
      <c r="R1076" s="36"/>
      <c r="S1076" s="36"/>
    </row>
    <row r="1077" spans="1:19" ht="15.75">
      <c r="A1077" s="35"/>
      <c r="B1077" s="36"/>
      <c r="C1077" s="3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  <c r="S1077" s="36"/>
    </row>
    <row r="1078" spans="1:19" ht="15.75">
      <c r="A1078" s="35"/>
      <c r="B1078" s="36"/>
      <c r="C1078" s="36"/>
      <c r="D1078" s="36"/>
      <c r="E1078" s="36"/>
      <c r="F1078" s="36"/>
      <c r="G1078" s="36"/>
      <c r="H1078" s="36"/>
      <c r="I1078" s="36"/>
      <c r="J1078" s="36"/>
      <c r="K1078" s="36"/>
      <c r="L1078" s="36"/>
      <c r="M1078" s="36"/>
      <c r="N1078" s="36"/>
      <c r="O1078" s="36"/>
      <c r="P1078" s="36"/>
      <c r="Q1078" s="36"/>
      <c r="R1078" s="36"/>
      <c r="S1078" s="36"/>
    </row>
    <row r="1079" spans="1:19" ht="15.75">
      <c r="A1079" s="35"/>
      <c r="B1079" s="36"/>
      <c r="C1079" s="36"/>
      <c r="D1079" s="36"/>
      <c r="E1079" s="36"/>
      <c r="F1079" s="36"/>
      <c r="G1079" s="36"/>
      <c r="H1079" s="36"/>
      <c r="I1079" s="36"/>
      <c r="J1079" s="36"/>
      <c r="K1079" s="36"/>
      <c r="L1079" s="36"/>
      <c r="M1079" s="36"/>
      <c r="N1079" s="36"/>
      <c r="O1079" s="36"/>
      <c r="P1079" s="36"/>
      <c r="Q1079" s="36"/>
      <c r="R1079" s="36"/>
      <c r="S1079" s="36"/>
    </row>
    <row r="1080" spans="1:19" ht="15.75">
      <c r="A1080" s="35"/>
      <c r="B1080" s="36"/>
      <c r="C1080" s="36"/>
      <c r="D1080" s="36"/>
      <c r="E1080" s="36"/>
      <c r="F1080" s="36"/>
      <c r="G1080" s="36"/>
      <c r="H1080" s="36"/>
      <c r="I1080" s="36"/>
      <c r="J1080" s="36"/>
      <c r="K1080" s="36"/>
      <c r="L1080" s="36"/>
      <c r="M1080" s="36"/>
      <c r="N1080" s="36"/>
      <c r="O1080" s="36"/>
      <c r="P1080" s="36"/>
      <c r="Q1080" s="36"/>
      <c r="R1080" s="36"/>
      <c r="S1080" s="36"/>
    </row>
    <row r="1081" spans="1:19" ht="15.75">
      <c r="A1081" s="35"/>
      <c r="B1081" s="36"/>
      <c r="C1081" s="3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  <c r="S1081" s="36"/>
    </row>
    <row r="1082" spans="1:19" ht="15.75">
      <c r="A1082" s="35"/>
      <c r="B1082" s="36"/>
      <c r="C1082" s="36"/>
      <c r="D1082" s="36"/>
      <c r="E1082" s="36"/>
      <c r="F1082" s="36"/>
      <c r="G1082" s="36"/>
      <c r="H1082" s="36"/>
      <c r="I1082" s="36"/>
      <c r="J1082" s="36"/>
      <c r="K1082" s="36"/>
      <c r="L1082" s="36"/>
      <c r="M1082" s="36"/>
      <c r="N1082" s="36"/>
      <c r="O1082" s="36"/>
      <c r="P1082" s="36"/>
      <c r="Q1082" s="36"/>
      <c r="R1082" s="36"/>
      <c r="S1082" s="36"/>
    </row>
    <row r="1083" spans="1:19" ht="15.75">
      <c r="A1083" s="35"/>
      <c r="B1083" s="36"/>
      <c r="C1083" s="36"/>
      <c r="D1083" s="36"/>
      <c r="E1083" s="36"/>
      <c r="F1083" s="36"/>
      <c r="G1083" s="36"/>
      <c r="H1083" s="36"/>
      <c r="I1083" s="36"/>
      <c r="J1083" s="36"/>
      <c r="K1083" s="36"/>
      <c r="L1083" s="36"/>
      <c r="M1083" s="36"/>
      <c r="N1083" s="36"/>
      <c r="O1083" s="36"/>
      <c r="P1083" s="36"/>
      <c r="Q1083" s="36"/>
      <c r="R1083" s="36"/>
      <c r="S1083" s="36"/>
    </row>
    <row r="1084" spans="1:19" ht="15.75">
      <c r="A1084" s="35"/>
      <c r="B1084" s="36"/>
      <c r="C1084" s="36"/>
      <c r="D1084" s="36"/>
      <c r="E1084" s="36"/>
      <c r="F1084" s="36"/>
      <c r="G1084" s="36"/>
      <c r="H1084" s="36"/>
      <c r="I1084" s="36"/>
      <c r="J1084" s="36"/>
      <c r="K1084" s="36"/>
      <c r="L1084" s="36"/>
      <c r="M1084" s="36"/>
      <c r="N1084" s="36"/>
      <c r="O1084" s="36"/>
      <c r="P1084" s="36"/>
      <c r="Q1084" s="36"/>
      <c r="R1084" s="36"/>
      <c r="S1084" s="36"/>
    </row>
    <row r="1085" spans="1:19" ht="15.75">
      <c r="A1085" s="35"/>
      <c r="B1085" s="36"/>
      <c r="C1085" s="3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  <c r="S1085" s="36"/>
    </row>
    <row r="1086" spans="1:19" ht="15.75">
      <c r="A1086" s="35"/>
      <c r="B1086" s="36"/>
      <c r="C1086" s="36"/>
      <c r="D1086" s="36"/>
      <c r="E1086" s="36"/>
      <c r="F1086" s="36"/>
      <c r="G1086" s="36"/>
      <c r="H1086" s="36"/>
      <c r="I1086" s="36"/>
      <c r="J1086" s="36"/>
      <c r="K1086" s="36"/>
      <c r="L1086" s="36"/>
      <c r="M1086" s="36"/>
      <c r="N1086" s="36"/>
      <c r="O1086" s="36"/>
      <c r="P1086" s="36"/>
      <c r="Q1086" s="36"/>
      <c r="R1086" s="36"/>
      <c r="S1086" s="36"/>
    </row>
    <row r="1087" spans="1:19" ht="15.75">
      <c r="A1087" s="35"/>
      <c r="B1087" s="36"/>
      <c r="C1087" s="36"/>
      <c r="D1087" s="36"/>
      <c r="E1087" s="36"/>
      <c r="F1087" s="36"/>
      <c r="G1087" s="36"/>
      <c r="H1087" s="36"/>
      <c r="I1087" s="36"/>
      <c r="J1087" s="36"/>
      <c r="K1087" s="36"/>
      <c r="L1087" s="36"/>
      <c r="M1087" s="36"/>
      <c r="N1087" s="36"/>
      <c r="O1087" s="36"/>
      <c r="P1087" s="36"/>
      <c r="Q1087" s="36"/>
      <c r="R1087" s="36"/>
      <c r="S1087" s="36"/>
    </row>
    <row r="1088" spans="1:19" ht="15.75">
      <c r="A1088" s="35"/>
      <c r="B1088" s="36"/>
      <c r="C1088" s="36"/>
      <c r="D1088" s="36"/>
      <c r="E1088" s="36"/>
      <c r="F1088" s="36"/>
      <c r="G1088" s="36"/>
      <c r="H1088" s="36"/>
      <c r="I1088" s="36"/>
      <c r="J1088" s="36"/>
      <c r="K1088" s="36"/>
      <c r="L1088" s="36"/>
      <c r="M1088" s="36"/>
      <c r="N1088" s="36"/>
      <c r="O1088" s="36"/>
      <c r="P1088" s="36"/>
      <c r="Q1088" s="36"/>
      <c r="R1088" s="36"/>
      <c r="S1088" s="36"/>
    </row>
    <row r="1089" spans="1:19" ht="15.75">
      <c r="A1089" s="35"/>
      <c r="B1089" s="36"/>
      <c r="C1089" s="3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  <c r="S1089" s="36"/>
    </row>
    <row r="1090" spans="1:19" ht="15.75">
      <c r="A1090" s="35"/>
      <c r="B1090" s="36"/>
      <c r="C1090" s="36"/>
      <c r="D1090" s="36"/>
      <c r="E1090" s="36"/>
      <c r="F1090" s="36"/>
      <c r="G1090" s="36"/>
      <c r="H1090" s="36"/>
      <c r="I1090" s="36"/>
      <c r="J1090" s="36"/>
      <c r="K1090" s="36"/>
      <c r="L1090" s="36"/>
      <c r="M1090" s="36"/>
      <c r="N1090" s="36"/>
      <c r="O1090" s="36"/>
      <c r="P1090" s="36"/>
      <c r="Q1090" s="36"/>
      <c r="R1090" s="36"/>
      <c r="S1090" s="36"/>
    </row>
    <row r="1091" spans="1:19" ht="15.75">
      <c r="A1091" s="35"/>
      <c r="B1091" s="36"/>
      <c r="C1091" s="36"/>
      <c r="D1091" s="36"/>
      <c r="E1091" s="36"/>
      <c r="F1091" s="36"/>
      <c r="G1091" s="36"/>
      <c r="H1091" s="36"/>
      <c r="I1091" s="36"/>
      <c r="J1091" s="36"/>
      <c r="K1091" s="36"/>
      <c r="L1091" s="36"/>
      <c r="M1091" s="36"/>
      <c r="N1091" s="36"/>
      <c r="O1091" s="36"/>
      <c r="P1091" s="36"/>
      <c r="Q1091" s="36"/>
      <c r="R1091" s="36"/>
      <c r="S1091" s="36"/>
    </row>
    <row r="1092" spans="1:19" ht="15.75">
      <c r="A1092" s="35"/>
      <c r="B1092" s="36"/>
      <c r="C1092" s="36"/>
      <c r="D1092" s="36"/>
      <c r="E1092" s="36"/>
      <c r="F1092" s="36"/>
      <c r="G1092" s="36"/>
      <c r="H1092" s="36"/>
      <c r="I1092" s="36"/>
      <c r="J1092" s="36"/>
      <c r="K1092" s="36"/>
      <c r="L1092" s="36"/>
      <c r="M1092" s="36"/>
      <c r="N1092" s="36"/>
      <c r="O1092" s="36"/>
      <c r="P1092" s="36"/>
      <c r="Q1092" s="36"/>
      <c r="R1092" s="36"/>
      <c r="S1092" s="36"/>
    </row>
    <row r="1093" spans="1:19" ht="15.75">
      <c r="A1093" s="35"/>
      <c r="B1093" s="36"/>
      <c r="C1093" s="3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  <c r="S1093" s="36"/>
    </row>
    <row r="1094" spans="1:19" ht="15.75">
      <c r="A1094" s="35"/>
      <c r="B1094" s="36"/>
      <c r="C1094" s="36"/>
      <c r="D1094" s="36"/>
      <c r="E1094" s="36"/>
      <c r="F1094" s="36"/>
      <c r="G1094" s="36"/>
      <c r="H1094" s="36"/>
      <c r="I1094" s="36"/>
      <c r="J1094" s="36"/>
      <c r="K1094" s="36"/>
      <c r="L1094" s="36"/>
      <c r="M1094" s="36"/>
      <c r="N1094" s="36"/>
      <c r="O1094" s="36"/>
      <c r="P1094" s="36"/>
      <c r="Q1094" s="36"/>
      <c r="R1094" s="36"/>
      <c r="S1094" s="36"/>
    </row>
    <row r="1095" spans="1:19" ht="15.75">
      <c r="A1095" s="35"/>
      <c r="B1095" s="36"/>
      <c r="C1095" s="36"/>
      <c r="D1095" s="36"/>
      <c r="E1095" s="36"/>
      <c r="F1095" s="36"/>
      <c r="G1095" s="36"/>
      <c r="H1095" s="36"/>
      <c r="I1095" s="36"/>
      <c r="J1095" s="36"/>
      <c r="K1095" s="36"/>
      <c r="L1095" s="36"/>
      <c r="M1095" s="36"/>
      <c r="N1095" s="36"/>
      <c r="O1095" s="36"/>
      <c r="P1095" s="36"/>
      <c r="Q1095" s="36"/>
      <c r="R1095" s="36"/>
      <c r="S1095" s="36"/>
    </row>
    <row r="1096" spans="1:19" ht="15.75">
      <c r="A1096" s="35"/>
      <c r="B1096" s="36"/>
      <c r="C1096" s="36"/>
      <c r="D1096" s="36"/>
      <c r="E1096" s="36"/>
      <c r="F1096" s="36"/>
      <c r="G1096" s="36"/>
      <c r="H1096" s="36"/>
      <c r="I1096" s="36"/>
      <c r="J1096" s="36"/>
      <c r="K1096" s="36"/>
      <c r="L1096" s="36"/>
      <c r="M1096" s="36"/>
      <c r="N1096" s="36"/>
      <c r="O1096" s="36"/>
      <c r="P1096" s="36"/>
      <c r="Q1096" s="36"/>
      <c r="R1096" s="36"/>
      <c r="S1096" s="36"/>
    </row>
    <row r="1097" spans="1:19" ht="15.75">
      <c r="A1097" s="35"/>
      <c r="B1097" s="36"/>
      <c r="C1097" s="3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  <c r="S1097" s="36"/>
    </row>
    <row r="1098" spans="1:19" ht="15.75">
      <c r="A1098" s="35"/>
      <c r="B1098" s="36"/>
      <c r="C1098" s="36"/>
      <c r="D1098" s="36"/>
      <c r="E1098" s="36"/>
      <c r="F1098" s="36"/>
      <c r="G1098" s="36"/>
      <c r="H1098" s="36"/>
      <c r="I1098" s="36"/>
      <c r="J1098" s="36"/>
      <c r="K1098" s="36"/>
      <c r="L1098" s="36"/>
      <c r="M1098" s="36"/>
      <c r="N1098" s="36"/>
      <c r="O1098" s="36"/>
      <c r="P1098" s="36"/>
      <c r="Q1098" s="36"/>
      <c r="R1098" s="36"/>
      <c r="S1098" s="36"/>
    </row>
    <row r="1099" spans="1:19" ht="15.75">
      <c r="A1099" s="35"/>
      <c r="B1099" s="36"/>
      <c r="C1099" s="36"/>
      <c r="D1099" s="36"/>
      <c r="E1099" s="36"/>
      <c r="F1099" s="36"/>
      <c r="G1099" s="36"/>
      <c r="H1099" s="36"/>
      <c r="I1099" s="36"/>
      <c r="J1099" s="36"/>
      <c r="K1099" s="36"/>
      <c r="L1099" s="36"/>
      <c r="M1099" s="36"/>
      <c r="N1099" s="36"/>
      <c r="O1099" s="36"/>
      <c r="P1099" s="36"/>
      <c r="Q1099" s="36"/>
      <c r="R1099" s="36"/>
      <c r="S1099" s="36"/>
    </row>
    <row r="1100" spans="1:19" ht="15.75">
      <c r="A1100" s="35"/>
      <c r="B1100" s="36"/>
      <c r="C1100" s="36"/>
      <c r="D1100" s="36"/>
      <c r="E1100" s="36"/>
      <c r="F1100" s="36"/>
      <c r="G1100" s="36"/>
      <c r="H1100" s="36"/>
      <c r="I1100" s="36"/>
      <c r="J1100" s="36"/>
      <c r="K1100" s="36"/>
      <c r="L1100" s="36"/>
      <c r="M1100" s="36"/>
      <c r="N1100" s="36"/>
      <c r="O1100" s="36"/>
      <c r="P1100" s="36"/>
      <c r="Q1100" s="36"/>
      <c r="R1100" s="36"/>
      <c r="S1100" s="36"/>
    </row>
    <row r="1101" spans="1:19" ht="15.75">
      <c r="A1101" s="35"/>
      <c r="B1101" s="36"/>
      <c r="C1101" s="3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  <c r="S1101" s="36"/>
    </row>
    <row r="1102" spans="1:19" ht="15.75">
      <c r="A1102" s="35"/>
      <c r="B1102" s="36"/>
      <c r="C1102" s="36"/>
      <c r="D1102" s="36"/>
      <c r="E1102" s="36"/>
      <c r="F1102" s="36"/>
      <c r="G1102" s="36"/>
      <c r="H1102" s="36"/>
      <c r="I1102" s="36"/>
      <c r="J1102" s="36"/>
      <c r="K1102" s="36"/>
      <c r="L1102" s="36"/>
      <c r="M1102" s="36"/>
      <c r="N1102" s="36"/>
      <c r="O1102" s="36"/>
      <c r="P1102" s="36"/>
      <c r="Q1102" s="36"/>
      <c r="R1102" s="36"/>
      <c r="S1102" s="36"/>
    </row>
    <row r="1103" spans="1:19" ht="15.75">
      <c r="A1103" s="35"/>
      <c r="B1103" s="36"/>
      <c r="C1103" s="36"/>
      <c r="D1103" s="36"/>
      <c r="E1103" s="36"/>
      <c r="F1103" s="36"/>
      <c r="G1103" s="36"/>
      <c r="H1103" s="36"/>
      <c r="I1103" s="36"/>
      <c r="J1103" s="36"/>
      <c r="K1103" s="36"/>
      <c r="L1103" s="36"/>
      <c r="M1103" s="36"/>
      <c r="N1103" s="36"/>
      <c r="O1103" s="36"/>
      <c r="P1103" s="36"/>
      <c r="Q1103" s="36"/>
      <c r="R1103" s="36"/>
      <c r="S1103" s="36"/>
    </row>
    <row r="1104" spans="1:19" ht="15.75">
      <c r="A1104" s="35"/>
      <c r="B1104" s="36"/>
      <c r="C1104" s="36"/>
      <c r="D1104" s="36"/>
      <c r="E1104" s="36"/>
      <c r="F1104" s="36"/>
      <c r="G1104" s="36"/>
      <c r="H1104" s="36"/>
      <c r="I1104" s="36"/>
      <c r="J1104" s="36"/>
      <c r="K1104" s="36"/>
      <c r="L1104" s="36"/>
      <c r="M1104" s="36"/>
      <c r="N1104" s="36"/>
      <c r="O1104" s="36"/>
      <c r="P1104" s="36"/>
      <c r="Q1104" s="36"/>
      <c r="R1104" s="36"/>
      <c r="S1104" s="36"/>
    </row>
    <row r="1105" spans="1:19" ht="15.75">
      <c r="A1105" s="35"/>
      <c r="B1105" s="36"/>
      <c r="C1105" s="3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  <c r="S1105" s="36"/>
    </row>
    <row r="1106" spans="1:19" ht="15.75">
      <c r="A1106" s="35"/>
      <c r="B1106" s="36"/>
      <c r="C1106" s="36"/>
      <c r="D1106" s="36"/>
      <c r="E1106" s="36"/>
      <c r="F1106" s="36"/>
      <c r="G1106" s="36"/>
      <c r="H1106" s="36"/>
      <c r="I1106" s="36"/>
      <c r="J1106" s="36"/>
      <c r="K1106" s="36"/>
      <c r="L1106" s="36"/>
      <c r="M1106" s="36"/>
      <c r="N1106" s="36"/>
      <c r="O1106" s="36"/>
      <c r="P1106" s="36"/>
      <c r="Q1106" s="36"/>
      <c r="R1106" s="36"/>
      <c r="S1106" s="36"/>
    </row>
    <row r="1107" spans="1:19" ht="15.75">
      <c r="A1107" s="35"/>
      <c r="B1107" s="36"/>
      <c r="C1107" s="36"/>
      <c r="D1107" s="36"/>
      <c r="E1107" s="36"/>
      <c r="F1107" s="36"/>
      <c r="G1107" s="36"/>
      <c r="H1107" s="36"/>
      <c r="I1107" s="36"/>
      <c r="J1107" s="36"/>
      <c r="K1107" s="36"/>
      <c r="L1107" s="36"/>
      <c r="M1107" s="36"/>
      <c r="N1107" s="36"/>
      <c r="O1107" s="36"/>
      <c r="P1107" s="36"/>
      <c r="Q1107" s="36"/>
      <c r="R1107" s="36"/>
      <c r="S1107" s="36"/>
    </row>
    <row r="1108" spans="1:19" ht="15.75">
      <c r="A1108" s="35"/>
      <c r="B1108" s="36"/>
      <c r="C1108" s="36"/>
      <c r="D1108" s="36"/>
      <c r="E1108" s="36"/>
      <c r="F1108" s="36"/>
      <c r="G1108" s="36"/>
      <c r="H1108" s="36"/>
      <c r="I1108" s="36"/>
      <c r="J1108" s="36"/>
      <c r="K1108" s="36"/>
      <c r="L1108" s="36"/>
      <c r="M1108" s="36"/>
      <c r="N1108" s="36"/>
      <c r="O1108" s="36"/>
      <c r="P1108" s="36"/>
      <c r="Q1108" s="36"/>
      <c r="R1108" s="36"/>
      <c r="S1108" s="36"/>
    </row>
    <row r="1109" spans="1:19" ht="15.75">
      <c r="A1109" s="35"/>
      <c r="B1109" s="36"/>
      <c r="C1109" s="3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  <c r="S1109" s="36"/>
    </row>
    <row r="1110" spans="1:19" ht="15.75">
      <c r="A1110" s="35"/>
      <c r="B1110" s="36"/>
      <c r="C1110" s="36"/>
      <c r="D1110" s="36"/>
      <c r="E1110" s="36"/>
      <c r="F1110" s="36"/>
      <c r="G1110" s="36"/>
      <c r="H1110" s="36"/>
      <c r="I1110" s="36"/>
      <c r="J1110" s="36"/>
      <c r="K1110" s="36"/>
      <c r="L1110" s="36"/>
      <c r="M1110" s="36"/>
      <c r="N1110" s="36"/>
      <c r="O1110" s="36"/>
      <c r="P1110" s="36"/>
      <c r="Q1110" s="36"/>
      <c r="R1110" s="36"/>
      <c r="S1110" s="36"/>
    </row>
    <row r="1111" spans="1:19" ht="15.75">
      <c r="A1111" s="35"/>
      <c r="B1111" s="36"/>
      <c r="C1111" s="36"/>
      <c r="D1111" s="36"/>
      <c r="E1111" s="36"/>
      <c r="F1111" s="36"/>
      <c r="G1111" s="36"/>
      <c r="H1111" s="36"/>
      <c r="I1111" s="36"/>
      <c r="J1111" s="36"/>
      <c r="K1111" s="36"/>
      <c r="L1111" s="36"/>
      <c r="M1111" s="36"/>
      <c r="N1111" s="36"/>
      <c r="O1111" s="36"/>
      <c r="P1111" s="36"/>
      <c r="Q1111" s="36"/>
      <c r="R1111" s="36"/>
      <c r="S1111" s="36"/>
    </row>
    <row r="1112" spans="1:19" ht="15.75">
      <c r="A1112" s="35"/>
      <c r="B1112" s="36"/>
      <c r="C1112" s="36"/>
      <c r="D1112" s="36"/>
      <c r="E1112" s="36"/>
      <c r="F1112" s="36"/>
      <c r="G1112" s="36"/>
      <c r="H1112" s="36"/>
      <c r="I1112" s="36"/>
      <c r="J1112" s="36"/>
      <c r="K1112" s="36"/>
      <c r="L1112" s="36"/>
      <c r="M1112" s="36"/>
      <c r="N1112" s="36"/>
      <c r="O1112" s="36"/>
      <c r="P1112" s="36"/>
      <c r="Q1112" s="36"/>
      <c r="R1112" s="36"/>
      <c r="S1112" s="36"/>
    </row>
    <row r="1113" spans="1:19" ht="15.75">
      <c r="A1113" s="35"/>
      <c r="B1113" s="36"/>
      <c r="C1113" s="3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  <c r="S1113" s="36"/>
    </row>
    <row r="1114" spans="1:19" ht="15.75">
      <c r="A1114" s="35"/>
      <c r="B1114" s="36"/>
      <c r="C1114" s="36"/>
      <c r="D1114" s="36"/>
      <c r="E1114" s="36"/>
      <c r="F1114" s="36"/>
      <c r="G1114" s="36"/>
      <c r="H1114" s="36"/>
      <c r="I1114" s="36"/>
      <c r="J1114" s="36"/>
      <c r="K1114" s="36"/>
      <c r="L1114" s="36"/>
      <c r="M1114" s="36"/>
      <c r="N1114" s="36"/>
      <c r="O1114" s="36"/>
      <c r="P1114" s="36"/>
      <c r="Q1114" s="36"/>
      <c r="R1114" s="36"/>
      <c r="S1114" s="36"/>
    </row>
    <row r="1115" spans="1:19" ht="15.75">
      <c r="A1115" s="35"/>
      <c r="B1115" s="36"/>
      <c r="C1115" s="36"/>
      <c r="D1115" s="36"/>
      <c r="E1115" s="36"/>
      <c r="F1115" s="36"/>
      <c r="G1115" s="36"/>
      <c r="H1115" s="36"/>
      <c r="I1115" s="36"/>
      <c r="J1115" s="36"/>
      <c r="K1115" s="36"/>
      <c r="L1115" s="36"/>
      <c r="M1115" s="36"/>
      <c r="N1115" s="36"/>
      <c r="O1115" s="36"/>
      <c r="P1115" s="36"/>
      <c r="Q1115" s="36"/>
      <c r="R1115" s="36"/>
      <c r="S1115" s="36"/>
    </row>
    <row r="1116" spans="1:19" ht="15.75">
      <c r="A1116" s="35"/>
      <c r="B1116" s="36"/>
      <c r="C1116" s="36"/>
      <c r="D1116" s="36"/>
      <c r="E1116" s="36"/>
      <c r="F1116" s="36"/>
      <c r="G1116" s="36"/>
      <c r="H1116" s="36"/>
      <c r="I1116" s="36"/>
      <c r="J1116" s="36"/>
      <c r="K1116" s="36"/>
      <c r="L1116" s="36"/>
      <c r="M1116" s="36"/>
      <c r="N1116" s="36"/>
      <c r="O1116" s="36"/>
      <c r="P1116" s="36"/>
      <c r="Q1116" s="36"/>
      <c r="R1116" s="36"/>
      <c r="S1116" s="36"/>
    </row>
    <row r="1117" spans="1:19" ht="15.75">
      <c r="A1117" s="35"/>
      <c r="B1117" s="36"/>
      <c r="C1117" s="3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  <c r="S1117" s="36"/>
    </row>
    <row r="1118" spans="1:19" ht="15.75">
      <c r="A1118" s="35"/>
      <c r="B1118" s="36"/>
      <c r="C1118" s="36"/>
      <c r="D1118" s="36"/>
      <c r="E1118" s="36"/>
      <c r="F1118" s="36"/>
      <c r="G1118" s="36"/>
      <c r="H1118" s="36"/>
      <c r="I1118" s="36"/>
      <c r="J1118" s="36"/>
      <c r="K1118" s="36"/>
      <c r="L1118" s="36"/>
      <c r="M1118" s="36"/>
      <c r="N1118" s="36"/>
      <c r="O1118" s="36"/>
      <c r="P1118" s="36"/>
      <c r="Q1118" s="36"/>
      <c r="R1118" s="36"/>
      <c r="S1118" s="36"/>
    </row>
    <row r="1119" spans="1:19" ht="15.75">
      <c r="A1119" s="35"/>
      <c r="B1119" s="36"/>
      <c r="C1119" s="36"/>
      <c r="D1119" s="36"/>
      <c r="E1119" s="36"/>
      <c r="F1119" s="36"/>
      <c r="G1119" s="36"/>
      <c r="H1119" s="36"/>
      <c r="I1119" s="36"/>
      <c r="J1119" s="36"/>
      <c r="K1119" s="36"/>
      <c r="L1119" s="36"/>
      <c r="M1119" s="36"/>
      <c r="N1119" s="36"/>
      <c r="O1119" s="36"/>
      <c r="P1119" s="36"/>
      <c r="Q1119" s="36"/>
      <c r="R1119" s="36"/>
      <c r="S1119" s="36"/>
    </row>
    <row r="1120" spans="1:19" ht="15.75">
      <c r="A1120" s="35"/>
      <c r="B1120" s="36"/>
      <c r="C1120" s="36"/>
      <c r="D1120" s="36"/>
      <c r="E1120" s="36"/>
      <c r="F1120" s="36"/>
      <c r="G1120" s="36"/>
      <c r="H1120" s="36"/>
      <c r="I1120" s="36"/>
      <c r="J1120" s="36"/>
      <c r="K1120" s="36"/>
      <c r="L1120" s="36"/>
      <c r="M1120" s="36"/>
      <c r="N1120" s="36"/>
      <c r="O1120" s="36"/>
      <c r="P1120" s="36"/>
      <c r="Q1120" s="36"/>
      <c r="R1120" s="36"/>
      <c r="S1120" s="36"/>
    </row>
    <row r="1121" spans="1:19" ht="15.75">
      <c r="A1121" s="35"/>
      <c r="B1121" s="36"/>
      <c r="C1121" s="3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  <c r="S1121" s="36"/>
    </row>
    <row r="1122" spans="1:19" ht="15.75">
      <c r="A1122" s="35"/>
      <c r="B1122" s="36"/>
      <c r="C1122" s="36"/>
      <c r="D1122" s="36"/>
      <c r="E1122" s="36"/>
      <c r="F1122" s="36"/>
      <c r="G1122" s="36"/>
      <c r="H1122" s="36"/>
      <c r="I1122" s="36"/>
      <c r="J1122" s="36"/>
      <c r="K1122" s="36"/>
      <c r="L1122" s="36"/>
      <c r="M1122" s="36"/>
      <c r="N1122" s="36"/>
      <c r="O1122" s="36"/>
      <c r="P1122" s="36"/>
      <c r="Q1122" s="36"/>
      <c r="R1122" s="36"/>
      <c r="S1122" s="36"/>
    </row>
    <row r="1123" spans="1:19" ht="15.75">
      <c r="A1123" s="35"/>
      <c r="B1123" s="36"/>
      <c r="C1123" s="36"/>
      <c r="D1123" s="36"/>
      <c r="E1123" s="36"/>
      <c r="F1123" s="36"/>
      <c r="G1123" s="36"/>
      <c r="H1123" s="36"/>
      <c r="I1123" s="36"/>
      <c r="J1123" s="36"/>
      <c r="K1123" s="36"/>
      <c r="L1123" s="36"/>
      <c r="M1123" s="36"/>
      <c r="N1123" s="36"/>
      <c r="O1123" s="36"/>
      <c r="P1123" s="36"/>
      <c r="Q1123" s="36"/>
      <c r="R1123" s="36"/>
      <c r="S1123" s="36"/>
    </row>
    <row r="1124" spans="1:19" ht="15.75">
      <c r="A1124" s="35"/>
      <c r="B1124" s="36"/>
      <c r="C1124" s="36"/>
      <c r="D1124" s="36"/>
      <c r="E1124" s="36"/>
      <c r="F1124" s="36"/>
      <c r="G1124" s="36"/>
      <c r="H1124" s="36"/>
      <c r="I1124" s="36"/>
      <c r="J1124" s="36"/>
      <c r="K1124" s="36"/>
      <c r="L1124" s="36"/>
      <c r="M1124" s="36"/>
      <c r="N1124" s="36"/>
      <c r="O1124" s="36"/>
      <c r="P1124" s="36"/>
      <c r="Q1124" s="36"/>
      <c r="R1124" s="36"/>
      <c r="S1124" s="36"/>
    </row>
    <row r="1125" spans="1:19" ht="15.75">
      <c r="A1125" s="35"/>
      <c r="B1125" s="36"/>
      <c r="C1125" s="3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  <c r="S1125" s="36"/>
    </row>
    <row r="1126" spans="1:19" ht="15.75">
      <c r="A1126" s="35"/>
      <c r="B1126" s="36"/>
      <c r="C1126" s="36"/>
      <c r="D1126" s="36"/>
      <c r="E1126" s="36"/>
      <c r="F1126" s="36"/>
      <c r="G1126" s="36"/>
      <c r="H1126" s="36"/>
      <c r="I1126" s="36"/>
      <c r="J1126" s="36"/>
      <c r="K1126" s="36"/>
      <c r="L1126" s="36"/>
      <c r="M1126" s="36"/>
      <c r="N1126" s="36"/>
      <c r="O1126" s="36"/>
      <c r="P1126" s="36"/>
      <c r="Q1126" s="36"/>
      <c r="R1126" s="36"/>
      <c r="S1126" s="36"/>
    </row>
    <row r="1127" spans="1:19" ht="15.75">
      <c r="A1127" s="35"/>
      <c r="B1127" s="36"/>
      <c r="C1127" s="36"/>
      <c r="D1127" s="36"/>
      <c r="E1127" s="36"/>
      <c r="F1127" s="36"/>
      <c r="G1127" s="36"/>
      <c r="H1127" s="36"/>
      <c r="I1127" s="36"/>
      <c r="J1127" s="36"/>
      <c r="K1127" s="36"/>
      <c r="L1127" s="36"/>
      <c r="M1127" s="36"/>
      <c r="N1127" s="36"/>
      <c r="O1127" s="36"/>
      <c r="P1127" s="36"/>
      <c r="Q1127" s="36"/>
      <c r="R1127" s="36"/>
      <c r="S1127" s="36"/>
    </row>
    <row r="1128" spans="1:19" ht="15.75">
      <c r="A1128" s="35"/>
      <c r="B1128" s="36"/>
      <c r="C1128" s="36"/>
      <c r="D1128" s="36"/>
      <c r="E1128" s="36"/>
      <c r="F1128" s="36"/>
      <c r="G1128" s="36"/>
      <c r="H1128" s="36"/>
      <c r="I1128" s="36"/>
      <c r="J1128" s="36"/>
      <c r="K1128" s="36"/>
      <c r="L1128" s="36"/>
      <c r="M1128" s="36"/>
      <c r="N1128" s="36"/>
      <c r="O1128" s="36"/>
      <c r="P1128" s="36"/>
      <c r="Q1128" s="36"/>
      <c r="R1128" s="36"/>
      <c r="S1128" s="36"/>
    </row>
    <row r="1129" spans="1:19" ht="15.75">
      <c r="A1129" s="35"/>
      <c r="B1129" s="36"/>
      <c r="C1129" s="3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  <c r="S1129" s="36"/>
    </row>
    <row r="1130" spans="1:19" ht="15.75">
      <c r="A1130" s="35"/>
      <c r="B1130" s="36"/>
      <c r="C1130" s="36"/>
      <c r="D1130" s="36"/>
      <c r="E1130" s="36"/>
      <c r="F1130" s="36"/>
      <c r="G1130" s="36"/>
      <c r="H1130" s="36"/>
      <c r="I1130" s="36"/>
      <c r="J1130" s="36"/>
      <c r="K1130" s="36"/>
      <c r="L1130" s="36"/>
      <c r="M1130" s="36"/>
      <c r="N1130" s="36"/>
      <c r="O1130" s="36"/>
      <c r="P1130" s="36"/>
      <c r="Q1130" s="36"/>
      <c r="R1130" s="36"/>
      <c r="S1130" s="36"/>
    </row>
    <row r="1131" spans="1:19" ht="15.75">
      <c r="A1131" s="35"/>
      <c r="B1131" s="36"/>
      <c r="C1131" s="36"/>
      <c r="D1131" s="36"/>
      <c r="E1131" s="36"/>
      <c r="F1131" s="36"/>
      <c r="G1131" s="36"/>
      <c r="H1131" s="36"/>
      <c r="I1131" s="36"/>
      <c r="J1131" s="36"/>
      <c r="K1131" s="36"/>
      <c r="L1131" s="36"/>
      <c r="M1131" s="36"/>
      <c r="N1131" s="36"/>
      <c r="O1131" s="36"/>
      <c r="P1131" s="36"/>
      <c r="Q1131" s="36"/>
      <c r="R1131" s="36"/>
      <c r="S1131" s="36"/>
    </row>
    <row r="1132" spans="1:19" ht="15.75">
      <c r="A1132" s="35"/>
      <c r="B1132" s="36"/>
      <c r="C1132" s="36"/>
      <c r="D1132" s="36"/>
      <c r="E1132" s="36"/>
      <c r="F1132" s="36"/>
      <c r="G1132" s="36"/>
      <c r="H1132" s="36"/>
      <c r="I1132" s="36"/>
      <c r="J1132" s="36"/>
      <c r="K1132" s="36"/>
      <c r="L1132" s="36"/>
      <c r="M1132" s="36"/>
      <c r="N1132" s="36"/>
      <c r="O1132" s="36"/>
      <c r="P1132" s="36"/>
      <c r="Q1132" s="36"/>
      <c r="R1132" s="36"/>
      <c r="S1132" s="36"/>
    </row>
    <row r="1133" spans="1:19" ht="15.75">
      <c r="A1133" s="35"/>
      <c r="B1133" s="36"/>
      <c r="C1133" s="3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  <c r="S1133" s="36"/>
    </row>
    <row r="1134" spans="1:19" ht="15.75">
      <c r="A1134" s="35"/>
      <c r="B1134" s="36"/>
      <c r="C1134" s="36"/>
      <c r="D1134" s="36"/>
      <c r="E1134" s="36"/>
      <c r="F1134" s="36"/>
      <c r="G1134" s="36"/>
      <c r="H1134" s="36"/>
      <c r="I1134" s="36"/>
      <c r="J1134" s="36"/>
      <c r="K1134" s="36"/>
      <c r="L1134" s="36"/>
      <c r="M1134" s="36"/>
      <c r="N1134" s="36"/>
      <c r="O1134" s="36"/>
      <c r="P1134" s="36"/>
      <c r="Q1134" s="36"/>
      <c r="R1134" s="36"/>
      <c r="S1134" s="36"/>
    </row>
    <row r="1135" spans="1:19" ht="15.75">
      <c r="A1135" s="35"/>
      <c r="B1135" s="36"/>
      <c r="C1135" s="36"/>
      <c r="D1135" s="36"/>
      <c r="E1135" s="36"/>
      <c r="F1135" s="36"/>
      <c r="G1135" s="36"/>
      <c r="H1135" s="36"/>
      <c r="I1135" s="36"/>
      <c r="J1135" s="36"/>
      <c r="K1135" s="36"/>
      <c r="L1135" s="36"/>
      <c r="M1135" s="36"/>
      <c r="N1135" s="36"/>
      <c r="O1135" s="36"/>
      <c r="P1135" s="36"/>
      <c r="Q1135" s="36"/>
      <c r="R1135" s="36"/>
      <c r="S1135" s="36"/>
    </row>
    <row r="1136" spans="1:19" ht="15.75">
      <c r="A1136" s="35"/>
      <c r="B1136" s="36"/>
      <c r="C1136" s="36"/>
      <c r="D1136" s="36"/>
      <c r="E1136" s="36"/>
      <c r="F1136" s="36"/>
      <c r="G1136" s="36"/>
      <c r="H1136" s="36"/>
      <c r="I1136" s="36"/>
      <c r="J1136" s="36"/>
      <c r="K1136" s="36"/>
      <c r="L1136" s="36"/>
      <c r="M1136" s="36"/>
      <c r="N1136" s="36"/>
      <c r="O1136" s="36"/>
      <c r="P1136" s="36"/>
      <c r="Q1136" s="36"/>
      <c r="R1136" s="36"/>
      <c r="S1136" s="36"/>
    </row>
    <row r="1137" spans="1:19" ht="15.75">
      <c r="A1137" s="35"/>
      <c r="B1137" s="36"/>
      <c r="C1137" s="3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  <c r="S1137" s="36"/>
    </row>
    <row r="1138" spans="1:19" ht="15.75">
      <c r="A1138" s="35"/>
      <c r="B1138" s="36"/>
      <c r="C1138" s="36"/>
      <c r="D1138" s="36"/>
      <c r="E1138" s="36"/>
      <c r="F1138" s="36"/>
      <c r="G1138" s="36"/>
      <c r="H1138" s="36"/>
      <c r="I1138" s="36"/>
      <c r="J1138" s="36"/>
      <c r="K1138" s="36"/>
      <c r="L1138" s="36"/>
      <c r="M1138" s="36"/>
      <c r="N1138" s="36"/>
      <c r="O1138" s="36"/>
      <c r="P1138" s="36"/>
      <c r="Q1138" s="36"/>
      <c r="R1138" s="36"/>
      <c r="S1138" s="36"/>
    </row>
    <row r="1139" spans="1:19" ht="15.75">
      <c r="A1139" s="35"/>
      <c r="B1139" s="36"/>
      <c r="C1139" s="36"/>
      <c r="D1139" s="36"/>
      <c r="E1139" s="36"/>
      <c r="F1139" s="36"/>
      <c r="G1139" s="36"/>
      <c r="H1139" s="36"/>
      <c r="I1139" s="36"/>
      <c r="J1139" s="36"/>
      <c r="K1139" s="36"/>
      <c r="L1139" s="36"/>
      <c r="M1139" s="36"/>
      <c r="N1139" s="36"/>
      <c r="O1139" s="36"/>
      <c r="P1139" s="36"/>
      <c r="Q1139" s="36"/>
      <c r="R1139" s="36"/>
      <c r="S1139" s="36"/>
    </row>
    <row r="1140" spans="1:19" ht="15.75">
      <c r="A1140" s="35"/>
      <c r="B1140" s="36"/>
      <c r="C1140" s="36"/>
      <c r="D1140" s="36"/>
      <c r="E1140" s="36"/>
      <c r="F1140" s="36"/>
      <c r="G1140" s="36"/>
      <c r="H1140" s="36"/>
      <c r="I1140" s="36"/>
      <c r="J1140" s="36"/>
      <c r="K1140" s="36"/>
      <c r="L1140" s="36"/>
      <c r="M1140" s="36"/>
      <c r="N1140" s="36"/>
      <c r="O1140" s="36"/>
      <c r="P1140" s="36"/>
      <c r="Q1140" s="36"/>
      <c r="R1140" s="36"/>
      <c r="S1140" s="36"/>
    </row>
    <row r="1141" spans="1:19" ht="15.75">
      <c r="A1141" s="35"/>
      <c r="B1141" s="36"/>
      <c r="C1141" s="3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  <c r="S1141" s="36"/>
    </row>
    <row r="1142" spans="1:19" ht="15.75">
      <c r="A1142" s="35"/>
      <c r="B1142" s="36"/>
      <c r="C1142" s="36"/>
      <c r="D1142" s="36"/>
      <c r="E1142" s="36"/>
      <c r="F1142" s="36"/>
      <c r="G1142" s="36"/>
      <c r="H1142" s="36"/>
      <c r="I1142" s="36"/>
      <c r="J1142" s="36"/>
      <c r="K1142" s="36"/>
      <c r="L1142" s="36"/>
      <c r="M1142" s="36"/>
      <c r="N1142" s="36"/>
      <c r="O1142" s="36"/>
      <c r="P1142" s="36"/>
      <c r="Q1142" s="36"/>
      <c r="R1142" s="36"/>
      <c r="S1142" s="36"/>
    </row>
    <row r="1143" spans="1:19" ht="15.75">
      <c r="A1143" s="35"/>
      <c r="B1143" s="36"/>
      <c r="C1143" s="36"/>
      <c r="D1143" s="36"/>
      <c r="E1143" s="36"/>
      <c r="F1143" s="36"/>
      <c r="G1143" s="36"/>
      <c r="H1143" s="36"/>
      <c r="I1143" s="36"/>
      <c r="J1143" s="36"/>
      <c r="K1143" s="36"/>
      <c r="L1143" s="36"/>
      <c r="M1143" s="36"/>
      <c r="N1143" s="36"/>
      <c r="O1143" s="36"/>
      <c r="P1143" s="36"/>
      <c r="Q1143" s="36"/>
      <c r="R1143" s="36"/>
      <c r="S1143" s="36"/>
    </row>
    <row r="1144" spans="1:19" ht="15.75">
      <c r="A1144" s="35"/>
      <c r="B1144" s="36"/>
      <c r="C1144" s="36"/>
      <c r="D1144" s="36"/>
      <c r="E1144" s="36"/>
      <c r="F1144" s="36"/>
      <c r="G1144" s="36"/>
      <c r="H1144" s="36"/>
      <c r="I1144" s="36"/>
      <c r="J1144" s="36"/>
      <c r="K1144" s="36"/>
      <c r="L1144" s="36"/>
      <c r="M1144" s="36"/>
      <c r="N1144" s="36"/>
      <c r="O1144" s="36"/>
      <c r="P1144" s="36"/>
      <c r="Q1144" s="36"/>
      <c r="R1144" s="36"/>
      <c r="S1144" s="36"/>
    </row>
    <row r="1145" spans="1:19" ht="15.75">
      <c r="A1145" s="35"/>
      <c r="B1145" s="36"/>
      <c r="C1145" s="3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  <c r="S1145" s="36"/>
    </row>
    <row r="1146" spans="1:19" ht="15.75">
      <c r="A1146" s="35"/>
      <c r="B1146" s="36"/>
      <c r="C1146" s="36"/>
      <c r="D1146" s="36"/>
      <c r="E1146" s="36"/>
      <c r="F1146" s="36"/>
      <c r="G1146" s="36"/>
      <c r="H1146" s="36"/>
      <c r="I1146" s="36"/>
      <c r="J1146" s="36"/>
      <c r="K1146" s="36"/>
      <c r="L1146" s="36"/>
      <c r="M1146" s="36"/>
      <c r="N1146" s="36"/>
      <c r="O1146" s="36"/>
      <c r="P1146" s="36"/>
      <c r="Q1146" s="36"/>
      <c r="R1146" s="36"/>
      <c r="S1146" s="36"/>
    </row>
    <row r="1147" spans="1:19" ht="15.75">
      <c r="A1147" s="35"/>
      <c r="B1147" s="36"/>
      <c r="C1147" s="36"/>
      <c r="D1147" s="36"/>
      <c r="E1147" s="36"/>
      <c r="F1147" s="36"/>
      <c r="G1147" s="36"/>
      <c r="H1147" s="36"/>
      <c r="I1147" s="36"/>
      <c r="J1147" s="36"/>
      <c r="K1147" s="36"/>
      <c r="L1147" s="36"/>
      <c r="M1147" s="36"/>
      <c r="N1147" s="36"/>
      <c r="O1147" s="36"/>
      <c r="P1147" s="36"/>
      <c r="Q1147" s="36"/>
      <c r="R1147" s="36"/>
      <c r="S1147" s="36"/>
    </row>
    <row r="1148" spans="1:19" ht="15.75">
      <c r="A1148" s="35"/>
      <c r="B1148" s="36"/>
      <c r="C1148" s="36"/>
      <c r="D1148" s="36"/>
      <c r="E1148" s="36"/>
      <c r="F1148" s="36"/>
      <c r="G1148" s="36"/>
      <c r="H1148" s="36"/>
      <c r="I1148" s="36"/>
      <c r="J1148" s="36"/>
      <c r="K1148" s="36"/>
      <c r="L1148" s="36"/>
      <c r="M1148" s="36"/>
      <c r="N1148" s="36"/>
      <c r="O1148" s="36"/>
      <c r="P1148" s="36"/>
      <c r="Q1148" s="36"/>
      <c r="R1148" s="36"/>
      <c r="S1148" s="36"/>
    </row>
    <row r="1149" spans="1:19" ht="15.75">
      <c r="A1149" s="35"/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</row>
    <row r="1150" spans="1:19" ht="15.75">
      <c r="A1150" s="35"/>
      <c r="B1150" s="36"/>
      <c r="C1150" s="36"/>
      <c r="D1150" s="36"/>
      <c r="E1150" s="36"/>
      <c r="F1150" s="36"/>
      <c r="G1150" s="36"/>
      <c r="H1150" s="36"/>
      <c r="I1150" s="36"/>
      <c r="J1150" s="36"/>
      <c r="K1150" s="36"/>
      <c r="L1150" s="36"/>
      <c r="M1150" s="36"/>
      <c r="N1150" s="36"/>
      <c r="O1150" s="36"/>
      <c r="P1150" s="36"/>
      <c r="Q1150" s="36"/>
      <c r="R1150" s="36"/>
      <c r="S1150" s="36"/>
    </row>
    <row r="1151" spans="1:19" ht="15.75">
      <c r="A1151" s="35"/>
      <c r="B1151" s="36"/>
      <c r="C1151" s="36"/>
      <c r="D1151" s="36"/>
      <c r="E1151" s="36"/>
      <c r="F1151" s="36"/>
      <c r="G1151" s="36"/>
      <c r="H1151" s="36"/>
      <c r="I1151" s="36"/>
      <c r="J1151" s="36"/>
      <c r="K1151" s="36"/>
      <c r="L1151" s="36"/>
      <c r="M1151" s="36"/>
      <c r="N1151" s="36"/>
      <c r="O1151" s="36"/>
      <c r="P1151" s="36"/>
      <c r="Q1151" s="36"/>
      <c r="R1151" s="36"/>
      <c r="S1151" s="36"/>
    </row>
    <row r="1152" spans="1:19" ht="15.75">
      <c r="A1152" s="35"/>
      <c r="B1152" s="36"/>
      <c r="C1152" s="36"/>
      <c r="D1152" s="36"/>
      <c r="E1152" s="36"/>
      <c r="F1152" s="36"/>
      <c r="G1152" s="36"/>
      <c r="H1152" s="36"/>
      <c r="I1152" s="36"/>
      <c r="J1152" s="36"/>
      <c r="K1152" s="36"/>
      <c r="L1152" s="36"/>
      <c r="M1152" s="36"/>
      <c r="N1152" s="36"/>
      <c r="O1152" s="36"/>
      <c r="P1152" s="36"/>
      <c r="Q1152" s="36"/>
      <c r="R1152" s="36"/>
      <c r="S1152" s="36"/>
    </row>
    <row r="1153" spans="1:19" ht="15.75">
      <c r="A1153" s="35"/>
      <c r="B1153" s="36"/>
      <c r="C1153" s="3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  <c r="S1153" s="36"/>
    </row>
    <row r="1154" spans="1:19" ht="15.75">
      <c r="A1154" s="35"/>
      <c r="B1154" s="36"/>
      <c r="C1154" s="36"/>
      <c r="D1154" s="36"/>
      <c r="E1154" s="36"/>
      <c r="F1154" s="36"/>
      <c r="G1154" s="36"/>
      <c r="H1154" s="36"/>
      <c r="I1154" s="36"/>
      <c r="J1154" s="36"/>
      <c r="K1154" s="36"/>
      <c r="L1154" s="36"/>
      <c r="M1154" s="36"/>
      <c r="N1154" s="36"/>
      <c r="O1154" s="36"/>
      <c r="P1154" s="36"/>
      <c r="Q1154" s="36"/>
      <c r="R1154" s="36"/>
      <c r="S1154" s="36"/>
    </row>
    <row r="1155" spans="1:19" ht="15.75">
      <c r="A1155" s="35"/>
      <c r="B1155" s="36"/>
      <c r="C1155" s="36"/>
      <c r="D1155" s="36"/>
      <c r="E1155" s="36"/>
      <c r="F1155" s="36"/>
      <c r="G1155" s="36"/>
      <c r="H1155" s="36"/>
      <c r="I1155" s="36"/>
      <c r="J1155" s="36"/>
      <c r="K1155" s="36"/>
      <c r="L1155" s="36"/>
      <c r="M1155" s="36"/>
      <c r="N1155" s="36"/>
      <c r="O1155" s="36"/>
      <c r="P1155" s="36"/>
      <c r="Q1155" s="36"/>
      <c r="R1155" s="36"/>
      <c r="S1155" s="36"/>
    </row>
    <row r="1156" spans="1:19" ht="15.75">
      <c r="A1156" s="35"/>
      <c r="B1156" s="36"/>
      <c r="C1156" s="36"/>
      <c r="D1156" s="36"/>
      <c r="E1156" s="36"/>
      <c r="F1156" s="36"/>
      <c r="G1156" s="36"/>
      <c r="H1156" s="36"/>
      <c r="I1156" s="36"/>
      <c r="J1156" s="36"/>
      <c r="K1156" s="36"/>
      <c r="L1156" s="36"/>
      <c r="M1156" s="36"/>
      <c r="N1156" s="36"/>
      <c r="O1156" s="36"/>
      <c r="P1156" s="36"/>
      <c r="Q1156" s="36"/>
      <c r="R1156" s="36"/>
      <c r="S1156" s="36"/>
    </row>
    <row r="1157" spans="1:19" ht="15.75">
      <c r="A1157" s="35"/>
      <c r="B1157" s="36"/>
      <c r="C1157" s="3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  <c r="S1157" s="36"/>
    </row>
    <row r="1158" spans="1:19" ht="15.75">
      <c r="A1158" s="35"/>
      <c r="B1158" s="36"/>
      <c r="C1158" s="36"/>
      <c r="D1158" s="36"/>
      <c r="E1158" s="36"/>
      <c r="F1158" s="36"/>
      <c r="G1158" s="36"/>
      <c r="H1158" s="36"/>
      <c r="I1158" s="36"/>
      <c r="J1158" s="36"/>
      <c r="K1158" s="36"/>
      <c r="L1158" s="36"/>
      <c r="M1158" s="36"/>
      <c r="N1158" s="36"/>
      <c r="O1158" s="36"/>
      <c r="P1158" s="36"/>
      <c r="Q1158" s="36"/>
      <c r="R1158" s="36"/>
      <c r="S1158" s="36"/>
    </row>
    <row r="1159" spans="1:19" ht="15.75">
      <c r="A1159" s="35"/>
      <c r="B1159" s="36"/>
      <c r="C1159" s="36"/>
      <c r="D1159" s="36"/>
      <c r="E1159" s="36"/>
      <c r="F1159" s="36"/>
      <c r="G1159" s="36"/>
      <c r="H1159" s="36"/>
      <c r="I1159" s="36"/>
      <c r="J1159" s="36"/>
      <c r="K1159" s="36"/>
      <c r="L1159" s="36"/>
      <c r="M1159" s="36"/>
      <c r="N1159" s="36"/>
      <c r="O1159" s="36"/>
      <c r="P1159" s="36"/>
      <c r="Q1159" s="36"/>
      <c r="R1159" s="36"/>
      <c r="S1159" s="36"/>
    </row>
    <row r="1160" spans="1:19" ht="15.75">
      <c r="A1160" s="35"/>
      <c r="B1160" s="36"/>
      <c r="C1160" s="36"/>
      <c r="D1160" s="36"/>
      <c r="E1160" s="36"/>
      <c r="F1160" s="36"/>
      <c r="G1160" s="36"/>
      <c r="H1160" s="36"/>
      <c r="I1160" s="36"/>
      <c r="J1160" s="36"/>
      <c r="K1160" s="36"/>
      <c r="L1160" s="36"/>
      <c r="M1160" s="36"/>
      <c r="N1160" s="36"/>
      <c r="O1160" s="36"/>
      <c r="P1160" s="36"/>
      <c r="Q1160" s="36"/>
      <c r="R1160" s="36"/>
      <c r="S1160" s="36"/>
    </row>
    <row r="1161" spans="1:19" ht="15.75">
      <c r="A1161" s="35"/>
      <c r="B1161" s="36"/>
      <c r="C1161" s="3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  <c r="S1161" s="36"/>
    </row>
    <row r="1162" spans="1:19" ht="15.75">
      <c r="A1162" s="35"/>
      <c r="B1162" s="36"/>
      <c r="C1162" s="36"/>
      <c r="D1162" s="36"/>
      <c r="E1162" s="36"/>
      <c r="F1162" s="36"/>
      <c r="G1162" s="36"/>
      <c r="H1162" s="36"/>
      <c r="I1162" s="36"/>
      <c r="J1162" s="36"/>
      <c r="K1162" s="36"/>
      <c r="L1162" s="36"/>
      <c r="M1162" s="36"/>
      <c r="N1162" s="36"/>
      <c r="O1162" s="36"/>
      <c r="P1162" s="36"/>
      <c r="Q1162" s="36"/>
      <c r="R1162" s="36"/>
      <c r="S1162" s="36"/>
    </row>
    <row r="1163" spans="1:19" ht="15.75">
      <c r="A1163" s="35"/>
      <c r="B1163" s="36"/>
      <c r="C1163" s="36"/>
      <c r="D1163" s="36"/>
      <c r="E1163" s="36"/>
      <c r="F1163" s="36"/>
      <c r="G1163" s="36"/>
      <c r="H1163" s="36"/>
      <c r="I1163" s="36"/>
      <c r="J1163" s="36"/>
      <c r="K1163" s="36"/>
      <c r="L1163" s="36"/>
      <c r="M1163" s="36"/>
      <c r="N1163" s="36"/>
      <c r="O1163" s="36"/>
      <c r="P1163" s="36"/>
      <c r="Q1163" s="36"/>
      <c r="R1163" s="36"/>
      <c r="S1163" s="36"/>
    </row>
    <row r="1164" spans="1:19" ht="15.75">
      <c r="A1164" s="35"/>
      <c r="B1164" s="36"/>
      <c r="C1164" s="36"/>
      <c r="D1164" s="36"/>
      <c r="E1164" s="36"/>
      <c r="F1164" s="36"/>
      <c r="G1164" s="36"/>
      <c r="H1164" s="36"/>
      <c r="I1164" s="36"/>
      <c r="J1164" s="36"/>
      <c r="K1164" s="36"/>
      <c r="L1164" s="36"/>
      <c r="M1164" s="36"/>
      <c r="N1164" s="36"/>
      <c r="O1164" s="36"/>
      <c r="P1164" s="36"/>
      <c r="Q1164" s="36"/>
      <c r="R1164" s="36"/>
      <c r="S1164" s="36"/>
    </row>
    <row r="1165" spans="1:19" ht="15.75">
      <c r="A1165" s="35"/>
      <c r="B1165" s="36"/>
      <c r="C1165" s="3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  <c r="S1165" s="36"/>
    </row>
    <row r="1166" spans="1:19" ht="15.75">
      <c r="A1166" s="35"/>
      <c r="B1166" s="36"/>
      <c r="C1166" s="36"/>
      <c r="D1166" s="36"/>
      <c r="E1166" s="36"/>
      <c r="F1166" s="36"/>
      <c r="G1166" s="36"/>
      <c r="H1166" s="36"/>
      <c r="I1166" s="36"/>
      <c r="J1166" s="36"/>
      <c r="K1166" s="36"/>
      <c r="L1166" s="36"/>
      <c r="M1166" s="36"/>
      <c r="N1166" s="36"/>
      <c r="O1166" s="36"/>
      <c r="P1166" s="36"/>
      <c r="Q1166" s="36"/>
      <c r="R1166" s="36"/>
      <c r="S1166" s="36"/>
    </row>
    <row r="1167" spans="1:19" ht="15.75">
      <c r="A1167" s="35"/>
      <c r="B1167" s="36"/>
      <c r="C1167" s="36"/>
      <c r="D1167" s="36"/>
      <c r="E1167" s="36"/>
      <c r="F1167" s="36"/>
      <c r="G1167" s="36"/>
      <c r="H1167" s="36"/>
      <c r="I1167" s="36"/>
      <c r="J1167" s="36"/>
      <c r="K1167" s="36"/>
      <c r="L1167" s="36"/>
      <c r="M1167" s="36"/>
      <c r="N1167" s="36"/>
      <c r="O1167" s="36"/>
      <c r="P1167" s="36"/>
      <c r="Q1167" s="36"/>
      <c r="R1167" s="36"/>
      <c r="S1167" s="36"/>
    </row>
    <row r="1168" spans="1:19" ht="15.75">
      <c r="A1168" s="35"/>
      <c r="B1168" s="36"/>
      <c r="C1168" s="36"/>
      <c r="D1168" s="36"/>
      <c r="E1168" s="36"/>
      <c r="F1168" s="36"/>
      <c r="G1168" s="36"/>
      <c r="H1168" s="36"/>
      <c r="I1168" s="36"/>
      <c r="J1168" s="36"/>
      <c r="K1168" s="36"/>
      <c r="L1168" s="36"/>
      <c r="M1168" s="36"/>
      <c r="N1168" s="36"/>
      <c r="O1168" s="36"/>
      <c r="P1168" s="36"/>
      <c r="Q1168" s="36"/>
      <c r="R1168" s="36"/>
      <c r="S1168" s="36"/>
    </row>
    <row r="1169" spans="1:19" ht="15.75">
      <c r="A1169" s="35"/>
      <c r="B1169" s="36"/>
      <c r="C1169" s="3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  <c r="S1169" s="36"/>
    </row>
    <row r="1170" spans="1:19" ht="15.75">
      <c r="A1170" s="35"/>
      <c r="B1170" s="36"/>
      <c r="C1170" s="36"/>
      <c r="D1170" s="36"/>
      <c r="E1170" s="36"/>
      <c r="F1170" s="36"/>
      <c r="G1170" s="36"/>
      <c r="H1170" s="36"/>
      <c r="I1170" s="36"/>
      <c r="J1170" s="36"/>
      <c r="K1170" s="36"/>
      <c r="L1170" s="36"/>
      <c r="M1170" s="36"/>
      <c r="N1170" s="36"/>
      <c r="O1170" s="36"/>
      <c r="P1170" s="36"/>
      <c r="Q1170" s="36"/>
      <c r="R1170" s="36"/>
      <c r="S1170" s="36"/>
    </row>
    <row r="1171" spans="1:19" ht="15.75">
      <c r="A1171" s="35"/>
      <c r="B1171" s="36"/>
      <c r="C1171" s="36"/>
      <c r="D1171" s="36"/>
      <c r="E1171" s="36"/>
      <c r="F1171" s="36"/>
      <c r="G1171" s="36"/>
      <c r="H1171" s="36"/>
      <c r="I1171" s="36"/>
      <c r="J1171" s="36"/>
      <c r="K1171" s="36"/>
      <c r="L1171" s="36"/>
      <c r="M1171" s="36"/>
      <c r="N1171" s="36"/>
      <c r="O1171" s="36"/>
      <c r="P1171" s="36"/>
      <c r="Q1171" s="36"/>
      <c r="R1171" s="36"/>
      <c r="S1171" s="36"/>
    </row>
    <row r="1172" spans="1:19" ht="15.75">
      <c r="A1172" s="35"/>
      <c r="B1172" s="36"/>
      <c r="C1172" s="36"/>
      <c r="D1172" s="36"/>
      <c r="E1172" s="36"/>
      <c r="F1172" s="36"/>
      <c r="G1172" s="36"/>
      <c r="H1172" s="36"/>
      <c r="I1172" s="36"/>
      <c r="J1172" s="36"/>
      <c r="K1172" s="36"/>
      <c r="L1172" s="36"/>
      <c r="M1172" s="36"/>
      <c r="N1172" s="36"/>
      <c r="O1172" s="36"/>
      <c r="P1172" s="36"/>
      <c r="Q1172" s="36"/>
      <c r="R1172" s="36"/>
      <c r="S1172" s="36"/>
    </row>
    <row r="1173" spans="1:19" ht="15.75">
      <c r="A1173" s="35"/>
      <c r="B1173" s="36"/>
      <c r="C1173" s="3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  <c r="S1173" s="36"/>
    </row>
    <row r="1174" spans="1:19" ht="15.75">
      <c r="A1174" s="35"/>
      <c r="B1174" s="36"/>
      <c r="C1174" s="36"/>
      <c r="D1174" s="36"/>
      <c r="E1174" s="36"/>
      <c r="F1174" s="36"/>
      <c r="G1174" s="36"/>
      <c r="H1174" s="36"/>
      <c r="I1174" s="36"/>
      <c r="J1174" s="36"/>
      <c r="K1174" s="36"/>
      <c r="L1174" s="36"/>
      <c r="M1174" s="36"/>
      <c r="N1174" s="36"/>
      <c r="O1174" s="36"/>
      <c r="P1174" s="36"/>
      <c r="Q1174" s="36"/>
      <c r="R1174" s="36"/>
      <c r="S1174" s="36"/>
    </row>
    <row r="1175" spans="1:19" ht="15.75">
      <c r="A1175" s="35"/>
      <c r="B1175" s="36"/>
      <c r="C1175" s="36"/>
      <c r="D1175" s="36"/>
      <c r="E1175" s="36"/>
      <c r="F1175" s="36"/>
      <c r="G1175" s="36"/>
      <c r="H1175" s="36"/>
      <c r="I1175" s="36"/>
      <c r="J1175" s="36"/>
      <c r="K1175" s="36"/>
      <c r="L1175" s="36"/>
      <c r="M1175" s="36"/>
      <c r="N1175" s="36"/>
      <c r="O1175" s="36"/>
      <c r="P1175" s="36"/>
      <c r="Q1175" s="36"/>
      <c r="R1175" s="36"/>
      <c r="S1175" s="36"/>
    </row>
    <row r="1176" spans="1:19" ht="15.75">
      <c r="A1176" s="35"/>
      <c r="B1176" s="36"/>
      <c r="C1176" s="36"/>
      <c r="D1176" s="36"/>
      <c r="E1176" s="36"/>
      <c r="F1176" s="36"/>
      <c r="G1176" s="36"/>
      <c r="H1176" s="36"/>
      <c r="I1176" s="36"/>
      <c r="J1176" s="36"/>
      <c r="K1176" s="36"/>
      <c r="L1176" s="36"/>
      <c r="M1176" s="36"/>
      <c r="N1176" s="36"/>
      <c r="O1176" s="36"/>
      <c r="P1176" s="36"/>
      <c r="Q1176" s="36"/>
      <c r="R1176" s="36"/>
      <c r="S1176" s="36"/>
    </row>
    <row r="1177" spans="1:19" ht="15.75">
      <c r="A1177" s="35"/>
      <c r="B1177" s="36"/>
      <c r="C1177" s="3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  <c r="S1177" s="36"/>
    </row>
    <row r="1178" spans="1:19" ht="15.75">
      <c r="A1178" s="35"/>
      <c r="B1178" s="36"/>
      <c r="C1178" s="36"/>
      <c r="D1178" s="36"/>
      <c r="E1178" s="36"/>
      <c r="F1178" s="36"/>
      <c r="G1178" s="36"/>
      <c r="H1178" s="36"/>
      <c r="I1178" s="36"/>
      <c r="J1178" s="36"/>
      <c r="K1178" s="36"/>
      <c r="L1178" s="36"/>
      <c r="M1178" s="36"/>
      <c r="N1178" s="36"/>
      <c r="O1178" s="36"/>
      <c r="P1178" s="36"/>
      <c r="Q1178" s="36"/>
      <c r="R1178" s="36"/>
      <c r="S1178" s="36"/>
    </row>
    <row r="1179" spans="1:19" ht="15.75">
      <c r="A1179" s="35"/>
      <c r="B1179" s="36"/>
      <c r="C1179" s="36"/>
      <c r="D1179" s="36"/>
      <c r="E1179" s="36"/>
      <c r="F1179" s="36"/>
      <c r="G1179" s="36"/>
      <c r="H1179" s="36"/>
      <c r="I1179" s="36"/>
      <c r="J1179" s="36"/>
      <c r="K1179" s="36"/>
      <c r="L1179" s="36"/>
      <c r="M1179" s="36"/>
      <c r="N1179" s="36"/>
      <c r="O1179" s="36"/>
      <c r="P1179" s="36"/>
      <c r="Q1179" s="36"/>
      <c r="R1179" s="36"/>
      <c r="S1179" s="36"/>
    </row>
    <row r="1180" spans="1:19" ht="15.75">
      <c r="A1180" s="35"/>
      <c r="B1180" s="36"/>
      <c r="C1180" s="36"/>
      <c r="D1180" s="36"/>
      <c r="E1180" s="36"/>
      <c r="F1180" s="36"/>
      <c r="G1180" s="36"/>
      <c r="H1180" s="36"/>
      <c r="I1180" s="36"/>
      <c r="J1180" s="36"/>
      <c r="K1180" s="36"/>
      <c r="L1180" s="36"/>
      <c r="M1180" s="36"/>
      <c r="N1180" s="36"/>
      <c r="O1180" s="36"/>
      <c r="P1180" s="36"/>
      <c r="Q1180" s="36"/>
      <c r="R1180" s="36"/>
      <c r="S1180" s="36"/>
    </row>
    <row r="1181" spans="1:19" ht="15.75">
      <c r="A1181" s="35"/>
      <c r="B1181" s="36"/>
      <c r="C1181" s="3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  <c r="S1181" s="36"/>
    </row>
    <row r="1182" spans="1:19" ht="15.75">
      <c r="A1182" s="35"/>
      <c r="B1182" s="36"/>
      <c r="C1182" s="36"/>
      <c r="D1182" s="36"/>
      <c r="E1182" s="36"/>
      <c r="F1182" s="36"/>
      <c r="G1182" s="36"/>
      <c r="H1182" s="36"/>
      <c r="I1182" s="36"/>
      <c r="J1182" s="36"/>
      <c r="K1182" s="36"/>
      <c r="L1182" s="36"/>
      <c r="M1182" s="36"/>
      <c r="N1182" s="36"/>
      <c r="O1182" s="36"/>
      <c r="P1182" s="36"/>
      <c r="Q1182" s="36"/>
      <c r="R1182" s="36"/>
      <c r="S1182" s="36"/>
    </row>
    <row r="1183" spans="1:19" ht="15.75">
      <c r="A1183" s="35"/>
      <c r="B1183" s="36"/>
      <c r="C1183" s="36"/>
      <c r="D1183" s="36"/>
      <c r="E1183" s="36"/>
      <c r="F1183" s="36"/>
      <c r="G1183" s="36"/>
      <c r="H1183" s="36"/>
      <c r="I1183" s="36"/>
      <c r="J1183" s="36"/>
      <c r="K1183" s="36"/>
      <c r="L1183" s="36"/>
      <c r="M1183" s="36"/>
      <c r="N1183" s="36"/>
      <c r="O1183" s="36"/>
      <c r="P1183" s="36"/>
      <c r="Q1183" s="36"/>
      <c r="R1183" s="36"/>
      <c r="S1183" s="36"/>
    </row>
    <row r="1184" spans="1:19" ht="15.75">
      <c r="A1184" s="35"/>
      <c r="B1184" s="36"/>
      <c r="C1184" s="36"/>
      <c r="D1184" s="36"/>
      <c r="E1184" s="36"/>
      <c r="F1184" s="36"/>
      <c r="G1184" s="36"/>
      <c r="H1184" s="36"/>
      <c r="I1184" s="36"/>
      <c r="J1184" s="36"/>
      <c r="K1184" s="36"/>
      <c r="L1184" s="36"/>
      <c r="M1184" s="36"/>
      <c r="N1184" s="36"/>
      <c r="O1184" s="36"/>
      <c r="P1184" s="36"/>
      <c r="Q1184" s="36"/>
      <c r="R1184" s="36"/>
      <c r="S1184" s="36"/>
    </row>
    <row r="1185" spans="1:19" ht="15.75">
      <c r="A1185" s="35"/>
      <c r="B1185" s="36"/>
      <c r="C1185" s="3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  <c r="S1185" s="36"/>
    </row>
    <row r="1186" spans="1:19" ht="15.75">
      <c r="A1186" s="35"/>
      <c r="B1186" s="36"/>
      <c r="C1186" s="36"/>
      <c r="D1186" s="36"/>
      <c r="E1186" s="36"/>
      <c r="F1186" s="36"/>
      <c r="G1186" s="36"/>
      <c r="H1186" s="36"/>
      <c r="I1186" s="36"/>
      <c r="J1186" s="36"/>
      <c r="K1186" s="36"/>
      <c r="L1186" s="36"/>
      <c r="M1186" s="36"/>
      <c r="N1186" s="36"/>
      <c r="O1186" s="36"/>
      <c r="P1186" s="36"/>
      <c r="Q1186" s="36"/>
      <c r="R1186" s="36"/>
      <c r="S1186" s="36"/>
    </row>
    <row r="1187" spans="1:19" ht="15.75">
      <c r="A1187" s="35"/>
      <c r="B1187" s="36"/>
      <c r="C1187" s="36"/>
      <c r="D1187" s="36"/>
      <c r="E1187" s="36"/>
      <c r="F1187" s="36"/>
      <c r="G1187" s="36"/>
      <c r="H1187" s="36"/>
      <c r="I1187" s="36"/>
      <c r="J1187" s="36"/>
      <c r="K1187" s="36"/>
      <c r="L1187" s="36"/>
      <c r="M1187" s="36"/>
      <c r="N1187" s="36"/>
      <c r="O1187" s="36"/>
      <c r="P1187" s="36"/>
      <c r="Q1187" s="36"/>
      <c r="R1187" s="36"/>
      <c r="S1187" s="36"/>
    </row>
    <row r="1188" spans="1:19" ht="15.75">
      <c r="A1188" s="35"/>
      <c r="B1188" s="36"/>
      <c r="C1188" s="36"/>
      <c r="D1188" s="36"/>
      <c r="E1188" s="36"/>
      <c r="F1188" s="36"/>
      <c r="G1188" s="36"/>
      <c r="H1188" s="36"/>
      <c r="I1188" s="36"/>
      <c r="J1188" s="36"/>
      <c r="K1188" s="36"/>
      <c r="L1188" s="36"/>
      <c r="M1188" s="36"/>
      <c r="N1188" s="36"/>
      <c r="O1188" s="36"/>
      <c r="P1188" s="36"/>
      <c r="Q1188" s="36"/>
      <c r="R1188" s="36"/>
      <c r="S1188" s="36"/>
    </row>
    <row r="1189" spans="1:19" ht="15.75">
      <c r="A1189" s="35"/>
      <c r="B1189" s="36"/>
      <c r="C1189" s="3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  <c r="S1189" s="36"/>
    </row>
    <row r="1190" spans="1:19" ht="15.75">
      <c r="A1190" s="35"/>
      <c r="B1190" s="36"/>
      <c r="C1190" s="36"/>
      <c r="D1190" s="36"/>
      <c r="E1190" s="36"/>
      <c r="F1190" s="36"/>
      <c r="G1190" s="36"/>
      <c r="H1190" s="36"/>
      <c r="I1190" s="36"/>
      <c r="J1190" s="36"/>
      <c r="K1190" s="36"/>
      <c r="L1190" s="36"/>
      <c r="M1190" s="36"/>
      <c r="N1190" s="36"/>
      <c r="O1190" s="36"/>
      <c r="P1190" s="36"/>
      <c r="Q1190" s="36"/>
      <c r="R1190" s="36"/>
      <c r="S1190" s="36"/>
    </row>
    <row r="1191" spans="1:19" ht="15.75">
      <c r="A1191" s="35"/>
      <c r="B1191" s="36"/>
      <c r="C1191" s="36"/>
      <c r="D1191" s="36"/>
      <c r="E1191" s="36"/>
      <c r="F1191" s="36"/>
      <c r="G1191" s="36"/>
      <c r="H1191" s="36"/>
      <c r="I1191" s="36"/>
      <c r="J1191" s="36"/>
      <c r="K1191" s="36"/>
      <c r="L1191" s="36"/>
      <c r="M1191" s="36"/>
      <c r="N1191" s="36"/>
      <c r="O1191" s="36"/>
      <c r="P1191" s="36"/>
      <c r="Q1191" s="36"/>
      <c r="R1191" s="36"/>
      <c r="S1191" s="36"/>
    </row>
    <row r="1192" spans="1:19" ht="15.75">
      <c r="A1192" s="35"/>
      <c r="B1192" s="36"/>
      <c r="C1192" s="36"/>
      <c r="D1192" s="36"/>
      <c r="E1192" s="36"/>
      <c r="F1192" s="36"/>
      <c r="G1192" s="36"/>
      <c r="H1192" s="36"/>
      <c r="I1192" s="36"/>
      <c r="J1192" s="36"/>
      <c r="K1192" s="36"/>
      <c r="L1192" s="36"/>
      <c r="M1192" s="36"/>
      <c r="N1192" s="36"/>
      <c r="O1192" s="36"/>
      <c r="P1192" s="36"/>
      <c r="Q1192" s="36"/>
      <c r="R1192" s="36"/>
      <c r="S1192" s="36"/>
    </row>
    <row r="1193" spans="1:19" ht="15.75">
      <c r="A1193" s="35"/>
      <c r="B1193" s="36"/>
      <c r="C1193" s="3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  <c r="S1193" s="36"/>
    </row>
    <row r="1194" spans="1:19" ht="15.75">
      <c r="A1194" s="35"/>
      <c r="B1194" s="36"/>
      <c r="C1194" s="36"/>
      <c r="D1194" s="36"/>
      <c r="E1194" s="36"/>
      <c r="F1194" s="36"/>
      <c r="G1194" s="36"/>
      <c r="H1194" s="36"/>
      <c r="I1194" s="36"/>
      <c r="J1194" s="36"/>
      <c r="K1194" s="36"/>
      <c r="L1194" s="36"/>
      <c r="M1194" s="36"/>
      <c r="N1194" s="36"/>
      <c r="O1194" s="36"/>
      <c r="P1194" s="36"/>
      <c r="Q1194" s="36"/>
      <c r="R1194" s="36"/>
      <c r="S1194" s="36"/>
    </row>
    <row r="1195" spans="1:19" ht="15.75">
      <c r="A1195" s="35"/>
      <c r="B1195" s="36"/>
      <c r="C1195" s="36"/>
      <c r="D1195" s="36"/>
      <c r="E1195" s="36"/>
      <c r="F1195" s="36"/>
      <c r="G1195" s="36"/>
      <c r="H1195" s="36"/>
      <c r="I1195" s="36"/>
      <c r="J1195" s="36"/>
      <c r="K1195" s="36"/>
      <c r="L1195" s="36"/>
      <c r="M1195" s="36"/>
      <c r="N1195" s="36"/>
      <c r="O1195" s="36"/>
      <c r="P1195" s="36"/>
      <c r="Q1195" s="36"/>
      <c r="R1195" s="36"/>
      <c r="S1195" s="36"/>
    </row>
    <row r="1196" spans="1:19" ht="15.75">
      <c r="A1196" s="35"/>
      <c r="B1196" s="36"/>
      <c r="C1196" s="36"/>
      <c r="D1196" s="36"/>
      <c r="E1196" s="36"/>
      <c r="F1196" s="36"/>
      <c r="G1196" s="36"/>
      <c r="H1196" s="36"/>
      <c r="I1196" s="36"/>
      <c r="J1196" s="36"/>
      <c r="K1196" s="36"/>
      <c r="L1196" s="36"/>
      <c r="M1196" s="36"/>
      <c r="N1196" s="36"/>
      <c r="O1196" s="36"/>
      <c r="P1196" s="36"/>
      <c r="Q1196" s="36"/>
      <c r="R1196" s="36"/>
      <c r="S1196" s="36"/>
    </row>
    <row r="1197" spans="1:19" ht="15.75">
      <c r="A1197" s="35"/>
      <c r="B1197" s="36"/>
      <c r="C1197" s="3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  <c r="S1197" s="36"/>
    </row>
    <row r="1198" spans="1:19" ht="15.75">
      <c r="A1198" s="35"/>
      <c r="B1198" s="36"/>
      <c r="C1198" s="36"/>
      <c r="D1198" s="36"/>
      <c r="E1198" s="36"/>
      <c r="F1198" s="36"/>
      <c r="G1198" s="36"/>
      <c r="H1198" s="36"/>
      <c r="I1198" s="36"/>
      <c r="J1198" s="36"/>
      <c r="K1198" s="36"/>
      <c r="L1198" s="36"/>
      <c r="M1198" s="36"/>
      <c r="N1198" s="36"/>
      <c r="O1198" s="36"/>
      <c r="P1198" s="36"/>
      <c r="Q1198" s="36"/>
      <c r="R1198" s="36"/>
      <c r="S1198" s="36"/>
    </row>
    <row r="1199" spans="1:19" ht="15.75">
      <c r="A1199" s="35"/>
      <c r="B1199" s="36"/>
      <c r="C1199" s="36"/>
      <c r="D1199" s="36"/>
      <c r="E1199" s="36"/>
      <c r="F1199" s="36"/>
      <c r="G1199" s="36"/>
      <c r="H1199" s="36"/>
      <c r="I1199" s="36"/>
      <c r="J1199" s="36"/>
      <c r="K1199" s="36"/>
      <c r="L1199" s="36"/>
      <c r="M1199" s="36"/>
      <c r="N1199" s="36"/>
      <c r="O1199" s="36"/>
      <c r="P1199" s="36"/>
      <c r="Q1199" s="36"/>
      <c r="R1199" s="36"/>
      <c r="S1199" s="36"/>
    </row>
    <row r="1200" spans="1:19" ht="15.75">
      <c r="A1200" s="35"/>
      <c r="B1200" s="36"/>
      <c r="C1200" s="36"/>
      <c r="D1200" s="36"/>
      <c r="E1200" s="36"/>
      <c r="F1200" s="36"/>
      <c r="G1200" s="36"/>
      <c r="H1200" s="36"/>
      <c r="I1200" s="36"/>
      <c r="J1200" s="36"/>
      <c r="K1200" s="36"/>
      <c r="L1200" s="36"/>
      <c r="M1200" s="36"/>
      <c r="N1200" s="36"/>
      <c r="O1200" s="36"/>
      <c r="P1200" s="36"/>
      <c r="Q1200" s="36"/>
      <c r="R1200" s="36"/>
      <c r="S1200" s="36"/>
    </row>
    <row r="1201" spans="1:19" ht="15.75">
      <c r="A1201" s="35"/>
      <c r="B1201" s="36"/>
      <c r="C1201" s="3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  <c r="S1201" s="36"/>
    </row>
    <row r="1202" spans="1:19" ht="15.75">
      <c r="A1202" s="35"/>
      <c r="B1202" s="36"/>
      <c r="C1202" s="36"/>
      <c r="D1202" s="36"/>
      <c r="E1202" s="36"/>
      <c r="F1202" s="36"/>
      <c r="G1202" s="36"/>
      <c r="H1202" s="36"/>
      <c r="I1202" s="36"/>
      <c r="J1202" s="36"/>
      <c r="K1202" s="36"/>
      <c r="L1202" s="36"/>
      <c r="M1202" s="36"/>
      <c r="N1202" s="36"/>
      <c r="O1202" s="36"/>
      <c r="P1202" s="36"/>
      <c r="Q1202" s="36"/>
      <c r="R1202" s="36"/>
      <c r="S1202" s="36"/>
    </row>
    <row r="1203" spans="1:19" ht="15.75">
      <c r="A1203" s="35"/>
      <c r="B1203" s="36"/>
      <c r="C1203" s="36"/>
      <c r="D1203" s="36"/>
      <c r="E1203" s="36"/>
      <c r="F1203" s="36"/>
      <c r="G1203" s="36"/>
      <c r="H1203" s="36"/>
      <c r="I1203" s="36"/>
      <c r="J1203" s="36"/>
      <c r="K1203" s="36"/>
      <c r="L1203" s="36"/>
      <c r="M1203" s="36"/>
      <c r="N1203" s="36"/>
      <c r="O1203" s="36"/>
      <c r="P1203" s="36"/>
      <c r="Q1203" s="36"/>
      <c r="R1203" s="36"/>
      <c r="S1203" s="36"/>
    </row>
    <row r="1204" spans="1:19" ht="15.75">
      <c r="A1204" s="35"/>
      <c r="B1204" s="36"/>
      <c r="C1204" s="36"/>
      <c r="D1204" s="36"/>
      <c r="E1204" s="36"/>
      <c r="F1204" s="36"/>
      <c r="G1204" s="36"/>
      <c r="H1204" s="36"/>
      <c r="I1204" s="36"/>
      <c r="J1204" s="36"/>
      <c r="K1204" s="36"/>
      <c r="L1204" s="36"/>
      <c r="M1204" s="36"/>
      <c r="N1204" s="36"/>
      <c r="O1204" s="36"/>
      <c r="P1204" s="36"/>
      <c r="Q1204" s="36"/>
      <c r="R1204" s="36"/>
      <c r="S1204" s="36"/>
    </row>
    <row r="1205" spans="1:19" ht="15.75">
      <c r="A1205" s="35"/>
      <c r="B1205" s="36"/>
      <c r="C1205" s="3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  <c r="S1205" s="36"/>
    </row>
    <row r="1206" spans="1:19" ht="15.75">
      <c r="A1206" s="35"/>
      <c r="B1206" s="36"/>
      <c r="C1206" s="36"/>
      <c r="D1206" s="36"/>
      <c r="E1206" s="36"/>
      <c r="F1206" s="36"/>
      <c r="G1206" s="36"/>
      <c r="H1206" s="36"/>
      <c r="I1206" s="36"/>
      <c r="J1206" s="36"/>
      <c r="K1206" s="36"/>
      <c r="L1206" s="36"/>
      <c r="M1206" s="36"/>
      <c r="N1206" s="36"/>
      <c r="O1206" s="36"/>
      <c r="P1206" s="36"/>
      <c r="Q1206" s="36"/>
      <c r="R1206" s="36"/>
      <c r="S1206" s="36"/>
    </row>
    <row r="1207" spans="1:19" ht="15.75">
      <c r="A1207" s="35"/>
      <c r="B1207" s="36"/>
      <c r="C1207" s="36"/>
      <c r="D1207" s="36"/>
      <c r="E1207" s="36"/>
      <c r="F1207" s="36"/>
      <c r="G1207" s="36"/>
      <c r="H1207" s="36"/>
      <c r="I1207" s="36"/>
      <c r="J1207" s="36"/>
      <c r="K1207" s="36"/>
      <c r="L1207" s="36"/>
      <c r="M1207" s="36"/>
      <c r="N1207" s="36"/>
      <c r="O1207" s="36"/>
      <c r="P1207" s="36"/>
      <c r="Q1207" s="36"/>
      <c r="R1207" s="36"/>
      <c r="S1207" s="36"/>
    </row>
    <row r="1208" spans="1:19" ht="15.75">
      <c r="A1208" s="35"/>
      <c r="B1208" s="36"/>
      <c r="C1208" s="36"/>
      <c r="D1208" s="36"/>
      <c r="E1208" s="36"/>
      <c r="F1208" s="36"/>
      <c r="G1208" s="36"/>
      <c r="H1208" s="36"/>
      <c r="I1208" s="36"/>
      <c r="J1208" s="36"/>
      <c r="K1208" s="36"/>
      <c r="L1208" s="36"/>
      <c r="M1208" s="36"/>
      <c r="N1208" s="36"/>
      <c r="O1208" s="36"/>
      <c r="P1208" s="36"/>
      <c r="Q1208" s="36"/>
      <c r="R1208" s="36"/>
      <c r="S1208" s="36"/>
    </row>
    <row r="1209" spans="1:19" ht="15.75">
      <c r="A1209" s="35"/>
      <c r="B1209" s="36"/>
      <c r="C1209" s="3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  <c r="S1209" s="36"/>
    </row>
    <row r="1210" spans="1:19" ht="15.75">
      <c r="A1210" s="35"/>
      <c r="B1210" s="36"/>
      <c r="C1210" s="36"/>
      <c r="D1210" s="36"/>
      <c r="E1210" s="36"/>
      <c r="F1210" s="36"/>
      <c r="G1210" s="36"/>
      <c r="H1210" s="36"/>
      <c r="I1210" s="36"/>
      <c r="J1210" s="36"/>
      <c r="K1210" s="36"/>
      <c r="L1210" s="36"/>
      <c r="M1210" s="36"/>
      <c r="N1210" s="36"/>
      <c r="O1210" s="36"/>
      <c r="P1210" s="36"/>
      <c r="Q1210" s="36"/>
      <c r="R1210" s="36"/>
      <c r="S1210" s="36"/>
    </row>
    <row r="1211" spans="1:19" ht="15.75">
      <c r="A1211" s="35"/>
      <c r="B1211" s="36"/>
      <c r="C1211" s="36"/>
      <c r="D1211" s="36"/>
      <c r="E1211" s="36"/>
      <c r="F1211" s="36"/>
      <c r="G1211" s="36"/>
      <c r="H1211" s="36"/>
      <c r="I1211" s="36"/>
      <c r="J1211" s="36"/>
      <c r="K1211" s="36"/>
      <c r="L1211" s="36"/>
      <c r="M1211" s="36"/>
      <c r="N1211" s="36"/>
      <c r="O1211" s="36"/>
      <c r="P1211" s="36"/>
      <c r="Q1211" s="36"/>
      <c r="R1211" s="36"/>
      <c r="S1211" s="36"/>
    </row>
    <row r="1212" spans="1:19" ht="15.75">
      <c r="A1212" s="35"/>
      <c r="B1212" s="36"/>
      <c r="C1212" s="36"/>
      <c r="D1212" s="36"/>
      <c r="E1212" s="36"/>
      <c r="F1212" s="36"/>
      <c r="G1212" s="36"/>
      <c r="H1212" s="36"/>
      <c r="I1212" s="36"/>
      <c r="J1212" s="36"/>
      <c r="K1212" s="36"/>
      <c r="L1212" s="36"/>
      <c r="M1212" s="36"/>
      <c r="N1212" s="36"/>
      <c r="O1212" s="36"/>
      <c r="P1212" s="36"/>
      <c r="Q1212" s="36"/>
      <c r="R1212" s="36"/>
      <c r="S1212" s="36"/>
    </row>
    <row r="1213" spans="1:19" ht="15.75">
      <c r="A1213" s="35"/>
      <c r="B1213" s="36"/>
      <c r="C1213" s="3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  <c r="S1213" s="36"/>
    </row>
    <row r="1214" spans="1:19" ht="15.75">
      <c r="A1214" s="35"/>
      <c r="B1214" s="36"/>
      <c r="C1214" s="36"/>
      <c r="D1214" s="36"/>
      <c r="E1214" s="36"/>
      <c r="F1214" s="36"/>
      <c r="G1214" s="36"/>
      <c r="H1214" s="36"/>
      <c r="I1214" s="36"/>
      <c r="J1214" s="36"/>
      <c r="K1214" s="36"/>
      <c r="L1214" s="36"/>
      <c r="M1214" s="36"/>
      <c r="N1214" s="36"/>
      <c r="O1214" s="36"/>
      <c r="P1214" s="36"/>
      <c r="Q1214" s="36"/>
      <c r="R1214" s="36"/>
      <c r="S1214" s="36"/>
    </row>
    <row r="1215" spans="1:19" ht="15.75">
      <c r="A1215" s="35"/>
      <c r="B1215" s="36"/>
      <c r="C1215" s="36"/>
      <c r="D1215" s="36"/>
      <c r="E1215" s="36"/>
      <c r="F1215" s="36"/>
      <c r="G1215" s="36"/>
      <c r="H1215" s="36"/>
      <c r="I1215" s="36"/>
      <c r="J1215" s="36"/>
      <c r="K1215" s="36"/>
      <c r="L1215" s="36"/>
      <c r="M1215" s="36"/>
      <c r="N1215" s="36"/>
      <c r="O1215" s="36"/>
      <c r="P1215" s="36"/>
      <c r="Q1215" s="36"/>
      <c r="R1215" s="36"/>
      <c r="S1215" s="36"/>
    </row>
    <row r="1216" spans="1:19" ht="15.75">
      <c r="A1216" s="35"/>
      <c r="B1216" s="36"/>
      <c r="C1216" s="36"/>
      <c r="D1216" s="36"/>
      <c r="E1216" s="36"/>
      <c r="F1216" s="36"/>
      <c r="G1216" s="36"/>
      <c r="H1216" s="36"/>
      <c r="I1216" s="36"/>
      <c r="J1216" s="36"/>
      <c r="K1216" s="36"/>
      <c r="L1216" s="36"/>
      <c r="M1216" s="36"/>
      <c r="N1216" s="36"/>
      <c r="O1216" s="36"/>
      <c r="P1216" s="36"/>
      <c r="Q1216" s="36"/>
      <c r="R1216" s="36"/>
      <c r="S1216" s="36"/>
    </row>
    <row r="1217" spans="1:19" ht="15.75">
      <c r="A1217" s="35"/>
      <c r="B1217" s="36"/>
      <c r="C1217" s="3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  <c r="S1217" s="36"/>
    </row>
    <row r="1218" spans="1:19" ht="15.75">
      <c r="A1218" s="35"/>
      <c r="B1218" s="36"/>
      <c r="C1218" s="36"/>
      <c r="D1218" s="36"/>
      <c r="E1218" s="36"/>
      <c r="F1218" s="36"/>
      <c r="G1218" s="36"/>
      <c r="H1218" s="36"/>
      <c r="I1218" s="36"/>
      <c r="J1218" s="36"/>
      <c r="K1218" s="36"/>
      <c r="L1218" s="36"/>
      <c r="M1218" s="36"/>
      <c r="N1218" s="36"/>
      <c r="O1218" s="36"/>
      <c r="P1218" s="36"/>
      <c r="Q1218" s="36"/>
      <c r="R1218" s="36"/>
      <c r="S1218" s="36"/>
    </row>
    <row r="1219" spans="1:19" ht="15.75">
      <c r="A1219" s="35"/>
      <c r="B1219" s="36"/>
      <c r="C1219" s="36"/>
      <c r="D1219" s="36"/>
      <c r="E1219" s="36"/>
      <c r="F1219" s="36"/>
      <c r="G1219" s="36"/>
      <c r="H1219" s="36"/>
      <c r="I1219" s="36"/>
      <c r="J1219" s="36"/>
      <c r="K1219" s="36"/>
      <c r="L1219" s="36"/>
      <c r="M1219" s="36"/>
      <c r="N1219" s="36"/>
      <c r="O1219" s="36"/>
      <c r="P1219" s="36"/>
      <c r="Q1219" s="36"/>
      <c r="R1219" s="36"/>
      <c r="S1219" s="36"/>
    </row>
    <row r="1220" spans="1:19" ht="15.75">
      <c r="A1220" s="35"/>
      <c r="B1220" s="36"/>
      <c r="C1220" s="36"/>
      <c r="D1220" s="36"/>
      <c r="E1220" s="36"/>
      <c r="F1220" s="36"/>
      <c r="G1220" s="36"/>
      <c r="H1220" s="36"/>
      <c r="I1220" s="36"/>
      <c r="J1220" s="36"/>
      <c r="K1220" s="36"/>
      <c r="L1220" s="36"/>
      <c r="M1220" s="36"/>
      <c r="N1220" s="36"/>
      <c r="O1220" s="36"/>
      <c r="P1220" s="36"/>
      <c r="Q1220" s="36"/>
      <c r="R1220" s="36"/>
      <c r="S1220" s="36"/>
    </row>
    <row r="1221" spans="1:19" ht="15.75">
      <c r="A1221" s="35"/>
      <c r="B1221" s="36"/>
      <c r="C1221" s="3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  <c r="S1221" s="36"/>
    </row>
    <row r="1222" spans="1:19" ht="15.75">
      <c r="A1222" s="35"/>
      <c r="B1222" s="36"/>
      <c r="C1222" s="36"/>
      <c r="D1222" s="36"/>
      <c r="E1222" s="36"/>
      <c r="F1222" s="36"/>
      <c r="G1222" s="36"/>
      <c r="H1222" s="36"/>
      <c r="I1222" s="36"/>
      <c r="J1222" s="36"/>
      <c r="K1222" s="36"/>
      <c r="L1222" s="36"/>
      <c r="M1222" s="36"/>
      <c r="N1222" s="36"/>
      <c r="O1222" s="36"/>
      <c r="P1222" s="36"/>
      <c r="Q1222" s="36"/>
      <c r="R1222" s="36"/>
      <c r="S1222" s="36"/>
    </row>
    <row r="1223" spans="1:19" ht="15.75">
      <c r="A1223" s="35"/>
      <c r="B1223" s="36"/>
      <c r="C1223" s="36"/>
      <c r="D1223" s="36"/>
      <c r="E1223" s="36"/>
      <c r="F1223" s="36"/>
      <c r="G1223" s="36"/>
      <c r="H1223" s="36"/>
      <c r="I1223" s="36"/>
      <c r="J1223" s="36"/>
      <c r="K1223" s="36"/>
      <c r="L1223" s="36"/>
      <c r="M1223" s="36"/>
      <c r="N1223" s="36"/>
      <c r="O1223" s="36"/>
      <c r="P1223" s="36"/>
      <c r="Q1223" s="36"/>
      <c r="R1223" s="36"/>
      <c r="S1223" s="36"/>
    </row>
    <row r="1224" spans="1:19" ht="15.75">
      <c r="A1224" s="35"/>
      <c r="B1224" s="36"/>
      <c r="C1224" s="36"/>
      <c r="D1224" s="36"/>
      <c r="E1224" s="36"/>
      <c r="F1224" s="36"/>
      <c r="G1224" s="36"/>
      <c r="H1224" s="36"/>
      <c r="I1224" s="36"/>
      <c r="J1224" s="36"/>
      <c r="K1224" s="36"/>
      <c r="L1224" s="36"/>
      <c r="M1224" s="36"/>
      <c r="N1224" s="36"/>
      <c r="O1224" s="36"/>
      <c r="P1224" s="36"/>
      <c r="Q1224" s="36"/>
      <c r="R1224" s="36"/>
      <c r="S1224" s="36"/>
    </row>
    <row r="1225" spans="1:19" ht="15.75">
      <c r="A1225" s="35"/>
      <c r="B1225" s="36"/>
      <c r="C1225" s="3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  <c r="S1225" s="36"/>
    </row>
    <row r="1226" spans="1:19" ht="15.75">
      <c r="A1226" s="35"/>
      <c r="B1226" s="36"/>
      <c r="C1226" s="36"/>
      <c r="D1226" s="36"/>
      <c r="E1226" s="36"/>
      <c r="F1226" s="36"/>
      <c r="G1226" s="36"/>
      <c r="H1226" s="36"/>
      <c r="I1226" s="36"/>
      <c r="J1226" s="36"/>
      <c r="K1226" s="36"/>
      <c r="L1226" s="36"/>
      <c r="M1226" s="36"/>
      <c r="N1226" s="36"/>
      <c r="O1226" s="36"/>
      <c r="P1226" s="36"/>
      <c r="Q1226" s="36"/>
      <c r="R1226" s="36"/>
      <c r="S1226" s="36"/>
    </row>
    <row r="1227" spans="1:19" ht="15.75">
      <c r="A1227" s="35"/>
      <c r="B1227" s="36"/>
      <c r="C1227" s="36"/>
      <c r="D1227" s="36"/>
      <c r="E1227" s="36"/>
      <c r="F1227" s="36"/>
      <c r="G1227" s="36"/>
      <c r="H1227" s="36"/>
      <c r="I1227" s="36"/>
      <c r="J1227" s="36"/>
      <c r="K1227" s="36"/>
      <c r="L1227" s="36"/>
      <c r="M1227" s="36"/>
      <c r="N1227" s="36"/>
      <c r="O1227" s="36"/>
      <c r="P1227" s="36"/>
      <c r="Q1227" s="36"/>
      <c r="R1227" s="36"/>
      <c r="S1227" s="36"/>
    </row>
    <row r="1228" spans="1:19" ht="15.75">
      <c r="A1228" s="35"/>
      <c r="B1228" s="36"/>
      <c r="C1228" s="36"/>
      <c r="D1228" s="36"/>
      <c r="E1228" s="36"/>
      <c r="F1228" s="36"/>
      <c r="G1228" s="36"/>
      <c r="H1228" s="36"/>
      <c r="I1228" s="36"/>
      <c r="J1228" s="36"/>
      <c r="K1228" s="36"/>
      <c r="L1228" s="36"/>
      <c r="M1228" s="36"/>
      <c r="N1228" s="36"/>
      <c r="O1228" s="36"/>
      <c r="P1228" s="36"/>
      <c r="Q1228" s="36"/>
      <c r="R1228" s="36"/>
      <c r="S1228" s="36"/>
    </row>
    <row r="1229" spans="1:19" ht="15.75">
      <c r="A1229" s="35"/>
      <c r="B1229" s="36"/>
      <c r="C1229" s="3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  <c r="S1229" s="36"/>
    </row>
    <row r="1230" spans="1:19" ht="15.75">
      <c r="A1230" s="35"/>
      <c r="B1230" s="36"/>
      <c r="C1230" s="36"/>
      <c r="D1230" s="36"/>
      <c r="E1230" s="36"/>
      <c r="F1230" s="36"/>
      <c r="G1230" s="36"/>
      <c r="H1230" s="36"/>
      <c r="I1230" s="36"/>
      <c r="J1230" s="36"/>
      <c r="K1230" s="36"/>
      <c r="L1230" s="36"/>
      <c r="M1230" s="36"/>
      <c r="N1230" s="36"/>
      <c r="O1230" s="36"/>
      <c r="P1230" s="36"/>
      <c r="Q1230" s="36"/>
      <c r="R1230" s="36"/>
      <c r="S1230" s="36"/>
    </row>
    <row r="1231" spans="1:19" ht="15.75">
      <c r="A1231" s="35"/>
      <c r="B1231" s="36"/>
      <c r="C1231" s="36"/>
      <c r="D1231" s="36"/>
      <c r="E1231" s="36"/>
      <c r="F1231" s="36"/>
      <c r="G1231" s="36"/>
      <c r="H1231" s="36"/>
      <c r="I1231" s="36"/>
      <c r="J1231" s="36"/>
      <c r="K1231" s="36"/>
      <c r="L1231" s="36"/>
      <c r="M1231" s="36"/>
      <c r="N1231" s="36"/>
      <c r="O1231" s="36"/>
      <c r="P1231" s="36"/>
      <c r="Q1231" s="36"/>
      <c r="R1231" s="36"/>
      <c r="S1231" s="36"/>
    </row>
    <row r="1232" spans="1:19" ht="15.75">
      <c r="A1232" s="35"/>
      <c r="B1232" s="36"/>
      <c r="C1232" s="36"/>
      <c r="D1232" s="36"/>
      <c r="E1232" s="36"/>
      <c r="F1232" s="36"/>
      <c r="G1232" s="36"/>
      <c r="H1232" s="36"/>
      <c r="I1232" s="36"/>
      <c r="J1232" s="36"/>
      <c r="K1232" s="36"/>
      <c r="L1232" s="36"/>
      <c r="M1232" s="36"/>
      <c r="N1232" s="36"/>
      <c r="O1232" s="36"/>
      <c r="P1232" s="36"/>
      <c r="Q1232" s="36"/>
      <c r="R1232" s="36"/>
      <c r="S1232" s="36"/>
    </row>
    <row r="1233" spans="1:19" ht="15.75">
      <c r="A1233" s="35"/>
      <c r="B1233" s="36"/>
      <c r="C1233" s="3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  <c r="S1233" s="36"/>
    </row>
    <row r="1234" spans="1:19" ht="15.75">
      <c r="A1234" s="35"/>
      <c r="B1234" s="36"/>
      <c r="C1234" s="36"/>
      <c r="D1234" s="36"/>
      <c r="E1234" s="36"/>
      <c r="F1234" s="36"/>
      <c r="G1234" s="36"/>
      <c r="H1234" s="36"/>
      <c r="I1234" s="36"/>
      <c r="J1234" s="36"/>
      <c r="K1234" s="36"/>
      <c r="L1234" s="36"/>
      <c r="M1234" s="36"/>
      <c r="N1234" s="36"/>
      <c r="O1234" s="36"/>
      <c r="P1234" s="36"/>
      <c r="Q1234" s="36"/>
      <c r="R1234" s="36"/>
      <c r="S1234" s="36"/>
    </row>
    <row r="1235" spans="1:19" ht="15.75">
      <c r="A1235" s="35"/>
      <c r="B1235" s="36"/>
      <c r="C1235" s="36"/>
      <c r="D1235" s="36"/>
      <c r="E1235" s="36"/>
      <c r="F1235" s="36"/>
      <c r="G1235" s="36"/>
      <c r="H1235" s="36"/>
      <c r="I1235" s="36"/>
      <c r="J1235" s="36"/>
      <c r="K1235" s="36"/>
      <c r="L1235" s="36"/>
      <c r="M1235" s="36"/>
      <c r="N1235" s="36"/>
      <c r="O1235" s="36"/>
      <c r="P1235" s="36"/>
      <c r="Q1235" s="36"/>
      <c r="R1235" s="36"/>
      <c r="S1235" s="36"/>
    </row>
    <row r="1236" spans="1:19" ht="15.75">
      <c r="A1236" s="35"/>
      <c r="B1236" s="36"/>
      <c r="C1236" s="36"/>
      <c r="D1236" s="36"/>
      <c r="E1236" s="36"/>
      <c r="F1236" s="36"/>
      <c r="G1236" s="36"/>
      <c r="H1236" s="36"/>
      <c r="I1236" s="36"/>
      <c r="J1236" s="36"/>
      <c r="K1236" s="36"/>
      <c r="L1236" s="36"/>
      <c r="M1236" s="36"/>
      <c r="N1236" s="36"/>
      <c r="O1236" s="36"/>
      <c r="P1236" s="36"/>
      <c r="Q1236" s="36"/>
      <c r="R1236" s="36"/>
      <c r="S1236" s="36"/>
    </row>
    <row r="1237" spans="1:19" ht="15.75">
      <c r="A1237" s="35"/>
      <c r="B1237" s="36"/>
      <c r="C1237" s="3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  <c r="S1237" s="36"/>
    </row>
    <row r="1238" spans="1:19" ht="15.75">
      <c r="A1238" s="35"/>
      <c r="B1238" s="36"/>
      <c r="C1238" s="36"/>
      <c r="D1238" s="36"/>
      <c r="E1238" s="36"/>
      <c r="F1238" s="36"/>
      <c r="G1238" s="36"/>
      <c r="H1238" s="36"/>
      <c r="I1238" s="36"/>
      <c r="J1238" s="36"/>
      <c r="K1238" s="36"/>
      <c r="L1238" s="36"/>
      <c r="M1238" s="36"/>
      <c r="N1238" s="36"/>
      <c r="O1238" s="36"/>
      <c r="P1238" s="36"/>
      <c r="Q1238" s="36"/>
      <c r="R1238" s="36"/>
      <c r="S1238" s="36"/>
    </row>
    <row r="1239" spans="1:19" ht="15.75">
      <c r="A1239" s="35"/>
      <c r="B1239" s="36"/>
      <c r="C1239" s="36"/>
      <c r="D1239" s="36"/>
      <c r="E1239" s="36"/>
      <c r="F1239" s="36"/>
      <c r="G1239" s="36"/>
      <c r="H1239" s="36"/>
      <c r="I1239" s="36"/>
      <c r="J1239" s="36"/>
      <c r="K1239" s="36"/>
      <c r="L1239" s="36"/>
      <c r="M1239" s="36"/>
      <c r="N1239" s="36"/>
      <c r="O1239" s="36"/>
      <c r="P1239" s="36"/>
      <c r="Q1239" s="36"/>
      <c r="R1239" s="36"/>
      <c r="S1239" s="36"/>
    </row>
    <row r="1240" spans="1:19" ht="15.75">
      <c r="A1240" s="35"/>
      <c r="B1240" s="36"/>
      <c r="C1240" s="36"/>
      <c r="D1240" s="36"/>
      <c r="E1240" s="36"/>
      <c r="F1240" s="36"/>
      <c r="G1240" s="36"/>
      <c r="H1240" s="36"/>
      <c r="I1240" s="36"/>
      <c r="J1240" s="36"/>
      <c r="K1240" s="36"/>
      <c r="L1240" s="36"/>
      <c r="M1240" s="36"/>
      <c r="N1240" s="36"/>
      <c r="O1240" s="36"/>
      <c r="P1240" s="36"/>
      <c r="Q1240" s="36"/>
      <c r="R1240" s="36"/>
      <c r="S1240" s="36"/>
    </row>
    <row r="1241" spans="1:19" ht="15.75">
      <c r="A1241" s="35"/>
      <c r="B1241" s="36"/>
      <c r="C1241" s="3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  <c r="S1241" s="36"/>
    </row>
    <row r="1242" spans="1:19" ht="15.75">
      <c r="A1242" s="35"/>
      <c r="B1242" s="36"/>
      <c r="C1242" s="36"/>
      <c r="D1242" s="36"/>
      <c r="E1242" s="36"/>
      <c r="F1242" s="36"/>
      <c r="G1242" s="36"/>
      <c r="H1242" s="36"/>
      <c r="I1242" s="36"/>
      <c r="J1242" s="36"/>
      <c r="K1242" s="36"/>
      <c r="L1242" s="36"/>
      <c r="M1242" s="36"/>
      <c r="N1242" s="36"/>
      <c r="O1242" s="36"/>
      <c r="P1242" s="36"/>
      <c r="Q1242" s="36"/>
      <c r="R1242" s="36"/>
      <c r="S1242" s="36"/>
    </row>
    <row r="1243" spans="1:19" ht="15.75">
      <c r="A1243" s="35"/>
      <c r="B1243" s="36"/>
      <c r="C1243" s="36"/>
      <c r="D1243" s="36"/>
      <c r="E1243" s="36"/>
      <c r="F1243" s="36"/>
      <c r="G1243" s="36"/>
      <c r="H1243" s="36"/>
      <c r="I1243" s="36"/>
      <c r="J1243" s="36"/>
      <c r="K1243" s="36"/>
      <c r="L1243" s="36"/>
      <c r="M1243" s="36"/>
      <c r="N1243" s="36"/>
      <c r="O1243" s="36"/>
      <c r="P1243" s="36"/>
      <c r="Q1243" s="36"/>
      <c r="R1243" s="36"/>
      <c r="S1243" s="36"/>
    </row>
    <row r="1244" spans="1:19" ht="15.75">
      <c r="A1244" s="35"/>
      <c r="B1244" s="36"/>
      <c r="C1244" s="36"/>
      <c r="D1244" s="36"/>
      <c r="E1244" s="36"/>
      <c r="F1244" s="36"/>
      <c r="G1244" s="36"/>
      <c r="H1244" s="36"/>
      <c r="I1244" s="36"/>
      <c r="J1244" s="36"/>
      <c r="K1244" s="36"/>
      <c r="L1244" s="36"/>
      <c r="M1244" s="36"/>
      <c r="N1244" s="36"/>
      <c r="O1244" s="36"/>
      <c r="P1244" s="36"/>
      <c r="Q1244" s="36"/>
      <c r="R1244" s="36"/>
      <c r="S1244" s="36"/>
    </row>
    <row r="1245" spans="1:19" ht="15.75">
      <c r="A1245" s="35"/>
      <c r="B1245" s="36"/>
      <c r="C1245" s="3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  <c r="S1245" s="36"/>
    </row>
    <row r="1246" spans="1:19" ht="15.75">
      <c r="A1246" s="35"/>
      <c r="B1246" s="36"/>
      <c r="C1246" s="36"/>
      <c r="D1246" s="36"/>
      <c r="E1246" s="36"/>
      <c r="F1246" s="36"/>
      <c r="G1246" s="36"/>
      <c r="H1246" s="36"/>
      <c r="I1246" s="36"/>
      <c r="J1246" s="36"/>
      <c r="K1246" s="36"/>
      <c r="L1246" s="36"/>
      <c r="M1246" s="36"/>
      <c r="N1246" s="36"/>
      <c r="O1246" s="36"/>
      <c r="P1246" s="36"/>
      <c r="Q1246" s="36"/>
      <c r="R1246" s="36"/>
      <c r="S1246" s="36"/>
    </row>
    <row r="1247" spans="1:19" ht="15.75">
      <c r="A1247" s="35"/>
      <c r="B1247" s="36"/>
      <c r="C1247" s="36"/>
      <c r="D1247" s="36"/>
      <c r="E1247" s="36"/>
      <c r="F1247" s="36"/>
      <c r="G1247" s="36"/>
      <c r="H1247" s="36"/>
      <c r="I1247" s="36"/>
      <c r="J1247" s="36"/>
      <c r="K1247" s="36"/>
      <c r="L1247" s="36"/>
      <c r="M1247" s="36"/>
      <c r="N1247" s="36"/>
      <c r="O1247" s="36"/>
      <c r="P1247" s="36"/>
      <c r="Q1247" s="36"/>
      <c r="R1247" s="36"/>
      <c r="S1247" s="36"/>
    </row>
    <row r="1248" spans="1:19" ht="15.75">
      <c r="A1248" s="35"/>
      <c r="B1248" s="36"/>
      <c r="C1248" s="36"/>
      <c r="D1248" s="36"/>
      <c r="E1248" s="36"/>
      <c r="F1248" s="36"/>
      <c r="G1248" s="36"/>
      <c r="H1248" s="36"/>
      <c r="I1248" s="36"/>
      <c r="J1248" s="36"/>
      <c r="K1248" s="36"/>
      <c r="L1248" s="36"/>
      <c r="M1248" s="36"/>
      <c r="N1248" s="36"/>
      <c r="O1248" s="36"/>
      <c r="P1248" s="36"/>
      <c r="Q1248" s="36"/>
      <c r="R1248" s="36"/>
      <c r="S1248" s="36"/>
    </row>
    <row r="1249" spans="1:19" ht="15.75">
      <c r="A1249" s="35"/>
      <c r="B1249" s="36"/>
      <c r="C1249" s="3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  <c r="S1249" s="36"/>
    </row>
    <row r="1250" spans="1:19" ht="15.75">
      <c r="A1250" s="35"/>
      <c r="B1250" s="36"/>
      <c r="C1250" s="36"/>
      <c r="D1250" s="36"/>
      <c r="E1250" s="36"/>
      <c r="F1250" s="36"/>
      <c r="G1250" s="36"/>
      <c r="H1250" s="36"/>
      <c r="I1250" s="36"/>
      <c r="J1250" s="36"/>
      <c r="K1250" s="36"/>
      <c r="L1250" s="36"/>
      <c r="M1250" s="36"/>
      <c r="N1250" s="36"/>
      <c r="O1250" s="36"/>
      <c r="P1250" s="36"/>
      <c r="Q1250" s="36"/>
      <c r="R1250" s="36"/>
      <c r="S1250" s="36"/>
    </row>
    <row r="1251" spans="1:19" ht="15.75">
      <c r="A1251" s="35"/>
      <c r="B1251" s="36"/>
      <c r="C1251" s="36"/>
      <c r="D1251" s="36"/>
      <c r="E1251" s="36"/>
      <c r="F1251" s="36"/>
      <c r="G1251" s="36"/>
      <c r="H1251" s="36"/>
      <c r="I1251" s="36"/>
      <c r="J1251" s="36"/>
      <c r="K1251" s="36"/>
      <c r="L1251" s="36"/>
      <c r="M1251" s="36"/>
      <c r="N1251" s="36"/>
      <c r="O1251" s="36"/>
      <c r="P1251" s="36"/>
      <c r="Q1251" s="36"/>
      <c r="R1251" s="36"/>
      <c r="S1251" s="36"/>
    </row>
    <row r="1252" spans="1:19" ht="15.75">
      <c r="A1252" s="35"/>
      <c r="B1252" s="36"/>
      <c r="C1252" s="36"/>
      <c r="D1252" s="36"/>
      <c r="E1252" s="36"/>
      <c r="F1252" s="36"/>
      <c r="G1252" s="36"/>
      <c r="H1252" s="36"/>
      <c r="I1252" s="36"/>
      <c r="J1252" s="36"/>
      <c r="K1252" s="36"/>
      <c r="L1252" s="36"/>
      <c r="M1252" s="36"/>
      <c r="N1252" s="36"/>
      <c r="O1252" s="36"/>
      <c r="P1252" s="36"/>
      <c r="Q1252" s="36"/>
      <c r="R1252" s="36"/>
      <c r="S1252" s="36"/>
    </row>
    <row r="1253" spans="1:19" ht="15.75">
      <c r="A1253" s="35"/>
      <c r="B1253" s="36"/>
      <c r="C1253" s="3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  <c r="S1253" s="36"/>
    </row>
    <row r="1254" spans="1:19" ht="15.75">
      <c r="A1254" s="35"/>
      <c r="B1254" s="36"/>
      <c r="C1254" s="36"/>
      <c r="D1254" s="36"/>
      <c r="E1254" s="36"/>
      <c r="F1254" s="36"/>
      <c r="G1254" s="36"/>
      <c r="H1254" s="36"/>
      <c r="I1254" s="36"/>
      <c r="J1254" s="36"/>
      <c r="K1254" s="36"/>
      <c r="L1254" s="36"/>
      <c r="M1254" s="36"/>
      <c r="N1254" s="36"/>
      <c r="O1254" s="36"/>
      <c r="P1254" s="36"/>
      <c r="Q1254" s="36"/>
      <c r="R1254" s="36"/>
      <c r="S1254" s="36"/>
    </row>
    <row r="1255" spans="1:19" ht="15.75">
      <c r="A1255" s="35"/>
      <c r="B1255" s="36"/>
      <c r="C1255" s="36"/>
      <c r="D1255" s="36"/>
      <c r="E1255" s="36"/>
      <c r="F1255" s="36"/>
      <c r="G1255" s="36"/>
      <c r="H1255" s="36"/>
      <c r="I1255" s="36"/>
      <c r="J1255" s="36"/>
      <c r="K1255" s="36"/>
      <c r="L1255" s="36"/>
      <c r="M1255" s="36"/>
      <c r="N1255" s="36"/>
      <c r="O1255" s="36"/>
      <c r="P1255" s="36"/>
      <c r="Q1255" s="36"/>
      <c r="R1255" s="36"/>
      <c r="S1255" s="36"/>
    </row>
    <row r="1256" spans="1:19" ht="15.75">
      <c r="A1256" s="35"/>
      <c r="B1256" s="36"/>
      <c r="C1256" s="36"/>
      <c r="D1256" s="36"/>
      <c r="E1256" s="36"/>
      <c r="F1256" s="36"/>
      <c r="G1256" s="36"/>
      <c r="H1256" s="36"/>
      <c r="I1256" s="36"/>
      <c r="J1256" s="36"/>
      <c r="K1256" s="36"/>
      <c r="L1256" s="36"/>
      <c r="M1256" s="36"/>
      <c r="N1256" s="36"/>
      <c r="O1256" s="36"/>
      <c r="P1256" s="36"/>
      <c r="Q1256" s="36"/>
      <c r="R1256" s="36"/>
      <c r="S1256" s="36"/>
    </row>
    <row r="1257" spans="1:19" ht="15.75">
      <c r="A1257" s="35"/>
      <c r="B1257" s="36"/>
      <c r="C1257" s="3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  <c r="S1257" s="36"/>
    </row>
    <row r="1258" spans="1:19" ht="15.75">
      <c r="A1258" s="35"/>
      <c r="B1258" s="36"/>
      <c r="C1258" s="36"/>
      <c r="D1258" s="36"/>
      <c r="E1258" s="36"/>
      <c r="F1258" s="36"/>
      <c r="G1258" s="36"/>
      <c r="H1258" s="36"/>
      <c r="I1258" s="36"/>
      <c r="J1258" s="36"/>
      <c r="K1258" s="36"/>
      <c r="L1258" s="36"/>
      <c r="M1258" s="36"/>
      <c r="N1258" s="36"/>
      <c r="O1258" s="36"/>
      <c r="P1258" s="36"/>
      <c r="Q1258" s="36"/>
      <c r="R1258" s="36"/>
      <c r="S1258" s="36"/>
    </row>
    <row r="1259" spans="1:19" ht="15.75">
      <c r="A1259" s="35"/>
      <c r="B1259" s="36"/>
      <c r="C1259" s="36"/>
      <c r="D1259" s="36"/>
      <c r="E1259" s="36"/>
      <c r="F1259" s="36"/>
      <c r="G1259" s="36"/>
      <c r="H1259" s="36"/>
      <c r="I1259" s="36"/>
      <c r="J1259" s="36"/>
      <c r="K1259" s="36"/>
      <c r="L1259" s="36"/>
      <c r="M1259" s="36"/>
      <c r="N1259" s="36"/>
      <c r="O1259" s="36"/>
      <c r="P1259" s="36"/>
      <c r="Q1259" s="36"/>
      <c r="R1259" s="36"/>
      <c r="S1259" s="36"/>
    </row>
    <row r="1260" spans="1:19" ht="15.75">
      <c r="A1260" s="35"/>
      <c r="B1260" s="36"/>
      <c r="C1260" s="36"/>
      <c r="D1260" s="36"/>
      <c r="E1260" s="36"/>
      <c r="F1260" s="36"/>
      <c r="G1260" s="36"/>
      <c r="H1260" s="36"/>
      <c r="I1260" s="36"/>
      <c r="J1260" s="36"/>
      <c r="K1260" s="36"/>
      <c r="L1260" s="36"/>
      <c r="M1260" s="36"/>
      <c r="N1260" s="36"/>
      <c r="O1260" s="36"/>
      <c r="P1260" s="36"/>
      <c r="Q1260" s="36"/>
      <c r="R1260" s="36"/>
      <c r="S1260" s="36"/>
    </row>
    <row r="1261" spans="1:19" ht="15.75">
      <c r="A1261" s="35"/>
      <c r="B1261" s="36"/>
      <c r="C1261" s="3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  <c r="S1261" s="36"/>
    </row>
    <row r="1262" spans="1:19" ht="15.75">
      <c r="A1262" s="35"/>
      <c r="B1262" s="36"/>
      <c r="C1262" s="36"/>
      <c r="D1262" s="36"/>
      <c r="E1262" s="36"/>
      <c r="F1262" s="36"/>
      <c r="G1262" s="36"/>
      <c r="H1262" s="36"/>
      <c r="I1262" s="36"/>
      <c r="J1262" s="36"/>
      <c r="K1262" s="36"/>
      <c r="L1262" s="36"/>
      <c r="M1262" s="36"/>
      <c r="N1262" s="36"/>
      <c r="O1262" s="36"/>
      <c r="P1262" s="36"/>
      <c r="Q1262" s="36"/>
      <c r="R1262" s="36"/>
      <c r="S1262" s="36"/>
    </row>
    <row r="1263" spans="1:19" ht="15.75">
      <c r="A1263" s="35"/>
      <c r="B1263" s="36"/>
      <c r="C1263" s="36"/>
      <c r="D1263" s="36"/>
      <c r="E1263" s="36"/>
      <c r="F1263" s="36"/>
      <c r="G1263" s="36"/>
      <c r="H1263" s="36"/>
      <c r="I1263" s="36"/>
      <c r="J1263" s="36"/>
      <c r="K1263" s="36"/>
      <c r="L1263" s="36"/>
      <c r="M1263" s="36"/>
      <c r="N1263" s="36"/>
      <c r="O1263" s="36"/>
      <c r="P1263" s="36"/>
      <c r="Q1263" s="36"/>
      <c r="R1263" s="36"/>
      <c r="S1263" s="36"/>
    </row>
    <row r="1264" spans="1:19" ht="15.75">
      <c r="A1264" s="35"/>
      <c r="B1264" s="36"/>
      <c r="C1264" s="36"/>
      <c r="D1264" s="36"/>
      <c r="E1264" s="36"/>
      <c r="F1264" s="36"/>
      <c r="G1264" s="36"/>
      <c r="H1264" s="36"/>
      <c r="I1264" s="36"/>
      <c r="J1264" s="36"/>
      <c r="K1264" s="36"/>
      <c r="L1264" s="36"/>
      <c r="M1264" s="36"/>
      <c r="N1264" s="36"/>
      <c r="O1264" s="36"/>
      <c r="P1264" s="36"/>
      <c r="Q1264" s="36"/>
      <c r="R1264" s="36"/>
      <c r="S1264" s="36"/>
    </row>
    <row r="1265" spans="1:19" ht="15.75">
      <c r="A1265" s="35"/>
      <c r="B1265" s="36"/>
      <c r="C1265" s="3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  <c r="S1265" s="36"/>
    </row>
    <row r="1266" spans="1:19" ht="15.75">
      <c r="A1266" s="35"/>
      <c r="B1266" s="36"/>
      <c r="C1266" s="36"/>
      <c r="D1266" s="36"/>
      <c r="E1266" s="36"/>
      <c r="F1266" s="36"/>
      <c r="G1266" s="36"/>
      <c r="H1266" s="36"/>
      <c r="I1266" s="36"/>
      <c r="J1266" s="36"/>
      <c r="K1266" s="36"/>
      <c r="L1266" s="36"/>
      <c r="M1266" s="36"/>
      <c r="N1266" s="36"/>
      <c r="O1266" s="36"/>
      <c r="P1266" s="36"/>
      <c r="Q1266" s="36"/>
      <c r="R1266" s="36"/>
      <c r="S1266" s="36"/>
    </row>
    <row r="1267" spans="1:19" ht="15.75">
      <c r="A1267" s="35"/>
      <c r="B1267" s="36"/>
      <c r="C1267" s="36"/>
      <c r="D1267" s="36"/>
      <c r="E1267" s="36"/>
      <c r="F1267" s="36"/>
      <c r="G1267" s="36"/>
      <c r="H1267" s="36"/>
      <c r="I1267" s="36"/>
      <c r="J1267" s="36"/>
      <c r="K1267" s="36"/>
      <c r="L1267" s="36"/>
      <c r="M1267" s="36"/>
      <c r="N1267" s="36"/>
      <c r="O1267" s="36"/>
      <c r="P1267" s="36"/>
      <c r="Q1267" s="36"/>
      <c r="R1267" s="36"/>
      <c r="S1267" s="36"/>
    </row>
    <row r="1268" spans="1:19" ht="15.75">
      <c r="A1268" s="35"/>
      <c r="B1268" s="36"/>
      <c r="C1268" s="36"/>
      <c r="D1268" s="36"/>
      <c r="E1268" s="36"/>
      <c r="F1268" s="36"/>
      <c r="G1268" s="36"/>
      <c r="H1268" s="36"/>
      <c r="I1268" s="36"/>
      <c r="J1268" s="36"/>
      <c r="K1268" s="36"/>
      <c r="L1268" s="36"/>
      <c r="M1268" s="36"/>
      <c r="N1268" s="36"/>
      <c r="O1268" s="36"/>
      <c r="P1268" s="36"/>
      <c r="Q1268" s="36"/>
      <c r="R1268" s="36"/>
      <c r="S1268" s="36"/>
    </row>
    <row r="1269" spans="1:19" ht="15.75">
      <c r="A1269" s="35"/>
      <c r="B1269" s="36"/>
      <c r="C1269" s="3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  <c r="S1269" s="36"/>
    </row>
    <row r="1270" spans="1:19" ht="15.75">
      <c r="A1270" s="35"/>
      <c r="B1270" s="36"/>
      <c r="C1270" s="36"/>
      <c r="D1270" s="36"/>
      <c r="E1270" s="36"/>
      <c r="F1270" s="36"/>
      <c r="G1270" s="36"/>
      <c r="H1270" s="36"/>
      <c r="I1270" s="36"/>
      <c r="J1270" s="36"/>
      <c r="K1270" s="36"/>
      <c r="L1270" s="36"/>
      <c r="M1270" s="36"/>
      <c r="N1270" s="36"/>
      <c r="O1270" s="36"/>
      <c r="P1270" s="36"/>
      <c r="Q1270" s="36"/>
      <c r="R1270" s="36"/>
      <c r="S1270" s="36"/>
    </row>
    <row r="1271" spans="1:19" ht="15.75">
      <c r="A1271" s="35"/>
      <c r="B1271" s="36"/>
      <c r="C1271" s="36"/>
      <c r="D1271" s="36"/>
      <c r="E1271" s="36"/>
      <c r="F1271" s="36"/>
      <c r="G1271" s="36"/>
      <c r="H1271" s="36"/>
      <c r="I1271" s="36"/>
      <c r="J1271" s="36"/>
      <c r="K1271" s="36"/>
      <c r="L1271" s="36"/>
      <c r="M1271" s="36"/>
      <c r="N1271" s="36"/>
      <c r="O1271" s="36"/>
      <c r="P1271" s="36"/>
      <c r="Q1271" s="36"/>
      <c r="R1271" s="36"/>
      <c r="S1271" s="36"/>
    </row>
    <row r="1272" spans="1:19" ht="15.75">
      <c r="A1272" s="35"/>
      <c r="B1272" s="36"/>
      <c r="C1272" s="36"/>
      <c r="D1272" s="36"/>
      <c r="E1272" s="36"/>
      <c r="F1272" s="36"/>
      <c r="G1272" s="36"/>
      <c r="H1272" s="36"/>
      <c r="I1272" s="36"/>
      <c r="J1272" s="36"/>
      <c r="K1272" s="36"/>
      <c r="L1272" s="36"/>
      <c r="M1272" s="36"/>
      <c r="N1272" s="36"/>
      <c r="O1272" s="36"/>
      <c r="P1272" s="36"/>
      <c r="Q1272" s="36"/>
      <c r="R1272" s="36"/>
      <c r="S1272" s="36"/>
    </row>
    <row r="1273" spans="1:19" ht="15.75">
      <c r="A1273" s="35"/>
      <c r="B1273" s="36"/>
      <c r="C1273" s="3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  <c r="S1273" s="36"/>
    </row>
    <row r="1274" spans="1:19" ht="15.75">
      <c r="A1274" s="35"/>
      <c r="B1274" s="36"/>
      <c r="C1274" s="36"/>
      <c r="D1274" s="36"/>
      <c r="E1274" s="36"/>
      <c r="F1274" s="36"/>
      <c r="G1274" s="36"/>
      <c r="H1274" s="36"/>
      <c r="I1274" s="36"/>
      <c r="J1274" s="36"/>
      <c r="K1274" s="36"/>
      <c r="L1274" s="36"/>
      <c r="M1274" s="36"/>
      <c r="N1274" s="36"/>
      <c r="O1274" s="36"/>
      <c r="P1274" s="36"/>
      <c r="Q1274" s="36"/>
      <c r="R1274" s="36"/>
      <c r="S1274" s="36"/>
    </row>
    <row r="1275" spans="1:19" ht="15.75">
      <c r="A1275" s="35"/>
      <c r="B1275" s="36"/>
      <c r="C1275" s="36"/>
      <c r="D1275" s="36"/>
      <c r="E1275" s="36"/>
      <c r="F1275" s="36"/>
      <c r="G1275" s="36"/>
      <c r="H1275" s="36"/>
      <c r="I1275" s="36"/>
      <c r="J1275" s="36"/>
      <c r="K1275" s="36"/>
      <c r="L1275" s="36"/>
      <c r="M1275" s="36"/>
      <c r="N1275" s="36"/>
      <c r="O1275" s="36"/>
      <c r="P1275" s="36"/>
      <c r="Q1275" s="36"/>
      <c r="R1275" s="36"/>
      <c r="S1275" s="36"/>
    </row>
    <row r="1276" spans="1:19" ht="15.75">
      <c r="A1276" s="35"/>
      <c r="B1276" s="36"/>
      <c r="C1276" s="36"/>
      <c r="D1276" s="36"/>
      <c r="E1276" s="36"/>
      <c r="F1276" s="36"/>
      <c r="G1276" s="36"/>
      <c r="H1276" s="36"/>
      <c r="I1276" s="36"/>
      <c r="J1276" s="36"/>
      <c r="K1276" s="36"/>
      <c r="L1276" s="36"/>
      <c r="M1276" s="36"/>
      <c r="N1276" s="36"/>
      <c r="O1276" s="36"/>
      <c r="P1276" s="36"/>
      <c r="Q1276" s="36"/>
      <c r="R1276" s="36"/>
      <c r="S1276" s="36"/>
    </row>
    <row r="1277" spans="1:19" ht="15.75">
      <c r="A1277" s="35"/>
      <c r="B1277" s="36"/>
      <c r="C1277" s="3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  <c r="S1277" s="36"/>
    </row>
    <row r="1278" spans="1:19" ht="15.75">
      <c r="A1278" s="35"/>
      <c r="B1278" s="36"/>
      <c r="C1278" s="36"/>
      <c r="D1278" s="36"/>
      <c r="E1278" s="36"/>
      <c r="F1278" s="36"/>
      <c r="G1278" s="36"/>
      <c r="H1278" s="36"/>
      <c r="I1278" s="36"/>
      <c r="J1278" s="36"/>
      <c r="K1278" s="36"/>
      <c r="L1278" s="36"/>
      <c r="M1278" s="36"/>
      <c r="N1278" s="36"/>
      <c r="O1278" s="36"/>
      <c r="P1278" s="36"/>
      <c r="Q1278" s="36"/>
      <c r="R1278" s="36"/>
      <c r="S1278" s="36"/>
    </row>
    <row r="1279" spans="1:19" ht="15.75">
      <c r="A1279" s="35"/>
      <c r="B1279" s="36"/>
      <c r="C1279" s="36"/>
      <c r="D1279" s="36"/>
      <c r="E1279" s="36"/>
      <c r="F1279" s="36"/>
      <c r="G1279" s="36"/>
      <c r="H1279" s="36"/>
      <c r="I1279" s="36"/>
      <c r="J1279" s="36"/>
      <c r="K1279" s="36"/>
      <c r="L1279" s="36"/>
      <c r="M1279" s="36"/>
      <c r="N1279" s="36"/>
      <c r="O1279" s="36"/>
      <c r="P1279" s="36"/>
      <c r="Q1279" s="36"/>
      <c r="R1279" s="36"/>
      <c r="S1279" s="36"/>
    </row>
    <row r="1280" spans="1:19" ht="15.75">
      <c r="A1280" s="35"/>
      <c r="B1280" s="36"/>
      <c r="C1280" s="36"/>
      <c r="D1280" s="36"/>
      <c r="E1280" s="36"/>
      <c r="F1280" s="36"/>
      <c r="G1280" s="36"/>
      <c r="H1280" s="36"/>
      <c r="I1280" s="36"/>
      <c r="J1280" s="36"/>
      <c r="K1280" s="36"/>
      <c r="L1280" s="36"/>
      <c r="M1280" s="36"/>
      <c r="N1280" s="36"/>
      <c r="O1280" s="36"/>
      <c r="P1280" s="36"/>
      <c r="Q1280" s="36"/>
      <c r="R1280" s="36"/>
      <c r="S1280" s="36"/>
    </row>
    <row r="1281" spans="1:19" ht="15.75">
      <c r="A1281" s="35"/>
      <c r="B1281" s="36"/>
      <c r="C1281" s="3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  <c r="S1281" s="36"/>
    </row>
    <row r="1282" spans="1:19" ht="15.75">
      <c r="A1282" s="35"/>
      <c r="B1282" s="36"/>
      <c r="C1282" s="36"/>
      <c r="D1282" s="36"/>
      <c r="E1282" s="36"/>
      <c r="F1282" s="36"/>
      <c r="G1282" s="36"/>
      <c r="H1282" s="36"/>
      <c r="I1282" s="36"/>
      <c r="J1282" s="36"/>
      <c r="K1282" s="36"/>
      <c r="L1282" s="36"/>
      <c r="M1282" s="36"/>
      <c r="N1282" s="36"/>
      <c r="O1282" s="36"/>
      <c r="P1282" s="36"/>
      <c r="Q1282" s="36"/>
      <c r="R1282" s="36"/>
      <c r="S1282" s="36"/>
    </row>
    <row r="1283" spans="1:19" ht="15.75">
      <c r="A1283" s="35"/>
      <c r="B1283" s="36"/>
      <c r="C1283" s="36"/>
      <c r="D1283" s="36"/>
      <c r="E1283" s="36"/>
      <c r="F1283" s="36"/>
      <c r="G1283" s="36"/>
      <c r="H1283" s="36"/>
      <c r="I1283" s="36"/>
      <c r="J1283" s="36"/>
      <c r="K1283" s="36"/>
      <c r="L1283" s="36"/>
      <c r="M1283" s="36"/>
      <c r="N1283" s="36"/>
      <c r="O1283" s="36"/>
      <c r="P1283" s="36"/>
      <c r="Q1283" s="36"/>
      <c r="R1283" s="36"/>
      <c r="S1283" s="36"/>
    </row>
    <row r="1284" spans="1:19" ht="15.75">
      <c r="A1284" s="35"/>
      <c r="B1284" s="36"/>
      <c r="C1284" s="36"/>
      <c r="D1284" s="36"/>
      <c r="E1284" s="36"/>
      <c r="F1284" s="36"/>
      <c r="G1284" s="36"/>
      <c r="H1284" s="36"/>
      <c r="I1284" s="36"/>
      <c r="J1284" s="36"/>
      <c r="K1284" s="36"/>
      <c r="L1284" s="36"/>
      <c r="M1284" s="36"/>
      <c r="N1284" s="36"/>
      <c r="O1284" s="36"/>
      <c r="P1284" s="36"/>
      <c r="Q1284" s="36"/>
      <c r="R1284" s="36"/>
      <c r="S1284" s="36"/>
    </row>
    <row r="1285" spans="1:19" ht="15.75">
      <c r="A1285" s="35"/>
      <c r="B1285" s="36"/>
      <c r="C1285" s="3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  <c r="S1285" s="36"/>
    </row>
    <row r="1286" spans="1:19" ht="15.75">
      <c r="A1286" s="35"/>
      <c r="B1286" s="36"/>
      <c r="C1286" s="36"/>
      <c r="D1286" s="36"/>
      <c r="E1286" s="36"/>
      <c r="F1286" s="36"/>
      <c r="G1286" s="36"/>
      <c r="H1286" s="36"/>
      <c r="I1286" s="36"/>
      <c r="J1286" s="36"/>
      <c r="K1286" s="36"/>
      <c r="L1286" s="36"/>
      <c r="M1286" s="36"/>
      <c r="N1286" s="36"/>
      <c r="O1286" s="36"/>
      <c r="P1286" s="36"/>
      <c r="Q1286" s="36"/>
      <c r="R1286" s="36"/>
      <c r="S1286" s="36"/>
    </row>
    <row r="1287" spans="1:19" ht="15.75">
      <c r="A1287" s="35"/>
      <c r="B1287" s="36"/>
      <c r="C1287" s="36"/>
      <c r="D1287" s="36"/>
      <c r="E1287" s="36"/>
      <c r="F1287" s="36"/>
      <c r="G1287" s="36"/>
      <c r="H1287" s="36"/>
      <c r="I1287" s="36"/>
      <c r="J1287" s="36"/>
      <c r="K1287" s="36"/>
      <c r="L1287" s="36"/>
      <c r="M1287" s="36"/>
      <c r="N1287" s="36"/>
      <c r="O1287" s="36"/>
      <c r="P1287" s="36"/>
      <c r="Q1287" s="36"/>
      <c r="R1287" s="36"/>
      <c r="S1287" s="36"/>
    </row>
    <row r="1288" spans="1:19" ht="15.75">
      <c r="A1288" s="35"/>
      <c r="B1288" s="36"/>
      <c r="C1288" s="36"/>
      <c r="D1288" s="36"/>
      <c r="E1288" s="36"/>
      <c r="F1288" s="36"/>
      <c r="G1288" s="36"/>
      <c r="H1288" s="36"/>
      <c r="I1288" s="36"/>
      <c r="J1288" s="36"/>
      <c r="K1288" s="36"/>
      <c r="L1288" s="36"/>
      <c r="M1288" s="36"/>
      <c r="N1288" s="36"/>
      <c r="O1288" s="36"/>
      <c r="P1288" s="36"/>
      <c r="Q1288" s="36"/>
      <c r="R1288" s="36"/>
      <c r="S1288" s="36"/>
    </row>
    <row r="1289" spans="1:19" ht="15.75">
      <c r="A1289" s="35"/>
      <c r="B1289" s="36"/>
      <c r="C1289" s="3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  <c r="S1289" s="36"/>
    </row>
    <row r="1290" spans="1:19" ht="15.75">
      <c r="A1290" s="35"/>
      <c r="B1290" s="36"/>
      <c r="C1290" s="36"/>
      <c r="D1290" s="36"/>
      <c r="E1290" s="36"/>
      <c r="F1290" s="36"/>
      <c r="G1290" s="36"/>
      <c r="H1290" s="36"/>
      <c r="I1290" s="36"/>
      <c r="J1290" s="36"/>
      <c r="K1290" s="36"/>
      <c r="L1290" s="36"/>
      <c r="M1290" s="36"/>
      <c r="N1290" s="36"/>
      <c r="O1290" s="36"/>
      <c r="P1290" s="36"/>
      <c r="Q1290" s="36"/>
      <c r="R1290" s="36"/>
      <c r="S1290" s="36"/>
    </row>
    <row r="1291" spans="1:19" ht="15.75">
      <c r="A1291" s="35"/>
      <c r="B1291" s="36"/>
      <c r="C1291" s="36"/>
      <c r="D1291" s="36"/>
      <c r="E1291" s="36"/>
      <c r="F1291" s="36"/>
      <c r="G1291" s="36"/>
      <c r="H1291" s="36"/>
      <c r="I1291" s="36"/>
      <c r="J1291" s="36"/>
      <c r="K1291" s="36"/>
      <c r="L1291" s="36"/>
      <c r="M1291" s="36"/>
      <c r="N1291" s="36"/>
      <c r="O1291" s="36"/>
      <c r="P1291" s="36"/>
      <c r="Q1291" s="36"/>
      <c r="R1291" s="36"/>
      <c r="S1291" s="36"/>
    </row>
    <row r="1292" spans="1:19" ht="15.75">
      <c r="A1292" s="35"/>
      <c r="B1292" s="36"/>
      <c r="C1292" s="36"/>
      <c r="D1292" s="36"/>
      <c r="E1292" s="36"/>
      <c r="F1292" s="36"/>
      <c r="G1292" s="36"/>
      <c r="H1292" s="36"/>
      <c r="I1292" s="36"/>
      <c r="J1292" s="36"/>
      <c r="K1292" s="36"/>
      <c r="L1292" s="36"/>
      <c r="M1292" s="36"/>
      <c r="N1292" s="36"/>
      <c r="O1292" s="36"/>
      <c r="P1292" s="36"/>
      <c r="Q1292" s="36"/>
      <c r="R1292" s="36"/>
      <c r="S1292" s="36"/>
    </row>
    <row r="1293" spans="1:19" ht="15.75">
      <c r="A1293" s="35"/>
      <c r="B1293" s="36"/>
      <c r="C1293" s="3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  <c r="S1293" s="36"/>
    </row>
    <row r="1294" spans="1:19" ht="15.75">
      <c r="A1294" s="35"/>
      <c r="B1294" s="36"/>
      <c r="C1294" s="36"/>
      <c r="D1294" s="36"/>
      <c r="E1294" s="36"/>
      <c r="F1294" s="36"/>
      <c r="G1294" s="36"/>
      <c r="H1294" s="36"/>
      <c r="I1294" s="36"/>
      <c r="J1294" s="36"/>
      <c r="K1294" s="36"/>
      <c r="L1294" s="36"/>
      <c r="M1294" s="36"/>
      <c r="N1294" s="36"/>
      <c r="O1294" s="36"/>
      <c r="P1294" s="36"/>
      <c r="Q1294" s="36"/>
      <c r="R1294" s="36"/>
      <c r="S1294" s="36"/>
    </row>
    <row r="1295" spans="1:19" ht="15.75">
      <c r="A1295" s="35"/>
      <c r="B1295" s="36"/>
      <c r="C1295" s="36"/>
      <c r="D1295" s="36"/>
      <c r="E1295" s="36"/>
      <c r="F1295" s="36"/>
      <c r="G1295" s="36"/>
      <c r="H1295" s="36"/>
      <c r="I1295" s="36"/>
      <c r="J1295" s="36"/>
      <c r="K1295" s="36"/>
      <c r="L1295" s="36"/>
      <c r="M1295" s="36"/>
      <c r="N1295" s="36"/>
      <c r="O1295" s="36"/>
      <c r="P1295" s="36"/>
      <c r="Q1295" s="36"/>
      <c r="R1295" s="36"/>
      <c r="S1295" s="36"/>
    </row>
    <row r="1296" spans="1:19" ht="15.75">
      <c r="A1296" s="35"/>
      <c r="B1296" s="36"/>
      <c r="C1296" s="36"/>
      <c r="D1296" s="36"/>
      <c r="E1296" s="36"/>
      <c r="F1296" s="36"/>
      <c r="G1296" s="36"/>
      <c r="H1296" s="36"/>
      <c r="I1296" s="36"/>
      <c r="J1296" s="36"/>
      <c r="K1296" s="36"/>
      <c r="L1296" s="36"/>
      <c r="M1296" s="36"/>
      <c r="N1296" s="36"/>
      <c r="O1296" s="36"/>
      <c r="P1296" s="36"/>
      <c r="Q1296" s="36"/>
      <c r="R1296" s="36"/>
      <c r="S1296" s="36"/>
    </row>
    <row r="1297" spans="1:19" ht="15.75">
      <c r="A1297" s="35"/>
      <c r="B1297" s="36"/>
      <c r="C1297" s="3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  <c r="S1297" s="36"/>
    </row>
    <row r="1298" spans="1:19" ht="15.75">
      <c r="A1298" s="35"/>
      <c r="B1298" s="36"/>
      <c r="C1298" s="36"/>
      <c r="D1298" s="36"/>
      <c r="E1298" s="36"/>
      <c r="F1298" s="36"/>
      <c r="G1298" s="36"/>
      <c r="H1298" s="36"/>
      <c r="I1298" s="36"/>
      <c r="J1298" s="36"/>
      <c r="K1298" s="36"/>
      <c r="L1298" s="36"/>
      <c r="M1298" s="36"/>
      <c r="N1298" s="36"/>
      <c r="O1298" s="36"/>
      <c r="P1298" s="36"/>
      <c r="Q1298" s="36"/>
      <c r="R1298" s="36"/>
      <c r="S1298" s="36"/>
    </row>
    <row r="1299" spans="1:19" ht="15.75">
      <c r="A1299" s="35"/>
      <c r="B1299" s="36"/>
      <c r="C1299" s="36"/>
      <c r="D1299" s="36"/>
      <c r="E1299" s="36"/>
      <c r="F1299" s="36"/>
      <c r="G1299" s="36"/>
      <c r="H1299" s="36"/>
      <c r="I1299" s="36"/>
      <c r="J1299" s="36"/>
      <c r="K1299" s="36"/>
      <c r="L1299" s="36"/>
      <c r="M1299" s="36"/>
      <c r="N1299" s="36"/>
      <c r="O1299" s="36"/>
      <c r="P1299" s="36"/>
      <c r="Q1299" s="36"/>
      <c r="R1299" s="36"/>
      <c r="S1299" s="36"/>
    </row>
    <row r="1300" spans="1:19" ht="15.75">
      <c r="A1300" s="35"/>
      <c r="B1300" s="36"/>
      <c r="C1300" s="36"/>
      <c r="D1300" s="36"/>
      <c r="E1300" s="36"/>
      <c r="F1300" s="36"/>
      <c r="G1300" s="36"/>
      <c r="H1300" s="36"/>
      <c r="I1300" s="36"/>
      <c r="J1300" s="36"/>
      <c r="K1300" s="36"/>
      <c r="L1300" s="36"/>
      <c r="M1300" s="36"/>
      <c r="N1300" s="36"/>
      <c r="O1300" s="36"/>
      <c r="P1300" s="36"/>
      <c r="Q1300" s="36"/>
      <c r="R1300" s="36"/>
      <c r="S1300" s="36"/>
    </row>
    <row r="1301" spans="1:19" ht="15.75">
      <c r="A1301" s="35"/>
      <c r="B1301" s="36"/>
      <c r="C1301" s="3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  <c r="S1301" s="36"/>
    </row>
    <row r="1302" spans="1:19" ht="15.75">
      <c r="A1302" s="35"/>
      <c r="B1302" s="36"/>
      <c r="C1302" s="36"/>
      <c r="D1302" s="36"/>
      <c r="E1302" s="36"/>
      <c r="F1302" s="36"/>
      <c r="G1302" s="36"/>
      <c r="H1302" s="36"/>
      <c r="I1302" s="36"/>
      <c r="J1302" s="36"/>
      <c r="K1302" s="36"/>
      <c r="L1302" s="36"/>
      <c r="M1302" s="36"/>
      <c r="N1302" s="36"/>
      <c r="O1302" s="36"/>
      <c r="P1302" s="36"/>
      <c r="Q1302" s="36"/>
      <c r="R1302" s="36"/>
      <c r="S1302" s="36"/>
    </row>
    <row r="1303" spans="1:19" ht="15.75">
      <c r="A1303" s="35"/>
      <c r="B1303" s="36"/>
      <c r="C1303" s="36"/>
      <c r="D1303" s="36"/>
      <c r="E1303" s="36"/>
      <c r="F1303" s="36"/>
      <c r="G1303" s="36"/>
      <c r="H1303" s="36"/>
      <c r="I1303" s="36"/>
      <c r="J1303" s="36"/>
      <c r="K1303" s="36"/>
      <c r="L1303" s="36"/>
      <c r="M1303" s="36"/>
      <c r="N1303" s="36"/>
      <c r="O1303" s="36"/>
      <c r="P1303" s="36"/>
      <c r="Q1303" s="36"/>
      <c r="R1303" s="36"/>
      <c r="S1303" s="36"/>
    </row>
    <row r="1304" spans="1:19" ht="15.75">
      <c r="A1304" s="35"/>
      <c r="B1304" s="36"/>
      <c r="C1304" s="36"/>
      <c r="D1304" s="36"/>
      <c r="E1304" s="36"/>
      <c r="F1304" s="36"/>
      <c r="G1304" s="36"/>
      <c r="H1304" s="36"/>
      <c r="I1304" s="36"/>
      <c r="J1304" s="36"/>
      <c r="K1304" s="36"/>
      <c r="L1304" s="36"/>
      <c r="M1304" s="36"/>
      <c r="N1304" s="36"/>
      <c r="O1304" s="36"/>
      <c r="P1304" s="36"/>
      <c r="Q1304" s="36"/>
      <c r="R1304" s="36"/>
      <c r="S1304" s="36"/>
    </row>
    <row r="1305" spans="1:19" ht="15.75">
      <c r="A1305" s="35"/>
      <c r="B1305" s="36"/>
      <c r="C1305" s="3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  <c r="S1305" s="36"/>
    </row>
    <row r="1306" spans="1:19" ht="15.75">
      <c r="A1306" s="35"/>
      <c r="B1306" s="36"/>
      <c r="C1306" s="36"/>
      <c r="D1306" s="36"/>
      <c r="E1306" s="36"/>
      <c r="F1306" s="36"/>
      <c r="G1306" s="36"/>
      <c r="H1306" s="36"/>
      <c r="I1306" s="36"/>
      <c r="J1306" s="36"/>
      <c r="K1306" s="36"/>
      <c r="L1306" s="36"/>
      <c r="M1306" s="36"/>
      <c r="N1306" s="36"/>
      <c r="O1306" s="36"/>
      <c r="P1306" s="36"/>
      <c r="Q1306" s="36"/>
      <c r="R1306" s="36"/>
      <c r="S1306" s="36"/>
    </row>
    <row r="1307" spans="1:19" ht="15.75">
      <c r="A1307" s="35"/>
      <c r="B1307" s="36"/>
      <c r="C1307" s="36"/>
      <c r="D1307" s="36"/>
      <c r="E1307" s="36"/>
      <c r="F1307" s="36"/>
      <c r="G1307" s="36"/>
      <c r="H1307" s="36"/>
      <c r="I1307" s="36"/>
      <c r="J1307" s="36"/>
      <c r="K1307" s="36"/>
      <c r="L1307" s="36"/>
      <c r="M1307" s="36"/>
      <c r="N1307" s="36"/>
      <c r="O1307" s="36"/>
      <c r="P1307" s="36"/>
      <c r="Q1307" s="36"/>
      <c r="R1307" s="36"/>
      <c r="S1307" s="36"/>
    </row>
    <row r="1308" spans="1:19" ht="15.75">
      <c r="A1308" s="35"/>
      <c r="B1308" s="36"/>
      <c r="C1308" s="36"/>
      <c r="D1308" s="36"/>
      <c r="E1308" s="36"/>
      <c r="F1308" s="36"/>
      <c r="G1308" s="36"/>
      <c r="H1308" s="36"/>
      <c r="I1308" s="36"/>
      <c r="J1308" s="36"/>
      <c r="K1308" s="36"/>
      <c r="L1308" s="36"/>
      <c r="M1308" s="36"/>
      <c r="N1308" s="36"/>
      <c r="O1308" s="36"/>
      <c r="P1308" s="36"/>
      <c r="Q1308" s="36"/>
      <c r="R1308" s="36"/>
      <c r="S1308" s="36"/>
    </row>
    <row r="1309" spans="1:19" ht="15.75">
      <c r="A1309" s="35"/>
      <c r="B1309" s="36"/>
      <c r="C1309" s="3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  <c r="S1309" s="36"/>
    </row>
    <row r="1310" spans="1:19" ht="15.75">
      <c r="A1310" s="35"/>
      <c r="B1310" s="36"/>
      <c r="C1310" s="36"/>
      <c r="D1310" s="36"/>
      <c r="E1310" s="36"/>
      <c r="F1310" s="36"/>
      <c r="G1310" s="36"/>
      <c r="H1310" s="36"/>
      <c r="I1310" s="36"/>
      <c r="J1310" s="36"/>
      <c r="K1310" s="36"/>
      <c r="L1310" s="36"/>
      <c r="M1310" s="36"/>
      <c r="N1310" s="36"/>
      <c r="O1310" s="36"/>
      <c r="P1310" s="36"/>
      <c r="Q1310" s="36"/>
      <c r="R1310" s="36"/>
      <c r="S1310" s="36"/>
    </row>
    <row r="1311" spans="1:19" ht="15.75">
      <c r="A1311" s="35"/>
      <c r="B1311" s="36"/>
      <c r="C1311" s="36"/>
      <c r="D1311" s="36"/>
      <c r="E1311" s="36"/>
      <c r="F1311" s="36"/>
      <c r="G1311" s="36"/>
      <c r="H1311" s="36"/>
      <c r="I1311" s="36"/>
      <c r="J1311" s="36"/>
      <c r="K1311" s="36"/>
      <c r="L1311" s="36"/>
      <c r="M1311" s="36"/>
      <c r="N1311" s="36"/>
      <c r="O1311" s="36"/>
      <c r="P1311" s="36"/>
      <c r="Q1311" s="36"/>
      <c r="R1311" s="36"/>
      <c r="S1311" s="36"/>
    </row>
    <row r="1312" spans="1:19" ht="15.75">
      <c r="A1312" s="35"/>
      <c r="B1312" s="36"/>
      <c r="C1312" s="36"/>
      <c r="D1312" s="36"/>
      <c r="E1312" s="36"/>
      <c r="F1312" s="36"/>
      <c r="G1312" s="36"/>
      <c r="H1312" s="36"/>
      <c r="I1312" s="36"/>
      <c r="J1312" s="36"/>
      <c r="K1312" s="36"/>
      <c r="L1312" s="36"/>
      <c r="M1312" s="36"/>
      <c r="N1312" s="36"/>
      <c r="O1312" s="36"/>
      <c r="P1312" s="36"/>
      <c r="Q1312" s="36"/>
      <c r="R1312" s="36"/>
      <c r="S1312" s="36"/>
    </row>
    <row r="1313" spans="1:19" ht="15.75">
      <c r="A1313" s="35"/>
      <c r="B1313" s="36"/>
      <c r="C1313" s="3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  <c r="S1313" s="36"/>
    </row>
    <row r="1314" spans="1:19" ht="15.75">
      <c r="A1314" s="35"/>
      <c r="B1314" s="36"/>
      <c r="C1314" s="36"/>
      <c r="D1314" s="36"/>
      <c r="E1314" s="36"/>
      <c r="F1314" s="36"/>
      <c r="G1314" s="36"/>
      <c r="H1314" s="36"/>
      <c r="I1314" s="36"/>
      <c r="J1314" s="36"/>
      <c r="K1314" s="36"/>
      <c r="L1314" s="36"/>
      <c r="M1314" s="36"/>
      <c r="N1314" s="36"/>
      <c r="O1314" s="36"/>
      <c r="P1314" s="36"/>
      <c r="Q1314" s="36"/>
      <c r="R1314" s="36"/>
      <c r="S1314" s="36"/>
    </row>
    <row r="1315" spans="1:19" ht="15.75">
      <c r="A1315" s="35"/>
      <c r="B1315" s="36"/>
      <c r="C1315" s="36"/>
      <c r="D1315" s="36"/>
      <c r="E1315" s="36"/>
      <c r="F1315" s="36"/>
      <c r="G1315" s="36"/>
      <c r="H1315" s="36"/>
      <c r="I1315" s="36"/>
      <c r="J1315" s="36"/>
      <c r="K1315" s="36"/>
      <c r="L1315" s="36"/>
      <c r="M1315" s="36"/>
      <c r="N1315" s="36"/>
      <c r="O1315" s="36"/>
      <c r="P1315" s="36"/>
      <c r="Q1315" s="36"/>
      <c r="R1315" s="36"/>
      <c r="S1315" s="36"/>
    </row>
    <row r="1316" spans="1:19" ht="15.75">
      <c r="A1316" s="35"/>
      <c r="B1316" s="36"/>
      <c r="C1316" s="36"/>
      <c r="D1316" s="36"/>
      <c r="E1316" s="36"/>
      <c r="F1316" s="36"/>
      <c r="G1316" s="36"/>
      <c r="H1316" s="36"/>
      <c r="I1316" s="36"/>
      <c r="J1316" s="36"/>
      <c r="K1316" s="36"/>
      <c r="L1316" s="36"/>
      <c r="M1316" s="36"/>
      <c r="N1316" s="36"/>
      <c r="O1316" s="36"/>
      <c r="P1316" s="36"/>
      <c r="Q1316" s="36"/>
      <c r="R1316" s="36"/>
      <c r="S1316" s="36"/>
    </row>
    <row r="1317" spans="1:19" ht="15.75">
      <c r="A1317" s="35"/>
      <c r="B1317" s="36"/>
      <c r="C1317" s="3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  <c r="S1317" s="36"/>
    </row>
    <row r="1318" spans="1:19" ht="15.75">
      <c r="A1318" s="35"/>
      <c r="B1318" s="36"/>
      <c r="C1318" s="36"/>
      <c r="D1318" s="36"/>
      <c r="E1318" s="36"/>
      <c r="F1318" s="36"/>
      <c r="G1318" s="36"/>
      <c r="H1318" s="36"/>
      <c r="I1318" s="36"/>
      <c r="J1318" s="36"/>
      <c r="K1318" s="36"/>
      <c r="L1318" s="36"/>
      <c r="M1318" s="36"/>
      <c r="N1318" s="36"/>
      <c r="O1318" s="36"/>
      <c r="P1318" s="36"/>
      <c r="Q1318" s="36"/>
      <c r="R1318" s="36"/>
      <c r="S1318" s="36"/>
    </row>
    <row r="1319" spans="1:19" ht="15.75">
      <c r="A1319" s="35"/>
      <c r="B1319" s="36"/>
      <c r="C1319" s="36"/>
      <c r="D1319" s="36"/>
      <c r="E1319" s="36"/>
      <c r="F1319" s="36"/>
      <c r="G1319" s="36"/>
      <c r="H1319" s="36"/>
      <c r="I1319" s="36"/>
      <c r="J1319" s="36"/>
      <c r="K1319" s="36"/>
      <c r="L1319" s="36"/>
      <c r="M1319" s="36"/>
      <c r="N1319" s="36"/>
      <c r="O1319" s="36"/>
      <c r="P1319" s="36"/>
      <c r="Q1319" s="36"/>
      <c r="R1319" s="36"/>
      <c r="S1319" s="36"/>
    </row>
    <row r="1320" spans="1:19" ht="15.75">
      <c r="A1320" s="35"/>
      <c r="B1320" s="36"/>
      <c r="C1320" s="36"/>
      <c r="D1320" s="36"/>
      <c r="E1320" s="36"/>
      <c r="F1320" s="36"/>
      <c r="G1320" s="36"/>
      <c r="H1320" s="36"/>
      <c r="I1320" s="36"/>
      <c r="J1320" s="36"/>
      <c r="K1320" s="36"/>
      <c r="L1320" s="36"/>
      <c r="M1320" s="36"/>
      <c r="N1320" s="36"/>
      <c r="O1320" s="36"/>
      <c r="P1320" s="36"/>
      <c r="Q1320" s="36"/>
      <c r="R1320" s="36"/>
      <c r="S1320" s="36"/>
    </row>
    <row r="1321" spans="1:19" ht="15.75">
      <c r="A1321" s="35"/>
      <c r="B1321" s="36"/>
      <c r="C1321" s="3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  <c r="S1321" s="36"/>
    </row>
    <row r="1322" spans="1:19" ht="15.75">
      <c r="A1322" s="35"/>
      <c r="B1322" s="36"/>
      <c r="C1322" s="36"/>
      <c r="D1322" s="36"/>
      <c r="E1322" s="36"/>
      <c r="F1322" s="36"/>
      <c r="G1322" s="36"/>
      <c r="H1322" s="36"/>
      <c r="I1322" s="36"/>
      <c r="J1322" s="36"/>
      <c r="K1322" s="36"/>
      <c r="L1322" s="36"/>
      <c r="M1322" s="36"/>
      <c r="N1322" s="36"/>
      <c r="O1322" s="36"/>
      <c r="P1322" s="36"/>
      <c r="Q1322" s="36"/>
      <c r="R1322" s="36"/>
      <c r="S1322" s="36"/>
    </row>
    <row r="1323" spans="1:19" ht="15.75">
      <c r="A1323" s="35"/>
      <c r="B1323" s="36"/>
      <c r="C1323" s="36"/>
      <c r="D1323" s="36"/>
      <c r="E1323" s="36"/>
      <c r="F1323" s="36"/>
      <c r="G1323" s="36"/>
      <c r="H1323" s="36"/>
      <c r="I1323" s="36"/>
      <c r="J1323" s="36"/>
      <c r="K1323" s="36"/>
      <c r="L1323" s="36"/>
      <c r="M1323" s="36"/>
      <c r="N1323" s="36"/>
      <c r="O1323" s="36"/>
      <c r="P1323" s="36"/>
      <c r="Q1323" s="36"/>
      <c r="R1323" s="36"/>
      <c r="S1323" s="36"/>
    </row>
    <row r="1324" spans="1:19" ht="15.75">
      <c r="A1324" s="35"/>
      <c r="B1324" s="36"/>
      <c r="C1324" s="36"/>
      <c r="D1324" s="36"/>
      <c r="E1324" s="36"/>
      <c r="F1324" s="36"/>
      <c r="G1324" s="36"/>
      <c r="H1324" s="36"/>
      <c r="I1324" s="36"/>
      <c r="J1324" s="36"/>
      <c r="K1324" s="36"/>
      <c r="L1324" s="36"/>
      <c r="M1324" s="36"/>
      <c r="N1324" s="36"/>
      <c r="O1324" s="36"/>
      <c r="P1324" s="36"/>
      <c r="Q1324" s="36"/>
      <c r="R1324" s="36"/>
      <c r="S1324" s="36"/>
    </row>
    <row r="1325" spans="1:19" ht="15.75">
      <c r="A1325" s="35"/>
      <c r="B1325" s="36"/>
      <c r="C1325" s="3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  <c r="S1325" s="36"/>
    </row>
    <row r="1326" spans="1:19" ht="15.75">
      <c r="A1326" s="35"/>
      <c r="B1326" s="36"/>
      <c r="C1326" s="36"/>
      <c r="D1326" s="36"/>
      <c r="E1326" s="36"/>
      <c r="F1326" s="36"/>
      <c r="G1326" s="36"/>
      <c r="H1326" s="36"/>
      <c r="I1326" s="36"/>
      <c r="J1326" s="36"/>
      <c r="K1326" s="36"/>
      <c r="L1326" s="36"/>
      <c r="M1326" s="36"/>
      <c r="N1326" s="36"/>
      <c r="O1326" s="36"/>
      <c r="P1326" s="36"/>
      <c r="Q1326" s="36"/>
      <c r="R1326" s="36"/>
      <c r="S1326" s="36"/>
    </row>
    <row r="1327" spans="1:19" ht="15.75">
      <c r="A1327" s="35"/>
      <c r="B1327" s="36"/>
      <c r="C1327" s="36"/>
      <c r="D1327" s="36"/>
      <c r="E1327" s="36"/>
      <c r="F1327" s="36"/>
      <c r="G1327" s="36"/>
      <c r="H1327" s="36"/>
      <c r="I1327" s="36"/>
      <c r="J1327" s="36"/>
      <c r="K1327" s="36"/>
      <c r="L1327" s="36"/>
      <c r="M1327" s="36"/>
      <c r="N1327" s="36"/>
      <c r="O1327" s="36"/>
      <c r="P1327" s="36"/>
      <c r="Q1327" s="36"/>
      <c r="R1327" s="36"/>
      <c r="S1327" s="36"/>
    </row>
    <row r="1328" spans="1:19" ht="15.75">
      <c r="A1328" s="35"/>
      <c r="B1328" s="36"/>
      <c r="C1328" s="36"/>
      <c r="D1328" s="36"/>
      <c r="E1328" s="36"/>
      <c r="F1328" s="36"/>
      <c r="G1328" s="36"/>
      <c r="H1328" s="36"/>
      <c r="I1328" s="36"/>
      <c r="J1328" s="36"/>
      <c r="K1328" s="36"/>
      <c r="L1328" s="36"/>
      <c r="M1328" s="36"/>
      <c r="N1328" s="36"/>
      <c r="O1328" s="36"/>
      <c r="P1328" s="36"/>
      <c r="Q1328" s="36"/>
      <c r="R1328" s="36"/>
      <c r="S1328" s="36"/>
    </row>
    <row r="1329" spans="1:19" ht="15.75">
      <c r="A1329" s="35"/>
      <c r="B1329" s="36"/>
      <c r="C1329" s="3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  <c r="S1329" s="36"/>
    </row>
    <row r="1330" spans="1:19" ht="15.75">
      <c r="A1330" s="35"/>
      <c r="B1330" s="36"/>
      <c r="C1330" s="36"/>
      <c r="D1330" s="36"/>
      <c r="E1330" s="36"/>
      <c r="F1330" s="36"/>
      <c r="G1330" s="36"/>
      <c r="H1330" s="36"/>
      <c r="I1330" s="36"/>
      <c r="J1330" s="36"/>
      <c r="K1330" s="36"/>
      <c r="L1330" s="36"/>
      <c r="M1330" s="36"/>
      <c r="N1330" s="36"/>
      <c r="O1330" s="36"/>
      <c r="P1330" s="36"/>
      <c r="Q1330" s="36"/>
      <c r="R1330" s="36"/>
      <c r="S1330" s="36"/>
    </row>
    <row r="1331" spans="1:19" ht="15.75">
      <c r="A1331" s="35"/>
      <c r="B1331" s="36"/>
      <c r="C1331" s="36"/>
      <c r="D1331" s="36"/>
      <c r="E1331" s="36"/>
      <c r="F1331" s="36"/>
      <c r="G1331" s="36"/>
      <c r="H1331" s="36"/>
      <c r="I1331" s="36"/>
      <c r="J1331" s="36"/>
      <c r="K1331" s="36"/>
      <c r="L1331" s="36"/>
      <c r="M1331" s="36"/>
      <c r="N1331" s="36"/>
      <c r="O1331" s="36"/>
      <c r="P1331" s="36"/>
      <c r="Q1331" s="36"/>
      <c r="R1331" s="36"/>
      <c r="S1331" s="36"/>
    </row>
    <row r="1332" spans="1:19" ht="15.75">
      <c r="A1332" s="35"/>
      <c r="B1332" s="36"/>
      <c r="C1332" s="36"/>
      <c r="D1332" s="36"/>
      <c r="E1332" s="36"/>
      <c r="F1332" s="36"/>
      <c r="G1332" s="36"/>
      <c r="H1332" s="36"/>
      <c r="I1332" s="36"/>
      <c r="J1332" s="36"/>
      <c r="K1332" s="36"/>
      <c r="L1332" s="36"/>
      <c r="M1332" s="36"/>
      <c r="N1332" s="36"/>
      <c r="O1332" s="36"/>
      <c r="P1332" s="36"/>
      <c r="Q1332" s="36"/>
      <c r="R1332" s="36"/>
      <c r="S1332" s="36"/>
    </row>
    <row r="1333" spans="1:19" ht="15.75">
      <c r="A1333" s="35"/>
      <c r="B1333" s="36"/>
      <c r="C1333" s="3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  <c r="S1333" s="36"/>
    </row>
    <row r="1334" spans="1:19" ht="15.75">
      <c r="A1334" s="35"/>
      <c r="B1334" s="36"/>
      <c r="C1334" s="36"/>
      <c r="D1334" s="36"/>
      <c r="E1334" s="36"/>
      <c r="F1334" s="36"/>
      <c r="G1334" s="36"/>
      <c r="H1334" s="36"/>
      <c r="I1334" s="36"/>
      <c r="J1334" s="36"/>
      <c r="K1334" s="36"/>
      <c r="L1334" s="36"/>
      <c r="M1334" s="36"/>
      <c r="N1334" s="36"/>
      <c r="O1334" s="36"/>
      <c r="P1334" s="36"/>
      <c r="Q1334" s="36"/>
      <c r="R1334" s="36"/>
      <c r="S1334" s="36"/>
    </row>
    <row r="1335" spans="1:19" ht="15.75">
      <c r="A1335" s="35"/>
      <c r="B1335" s="36"/>
      <c r="C1335" s="36"/>
      <c r="D1335" s="36"/>
      <c r="E1335" s="36"/>
      <c r="F1335" s="36"/>
      <c r="G1335" s="36"/>
      <c r="H1335" s="36"/>
      <c r="I1335" s="36"/>
      <c r="J1335" s="36"/>
      <c r="K1335" s="36"/>
      <c r="L1335" s="36"/>
      <c r="M1335" s="36"/>
      <c r="N1335" s="36"/>
      <c r="O1335" s="36"/>
      <c r="P1335" s="36"/>
      <c r="Q1335" s="36"/>
      <c r="R1335" s="36"/>
      <c r="S1335" s="36"/>
    </row>
    <row r="1336" spans="1:19" ht="15.75">
      <c r="A1336" s="35"/>
      <c r="B1336" s="36"/>
      <c r="C1336" s="36"/>
      <c r="D1336" s="36"/>
      <c r="E1336" s="36"/>
      <c r="F1336" s="36"/>
      <c r="G1336" s="36"/>
      <c r="H1336" s="36"/>
      <c r="I1336" s="36"/>
      <c r="J1336" s="36"/>
      <c r="K1336" s="36"/>
      <c r="L1336" s="36"/>
      <c r="M1336" s="36"/>
      <c r="N1336" s="36"/>
      <c r="O1336" s="36"/>
      <c r="P1336" s="36"/>
      <c r="Q1336" s="36"/>
      <c r="R1336" s="36"/>
      <c r="S1336" s="36"/>
    </row>
    <row r="1337" spans="1:19" ht="15.75">
      <c r="A1337" s="35"/>
      <c r="B1337" s="36"/>
      <c r="C1337" s="3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  <c r="S1337" s="36"/>
    </row>
    <row r="1338" spans="1:19" ht="15.75">
      <c r="A1338" s="35"/>
      <c r="B1338" s="36"/>
      <c r="C1338" s="36"/>
      <c r="D1338" s="36"/>
      <c r="E1338" s="36"/>
      <c r="F1338" s="36"/>
      <c r="G1338" s="36"/>
      <c r="H1338" s="36"/>
      <c r="I1338" s="36"/>
      <c r="J1338" s="36"/>
      <c r="K1338" s="36"/>
      <c r="L1338" s="36"/>
      <c r="M1338" s="36"/>
      <c r="N1338" s="36"/>
      <c r="O1338" s="36"/>
      <c r="P1338" s="36"/>
      <c r="Q1338" s="36"/>
      <c r="R1338" s="36"/>
      <c r="S1338" s="36"/>
    </row>
    <row r="1339" spans="1:19" ht="15.75">
      <c r="A1339" s="35"/>
      <c r="B1339" s="36"/>
      <c r="C1339" s="36"/>
      <c r="D1339" s="36"/>
      <c r="E1339" s="36"/>
      <c r="F1339" s="36"/>
      <c r="G1339" s="36"/>
      <c r="H1339" s="36"/>
      <c r="I1339" s="36"/>
      <c r="J1339" s="36"/>
      <c r="K1339" s="36"/>
      <c r="L1339" s="36"/>
      <c r="M1339" s="36"/>
      <c r="N1339" s="36"/>
      <c r="O1339" s="36"/>
      <c r="P1339" s="36"/>
      <c r="Q1339" s="36"/>
      <c r="R1339" s="36"/>
      <c r="S1339" s="36"/>
    </row>
    <row r="1340" spans="1:19" ht="15.75">
      <c r="A1340" s="35"/>
      <c r="B1340" s="36"/>
      <c r="C1340" s="36"/>
      <c r="D1340" s="36"/>
      <c r="E1340" s="36"/>
      <c r="F1340" s="36"/>
      <c r="G1340" s="36"/>
      <c r="H1340" s="36"/>
      <c r="I1340" s="36"/>
      <c r="J1340" s="36"/>
      <c r="K1340" s="36"/>
      <c r="L1340" s="36"/>
      <c r="M1340" s="36"/>
      <c r="N1340" s="36"/>
      <c r="O1340" s="36"/>
      <c r="P1340" s="36"/>
      <c r="Q1340" s="36"/>
      <c r="R1340" s="36"/>
      <c r="S1340" s="36"/>
    </row>
    <row r="1341" spans="1:19" ht="15.75">
      <c r="A1341" s="35"/>
      <c r="B1341" s="36"/>
      <c r="C1341" s="3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  <c r="S1341" s="36"/>
    </row>
    <row r="1342" spans="1:19" ht="15.75">
      <c r="A1342" s="35"/>
      <c r="B1342" s="36"/>
      <c r="C1342" s="36"/>
      <c r="D1342" s="36"/>
      <c r="E1342" s="36"/>
      <c r="F1342" s="36"/>
      <c r="G1342" s="36"/>
      <c r="H1342" s="36"/>
      <c r="I1342" s="36"/>
      <c r="J1342" s="36"/>
      <c r="K1342" s="36"/>
      <c r="L1342" s="36"/>
      <c r="M1342" s="36"/>
      <c r="N1342" s="36"/>
      <c r="O1342" s="36"/>
      <c r="P1342" s="36"/>
      <c r="Q1342" s="36"/>
      <c r="R1342" s="36"/>
      <c r="S1342" s="36"/>
    </row>
    <row r="1343" spans="1:19" ht="15.75">
      <c r="A1343" s="35"/>
      <c r="B1343" s="36"/>
      <c r="C1343" s="36"/>
      <c r="D1343" s="36"/>
      <c r="E1343" s="36"/>
      <c r="F1343" s="36"/>
      <c r="G1343" s="36"/>
      <c r="H1343" s="36"/>
      <c r="I1343" s="36"/>
      <c r="J1343" s="36"/>
      <c r="K1343" s="36"/>
      <c r="L1343" s="36"/>
      <c r="M1343" s="36"/>
      <c r="N1343" s="36"/>
      <c r="O1343" s="36"/>
      <c r="P1343" s="36"/>
      <c r="Q1343" s="36"/>
      <c r="R1343" s="36"/>
      <c r="S1343" s="36"/>
    </row>
    <row r="1344" spans="1:19" ht="15.75">
      <c r="A1344" s="35"/>
      <c r="B1344" s="36"/>
      <c r="C1344" s="36"/>
      <c r="D1344" s="36"/>
      <c r="E1344" s="36"/>
      <c r="F1344" s="36"/>
      <c r="G1344" s="36"/>
      <c r="H1344" s="36"/>
      <c r="I1344" s="36"/>
      <c r="J1344" s="36"/>
      <c r="K1344" s="36"/>
      <c r="L1344" s="36"/>
      <c r="M1344" s="36"/>
      <c r="N1344" s="36"/>
      <c r="O1344" s="36"/>
      <c r="P1344" s="36"/>
      <c r="Q1344" s="36"/>
      <c r="R1344" s="36"/>
      <c r="S1344" s="36"/>
    </row>
    <row r="1345" spans="1:19" ht="15.75">
      <c r="A1345" s="35"/>
      <c r="B1345" s="36"/>
      <c r="C1345" s="3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  <c r="S1345" s="36"/>
    </row>
    <row r="1346" spans="1:19" ht="15.75">
      <c r="A1346" s="35"/>
      <c r="B1346" s="36"/>
      <c r="C1346" s="36"/>
      <c r="D1346" s="36"/>
      <c r="E1346" s="36"/>
      <c r="F1346" s="36"/>
      <c r="G1346" s="36"/>
      <c r="H1346" s="36"/>
      <c r="I1346" s="36"/>
      <c r="J1346" s="36"/>
      <c r="K1346" s="36"/>
      <c r="L1346" s="36"/>
      <c r="M1346" s="36"/>
      <c r="N1346" s="36"/>
      <c r="O1346" s="36"/>
      <c r="P1346" s="36"/>
      <c r="Q1346" s="36"/>
      <c r="R1346" s="36"/>
      <c r="S1346" s="36"/>
    </row>
    <row r="1347" spans="1:19" ht="15.75">
      <c r="A1347" s="35"/>
      <c r="B1347" s="36"/>
      <c r="C1347" s="36"/>
      <c r="D1347" s="36"/>
      <c r="E1347" s="36"/>
      <c r="F1347" s="36"/>
      <c r="G1347" s="36"/>
      <c r="H1347" s="36"/>
      <c r="I1347" s="36"/>
      <c r="J1347" s="36"/>
      <c r="K1347" s="36"/>
      <c r="L1347" s="36"/>
      <c r="M1347" s="36"/>
      <c r="N1347" s="36"/>
      <c r="O1347" s="36"/>
      <c r="P1347" s="36"/>
      <c r="Q1347" s="36"/>
      <c r="R1347" s="36"/>
      <c r="S1347" s="36"/>
    </row>
    <row r="1348" spans="1:19" ht="15.75">
      <c r="A1348" s="35"/>
      <c r="B1348" s="36"/>
      <c r="C1348" s="36"/>
      <c r="D1348" s="36"/>
      <c r="E1348" s="36"/>
      <c r="F1348" s="36"/>
      <c r="G1348" s="36"/>
      <c r="H1348" s="36"/>
      <c r="I1348" s="36"/>
      <c r="J1348" s="36"/>
      <c r="K1348" s="36"/>
      <c r="L1348" s="36"/>
      <c r="M1348" s="36"/>
      <c r="N1348" s="36"/>
      <c r="O1348" s="36"/>
      <c r="P1348" s="36"/>
      <c r="Q1348" s="36"/>
      <c r="R1348" s="36"/>
      <c r="S1348" s="36"/>
    </row>
    <row r="1349" spans="1:19" ht="15.75">
      <c r="A1349" s="35"/>
      <c r="B1349" s="36"/>
      <c r="C1349" s="3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  <c r="S1349" s="36"/>
    </row>
    <row r="1350" spans="1:19" ht="15.75">
      <c r="A1350" s="35"/>
      <c r="B1350" s="36"/>
      <c r="C1350" s="36"/>
      <c r="D1350" s="36"/>
      <c r="E1350" s="36"/>
      <c r="F1350" s="36"/>
      <c r="G1350" s="36"/>
      <c r="H1350" s="36"/>
      <c r="I1350" s="36"/>
      <c r="J1350" s="36"/>
      <c r="K1350" s="36"/>
      <c r="L1350" s="36"/>
      <c r="M1350" s="36"/>
      <c r="N1350" s="36"/>
      <c r="O1350" s="36"/>
      <c r="P1350" s="36"/>
      <c r="Q1350" s="36"/>
      <c r="R1350" s="36"/>
      <c r="S1350" s="36"/>
    </row>
    <row r="1351" spans="1:19" ht="15.75">
      <c r="A1351" s="35"/>
      <c r="B1351" s="36"/>
      <c r="C1351" s="36"/>
      <c r="D1351" s="36"/>
      <c r="E1351" s="36"/>
      <c r="F1351" s="36"/>
      <c r="G1351" s="36"/>
      <c r="H1351" s="36"/>
      <c r="I1351" s="36"/>
      <c r="J1351" s="36"/>
      <c r="K1351" s="36"/>
      <c r="L1351" s="36"/>
      <c r="M1351" s="36"/>
      <c r="N1351" s="36"/>
      <c r="O1351" s="36"/>
      <c r="P1351" s="36"/>
      <c r="Q1351" s="36"/>
      <c r="R1351" s="36"/>
      <c r="S1351" s="36"/>
    </row>
    <row r="1352" spans="1:19" ht="15.75">
      <c r="A1352" s="35"/>
      <c r="B1352" s="36"/>
      <c r="C1352" s="36"/>
      <c r="D1352" s="36"/>
      <c r="E1352" s="36"/>
      <c r="F1352" s="36"/>
      <c r="G1352" s="36"/>
      <c r="H1352" s="36"/>
      <c r="I1352" s="36"/>
      <c r="J1352" s="36"/>
      <c r="K1352" s="36"/>
      <c r="L1352" s="36"/>
      <c r="M1352" s="36"/>
      <c r="N1352" s="36"/>
      <c r="O1352" s="36"/>
      <c r="P1352" s="36"/>
      <c r="Q1352" s="36"/>
      <c r="R1352" s="36"/>
      <c r="S1352" s="36"/>
    </row>
    <row r="1353" spans="1:19" ht="15.75">
      <c r="A1353" s="35"/>
      <c r="B1353" s="36"/>
      <c r="C1353" s="3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  <c r="S1353" s="36"/>
    </row>
    <row r="1354" spans="1:19" ht="15.75">
      <c r="A1354" s="35"/>
      <c r="B1354" s="36"/>
      <c r="C1354" s="36"/>
      <c r="D1354" s="36"/>
      <c r="E1354" s="36"/>
      <c r="F1354" s="36"/>
      <c r="G1354" s="36"/>
      <c r="H1354" s="36"/>
      <c r="I1354" s="36"/>
      <c r="J1354" s="36"/>
      <c r="K1354" s="36"/>
      <c r="L1354" s="36"/>
      <c r="M1354" s="36"/>
      <c r="N1354" s="36"/>
      <c r="O1354" s="36"/>
      <c r="P1354" s="36"/>
      <c r="Q1354" s="36"/>
      <c r="R1354" s="36"/>
      <c r="S1354" s="36"/>
    </row>
    <row r="1355" spans="1:19" ht="15.75">
      <c r="A1355" s="35"/>
      <c r="B1355" s="36"/>
      <c r="C1355" s="36"/>
      <c r="D1355" s="36"/>
      <c r="E1355" s="36"/>
      <c r="F1355" s="36"/>
      <c r="G1355" s="36"/>
      <c r="H1355" s="36"/>
      <c r="I1355" s="36"/>
      <c r="J1355" s="36"/>
      <c r="K1355" s="36"/>
      <c r="L1355" s="36"/>
      <c r="M1355" s="36"/>
      <c r="N1355" s="36"/>
      <c r="O1355" s="36"/>
      <c r="P1355" s="36"/>
      <c r="Q1355" s="36"/>
      <c r="R1355" s="36"/>
      <c r="S1355" s="36"/>
    </row>
    <row r="1356" spans="1:19" ht="15.75">
      <c r="A1356" s="35"/>
      <c r="B1356" s="36"/>
      <c r="C1356" s="36"/>
      <c r="D1356" s="36"/>
      <c r="E1356" s="36"/>
      <c r="F1356" s="36"/>
      <c r="G1356" s="36"/>
      <c r="H1356" s="36"/>
      <c r="I1356" s="36"/>
      <c r="J1356" s="36"/>
      <c r="K1356" s="36"/>
      <c r="L1356" s="36"/>
      <c r="M1356" s="36"/>
      <c r="N1356" s="36"/>
      <c r="O1356" s="36"/>
      <c r="P1356" s="36"/>
      <c r="Q1356" s="36"/>
      <c r="R1356" s="36"/>
      <c r="S1356" s="36"/>
    </row>
    <row r="1357" spans="1:19" ht="15.75">
      <c r="A1357" s="35"/>
      <c r="B1357" s="36"/>
      <c r="C1357" s="3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  <c r="S1357" s="36"/>
    </row>
    <row r="1358" spans="1:19" ht="15.75">
      <c r="A1358" s="35"/>
      <c r="B1358" s="36"/>
      <c r="C1358" s="36"/>
      <c r="D1358" s="36"/>
      <c r="E1358" s="36"/>
      <c r="F1358" s="36"/>
      <c r="G1358" s="36"/>
      <c r="H1358" s="36"/>
      <c r="I1358" s="36"/>
      <c r="J1358" s="36"/>
      <c r="K1358" s="36"/>
      <c r="L1358" s="36"/>
      <c r="M1358" s="36"/>
      <c r="N1358" s="36"/>
      <c r="O1358" s="36"/>
      <c r="P1358" s="36"/>
      <c r="Q1358" s="36"/>
      <c r="R1358" s="36"/>
      <c r="S1358" s="36"/>
    </row>
    <row r="1359" spans="1:19" ht="15.75">
      <c r="A1359" s="35"/>
      <c r="B1359" s="36"/>
      <c r="C1359" s="36"/>
      <c r="D1359" s="36"/>
      <c r="E1359" s="36"/>
      <c r="F1359" s="36"/>
      <c r="G1359" s="36"/>
      <c r="H1359" s="36"/>
      <c r="I1359" s="36"/>
      <c r="J1359" s="36"/>
      <c r="K1359" s="36"/>
      <c r="L1359" s="36"/>
      <c r="M1359" s="36"/>
      <c r="N1359" s="36"/>
      <c r="O1359" s="36"/>
      <c r="P1359" s="36"/>
      <c r="Q1359" s="36"/>
      <c r="R1359" s="36"/>
      <c r="S1359" s="36"/>
    </row>
    <row r="1360" spans="1:19" ht="15.75">
      <c r="A1360" s="35"/>
      <c r="B1360" s="36"/>
      <c r="C1360" s="36"/>
      <c r="D1360" s="36"/>
      <c r="E1360" s="36"/>
      <c r="F1360" s="36"/>
      <c r="G1360" s="36"/>
      <c r="H1360" s="36"/>
      <c r="I1360" s="36"/>
      <c r="J1360" s="36"/>
      <c r="K1360" s="36"/>
      <c r="L1360" s="36"/>
      <c r="M1360" s="36"/>
      <c r="N1360" s="36"/>
      <c r="O1360" s="36"/>
      <c r="P1360" s="36"/>
      <c r="Q1360" s="36"/>
      <c r="R1360" s="36"/>
      <c r="S1360" s="36"/>
    </row>
    <row r="1361" spans="1:19" ht="15.75">
      <c r="A1361" s="35"/>
      <c r="B1361" s="36"/>
      <c r="C1361" s="3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  <c r="S1361" s="36"/>
    </row>
    <row r="1362" spans="1:19" ht="15.75">
      <c r="A1362" s="35"/>
      <c r="B1362" s="36"/>
      <c r="C1362" s="36"/>
      <c r="D1362" s="36"/>
      <c r="E1362" s="36"/>
      <c r="F1362" s="36"/>
      <c r="G1362" s="36"/>
      <c r="H1362" s="36"/>
      <c r="I1362" s="36"/>
      <c r="J1362" s="36"/>
      <c r="K1362" s="36"/>
      <c r="L1362" s="36"/>
      <c r="M1362" s="36"/>
      <c r="N1362" s="36"/>
      <c r="O1362" s="36"/>
      <c r="P1362" s="36"/>
      <c r="Q1362" s="36"/>
      <c r="R1362" s="36"/>
      <c r="S1362" s="36"/>
    </row>
    <row r="1363" spans="1:19" ht="15.75">
      <c r="A1363" s="35"/>
      <c r="B1363" s="36"/>
      <c r="C1363" s="36"/>
      <c r="D1363" s="36"/>
      <c r="E1363" s="36"/>
      <c r="F1363" s="36"/>
      <c r="G1363" s="36"/>
      <c r="H1363" s="36"/>
      <c r="I1363" s="36"/>
      <c r="J1363" s="36"/>
      <c r="K1363" s="36"/>
      <c r="L1363" s="36"/>
      <c r="M1363" s="36"/>
      <c r="N1363" s="36"/>
      <c r="O1363" s="36"/>
      <c r="P1363" s="36"/>
      <c r="Q1363" s="36"/>
      <c r="R1363" s="36"/>
      <c r="S1363" s="36"/>
    </row>
    <row r="1364" spans="1:19" ht="15.75">
      <c r="A1364" s="35"/>
      <c r="B1364" s="36"/>
      <c r="C1364" s="36"/>
      <c r="D1364" s="36"/>
      <c r="E1364" s="36"/>
      <c r="F1364" s="36"/>
      <c r="G1364" s="36"/>
      <c r="H1364" s="36"/>
      <c r="I1364" s="36"/>
      <c r="J1364" s="36"/>
      <c r="K1364" s="36"/>
      <c r="L1364" s="36"/>
      <c r="M1364" s="36"/>
      <c r="N1364" s="36"/>
      <c r="O1364" s="36"/>
      <c r="P1364" s="36"/>
      <c r="Q1364" s="36"/>
      <c r="R1364" s="36"/>
      <c r="S1364" s="36"/>
    </row>
    <row r="1365" spans="1:19" ht="15.75">
      <c r="A1365" s="35"/>
      <c r="B1365" s="36"/>
      <c r="C1365" s="3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  <c r="S1365" s="36"/>
    </row>
    <row r="1366" spans="1:19" ht="15.75">
      <c r="A1366" s="35"/>
      <c r="B1366" s="36"/>
      <c r="C1366" s="36"/>
      <c r="D1366" s="36"/>
      <c r="E1366" s="36"/>
      <c r="F1366" s="36"/>
      <c r="G1366" s="36"/>
      <c r="H1366" s="36"/>
      <c r="I1366" s="36"/>
      <c r="J1366" s="36"/>
      <c r="K1366" s="36"/>
      <c r="L1366" s="36"/>
      <c r="M1366" s="36"/>
      <c r="N1366" s="36"/>
      <c r="O1366" s="36"/>
      <c r="P1366" s="36"/>
      <c r="Q1366" s="36"/>
      <c r="R1366" s="36"/>
      <c r="S1366" s="36"/>
    </row>
    <row r="1367" spans="1:19" ht="15.75">
      <c r="A1367" s="35"/>
      <c r="B1367" s="36"/>
      <c r="C1367" s="36"/>
      <c r="D1367" s="36"/>
      <c r="E1367" s="36"/>
      <c r="F1367" s="36"/>
      <c r="G1367" s="36"/>
      <c r="H1367" s="36"/>
      <c r="I1367" s="36"/>
      <c r="J1367" s="36"/>
      <c r="K1367" s="36"/>
      <c r="L1367" s="36"/>
      <c r="M1367" s="36"/>
      <c r="N1367" s="36"/>
      <c r="O1367" s="36"/>
      <c r="P1367" s="36"/>
      <c r="Q1367" s="36"/>
      <c r="R1367" s="36"/>
      <c r="S1367" s="36"/>
    </row>
    <row r="1368" spans="1:19" ht="15.75">
      <c r="A1368" s="35"/>
      <c r="B1368" s="36"/>
      <c r="C1368" s="36"/>
      <c r="D1368" s="36"/>
      <c r="E1368" s="36"/>
      <c r="F1368" s="36"/>
      <c r="G1368" s="36"/>
      <c r="H1368" s="36"/>
      <c r="I1368" s="36"/>
      <c r="J1368" s="36"/>
      <c r="K1368" s="36"/>
      <c r="L1368" s="36"/>
      <c r="M1368" s="36"/>
      <c r="N1368" s="36"/>
      <c r="O1368" s="36"/>
      <c r="P1368" s="36"/>
      <c r="Q1368" s="36"/>
      <c r="R1368" s="36"/>
      <c r="S1368" s="36"/>
    </row>
    <row r="1369" spans="1:19" ht="15.75">
      <c r="A1369" s="35"/>
      <c r="B1369" s="36"/>
      <c r="C1369" s="3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  <c r="S1369" s="36"/>
    </row>
    <row r="1370" spans="1:19" ht="15.75">
      <c r="A1370" s="35"/>
      <c r="B1370" s="36"/>
      <c r="C1370" s="36"/>
      <c r="D1370" s="36"/>
      <c r="E1370" s="36"/>
      <c r="F1370" s="36"/>
      <c r="G1370" s="36"/>
      <c r="H1370" s="36"/>
      <c r="I1370" s="36"/>
      <c r="J1370" s="36"/>
      <c r="K1370" s="36"/>
      <c r="L1370" s="36"/>
      <c r="M1370" s="36"/>
      <c r="N1370" s="36"/>
      <c r="O1370" s="36"/>
      <c r="P1370" s="36"/>
      <c r="Q1370" s="36"/>
      <c r="R1370" s="36"/>
      <c r="S1370" s="36"/>
    </row>
    <row r="1371" spans="1:19" ht="15.75">
      <c r="A1371" s="35"/>
      <c r="B1371" s="36"/>
      <c r="C1371" s="36"/>
      <c r="D1371" s="36"/>
      <c r="E1371" s="36"/>
      <c r="F1371" s="36"/>
      <c r="G1371" s="36"/>
      <c r="H1371" s="36"/>
      <c r="I1371" s="36"/>
      <c r="J1371" s="36"/>
      <c r="K1371" s="36"/>
      <c r="L1371" s="36"/>
      <c r="M1371" s="36"/>
      <c r="N1371" s="36"/>
      <c r="O1371" s="36"/>
      <c r="P1371" s="36"/>
      <c r="Q1371" s="36"/>
      <c r="R1371" s="36"/>
      <c r="S1371" s="36"/>
    </row>
    <row r="1372" spans="1:19" ht="15.75">
      <c r="A1372" s="35"/>
      <c r="B1372" s="36"/>
      <c r="C1372" s="36"/>
      <c r="D1372" s="36"/>
      <c r="E1372" s="36"/>
      <c r="F1372" s="36"/>
      <c r="G1372" s="36"/>
      <c r="H1372" s="36"/>
      <c r="I1372" s="36"/>
      <c r="J1372" s="36"/>
      <c r="K1372" s="36"/>
      <c r="L1372" s="36"/>
      <c r="M1372" s="36"/>
      <c r="N1372" s="36"/>
      <c r="O1372" s="36"/>
      <c r="P1372" s="36"/>
      <c r="Q1372" s="36"/>
      <c r="R1372" s="36"/>
      <c r="S1372" s="36"/>
    </row>
    <row r="1373" spans="1:19" ht="15.75">
      <c r="A1373" s="35"/>
      <c r="B1373" s="36"/>
      <c r="C1373" s="3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  <c r="S1373" s="36"/>
    </row>
    <row r="1374" spans="1:19" ht="15.75">
      <c r="A1374" s="35"/>
      <c r="B1374" s="36"/>
      <c r="C1374" s="36"/>
      <c r="D1374" s="36"/>
      <c r="E1374" s="36"/>
      <c r="F1374" s="36"/>
      <c r="G1374" s="36"/>
      <c r="H1374" s="36"/>
      <c r="I1374" s="36"/>
      <c r="J1374" s="36"/>
      <c r="K1374" s="36"/>
      <c r="L1374" s="36"/>
      <c r="M1374" s="36"/>
      <c r="N1374" s="36"/>
      <c r="O1374" s="36"/>
      <c r="P1374" s="36"/>
      <c r="Q1374" s="36"/>
      <c r="R1374" s="36"/>
      <c r="S1374" s="36"/>
    </row>
    <row r="1375" spans="1:19" ht="15.75">
      <c r="A1375" s="35"/>
      <c r="B1375" s="36"/>
      <c r="C1375" s="36"/>
      <c r="D1375" s="36"/>
      <c r="E1375" s="36"/>
      <c r="F1375" s="36"/>
      <c r="G1375" s="36"/>
      <c r="H1375" s="36"/>
      <c r="I1375" s="36"/>
      <c r="J1375" s="36"/>
      <c r="K1375" s="36"/>
      <c r="L1375" s="36"/>
      <c r="M1375" s="36"/>
      <c r="N1375" s="36"/>
      <c r="O1375" s="36"/>
      <c r="P1375" s="36"/>
      <c r="Q1375" s="36"/>
      <c r="R1375" s="36"/>
      <c r="S1375" s="36"/>
    </row>
    <row r="1376" spans="1:19" ht="15.75">
      <c r="A1376" s="35"/>
      <c r="B1376" s="36"/>
      <c r="C1376" s="36"/>
      <c r="D1376" s="36"/>
      <c r="E1376" s="36"/>
      <c r="F1376" s="36"/>
      <c r="G1376" s="36"/>
      <c r="H1376" s="36"/>
      <c r="I1376" s="36"/>
      <c r="J1376" s="36"/>
      <c r="K1376" s="36"/>
      <c r="L1376" s="36"/>
      <c r="M1376" s="36"/>
      <c r="N1376" s="36"/>
      <c r="O1376" s="36"/>
      <c r="P1376" s="36"/>
      <c r="Q1376" s="36"/>
      <c r="R1376" s="36"/>
      <c r="S1376" s="36"/>
    </row>
    <row r="1377" spans="1:19" ht="15.75">
      <c r="A1377" s="35"/>
      <c r="B1377" s="36"/>
      <c r="C1377" s="3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  <c r="S1377" s="36"/>
    </row>
    <row r="1378" spans="1:19" ht="15.75">
      <c r="A1378" s="35"/>
      <c r="B1378" s="36"/>
      <c r="C1378" s="36"/>
      <c r="D1378" s="36"/>
      <c r="E1378" s="36"/>
      <c r="F1378" s="36"/>
      <c r="G1378" s="36"/>
      <c r="H1378" s="36"/>
      <c r="I1378" s="36"/>
      <c r="J1378" s="36"/>
      <c r="K1378" s="36"/>
      <c r="L1378" s="36"/>
      <c r="M1378" s="36"/>
      <c r="N1378" s="36"/>
      <c r="O1378" s="36"/>
      <c r="P1378" s="36"/>
      <c r="Q1378" s="36"/>
      <c r="R1378" s="36"/>
      <c r="S1378" s="36"/>
    </row>
    <row r="1379" spans="1:19" ht="15.75">
      <c r="A1379" s="35"/>
      <c r="B1379" s="36"/>
      <c r="C1379" s="36"/>
      <c r="D1379" s="36"/>
      <c r="E1379" s="36"/>
      <c r="F1379" s="36"/>
      <c r="G1379" s="36"/>
      <c r="H1379" s="36"/>
      <c r="I1379" s="36"/>
      <c r="J1379" s="36"/>
      <c r="K1379" s="36"/>
      <c r="L1379" s="36"/>
      <c r="M1379" s="36"/>
      <c r="N1379" s="36"/>
      <c r="O1379" s="36"/>
      <c r="P1379" s="36"/>
      <c r="Q1379" s="36"/>
      <c r="R1379" s="36"/>
      <c r="S1379" s="36"/>
    </row>
    <row r="1380" spans="1:19" ht="15.75">
      <c r="A1380" s="35"/>
      <c r="B1380" s="36"/>
      <c r="C1380" s="36"/>
      <c r="D1380" s="36"/>
      <c r="E1380" s="36"/>
      <c r="F1380" s="36"/>
      <c r="G1380" s="36"/>
      <c r="H1380" s="36"/>
      <c r="I1380" s="36"/>
      <c r="J1380" s="36"/>
      <c r="K1380" s="36"/>
      <c r="L1380" s="36"/>
      <c r="M1380" s="36"/>
      <c r="N1380" s="36"/>
      <c r="O1380" s="36"/>
      <c r="P1380" s="36"/>
      <c r="Q1380" s="36"/>
      <c r="R1380" s="36"/>
      <c r="S1380" s="36"/>
    </row>
    <row r="1381" spans="1:19" ht="15.75">
      <c r="A1381" s="35"/>
      <c r="B1381" s="36"/>
      <c r="C1381" s="3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  <c r="S1381" s="36"/>
    </row>
    <row r="1382" spans="1:19" ht="15.75">
      <c r="A1382" s="35"/>
      <c r="B1382" s="36"/>
      <c r="C1382" s="36"/>
      <c r="D1382" s="36"/>
      <c r="E1382" s="36"/>
      <c r="F1382" s="36"/>
      <c r="G1382" s="36"/>
      <c r="H1382" s="36"/>
      <c r="I1382" s="36"/>
      <c r="J1382" s="36"/>
      <c r="K1382" s="36"/>
      <c r="L1382" s="36"/>
      <c r="M1382" s="36"/>
      <c r="N1382" s="36"/>
      <c r="O1382" s="36"/>
      <c r="P1382" s="36"/>
      <c r="Q1382" s="36"/>
      <c r="R1382" s="36"/>
      <c r="S1382" s="36"/>
    </row>
    <row r="1383" spans="1:19" ht="15.75">
      <c r="A1383" s="35"/>
      <c r="B1383" s="36"/>
      <c r="C1383" s="36"/>
      <c r="D1383" s="36"/>
      <c r="E1383" s="36"/>
      <c r="F1383" s="36"/>
      <c r="G1383" s="36"/>
      <c r="H1383" s="36"/>
      <c r="I1383" s="36"/>
      <c r="J1383" s="36"/>
      <c r="K1383" s="36"/>
      <c r="L1383" s="36"/>
      <c r="M1383" s="36"/>
      <c r="N1383" s="36"/>
      <c r="O1383" s="36"/>
      <c r="P1383" s="36"/>
      <c r="Q1383" s="36"/>
      <c r="R1383" s="36"/>
      <c r="S1383" s="36"/>
    </row>
    <row r="1384" spans="1:19" ht="15.75">
      <c r="A1384" s="35"/>
      <c r="B1384" s="36"/>
      <c r="C1384" s="36"/>
      <c r="D1384" s="36"/>
      <c r="E1384" s="36"/>
      <c r="F1384" s="36"/>
      <c r="G1384" s="36"/>
      <c r="H1384" s="36"/>
      <c r="I1384" s="36"/>
      <c r="J1384" s="36"/>
      <c r="K1384" s="36"/>
      <c r="L1384" s="36"/>
      <c r="M1384" s="36"/>
      <c r="N1384" s="36"/>
      <c r="O1384" s="36"/>
      <c r="P1384" s="36"/>
      <c r="Q1384" s="36"/>
      <c r="R1384" s="36"/>
      <c r="S1384" s="36"/>
    </row>
  </sheetData>
  <hyperlinks>
    <hyperlink ref="A7" location="'Chart 1'!A1" display="1)"/>
    <hyperlink ref="A8" location="'Chart 2'!A1" display="Chart (2)"/>
    <hyperlink ref="A9" location="'Chart 3'!A1" display="Chart (3)"/>
    <hyperlink ref="A10" location="'Chart 4'!A1" display="Chart (4)"/>
    <hyperlink ref="A11" location="'Chart 5'!A1" display="Chart (5)"/>
    <hyperlink ref="A12" location="'Chart 6'!A1" display="Chart (6)"/>
    <hyperlink ref="A15" location="'Chart 7'!A1" display="Chart (7):"/>
    <hyperlink ref="A16" location="'Chart 8'!A1" display="Chart (8):"/>
    <hyperlink ref="A17" location="'Chart 9'!A1" display="Chart (9):"/>
    <hyperlink ref="A18" location="'Chart 10'!A1" display="Chart (10):"/>
    <hyperlink ref="A19" location="'Chart 11'!A1" display="Chart (11):"/>
    <hyperlink ref="A20" location="'Chart 12'!A1" display="Chart (12):"/>
    <hyperlink ref="A23" location="'Chart 13'!A1" display="Chart (13):"/>
    <hyperlink ref="A24" location="'Chart 14'!A1" display="Chart (14):"/>
    <hyperlink ref="A25" location="'Chart 15'!A1" display="Chart (15):"/>
    <hyperlink ref="A26" location="'Chart 16'!A1" display="Chart (16):"/>
    <hyperlink ref="A29" location="'Chart 17'!A1" display="Chart (17):"/>
    <hyperlink ref="A30" location="'Chart 18'!A1" display="Chart (18):"/>
    <hyperlink ref="A31" location="'Chart 19'!A1" display="Chart (19):"/>
    <hyperlink ref="A34" location="'Chart 20'!A1" display="Chart (20):"/>
    <hyperlink ref="A35" location="'Chart 21'!A1" display="Chart (21):"/>
    <hyperlink ref="A36" location="'Chart 22'!A1" display="Chart (22):"/>
    <hyperlink ref="A37" location="'Chart 23'!A1" display="Chart (23):"/>
    <hyperlink ref="A38" location="'Chart 24'!A1" display="Chart (24):"/>
    <hyperlink ref="A39" location="'Chart 25'!A1" display="Chart (25):"/>
    <hyperlink ref="A40" location="'Chart 26'!A1" display="Chart (26):"/>
    <hyperlink ref="A43" location="'Chart 27'!A1" display="Chart (27):"/>
    <hyperlink ref="A44" location="'Chart 28'!A1" display="Chart (28):"/>
    <hyperlink ref="A45" location="'Chart 29'!A1" display="Chart (29):"/>
    <hyperlink ref="A46" location="'Chart 30'!A1" display="Chart (30):"/>
    <hyperlink ref="A47" location="'Chart 31'!A1" display="Chart (31):"/>
    <hyperlink ref="A48" location="'Chart 32'!A1" display="Chart (32):"/>
    <hyperlink ref="A49" location="'Chart 33'!A1" display="Chart (33):"/>
    <hyperlink ref="A50" location="'Chart 34'!A1" display="Chart (34):"/>
    <hyperlink ref="A51" location="'Chart 35'!A1" display="Chart (35):"/>
    <hyperlink ref="A52" location="'Chart 36'!A1" display="Chart (36):"/>
    <hyperlink ref="A53" location="'Chart 37'!A1" display="Chart (37):"/>
    <hyperlink ref="A56" location="'Chart 38'!A1" display="Chart (38):"/>
    <hyperlink ref="A57" location="'Chart 39'!A1" display="Chart (39):"/>
    <hyperlink ref="A58" location="'Chart 40'!A1" display="Chart (40):"/>
    <hyperlink ref="A59" location="'Chart 41'!A1" display="Chart (41):"/>
    <hyperlink ref="A60" location="'Chart 42'!A1" display="Chart (42):"/>
    <hyperlink ref="A61" location="'Chart 43'!A1" display="Chart (43):"/>
    <hyperlink ref="A62" location="'Chart 44'!A1" display="Chart (44):"/>
    <hyperlink ref="A63" location="'Chart 45'!A1" display="Chart (45):"/>
    <hyperlink ref="A64" location="'Chart 46'!A1" display="Chart (46):"/>
    <hyperlink ref="A67" location="'Chart 47'!A1" display="Chart (47):"/>
    <hyperlink ref="A68" location="'Chart 48'!A1" display="Chart (48):"/>
    <hyperlink ref="A71" location="'Chart 49'!A1" display="Chart (49):"/>
    <hyperlink ref="A72" location="'Chart 50'!A1" display="Chart (50):"/>
    <hyperlink ref="A73" location="'Chart 51'!A1" display="Chart (51):"/>
    <hyperlink ref="A74" location="'Chart 52'!A1" display="Chart (52):"/>
    <hyperlink ref="A75" location="'Chart 53'!A1" display="Chart (53):"/>
    <hyperlink ref="A76" location="'Chart 54'!A1" display="Chart (54):"/>
    <hyperlink ref="A77" location="'Chart 55'!A1" display="Chart (55):"/>
    <hyperlink ref="A78" location="'Chart 56'!A1" display="Chart (56):"/>
    <hyperlink ref="A79" location="'Chart 57'!A1" display="Chart (57):"/>
    <hyperlink ref="A80" location="'Chart 58'!A1" display="Chart (58):"/>
    <hyperlink ref="A83" location="'Chart 59'!A1" display="Chart (59):"/>
    <hyperlink ref="A84" location="'Chart 60'!A1" display="Chart (60):"/>
    <hyperlink ref="A85" location="'Chart 61'!A1" display="Chart (61):"/>
    <hyperlink ref="A86" location="'Chart 62'!A1" display="Chart (62):"/>
    <hyperlink ref="A87" location="'Chart 63'!A1" display="Chart (63):"/>
    <hyperlink ref="A90" location="'Chart 64'!A1" display="Chart (64):"/>
    <hyperlink ref="A91" location="'Chart 65'!A1" display="Chart (65):"/>
    <hyperlink ref="A92" location="'Chart 66'!A1" display="Chart (66):"/>
  </hyperlinks>
  <pageMargins left="0.7" right="0.7" top="0.75" bottom="0.75" header="0.3" footer="0.3"/>
  <pageSetup orientation="portrait" verticalDpi="4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4"/>
  <sheetViews>
    <sheetView workbookViewId="0">
      <selection activeCell="F51" sqref="F51"/>
    </sheetView>
  </sheetViews>
  <sheetFormatPr defaultRowHeight="15"/>
  <cols>
    <col min="1" max="1" width="6.28515625" style="148" customWidth="1"/>
    <col min="2" max="2" width="12" style="148" customWidth="1"/>
    <col min="3" max="4" width="12.5703125" style="148" bestFit="1" customWidth="1"/>
    <col min="5" max="5" width="15.28515625" style="148" customWidth="1"/>
    <col min="6" max="6" width="16.7109375" style="148" customWidth="1"/>
    <col min="7" max="8" width="9.140625" style="148"/>
    <col min="9" max="9" width="7.42578125" style="148" customWidth="1"/>
    <col min="10" max="10" width="12" style="148" customWidth="1"/>
    <col min="11" max="11" width="12.5703125" style="148" customWidth="1"/>
    <col min="12" max="12" width="12.140625" style="148" customWidth="1"/>
    <col min="13" max="13" width="12.5703125" style="148" customWidth="1"/>
    <col min="14" max="14" width="14.85546875" style="148" customWidth="1"/>
    <col min="15" max="15" width="15.140625" style="148" customWidth="1"/>
    <col min="16" max="16" width="15.7109375" style="148" customWidth="1"/>
    <col min="17" max="16384" width="9.140625" style="148"/>
  </cols>
  <sheetData>
    <row r="1" spans="1:16" ht="15.75">
      <c r="A1" s="147" t="s">
        <v>906</v>
      </c>
    </row>
    <row r="3" spans="1:16" ht="18.75">
      <c r="A3" s="149" t="s">
        <v>252</v>
      </c>
      <c r="B3" s="150" t="s">
        <v>253</v>
      </c>
    </row>
    <row r="4" spans="1:16" ht="18.75">
      <c r="A4" s="149"/>
      <c r="B4" s="150"/>
    </row>
    <row r="5" spans="1:16" ht="18.75">
      <c r="A5" s="149"/>
      <c r="B5" s="150"/>
    </row>
    <row r="6" spans="1:16">
      <c r="A6" s="151" t="s">
        <v>904</v>
      </c>
      <c r="B6" s="152"/>
      <c r="C6" s="152"/>
      <c r="D6" s="152"/>
      <c r="E6" s="152"/>
      <c r="F6" s="152"/>
      <c r="G6" s="152"/>
      <c r="H6" s="152"/>
      <c r="I6" s="151" t="s">
        <v>905</v>
      </c>
      <c r="J6" s="152"/>
    </row>
    <row r="7" spans="1:16" ht="15.75">
      <c r="A7" s="153"/>
      <c r="I7" s="153"/>
    </row>
    <row r="8" spans="1:16" ht="65.25" customHeight="1">
      <c r="A8" s="155" t="s">
        <v>87</v>
      </c>
      <c r="B8" s="166" t="s">
        <v>77</v>
      </c>
      <c r="C8" s="167" t="s">
        <v>78</v>
      </c>
      <c r="D8" s="167" t="s">
        <v>936</v>
      </c>
      <c r="E8" s="168" t="s">
        <v>79</v>
      </c>
      <c r="F8" s="168" t="s">
        <v>80</v>
      </c>
      <c r="I8" s="169" t="s">
        <v>87</v>
      </c>
      <c r="J8" s="168" t="s">
        <v>935</v>
      </c>
      <c r="K8" s="168" t="s">
        <v>81</v>
      </c>
      <c r="L8" s="168" t="s">
        <v>82</v>
      </c>
      <c r="M8" s="168" t="s">
        <v>83</v>
      </c>
      <c r="N8" s="168" t="s">
        <v>84</v>
      </c>
      <c r="O8" s="168" t="s">
        <v>85</v>
      </c>
      <c r="P8" s="168" t="s">
        <v>86</v>
      </c>
    </row>
    <row r="9" spans="1:16">
      <c r="A9" s="151">
        <v>1975</v>
      </c>
      <c r="B9" s="170">
        <v>1285300</v>
      </c>
      <c r="C9" s="170">
        <v>86288100</v>
      </c>
      <c r="D9" s="170">
        <v>145708004</v>
      </c>
      <c r="E9" s="171">
        <f>B9/C9</f>
        <v>1.4895449082781982E-2</v>
      </c>
      <c r="F9" s="171">
        <f>B9/D9</f>
        <v>8.821066548959108E-3</v>
      </c>
      <c r="I9" s="172">
        <v>1975</v>
      </c>
      <c r="J9" s="170">
        <v>1071000</v>
      </c>
      <c r="K9" s="135">
        <v>11104000</v>
      </c>
      <c r="L9" s="135">
        <v>11456000</v>
      </c>
      <c r="M9" s="135">
        <v>22560000</v>
      </c>
      <c r="N9" s="171">
        <v>4.7473404255319152E-2</v>
      </c>
      <c r="O9" s="171">
        <v>8.4654178674351578E-3</v>
      </c>
      <c r="P9" s="171">
        <v>8.5282821229050274E-2</v>
      </c>
    </row>
    <row r="10" spans="1:16">
      <c r="A10" s="151">
        <v>1976</v>
      </c>
      <c r="B10" s="170">
        <v>1232200</v>
      </c>
      <c r="C10" s="170">
        <v>87796200</v>
      </c>
      <c r="D10" s="170">
        <v>148040598</v>
      </c>
      <c r="E10" s="171">
        <f t="shared" ref="E10:E44" si="0">B10/C10</f>
        <v>1.4034775992582823E-2</v>
      </c>
      <c r="F10" s="171">
        <f t="shared" ref="F10:F44" si="1">B10/D10</f>
        <v>8.3233924791360266E-3</v>
      </c>
      <c r="I10" s="172">
        <v>1976</v>
      </c>
      <c r="J10" s="170">
        <v>976000</v>
      </c>
      <c r="K10" s="135">
        <v>10273000</v>
      </c>
      <c r="L10" s="135">
        <v>11389000</v>
      </c>
      <c r="M10" s="135">
        <v>21662000</v>
      </c>
      <c r="N10" s="171">
        <v>4.5055858184839814E-2</v>
      </c>
      <c r="O10" s="171">
        <v>7.9820889710892629E-3</v>
      </c>
      <c r="P10" s="171">
        <v>7.8496795153218016E-2</v>
      </c>
    </row>
    <row r="11" spans="1:16">
      <c r="A11" s="151">
        <v>1977</v>
      </c>
      <c r="B11" s="170">
        <v>1235200</v>
      </c>
      <c r="C11" s="170">
        <v>89727300</v>
      </c>
      <c r="D11" s="170">
        <v>150322171</v>
      </c>
      <c r="E11" s="171">
        <f t="shared" si="0"/>
        <v>1.3766155896811785E-2</v>
      </c>
      <c r="F11" s="171">
        <f t="shared" si="1"/>
        <v>8.217018100410485E-3</v>
      </c>
      <c r="I11" s="172">
        <v>1977</v>
      </c>
      <c r="J11" s="170">
        <v>1033000</v>
      </c>
      <c r="K11" s="135">
        <v>10288000</v>
      </c>
      <c r="L11" s="135">
        <v>11316000</v>
      </c>
      <c r="M11" s="135">
        <v>21604000</v>
      </c>
      <c r="N11" s="171">
        <v>4.7815219403814106E-2</v>
      </c>
      <c r="O11" s="171">
        <v>9.7200622083981336E-3</v>
      </c>
      <c r="P11" s="171">
        <v>8.2449628844114525E-2</v>
      </c>
    </row>
    <row r="12" spans="1:16">
      <c r="A12" s="151">
        <v>1978</v>
      </c>
      <c r="B12" s="170">
        <v>1184700</v>
      </c>
      <c r="C12" s="170">
        <v>94125000</v>
      </c>
      <c r="D12" s="170">
        <v>152559010</v>
      </c>
      <c r="E12" s="171">
        <f t="shared" si="0"/>
        <v>1.2586454183266932E-2</v>
      </c>
      <c r="F12" s="171">
        <f t="shared" si="1"/>
        <v>7.7655197159446692E-3</v>
      </c>
      <c r="I12" s="172">
        <v>1978</v>
      </c>
      <c r="J12" s="170">
        <v>1039000</v>
      </c>
      <c r="K12" s="135">
        <v>9931000</v>
      </c>
      <c r="L12" s="135">
        <v>11332000</v>
      </c>
      <c r="M12" s="135">
        <v>21263000</v>
      </c>
      <c r="N12" s="171">
        <v>4.8864224239288906E-2</v>
      </c>
      <c r="O12" s="171">
        <v>9.4653106434397349E-3</v>
      </c>
      <c r="P12" s="171">
        <v>8.3392163783974585E-2</v>
      </c>
    </row>
    <row r="13" spans="1:16">
      <c r="A13" s="151">
        <v>1979</v>
      </c>
      <c r="B13" s="170">
        <v>1187800</v>
      </c>
      <c r="C13" s="170">
        <v>97818700</v>
      </c>
      <c r="D13" s="170">
        <v>154685659</v>
      </c>
      <c r="E13" s="171">
        <f t="shared" si="0"/>
        <v>1.2142872477348401E-2</v>
      </c>
      <c r="F13" s="171">
        <f t="shared" si="1"/>
        <v>7.6787984592676427E-3</v>
      </c>
      <c r="I13" s="172">
        <v>1979</v>
      </c>
      <c r="J13" s="170">
        <v>1082000</v>
      </c>
      <c r="K13" s="135">
        <v>10377000</v>
      </c>
      <c r="L13" s="135">
        <v>12014000</v>
      </c>
      <c r="M13" s="135">
        <v>22391000</v>
      </c>
      <c r="N13" s="171">
        <v>4.8322986914385246E-2</v>
      </c>
      <c r="O13" s="171">
        <v>1.0214898332851498E-2</v>
      </c>
      <c r="P13" s="171">
        <v>8.1238555019144329E-2</v>
      </c>
    </row>
    <row r="14" spans="1:16">
      <c r="A14" s="151">
        <v>1980</v>
      </c>
      <c r="B14" s="170">
        <v>1262300</v>
      </c>
      <c r="C14" s="170">
        <v>100461100</v>
      </c>
      <c r="D14" s="170">
        <v>156539826</v>
      </c>
      <c r="E14" s="171">
        <f t="shared" si="0"/>
        <v>1.256506249682713E-2</v>
      </c>
      <c r="F14" s="171">
        <f t="shared" si="1"/>
        <v>8.0637626363530002E-3</v>
      </c>
      <c r="I14" s="172">
        <v>1980</v>
      </c>
      <c r="J14" s="170">
        <v>1142000</v>
      </c>
      <c r="K14" s="135">
        <v>11543000</v>
      </c>
      <c r="L14" s="135">
        <v>13858000</v>
      </c>
      <c r="M14" s="135">
        <v>25401000</v>
      </c>
      <c r="N14" s="171">
        <v>4.4958859887406007E-2</v>
      </c>
      <c r="O14" s="171">
        <v>1.0569176124057871E-2</v>
      </c>
      <c r="P14" s="171">
        <v>7.3603694616827822E-2</v>
      </c>
    </row>
    <row r="15" spans="1:16">
      <c r="A15" s="151">
        <v>1981</v>
      </c>
      <c r="B15" s="170">
        <v>1161200</v>
      </c>
      <c r="C15" s="170">
        <v>102290300</v>
      </c>
      <c r="D15" s="170">
        <v>158274253</v>
      </c>
      <c r="E15" s="171">
        <f t="shared" si="0"/>
        <v>1.1352005028824825E-2</v>
      </c>
      <c r="F15" s="171">
        <f t="shared" si="1"/>
        <v>7.3366323201032573E-3</v>
      </c>
      <c r="I15" s="172">
        <v>1981</v>
      </c>
      <c r="J15" s="170">
        <v>728000</v>
      </c>
      <c r="K15" s="135">
        <v>12505000</v>
      </c>
      <c r="L15" s="135">
        <v>15464000</v>
      </c>
      <c r="M15" s="135">
        <v>27969000</v>
      </c>
      <c r="N15" s="171">
        <v>2.6028817619507313E-2</v>
      </c>
      <c r="O15" s="171">
        <v>6.2375049980007997E-3</v>
      </c>
      <c r="P15" s="171">
        <v>4.2033109156751167E-2</v>
      </c>
    </row>
    <row r="16" spans="1:16">
      <c r="A16" s="151">
        <v>1982</v>
      </c>
      <c r="B16" s="170">
        <v>1019800</v>
      </c>
      <c r="C16" s="170">
        <v>103684600</v>
      </c>
      <c r="D16" s="170">
        <v>159934986</v>
      </c>
      <c r="E16" s="171">
        <f t="shared" si="0"/>
        <v>9.8355975718669893E-3</v>
      </c>
      <c r="F16" s="171">
        <f t="shared" si="1"/>
        <v>6.3763409464393239E-3</v>
      </c>
      <c r="I16" s="172">
        <v>1982</v>
      </c>
      <c r="J16" s="170">
        <v>818000</v>
      </c>
      <c r="K16" s="135">
        <v>13647000</v>
      </c>
      <c r="L16" s="135">
        <v>17000000</v>
      </c>
      <c r="M16" s="135">
        <v>30647000</v>
      </c>
      <c r="N16" s="171">
        <v>2.669103011714034E-2</v>
      </c>
      <c r="O16" s="171">
        <v>6.448303656481278E-3</v>
      </c>
      <c r="P16" s="171">
        <v>4.2941176470588233E-2</v>
      </c>
    </row>
    <row r="17" spans="1:16">
      <c r="A17" s="151">
        <v>1983</v>
      </c>
      <c r="B17" s="170">
        <v>1019299.9999999999</v>
      </c>
      <c r="C17" s="170">
        <v>104674000</v>
      </c>
      <c r="D17" s="170">
        <v>161623628</v>
      </c>
      <c r="E17" s="171">
        <f t="shared" si="0"/>
        <v>9.7378527619084009E-3</v>
      </c>
      <c r="F17" s="171">
        <f t="shared" si="1"/>
        <v>6.3066273948509553E-3</v>
      </c>
      <c r="I17" s="172">
        <v>1983</v>
      </c>
      <c r="J17" s="170">
        <v>896000</v>
      </c>
      <c r="K17" s="135">
        <v>13911000</v>
      </c>
      <c r="L17" s="135">
        <v>17767000</v>
      </c>
      <c r="M17" s="135">
        <v>31678000</v>
      </c>
      <c r="N17" s="171">
        <v>2.8284613927646949E-2</v>
      </c>
      <c r="O17" s="171">
        <v>7.332326935518654E-3</v>
      </c>
      <c r="P17" s="171">
        <v>4.4689593065796139E-2</v>
      </c>
    </row>
    <row r="18" spans="1:16">
      <c r="A18" s="151">
        <v>1984</v>
      </c>
      <c r="B18" s="170">
        <v>1036700</v>
      </c>
      <c r="C18" s="170">
        <v>106263300</v>
      </c>
      <c r="D18" s="170">
        <v>163400696</v>
      </c>
      <c r="E18" s="171">
        <f t="shared" si="0"/>
        <v>9.7559552545422555E-3</v>
      </c>
      <c r="F18" s="171">
        <f t="shared" si="1"/>
        <v>6.3445262191539255E-3</v>
      </c>
      <c r="I18" s="172">
        <v>1984</v>
      </c>
      <c r="J18" s="170">
        <v>938000</v>
      </c>
      <c r="K18" s="135">
        <v>13420000</v>
      </c>
      <c r="L18" s="135">
        <v>16952000</v>
      </c>
      <c r="M18" s="135">
        <v>30372000</v>
      </c>
      <c r="N18" s="171">
        <v>3.0883708679046488E-2</v>
      </c>
      <c r="O18" s="171">
        <v>7.6751117734724294E-3</v>
      </c>
      <c r="P18" s="171">
        <v>4.9256724870221806E-2</v>
      </c>
    </row>
    <row r="19" spans="1:16">
      <c r="A19" s="151">
        <v>1985</v>
      </c>
      <c r="B19" s="170">
        <v>1066200</v>
      </c>
      <c r="C19" s="170">
        <v>108782300</v>
      </c>
      <c r="D19" s="170">
        <v>165149512</v>
      </c>
      <c r="E19" s="171">
        <f t="shared" si="0"/>
        <v>9.801226854001064E-3</v>
      </c>
      <c r="F19" s="171">
        <f t="shared" si="1"/>
        <v>6.4559682138206984E-3</v>
      </c>
      <c r="I19" s="172">
        <v>1985</v>
      </c>
      <c r="J19" s="170">
        <v>1114000</v>
      </c>
      <c r="K19" s="135">
        <v>13010000</v>
      </c>
      <c r="L19" s="135">
        <v>16598000</v>
      </c>
      <c r="M19" s="135">
        <v>29608000</v>
      </c>
      <c r="N19" s="171">
        <v>3.7624966225344503E-2</v>
      </c>
      <c r="O19" s="171">
        <v>8.7624903920061493E-3</v>
      </c>
      <c r="P19" s="171">
        <v>6.0248222677431018E-2</v>
      </c>
    </row>
    <row r="20" spans="1:16">
      <c r="A20" s="151">
        <v>1986</v>
      </c>
      <c r="B20" s="170">
        <v>1118400</v>
      </c>
      <c r="C20" s="170">
        <v>110954600</v>
      </c>
      <c r="D20" s="170">
        <v>166791622</v>
      </c>
      <c r="E20" s="171">
        <f t="shared" si="0"/>
        <v>1.007979840403192E-2</v>
      </c>
      <c r="F20" s="171">
        <f t="shared" si="1"/>
        <v>6.7053727674643033E-3</v>
      </c>
      <c r="I20" s="172">
        <v>1986</v>
      </c>
      <c r="J20" s="170">
        <v>1198000</v>
      </c>
      <c r="K20" s="135">
        <v>12876000</v>
      </c>
      <c r="L20" s="135">
        <v>16017000</v>
      </c>
      <c r="M20" s="135">
        <v>28893000</v>
      </c>
      <c r="N20" s="171">
        <v>4.1463330218391999E-2</v>
      </c>
      <c r="O20" s="171">
        <v>9.4749922336129239E-3</v>
      </c>
      <c r="P20" s="171">
        <v>6.7178622713367053E-2</v>
      </c>
    </row>
    <row r="21" spans="1:16">
      <c r="A21" s="151">
        <v>1987</v>
      </c>
      <c r="B21" s="170">
        <v>1108900</v>
      </c>
      <c r="C21" s="170">
        <v>113142200</v>
      </c>
      <c r="D21" s="170">
        <v>168181275</v>
      </c>
      <c r="E21" s="171">
        <f t="shared" si="0"/>
        <v>9.8009407630397852E-3</v>
      </c>
      <c r="F21" s="171">
        <f t="shared" si="1"/>
        <v>6.5934807546202748E-3</v>
      </c>
      <c r="I21" s="172">
        <v>1987</v>
      </c>
      <c r="J21" s="170">
        <v>1025000</v>
      </c>
      <c r="K21" s="135">
        <v>12843000</v>
      </c>
      <c r="L21" s="135">
        <v>15815000</v>
      </c>
      <c r="M21" s="135">
        <v>28658000</v>
      </c>
      <c r="N21" s="171">
        <v>3.5766627119826921E-2</v>
      </c>
      <c r="O21" s="171">
        <v>8.4092501751927128E-3</v>
      </c>
      <c r="P21" s="171">
        <v>5.7982927600379389E-2</v>
      </c>
    </row>
    <row r="22" spans="1:16">
      <c r="A22" s="151">
        <v>1988</v>
      </c>
      <c r="B22" s="170">
        <v>1017900</v>
      </c>
      <c r="C22" s="170">
        <v>115257600</v>
      </c>
      <c r="D22" s="170">
        <v>169444400</v>
      </c>
      <c r="E22" s="171">
        <f t="shared" si="0"/>
        <v>8.8315217391304341E-3</v>
      </c>
      <c r="F22" s="171">
        <f t="shared" si="1"/>
        <v>6.0072802642046593E-3</v>
      </c>
      <c r="I22" s="172">
        <v>1988</v>
      </c>
      <c r="J22" s="170">
        <v>1014000</v>
      </c>
      <c r="K22" s="135">
        <v>12455000</v>
      </c>
      <c r="L22" s="135">
        <v>15809000</v>
      </c>
      <c r="M22" s="135">
        <v>28264000</v>
      </c>
      <c r="N22" s="171">
        <v>3.5876026040192473E-2</v>
      </c>
      <c r="O22" s="171">
        <v>9.152950622240065E-3</v>
      </c>
      <c r="P22" s="171">
        <v>5.6929597064962999E-2</v>
      </c>
    </row>
    <row r="23" spans="1:16">
      <c r="A23" s="151">
        <v>1989</v>
      </c>
      <c r="B23" s="170">
        <v>984900</v>
      </c>
      <c r="C23" s="170">
        <v>117476100</v>
      </c>
      <c r="D23" s="170">
        <v>170742886</v>
      </c>
      <c r="E23" s="171">
        <f t="shared" si="0"/>
        <v>8.3838329668758163E-3</v>
      </c>
      <c r="F23" s="171">
        <f t="shared" si="1"/>
        <v>5.7683223182721649E-3</v>
      </c>
      <c r="I23" s="172">
        <v>1989</v>
      </c>
      <c r="J23" s="170">
        <v>1065000</v>
      </c>
      <c r="K23" s="135">
        <v>12590000</v>
      </c>
      <c r="L23" s="135">
        <v>15575000</v>
      </c>
      <c r="M23" s="135">
        <v>28165000</v>
      </c>
      <c r="N23" s="171">
        <v>3.7812888336587962E-2</v>
      </c>
      <c r="O23" s="171">
        <v>9.2136616362192211E-3</v>
      </c>
      <c r="P23" s="171">
        <v>6.0930979133226322E-2</v>
      </c>
    </row>
    <row r="24" spans="1:16">
      <c r="A24" s="151">
        <v>1990</v>
      </c>
      <c r="B24" s="170">
        <v>1067700</v>
      </c>
      <c r="C24" s="170">
        <v>119405000</v>
      </c>
      <c r="D24" s="170">
        <v>171996272</v>
      </c>
      <c r="E24" s="171">
        <f t="shared" si="0"/>
        <v>8.9418366065072644E-3</v>
      </c>
      <c r="F24" s="171">
        <f t="shared" si="1"/>
        <v>6.2076926876647653E-3</v>
      </c>
      <c r="I24" s="172">
        <v>1990</v>
      </c>
      <c r="J24" s="170">
        <v>1220000</v>
      </c>
      <c r="K24" s="135">
        <v>13431000</v>
      </c>
      <c r="L24" s="135">
        <v>16496000</v>
      </c>
      <c r="M24" s="135">
        <v>29927000</v>
      </c>
      <c r="N24" s="171">
        <v>4.0765863601430148E-2</v>
      </c>
      <c r="O24" s="171">
        <v>1.109373836646564E-2</v>
      </c>
      <c r="P24" s="171">
        <v>6.4924830261881672E-2</v>
      </c>
    </row>
    <row r="25" spans="1:16">
      <c r="A25" s="151">
        <v>1991</v>
      </c>
      <c r="B25" s="170">
        <v>1208700</v>
      </c>
      <c r="C25" s="170">
        <v>120674300</v>
      </c>
      <c r="D25" s="170">
        <v>173396349</v>
      </c>
      <c r="E25" s="171">
        <f t="shared" si="0"/>
        <v>1.0016217206149114E-2</v>
      </c>
      <c r="F25" s="171">
        <f t="shared" si="1"/>
        <v>6.9707350066523024E-3</v>
      </c>
      <c r="I25" s="172">
        <v>1991</v>
      </c>
      <c r="J25" s="170">
        <v>1472000</v>
      </c>
      <c r="K25" s="135">
        <v>14341000</v>
      </c>
      <c r="L25" s="135">
        <v>17586000</v>
      </c>
      <c r="M25" s="135">
        <v>31927000</v>
      </c>
      <c r="N25" s="171">
        <v>4.6105177436025935E-2</v>
      </c>
      <c r="O25" s="171">
        <v>1.6526044208911513E-2</v>
      </c>
      <c r="P25" s="171">
        <v>7.0226316388035934E-2</v>
      </c>
    </row>
    <row r="26" spans="1:16">
      <c r="A26" s="151">
        <v>1992</v>
      </c>
      <c r="B26" s="170">
        <v>1335100</v>
      </c>
      <c r="C26" s="170">
        <v>121891000</v>
      </c>
      <c r="D26" s="170">
        <v>174989830</v>
      </c>
      <c r="E26" s="171">
        <f t="shared" si="0"/>
        <v>1.0953228704334201E-2</v>
      </c>
      <c r="F26" s="171">
        <f t="shared" si="1"/>
        <v>7.6295862450977865E-3</v>
      </c>
      <c r="I26" s="172">
        <v>1992</v>
      </c>
      <c r="J26" s="170">
        <v>1721000</v>
      </c>
      <c r="K26" s="135">
        <v>15294000</v>
      </c>
      <c r="L26" s="135">
        <v>18793000</v>
      </c>
      <c r="M26" s="135">
        <v>34087000</v>
      </c>
      <c r="N26" s="171">
        <v>5.0488456009622436E-2</v>
      </c>
      <c r="O26" s="171">
        <v>2.2165555119654765E-2</v>
      </c>
      <c r="P26" s="171">
        <v>7.3538019475336558E-2</v>
      </c>
    </row>
    <row r="27" spans="1:16">
      <c r="A27" s="151">
        <v>1993</v>
      </c>
      <c r="B27" s="170">
        <v>1425800</v>
      </c>
      <c r="C27" s="170">
        <v>123284000</v>
      </c>
      <c r="D27" s="170">
        <v>176709010</v>
      </c>
      <c r="E27" s="171">
        <f t="shared" si="0"/>
        <v>1.1565166607183415E-2</v>
      </c>
      <c r="F27" s="171">
        <f t="shared" si="1"/>
        <v>8.0686321540706946E-3</v>
      </c>
      <c r="I27" s="172">
        <v>1993</v>
      </c>
      <c r="J27" s="170">
        <v>1965000</v>
      </c>
      <c r="K27" s="135">
        <v>15727000</v>
      </c>
      <c r="L27" s="135">
        <v>19783000</v>
      </c>
      <c r="M27" s="135">
        <v>35510000</v>
      </c>
      <c r="N27" s="171">
        <v>5.5336524922557029E-2</v>
      </c>
      <c r="O27" s="171">
        <v>3.0075666052012461E-2</v>
      </c>
      <c r="P27" s="171">
        <v>7.5418288429459635E-2</v>
      </c>
    </row>
    <row r="28" spans="1:16">
      <c r="A28" s="151">
        <v>1994</v>
      </c>
      <c r="B28" s="170">
        <v>1443800</v>
      </c>
      <c r="C28" s="170">
        <v>125028900</v>
      </c>
      <c r="D28" s="170">
        <v>178616875</v>
      </c>
      <c r="E28" s="171">
        <f t="shared" si="0"/>
        <v>1.1547730164785901E-2</v>
      </c>
      <c r="F28" s="171">
        <f t="shared" si="1"/>
        <v>8.0832228197923635E-3</v>
      </c>
      <c r="I28" s="172">
        <v>1994</v>
      </c>
      <c r="J28" s="170">
        <v>1982000</v>
      </c>
      <c r="K28" s="135">
        <v>15289000</v>
      </c>
      <c r="L28" s="135">
        <v>19107000</v>
      </c>
      <c r="M28" s="135">
        <v>34396000</v>
      </c>
      <c r="N28" s="171">
        <v>5.7622979416211188E-2</v>
      </c>
      <c r="O28" s="171">
        <v>3.3815161227025964E-2</v>
      </c>
      <c r="P28" s="171">
        <v>7.6673470455853876E-2</v>
      </c>
    </row>
    <row r="29" spans="1:16">
      <c r="A29" s="151">
        <v>1995</v>
      </c>
      <c r="B29" s="170">
        <v>1338099.9999999998</v>
      </c>
      <c r="C29" s="170">
        <v>126987600</v>
      </c>
      <c r="D29" s="170">
        <v>180614526</v>
      </c>
      <c r="E29" s="171">
        <f t="shared" si="0"/>
        <v>1.0537249306231473E-2</v>
      </c>
      <c r="F29" s="171">
        <f t="shared" si="1"/>
        <v>7.408595696228773E-3</v>
      </c>
      <c r="I29" s="172">
        <v>1995</v>
      </c>
      <c r="J29" s="170">
        <v>1795000</v>
      </c>
      <c r="K29" s="135">
        <v>14665000</v>
      </c>
      <c r="L29" s="135">
        <v>18442000</v>
      </c>
      <c r="M29" s="135">
        <v>33107000</v>
      </c>
      <c r="N29" s="171">
        <v>5.4218141178602713E-2</v>
      </c>
      <c r="O29" s="171">
        <v>3.2253665189226045E-2</v>
      </c>
      <c r="P29" s="171">
        <v>7.1684199110725516E-2</v>
      </c>
    </row>
    <row r="30" spans="1:16">
      <c r="A30" s="151">
        <v>1996</v>
      </c>
      <c r="B30" s="170">
        <v>1279200</v>
      </c>
      <c r="C30" s="170">
        <v>128995700</v>
      </c>
      <c r="D30" s="170">
        <v>182705734</v>
      </c>
      <c r="E30" s="171">
        <f t="shared" si="0"/>
        <v>9.9166096234215555E-3</v>
      </c>
      <c r="F30" s="171">
        <f t="shared" si="1"/>
        <v>7.0014222979996894E-3</v>
      </c>
      <c r="I30" s="172">
        <v>1996</v>
      </c>
      <c r="J30" s="170">
        <v>1669000</v>
      </c>
      <c r="K30" s="135">
        <v>14463000</v>
      </c>
      <c r="L30" s="135">
        <v>18638000</v>
      </c>
      <c r="M30" s="135">
        <v>33101000</v>
      </c>
      <c r="N30" s="171">
        <v>5.0421437418809098E-2</v>
      </c>
      <c r="O30" s="171">
        <v>2.9800179769065894E-2</v>
      </c>
      <c r="P30" s="171">
        <v>6.6423435990986157E-2</v>
      </c>
    </row>
    <row r="31" spans="1:16">
      <c r="A31" s="151">
        <v>1997</v>
      </c>
      <c r="B31" s="170">
        <v>1180200.0000000002</v>
      </c>
      <c r="C31" s="170">
        <v>131052100</v>
      </c>
      <c r="D31" s="170">
        <v>184890859</v>
      </c>
      <c r="E31" s="171">
        <f t="shared" si="0"/>
        <v>9.0055786973272482E-3</v>
      </c>
      <c r="F31" s="171">
        <f t="shared" si="1"/>
        <v>6.3832252518227538E-3</v>
      </c>
      <c r="I31" s="172">
        <v>1997</v>
      </c>
      <c r="J31" s="170">
        <v>1368000</v>
      </c>
      <c r="K31" s="135">
        <v>14113000</v>
      </c>
      <c r="L31" s="135">
        <v>18085000</v>
      </c>
      <c r="M31" s="135">
        <v>32198000</v>
      </c>
      <c r="N31" s="171">
        <v>4.2487111000683274E-2</v>
      </c>
      <c r="O31" s="171">
        <v>2.1682137036774605E-2</v>
      </c>
      <c r="P31" s="171">
        <v>5.8722698368813935E-2</v>
      </c>
    </row>
    <row r="32" spans="1:16">
      <c r="A32" s="151">
        <v>1998</v>
      </c>
      <c r="B32" s="170">
        <v>1169300</v>
      </c>
      <c r="C32" s="170">
        <v>133272900</v>
      </c>
      <c r="D32" s="170">
        <v>187095219</v>
      </c>
      <c r="E32" s="171">
        <f t="shared" si="0"/>
        <v>8.7737266916229784E-3</v>
      </c>
      <c r="F32" s="171">
        <f t="shared" si="1"/>
        <v>6.249758846055815E-3</v>
      </c>
      <c r="I32" s="172">
        <v>1998</v>
      </c>
      <c r="J32" s="170">
        <v>1419000</v>
      </c>
      <c r="K32" s="135">
        <v>13467000</v>
      </c>
      <c r="L32" s="135">
        <v>17623000</v>
      </c>
      <c r="M32" s="135">
        <v>31090000</v>
      </c>
      <c r="N32" s="171">
        <v>4.5641685429398518E-2</v>
      </c>
      <c r="O32" s="171">
        <v>2.3613276899086655E-2</v>
      </c>
      <c r="P32" s="171">
        <v>6.247517448788515E-2</v>
      </c>
    </row>
    <row r="33" spans="1:16">
      <c r="A33" s="151">
        <v>1999</v>
      </c>
      <c r="B33" s="170">
        <v>1200100</v>
      </c>
      <c r="C33" s="170">
        <v>135640800</v>
      </c>
      <c r="D33" s="170">
        <v>189304189</v>
      </c>
      <c r="E33" s="171">
        <f t="shared" si="0"/>
        <v>8.847632865627451E-3</v>
      </c>
      <c r="F33" s="171">
        <f t="shared" si="1"/>
        <v>6.3395321907007566E-3</v>
      </c>
      <c r="I33" s="172">
        <v>1999</v>
      </c>
      <c r="J33" s="170">
        <v>1461000</v>
      </c>
      <c r="K33" s="135">
        <v>12280000</v>
      </c>
      <c r="L33" s="135">
        <v>17289000</v>
      </c>
      <c r="M33" s="135">
        <v>29569000</v>
      </c>
      <c r="N33" s="171">
        <v>4.9409854915621089E-2</v>
      </c>
      <c r="O33" s="171">
        <v>2.7524429967426711E-2</v>
      </c>
      <c r="P33" s="171">
        <v>6.4954595407484522E-2</v>
      </c>
    </row>
    <row r="34" spans="1:16">
      <c r="A34" s="151">
        <v>2000</v>
      </c>
      <c r="B34" s="170">
        <v>1330600</v>
      </c>
      <c r="C34" s="170">
        <v>137939500</v>
      </c>
      <c r="D34" s="170">
        <v>191413711</v>
      </c>
      <c r="E34" s="171">
        <f t="shared" si="0"/>
        <v>9.6462579609176494E-3</v>
      </c>
      <c r="F34" s="171">
        <f t="shared" si="1"/>
        <v>6.9514351560740597E-3</v>
      </c>
      <c r="I34" s="172">
        <v>2000</v>
      </c>
      <c r="J34" s="170">
        <v>1485000</v>
      </c>
      <c r="K34" s="135">
        <v>11587000</v>
      </c>
      <c r="L34" s="135">
        <v>16671000</v>
      </c>
      <c r="M34" s="135">
        <v>28258000</v>
      </c>
      <c r="N34" s="171">
        <v>5.2551489843584119E-2</v>
      </c>
      <c r="O34" s="171">
        <v>2.9084318632950721E-2</v>
      </c>
      <c r="P34" s="171">
        <v>6.8862095855077674E-2</v>
      </c>
    </row>
    <row r="35" spans="1:16">
      <c r="A35" s="151">
        <v>2001</v>
      </c>
      <c r="B35" s="170">
        <v>1498600</v>
      </c>
      <c r="C35" s="170">
        <v>139907400</v>
      </c>
      <c r="D35" s="170">
        <v>193575589</v>
      </c>
      <c r="E35" s="171">
        <f t="shared" si="0"/>
        <v>1.0711370520787321E-2</v>
      </c>
      <c r="F35" s="171">
        <f t="shared" si="1"/>
        <v>7.7416786266371633E-3</v>
      </c>
      <c r="I35" s="172">
        <v>2001</v>
      </c>
      <c r="J35" s="170">
        <v>1553000</v>
      </c>
      <c r="K35" s="135">
        <v>11733000</v>
      </c>
      <c r="L35" s="135">
        <v>17760000</v>
      </c>
      <c r="M35" s="135">
        <v>29493000</v>
      </c>
      <c r="N35" s="171">
        <v>5.2656562574170139E-2</v>
      </c>
      <c r="O35" s="171">
        <v>2.9915622602914856E-2</v>
      </c>
      <c r="P35" s="171">
        <v>6.7680180180180183E-2</v>
      </c>
    </row>
    <row r="36" spans="1:16">
      <c r="A36" s="151">
        <v>2002</v>
      </c>
      <c r="B36" s="170">
        <v>1682500</v>
      </c>
      <c r="C36" s="170">
        <v>141176200</v>
      </c>
      <c r="D36" s="170">
        <v>195731738</v>
      </c>
      <c r="E36" s="171">
        <f t="shared" si="0"/>
        <v>1.191773117565142E-2</v>
      </c>
      <c r="F36" s="171">
        <f t="shared" si="1"/>
        <v>8.5959488082612331E-3</v>
      </c>
      <c r="I36" s="172">
        <v>2002</v>
      </c>
      <c r="J36" s="170">
        <v>1707000</v>
      </c>
      <c r="K36" s="135">
        <v>12133000</v>
      </c>
      <c r="L36" s="135">
        <v>18861000</v>
      </c>
      <c r="M36" s="135">
        <v>30994000</v>
      </c>
      <c r="N36" s="171">
        <v>5.5075175840485255E-2</v>
      </c>
      <c r="O36" s="171">
        <v>3.1731640979147782E-2</v>
      </c>
      <c r="P36" s="171">
        <v>7.0091723662584163E-2</v>
      </c>
    </row>
    <row r="37" spans="1:16">
      <c r="A37" s="151">
        <v>2003</v>
      </c>
      <c r="B37" s="170">
        <v>1895500</v>
      </c>
      <c r="C37" s="170">
        <v>142291700</v>
      </c>
      <c r="D37" s="170">
        <v>198269540</v>
      </c>
      <c r="E37" s="171">
        <f t="shared" si="0"/>
        <v>1.3321226747589635E-2</v>
      </c>
      <c r="F37" s="171">
        <f t="shared" si="1"/>
        <v>9.5602178731034534E-3</v>
      </c>
      <c r="I37" s="172">
        <v>2003</v>
      </c>
      <c r="J37" s="170">
        <v>1777000</v>
      </c>
      <c r="K37" s="135">
        <v>12866000</v>
      </c>
      <c r="L37" s="135">
        <v>19443000</v>
      </c>
      <c r="M37" s="135">
        <v>32309000</v>
      </c>
      <c r="N37" s="171">
        <v>5.5000154755640844E-2</v>
      </c>
      <c r="O37" s="171">
        <v>3.1089693766516401E-2</v>
      </c>
      <c r="P37" s="171">
        <v>7.0822403950007717E-2</v>
      </c>
    </row>
    <row r="38" spans="1:16">
      <c r="A38" s="151">
        <v>2004</v>
      </c>
      <c r="B38" s="170">
        <v>2137500</v>
      </c>
      <c r="C38" s="170">
        <v>143678500</v>
      </c>
      <c r="D38" s="170">
        <v>200919056</v>
      </c>
      <c r="E38" s="171">
        <f t="shared" si="0"/>
        <v>1.4876964890362859E-2</v>
      </c>
      <c r="F38" s="171">
        <f t="shared" si="1"/>
        <v>1.0638612596308435E-2</v>
      </c>
      <c r="I38" s="173">
        <v>2004</v>
      </c>
      <c r="J38" s="170">
        <v>1914000</v>
      </c>
      <c r="K38" s="135">
        <v>13041000</v>
      </c>
      <c r="L38" s="135">
        <v>20545000</v>
      </c>
      <c r="M38" s="135">
        <v>33586000</v>
      </c>
      <c r="N38" s="171">
        <v>5.6988030727088669E-2</v>
      </c>
      <c r="O38" s="171">
        <v>3.2206119162640899E-2</v>
      </c>
      <c r="P38" s="171">
        <v>7.2718422973959598E-2</v>
      </c>
    </row>
    <row r="39" spans="1:16">
      <c r="A39" s="151">
        <v>2005</v>
      </c>
      <c r="B39" s="170">
        <v>2122100</v>
      </c>
      <c r="C39" s="170">
        <v>145351700</v>
      </c>
      <c r="D39" s="170">
        <v>203629140</v>
      </c>
      <c r="E39" s="171">
        <f t="shared" si="0"/>
        <v>1.4599760443118313E-2</v>
      </c>
      <c r="F39" s="171">
        <f t="shared" si="1"/>
        <v>1.0421396466144286E-2</v>
      </c>
      <c r="I39" s="173">
        <v>2005</v>
      </c>
      <c r="J39" s="170">
        <v>1949000</v>
      </c>
      <c r="K39" s="135">
        <v>12896000</v>
      </c>
      <c r="L39" s="135">
        <v>20450000</v>
      </c>
      <c r="M39" s="135">
        <v>33346000</v>
      </c>
      <c r="N39" s="171">
        <v>5.8447789839860854E-2</v>
      </c>
      <c r="O39" s="171">
        <v>3.3266129032258063E-2</v>
      </c>
      <c r="P39" s="171">
        <v>7.4327628361858189E-2</v>
      </c>
    </row>
    <row r="40" spans="1:16">
      <c r="A40" s="151">
        <v>2006</v>
      </c>
      <c r="B40" s="170">
        <v>2134100</v>
      </c>
      <c r="C40" s="170">
        <v>147083200</v>
      </c>
      <c r="D40" s="170">
        <v>206299496</v>
      </c>
      <c r="E40" s="171">
        <f t="shared" si="0"/>
        <v>1.4509474909439012E-2</v>
      </c>
      <c r="F40" s="171">
        <f t="shared" si="1"/>
        <v>1.0344668995216546E-2</v>
      </c>
      <c r="I40" s="173">
        <v>2006</v>
      </c>
      <c r="J40" s="170">
        <v>1920000</v>
      </c>
      <c r="K40" s="135">
        <v>12827000</v>
      </c>
      <c r="L40" s="135">
        <v>20239000</v>
      </c>
      <c r="M40" s="135">
        <v>33066000</v>
      </c>
      <c r="N40" s="171">
        <v>5.8065686808201782E-2</v>
      </c>
      <c r="O40" s="171">
        <v>3.2353629063693774E-2</v>
      </c>
      <c r="P40" s="171">
        <v>7.4361381491180392E-2</v>
      </c>
    </row>
    <row r="41" spans="1:16">
      <c r="A41" s="151">
        <v>2007</v>
      </c>
      <c r="B41" s="170">
        <v>2190200</v>
      </c>
      <c r="C41" s="170">
        <v>148652600</v>
      </c>
      <c r="D41" s="170">
        <v>208817317</v>
      </c>
      <c r="E41" s="171">
        <f t="shared" si="0"/>
        <v>1.4733681079241129E-2</v>
      </c>
      <c r="F41" s="171">
        <f t="shared" si="1"/>
        <v>1.0488593721372256E-2</v>
      </c>
      <c r="I41" s="173">
        <v>2007</v>
      </c>
      <c r="J41" s="170">
        <v>1943000</v>
      </c>
      <c r="K41" s="135">
        <v>13324000</v>
      </c>
      <c r="L41" s="135">
        <v>20396000</v>
      </c>
      <c r="M41" s="135">
        <v>33720000</v>
      </c>
      <c r="N41" s="171">
        <v>5.7621589561091341E-2</v>
      </c>
      <c r="O41" s="171">
        <v>3.1597117982587811E-2</v>
      </c>
      <c r="P41" s="171">
        <v>7.4622474995097082E-2</v>
      </c>
    </row>
    <row r="42" spans="1:16">
      <c r="A42" s="151">
        <v>2008</v>
      </c>
      <c r="B42" s="170">
        <v>2320400.0000000005</v>
      </c>
      <c r="C42" s="170">
        <v>149549100</v>
      </c>
      <c r="D42" s="170">
        <v>211167333</v>
      </c>
      <c r="E42" s="171">
        <f t="shared" si="0"/>
        <v>1.5515974352236159E-2</v>
      </c>
      <c r="F42" s="171">
        <f t="shared" si="1"/>
        <v>1.0988442042785096E-2</v>
      </c>
      <c r="I42" s="173">
        <v>2008</v>
      </c>
      <c r="J42" s="170">
        <v>2044000</v>
      </c>
      <c r="K42" s="135">
        <v>14068000</v>
      </c>
      <c r="L42" s="135">
        <v>22105000</v>
      </c>
      <c r="M42" s="135">
        <v>36173000</v>
      </c>
      <c r="N42" s="171">
        <v>5.6506233931385284E-2</v>
      </c>
      <c r="O42" s="171">
        <v>3.0850156383281205E-2</v>
      </c>
      <c r="P42" s="171">
        <v>7.2834200407147706E-2</v>
      </c>
    </row>
    <row r="43" spans="1:16">
      <c r="A43" s="151">
        <v>2009</v>
      </c>
      <c r="B43" s="170">
        <v>2816200</v>
      </c>
      <c r="C43" s="170">
        <v>150630157</v>
      </c>
      <c r="D43" s="170">
        <v>212662737</v>
      </c>
      <c r="E43" s="171">
        <f t="shared" si="0"/>
        <v>1.8696123379862109E-2</v>
      </c>
      <c r="F43" s="171">
        <f t="shared" si="1"/>
        <v>1.3242564446069366E-2</v>
      </c>
      <c r="I43" s="174">
        <v>2009</v>
      </c>
      <c r="J43" s="170">
        <v>2353000</v>
      </c>
      <c r="K43" s="135">
        <v>15451000</v>
      </c>
      <c r="L43" s="135">
        <v>24684000</v>
      </c>
      <c r="M43" s="135">
        <v>40135000</v>
      </c>
      <c r="N43" s="171">
        <v>5.8627133424691669E-2</v>
      </c>
      <c r="O43" s="171">
        <v>3.2166202834767975E-2</v>
      </c>
      <c r="P43" s="171">
        <v>7.5190406741208873E-2</v>
      </c>
    </row>
    <row r="44" spans="1:16">
      <c r="A44" s="151">
        <v>2010</v>
      </c>
      <c r="B44" s="170">
        <v>2935800</v>
      </c>
      <c r="C44" s="170">
        <v>151666246</v>
      </c>
      <c r="D44" s="170">
        <v>214111887</v>
      </c>
      <c r="E44" s="171">
        <f t="shared" si="0"/>
        <v>1.9356976765944348E-2</v>
      </c>
      <c r="F44" s="171">
        <f t="shared" si="1"/>
        <v>1.3711522704949118E-2</v>
      </c>
      <c r="I44" s="174">
        <v>2010</v>
      </c>
      <c r="J44" s="170">
        <v>2413000</v>
      </c>
      <c r="K44" s="135">
        <v>16401000</v>
      </c>
      <c r="L44" s="135">
        <v>26258000</v>
      </c>
      <c r="M44" s="135">
        <v>42659000</v>
      </c>
      <c r="N44" s="171">
        <v>5.6564851496753325E-2</v>
      </c>
      <c r="O44" s="171">
        <v>3.0668861654777148E-2</v>
      </c>
      <c r="P44" s="171">
        <v>7.2739736461268953E-2</v>
      </c>
    </row>
    <row r="45" spans="1:16">
      <c r="A45" s="151"/>
      <c r="B45" s="170"/>
      <c r="C45" s="170"/>
      <c r="D45" s="170"/>
      <c r="E45" s="171"/>
      <c r="F45" s="171"/>
      <c r="I45" s="174"/>
      <c r="J45" s="170"/>
      <c r="K45" s="135"/>
      <c r="L45" s="135"/>
      <c r="M45" s="135"/>
      <c r="N45" s="171"/>
      <c r="O45" s="171"/>
      <c r="P45" s="171"/>
    </row>
    <row r="46" spans="1:16">
      <c r="A46" s="151"/>
      <c r="B46" s="170"/>
      <c r="C46" s="170"/>
      <c r="D46" s="170"/>
      <c r="E46" s="171"/>
      <c r="F46" s="171"/>
      <c r="I46" s="174"/>
      <c r="J46" s="170"/>
      <c r="K46" s="135"/>
      <c r="L46" s="135"/>
      <c r="M46" s="135"/>
      <c r="N46" s="171"/>
      <c r="O46" s="171"/>
      <c r="P46" s="171"/>
    </row>
    <row r="47" spans="1:16">
      <c r="A47" s="151"/>
      <c r="B47" s="170"/>
      <c r="C47" s="170"/>
      <c r="D47" s="170"/>
      <c r="E47" s="171"/>
      <c r="F47" s="171"/>
      <c r="I47" s="174"/>
      <c r="J47" s="170"/>
      <c r="K47" s="135"/>
      <c r="L47" s="135"/>
      <c r="M47" s="135"/>
      <c r="N47" s="171"/>
      <c r="O47" s="171"/>
      <c r="P47" s="171"/>
    </row>
    <row r="48" spans="1:16">
      <c r="A48" s="151"/>
      <c r="B48" s="170"/>
      <c r="C48" s="170"/>
      <c r="D48" s="170"/>
      <c r="E48" s="171"/>
      <c r="F48" s="171"/>
      <c r="I48" s="174"/>
      <c r="J48" s="170"/>
      <c r="K48" s="135"/>
      <c r="L48" s="135"/>
      <c r="M48" s="135"/>
      <c r="N48" s="171"/>
      <c r="O48" s="171"/>
      <c r="P48" s="171"/>
    </row>
    <row r="49" spans="1:16">
      <c r="A49" s="151"/>
      <c r="B49" s="170"/>
      <c r="C49" s="170"/>
      <c r="D49" s="170"/>
      <c r="E49" s="171"/>
      <c r="F49" s="171"/>
      <c r="I49" s="174"/>
      <c r="J49" s="170"/>
      <c r="K49" s="135"/>
      <c r="L49" s="135"/>
      <c r="M49" s="135"/>
      <c r="N49" s="171"/>
      <c r="O49" s="171"/>
      <c r="P49" s="171"/>
    </row>
    <row r="51" spans="1:16" ht="15.75">
      <c r="A51" s="164" t="s">
        <v>106</v>
      </c>
    </row>
    <row r="52" spans="1:16">
      <c r="A52" s="175"/>
    </row>
    <row r="53" spans="1:16">
      <c r="A53" s="151" t="s">
        <v>88</v>
      </c>
    </row>
    <row r="54" spans="1:16">
      <c r="A54" s="148" t="s">
        <v>443</v>
      </c>
    </row>
    <row r="55" spans="1:16">
      <c r="A55" s="165" t="s">
        <v>90</v>
      </c>
    </row>
    <row r="56" spans="1:16">
      <c r="A56" s="165"/>
    </row>
    <row r="57" spans="1:16">
      <c r="A57" s="148" t="s">
        <v>89</v>
      </c>
    </row>
    <row r="59" spans="1:16">
      <c r="A59" s="151" t="s">
        <v>91</v>
      </c>
    </row>
    <row r="60" spans="1:16">
      <c r="A60" s="148" t="s">
        <v>94</v>
      </c>
    </row>
    <row r="61" spans="1:16">
      <c r="A61" s="165" t="s">
        <v>92</v>
      </c>
    </row>
    <row r="63" spans="1:16">
      <c r="A63" s="148" t="s">
        <v>95</v>
      </c>
    </row>
    <row r="64" spans="1:16">
      <c r="A64" s="165" t="s">
        <v>93</v>
      </c>
    </row>
  </sheetData>
  <hyperlinks>
    <hyperlink ref="A55" r:id="rId1" location="table6.c7"/>
    <hyperlink ref="A61" r:id="rId2" location="676195"/>
    <hyperlink ref="A64" r:id="rId3"/>
    <hyperlink ref="A3" location="TableOfContents!A1" display="Back"/>
  </hyperlinks>
  <pageMargins left="0.7" right="0.7" top="0.75" bottom="0.75" header="0.3" footer="0.3"/>
  <pageSetup orientation="portrait" verticalDpi="4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>
  <dimension ref="A1:O63"/>
  <sheetViews>
    <sheetView workbookViewId="0">
      <selection activeCell="M19" sqref="M19"/>
    </sheetView>
  </sheetViews>
  <sheetFormatPr defaultRowHeight="15"/>
  <cols>
    <col min="1" max="1" width="6.5703125" style="148" customWidth="1"/>
    <col min="2" max="2" width="15.85546875" style="148" bestFit="1" customWidth="1"/>
    <col min="3" max="4" width="19.85546875" style="148" bestFit="1" customWidth="1"/>
    <col min="5" max="5" width="11.5703125" style="148" bestFit="1" customWidth="1"/>
    <col min="6" max="6" width="11.5703125" style="148" customWidth="1"/>
    <col min="7" max="7" width="8.85546875" style="148" customWidth="1"/>
    <col min="8" max="8" width="13.28515625" style="148" customWidth="1"/>
    <col min="9" max="9" width="12.28515625" style="148" customWidth="1"/>
    <col min="10" max="10" width="11.5703125" style="148" bestFit="1" customWidth="1"/>
    <col min="11" max="11" width="9.5703125" style="148" bestFit="1" customWidth="1"/>
    <col min="12" max="12" width="12.5703125" style="148" bestFit="1" customWidth="1"/>
    <col min="13" max="13" width="20.7109375" style="148" bestFit="1" customWidth="1"/>
    <col min="14" max="14" width="19.42578125" style="148" bestFit="1" customWidth="1"/>
    <col min="15" max="15" width="10.7109375" style="148" bestFit="1" customWidth="1"/>
    <col min="16" max="16384" width="9.140625" style="148"/>
  </cols>
  <sheetData>
    <row r="1" spans="1:15" ht="15.75">
      <c r="A1" s="147" t="s">
        <v>907</v>
      </c>
    </row>
    <row r="3" spans="1:15" ht="18.75">
      <c r="A3" s="149" t="s">
        <v>252</v>
      </c>
      <c r="B3" s="150" t="s">
        <v>253</v>
      </c>
    </row>
    <row r="4" spans="1:15" ht="15.75" customHeight="1">
      <c r="A4" s="149"/>
      <c r="B4" s="150"/>
    </row>
    <row r="6" spans="1:15">
      <c r="A6" s="151" t="s">
        <v>908</v>
      </c>
      <c r="B6" s="152"/>
      <c r="C6" s="152"/>
      <c r="D6" s="152"/>
      <c r="E6" s="152"/>
      <c r="F6" s="152"/>
      <c r="G6" s="151" t="s">
        <v>909</v>
      </c>
      <c r="H6" s="152"/>
    </row>
    <row r="7" spans="1:15" ht="15.75">
      <c r="A7" s="153"/>
      <c r="G7" s="153"/>
    </row>
    <row r="8" spans="1:15">
      <c r="A8" s="154"/>
      <c r="B8" s="155"/>
      <c r="C8" s="155" t="s">
        <v>110</v>
      </c>
      <c r="D8" s="155" t="s">
        <v>107</v>
      </c>
      <c r="G8" s="154"/>
      <c r="H8" s="154"/>
      <c r="I8" s="156"/>
      <c r="K8" s="154"/>
      <c r="L8" s="154"/>
      <c r="M8" s="154"/>
      <c r="N8" s="154"/>
      <c r="O8" s="154"/>
    </row>
    <row r="9" spans="1:15" ht="27" customHeight="1">
      <c r="A9" s="154"/>
      <c r="B9" s="176" t="s">
        <v>938</v>
      </c>
      <c r="C9" s="155" t="s">
        <v>108</v>
      </c>
      <c r="D9" s="155" t="s">
        <v>108</v>
      </c>
      <c r="G9" s="154"/>
      <c r="H9" s="273" t="s">
        <v>937</v>
      </c>
      <c r="I9" s="273"/>
      <c r="J9" s="274" t="s">
        <v>100</v>
      </c>
      <c r="K9" s="274"/>
      <c r="L9" s="157"/>
      <c r="M9" s="154"/>
      <c r="N9" s="154"/>
      <c r="O9" s="154"/>
    </row>
    <row r="10" spans="1:15">
      <c r="A10" s="154" t="s">
        <v>87</v>
      </c>
      <c r="B10" s="155" t="s">
        <v>99</v>
      </c>
      <c r="C10" s="155" t="s">
        <v>109</v>
      </c>
      <c r="D10" s="155" t="s">
        <v>109</v>
      </c>
      <c r="G10" s="157" t="s">
        <v>87</v>
      </c>
      <c r="H10" s="157" t="s">
        <v>96</v>
      </c>
      <c r="I10" s="157" t="s">
        <v>97</v>
      </c>
      <c r="J10" s="157" t="s">
        <v>96</v>
      </c>
      <c r="K10" s="157" t="s">
        <v>97</v>
      </c>
      <c r="L10" s="157"/>
      <c r="M10" s="154"/>
      <c r="N10" s="154"/>
      <c r="O10" s="154"/>
    </row>
    <row r="11" spans="1:15">
      <c r="A11" s="148">
        <v>1975</v>
      </c>
      <c r="B11" s="135">
        <v>85305</v>
      </c>
      <c r="C11" s="146">
        <v>54763</v>
      </c>
      <c r="D11" s="146">
        <v>31523</v>
      </c>
      <c r="G11" s="158">
        <v>1970</v>
      </c>
      <c r="H11" s="135">
        <v>66675605</v>
      </c>
      <c r="I11" s="135">
        <v>67363443</v>
      </c>
      <c r="J11" s="159">
        <v>0.75228563730317854</v>
      </c>
      <c r="K11" s="159">
        <v>0.37386746992727199</v>
      </c>
      <c r="L11" s="159"/>
      <c r="M11" s="154"/>
      <c r="N11" s="154"/>
      <c r="O11" s="154"/>
    </row>
    <row r="12" spans="1:15">
      <c r="A12" s="148">
        <v>1976</v>
      </c>
      <c r="B12" s="135">
        <v>87000</v>
      </c>
      <c r="C12" s="146">
        <v>55214</v>
      </c>
      <c r="D12" s="146">
        <v>32581</v>
      </c>
      <c r="G12" s="160">
        <v>1971</v>
      </c>
      <c r="H12" s="135">
        <v>67821338</v>
      </c>
      <c r="I12" s="135">
        <v>68473777</v>
      </c>
      <c r="J12" s="159">
        <v>0.74934528717201065</v>
      </c>
      <c r="K12" s="159">
        <v>0.38298749023293982</v>
      </c>
      <c r="L12" s="159"/>
      <c r="M12" s="161"/>
      <c r="N12" s="162"/>
      <c r="O12" s="162"/>
    </row>
    <row r="13" spans="1:15">
      <c r="A13" s="148">
        <v>1977</v>
      </c>
      <c r="B13" s="135">
        <v>89300</v>
      </c>
      <c r="C13" s="146">
        <v>55910</v>
      </c>
      <c r="D13" s="146">
        <v>33815</v>
      </c>
      <c r="G13" s="160">
        <v>1972</v>
      </c>
      <c r="H13" s="135">
        <v>69020828</v>
      </c>
      <c r="I13" s="135">
        <v>69639280</v>
      </c>
      <c r="J13" s="159">
        <v>0.74640657744644845</v>
      </c>
      <c r="K13" s="159">
        <v>0.39120594009587695</v>
      </c>
      <c r="L13" s="159"/>
      <c r="M13" s="161"/>
      <c r="N13" s="162"/>
      <c r="O13" s="162"/>
    </row>
    <row r="14" spans="1:15">
      <c r="A14" s="148">
        <v>1978</v>
      </c>
      <c r="B14" s="135">
        <v>93700</v>
      </c>
      <c r="C14" s="146">
        <v>57898</v>
      </c>
      <c r="D14" s="146">
        <v>36225</v>
      </c>
      <c r="G14" s="160">
        <v>1973</v>
      </c>
      <c r="H14" s="135">
        <v>70200188</v>
      </c>
      <c r="I14" s="135">
        <v>70781193</v>
      </c>
      <c r="J14" s="159">
        <v>0.75064043988030349</v>
      </c>
      <c r="K14" s="159">
        <v>0.40506381405580433</v>
      </c>
      <c r="L14" s="159"/>
      <c r="M14" s="161"/>
      <c r="N14" s="162"/>
      <c r="O14" s="162"/>
    </row>
    <row r="15" spans="1:15">
      <c r="A15" s="148">
        <v>1979</v>
      </c>
      <c r="B15" s="135">
        <v>98000</v>
      </c>
      <c r="C15" s="146">
        <v>59385</v>
      </c>
      <c r="D15" s="146">
        <v>38430</v>
      </c>
      <c r="G15" s="160">
        <v>1974</v>
      </c>
      <c r="H15" s="135">
        <v>71417783</v>
      </c>
      <c r="I15" s="135">
        <v>71947385</v>
      </c>
      <c r="J15" s="159">
        <v>0.75614220620654105</v>
      </c>
      <c r="K15" s="159">
        <v>0.42115915679214749</v>
      </c>
      <c r="L15" s="159"/>
      <c r="M15" s="161"/>
      <c r="N15" s="162"/>
      <c r="O15" s="162"/>
    </row>
    <row r="16" spans="1:15">
      <c r="A16" s="148">
        <v>1980</v>
      </c>
      <c r="B16" s="135">
        <v>100329</v>
      </c>
      <c r="C16" s="146">
        <v>60289</v>
      </c>
      <c r="D16" s="146">
        <v>40169</v>
      </c>
      <c r="G16" s="148">
        <v>1975</v>
      </c>
      <c r="H16" s="135">
        <v>72618358</v>
      </c>
      <c r="I16" s="135">
        <v>73089646</v>
      </c>
      <c r="J16" s="159">
        <v>0.75416191591663362</v>
      </c>
      <c r="K16" s="159">
        <v>0.43127996542766128</v>
      </c>
      <c r="L16" s="159"/>
      <c r="M16" s="161"/>
      <c r="N16" s="162"/>
      <c r="O16" s="162"/>
    </row>
    <row r="17" spans="1:15">
      <c r="A17" s="148">
        <v>1981</v>
      </c>
      <c r="B17" s="135">
        <v>102643</v>
      </c>
      <c r="C17" s="146">
        <v>60780</v>
      </c>
      <c r="D17" s="146">
        <v>41506</v>
      </c>
      <c r="G17" s="148">
        <v>1976</v>
      </c>
      <c r="H17" s="135">
        <v>73820620</v>
      </c>
      <c r="I17" s="135">
        <v>74219978</v>
      </c>
      <c r="J17" s="159">
        <v>0.74798206788293031</v>
      </c>
      <c r="K17" s="159">
        <v>0.43896132655819436</v>
      </c>
      <c r="L17" s="159"/>
      <c r="M17" s="161"/>
      <c r="N17" s="163"/>
      <c r="O17" s="162"/>
    </row>
    <row r="18" spans="1:15">
      <c r="A18" s="148">
        <v>1982</v>
      </c>
      <c r="B18" s="135">
        <v>104469</v>
      </c>
      <c r="C18" s="146">
        <v>61004</v>
      </c>
      <c r="D18" s="146">
        <v>42677</v>
      </c>
      <c r="G18" s="148">
        <v>1977</v>
      </c>
      <c r="H18" s="135">
        <v>74990155</v>
      </c>
      <c r="I18" s="135">
        <v>75332016</v>
      </c>
      <c r="J18" s="159">
        <v>0.74560720670600023</v>
      </c>
      <c r="K18" s="159">
        <v>0.44886758373757046</v>
      </c>
      <c r="L18" s="159"/>
      <c r="M18" s="161"/>
      <c r="N18" s="162"/>
      <c r="O18" s="162"/>
    </row>
    <row r="19" spans="1:15">
      <c r="A19" s="148">
        <v>1983</v>
      </c>
      <c r="B19" s="135">
        <v>105381</v>
      </c>
      <c r="C19" s="146">
        <v>61126</v>
      </c>
      <c r="D19" s="146">
        <v>43544</v>
      </c>
      <c r="G19" s="148">
        <v>1978</v>
      </c>
      <c r="H19" s="135">
        <v>76144462</v>
      </c>
      <c r="I19" s="135">
        <v>76414548</v>
      </c>
      <c r="J19" s="159">
        <v>0.76040986408177658</v>
      </c>
      <c r="K19" s="159">
        <v>0.47404585838811741</v>
      </c>
      <c r="L19" s="159"/>
      <c r="M19" s="161"/>
      <c r="N19" s="162"/>
      <c r="O19" s="162"/>
    </row>
    <row r="20" spans="1:15">
      <c r="A20" s="148">
        <v>1984</v>
      </c>
      <c r="B20" s="135">
        <v>107076</v>
      </c>
      <c r="C20" s="146">
        <v>61627</v>
      </c>
      <c r="D20" s="146">
        <v>44632</v>
      </c>
      <c r="G20" s="148">
        <v>1979</v>
      </c>
      <c r="H20" s="135">
        <v>77237942</v>
      </c>
      <c r="I20" s="135">
        <v>77447717</v>
      </c>
      <c r="J20" s="159">
        <v>0.7689122529960728</v>
      </c>
      <c r="K20" s="159">
        <v>0.49619926175486878</v>
      </c>
      <c r="L20" s="159"/>
      <c r="M20" s="161"/>
      <c r="N20" s="162"/>
      <c r="O20" s="162"/>
    </row>
    <row r="21" spans="1:15">
      <c r="A21" s="148">
        <v>1985</v>
      </c>
      <c r="B21" s="135">
        <v>109572</v>
      </c>
      <c r="C21" s="146">
        <v>62614</v>
      </c>
      <c r="D21" s="146">
        <v>46150</v>
      </c>
      <c r="G21" s="148">
        <v>1980</v>
      </c>
      <c r="H21" s="135">
        <v>78163906</v>
      </c>
      <c r="I21" s="135">
        <v>78375920</v>
      </c>
      <c r="J21" s="159">
        <v>0.77136242398121713</v>
      </c>
      <c r="K21" s="159">
        <v>0.51250945443447427</v>
      </c>
      <c r="L21" s="159"/>
      <c r="M21" s="161"/>
      <c r="N21" s="162"/>
      <c r="O21" s="162"/>
    </row>
    <row r="22" spans="1:15">
      <c r="A22" s="148">
        <v>1986</v>
      </c>
      <c r="B22" s="135">
        <v>111647</v>
      </c>
      <c r="C22" s="146">
        <v>63363</v>
      </c>
      <c r="D22" s="146">
        <v>47549</v>
      </c>
      <c r="G22" s="148">
        <v>1981</v>
      </c>
      <c r="H22" s="135">
        <v>79047217</v>
      </c>
      <c r="I22" s="135">
        <v>79227036</v>
      </c>
      <c r="J22" s="159">
        <v>0.76896698336641001</v>
      </c>
      <c r="K22" s="159">
        <v>0.52388177187393459</v>
      </c>
      <c r="L22" s="159"/>
      <c r="M22" s="161"/>
      <c r="N22" s="162"/>
      <c r="O22" s="162"/>
    </row>
    <row r="23" spans="1:15">
      <c r="A23" s="148">
        <v>1987</v>
      </c>
      <c r="B23" s="135">
        <v>113499</v>
      </c>
      <c r="C23" s="146">
        <v>64159</v>
      </c>
      <c r="D23" s="146">
        <v>48958</v>
      </c>
      <c r="G23" s="148">
        <v>1982</v>
      </c>
      <c r="H23" s="135">
        <v>79897753</v>
      </c>
      <c r="I23" s="135">
        <v>80037233</v>
      </c>
      <c r="J23" s="159">
        <v>0.76357716843426127</v>
      </c>
      <c r="K23" s="159">
        <v>0.5332080882906084</v>
      </c>
      <c r="L23" s="159"/>
      <c r="M23" s="161"/>
      <c r="N23" s="162"/>
      <c r="O23" s="162"/>
    </row>
    <row r="24" spans="1:15">
      <c r="A24" s="148">
        <v>1988</v>
      </c>
      <c r="B24" s="135">
        <v>115679</v>
      </c>
      <c r="C24" s="146">
        <v>64974</v>
      </c>
      <c r="D24" s="146">
        <v>50272</v>
      </c>
      <c r="G24" s="148">
        <v>1983</v>
      </c>
      <c r="H24" s="135">
        <v>80773501</v>
      </c>
      <c r="I24" s="135">
        <v>80850127</v>
      </c>
      <c r="J24" s="159">
        <v>0.75680141684090185</v>
      </c>
      <c r="K24" s="159">
        <v>0.53858295114366361</v>
      </c>
      <c r="L24" s="159"/>
      <c r="M24" s="161"/>
      <c r="N24" s="162"/>
      <c r="O24" s="162"/>
    </row>
    <row r="25" spans="1:15">
      <c r="A25" s="148">
        <v>1989</v>
      </c>
      <c r="B25" s="135">
        <v>118062</v>
      </c>
      <c r="C25" s="146">
        <v>65859</v>
      </c>
      <c r="D25" s="146">
        <v>51604</v>
      </c>
      <c r="G25" s="148">
        <v>1984</v>
      </c>
      <c r="H25" s="135">
        <v>81703104</v>
      </c>
      <c r="I25" s="135">
        <v>81697592</v>
      </c>
      <c r="J25" s="159">
        <v>0.75433731379410018</v>
      </c>
      <c r="K25" s="159">
        <v>0.54630251525650841</v>
      </c>
      <c r="L25" s="159"/>
      <c r="M25" s="161"/>
      <c r="N25" s="162"/>
      <c r="O25" s="162"/>
    </row>
    <row r="26" spans="1:15">
      <c r="A26" s="148">
        <v>1990</v>
      </c>
      <c r="B26" s="135">
        <v>120081</v>
      </c>
      <c r="C26" s="146">
        <v>66630</v>
      </c>
      <c r="D26" s="146">
        <v>52761</v>
      </c>
      <c r="G26" s="148">
        <v>1985</v>
      </c>
      <c r="H26" s="135">
        <v>82626324</v>
      </c>
      <c r="I26" s="135">
        <v>82523188</v>
      </c>
      <c r="J26" s="159">
        <v>0.75788921700062561</v>
      </c>
      <c r="K26" s="159">
        <v>0.55936641710933421</v>
      </c>
      <c r="L26" s="159"/>
      <c r="M26" s="161"/>
      <c r="N26" s="162"/>
      <c r="O26" s="162"/>
    </row>
    <row r="27" spans="1:15">
      <c r="A27" s="148">
        <v>1991</v>
      </c>
      <c r="B27" s="135">
        <v>121530</v>
      </c>
      <c r="C27" s="146">
        <v>67017</v>
      </c>
      <c r="D27" s="146">
        <v>53645</v>
      </c>
      <c r="G27" s="148">
        <v>1986</v>
      </c>
      <c r="H27" s="135">
        <v>83502012</v>
      </c>
      <c r="I27" s="135">
        <v>83289610</v>
      </c>
      <c r="J27" s="159">
        <v>0.75897213111463713</v>
      </c>
      <c r="K27" s="159">
        <v>0.57124652162496614</v>
      </c>
      <c r="L27" s="159"/>
      <c r="M27" s="161"/>
      <c r="N27" s="162"/>
      <c r="O27" s="162"/>
    </row>
    <row r="28" spans="1:15">
      <c r="A28" s="148">
        <v>1992</v>
      </c>
      <c r="B28" s="135">
        <v>122883</v>
      </c>
      <c r="C28" s="146">
        <v>67384</v>
      </c>
      <c r="D28" s="146">
        <v>54493</v>
      </c>
      <c r="G28" s="148">
        <v>1987</v>
      </c>
      <c r="H28" s="135">
        <v>84250498</v>
      </c>
      <c r="I28" s="135">
        <v>83930777</v>
      </c>
      <c r="J28" s="159">
        <v>0.76165721892824889</v>
      </c>
      <c r="K28" s="159">
        <v>0.58348321974905581</v>
      </c>
      <c r="L28" s="159"/>
      <c r="M28" s="161"/>
      <c r="N28" s="162"/>
      <c r="O28" s="162"/>
    </row>
    <row r="29" spans="1:15">
      <c r="A29" s="148">
        <v>1993</v>
      </c>
      <c r="B29" s="135">
        <v>124430</v>
      </c>
      <c r="C29" s="146">
        <v>67900</v>
      </c>
      <c r="D29" s="146">
        <v>55369</v>
      </c>
      <c r="G29" s="148">
        <v>1988</v>
      </c>
      <c r="H29" s="135">
        <v>84937541</v>
      </c>
      <c r="I29" s="135">
        <v>84506859</v>
      </c>
      <c r="J29" s="159">
        <v>0.76504922599536995</v>
      </c>
      <c r="K29" s="159">
        <v>0.59493632345275071</v>
      </c>
      <c r="L29" s="159"/>
      <c r="M29" s="161"/>
      <c r="N29" s="162"/>
      <c r="O29" s="162"/>
    </row>
    <row r="30" spans="1:15">
      <c r="A30" s="148">
        <v>1994</v>
      </c>
      <c r="B30" s="135">
        <v>126205</v>
      </c>
      <c r="C30" s="146">
        <v>68595</v>
      </c>
      <c r="D30" s="146">
        <v>56418</v>
      </c>
      <c r="G30" s="148">
        <v>1989</v>
      </c>
      <c r="H30" s="135">
        <v>85642998</v>
      </c>
      <c r="I30" s="135">
        <v>85099888</v>
      </c>
      <c r="J30" s="159">
        <v>0.76909147902552411</v>
      </c>
      <c r="K30" s="159">
        <v>0.60644968181391734</v>
      </c>
      <c r="L30" s="159"/>
      <c r="M30" s="161"/>
      <c r="N30" s="162"/>
      <c r="O30" s="162"/>
    </row>
    <row r="31" spans="1:15">
      <c r="A31" s="148">
        <v>1995</v>
      </c>
      <c r="B31" s="135">
        <v>128233</v>
      </c>
      <c r="C31" s="146">
        <v>69386</v>
      </c>
      <c r="D31" s="146">
        <v>57588</v>
      </c>
      <c r="G31" s="148">
        <v>1990</v>
      </c>
      <c r="H31" s="135">
        <v>86259264</v>
      </c>
      <c r="I31" s="135">
        <v>85737008</v>
      </c>
      <c r="J31" s="159">
        <v>0.77253267544689463</v>
      </c>
      <c r="K31" s="159">
        <v>0.6154506814606826</v>
      </c>
      <c r="L31" s="159"/>
      <c r="M31" s="161"/>
      <c r="N31" s="162"/>
      <c r="O31" s="162"/>
    </row>
    <row r="32" spans="1:15">
      <c r="A32" s="148">
        <v>1996</v>
      </c>
      <c r="B32" s="135">
        <v>130315</v>
      </c>
      <c r="C32" s="146">
        <v>70188</v>
      </c>
      <c r="D32" s="146">
        <v>58795</v>
      </c>
      <c r="G32" s="148">
        <v>1991</v>
      </c>
      <c r="H32" s="135">
        <v>86938530</v>
      </c>
      <c r="I32" s="135">
        <v>86457819</v>
      </c>
      <c r="J32" s="159">
        <v>0.77094011136374174</v>
      </c>
      <c r="K32" s="159">
        <v>0.62053265535185431</v>
      </c>
      <c r="L32" s="159"/>
      <c r="M32" s="161"/>
      <c r="N32" s="162"/>
      <c r="O32" s="162"/>
    </row>
    <row r="33" spans="1:15">
      <c r="A33" s="148">
        <v>1997</v>
      </c>
      <c r="B33" s="135">
        <v>132229</v>
      </c>
      <c r="C33" s="146">
        <v>71024</v>
      </c>
      <c r="D33" s="146">
        <v>60014</v>
      </c>
      <c r="G33" s="148">
        <v>1992</v>
      </c>
      <c r="H33" s="135">
        <v>87710295</v>
      </c>
      <c r="I33" s="135">
        <v>87279535</v>
      </c>
      <c r="J33" s="159">
        <v>0.76834766089887163</v>
      </c>
      <c r="K33" s="159">
        <v>0.62441900039911991</v>
      </c>
      <c r="L33" s="159"/>
      <c r="M33" s="161"/>
      <c r="N33" s="162"/>
      <c r="O33" s="162"/>
    </row>
    <row r="34" spans="1:15">
      <c r="A34" s="148">
        <v>1998</v>
      </c>
      <c r="B34" s="135">
        <v>134196</v>
      </c>
      <c r="C34" s="146">
        <v>71942</v>
      </c>
      <c r="D34" s="146">
        <v>61317</v>
      </c>
      <c r="G34" s="148">
        <v>1993</v>
      </c>
      <c r="H34" s="135">
        <v>88540697</v>
      </c>
      <c r="I34" s="135">
        <v>88168313</v>
      </c>
      <c r="J34" s="159">
        <v>0.76698063490509905</v>
      </c>
      <c r="K34" s="159">
        <v>0.62806010590221906</v>
      </c>
      <c r="L34" s="159"/>
      <c r="M34" s="161"/>
      <c r="N34" s="162"/>
      <c r="O34" s="162"/>
    </row>
    <row r="35" spans="1:15">
      <c r="A35" s="148">
        <v>1999</v>
      </c>
      <c r="B35" s="135">
        <v>136367</v>
      </c>
      <c r="C35" s="146">
        <v>72936</v>
      </c>
      <c r="D35" s="146">
        <v>62690</v>
      </c>
      <c r="G35" s="148">
        <v>1994</v>
      </c>
      <c r="H35" s="135">
        <v>89473884</v>
      </c>
      <c r="I35" s="135">
        <v>89142991</v>
      </c>
      <c r="J35" s="159">
        <v>0.76675222906384621</v>
      </c>
      <c r="K35" s="159">
        <v>0.63296731876542034</v>
      </c>
      <c r="L35" s="159"/>
      <c r="M35" s="161"/>
      <c r="N35" s="162"/>
      <c r="O35" s="162"/>
    </row>
    <row r="36" spans="1:15">
      <c r="A36" s="148">
        <v>2000</v>
      </c>
      <c r="B36" s="135">
        <v>138698</v>
      </c>
      <c r="C36" s="146">
        <v>73897</v>
      </c>
      <c r="D36" s="146">
        <v>64028</v>
      </c>
      <c r="G36" s="148">
        <v>1995</v>
      </c>
      <c r="H36" s="135">
        <v>90449699</v>
      </c>
      <c r="I36" s="135">
        <v>90164827</v>
      </c>
      <c r="J36" s="159">
        <v>0.76721095556105723</v>
      </c>
      <c r="K36" s="159">
        <v>0.63875905845191716</v>
      </c>
      <c r="L36" s="159"/>
      <c r="M36" s="161"/>
      <c r="N36" s="162"/>
      <c r="O36" s="162"/>
    </row>
    <row r="37" spans="1:15">
      <c r="A37" s="148">
        <v>2001</v>
      </c>
      <c r="B37" s="135">
        <v>141004</v>
      </c>
      <c r="C37" s="146">
        <v>74698</v>
      </c>
      <c r="D37" s="146">
        <v>65193</v>
      </c>
      <c r="G37" s="148">
        <v>1996</v>
      </c>
      <c r="H37" s="135">
        <v>91484781</v>
      </c>
      <c r="I37" s="135">
        <v>91220953</v>
      </c>
      <c r="J37" s="159">
        <v>0.76729483562954581</v>
      </c>
      <c r="K37" s="159">
        <v>0.64458765301432441</v>
      </c>
      <c r="L37" s="159"/>
      <c r="M37" s="161"/>
      <c r="N37" s="162"/>
      <c r="O37" s="162"/>
    </row>
    <row r="38" spans="1:15">
      <c r="A38" s="148">
        <v>2002</v>
      </c>
      <c r="B38" s="135">
        <v>142557</v>
      </c>
      <c r="C38" s="146">
        <v>75152</v>
      </c>
      <c r="D38" s="146">
        <v>66008</v>
      </c>
      <c r="G38" s="148">
        <v>1997</v>
      </c>
      <c r="H38" s="135">
        <v>92580091</v>
      </c>
      <c r="I38" s="135">
        <v>92310768</v>
      </c>
      <c r="J38" s="159">
        <v>0.76725567271261375</v>
      </c>
      <c r="K38" s="159">
        <v>0.650189585683005</v>
      </c>
      <c r="L38" s="159"/>
      <c r="M38" s="161"/>
      <c r="N38" s="162"/>
      <c r="O38" s="162"/>
    </row>
    <row r="39" spans="1:15">
      <c r="A39" s="148">
        <v>2003</v>
      </c>
      <c r="B39" s="135">
        <v>144621</v>
      </c>
      <c r="C39" s="146">
        <v>75547</v>
      </c>
      <c r="D39" s="146">
        <v>66719</v>
      </c>
      <c r="G39" s="148">
        <v>1998</v>
      </c>
      <c r="H39" s="135">
        <v>93682932</v>
      </c>
      <c r="I39" s="135">
        <v>93412287</v>
      </c>
      <c r="J39" s="159">
        <v>0.76801182951874303</v>
      </c>
      <c r="K39" s="159">
        <v>0.65648001959313984</v>
      </c>
      <c r="L39" s="159"/>
      <c r="M39" s="161" t="s">
        <v>101</v>
      </c>
      <c r="N39" s="162"/>
      <c r="O39" s="162"/>
    </row>
    <row r="40" spans="1:15">
      <c r="A40" s="143">
        <v>2004</v>
      </c>
      <c r="B40" s="144">
        <v>143603</v>
      </c>
      <c r="C40" s="145">
        <v>76132</v>
      </c>
      <c r="D40" s="145">
        <v>67506</v>
      </c>
      <c r="G40" s="148">
        <v>1999</v>
      </c>
      <c r="H40" s="135">
        <v>94780836</v>
      </c>
      <c r="I40" s="135">
        <v>94523353</v>
      </c>
      <c r="J40" s="159">
        <v>0.76961443977978838</v>
      </c>
      <c r="K40" s="159">
        <v>0.66328688107371736</v>
      </c>
      <c r="L40" s="159"/>
      <c r="M40" s="161"/>
      <c r="N40" s="162"/>
      <c r="O40" s="162"/>
    </row>
    <row r="41" spans="1:15">
      <c r="A41" s="143">
        <v>2005</v>
      </c>
      <c r="B41" s="144">
        <v>145213</v>
      </c>
      <c r="C41" s="145">
        <v>76866</v>
      </c>
      <c r="D41" s="145">
        <v>68415</v>
      </c>
      <c r="G41" s="148">
        <v>2000</v>
      </c>
      <c r="H41" s="135">
        <v>95879559</v>
      </c>
      <c r="I41" s="135">
        <v>95534152</v>
      </c>
      <c r="J41" s="159">
        <v>0.77082853499566051</v>
      </c>
      <c r="K41" s="159">
        <v>0.67026082986532398</v>
      </c>
      <c r="L41" s="159"/>
      <c r="M41" s="161"/>
      <c r="N41" s="162"/>
      <c r="O41" s="162"/>
    </row>
    <row r="42" spans="1:15">
      <c r="A42" s="143">
        <v>2006</v>
      </c>
      <c r="B42" s="144">
        <v>146811</v>
      </c>
      <c r="C42" s="145">
        <v>77607</v>
      </c>
      <c r="D42" s="145">
        <v>69363</v>
      </c>
      <c r="G42" s="148">
        <v>2001</v>
      </c>
      <c r="H42" s="135">
        <v>97005815</v>
      </c>
      <c r="I42" s="135">
        <v>96569774</v>
      </c>
      <c r="J42" s="159">
        <v>0.770149707004678</v>
      </c>
      <c r="K42" s="159">
        <v>0.67514292826241884</v>
      </c>
      <c r="L42" s="159"/>
      <c r="M42" s="161"/>
      <c r="N42" s="162"/>
      <c r="O42" s="162"/>
    </row>
    <row r="43" spans="1:15">
      <c r="A43" s="143">
        <v>2007</v>
      </c>
      <c r="B43" s="144">
        <v>148754</v>
      </c>
      <c r="C43" s="145">
        <v>78241</v>
      </c>
      <c r="D43" s="145">
        <v>70196</v>
      </c>
      <c r="G43" s="148">
        <v>2002</v>
      </c>
      <c r="H43" s="135">
        <v>98132997</v>
      </c>
      <c r="I43" s="135">
        <v>97598741</v>
      </c>
      <c r="J43" s="159">
        <v>0.76592483973560899</v>
      </c>
      <c r="K43" s="159">
        <v>0.67637860205594247</v>
      </c>
      <c r="L43" s="159"/>
      <c r="M43" s="161"/>
      <c r="N43" s="162"/>
      <c r="O43" s="162"/>
    </row>
    <row r="44" spans="1:15">
      <c r="A44" s="143">
        <v>2008</v>
      </c>
      <c r="B44" s="144">
        <v>150369</v>
      </c>
      <c r="C44" s="145">
        <v>78822</v>
      </c>
      <c r="D44" s="145">
        <v>71398</v>
      </c>
      <c r="G44" s="148">
        <v>2003</v>
      </c>
      <c r="H44" s="135">
        <v>99448349</v>
      </c>
      <c r="I44" s="135">
        <v>98821191</v>
      </c>
      <c r="J44" s="159">
        <v>0.75984469083544059</v>
      </c>
      <c r="K44" s="159">
        <v>0.67522359652597186</v>
      </c>
      <c r="L44" s="159"/>
      <c r="M44" s="161"/>
      <c r="N44" s="162"/>
      <c r="O44" s="162"/>
    </row>
    <row r="45" spans="1:15">
      <c r="A45" s="143">
        <v>2009</v>
      </c>
      <c r="B45" s="144">
        <v>151684</v>
      </c>
      <c r="C45" s="145">
        <v>79212</v>
      </c>
      <c r="D45" s="145">
        <v>72147</v>
      </c>
      <c r="G45" s="143">
        <v>2004</v>
      </c>
      <c r="H45" s="135">
        <v>100826039</v>
      </c>
      <c r="I45" s="135">
        <v>100093017</v>
      </c>
      <c r="J45" s="159">
        <v>0.75536241188647701</v>
      </c>
      <c r="K45" s="159">
        <v>0.67455554866529799</v>
      </c>
      <c r="L45" s="159"/>
      <c r="M45" s="161"/>
      <c r="N45" s="162"/>
      <c r="O45" s="162"/>
    </row>
    <row r="46" spans="1:15">
      <c r="A46" s="143">
        <v>2010</v>
      </c>
      <c r="B46" s="144">
        <v>151666</v>
      </c>
      <c r="C46" s="146">
        <v>79321</v>
      </c>
      <c r="D46" s="146">
        <v>72345</v>
      </c>
      <c r="G46" s="143">
        <v>2005</v>
      </c>
      <c r="H46" s="135">
        <v>102226353</v>
      </c>
      <c r="I46" s="135">
        <v>101402787</v>
      </c>
      <c r="J46" s="159">
        <v>0.75236568402278814</v>
      </c>
      <c r="K46" s="159">
        <v>0.6749331258518565</v>
      </c>
      <c r="L46" s="159"/>
      <c r="M46" s="161"/>
      <c r="N46" s="162"/>
      <c r="O46" s="162"/>
    </row>
    <row r="47" spans="1:15">
      <c r="G47" s="143">
        <v>2006</v>
      </c>
      <c r="H47" s="135">
        <v>103602296</v>
      </c>
      <c r="I47" s="135">
        <v>102697200</v>
      </c>
      <c r="J47" s="159">
        <v>0.74976620209266409</v>
      </c>
      <c r="K47" s="159">
        <v>0.67582855228769623</v>
      </c>
      <c r="L47" s="159"/>
      <c r="M47" s="161"/>
      <c r="N47" s="162"/>
      <c r="O47" s="162"/>
    </row>
    <row r="48" spans="1:15">
      <c r="G48" s="143">
        <v>2007</v>
      </c>
      <c r="H48" s="135">
        <v>104905611</v>
      </c>
      <c r="I48" s="135">
        <v>103911706</v>
      </c>
      <c r="J48" s="159">
        <v>0.7470496501850602</v>
      </c>
      <c r="K48" s="159">
        <v>0.67637134164653212</v>
      </c>
      <c r="L48" s="159"/>
    </row>
    <row r="49" spans="1:12">
      <c r="G49" s="143">
        <v>2008</v>
      </c>
      <c r="H49" s="135">
        <v>106126931</v>
      </c>
      <c r="I49" s="135">
        <v>105040402</v>
      </c>
      <c r="J49" s="159">
        <v>0.74139711059768609</v>
      </c>
      <c r="K49" s="159">
        <v>0.67466325957130291</v>
      </c>
      <c r="L49" s="159"/>
    </row>
    <row r="50" spans="1:12">
      <c r="G50" s="143">
        <v>2009</v>
      </c>
      <c r="H50" s="135">
        <v>106846064</v>
      </c>
      <c r="I50" s="135">
        <v>105816673</v>
      </c>
      <c r="J50" s="159">
        <v>0.73926304856676794</v>
      </c>
      <c r="K50" s="159">
        <v>0.67704651799060056</v>
      </c>
      <c r="L50" s="159"/>
    </row>
    <row r="51" spans="1:12">
      <c r="G51" s="143">
        <v>2010</v>
      </c>
      <c r="H51" s="135">
        <v>107539960</v>
      </c>
      <c r="I51" s="135">
        <v>106571927</v>
      </c>
      <c r="J51" s="159">
        <v>0.73759405341047179</v>
      </c>
      <c r="K51" s="159">
        <v>0.67884116424018492</v>
      </c>
      <c r="L51" s="159"/>
    </row>
    <row r="54" spans="1:12" ht="15.75">
      <c r="A54" s="164" t="s">
        <v>106</v>
      </c>
    </row>
    <row r="55" spans="1:12" ht="15.75">
      <c r="A55" s="164"/>
    </row>
    <row r="56" spans="1:12">
      <c r="A56" s="151" t="s">
        <v>105</v>
      </c>
    </row>
    <row r="57" spans="1:12">
      <c r="A57" s="148" t="s">
        <v>442</v>
      </c>
    </row>
    <row r="58" spans="1:12">
      <c r="A58" s="165" t="s">
        <v>102</v>
      </c>
    </row>
    <row r="60" spans="1:12">
      <c r="A60" s="151" t="s">
        <v>103</v>
      </c>
    </row>
    <row r="61" spans="1:12">
      <c r="A61" s="148" t="s">
        <v>89</v>
      </c>
    </row>
    <row r="63" spans="1:12">
      <c r="A63" s="148" t="s">
        <v>104</v>
      </c>
    </row>
  </sheetData>
  <mergeCells count="2">
    <mergeCell ref="H9:I9"/>
    <mergeCell ref="J9:K9"/>
  </mergeCells>
  <hyperlinks>
    <hyperlink ref="A58" r:id="rId1" location="table4.c2"/>
    <hyperlink ref="A3" location="TableOfContents!A1" display="Back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1"/>
  <sheetViews>
    <sheetView workbookViewId="0">
      <selection activeCell="H10" sqref="H10"/>
    </sheetView>
  </sheetViews>
  <sheetFormatPr defaultRowHeight="15"/>
  <cols>
    <col min="1" max="1" width="6.5703125" customWidth="1"/>
    <col min="2" max="2" width="17.42578125" bestFit="1" customWidth="1"/>
    <col min="3" max="3" width="17.28515625" customWidth="1"/>
    <col min="4" max="4" width="16.28515625" bestFit="1" customWidth="1"/>
    <col min="5" max="5" width="16.85546875" bestFit="1" customWidth="1"/>
  </cols>
  <sheetData>
    <row r="1" spans="1:4" ht="15.75">
      <c r="A1" s="24" t="s">
        <v>226</v>
      </c>
    </row>
    <row r="2" spans="1:4" ht="15.75">
      <c r="A2" s="16"/>
    </row>
    <row r="3" spans="1:4" ht="18.75">
      <c r="A3" s="27" t="s">
        <v>252</v>
      </c>
      <c r="B3" s="29" t="s">
        <v>253</v>
      </c>
      <c r="C3" s="27"/>
    </row>
    <row r="4" spans="1:4" ht="18.75">
      <c r="A4" s="13"/>
    </row>
    <row r="5" spans="1:4">
      <c r="A5" s="20"/>
      <c r="B5" s="21"/>
      <c r="C5" s="22" t="s">
        <v>111</v>
      </c>
      <c r="D5" s="22" t="s">
        <v>940</v>
      </c>
    </row>
    <row r="6" spans="1:4">
      <c r="A6" s="23" t="s">
        <v>218</v>
      </c>
      <c r="B6" s="22" t="s">
        <v>934</v>
      </c>
      <c r="C6" s="22" t="s">
        <v>112</v>
      </c>
      <c r="D6" s="22" t="s">
        <v>939</v>
      </c>
    </row>
    <row r="7" spans="1:4">
      <c r="A7" s="177" t="s">
        <v>207</v>
      </c>
      <c r="B7" s="178">
        <v>67775</v>
      </c>
      <c r="C7" s="18">
        <v>2989485</v>
      </c>
      <c r="D7" s="19">
        <v>2.2671128973719555E-2</v>
      </c>
    </row>
    <row r="8" spans="1:4">
      <c r="A8" s="177" t="s">
        <v>145</v>
      </c>
      <c r="B8" s="178">
        <v>6082</v>
      </c>
      <c r="C8" s="18">
        <v>467915</v>
      </c>
      <c r="D8" s="19">
        <v>1.2998087259438146E-2</v>
      </c>
    </row>
    <row r="9" spans="1:4">
      <c r="A9" s="177" t="s">
        <v>135</v>
      </c>
      <c r="B9" s="178">
        <v>49693</v>
      </c>
      <c r="C9" s="18">
        <v>3881172</v>
      </c>
      <c r="D9" s="19">
        <v>1.280360674559128E-2</v>
      </c>
    </row>
    <row r="10" spans="1:4">
      <c r="A10" s="177" t="s">
        <v>209</v>
      </c>
      <c r="B10" s="178">
        <v>41665</v>
      </c>
      <c r="C10" s="18">
        <v>1784462</v>
      </c>
      <c r="D10" s="19">
        <v>2.3348774028250533E-2</v>
      </c>
    </row>
    <row r="11" spans="1:4">
      <c r="A11" s="177" t="s">
        <v>143</v>
      </c>
      <c r="B11" s="178">
        <v>307234</v>
      </c>
      <c r="C11" s="18">
        <v>23712402</v>
      </c>
      <c r="D11" s="19">
        <v>1.2956679799878561E-2</v>
      </c>
    </row>
    <row r="12" spans="1:4">
      <c r="A12" s="177" t="s">
        <v>125</v>
      </c>
      <c r="B12" s="178">
        <v>36702</v>
      </c>
      <c r="C12" s="18">
        <v>3253962</v>
      </c>
      <c r="D12" s="19">
        <v>1.1279172897532301E-2</v>
      </c>
    </row>
    <row r="13" spans="1:4">
      <c r="A13" s="177" t="s">
        <v>129</v>
      </c>
      <c r="B13" s="178">
        <v>27401</v>
      </c>
      <c r="C13" s="18">
        <v>2250523</v>
      </c>
      <c r="D13" s="19">
        <v>1.2175392119965003E-2</v>
      </c>
    </row>
    <row r="14" spans="1:4">
      <c r="A14" s="177" t="s">
        <v>157</v>
      </c>
      <c r="B14" s="178">
        <v>8037</v>
      </c>
      <c r="C14" s="18">
        <v>562892</v>
      </c>
      <c r="D14" s="19">
        <v>1.4278049785749309E-2</v>
      </c>
    </row>
    <row r="15" spans="1:4">
      <c r="A15" s="177" t="s">
        <v>177</v>
      </c>
      <c r="B15" s="178">
        <v>7197</v>
      </c>
      <c r="C15" s="18">
        <v>432099</v>
      </c>
      <c r="D15" s="19">
        <v>1.6655905243937154E-2</v>
      </c>
    </row>
    <row r="16" spans="1:4">
      <c r="A16" s="177" t="s">
        <v>181</v>
      </c>
      <c r="B16" s="178">
        <v>200183</v>
      </c>
      <c r="C16" s="18">
        <v>11539617</v>
      </c>
      <c r="D16" s="19">
        <v>1.7347456159073564E-2</v>
      </c>
    </row>
    <row r="17" spans="1:4">
      <c r="A17" s="177" t="s">
        <v>183</v>
      </c>
      <c r="B17" s="178">
        <v>107955</v>
      </c>
      <c r="C17" s="18">
        <v>6164066</v>
      </c>
      <c r="D17" s="19">
        <v>1.7513602222948295E-2</v>
      </c>
    </row>
    <row r="18" spans="1:4">
      <c r="A18" s="177" t="s">
        <v>119</v>
      </c>
      <c r="B18" s="178">
        <v>8908</v>
      </c>
      <c r="C18" s="18">
        <v>861345</v>
      </c>
      <c r="D18" s="19">
        <v>1.0341965182360146E-2</v>
      </c>
    </row>
    <row r="19" spans="1:4">
      <c r="A19" s="177" t="s">
        <v>169</v>
      </c>
      <c r="B19" s="178">
        <v>14023</v>
      </c>
      <c r="C19" s="18">
        <v>943842</v>
      </c>
      <c r="D19" s="19">
        <v>1.48573596004416E-2</v>
      </c>
    </row>
    <row r="20" spans="1:4">
      <c r="A20" s="177" t="s">
        <v>139</v>
      </c>
      <c r="B20" s="178">
        <v>103854</v>
      </c>
      <c r="C20" s="18">
        <v>8092240</v>
      </c>
      <c r="D20" s="19">
        <v>1.2833776556305795E-2</v>
      </c>
    </row>
    <row r="21" spans="1:4">
      <c r="A21" s="177" t="s">
        <v>185</v>
      </c>
      <c r="B21" s="178">
        <v>71377</v>
      </c>
      <c r="C21" s="18">
        <v>4034396</v>
      </c>
      <c r="D21" s="19">
        <v>1.76921154988256E-2</v>
      </c>
    </row>
    <row r="22" spans="1:4">
      <c r="A22" s="177" t="s">
        <v>159</v>
      </c>
      <c r="B22" s="178">
        <v>26929</v>
      </c>
      <c r="C22" s="18">
        <v>1865474</v>
      </c>
      <c r="D22" s="19">
        <v>1.443547323629276E-2</v>
      </c>
    </row>
    <row r="23" spans="1:4">
      <c r="A23" s="177" t="s">
        <v>171</v>
      </c>
      <c r="B23" s="178">
        <v>26487</v>
      </c>
      <c r="C23" s="18">
        <v>1750063</v>
      </c>
      <c r="D23" s="19">
        <v>1.5134883715614809E-2</v>
      </c>
    </row>
    <row r="24" spans="1:4">
      <c r="A24" s="177" t="s">
        <v>211</v>
      </c>
      <c r="B24" s="178">
        <v>71517</v>
      </c>
      <c r="C24" s="18">
        <v>2737769</v>
      </c>
      <c r="D24" s="19">
        <v>2.6122364596867013E-2</v>
      </c>
    </row>
    <row r="25" spans="1:4">
      <c r="A25" s="177" t="s">
        <v>203</v>
      </c>
      <c r="B25" s="178">
        <v>63273</v>
      </c>
      <c r="C25" s="18">
        <v>2857500</v>
      </c>
      <c r="D25" s="19">
        <v>2.2142782152230971E-2</v>
      </c>
    </row>
    <row r="26" spans="1:4">
      <c r="A26" s="177" t="s">
        <v>189</v>
      </c>
      <c r="B26" s="178">
        <v>15387</v>
      </c>
      <c r="C26" s="18">
        <v>842748</v>
      </c>
      <c r="D26" s="19">
        <v>1.8258126984579019E-2</v>
      </c>
    </row>
    <row r="27" spans="1:4">
      <c r="A27" s="177" t="s">
        <v>163</v>
      </c>
      <c r="B27" s="178">
        <v>54315</v>
      </c>
      <c r="C27" s="18">
        <v>3712946</v>
      </c>
      <c r="D27" s="19">
        <v>1.4628545634652376E-2</v>
      </c>
    </row>
    <row r="28" spans="1:4">
      <c r="A28" s="177" t="s">
        <v>153</v>
      </c>
      <c r="B28" s="178">
        <v>59700</v>
      </c>
      <c r="C28" s="18">
        <v>4225982</v>
      </c>
      <c r="D28" s="19">
        <v>1.4126894056813303E-2</v>
      </c>
    </row>
    <row r="29" spans="1:4">
      <c r="A29" s="177" t="s">
        <v>193</v>
      </c>
      <c r="B29" s="178">
        <v>118812</v>
      </c>
      <c r="C29" s="18">
        <v>6178042</v>
      </c>
      <c r="D29" s="19">
        <v>1.9231335753301774E-2</v>
      </c>
    </row>
    <row r="30" spans="1:4">
      <c r="A30" s="177" t="s">
        <v>127</v>
      </c>
      <c r="B30" s="178">
        <v>39336</v>
      </c>
      <c r="C30" s="18">
        <v>3336741</v>
      </c>
      <c r="D30" s="19">
        <v>1.1788748362548966E-2</v>
      </c>
    </row>
    <row r="31" spans="1:4">
      <c r="A31" s="177" t="s">
        <v>215</v>
      </c>
      <c r="B31" s="178">
        <v>50834</v>
      </c>
      <c r="C31" s="18">
        <v>1831335</v>
      </c>
      <c r="D31" s="19">
        <v>2.7757892466424766E-2</v>
      </c>
    </row>
    <row r="32" spans="1:4">
      <c r="A32" s="177" t="s">
        <v>201</v>
      </c>
      <c r="B32" s="178">
        <v>78003</v>
      </c>
      <c r="C32" s="18">
        <v>3725197</v>
      </c>
      <c r="D32" s="19">
        <v>2.093929529096045E-2</v>
      </c>
    </row>
    <row r="33" spans="1:4">
      <c r="A33" s="177" t="s">
        <v>149</v>
      </c>
      <c r="B33" s="178">
        <v>8174</v>
      </c>
      <c r="C33" s="18">
        <v>619110</v>
      </c>
      <c r="D33" s="19">
        <v>1.3202823407795061E-2</v>
      </c>
    </row>
    <row r="34" spans="1:4">
      <c r="A34" s="177" t="s">
        <v>131</v>
      </c>
      <c r="B34" s="178">
        <v>13944</v>
      </c>
      <c r="C34" s="18">
        <v>1120443</v>
      </c>
      <c r="D34" s="19">
        <v>1.244507752737087E-2</v>
      </c>
    </row>
    <row r="35" spans="1:4">
      <c r="A35" s="177" t="s">
        <v>141</v>
      </c>
      <c r="B35" s="178">
        <v>22025</v>
      </c>
      <c r="C35" s="18">
        <v>1711184</v>
      </c>
      <c r="D35" s="19">
        <v>1.287120496685336E-2</v>
      </c>
    </row>
    <row r="36" spans="1:4">
      <c r="A36" s="177" t="s">
        <v>165</v>
      </c>
      <c r="B36" s="178">
        <v>12558</v>
      </c>
      <c r="C36" s="18">
        <v>850968</v>
      </c>
      <c r="D36" s="19">
        <v>1.4757311673294414E-2</v>
      </c>
    </row>
    <row r="37" spans="1:4">
      <c r="A37" s="177" t="s">
        <v>121</v>
      </c>
      <c r="B37" s="178">
        <v>60845</v>
      </c>
      <c r="C37" s="18">
        <v>5540687</v>
      </c>
      <c r="D37" s="19">
        <v>1.0981490201485845E-2</v>
      </c>
    </row>
    <row r="38" spans="1:4">
      <c r="A38" s="177" t="s">
        <v>197</v>
      </c>
      <c r="B38" s="178">
        <v>24788</v>
      </c>
      <c r="C38" s="18">
        <v>1268252</v>
      </c>
      <c r="D38" s="19">
        <v>1.9545011559216938E-2</v>
      </c>
    </row>
    <row r="39" spans="1:4">
      <c r="A39" s="177" t="s">
        <v>151</v>
      </c>
      <c r="B39" s="178">
        <v>172534</v>
      </c>
      <c r="C39" s="18">
        <v>12435230</v>
      </c>
      <c r="D39" s="19">
        <v>1.3874612693130726E-2</v>
      </c>
    </row>
    <row r="40" spans="1:4">
      <c r="A40" s="177" t="s">
        <v>187</v>
      </c>
      <c r="B40" s="178">
        <v>108921</v>
      </c>
      <c r="C40" s="18">
        <v>6019769</v>
      </c>
      <c r="D40" s="19">
        <v>1.8093883668958061E-2</v>
      </c>
    </row>
    <row r="41" spans="1:4">
      <c r="A41" s="177" t="s">
        <v>133</v>
      </c>
      <c r="B41" s="178">
        <v>5319</v>
      </c>
      <c r="C41" s="18">
        <v>425243</v>
      </c>
      <c r="D41" s="19">
        <v>1.2508142403284709E-2</v>
      </c>
    </row>
    <row r="42" spans="1:4">
      <c r="A42" s="177" t="s">
        <v>191</v>
      </c>
      <c r="B42" s="178">
        <v>135385</v>
      </c>
      <c r="C42" s="18">
        <v>7183738</v>
      </c>
      <c r="D42" s="19">
        <v>1.8846038093260083E-2</v>
      </c>
    </row>
    <row r="43" spans="1:4">
      <c r="A43" s="177" t="s">
        <v>199</v>
      </c>
      <c r="B43" s="178">
        <v>45362</v>
      </c>
      <c r="C43" s="18">
        <v>2314971</v>
      </c>
      <c r="D43" s="19">
        <v>1.9595061881984698E-2</v>
      </c>
    </row>
    <row r="44" spans="1:4">
      <c r="A44" s="177" t="s">
        <v>167</v>
      </c>
      <c r="B44" s="178">
        <v>35888</v>
      </c>
      <c r="C44" s="18">
        <v>2431088</v>
      </c>
      <c r="D44" s="19">
        <v>1.4762114740396069E-2</v>
      </c>
    </row>
    <row r="45" spans="1:4">
      <c r="A45" s="177" t="s">
        <v>179</v>
      </c>
      <c r="B45" s="178">
        <v>134140</v>
      </c>
      <c r="C45" s="18">
        <v>7950917</v>
      </c>
      <c r="D45" s="19">
        <v>1.6871009972811941E-2</v>
      </c>
    </row>
    <row r="46" spans="1:4">
      <c r="A46" s="177" t="s">
        <v>175</v>
      </c>
      <c r="B46" s="178">
        <v>11121</v>
      </c>
      <c r="C46" s="18">
        <v>676730</v>
      </c>
      <c r="D46" s="19">
        <v>1.6433437264492486E-2</v>
      </c>
    </row>
    <row r="47" spans="1:4">
      <c r="A47" s="177" t="s">
        <v>195</v>
      </c>
      <c r="B47" s="178">
        <v>56840</v>
      </c>
      <c r="C47" s="18">
        <v>2913016</v>
      </c>
      <c r="D47" s="19">
        <v>1.9512422863451489E-2</v>
      </c>
    </row>
    <row r="48" spans="1:4">
      <c r="A48" s="177" t="s">
        <v>117</v>
      </c>
      <c r="B48" s="178">
        <v>5102</v>
      </c>
      <c r="C48" s="18">
        <v>494802</v>
      </c>
      <c r="D48" s="19">
        <v>1.0311195185144765E-2</v>
      </c>
    </row>
    <row r="49" spans="1:4">
      <c r="A49" s="177" t="s">
        <v>205</v>
      </c>
      <c r="B49" s="178">
        <v>89073</v>
      </c>
      <c r="C49" s="18">
        <v>3996642</v>
      </c>
      <c r="D49" s="19">
        <v>2.2286959902838435E-2</v>
      </c>
    </row>
    <row r="50" spans="1:4">
      <c r="A50" s="177" t="s">
        <v>161</v>
      </c>
      <c r="B50" s="178">
        <v>227769</v>
      </c>
      <c r="C50" s="18">
        <v>15677851</v>
      </c>
      <c r="D50" s="19">
        <v>1.4528075308280453E-2</v>
      </c>
    </row>
    <row r="51" spans="1:4">
      <c r="A51" s="177" t="s">
        <v>115</v>
      </c>
      <c r="B51" s="178">
        <v>16315</v>
      </c>
      <c r="C51" s="18">
        <v>1643396</v>
      </c>
      <c r="D51" s="19">
        <v>9.9276133080523493E-3</v>
      </c>
    </row>
    <row r="52" spans="1:4">
      <c r="A52" s="177" t="s">
        <v>173</v>
      </c>
      <c r="B52" s="178">
        <v>6149</v>
      </c>
      <c r="C52" s="18">
        <v>405430</v>
      </c>
      <c r="D52" s="19">
        <v>1.5166613225464321E-2</v>
      </c>
    </row>
    <row r="53" spans="1:4">
      <c r="A53" s="177" t="s">
        <v>137</v>
      </c>
      <c r="B53" s="178">
        <v>66218</v>
      </c>
      <c r="C53" s="18">
        <v>5170410</v>
      </c>
      <c r="D53" s="19">
        <v>1.2807108140360242E-2</v>
      </c>
    </row>
    <row r="54" spans="1:4">
      <c r="A54" s="177" t="s">
        <v>147</v>
      </c>
      <c r="B54" s="178">
        <v>56840</v>
      </c>
      <c r="C54" s="18">
        <v>4315509</v>
      </c>
      <c r="D54" s="19">
        <v>1.317109986330697E-2</v>
      </c>
    </row>
    <row r="55" spans="1:4">
      <c r="A55" s="177" t="s">
        <v>213</v>
      </c>
      <c r="B55" s="178">
        <v>31283</v>
      </c>
      <c r="C55" s="18">
        <v>1168172</v>
      </c>
      <c r="D55" s="19">
        <v>2.677944686227713E-2</v>
      </c>
    </row>
    <row r="56" spans="1:4">
      <c r="A56" s="177" t="s">
        <v>155</v>
      </c>
      <c r="B56" s="178">
        <v>50951</v>
      </c>
      <c r="C56" s="18">
        <v>3570180</v>
      </c>
      <c r="D56" s="19">
        <v>1.4271269235724809E-2</v>
      </c>
    </row>
    <row r="57" spans="1:4">
      <c r="A57" s="177" t="s">
        <v>123</v>
      </c>
      <c r="B57" s="178">
        <v>3950</v>
      </c>
      <c r="C57" s="18">
        <v>358134</v>
      </c>
      <c r="D57" s="19">
        <v>1.1029391233448933E-2</v>
      </c>
    </row>
    <row r="58" spans="1:4">
      <c r="A58" s="179"/>
      <c r="B58" s="179"/>
      <c r="C58" s="17"/>
      <c r="D58" s="19"/>
    </row>
    <row r="59" spans="1:4">
      <c r="A59" s="177" t="s">
        <v>217</v>
      </c>
      <c r="B59" s="178">
        <v>29567</v>
      </c>
      <c r="C59" s="18">
        <v>2280496</v>
      </c>
      <c r="D59" s="19">
        <v>1.296516196476556E-2</v>
      </c>
    </row>
    <row r="62" spans="1:4">
      <c r="A62" s="15" t="s">
        <v>106</v>
      </c>
    </row>
    <row r="63" spans="1:4">
      <c r="A63" s="15"/>
    </row>
    <row r="64" spans="1:4">
      <c r="A64" s="4" t="s">
        <v>222</v>
      </c>
    </row>
    <row r="65" spans="1:1">
      <c r="A65" t="s">
        <v>224</v>
      </c>
    </row>
    <row r="66" spans="1:1">
      <c r="A66" t="s">
        <v>225</v>
      </c>
    </row>
    <row r="68" spans="1:1">
      <c r="A68" s="4" t="s">
        <v>223</v>
      </c>
    </row>
    <row r="69" spans="1:1">
      <c r="A69" t="s">
        <v>221</v>
      </c>
    </row>
    <row r="70" spans="1:1">
      <c r="A70" s="1" t="s">
        <v>219</v>
      </c>
    </row>
    <row r="71" spans="1:1">
      <c r="A71" t="s">
        <v>220</v>
      </c>
    </row>
  </sheetData>
  <sortState ref="A3:E53">
    <sortCondition ref="A3:A53"/>
  </sortState>
  <hyperlinks>
    <hyperlink ref="A70" r:id="rId1"/>
    <hyperlink ref="A3" location="TableOfContents!A1" display="Back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73"/>
  <sheetViews>
    <sheetView workbookViewId="0">
      <selection activeCell="I19" sqref="I19"/>
    </sheetView>
  </sheetViews>
  <sheetFormatPr defaultRowHeight="15"/>
  <cols>
    <col min="1" max="1" width="6" style="51" customWidth="1"/>
    <col min="2" max="2" width="13.42578125" style="51" customWidth="1"/>
    <col min="3" max="4" width="15.85546875" style="51" bestFit="1" customWidth="1"/>
    <col min="5" max="5" width="16.140625" style="51" bestFit="1" customWidth="1"/>
    <col min="6" max="6" width="12.7109375" style="51" customWidth="1"/>
    <col min="7" max="7" width="14.5703125" style="51" customWidth="1"/>
    <col min="8" max="8" width="11" style="51" customWidth="1"/>
    <col min="9" max="9" width="18.85546875" style="51" bestFit="1" customWidth="1"/>
    <col min="10" max="10" width="10.85546875" style="51" bestFit="1" customWidth="1"/>
    <col min="11" max="11" width="18.85546875" style="51" bestFit="1" customWidth="1"/>
    <col min="12" max="12" width="16.140625" style="51" bestFit="1" customWidth="1"/>
    <col min="13" max="16384" width="9.140625" style="51"/>
  </cols>
  <sheetData>
    <row r="1" spans="1:12" ht="15.75">
      <c r="A1" s="181" t="s">
        <v>912</v>
      </c>
    </row>
    <row r="3" spans="1:12" ht="18.75">
      <c r="A3" s="182" t="s">
        <v>252</v>
      </c>
      <c r="B3" s="183" t="s">
        <v>253</v>
      </c>
    </row>
    <row r="4" spans="1:12" ht="15" customHeight="1">
      <c r="A4" s="182"/>
      <c r="B4" s="183"/>
    </row>
    <row r="6" spans="1:12" ht="15.75">
      <c r="A6" s="184" t="s">
        <v>230</v>
      </c>
      <c r="B6" s="185"/>
      <c r="C6" s="185"/>
      <c r="D6" s="185"/>
      <c r="E6" s="186"/>
      <c r="F6" s="186"/>
      <c r="G6" s="187" t="s">
        <v>231</v>
      </c>
      <c r="I6" s="185"/>
      <c r="J6" s="188"/>
      <c r="K6" s="189"/>
      <c r="L6" s="189"/>
    </row>
    <row r="7" spans="1:12" ht="15.75">
      <c r="A7" s="184" t="s">
        <v>910</v>
      </c>
      <c r="B7" s="185"/>
      <c r="C7" s="185"/>
      <c r="D7" s="185"/>
      <c r="E7" s="186"/>
      <c r="F7" s="186"/>
      <c r="G7" s="184" t="s">
        <v>911</v>
      </c>
      <c r="I7" s="185"/>
      <c r="J7" s="188"/>
      <c r="K7" s="189"/>
      <c r="L7" s="189"/>
    </row>
    <row r="8" spans="1:12" ht="15.75">
      <c r="A8" s="188"/>
      <c r="B8" s="188"/>
      <c r="C8" s="188"/>
      <c r="D8" s="186"/>
      <c r="E8" s="186"/>
      <c r="F8" s="186"/>
      <c r="G8" s="188"/>
      <c r="H8" s="188"/>
      <c r="I8" s="189"/>
      <c r="J8" s="189"/>
    </row>
    <row r="9" spans="1:12">
      <c r="A9" s="136"/>
      <c r="B9" s="190"/>
      <c r="C9" s="191" t="s">
        <v>111</v>
      </c>
      <c r="D9" s="191" t="s">
        <v>227</v>
      </c>
      <c r="E9" s="191"/>
      <c r="F9" s="60"/>
      <c r="G9" s="192"/>
      <c r="H9" s="193"/>
      <c r="I9" s="193" t="s">
        <v>232</v>
      </c>
      <c r="J9" s="191" t="s">
        <v>227</v>
      </c>
    </row>
    <row r="10" spans="1:12">
      <c r="A10" s="191" t="s">
        <v>218</v>
      </c>
      <c r="B10" s="191" t="s">
        <v>227</v>
      </c>
      <c r="C10" s="191" t="s">
        <v>112</v>
      </c>
      <c r="D10" s="191" t="s">
        <v>113</v>
      </c>
      <c r="E10" s="191"/>
      <c r="F10" s="60"/>
      <c r="G10" s="194" t="s">
        <v>218</v>
      </c>
      <c r="H10" s="193" t="s">
        <v>227</v>
      </c>
      <c r="I10" s="193" t="s">
        <v>233</v>
      </c>
      <c r="J10" s="191" t="s">
        <v>113</v>
      </c>
    </row>
    <row r="11" spans="1:12">
      <c r="A11" s="177" t="s">
        <v>207</v>
      </c>
      <c r="B11" s="195">
        <v>52507</v>
      </c>
      <c r="C11" s="196">
        <v>2989485</v>
      </c>
      <c r="D11" s="197">
        <f t="shared" ref="D11:D61" si="0">B11/C11</f>
        <v>1.7563894784553193E-2</v>
      </c>
      <c r="E11" s="197"/>
      <c r="G11" s="177" t="s">
        <v>207</v>
      </c>
      <c r="H11" s="195">
        <v>52507</v>
      </c>
      <c r="I11" s="195">
        <v>568000</v>
      </c>
      <c r="J11" s="197">
        <f t="shared" ref="J11:J61" si="1">H11/I11</f>
        <v>9.2441901408450711E-2</v>
      </c>
    </row>
    <row r="12" spans="1:12">
      <c r="A12" s="177" t="s">
        <v>145</v>
      </c>
      <c r="B12" s="195">
        <v>4408</v>
      </c>
      <c r="C12" s="196">
        <v>467915</v>
      </c>
      <c r="D12" s="197">
        <f t="shared" si="0"/>
        <v>9.4205144096684221E-3</v>
      </c>
      <c r="E12" s="197"/>
      <c r="G12" s="177" t="s">
        <v>145</v>
      </c>
      <c r="H12" s="195">
        <v>4408</v>
      </c>
      <c r="I12" s="195">
        <v>63000</v>
      </c>
      <c r="J12" s="197">
        <f t="shared" si="1"/>
        <v>6.9968253968253971E-2</v>
      </c>
    </row>
    <row r="13" spans="1:12">
      <c r="A13" s="177" t="s">
        <v>135</v>
      </c>
      <c r="B13" s="195">
        <v>36915</v>
      </c>
      <c r="C13" s="196">
        <v>3881172</v>
      </c>
      <c r="D13" s="197">
        <f t="shared" si="0"/>
        <v>9.5113022561226345E-3</v>
      </c>
      <c r="E13" s="197"/>
      <c r="G13" s="177" t="s">
        <v>135</v>
      </c>
      <c r="H13" s="195">
        <v>36915</v>
      </c>
      <c r="I13" s="195">
        <v>897000</v>
      </c>
      <c r="J13" s="197">
        <f t="shared" si="1"/>
        <v>4.1153846153846152E-2</v>
      </c>
    </row>
    <row r="14" spans="1:12">
      <c r="A14" s="177" t="s">
        <v>209</v>
      </c>
      <c r="B14" s="195">
        <v>36021</v>
      </c>
      <c r="C14" s="196">
        <v>1784462</v>
      </c>
      <c r="D14" s="197">
        <f t="shared" si="0"/>
        <v>2.0185915979157865E-2</v>
      </c>
      <c r="E14" s="197"/>
      <c r="G14" s="177" t="s">
        <v>209</v>
      </c>
      <c r="H14" s="195">
        <v>36021</v>
      </c>
      <c r="I14" s="195">
        <v>336000</v>
      </c>
      <c r="J14" s="197">
        <f t="shared" si="1"/>
        <v>0.10720535714285714</v>
      </c>
    </row>
    <row r="15" spans="1:12">
      <c r="A15" s="177" t="s">
        <v>143</v>
      </c>
      <c r="B15" s="195">
        <v>229147</v>
      </c>
      <c r="C15" s="196">
        <v>23712402</v>
      </c>
      <c r="D15" s="197">
        <f t="shared" si="0"/>
        <v>9.6635929164831137E-3</v>
      </c>
      <c r="E15" s="197"/>
      <c r="G15" s="177" t="s">
        <v>143</v>
      </c>
      <c r="H15" s="195">
        <v>229147</v>
      </c>
      <c r="I15" s="195">
        <v>4619000</v>
      </c>
      <c r="J15" s="197">
        <f t="shared" si="1"/>
        <v>4.9609655769647112E-2</v>
      </c>
    </row>
    <row r="16" spans="1:12">
      <c r="A16" s="177" t="s">
        <v>125</v>
      </c>
      <c r="B16" s="195">
        <v>26745</v>
      </c>
      <c r="C16" s="196">
        <v>3253962</v>
      </c>
      <c r="D16" s="197">
        <f t="shared" si="0"/>
        <v>8.2192109188736692E-3</v>
      </c>
      <c r="E16" s="197"/>
      <c r="G16" s="177" t="s">
        <v>125</v>
      </c>
      <c r="H16" s="195">
        <v>26745</v>
      </c>
      <c r="I16" s="195">
        <v>455000</v>
      </c>
      <c r="J16" s="197">
        <f t="shared" si="1"/>
        <v>5.8780219780219779E-2</v>
      </c>
    </row>
    <row r="17" spans="1:10">
      <c r="A17" s="177" t="s">
        <v>129</v>
      </c>
      <c r="B17" s="195">
        <v>21338</v>
      </c>
      <c r="C17" s="196">
        <v>2250523</v>
      </c>
      <c r="D17" s="197">
        <f t="shared" si="0"/>
        <v>9.4813516680344965E-3</v>
      </c>
      <c r="E17" s="197"/>
      <c r="G17" s="177" t="s">
        <v>129</v>
      </c>
      <c r="H17" s="195">
        <v>21338</v>
      </c>
      <c r="I17" s="195">
        <v>220000</v>
      </c>
      <c r="J17" s="197">
        <f t="shared" si="1"/>
        <v>9.6990909090909086E-2</v>
      </c>
    </row>
    <row r="18" spans="1:10">
      <c r="A18" s="177" t="s">
        <v>157</v>
      </c>
      <c r="B18" s="195">
        <v>6249</v>
      </c>
      <c r="C18" s="196">
        <v>562892</v>
      </c>
      <c r="D18" s="197">
        <f t="shared" si="0"/>
        <v>1.1101596753906611E-2</v>
      </c>
      <c r="E18" s="197"/>
      <c r="G18" s="177" t="s">
        <v>157</v>
      </c>
      <c r="H18" s="195">
        <v>6249</v>
      </c>
      <c r="I18" s="195">
        <v>80000</v>
      </c>
      <c r="J18" s="197">
        <f t="shared" si="1"/>
        <v>7.8112500000000001E-2</v>
      </c>
    </row>
    <row r="19" spans="1:10">
      <c r="A19" s="177" t="s">
        <v>177</v>
      </c>
      <c r="B19" s="195">
        <v>6356</v>
      </c>
      <c r="C19" s="196">
        <v>432099</v>
      </c>
      <c r="D19" s="197">
        <f t="shared" si="0"/>
        <v>1.4709592014792907E-2</v>
      </c>
      <c r="E19" s="197"/>
      <c r="G19" s="177" t="s">
        <v>177</v>
      </c>
      <c r="H19" s="195">
        <v>6356</v>
      </c>
      <c r="I19" s="195">
        <v>84000</v>
      </c>
      <c r="J19" s="197">
        <f t="shared" si="1"/>
        <v>7.566666666666666E-2</v>
      </c>
    </row>
    <row r="20" spans="1:10">
      <c r="A20" s="177" t="s">
        <v>181</v>
      </c>
      <c r="B20" s="195">
        <v>154686</v>
      </c>
      <c r="C20" s="196">
        <v>11539617</v>
      </c>
      <c r="D20" s="197">
        <f t="shared" si="0"/>
        <v>1.3404777645566574E-2</v>
      </c>
      <c r="E20" s="197"/>
      <c r="G20" s="177" t="s">
        <v>181</v>
      </c>
      <c r="H20" s="195">
        <v>154686</v>
      </c>
      <c r="I20" s="195">
        <v>2191000</v>
      </c>
      <c r="J20" s="197">
        <f t="shared" si="1"/>
        <v>7.0600638977635785E-2</v>
      </c>
    </row>
    <row r="21" spans="1:10">
      <c r="A21" s="177" t="s">
        <v>183</v>
      </c>
      <c r="B21" s="195">
        <v>89878</v>
      </c>
      <c r="C21" s="196">
        <v>6164066</v>
      </c>
      <c r="D21" s="197">
        <f t="shared" si="0"/>
        <v>1.4580960035145633E-2</v>
      </c>
      <c r="E21" s="197"/>
      <c r="G21" s="177" t="s">
        <v>183</v>
      </c>
      <c r="H21" s="195">
        <v>89878</v>
      </c>
      <c r="I21" s="195">
        <v>1346000</v>
      </c>
      <c r="J21" s="197">
        <f t="shared" si="1"/>
        <v>6.6774145616641897E-2</v>
      </c>
    </row>
    <row r="22" spans="1:10">
      <c r="A22" s="177" t="s">
        <v>119</v>
      </c>
      <c r="B22" s="195">
        <v>6817</v>
      </c>
      <c r="C22" s="196">
        <v>861345</v>
      </c>
      <c r="D22" s="197">
        <f t="shared" si="0"/>
        <v>7.9143664849740808E-3</v>
      </c>
      <c r="E22" s="197"/>
      <c r="G22" s="177" t="s">
        <v>119</v>
      </c>
      <c r="H22" s="195">
        <v>6817</v>
      </c>
      <c r="I22" s="195">
        <v>107000</v>
      </c>
      <c r="J22" s="197">
        <f t="shared" si="1"/>
        <v>6.3710280373831779E-2</v>
      </c>
    </row>
    <row r="23" spans="1:10">
      <c r="A23" s="177" t="s">
        <v>169</v>
      </c>
      <c r="B23" s="195">
        <v>10682</v>
      </c>
      <c r="C23" s="196">
        <v>943842</v>
      </c>
      <c r="D23" s="197">
        <f t="shared" si="0"/>
        <v>1.1317572220774241E-2</v>
      </c>
      <c r="E23" s="197"/>
      <c r="G23" s="177" t="s">
        <v>169</v>
      </c>
      <c r="H23" s="195">
        <v>10682</v>
      </c>
      <c r="I23" s="195">
        <v>163000</v>
      </c>
      <c r="J23" s="197">
        <f t="shared" si="1"/>
        <v>6.553374233128835E-2</v>
      </c>
    </row>
    <row r="24" spans="1:10">
      <c r="A24" s="177" t="s">
        <v>139</v>
      </c>
      <c r="B24" s="195">
        <v>76056</v>
      </c>
      <c r="C24" s="196">
        <v>8092240</v>
      </c>
      <c r="D24" s="197">
        <f t="shared" si="0"/>
        <v>9.3986337528298713E-3</v>
      </c>
      <c r="E24" s="197"/>
      <c r="G24" s="177" t="s">
        <v>139</v>
      </c>
      <c r="H24" s="195">
        <v>76056</v>
      </c>
      <c r="I24" s="195">
        <v>1383000</v>
      </c>
      <c r="J24" s="197">
        <f t="shared" si="1"/>
        <v>5.4993492407809111E-2</v>
      </c>
    </row>
    <row r="25" spans="1:10">
      <c r="A25" s="177" t="s">
        <v>185</v>
      </c>
      <c r="B25" s="195">
        <v>51307</v>
      </c>
      <c r="C25" s="196">
        <v>4034396</v>
      </c>
      <c r="D25" s="197">
        <f t="shared" si="0"/>
        <v>1.2717393136419924E-2</v>
      </c>
      <c r="E25" s="197"/>
      <c r="G25" s="177" t="s">
        <v>185</v>
      </c>
      <c r="H25" s="195">
        <v>51307</v>
      </c>
      <c r="I25" s="195">
        <v>624000</v>
      </c>
      <c r="J25" s="197">
        <f t="shared" si="1"/>
        <v>8.2222756410256406E-2</v>
      </c>
    </row>
    <row r="26" spans="1:10">
      <c r="A26" s="177" t="s">
        <v>159</v>
      </c>
      <c r="B26" s="195">
        <v>19331</v>
      </c>
      <c r="C26" s="196">
        <v>1865474</v>
      </c>
      <c r="D26" s="197">
        <f t="shared" si="0"/>
        <v>1.0362513763258025E-2</v>
      </c>
      <c r="E26" s="197"/>
      <c r="G26" s="177" t="s">
        <v>159</v>
      </c>
      <c r="H26" s="195">
        <v>19331</v>
      </c>
      <c r="I26" s="195">
        <v>259000</v>
      </c>
      <c r="J26" s="197">
        <f t="shared" si="1"/>
        <v>7.4637065637065639E-2</v>
      </c>
    </row>
    <row r="27" spans="1:10">
      <c r="A27" s="177" t="s">
        <v>171</v>
      </c>
      <c r="B27" s="195">
        <v>18803</v>
      </c>
      <c r="C27" s="196">
        <v>1750063</v>
      </c>
      <c r="D27" s="197">
        <f t="shared" si="0"/>
        <v>1.0744184637924464E-2</v>
      </c>
      <c r="E27" s="197"/>
      <c r="G27" s="177" t="s">
        <v>171</v>
      </c>
      <c r="H27" s="195">
        <v>18803</v>
      </c>
      <c r="I27" s="195">
        <v>269000</v>
      </c>
      <c r="J27" s="197">
        <f t="shared" si="1"/>
        <v>6.9899628252788101E-2</v>
      </c>
    </row>
    <row r="28" spans="1:10">
      <c r="A28" s="177" t="s">
        <v>211</v>
      </c>
      <c r="B28" s="195">
        <v>55409</v>
      </c>
      <c r="C28" s="196">
        <v>2737769</v>
      </c>
      <c r="D28" s="197">
        <f t="shared" si="0"/>
        <v>2.0238741836875209E-2</v>
      </c>
      <c r="E28" s="197"/>
      <c r="G28" s="177" t="s">
        <v>211</v>
      </c>
      <c r="H28" s="195">
        <v>55409</v>
      </c>
      <c r="I28" s="195">
        <v>616000</v>
      </c>
      <c r="J28" s="197">
        <f t="shared" si="1"/>
        <v>8.9949675324675321E-2</v>
      </c>
    </row>
    <row r="29" spans="1:10">
      <c r="A29" s="177" t="s">
        <v>203</v>
      </c>
      <c r="B29" s="195">
        <v>53532</v>
      </c>
      <c r="C29" s="196">
        <v>2857500</v>
      </c>
      <c r="D29" s="197">
        <f t="shared" si="0"/>
        <v>1.8733858267716536E-2</v>
      </c>
      <c r="E29" s="197"/>
      <c r="G29" s="177" t="s">
        <v>203</v>
      </c>
      <c r="H29" s="195">
        <v>53532</v>
      </c>
      <c r="I29" s="195">
        <v>652000</v>
      </c>
      <c r="J29" s="197">
        <f t="shared" si="1"/>
        <v>8.2104294478527601E-2</v>
      </c>
    </row>
    <row r="30" spans="1:10">
      <c r="A30" s="177" t="s">
        <v>189</v>
      </c>
      <c r="B30" s="195">
        <v>12374</v>
      </c>
      <c r="C30" s="196">
        <v>842748</v>
      </c>
      <c r="D30" s="197">
        <f t="shared" si="0"/>
        <v>1.4682918262636043E-2</v>
      </c>
      <c r="E30" s="197"/>
      <c r="G30" s="177" t="s">
        <v>189</v>
      </c>
      <c r="H30" s="195">
        <v>12374</v>
      </c>
      <c r="I30" s="195">
        <v>124000</v>
      </c>
      <c r="J30" s="197">
        <f t="shared" si="1"/>
        <v>9.9790322580645158E-2</v>
      </c>
    </row>
    <row r="31" spans="1:10">
      <c r="A31" s="177" t="s">
        <v>163</v>
      </c>
      <c r="B31" s="195">
        <v>41175</v>
      </c>
      <c r="C31" s="196">
        <v>3712946</v>
      </c>
      <c r="D31" s="197">
        <f t="shared" si="0"/>
        <v>1.1089576848141611E-2</v>
      </c>
      <c r="E31" s="197"/>
      <c r="G31" s="177" t="s">
        <v>163</v>
      </c>
      <c r="H31" s="195">
        <v>41175</v>
      </c>
      <c r="I31" s="195">
        <v>464000</v>
      </c>
      <c r="J31" s="197">
        <f t="shared" si="1"/>
        <v>8.8739224137931033E-2</v>
      </c>
    </row>
    <row r="32" spans="1:10">
      <c r="A32" s="177" t="s">
        <v>153</v>
      </c>
      <c r="B32" s="195">
        <v>47737</v>
      </c>
      <c r="C32" s="196">
        <v>4225982</v>
      </c>
      <c r="D32" s="197">
        <f t="shared" si="0"/>
        <v>1.1296072723452205E-2</v>
      </c>
      <c r="E32" s="197"/>
      <c r="G32" s="177" t="s">
        <v>153</v>
      </c>
      <c r="H32" s="195">
        <v>47737</v>
      </c>
      <c r="I32" s="195">
        <v>574000</v>
      </c>
      <c r="J32" s="197">
        <f t="shared" si="1"/>
        <v>8.3165505226480835E-2</v>
      </c>
    </row>
    <row r="33" spans="1:10">
      <c r="A33" s="177" t="s">
        <v>193</v>
      </c>
      <c r="B33" s="195">
        <v>88795</v>
      </c>
      <c r="C33" s="196">
        <v>6178042</v>
      </c>
      <c r="D33" s="197">
        <f t="shared" si="0"/>
        <v>1.4372676650628144E-2</v>
      </c>
      <c r="E33" s="197"/>
      <c r="G33" s="177" t="s">
        <v>193</v>
      </c>
      <c r="H33" s="195">
        <v>88795</v>
      </c>
      <c r="I33" s="195">
        <v>1164000</v>
      </c>
      <c r="J33" s="197">
        <f t="shared" si="1"/>
        <v>7.6284364261168386E-2</v>
      </c>
    </row>
    <row r="34" spans="1:10">
      <c r="A34" s="177" t="s">
        <v>127</v>
      </c>
      <c r="B34" s="195">
        <v>26701</v>
      </c>
      <c r="C34" s="196">
        <v>3336741</v>
      </c>
      <c r="D34" s="197">
        <f t="shared" si="0"/>
        <v>8.0021194333033344E-3</v>
      </c>
      <c r="E34" s="197"/>
      <c r="G34" s="177" t="s">
        <v>127</v>
      </c>
      <c r="H34" s="195">
        <v>26701</v>
      </c>
      <c r="I34" s="195">
        <v>412000</v>
      </c>
      <c r="J34" s="197">
        <f t="shared" si="1"/>
        <v>6.4808252427184465E-2</v>
      </c>
    </row>
    <row r="35" spans="1:10">
      <c r="A35" s="177" t="s">
        <v>215</v>
      </c>
      <c r="B35" s="195">
        <v>42927</v>
      </c>
      <c r="C35" s="196">
        <v>1831335</v>
      </c>
      <c r="D35" s="197">
        <f t="shared" si="0"/>
        <v>2.3440277174847857E-2</v>
      </c>
      <c r="E35" s="197"/>
      <c r="G35" s="177" t="s">
        <v>215</v>
      </c>
      <c r="H35" s="195">
        <v>42927</v>
      </c>
      <c r="I35" s="195">
        <v>450000</v>
      </c>
      <c r="J35" s="197">
        <f t="shared" si="1"/>
        <v>9.539333333333333E-2</v>
      </c>
    </row>
    <row r="36" spans="1:10">
      <c r="A36" s="177" t="s">
        <v>201</v>
      </c>
      <c r="B36" s="195">
        <v>57394</v>
      </c>
      <c r="C36" s="196">
        <v>3725197</v>
      </c>
      <c r="D36" s="197">
        <f t="shared" si="0"/>
        <v>1.5406970423309156E-2</v>
      </c>
      <c r="E36" s="197"/>
      <c r="G36" s="177" t="s">
        <v>201</v>
      </c>
      <c r="H36" s="195">
        <v>57394</v>
      </c>
      <c r="I36" s="195">
        <v>696000</v>
      </c>
      <c r="J36" s="197">
        <f t="shared" si="1"/>
        <v>8.2462643678160918E-2</v>
      </c>
    </row>
    <row r="37" spans="1:10">
      <c r="A37" s="177" t="s">
        <v>149</v>
      </c>
      <c r="B37" s="195">
        <v>6995</v>
      </c>
      <c r="C37" s="196">
        <v>619110</v>
      </c>
      <c r="D37" s="197">
        <f t="shared" si="0"/>
        <v>1.1298476845794769E-2</v>
      </c>
      <c r="E37" s="197"/>
      <c r="G37" s="177" t="s">
        <v>149</v>
      </c>
      <c r="H37" s="195">
        <v>6995</v>
      </c>
      <c r="I37" s="195">
        <v>108000</v>
      </c>
      <c r="J37" s="197">
        <f t="shared" si="1"/>
        <v>6.4768518518518517E-2</v>
      </c>
    </row>
    <row r="38" spans="1:10">
      <c r="A38" s="177" t="s">
        <v>131</v>
      </c>
      <c r="B38" s="195">
        <v>10398</v>
      </c>
      <c r="C38" s="196">
        <v>1120443</v>
      </c>
      <c r="D38" s="197">
        <f t="shared" si="0"/>
        <v>9.2802578979921339E-3</v>
      </c>
      <c r="E38" s="197"/>
      <c r="G38" s="177" t="s">
        <v>131</v>
      </c>
      <c r="H38" s="195">
        <v>10398</v>
      </c>
      <c r="I38" s="195">
        <v>149000</v>
      </c>
      <c r="J38" s="197">
        <f t="shared" si="1"/>
        <v>6.9785234899328863E-2</v>
      </c>
    </row>
    <row r="39" spans="1:10">
      <c r="A39" s="177" t="s">
        <v>141</v>
      </c>
      <c r="B39" s="195">
        <v>16464</v>
      </c>
      <c r="C39" s="196">
        <v>1711184</v>
      </c>
      <c r="D39" s="197">
        <f t="shared" si="0"/>
        <v>9.6214083348137892E-3</v>
      </c>
      <c r="E39" s="197"/>
      <c r="G39" s="177" t="s">
        <v>141</v>
      </c>
      <c r="H39" s="195">
        <v>16464</v>
      </c>
      <c r="I39" s="195">
        <v>309000</v>
      </c>
      <c r="J39" s="197">
        <f t="shared" si="1"/>
        <v>5.3281553398058255E-2</v>
      </c>
    </row>
    <row r="40" spans="1:10">
      <c r="A40" s="177" t="s">
        <v>165</v>
      </c>
      <c r="B40" s="195">
        <v>9075</v>
      </c>
      <c r="C40" s="196">
        <v>850968</v>
      </c>
      <c r="D40" s="197">
        <f t="shared" si="0"/>
        <v>1.0664325803085427E-2</v>
      </c>
      <c r="E40" s="197"/>
      <c r="G40" s="177" t="s">
        <v>165</v>
      </c>
      <c r="H40" s="195">
        <v>9075</v>
      </c>
      <c r="I40" s="195">
        <v>74000</v>
      </c>
      <c r="J40" s="197">
        <f t="shared" si="1"/>
        <v>0.12263513513513513</v>
      </c>
    </row>
    <row r="41" spans="1:10">
      <c r="A41" s="177" t="s">
        <v>121</v>
      </c>
      <c r="B41" s="195">
        <v>39111</v>
      </c>
      <c r="C41" s="196">
        <v>5540687</v>
      </c>
      <c r="D41" s="197">
        <f t="shared" si="0"/>
        <v>7.0588719413314628E-3</v>
      </c>
      <c r="E41" s="197"/>
      <c r="G41" s="177" t="s">
        <v>121</v>
      </c>
      <c r="H41" s="195">
        <v>39111</v>
      </c>
      <c r="I41" s="195">
        <v>688000</v>
      </c>
      <c r="J41" s="197">
        <f t="shared" si="1"/>
        <v>5.6847383720930234E-2</v>
      </c>
    </row>
    <row r="42" spans="1:10">
      <c r="A42" s="177" t="s">
        <v>197</v>
      </c>
      <c r="B42" s="195">
        <v>17055</v>
      </c>
      <c r="C42" s="196">
        <v>1268252</v>
      </c>
      <c r="D42" s="197">
        <f t="shared" si="0"/>
        <v>1.3447642897468326E-2</v>
      </c>
      <c r="E42" s="197"/>
      <c r="G42" s="177" t="s">
        <v>197</v>
      </c>
      <c r="H42" s="195">
        <v>17055</v>
      </c>
      <c r="I42" s="195">
        <v>270000</v>
      </c>
      <c r="J42" s="197">
        <f t="shared" si="1"/>
        <v>6.3166666666666663E-2</v>
      </c>
    </row>
    <row r="43" spans="1:10">
      <c r="A43" s="177" t="s">
        <v>151</v>
      </c>
      <c r="B43" s="195">
        <v>115279</v>
      </c>
      <c r="C43" s="196">
        <v>12435230</v>
      </c>
      <c r="D43" s="197">
        <f t="shared" si="0"/>
        <v>9.2703552728819645E-3</v>
      </c>
      <c r="E43" s="197"/>
      <c r="G43" s="177" t="s">
        <v>151</v>
      </c>
      <c r="H43" s="195">
        <v>115279</v>
      </c>
      <c r="I43" s="195">
        <v>2228000</v>
      </c>
      <c r="J43" s="197">
        <f t="shared" si="1"/>
        <v>5.1741023339317772E-2</v>
      </c>
    </row>
    <row r="44" spans="1:10">
      <c r="A44" s="177" t="s">
        <v>187</v>
      </c>
      <c r="B44" s="195">
        <v>83009</v>
      </c>
      <c r="C44" s="196">
        <v>6019769</v>
      </c>
      <c r="D44" s="197">
        <f t="shared" si="0"/>
        <v>1.378939956001634E-2</v>
      </c>
      <c r="E44" s="197"/>
      <c r="G44" s="177" t="s">
        <v>187</v>
      </c>
      <c r="H44" s="195">
        <v>83009</v>
      </c>
      <c r="I44" s="195">
        <v>1057000</v>
      </c>
      <c r="J44" s="197">
        <f t="shared" si="1"/>
        <v>7.8532639545884575E-2</v>
      </c>
    </row>
    <row r="45" spans="1:10">
      <c r="A45" s="177" t="s">
        <v>133</v>
      </c>
      <c r="B45" s="195">
        <v>3325</v>
      </c>
      <c r="C45" s="196">
        <v>425243</v>
      </c>
      <c r="D45" s="197">
        <f t="shared" si="0"/>
        <v>7.8190587499382697E-3</v>
      </c>
      <c r="E45" s="197"/>
      <c r="G45" s="177" t="s">
        <v>133</v>
      </c>
      <c r="H45" s="195">
        <v>3325</v>
      </c>
      <c r="I45" s="195">
        <v>54000</v>
      </c>
      <c r="J45" s="197">
        <f t="shared" si="1"/>
        <v>6.1574074074074073E-2</v>
      </c>
    </row>
    <row r="46" spans="1:10">
      <c r="A46" s="177" t="s">
        <v>191</v>
      </c>
      <c r="B46" s="195">
        <v>107724</v>
      </c>
      <c r="C46" s="196">
        <v>7183738</v>
      </c>
      <c r="D46" s="197">
        <f t="shared" si="0"/>
        <v>1.4995535750329424E-2</v>
      </c>
      <c r="E46" s="197"/>
      <c r="G46" s="177" t="s">
        <v>191</v>
      </c>
      <c r="H46" s="195">
        <v>107724</v>
      </c>
      <c r="I46" s="195">
        <v>1206000</v>
      </c>
      <c r="J46" s="197">
        <f t="shared" si="1"/>
        <v>8.9323383084577115E-2</v>
      </c>
    </row>
    <row r="47" spans="1:10">
      <c r="A47" s="177" t="s">
        <v>199</v>
      </c>
      <c r="B47" s="195">
        <v>34240</v>
      </c>
      <c r="C47" s="196">
        <v>2314971</v>
      </c>
      <c r="D47" s="197">
        <f t="shared" si="0"/>
        <v>1.4790682043101189E-2</v>
      </c>
      <c r="E47" s="197"/>
      <c r="G47" s="177" t="s">
        <v>199</v>
      </c>
      <c r="H47" s="195">
        <v>34240</v>
      </c>
      <c r="I47" s="195">
        <v>408000</v>
      </c>
      <c r="J47" s="197">
        <f t="shared" si="1"/>
        <v>8.3921568627450982E-2</v>
      </c>
    </row>
    <row r="48" spans="1:10">
      <c r="A48" s="177" t="s">
        <v>167</v>
      </c>
      <c r="B48" s="195">
        <v>25575</v>
      </c>
      <c r="C48" s="196">
        <v>2431088</v>
      </c>
      <c r="D48" s="197">
        <f t="shared" si="0"/>
        <v>1.0519981177151957E-2</v>
      </c>
      <c r="E48" s="197"/>
      <c r="G48" s="177" t="s">
        <v>167</v>
      </c>
      <c r="H48" s="195">
        <v>25575</v>
      </c>
      <c r="I48" s="195">
        <v>416000</v>
      </c>
      <c r="J48" s="197">
        <f t="shared" si="1"/>
        <v>6.1478365384615381E-2</v>
      </c>
    </row>
    <row r="49" spans="1:10">
      <c r="A49" s="177" t="s">
        <v>179</v>
      </c>
      <c r="B49" s="195">
        <v>101312</v>
      </c>
      <c r="C49" s="196">
        <v>7950917</v>
      </c>
      <c r="D49" s="197">
        <f t="shared" si="0"/>
        <v>1.274217804059582E-2</v>
      </c>
      <c r="E49" s="197"/>
      <c r="G49" s="177" t="s">
        <v>179</v>
      </c>
      <c r="H49" s="195">
        <v>101312</v>
      </c>
      <c r="I49" s="195">
        <v>1121000</v>
      </c>
      <c r="J49" s="197">
        <f t="shared" si="1"/>
        <v>9.0376449598572703E-2</v>
      </c>
    </row>
    <row r="50" spans="1:10">
      <c r="A50" s="177" t="s">
        <v>175</v>
      </c>
      <c r="B50" s="195">
        <v>9210</v>
      </c>
      <c r="C50" s="196">
        <v>676730</v>
      </c>
      <c r="D50" s="197">
        <f t="shared" si="0"/>
        <v>1.360956363690098E-2</v>
      </c>
      <c r="E50" s="197"/>
      <c r="G50" s="177" t="s">
        <v>175</v>
      </c>
      <c r="H50" s="195">
        <v>9210</v>
      </c>
      <c r="I50" s="195">
        <v>102000</v>
      </c>
      <c r="J50" s="197">
        <f t="shared" si="1"/>
        <v>9.029411764705883E-2</v>
      </c>
    </row>
    <row r="51" spans="1:10">
      <c r="A51" s="177" t="s">
        <v>195</v>
      </c>
      <c r="B51" s="195">
        <v>45067</v>
      </c>
      <c r="C51" s="196">
        <v>2913016</v>
      </c>
      <c r="D51" s="197">
        <f t="shared" si="0"/>
        <v>1.5470907128556794E-2</v>
      </c>
      <c r="E51" s="197"/>
      <c r="G51" s="177" t="s">
        <v>195</v>
      </c>
      <c r="H51" s="195">
        <v>45067</v>
      </c>
      <c r="I51" s="195">
        <v>538000</v>
      </c>
      <c r="J51" s="197">
        <f t="shared" si="1"/>
        <v>8.3767657992565053E-2</v>
      </c>
    </row>
    <row r="52" spans="1:10">
      <c r="A52" s="177" t="s">
        <v>117</v>
      </c>
      <c r="B52" s="195">
        <v>4881</v>
      </c>
      <c r="C52" s="196">
        <v>494802</v>
      </c>
      <c r="D52" s="197">
        <f t="shared" si="0"/>
        <v>9.8645518813586033E-3</v>
      </c>
      <c r="E52" s="197"/>
      <c r="G52" s="177" t="s">
        <v>117</v>
      </c>
      <c r="H52" s="195">
        <v>4881</v>
      </c>
      <c r="I52" s="195">
        <v>82000</v>
      </c>
      <c r="J52" s="197">
        <f t="shared" si="1"/>
        <v>5.9524390243902436E-2</v>
      </c>
    </row>
    <row r="53" spans="1:10">
      <c r="A53" s="177" t="s">
        <v>205</v>
      </c>
      <c r="B53" s="195">
        <v>65750</v>
      </c>
      <c r="C53" s="196">
        <v>3996642</v>
      </c>
      <c r="D53" s="197">
        <f t="shared" si="0"/>
        <v>1.6451310875479967E-2</v>
      </c>
      <c r="E53" s="197"/>
      <c r="G53" s="177" t="s">
        <v>205</v>
      </c>
      <c r="H53" s="195">
        <v>65750</v>
      </c>
      <c r="I53" s="195">
        <v>795000</v>
      </c>
      <c r="J53" s="197">
        <f t="shared" si="1"/>
        <v>8.2704402515723266E-2</v>
      </c>
    </row>
    <row r="54" spans="1:10">
      <c r="A54" s="177" t="s">
        <v>161</v>
      </c>
      <c r="B54" s="195">
        <v>182759</v>
      </c>
      <c r="C54" s="196">
        <v>15677851</v>
      </c>
      <c r="D54" s="197">
        <f t="shared" si="0"/>
        <v>1.1657146122896563E-2</v>
      </c>
      <c r="E54" s="197"/>
      <c r="G54" s="177" t="s">
        <v>161</v>
      </c>
      <c r="H54" s="195">
        <v>182759</v>
      </c>
      <c r="I54" s="195">
        <v>3269000</v>
      </c>
      <c r="J54" s="197">
        <f t="shared" si="1"/>
        <v>5.5906699296420927E-2</v>
      </c>
    </row>
    <row r="55" spans="1:10">
      <c r="A55" s="177" t="s">
        <v>115</v>
      </c>
      <c r="B55" s="195">
        <v>10478</v>
      </c>
      <c r="C55" s="196">
        <v>1643396</v>
      </c>
      <c r="D55" s="197">
        <f t="shared" si="0"/>
        <v>6.37582177393641E-3</v>
      </c>
      <c r="E55" s="197"/>
      <c r="G55" s="177" t="s">
        <v>115</v>
      </c>
      <c r="H55" s="195">
        <v>10478</v>
      </c>
      <c r="I55" s="195">
        <v>197000</v>
      </c>
      <c r="J55" s="197">
        <f t="shared" si="1"/>
        <v>5.3187817258883247E-2</v>
      </c>
    </row>
    <row r="56" spans="1:10">
      <c r="A56" s="177" t="s">
        <v>173</v>
      </c>
      <c r="B56" s="195">
        <v>4847</v>
      </c>
      <c r="C56" s="196">
        <v>405430</v>
      </c>
      <c r="D56" s="197">
        <f t="shared" si="0"/>
        <v>1.195520805071159E-2</v>
      </c>
      <c r="E56" s="197"/>
      <c r="G56" s="177" t="s">
        <v>173</v>
      </c>
      <c r="H56" s="195">
        <v>4847</v>
      </c>
      <c r="I56" s="195">
        <v>57000</v>
      </c>
      <c r="J56" s="197">
        <f t="shared" si="1"/>
        <v>8.5035087719298241E-2</v>
      </c>
    </row>
    <row r="57" spans="1:10">
      <c r="A57" s="177" t="s">
        <v>137</v>
      </c>
      <c r="B57" s="195">
        <v>44231</v>
      </c>
      <c r="C57" s="196">
        <v>5170410</v>
      </c>
      <c r="D57" s="197">
        <f t="shared" si="0"/>
        <v>8.5546407344872077E-3</v>
      </c>
      <c r="E57" s="197"/>
      <c r="G57" s="177" t="s">
        <v>137</v>
      </c>
      <c r="H57" s="195">
        <v>44231</v>
      </c>
      <c r="I57" s="195">
        <v>621000</v>
      </c>
      <c r="J57" s="197">
        <f t="shared" si="1"/>
        <v>7.122544283413848E-2</v>
      </c>
    </row>
    <row r="58" spans="1:10">
      <c r="A58" s="177" t="s">
        <v>147</v>
      </c>
      <c r="B58" s="195">
        <v>39951</v>
      </c>
      <c r="C58" s="196">
        <v>4315509</v>
      </c>
      <c r="D58" s="197">
        <f t="shared" si="0"/>
        <v>9.2575406516357626E-3</v>
      </c>
      <c r="E58" s="197"/>
      <c r="G58" s="177" t="s">
        <v>147</v>
      </c>
      <c r="H58" s="195">
        <v>39951</v>
      </c>
      <c r="I58" s="195">
        <v>625000</v>
      </c>
      <c r="J58" s="197">
        <f t="shared" si="1"/>
        <v>6.3921599999999995E-2</v>
      </c>
    </row>
    <row r="59" spans="1:10">
      <c r="A59" s="177" t="s">
        <v>213</v>
      </c>
      <c r="B59" s="195">
        <v>22301</v>
      </c>
      <c r="C59" s="196">
        <v>1168172</v>
      </c>
      <c r="D59" s="197">
        <f t="shared" si="0"/>
        <v>1.9090510643980509E-2</v>
      </c>
      <c r="E59" s="197"/>
      <c r="G59" s="177" t="s">
        <v>213</v>
      </c>
      <c r="H59" s="195">
        <v>22301</v>
      </c>
      <c r="I59" s="195">
        <v>259000</v>
      </c>
      <c r="J59" s="197">
        <f t="shared" si="1"/>
        <v>8.6104247104247106E-2</v>
      </c>
    </row>
    <row r="60" spans="1:10">
      <c r="A60" s="177" t="s">
        <v>155</v>
      </c>
      <c r="B60" s="195">
        <v>39064</v>
      </c>
      <c r="C60" s="196">
        <v>3570180</v>
      </c>
      <c r="D60" s="197">
        <f t="shared" si="0"/>
        <v>1.0941745234133854E-2</v>
      </c>
      <c r="E60" s="197"/>
      <c r="G60" s="177" t="s">
        <v>155</v>
      </c>
      <c r="H60" s="195">
        <v>39064</v>
      </c>
      <c r="I60" s="195">
        <v>438000</v>
      </c>
      <c r="J60" s="197">
        <f t="shared" si="1"/>
        <v>8.9187214611872151E-2</v>
      </c>
    </row>
    <row r="61" spans="1:10">
      <c r="A61" s="177" t="s">
        <v>123</v>
      </c>
      <c r="B61" s="195">
        <v>3098</v>
      </c>
      <c r="C61" s="196">
        <v>358134</v>
      </c>
      <c r="D61" s="197">
        <f t="shared" si="0"/>
        <v>8.6503934281581749E-3</v>
      </c>
      <c r="E61" s="197"/>
      <c r="G61" s="177" t="s">
        <v>123</v>
      </c>
      <c r="H61" s="195">
        <v>3098</v>
      </c>
      <c r="I61" s="195">
        <v>41000</v>
      </c>
      <c r="J61" s="197">
        <f t="shared" si="1"/>
        <v>7.5560975609756095E-2</v>
      </c>
    </row>
    <row r="64" spans="1:10">
      <c r="A64" s="198" t="s">
        <v>106</v>
      </c>
    </row>
    <row r="66" spans="1:1">
      <c r="A66" s="51" t="s">
        <v>234</v>
      </c>
    </row>
    <row r="67" spans="1:1">
      <c r="A67" s="199" t="s">
        <v>219</v>
      </c>
    </row>
    <row r="68" spans="1:1">
      <c r="A68" s="199"/>
    </row>
    <row r="69" spans="1:1">
      <c r="A69" s="51" t="s">
        <v>237</v>
      </c>
    </row>
    <row r="70" spans="1:1">
      <c r="A70" s="199" t="s">
        <v>93</v>
      </c>
    </row>
    <row r="72" spans="1:1">
      <c r="A72" s="51" t="s">
        <v>441</v>
      </c>
    </row>
    <row r="73" spans="1:1">
      <c r="A73" s="199" t="s">
        <v>236</v>
      </c>
    </row>
  </sheetData>
  <hyperlinks>
    <hyperlink ref="A67" r:id="rId1"/>
    <hyperlink ref="A70" r:id="rId2"/>
    <hyperlink ref="A73" r:id="rId3" location="table61"/>
    <hyperlink ref="A3" location="TableOfContents!A1" display="Back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3"/>
  <sheetViews>
    <sheetView workbookViewId="0">
      <selection activeCell="F6" sqref="F6"/>
    </sheetView>
  </sheetViews>
  <sheetFormatPr defaultRowHeight="15"/>
  <cols>
    <col min="1" max="1" width="6.7109375" style="51" customWidth="1"/>
    <col min="2" max="2" width="17.42578125" style="51" bestFit="1" customWidth="1"/>
    <col min="3" max="3" width="16.85546875" style="51" customWidth="1"/>
    <col min="4" max="4" width="15.85546875" style="51" bestFit="1" customWidth="1"/>
    <col min="5" max="5" width="16.140625" style="51" bestFit="1" customWidth="1"/>
    <col min="6" max="7" width="16.140625" style="51" customWidth="1"/>
    <col min="8" max="8" width="10.5703125" style="51" bestFit="1" customWidth="1"/>
    <col min="9" max="9" width="17.42578125" style="51" bestFit="1" customWidth="1"/>
    <col min="10" max="10" width="17.5703125" style="51" customWidth="1"/>
    <col min="11" max="11" width="15.28515625" style="51" bestFit="1" customWidth="1"/>
    <col min="12" max="12" width="16.140625" style="51" bestFit="1" customWidth="1"/>
    <col min="13" max="16384" width="9.140625" style="51"/>
  </cols>
  <sheetData>
    <row r="1" spans="1:10" ht="15.75">
      <c r="A1" s="181" t="s">
        <v>913</v>
      </c>
    </row>
    <row r="3" spans="1:10" ht="18.75">
      <c r="A3" s="182" t="s">
        <v>252</v>
      </c>
      <c r="B3" s="183" t="s">
        <v>253</v>
      </c>
    </row>
    <row r="4" spans="1:10" ht="18.75">
      <c r="A4" s="182"/>
      <c r="B4" s="183"/>
    </row>
    <row r="6" spans="1:10">
      <c r="A6" s="184" t="s">
        <v>239</v>
      </c>
      <c r="B6" s="198"/>
      <c r="C6" s="198"/>
      <c r="D6" s="198"/>
      <c r="H6" s="184" t="s">
        <v>240</v>
      </c>
    </row>
    <row r="7" spans="1:10">
      <c r="A7" s="184" t="s">
        <v>918</v>
      </c>
      <c r="B7" s="198"/>
      <c r="C7" s="198"/>
      <c r="D7" s="198"/>
      <c r="H7" s="184" t="s">
        <v>919</v>
      </c>
    </row>
    <row r="9" spans="1:10">
      <c r="A9" s="200"/>
      <c r="B9" s="191"/>
      <c r="C9" s="191" t="s">
        <v>111</v>
      </c>
      <c r="D9" s="191" t="s">
        <v>227</v>
      </c>
      <c r="E9" s="191"/>
      <c r="F9" s="191"/>
      <c r="G9" s="201"/>
      <c r="H9" s="202"/>
      <c r="I9" s="202" t="s">
        <v>228</v>
      </c>
      <c r="J9" s="191" t="s">
        <v>227</v>
      </c>
    </row>
    <row r="10" spans="1:10">
      <c r="A10" s="200" t="s">
        <v>218</v>
      </c>
      <c r="B10" s="191" t="s">
        <v>227</v>
      </c>
      <c r="C10" s="191" t="s">
        <v>238</v>
      </c>
      <c r="D10" s="191" t="s">
        <v>113</v>
      </c>
      <c r="E10" s="191"/>
      <c r="F10" s="191"/>
      <c r="G10" s="201" t="s">
        <v>218</v>
      </c>
      <c r="H10" s="202" t="s">
        <v>227</v>
      </c>
      <c r="I10" s="202" t="s">
        <v>229</v>
      </c>
      <c r="J10" s="191" t="s">
        <v>113</v>
      </c>
    </row>
    <row r="11" spans="1:10">
      <c r="A11" s="177" t="s">
        <v>207</v>
      </c>
      <c r="B11" s="196">
        <v>14186</v>
      </c>
      <c r="C11" s="196">
        <v>1132459</v>
      </c>
      <c r="D11" s="203">
        <v>1.2526722821753371E-2</v>
      </c>
      <c r="E11" s="203"/>
      <c r="G11" s="204" t="s">
        <v>207</v>
      </c>
      <c r="H11" s="205">
        <v>14186</v>
      </c>
      <c r="I11" s="206">
        <v>347000</v>
      </c>
      <c r="J11" s="207">
        <v>4.0881844380403459E-2</v>
      </c>
    </row>
    <row r="12" spans="1:10">
      <c r="A12" s="177" t="s">
        <v>145</v>
      </c>
      <c r="B12" s="196">
        <v>504</v>
      </c>
      <c r="C12" s="196">
        <v>187378</v>
      </c>
      <c r="D12" s="203">
        <v>2.6897501307517426E-3</v>
      </c>
      <c r="E12" s="203"/>
      <c r="G12" s="204" t="s">
        <v>145</v>
      </c>
      <c r="H12" s="205">
        <v>504</v>
      </c>
      <c r="I12" s="206">
        <v>37000</v>
      </c>
      <c r="J12" s="207">
        <v>1.3621621621621621E-2</v>
      </c>
    </row>
    <row r="13" spans="1:10">
      <c r="A13" s="177" t="s">
        <v>135</v>
      </c>
      <c r="B13" s="196">
        <v>7776</v>
      </c>
      <c r="C13" s="196">
        <v>1629014</v>
      </c>
      <c r="D13" s="203">
        <v>4.7734396389472406E-3</v>
      </c>
      <c r="E13" s="203"/>
      <c r="G13" s="204" t="s">
        <v>135</v>
      </c>
      <c r="H13" s="205">
        <v>7776</v>
      </c>
      <c r="I13" s="206">
        <v>611000</v>
      </c>
      <c r="J13" s="207">
        <v>1.2726677577741407E-2</v>
      </c>
    </row>
    <row r="14" spans="1:10">
      <c r="A14" s="177" t="s">
        <v>209</v>
      </c>
      <c r="B14" s="196">
        <v>12355</v>
      </c>
      <c r="C14" s="196">
        <v>711475</v>
      </c>
      <c r="D14" s="203">
        <v>1.7365332583716926E-2</v>
      </c>
      <c r="E14" s="203"/>
      <c r="G14" s="204" t="s">
        <v>209</v>
      </c>
      <c r="H14" s="205">
        <v>12355</v>
      </c>
      <c r="I14" s="206">
        <v>226000</v>
      </c>
      <c r="J14" s="207">
        <v>5.4668141592920355E-2</v>
      </c>
    </row>
    <row r="15" spans="1:10">
      <c r="A15" s="177" t="s">
        <v>143</v>
      </c>
      <c r="B15" s="196">
        <v>42019</v>
      </c>
      <c r="C15" s="196">
        <v>9295040</v>
      </c>
      <c r="D15" s="203">
        <v>4.5205830206217507E-3</v>
      </c>
      <c r="E15" s="203"/>
      <c r="G15" s="204" t="s">
        <v>143</v>
      </c>
      <c r="H15" s="205">
        <v>42019</v>
      </c>
      <c r="I15" s="206">
        <v>2806000</v>
      </c>
      <c r="J15" s="207">
        <v>1.4974697077690663E-2</v>
      </c>
    </row>
    <row r="16" spans="1:10">
      <c r="A16" s="177" t="s">
        <v>125</v>
      </c>
      <c r="B16" s="196">
        <v>4025</v>
      </c>
      <c r="C16" s="196">
        <v>1225609</v>
      </c>
      <c r="D16" s="203">
        <v>3.2840816279906559E-3</v>
      </c>
      <c r="E16" s="203"/>
      <c r="G16" s="204" t="s">
        <v>125</v>
      </c>
      <c r="H16" s="205">
        <v>4025</v>
      </c>
      <c r="I16" s="206">
        <v>290000</v>
      </c>
      <c r="J16" s="207">
        <v>1.3879310344827585E-2</v>
      </c>
    </row>
    <row r="17" spans="1:10">
      <c r="A17" s="177" t="s">
        <v>129</v>
      </c>
      <c r="B17" s="196">
        <v>4235</v>
      </c>
      <c r="C17" s="196">
        <v>817015</v>
      </c>
      <c r="D17" s="203">
        <v>5.1835033628513556E-3</v>
      </c>
      <c r="E17" s="203"/>
      <c r="G17" s="204" t="s">
        <v>129</v>
      </c>
      <c r="H17" s="205">
        <v>4235</v>
      </c>
      <c r="I17" s="206">
        <v>124000</v>
      </c>
      <c r="J17" s="207">
        <v>3.4153225806451616E-2</v>
      </c>
    </row>
    <row r="18" spans="1:10">
      <c r="A18" s="177" t="s">
        <v>157</v>
      </c>
      <c r="B18" s="196">
        <v>1816</v>
      </c>
      <c r="C18" s="196">
        <v>205765</v>
      </c>
      <c r="D18" s="203">
        <v>8.8256020217238104E-3</v>
      </c>
      <c r="E18" s="203"/>
      <c r="G18" s="204" t="s">
        <v>157</v>
      </c>
      <c r="H18" s="205">
        <v>1816</v>
      </c>
      <c r="I18" s="206">
        <v>50000</v>
      </c>
      <c r="J18" s="207">
        <v>3.6319999999999998E-2</v>
      </c>
    </row>
    <row r="19" spans="1:10">
      <c r="A19" s="177" t="s">
        <v>177</v>
      </c>
      <c r="B19" s="196">
        <v>1507</v>
      </c>
      <c r="C19" s="196">
        <v>100815</v>
      </c>
      <c r="D19" s="203">
        <v>1.4948172394980905E-2</v>
      </c>
      <c r="E19" s="203"/>
      <c r="G19" s="204" t="s">
        <v>177</v>
      </c>
      <c r="H19" s="205">
        <v>1507</v>
      </c>
      <c r="I19" s="206">
        <v>44000</v>
      </c>
      <c r="J19" s="207">
        <v>3.4250000000000003E-2</v>
      </c>
    </row>
    <row r="20" spans="1:10">
      <c r="A20" s="177" t="s">
        <v>181</v>
      </c>
      <c r="B20" s="196">
        <v>42906</v>
      </c>
      <c r="C20" s="196">
        <v>4002091</v>
      </c>
      <c r="D20" s="203">
        <v>1.0720895651798023E-2</v>
      </c>
      <c r="E20" s="203"/>
      <c r="G20" s="204" t="s">
        <v>181</v>
      </c>
      <c r="H20" s="205">
        <v>42906</v>
      </c>
      <c r="I20" s="206">
        <v>1119000</v>
      </c>
      <c r="J20" s="207">
        <v>3.8343163538873994E-2</v>
      </c>
    </row>
    <row r="21" spans="1:10">
      <c r="A21" s="177" t="s">
        <v>183</v>
      </c>
      <c r="B21" s="196">
        <v>22231</v>
      </c>
      <c r="C21" s="196">
        <v>2491552</v>
      </c>
      <c r="D21" s="203">
        <v>8.9225510846251653E-3</v>
      </c>
      <c r="E21" s="203"/>
      <c r="G21" s="204" t="s">
        <v>183</v>
      </c>
      <c r="H21" s="205">
        <v>22231</v>
      </c>
      <c r="I21" s="206">
        <v>786000</v>
      </c>
      <c r="J21" s="207">
        <v>2.8283715012722647E-2</v>
      </c>
    </row>
    <row r="22" spans="1:10">
      <c r="A22" s="177" t="s">
        <v>119</v>
      </c>
      <c r="B22" s="196">
        <v>742</v>
      </c>
      <c r="C22" s="196">
        <v>303818</v>
      </c>
      <c r="D22" s="203">
        <v>2.4422516111619456E-3</v>
      </c>
      <c r="E22" s="203"/>
      <c r="G22" s="204" t="s">
        <v>119</v>
      </c>
      <c r="H22" s="205">
        <v>742</v>
      </c>
      <c r="I22" s="206">
        <v>76000</v>
      </c>
      <c r="J22" s="207">
        <v>9.7631578947368416E-3</v>
      </c>
    </row>
    <row r="23" spans="1:10">
      <c r="A23" s="177" t="s">
        <v>169</v>
      </c>
      <c r="B23" s="196">
        <v>2021</v>
      </c>
      <c r="C23" s="196">
        <v>429072</v>
      </c>
      <c r="D23" s="203">
        <v>4.7101651937204014E-3</v>
      </c>
      <c r="E23" s="203"/>
      <c r="G23" s="204" t="s">
        <v>169</v>
      </c>
      <c r="H23" s="205">
        <v>2021</v>
      </c>
      <c r="I23" s="206">
        <v>122000</v>
      </c>
      <c r="J23" s="207">
        <v>1.6565573770491802E-2</v>
      </c>
    </row>
    <row r="24" spans="1:10">
      <c r="A24" s="177" t="s">
        <v>139</v>
      </c>
      <c r="B24" s="196">
        <v>20345</v>
      </c>
      <c r="C24" s="196">
        <v>3129179</v>
      </c>
      <c r="D24" s="203">
        <v>6.501705399403486E-3</v>
      </c>
      <c r="E24" s="203"/>
      <c r="G24" s="204" t="s">
        <v>139</v>
      </c>
      <c r="H24" s="205">
        <v>20345</v>
      </c>
      <c r="I24" s="206">
        <v>912000</v>
      </c>
      <c r="J24" s="207">
        <v>2.2308114035087718E-2</v>
      </c>
    </row>
    <row r="25" spans="1:10">
      <c r="A25" s="177" t="s">
        <v>185</v>
      </c>
      <c r="B25" s="196">
        <v>12418</v>
      </c>
      <c r="C25" s="196">
        <v>1608298</v>
      </c>
      <c r="D25" s="203">
        <v>7.7212058959222731E-3</v>
      </c>
      <c r="E25" s="203"/>
      <c r="G25" s="204" t="s">
        <v>185</v>
      </c>
      <c r="H25" s="205">
        <v>12418</v>
      </c>
      <c r="I25" s="206">
        <v>484000</v>
      </c>
      <c r="J25" s="207">
        <v>2.5657024793388428E-2</v>
      </c>
    </row>
    <row r="26" spans="1:10">
      <c r="A26" s="177" t="s">
        <v>159</v>
      </c>
      <c r="B26" s="196">
        <v>3837</v>
      </c>
      <c r="C26" s="196">
        <v>727993</v>
      </c>
      <c r="D26" s="203">
        <v>5.2706550749801167E-3</v>
      </c>
      <c r="E26" s="203"/>
      <c r="G26" s="204" t="s">
        <v>159</v>
      </c>
      <c r="H26" s="205">
        <v>3837</v>
      </c>
      <c r="I26" s="206">
        <v>139000</v>
      </c>
      <c r="J26" s="207">
        <v>2.760431654676259E-2</v>
      </c>
    </row>
    <row r="27" spans="1:10">
      <c r="A27" s="177" t="s">
        <v>171</v>
      </c>
      <c r="B27" s="196">
        <v>4091</v>
      </c>
      <c r="C27" s="196">
        <v>726939</v>
      </c>
      <c r="D27" s="203">
        <v>5.6277074142397094E-3</v>
      </c>
      <c r="E27" s="203"/>
      <c r="G27" s="204" t="s">
        <v>171</v>
      </c>
      <c r="H27" s="205">
        <v>4091</v>
      </c>
      <c r="I27" s="206">
        <v>205000</v>
      </c>
      <c r="J27" s="207">
        <v>1.9956097560975609E-2</v>
      </c>
    </row>
    <row r="28" spans="1:10">
      <c r="A28" s="177" t="s">
        <v>211</v>
      </c>
      <c r="B28" s="196">
        <v>11133</v>
      </c>
      <c r="C28" s="196">
        <v>1023371</v>
      </c>
      <c r="D28" s="203">
        <v>1.0878752671318612E-2</v>
      </c>
      <c r="E28" s="203"/>
      <c r="G28" s="204" t="s">
        <v>211</v>
      </c>
      <c r="H28" s="205">
        <v>11133</v>
      </c>
      <c r="I28" s="206">
        <v>323000</v>
      </c>
      <c r="J28" s="207">
        <v>3.4467492260061919E-2</v>
      </c>
    </row>
    <row r="29" spans="1:10">
      <c r="A29" s="177" t="s">
        <v>203</v>
      </c>
      <c r="B29" s="196">
        <v>18003</v>
      </c>
      <c r="C29" s="196">
        <v>1118015</v>
      </c>
      <c r="D29" s="203">
        <v>1.610264620778791E-2</v>
      </c>
      <c r="E29" s="203"/>
      <c r="G29" s="204" t="s">
        <v>203</v>
      </c>
      <c r="H29" s="205">
        <v>18003</v>
      </c>
      <c r="I29" s="206">
        <v>473000</v>
      </c>
      <c r="J29" s="207">
        <v>3.8061310782241016E-2</v>
      </c>
    </row>
    <row r="30" spans="1:10">
      <c r="A30" s="177" t="s">
        <v>189</v>
      </c>
      <c r="B30" s="196">
        <v>1582</v>
      </c>
      <c r="C30" s="196">
        <v>274533</v>
      </c>
      <c r="D30" s="203">
        <v>5.7625130676457843E-3</v>
      </c>
      <c r="E30" s="203"/>
      <c r="G30" s="204" t="s">
        <v>189</v>
      </c>
      <c r="H30" s="205">
        <v>1582</v>
      </c>
      <c r="I30" s="206">
        <v>57000</v>
      </c>
      <c r="J30" s="207">
        <v>2.7754385964912281E-2</v>
      </c>
    </row>
    <row r="31" spans="1:10">
      <c r="A31" s="177" t="s">
        <v>163</v>
      </c>
      <c r="B31" s="196">
        <v>7471</v>
      </c>
      <c r="C31" s="196">
        <v>1352964</v>
      </c>
      <c r="D31" s="203">
        <v>5.521950325359729E-3</v>
      </c>
      <c r="E31" s="203"/>
      <c r="G31" s="204" t="s">
        <v>163</v>
      </c>
      <c r="H31" s="205">
        <v>7471</v>
      </c>
      <c r="I31" s="206">
        <v>232000</v>
      </c>
      <c r="J31" s="207">
        <v>3.2202586206896554E-2</v>
      </c>
    </row>
    <row r="32" spans="1:10">
      <c r="A32" s="177" t="s">
        <v>153</v>
      </c>
      <c r="B32" s="196">
        <v>9803</v>
      </c>
      <c r="C32" s="196">
        <v>1418923</v>
      </c>
      <c r="D32" s="203">
        <v>6.9087610814681276E-3</v>
      </c>
      <c r="E32" s="203"/>
      <c r="G32" s="204" t="s">
        <v>153</v>
      </c>
      <c r="H32" s="205">
        <v>9803</v>
      </c>
      <c r="I32" s="206">
        <v>264000</v>
      </c>
      <c r="J32" s="207">
        <v>3.713257575757576E-2</v>
      </c>
    </row>
    <row r="33" spans="1:10">
      <c r="A33" s="177" t="s">
        <v>193</v>
      </c>
      <c r="B33" s="196">
        <v>19064</v>
      </c>
      <c r="C33" s="196">
        <v>2344068</v>
      </c>
      <c r="D33" s="203">
        <v>8.1328698655499763E-3</v>
      </c>
      <c r="E33" s="203"/>
      <c r="G33" s="204" t="s">
        <v>193</v>
      </c>
      <c r="H33" s="205">
        <v>19064</v>
      </c>
      <c r="I33" s="206">
        <v>629000</v>
      </c>
      <c r="J33" s="207">
        <v>3.0308426073131955E-2</v>
      </c>
    </row>
    <row r="34" spans="1:10">
      <c r="A34" s="177" t="s">
        <v>127</v>
      </c>
      <c r="B34" s="196">
        <v>5626</v>
      </c>
      <c r="C34" s="196">
        <v>1284063</v>
      </c>
      <c r="D34" s="203">
        <v>4.3814049622175862E-3</v>
      </c>
      <c r="E34" s="203"/>
      <c r="G34" s="204" t="s">
        <v>127</v>
      </c>
      <c r="H34" s="205">
        <v>5626</v>
      </c>
      <c r="I34" s="206">
        <v>229000</v>
      </c>
      <c r="J34" s="207">
        <v>2.4567685589519651E-2</v>
      </c>
    </row>
    <row r="35" spans="1:10">
      <c r="A35" s="177" t="s">
        <v>215</v>
      </c>
      <c r="B35" s="196">
        <v>12493</v>
      </c>
      <c r="C35" s="196">
        <v>755555</v>
      </c>
      <c r="D35" s="203">
        <v>1.6534865099165515E-2</v>
      </c>
      <c r="E35" s="203"/>
      <c r="G35" s="204" t="s">
        <v>215</v>
      </c>
      <c r="H35" s="205">
        <v>12493</v>
      </c>
      <c r="I35" s="206">
        <v>313000</v>
      </c>
      <c r="J35" s="207">
        <v>3.991373801916933E-2</v>
      </c>
    </row>
    <row r="36" spans="1:10">
      <c r="A36" s="177" t="s">
        <v>201</v>
      </c>
      <c r="B36" s="196">
        <v>10174</v>
      </c>
      <c r="C36" s="196">
        <v>1425436</v>
      </c>
      <c r="D36" s="203">
        <v>7.1374653088598855E-3</v>
      </c>
      <c r="E36" s="203"/>
      <c r="G36" s="204" t="s">
        <v>201</v>
      </c>
      <c r="H36" s="205">
        <v>10174</v>
      </c>
      <c r="I36" s="206">
        <v>359000</v>
      </c>
      <c r="J36" s="207">
        <v>2.8339832869080778E-2</v>
      </c>
    </row>
    <row r="37" spans="1:10">
      <c r="A37" s="177" t="s">
        <v>149</v>
      </c>
      <c r="B37" s="196">
        <v>953</v>
      </c>
      <c r="C37" s="196">
        <v>223563</v>
      </c>
      <c r="D37" s="203">
        <v>4.2627805137701678E-3</v>
      </c>
      <c r="E37" s="203"/>
      <c r="G37" s="204" t="s">
        <v>149</v>
      </c>
      <c r="H37" s="205">
        <v>953</v>
      </c>
      <c r="I37" s="206">
        <v>56000</v>
      </c>
      <c r="J37" s="207">
        <v>1.7017857142857144E-2</v>
      </c>
    </row>
    <row r="38" spans="1:10">
      <c r="A38" s="177" t="s">
        <v>131</v>
      </c>
      <c r="B38" s="196">
        <v>1965</v>
      </c>
      <c r="C38" s="196">
        <v>459221</v>
      </c>
      <c r="D38" s="203">
        <v>4.2789854993565187E-3</v>
      </c>
      <c r="E38" s="203"/>
      <c r="G38" s="204" t="s">
        <v>131</v>
      </c>
      <c r="H38" s="205">
        <v>1965</v>
      </c>
      <c r="I38" s="206">
        <v>97000</v>
      </c>
      <c r="J38" s="207">
        <v>2.0257731958762886E-2</v>
      </c>
    </row>
    <row r="39" spans="1:10">
      <c r="A39" s="177" t="s">
        <v>141</v>
      </c>
      <c r="B39" s="196">
        <v>3494</v>
      </c>
      <c r="C39" s="196">
        <v>665008</v>
      </c>
      <c r="D39" s="203">
        <v>5.2540721314630803E-3</v>
      </c>
      <c r="E39" s="203"/>
      <c r="G39" s="204" t="s">
        <v>141</v>
      </c>
      <c r="H39" s="205">
        <v>3494</v>
      </c>
      <c r="I39" s="206">
        <v>200000</v>
      </c>
      <c r="J39" s="207">
        <v>1.7469999999999999E-2</v>
      </c>
    </row>
    <row r="40" spans="1:10">
      <c r="A40" s="177" t="s">
        <v>165</v>
      </c>
      <c r="B40" s="196">
        <v>1195</v>
      </c>
      <c r="C40" s="196">
        <v>287234</v>
      </c>
      <c r="D40" s="203">
        <v>4.1603709867216281E-3</v>
      </c>
      <c r="E40" s="203"/>
      <c r="G40" s="204" t="s">
        <v>165</v>
      </c>
      <c r="H40" s="205">
        <v>1195</v>
      </c>
      <c r="I40" s="206">
        <v>27000</v>
      </c>
      <c r="J40" s="207">
        <v>4.4259259259259262E-2</v>
      </c>
    </row>
    <row r="41" spans="1:10">
      <c r="A41" s="177" t="s">
        <v>121</v>
      </c>
      <c r="B41" s="196">
        <v>10838</v>
      </c>
      <c r="C41" s="196">
        <v>2065214</v>
      </c>
      <c r="D41" s="203">
        <v>5.2478823017856743E-3</v>
      </c>
      <c r="E41" s="203"/>
      <c r="G41" s="204" t="s">
        <v>121</v>
      </c>
      <c r="H41" s="205">
        <v>10838</v>
      </c>
      <c r="I41" s="206">
        <v>390000</v>
      </c>
      <c r="J41" s="207">
        <v>2.7789743589743589E-2</v>
      </c>
    </row>
    <row r="42" spans="1:10">
      <c r="A42" s="177" t="s">
        <v>197</v>
      </c>
      <c r="B42" s="196">
        <v>3407</v>
      </c>
      <c r="C42" s="196">
        <v>518672</v>
      </c>
      <c r="D42" s="203">
        <v>6.5686985223802324E-3</v>
      </c>
      <c r="E42" s="203"/>
      <c r="G42" s="204" t="s">
        <v>197</v>
      </c>
      <c r="H42" s="205">
        <v>3407</v>
      </c>
      <c r="I42" s="206">
        <v>191000</v>
      </c>
      <c r="J42" s="207">
        <v>1.7837696335078534E-2</v>
      </c>
    </row>
    <row r="43" spans="1:10">
      <c r="A43" s="177" t="s">
        <v>151</v>
      </c>
      <c r="B43" s="196">
        <v>29693</v>
      </c>
      <c r="C43" s="196">
        <v>4324929</v>
      </c>
      <c r="D43" s="203">
        <v>6.8655462320884346E-3</v>
      </c>
      <c r="E43" s="203"/>
      <c r="G43" s="204" t="s">
        <v>151</v>
      </c>
      <c r="H43" s="205">
        <v>29693</v>
      </c>
      <c r="I43" s="206">
        <v>1342000</v>
      </c>
      <c r="J43" s="207">
        <v>2.2125931445603576E-2</v>
      </c>
    </row>
    <row r="44" spans="1:10">
      <c r="A44" s="177" t="s">
        <v>187</v>
      </c>
      <c r="B44" s="196">
        <v>19360</v>
      </c>
      <c r="C44" s="196">
        <v>2281635</v>
      </c>
      <c r="D44" s="203">
        <v>8.4851433292353947E-3</v>
      </c>
      <c r="E44" s="203"/>
      <c r="G44" s="204" t="s">
        <v>187</v>
      </c>
      <c r="H44" s="205">
        <v>19360</v>
      </c>
      <c r="I44" s="206">
        <v>772000</v>
      </c>
      <c r="J44" s="207">
        <v>2.5077720207253885E-2</v>
      </c>
    </row>
    <row r="45" spans="1:10">
      <c r="A45" s="177" t="s">
        <v>133</v>
      </c>
      <c r="B45" s="196">
        <v>486</v>
      </c>
      <c r="C45" s="196">
        <v>149871</v>
      </c>
      <c r="D45" s="203">
        <v>3.2427887983665954E-3</v>
      </c>
      <c r="E45" s="203"/>
      <c r="G45" s="204" t="s">
        <v>133</v>
      </c>
      <c r="H45" s="205">
        <v>486</v>
      </c>
      <c r="I45" s="206">
        <v>30000</v>
      </c>
      <c r="J45" s="207">
        <v>1.6199999999999999E-2</v>
      </c>
    </row>
    <row r="46" spans="1:10">
      <c r="A46" s="177" t="s">
        <v>191</v>
      </c>
      <c r="B46" s="196">
        <v>22697</v>
      </c>
      <c r="C46" s="196">
        <v>2730751</v>
      </c>
      <c r="D46" s="203">
        <v>8.311632953718593E-3</v>
      </c>
      <c r="E46" s="203"/>
      <c r="G46" s="204" t="s">
        <v>191</v>
      </c>
      <c r="H46" s="205">
        <v>22697</v>
      </c>
      <c r="I46" s="206">
        <v>721000</v>
      </c>
      <c r="J46" s="207">
        <v>3.147988904299584E-2</v>
      </c>
    </row>
    <row r="47" spans="1:10">
      <c r="A47" s="177" t="s">
        <v>199</v>
      </c>
      <c r="B47" s="196">
        <v>7589</v>
      </c>
      <c r="C47" s="196">
        <v>929666</v>
      </c>
      <c r="D47" s="203">
        <v>8.163146764536942E-3</v>
      </c>
      <c r="E47" s="203"/>
      <c r="G47" s="204" t="s">
        <v>199</v>
      </c>
      <c r="H47" s="205">
        <v>7589</v>
      </c>
      <c r="I47" s="206">
        <v>310000</v>
      </c>
      <c r="J47" s="207">
        <v>2.4480645161290324E-2</v>
      </c>
    </row>
    <row r="48" spans="1:10">
      <c r="A48" s="177" t="s">
        <v>167</v>
      </c>
      <c r="B48" s="196">
        <v>3536</v>
      </c>
      <c r="C48" s="196">
        <v>866453</v>
      </c>
      <c r="D48" s="203">
        <v>4.0810061249715798E-3</v>
      </c>
      <c r="E48" s="203"/>
      <c r="G48" s="204" t="s">
        <v>167</v>
      </c>
      <c r="H48" s="205">
        <v>3536</v>
      </c>
      <c r="I48" s="206">
        <v>229000</v>
      </c>
      <c r="J48" s="207">
        <v>1.5441048034934499E-2</v>
      </c>
    </row>
    <row r="49" spans="1:10">
      <c r="A49" s="177" t="s">
        <v>179</v>
      </c>
      <c r="B49" s="196">
        <v>30734</v>
      </c>
      <c r="C49" s="196">
        <v>2792155</v>
      </c>
      <c r="D49" s="203">
        <v>1.1007268579287325E-2</v>
      </c>
      <c r="E49" s="203"/>
      <c r="G49" s="204" t="s">
        <v>179</v>
      </c>
      <c r="H49" s="205">
        <v>30734</v>
      </c>
      <c r="I49" s="206">
        <v>580000</v>
      </c>
      <c r="J49" s="207">
        <v>5.2989655172413795E-2</v>
      </c>
    </row>
    <row r="50" spans="1:10">
      <c r="A50" s="177" t="s">
        <v>175</v>
      </c>
      <c r="B50" s="196">
        <v>1971</v>
      </c>
      <c r="C50" s="196">
        <v>223956</v>
      </c>
      <c r="D50" s="203">
        <v>8.8008358784761286E-3</v>
      </c>
      <c r="E50" s="203"/>
      <c r="G50" s="204" t="s">
        <v>175</v>
      </c>
      <c r="H50" s="205">
        <v>1971</v>
      </c>
      <c r="I50" s="206">
        <v>55000</v>
      </c>
      <c r="J50" s="207">
        <v>3.5836363636363638E-2</v>
      </c>
    </row>
    <row r="51" spans="1:10">
      <c r="A51" s="177" t="s">
        <v>195</v>
      </c>
      <c r="B51" s="196">
        <v>11041</v>
      </c>
      <c r="C51" s="196">
        <v>1080474</v>
      </c>
      <c r="D51" s="203">
        <v>1.0218663290370708E-2</v>
      </c>
      <c r="E51" s="203"/>
      <c r="G51" s="204" t="s">
        <v>195</v>
      </c>
      <c r="H51" s="205">
        <v>11041</v>
      </c>
      <c r="I51" s="206">
        <v>320000</v>
      </c>
      <c r="J51" s="207">
        <v>3.4503125000000003E-2</v>
      </c>
    </row>
    <row r="52" spans="1:10">
      <c r="A52" s="177" t="s">
        <v>117</v>
      </c>
      <c r="B52" s="196">
        <v>969</v>
      </c>
      <c r="C52" s="196">
        <v>202797</v>
      </c>
      <c r="D52" s="203">
        <v>4.7781771919702953E-3</v>
      </c>
      <c r="E52" s="203"/>
      <c r="G52" s="204" t="s">
        <v>117</v>
      </c>
      <c r="H52" s="205">
        <v>969</v>
      </c>
      <c r="I52" s="206">
        <v>44000</v>
      </c>
      <c r="J52" s="207">
        <v>2.2022727272727274E-2</v>
      </c>
    </row>
    <row r="53" spans="1:10">
      <c r="A53" s="177" t="s">
        <v>205</v>
      </c>
      <c r="B53" s="196">
        <v>12483</v>
      </c>
      <c r="C53" s="196">
        <v>1496001</v>
      </c>
      <c r="D53" s="203">
        <v>8.3442457591940116E-3</v>
      </c>
      <c r="E53" s="203"/>
      <c r="G53" s="204" t="s">
        <v>205</v>
      </c>
      <c r="H53" s="205">
        <v>12483</v>
      </c>
      <c r="I53" s="206">
        <v>439000</v>
      </c>
      <c r="J53" s="207">
        <v>2.8435079726651481E-2</v>
      </c>
    </row>
    <row r="54" spans="1:10">
      <c r="A54" s="177" t="s">
        <v>161</v>
      </c>
      <c r="B54" s="196">
        <v>58069</v>
      </c>
      <c r="C54" s="196">
        <v>6865824</v>
      </c>
      <c r="D54" s="203">
        <v>8.4576883998191618E-3</v>
      </c>
      <c r="E54" s="203"/>
      <c r="G54" s="204" t="s">
        <v>161</v>
      </c>
      <c r="H54" s="205">
        <v>58069</v>
      </c>
      <c r="I54" s="206">
        <v>2465000</v>
      </c>
      <c r="J54" s="207">
        <v>2.3557403651115617E-2</v>
      </c>
    </row>
    <row r="55" spans="1:10">
      <c r="A55" s="177" t="s">
        <v>115</v>
      </c>
      <c r="B55" s="196">
        <v>1991</v>
      </c>
      <c r="C55" s="196">
        <v>871027</v>
      </c>
      <c r="D55" s="203">
        <v>2.2858074433972772E-3</v>
      </c>
      <c r="E55" s="203"/>
      <c r="G55" s="204" t="s">
        <v>115</v>
      </c>
      <c r="H55" s="205">
        <v>1991</v>
      </c>
      <c r="I55" s="206">
        <v>164000</v>
      </c>
      <c r="J55" s="207">
        <v>1.2140243902439025E-2</v>
      </c>
    </row>
    <row r="56" spans="1:10">
      <c r="A56" s="177" t="s">
        <v>173</v>
      </c>
      <c r="B56" s="196">
        <v>691</v>
      </c>
      <c r="C56" s="196">
        <v>129233</v>
      </c>
      <c r="D56" s="203">
        <v>5.3469315113012931E-3</v>
      </c>
      <c r="E56" s="203"/>
      <c r="G56" s="204" t="s">
        <v>173</v>
      </c>
      <c r="H56" s="205">
        <v>691</v>
      </c>
      <c r="I56" s="206">
        <v>22000</v>
      </c>
      <c r="J56" s="207">
        <v>3.1409090909090907E-2</v>
      </c>
    </row>
    <row r="57" spans="1:10">
      <c r="A57" s="177" t="s">
        <v>137</v>
      </c>
      <c r="B57" s="196">
        <v>11115</v>
      </c>
      <c r="C57" s="196">
        <v>1853677</v>
      </c>
      <c r="D57" s="203">
        <v>5.9961902747889739E-3</v>
      </c>
      <c r="E57" s="203"/>
      <c r="G57" s="204" t="s">
        <v>137</v>
      </c>
      <c r="H57" s="205">
        <v>11115</v>
      </c>
      <c r="I57" s="206">
        <v>313000</v>
      </c>
      <c r="J57" s="207">
        <v>3.5511182108626201E-2</v>
      </c>
    </row>
    <row r="58" spans="1:10">
      <c r="A58" s="177" t="s">
        <v>147</v>
      </c>
      <c r="B58" s="196">
        <v>6626</v>
      </c>
      <c r="C58" s="196">
        <v>1581354</v>
      </c>
      <c r="D58" s="203">
        <v>4.1900801465073597E-3</v>
      </c>
      <c r="E58" s="203"/>
      <c r="G58" s="204" t="s">
        <v>147</v>
      </c>
      <c r="H58" s="205">
        <v>6626</v>
      </c>
      <c r="I58" s="206">
        <v>358000</v>
      </c>
      <c r="J58" s="207">
        <v>1.8508379888268155E-2</v>
      </c>
    </row>
    <row r="59" spans="1:10">
      <c r="A59" s="177" t="s">
        <v>213</v>
      </c>
      <c r="B59" s="196">
        <v>3441</v>
      </c>
      <c r="C59" s="196">
        <v>387418</v>
      </c>
      <c r="D59" s="203">
        <v>8.8818795203113952E-3</v>
      </c>
      <c r="E59" s="203"/>
      <c r="G59" s="204" t="s">
        <v>213</v>
      </c>
      <c r="H59" s="205">
        <v>3441</v>
      </c>
      <c r="I59" s="206">
        <v>108000</v>
      </c>
      <c r="J59" s="207">
        <v>3.1861111111111111E-2</v>
      </c>
    </row>
    <row r="60" spans="1:10">
      <c r="A60" s="177" t="s">
        <v>155</v>
      </c>
      <c r="B60" s="196">
        <v>9149</v>
      </c>
      <c r="C60" s="196">
        <v>1339492</v>
      </c>
      <c r="D60" s="203">
        <v>6.8302013001944025E-3</v>
      </c>
      <c r="E60" s="203"/>
      <c r="G60" s="204" t="s">
        <v>155</v>
      </c>
      <c r="H60" s="205">
        <v>9149</v>
      </c>
      <c r="I60" s="206">
        <v>233000</v>
      </c>
      <c r="J60" s="207">
        <v>3.9266094420600861E-2</v>
      </c>
    </row>
    <row r="61" spans="1:10">
      <c r="A61" s="177" t="s">
        <v>123</v>
      </c>
      <c r="B61" s="196">
        <v>375</v>
      </c>
      <c r="C61" s="196">
        <v>135402</v>
      </c>
      <c r="D61" s="203">
        <v>2.769530730712988E-3</v>
      </c>
      <c r="E61" s="203"/>
      <c r="G61" s="204" t="s">
        <v>123</v>
      </c>
      <c r="H61" s="205">
        <v>375</v>
      </c>
      <c r="I61" s="206">
        <v>21000</v>
      </c>
      <c r="J61" s="207">
        <v>1.7857142857142856E-2</v>
      </c>
    </row>
    <row r="64" spans="1:10">
      <c r="A64" s="198" t="s">
        <v>106</v>
      </c>
    </row>
    <row r="66" spans="1:1">
      <c r="A66" s="51" t="s">
        <v>241</v>
      </c>
    </row>
    <row r="67" spans="1:1">
      <c r="A67" s="199" t="s">
        <v>219</v>
      </c>
    </row>
    <row r="68" spans="1:1">
      <c r="A68" s="199"/>
    </row>
    <row r="69" spans="1:1">
      <c r="A69" s="51" t="s">
        <v>237</v>
      </c>
    </row>
    <row r="70" spans="1:1">
      <c r="A70" s="199" t="s">
        <v>93</v>
      </c>
    </row>
    <row r="72" spans="1:1">
      <c r="A72" s="51" t="s">
        <v>235</v>
      </c>
    </row>
    <row r="73" spans="1:1">
      <c r="A73" s="199" t="s">
        <v>236</v>
      </c>
    </row>
  </sheetData>
  <sortState ref="G7:K57">
    <sortCondition ref="G7:G57"/>
  </sortState>
  <hyperlinks>
    <hyperlink ref="A67" r:id="rId1"/>
    <hyperlink ref="A70" r:id="rId2"/>
    <hyperlink ref="A73" r:id="rId3" location="table61"/>
    <hyperlink ref="A3" location="TableOfContents!A1" display="Back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3"/>
  <sheetViews>
    <sheetView workbookViewId="0">
      <selection activeCell="G4" sqref="G4"/>
    </sheetView>
  </sheetViews>
  <sheetFormatPr defaultRowHeight="15"/>
  <cols>
    <col min="1" max="1" width="6.5703125" customWidth="1"/>
    <col min="5" max="6" width="13.42578125" customWidth="1"/>
    <col min="8" max="9" width="13.5703125" customWidth="1"/>
  </cols>
  <sheetData>
    <row r="1" spans="1:9" ht="15.75">
      <c r="A1" s="24" t="s">
        <v>242</v>
      </c>
    </row>
    <row r="3" spans="1:9" ht="18.75">
      <c r="A3" s="27" t="s">
        <v>252</v>
      </c>
      <c r="B3" s="29" t="s">
        <v>253</v>
      </c>
      <c r="C3" s="27"/>
    </row>
    <row r="5" spans="1:9">
      <c r="A5" s="4"/>
      <c r="B5" s="4"/>
      <c r="C5" s="4"/>
      <c r="D5" s="4"/>
      <c r="E5" s="8" t="s">
        <v>944</v>
      </c>
      <c r="F5" s="8" t="s">
        <v>944</v>
      </c>
      <c r="G5" s="4"/>
      <c r="H5" s="8" t="s">
        <v>941</v>
      </c>
      <c r="I5" s="8" t="s">
        <v>942</v>
      </c>
    </row>
    <row r="6" spans="1:9">
      <c r="A6" s="4"/>
      <c r="B6" s="275" t="s">
        <v>943</v>
      </c>
      <c r="C6" s="275"/>
      <c r="D6" s="4"/>
      <c r="E6" s="8" t="s">
        <v>245</v>
      </c>
      <c r="F6" s="8" t="s">
        <v>245</v>
      </c>
      <c r="G6" s="4"/>
      <c r="H6" s="8" t="s">
        <v>246</v>
      </c>
      <c r="I6" s="8" t="s">
        <v>246</v>
      </c>
    </row>
    <row r="7" spans="1:9">
      <c r="A7" s="4" t="s">
        <v>87</v>
      </c>
      <c r="B7" s="4" t="s">
        <v>247</v>
      </c>
      <c r="C7" s="4" t="s">
        <v>248</v>
      </c>
      <c r="D7" s="4"/>
      <c r="E7" s="8" t="s">
        <v>243</v>
      </c>
      <c r="F7" s="8" t="s">
        <v>244</v>
      </c>
      <c r="G7" s="4"/>
      <c r="H7" s="8" t="s">
        <v>249</v>
      </c>
      <c r="I7" s="8" t="s">
        <v>249</v>
      </c>
    </row>
    <row r="8" spans="1:9">
      <c r="A8">
        <v>1974</v>
      </c>
      <c r="B8" s="6">
        <v>125028</v>
      </c>
      <c r="C8" s="6">
        <v>1098373</v>
      </c>
      <c r="D8" s="6"/>
      <c r="E8" s="6">
        <v>10156000</v>
      </c>
      <c r="F8" s="6">
        <v>10132000</v>
      </c>
      <c r="H8" s="28">
        <v>1.231075226467113E-2</v>
      </c>
      <c r="I8" s="28">
        <v>0.10840633636004737</v>
      </c>
    </row>
    <row r="9" spans="1:9">
      <c r="A9">
        <v>1975</v>
      </c>
      <c r="B9" s="6">
        <v>99996</v>
      </c>
      <c r="C9" s="6">
        <v>977209</v>
      </c>
      <c r="D9" s="6"/>
      <c r="E9" s="6">
        <v>11104000</v>
      </c>
      <c r="F9" s="6">
        <v>11456000</v>
      </c>
      <c r="H9" s="28">
        <v>9.0054034582132559E-3</v>
      </c>
      <c r="I9" s="28">
        <v>8.5301064944134072E-2</v>
      </c>
    </row>
    <row r="10" spans="1:9">
      <c r="A10">
        <v>1976</v>
      </c>
      <c r="B10" s="6">
        <v>83960</v>
      </c>
      <c r="C10" s="6">
        <v>865790</v>
      </c>
      <c r="D10" s="6"/>
      <c r="E10" s="6">
        <v>10273000</v>
      </c>
      <c r="F10" s="6">
        <v>11389000</v>
      </c>
      <c r="H10" s="28">
        <v>8.1728803660079813E-3</v>
      </c>
      <c r="I10" s="28">
        <v>7.6019843708841864E-2</v>
      </c>
    </row>
    <row r="11" spans="1:9">
      <c r="A11">
        <v>1977</v>
      </c>
      <c r="B11" s="6">
        <v>95314</v>
      </c>
      <c r="C11" s="6">
        <v>903618</v>
      </c>
      <c r="D11" s="6"/>
      <c r="E11" s="6">
        <v>10288000</v>
      </c>
      <c r="F11" s="6">
        <v>11316000</v>
      </c>
      <c r="H11" s="28">
        <v>9.2645800933125969E-3</v>
      </c>
      <c r="I11" s="28">
        <v>7.9853128313891839E-2</v>
      </c>
    </row>
    <row r="12" spans="1:9">
      <c r="A12">
        <v>1978</v>
      </c>
      <c r="B12" s="6">
        <v>99610</v>
      </c>
      <c r="C12" s="6">
        <v>902756</v>
      </c>
      <c r="D12" s="6"/>
      <c r="E12" s="6">
        <v>9931000</v>
      </c>
      <c r="F12" s="6">
        <v>11332000</v>
      </c>
      <c r="H12" s="28">
        <v>1.0030208438223744E-2</v>
      </c>
      <c r="I12" s="28">
        <v>7.9664313448641014E-2</v>
      </c>
    </row>
    <row r="13" spans="1:9">
      <c r="A13">
        <v>1979</v>
      </c>
      <c r="B13" s="6">
        <v>106828</v>
      </c>
      <c r="C13" s="6">
        <v>949087</v>
      </c>
      <c r="D13" s="6"/>
      <c r="E13" s="6">
        <v>10377000</v>
      </c>
      <c r="F13" s="6">
        <v>12014000</v>
      </c>
      <c r="H13" s="28">
        <v>1.0294690180206225E-2</v>
      </c>
      <c r="I13" s="28">
        <v>7.8998418511736307E-2</v>
      </c>
    </row>
    <row r="14" spans="1:9">
      <c r="A14">
        <v>1980</v>
      </c>
      <c r="B14" s="6">
        <v>114508</v>
      </c>
      <c r="C14" s="6">
        <v>1013221</v>
      </c>
      <c r="D14" s="6"/>
      <c r="E14" s="6">
        <v>11543000</v>
      </c>
      <c r="F14" s="6">
        <v>13858000</v>
      </c>
      <c r="H14" s="28">
        <v>9.9201247509313004E-3</v>
      </c>
      <c r="I14" s="28">
        <v>7.3114518689565589E-2</v>
      </c>
    </row>
    <row r="15" spans="1:9">
      <c r="A15">
        <v>1981</v>
      </c>
      <c r="B15" s="6">
        <v>94246</v>
      </c>
      <c r="C15" s="6">
        <v>864481</v>
      </c>
      <c r="D15" s="6"/>
      <c r="E15" s="6">
        <v>12505000</v>
      </c>
      <c r="F15" s="6">
        <v>15464000</v>
      </c>
      <c r="H15" s="28">
        <v>7.5366653338664533E-3</v>
      </c>
      <c r="I15" s="28">
        <v>5.5902806518365232E-2</v>
      </c>
    </row>
    <row r="16" spans="1:9">
      <c r="A16">
        <v>1982</v>
      </c>
      <c r="B16" s="6">
        <v>93872</v>
      </c>
      <c r="C16" s="6">
        <v>775491</v>
      </c>
      <c r="D16" s="6"/>
      <c r="E16" s="6">
        <v>13647000</v>
      </c>
      <c r="F16" s="6">
        <v>17000000</v>
      </c>
      <c r="H16" s="28">
        <v>6.8785813731955742E-3</v>
      </c>
      <c r="I16" s="28">
        <v>4.5617117647058822E-2</v>
      </c>
    </row>
    <row r="17" spans="1:9">
      <c r="A17">
        <v>1983</v>
      </c>
      <c r="B17" s="6">
        <v>101087</v>
      </c>
      <c r="C17" s="6">
        <v>834190</v>
      </c>
      <c r="D17" s="6"/>
      <c r="E17" s="6">
        <v>13911000</v>
      </c>
      <c r="F17" s="6">
        <v>17767000</v>
      </c>
      <c r="H17" s="28">
        <v>7.2666954208899428E-3</v>
      </c>
      <c r="I17" s="28">
        <v>4.6951651938988009E-2</v>
      </c>
    </row>
    <row r="18" spans="1:9">
      <c r="A18">
        <v>1984</v>
      </c>
      <c r="B18" s="6">
        <v>104748</v>
      </c>
      <c r="C18" s="6">
        <v>868375</v>
      </c>
      <c r="D18" s="6"/>
      <c r="E18" s="6">
        <v>13420000</v>
      </c>
      <c r="F18" s="6">
        <v>16952000</v>
      </c>
      <c r="H18" s="28">
        <v>7.8053651266766022E-3</v>
      </c>
      <c r="I18" s="28">
        <v>5.1225519112789053E-2</v>
      </c>
    </row>
    <row r="19" spans="1:9">
      <c r="A19">
        <v>1985</v>
      </c>
      <c r="B19" s="6">
        <v>119021</v>
      </c>
      <c r="C19" s="6">
        <v>1049758</v>
      </c>
      <c r="D19" s="6"/>
      <c r="E19" s="6">
        <v>13010000</v>
      </c>
      <c r="F19" s="6">
        <v>16598000</v>
      </c>
      <c r="H19" s="28">
        <v>9.1484242890084548E-3</v>
      </c>
      <c r="I19" s="28">
        <v>6.3246053741414635E-2</v>
      </c>
    </row>
    <row r="20" spans="1:9">
      <c r="A20">
        <v>1986</v>
      </c>
      <c r="B20" s="6">
        <v>124938</v>
      </c>
      <c r="C20" s="6">
        <v>1098832</v>
      </c>
      <c r="D20" s="6"/>
      <c r="E20" s="6">
        <v>12876000</v>
      </c>
      <c r="F20" s="6">
        <v>16017000</v>
      </c>
      <c r="H20" s="28">
        <v>9.7031686859273061E-3</v>
      </c>
      <c r="I20" s="28">
        <v>6.8604108135106451E-2</v>
      </c>
    </row>
    <row r="21" spans="1:9">
      <c r="A21">
        <v>1987</v>
      </c>
      <c r="B21" s="6">
        <v>126575</v>
      </c>
      <c r="C21" s="6">
        <v>1069285</v>
      </c>
      <c r="D21" s="6"/>
      <c r="E21" s="6">
        <v>12843000</v>
      </c>
      <c r="F21" s="6">
        <v>15815000</v>
      </c>
      <c r="H21" s="28">
        <v>9.8555633418983112E-3</v>
      </c>
      <c r="I21" s="28">
        <v>6.7612077141953844E-2</v>
      </c>
    </row>
    <row r="22" spans="1:9">
      <c r="A22">
        <v>1988</v>
      </c>
      <c r="B22" s="6">
        <v>125953</v>
      </c>
      <c r="C22" s="6">
        <v>1013316</v>
      </c>
      <c r="D22" s="6"/>
      <c r="E22" s="6">
        <v>12455000</v>
      </c>
      <c r="F22" s="6">
        <v>15809000</v>
      </c>
      <c r="H22" s="28">
        <v>1.011264552388599E-2</v>
      </c>
      <c r="I22" s="28">
        <v>6.4097412866088943E-2</v>
      </c>
    </row>
    <row r="23" spans="1:9">
      <c r="A23">
        <v>1989</v>
      </c>
      <c r="B23" s="6">
        <v>130307</v>
      </c>
      <c r="C23" s="6">
        <v>1015483</v>
      </c>
      <c r="D23" s="6"/>
      <c r="E23" s="6">
        <v>12590000</v>
      </c>
      <c r="F23" s="6">
        <v>15575000</v>
      </c>
      <c r="H23" s="28">
        <v>1.0350039714058777E-2</v>
      </c>
      <c r="I23" s="28">
        <v>6.5199550561797756E-2</v>
      </c>
    </row>
    <row r="24" spans="1:9">
      <c r="A24">
        <v>1990</v>
      </c>
      <c r="B24" s="6">
        <v>166416</v>
      </c>
      <c r="C24" s="6">
        <v>1133564</v>
      </c>
      <c r="D24" s="6"/>
      <c r="E24" s="6">
        <v>13431000</v>
      </c>
      <c r="F24" s="6">
        <v>16496000</v>
      </c>
      <c r="H24" s="28">
        <v>1.2390440026803663E-2</v>
      </c>
      <c r="I24" s="28">
        <v>6.8717507274490788E-2</v>
      </c>
    </row>
    <row r="25" spans="1:9">
      <c r="A25">
        <v>1991</v>
      </c>
      <c r="B25" s="6">
        <v>248325</v>
      </c>
      <c r="C25" s="6">
        <v>1315918</v>
      </c>
      <c r="D25" s="6"/>
      <c r="E25" s="6">
        <v>14341000</v>
      </c>
      <c r="F25" s="6">
        <v>17586000</v>
      </c>
      <c r="H25" s="28">
        <v>1.7315738093577854E-2</v>
      </c>
      <c r="I25" s="28">
        <v>7.4827590128511312E-2</v>
      </c>
    </row>
    <row r="26" spans="1:9">
      <c r="A26">
        <v>1992</v>
      </c>
      <c r="B26" s="6">
        <v>378808</v>
      </c>
      <c r="C26" s="6">
        <v>1465039</v>
      </c>
      <c r="D26" s="6"/>
      <c r="E26" s="6">
        <v>15294000</v>
      </c>
      <c r="F26" s="6">
        <v>18793000</v>
      </c>
      <c r="H26" s="28">
        <v>2.4768405910814698E-2</v>
      </c>
      <c r="I26" s="28">
        <v>7.7956632788804339E-2</v>
      </c>
    </row>
    <row r="27" spans="1:9">
      <c r="A27">
        <v>1993</v>
      </c>
      <c r="B27" s="6">
        <v>503486</v>
      </c>
      <c r="C27" s="6">
        <v>1571203</v>
      </c>
      <c r="D27" s="6"/>
      <c r="E27" s="6">
        <v>15727000</v>
      </c>
      <c r="F27" s="6">
        <v>19783000</v>
      </c>
      <c r="H27" s="28">
        <v>3.2014115851719975E-2</v>
      </c>
      <c r="I27" s="28">
        <v>7.9421877369458632E-2</v>
      </c>
    </row>
    <row r="28" spans="1:9">
      <c r="A28">
        <v>1994</v>
      </c>
      <c r="B28" s="6">
        <v>540124</v>
      </c>
      <c r="C28" s="6">
        <v>1517140</v>
      </c>
      <c r="D28" s="6"/>
      <c r="E28" s="6">
        <v>15289000</v>
      </c>
      <c r="F28" s="6">
        <v>19107000</v>
      </c>
      <c r="H28" s="28">
        <v>3.5327621165543853E-2</v>
      </c>
      <c r="I28" s="28">
        <v>7.9402313288323645E-2</v>
      </c>
    </row>
    <row r="29" spans="1:9">
      <c r="A29">
        <v>1995</v>
      </c>
      <c r="B29" s="6">
        <v>500333</v>
      </c>
      <c r="C29" s="6">
        <v>1375696</v>
      </c>
      <c r="D29" s="6"/>
      <c r="E29" s="6">
        <v>14665000</v>
      </c>
      <c r="F29" s="6">
        <v>18442000</v>
      </c>
      <c r="H29" s="28">
        <v>3.4117490623934536E-2</v>
      </c>
      <c r="I29" s="28">
        <v>7.4595813903047398E-2</v>
      </c>
    </row>
    <row r="30" spans="1:9">
      <c r="A30">
        <v>1996</v>
      </c>
      <c r="B30" s="6">
        <v>465685</v>
      </c>
      <c r="C30" s="6">
        <v>1289985</v>
      </c>
      <c r="D30" s="6"/>
      <c r="E30" s="6">
        <v>14463000</v>
      </c>
      <c r="F30" s="6">
        <v>18638000</v>
      </c>
      <c r="H30" s="28">
        <v>3.2198368250017283E-2</v>
      </c>
      <c r="I30" s="28">
        <v>6.9212630110526877E-2</v>
      </c>
    </row>
    <row r="31" spans="1:9">
      <c r="A31">
        <v>1997</v>
      </c>
      <c r="B31" s="6">
        <v>336074</v>
      </c>
      <c r="C31" s="6">
        <v>1133623</v>
      </c>
      <c r="D31" s="6"/>
      <c r="E31" s="6">
        <v>14113000</v>
      </c>
      <c r="F31" s="6">
        <v>18085000</v>
      </c>
      <c r="H31" s="28">
        <v>2.3813080138879048E-2</v>
      </c>
      <c r="I31" s="28">
        <v>6.268305225324855E-2</v>
      </c>
    </row>
    <row r="32" spans="1:9">
      <c r="A32">
        <v>1998</v>
      </c>
      <c r="B32" s="6">
        <v>339243</v>
      </c>
      <c r="C32" s="6">
        <v>1139825</v>
      </c>
      <c r="D32" s="6"/>
      <c r="E32" s="6">
        <v>13467000</v>
      </c>
      <c r="F32" s="6">
        <v>17623000</v>
      </c>
      <c r="H32" s="28">
        <v>2.5190688349298284E-2</v>
      </c>
      <c r="I32" s="28">
        <v>6.467826136299154E-2</v>
      </c>
    </row>
    <row r="33" spans="1:9">
      <c r="A33">
        <v>1999</v>
      </c>
      <c r="B33" s="6">
        <v>350382</v>
      </c>
      <c r="C33" s="6">
        <v>1153450</v>
      </c>
      <c r="D33" s="6"/>
      <c r="E33" s="6">
        <v>12280000</v>
      </c>
      <c r="F33" s="6">
        <v>17289000</v>
      </c>
      <c r="H33" s="28">
        <v>2.8532736156351792E-2</v>
      </c>
      <c r="I33" s="28">
        <v>6.6715830875122908E-2</v>
      </c>
    </row>
    <row r="34" spans="1:9">
      <c r="A34">
        <v>2000</v>
      </c>
      <c r="B34" s="6">
        <v>360329</v>
      </c>
      <c r="C34" s="6">
        <v>1224826</v>
      </c>
      <c r="D34" s="6"/>
      <c r="E34" s="6">
        <v>11587000</v>
      </c>
      <c r="F34" s="6">
        <v>16671000</v>
      </c>
      <c r="H34" s="28">
        <v>3.1097695693449556E-2</v>
      </c>
      <c r="I34" s="28">
        <v>7.3470457681002938E-2</v>
      </c>
    </row>
    <row r="35" spans="1:9">
      <c r="A35">
        <v>2001</v>
      </c>
      <c r="B35" s="6">
        <v>376002</v>
      </c>
      <c r="C35" s="6">
        <v>1324057</v>
      </c>
      <c r="D35" s="6"/>
      <c r="E35" s="6">
        <v>11733000</v>
      </c>
      <c r="F35" s="6">
        <v>17760000</v>
      </c>
      <c r="H35" s="28">
        <v>3.2046535412937865E-2</v>
      </c>
      <c r="I35" s="28">
        <v>7.4552759009009012E-2</v>
      </c>
    </row>
    <row r="36" spans="1:9">
      <c r="A36">
        <v>2002</v>
      </c>
      <c r="B36" s="6">
        <v>414068</v>
      </c>
      <c r="C36" s="6">
        <v>1490731</v>
      </c>
      <c r="D36" s="6"/>
      <c r="E36" s="6">
        <v>12133000</v>
      </c>
      <c r="F36" s="6">
        <v>18861000</v>
      </c>
      <c r="H36" s="28">
        <v>3.4127421082996788E-2</v>
      </c>
      <c r="I36" s="28">
        <v>7.9037749854196496E-2</v>
      </c>
    </row>
    <row r="37" spans="1:9">
      <c r="A37">
        <v>2003</v>
      </c>
      <c r="B37" s="6">
        <v>437492</v>
      </c>
      <c r="C37" s="6">
        <v>1608391</v>
      </c>
      <c r="D37" s="6"/>
      <c r="E37" s="6">
        <v>12866000</v>
      </c>
      <c r="F37" s="6">
        <v>19443000</v>
      </c>
      <c r="H37" s="28">
        <v>3.4003730763251985E-2</v>
      </c>
      <c r="I37" s="28">
        <v>8.2723396595175636E-2</v>
      </c>
    </row>
    <row r="38" spans="1:9">
      <c r="A38">
        <v>2004</v>
      </c>
      <c r="B38" s="6">
        <v>458236</v>
      </c>
      <c r="C38" s="6">
        <v>1771003</v>
      </c>
      <c r="D38" s="6"/>
      <c r="E38" s="6">
        <v>13041000</v>
      </c>
      <c r="F38" s="6">
        <v>20545000</v>
      </c>
      <c r="H38" s="28">
        <v>3.5138102906218847E-2</v>
      </c>
      <c r="I38" s="28">
        <v>8.6201168167437336E-2</v>
      </c>
    </row>
    <row r="39" spans="1:9">
      <c r="A39">
        <v>2005</v>
      </c>
      <c r="B39" s="6">
        <v>458588</v>
      </c>
      <c r="C39" s="6">
        <v>1850002</v>
      </c>
      <c r="D39" s="6"/>
      <c r="E39" s="6">
        <v>12896000</v>
      </c>
      <c r="F39" s="6">
        <v>20450000</v>
      </c>
      <c r="H39" s="28">
        <v>3.5560483870967739E-2</v>
      </c>
      <c r="I39" s="28">
        <v>9.0464645476772618E-2</v>
      </c>
    </row>
    <row r="40" spans="1:9">
      <c r="A40">
        <v>2006</v>
      </c>
      <c r="B40" s="6">
        <v>459805</v>
      </c>
      <c r="C40" s="6">
        <v>1923288</v>
      </c>
      <c r="D40" s="6"/>
      <c r="E40" s="6">
        <v>12827000</v>
      </c>
      <c r="F40" s="6">
        <v>20239000</v>
      </c>
      <c r="H40" s="28">
        <v>3.5846651594293288E-2</v>
      </c>
      <c r="I40" s="28">
        <v>9.5028805771036118E-2</v>
      </c>
    </row>
    <row r="41" spans="1:9">
      <c r="A41">
        <v>2007</v>
      </c>
      <c r="B41" s="6">
        <v>460925</v>
      </c>
      <c r="C41" s="6">
        <v>1945464</v>
      </c>
      <c r="D41" s="6"/>
      <c r="E41" s="6">
        <v>13324000</v>
      </c>
      <c r="F41" s="6">
        <v>20396000</v>
      </c>
      <c r="H41" s="28">
        <v>3.4593590513359349E-2</v>
      </c>
      <c r="I41" s="28">
        <v>9.5384585212786824E-2</v>
      </c>
    </row>
    <row r="42" spans="1:9">
      <c r="A42">
        <v>2008</v>
      </c>
      <c r="B42" s="6">
        <v>476251</v>
      </c>
      <c r="C42" s="6">
        <v>2030774</v>
      </c>
      <c r="D42" s="6"/>
      <c r="E42" s="6">
        <v>14068000</v>
      </c>
      <c r="F42" s="6">
        <v>22105000</v>
      </c>
      <c r="H42" s="28">
        <v>3.3853497298834231E-2</v>
      </c>
      <c r="I42" s="28">
        <v>9.1869441302872654E-2</v>
      </c>
    </row>
    <row r="43" spans="1:9">
      <c r="A43">
        <v>2009</v>
      </c>
      <c r="B43" s="6">
        <v>545619</v>
      </c>
      <c r="C43" s="6">
        <v>2285852</v>
      </c>
      <c r="D43" s="6"/>
      <c r="E43" s="6">
        <v>15451000</v>
      </c>
      <c r="F43" s="6">
        <v>24684000</v>
      </c>
      <c r="H43" s="28">
        <v>3.5312860009060899E-2</v>
      </c>
      <c r="I43" s="28">
        <v>9.2604602171447087E-2</v>
      </c>
    </row>
    <row r="44" spans="1:9">
      <c r="A44">
        <v>2010</v>
      </c>
      <c r="B44" s="6">
        <v>546407</v>
      </c>
      <c r="C44" s="6">
        <v>2314739</v>
      </c>
      <c r="D44" s="6"/>
      <c r="E44" s="6">
        <v>16401000</v>
      </c>
      <c r="F44" s="6">
        <v>26258000</v>
      </c>
      <c r="H44" s="28">
        <v>3.3315468568989696E-2</v>
      </c>
      <c r="I44" s="28">
        <v>8.8153667453728393E-2</v>
      </c>
    </row>
    <row r="47" spans="1:9">
      <c r="A47" s="15" t="s">
        <v>106</v>
      </c>
    </row>
    <row r="49" spans="1:1">
      <c r="A49" t="s">
        <v>250</v>
      </c>
    </row>
    <row r="50" spans="1:1">
      <c r="A50" s="1" t="s">
        <v>93</v>
      </c>
    </row>
    <row r="51" spans="1:1">
      <c r="A51" s="1"/>
    </row>
    <row r="52" spans="1:1">
      <c r="A52" t="s">
        <v>440</v>
      </c>
    </row>
    <row r="53" spans="1:1">
      <c r="A53" s="1" t="s">
        <v>251</v>
      </c>
    </row>
  </sheetData>
  <mergeCells count="1">
    <mergeCell ref="B6:C6"/>
  </mergeCells>
  <hyperlinks>
    <hyperlink ref="A50" r:id="rId1"/>
    <hyperlink ref="A53" r:id="rId2" location="table57"/>
    <hyperlink ref="A3" location="TableOfContents!A1" display="Back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2"/>
  <sheetViews>
    <sheetView workbookViewId="0">
      <selection activeCell="H13" sqref="H13"/>
    </sheetView>
  </sheetViews>
  <sheetFormatPr defaultRowHeight="15"/>
  <cols>
    <col min="1" max="1" width="6.42578125" customWidth="1"/>
    <col min="2" max="2" width="8.140625" customWidth="1"/>
    <col min="3" max="3" width="15.140625" customWidth="1"/>
    <col min="4" max="4" width="13.85546875" customWidth="1"/>
    <col min="5" max="5" width="14.140625" customWidth="1"/>
  </cols>
  <sheetData>
    <row r="1" spans="1:5" ht="15.75">
      <c r="A1" s="24" t="s">
        <v>323</v>
      </c>
    </row>
    <row r="3" spans="1:5" ht="18.75">
      <c r="A3" s="27" t="s">
        <v>252</v>
      </c>
      <c r="B3" s="29" t="s">
        <v>253</v>
      </c>
      <c r="C3" s="27"/>
    </row>
    <row r="7" spans="1:5" ht="50.25" customHeight="1">
      <c r="A7" s="14" t="s">
        <v>87</v>
      </c>
      <c r="B7" s="3" t="s">
        <v>324</v>
      </c>
      <c r="C7" s="3" t="s">
        <v>325</v>
      </c>
      <c r="D7" s="3" t="s">
        <v>945</v>
      </c>
      <c r="E7" s="3" t="s">
        <v>946</v>
      </c>
    </row>
    <row r="8" spans="1:5">
      <c r="A8" s="111">
        <v>1986</v>
      </c>
      <c r="B8" s="245">
        <v>0.39</v>
      </c>
      <c r="C8" s="245">
        <v>0.17</v>
      </c>
      <c r="D8" s="245">
        <v>0.48</v>
      </c>
      <c r="E8" s="245">
        <v>0.61156913413140668</v>
      </c>
    </row>
    <row r="9" spans="1:5">
      <c r="A9" s="111">
        <v>1987</v>
      </c>
      <c r="B9" s="245">
        <v>0.36</v>
      </c>
      <c r="C9" s="245">
        <v>0.15</v>
      </c>
      <c r="D9" s="245">
        <v>0.54</v>
      </c>
      <c r="E9" s="245">
        <v>0.60314591823563035</v>
      </c>
    </row>
    <row r="10" spans="1:5">
      <c r="A10" s="111">
        <v>1988</v>
      </c>
      <c r="B10" s="245">
        <v>0.36</v>
      </c>
      <c r="C10" s="245">
        <v>0.14000000000000001</v>
      </c>
      <c r="D10" s="245">
        <v>0.56000000000000005</v>
      </c>
      <c r="E10" s="245">
        <v>0.63121663212109791</v>
      </c>
    </row>
    <row r="11" spans="1:5">
      <c r="A11" s="111">
        <v>1989</v>
      </c>
      <c r="B11" s="245">
        <v>0.37</v>
      </c>
      <c r="C11" s="245">
        <v>0.15</v>
      </c>
      <c r="D11" s="245">
        <v>0.59</v>
      </c>
      <c r="E11" s="245">
        <v>0.66584124036175896</v>
      </c>
    </row>
    <row r="12" spans="1:5">
      <c r="A12" s="111">
        <v>1990</v>
      </c>
      <c r="B12" s="245">
        <v>0.39</v>
      </c>
      <c r="C12" s="245">
        <v>0.17</v>
      </c>
      <c r="D12" s="245">
        <v>0.63</v>
      </c>
      <c r="E12" s="245">
        <v>0.71532849655772512</v>
      </c>
    </row>
    <row r="13" spans="1:5">
      <c r="A13" s="111">
        <v>1991</v>
      </c>
      <c r="B13" s="245">
        <v>0.42</v>
      </c>
      <c r="C13" s="245">
        <v>0.17</v>
      </c>
      <c r="D13" s="245">
        <v>0.66</v>
      </c>
      <c r="E13" s="245">
        <v>0.74117188495528774</v>
      </c>
    </row>
    <row r="14" spans="1:5">
      <c r="A14" s="111">
        <v>1992</v>
      </c>
      <c r="B14" s="245">
        <v>0.43</v>
      </c>
      <c r="C14" s="245">
        <v>0.17</v>
      </c>
      <c r="D14" s="245">
        <v>0.68</v>
      </c>
      <c r="E14" s="245">
        <v>0.74988105464878085</v>
      </c>
    </row>
    <row r="15" spans="1:5">
      <c r="A15" s="111">
        <v>1993</v>
      </c>
      <c r="B15" s="245">
        <v>0.39</v>
      </c>
      <c r="C15" s="245">
        <v>0.14000000000000001</v>
      </c>
      <c r="D15" s="245">
        <v>0.67</v>
      </c>
      <c r="E15" s="245">
        <v>0.7445346775530115</v>
      </c>
    </row>
    <row r="16" spans="1:5">
      <c r="A16" s="111">
        <v>1994</v>
      </c>
      <c r="B16" s="245">
        <v>0.34</v>
      </c>
      <c r="C16" s="245">
        <v>0.13</v>
      </c>
      <c r="D16" s="245">
        <v>0.67</v>
      </c>
      <c r="E16" s="245">
        <v>0.75041293379224272</v>
      </c>
    </row>
    <row r="17" spans="1:5">
      <c r="A17" s="111">
        <v>1995</v>
      </c>
      <c r="B17" s="245">
        <v>0.31</v>
      </c>
      <c r="C17" s="245">
        <v>0.13</v>
      </c>
      <c r="D17" s="245">
        <v>0.65</v>
      </c>
      <c r="E17" s="245">
        <v>0.73052998762236987</v>
      </c>
    </row>
    <row r="18" spans="1:5">
      <c r="A18" s="111">
        <v>1996</v>
      </c>
      <c r="B18" s="245">
        <v>0.31</v>
      </c>
      <c r="C18" s="245">
        <v>0.13</v>
      </c>
      <c r="D18" s="245">
        <v>0.59</v>
      </c>
      <c r="E18" s="245">
        <v>0.66551652437430131</v>
      </c>
    </row>
    <row r="19" spans="1:5">
      <c r="A19" s="111">
        <v>1997</v>
      </c>
      <c r="B19" s="245">
        <v>0.32</v>
      </c>
      <c r="C19" s="245">
        <v>0.15</v>
      </c>
      <c r="D19" s="245">
        <v>0.56000000000000005</v>
      </c>
      <c r="E19" s="245">
        <v>0.65152150333712622</v>
      </c>
    </row>
    <row r="20" spans="1:5">
      <c r="A20" s="111">
        <v>1998</v>
      </c>
      <c r="B20" s="245">
        <v>0.35</v>
      </c>
      <c r="C20" s="245">
        <v>0.15</v>
      </c>
      <c r="D20" s="245">
        <v>0.53</v>
      </c>
      <c r="E20" s="245">
        <v>0.61832282395345972</v>
      </c>
    </row>
    <row r="21" spans="1:5">
      <c r="A21" s="111">
        <v>1999</v>
      </c>
      <c r="B21" s="245">
        <v>0.37</v>
      </c>
      <c r="C21" s="245">
        <v>0.16</v>
      </c>
      <c r="D21" s="245">
        <v>0.55000000000000004</v>
      </c>
      <c r="E21" s="245">
        <v>0.63042298870853919</v>
      </c>
    </row>
    <row r="22" spans="1:5">
      <c r="A22" s="111">
        <v>2000</v>
      </c>
      <c r="B22" s="245">
        <v>0.38</v>
      </c>
      <c r="C22" s="245">
        <v>0.16</v>
      </c>
      <c r="D22" s="245">
        <v>0.57999999999999996</v>
      </c>
      <c r="E22" s="245">
        <v>0.65834583189768747</v>
      </c>
    </row>
    <row r="23" spans="1:5">
      <c r="A23" s="111">
        <v>2001</v>
      </c>
      <c r="B23" s="245">
        <v>0.4</v>
      </c>
      <c r="C23" s="245">
        <v>0.17</v>
      </c>
      <c r="D23" s="245">
        <v>0.61</v>
      </c>
      <c r="E23" s="245">
        <v>0.68413991933400398</v>
      </c>
    </row>
    <row r="24" spans="1:5">
      <c r="A24" s="111">
        <v>2002</v>
      </c>
      <c r="B24" s="245">
        <v>0.38</v>
      </c>
      <c r="C24" s="245">
        <v>0.16</v>
      </c>
      <c r="D24" s="245">
        <v>0.61</v>
      </c>
      <c r="E24" s="245">
        <v>0.69788488382865344</v>
      </c>
    </row>
    <row r="25" spans="1:5">
      <c r="A25" s="111">
        <v>2003</v>
      </c>
      <c r="B25" s="245">
        <v>0.37</v>
      </c>
      <c r="C25" s="245">
        <v>0.15</v>
      </c>
      <c r="D25" s="245">
        <v>0.61</v>
      </c>
      <c r="E25" s="245">
        <v>0.69846665400841923</v>
      </c>
    </row>
    <row r="26" spans="1:5">
      <c r="A26" s="111">
        <v>2004</v>
      </c>
      <c r="B26" s="245">
        <v>0.37</v>
      </c>
      <c r="C26" s="245">
        <v>0.14000000000000001</v>
      </c>
      <c r="D26" s="245">
        <v>0.62</v>
      </c>
      <c r="E26" s="245">
        <v>0.70912274011871934</v>
      </c>
    </row>
    <row r="27" spans="1:5">
      <c r="A27" s="111">
        <v>2005</v>
      </c>
      <c r="B27" s="245">
        <v>0.36</v>
      </c>
      <c r="C27" s="245">
        <v>0.14000000000000001</v>
      </c>
      <c r="D27" s="245">
        <v>0.62</v>
      </c>
      <c r="E27" s="245">
        <v>0.72048700161394275</v>
      </c>
    </row>
    <row r="28" spans="1:5">
      <c r="A28" s="111">
        <v>2006</v>
      </c>
      <c r="B28" s="245">
        <v>0.35</v>
      </c>
      <c r="C28" s="245">
        <v>0.13</v>
      </c>
      <c r="D28" s="245">
        <v>0.62</v>
      </c>
      <c r="E28" s="245">
        <v>0.71781131939274478</v>
      </c>
    </row>
    <row r="29" spans="1:5">
      <c r="A29" s="111">
        <v>2007</v>
      </c>
      <c r="B29" s="245">
        <v>0.35</v>
      </c>
      <c r="C29" s="245">
        <v>0.13</v>
      </c>
      <c r="D29" s="245">
        <v>0.62</v>
      </c>
      <c r="E29" s="245">
        <v>0.72077905752178084</v>
      </c>
    </row>
    <row r="30" spans="1:5">
      <c r="A30" s="111">
        <v>2008</v>
      </c>
      <c r="B30" s="245">
        <v>0.36</v>
      </c>
      <c r="C30" s="245">
        <v>0.14000000000000001</v>
      </c>
      <c r="D30" s="245">
        <v>0.63</v>
      </c>
      <c r="E30" s="245">
        <v>0.72770000000000001</v>
      </c>
    </row>
    <row r="31" spans="1:5">
      <c r="A31" s="111">
        <v>2009</v>
      </c>
      <c r="B31" s="245">
        <v>0.37</v>
      </c>
      <c r="C31" s="245">
        <v>0.14000000000000001</v>
      </c>
      <c r="D31" s="245">
        <v>0.63</v>
      </c>
      <c r="E31" s="245">
        <v>0.72399999999999987</v>
      </c>
    </row>
    <row r="32" spans="1:5">
      <c r="A32" s="111">
        <v>2010</v>
      </c>
      <c r="B32" s="245">
        <v>0.35</v>
      </c>
      <c r="C32" s="245">
        <v>0.13</v>
      </c>
      <c r="D32" s="245">
        <v>0.62</v>
      </c>
      <c r="E32" s="245">
        <v>0.7</v>
      </c>
    </row>
    <row r="35" spans="1:1">
      <c r="A35" s="15" t="s">
        <v>106</v>
      </c>
    </row>
    <row r="37" spans="1:1">
      <c r="A37" t="s">
        <v>327</v>
      </c>
    </row>
    <row r="39" spans="1:1">
      <c r="A39" t="s">
        <v>336</v>
      </c>
    </row>
    <row r="40" spans="1:1">
      <c r="A40" t="s">
        <v>337</v>
      </c>
    </row>
    <row r="42" spans="1:1">
      <c r="A42" t="s">
        <v>326</v>
      </c>
    </row>
  </sheetData>
  <hyperlinks>
    <hyperlink ref="A3" location="TableOfContents!A1" display="Back"/>
  </hyperlinks>
  <pageMargins left="0.7" right="0.7" top="0.75" bottom="0.75" header="0.3" footer="0.3"/>
  <pageSetup orientation="portrait" verticalDpi="4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7"/>
  <sheetViews>
    <sheetView workbookViewId="0">
      <selection activeCell="L18" sqref="L18"/>
    </sheetView>
  </sheetViews>
  <sheetFormatPr defaultRowHeight="15"/>
  <cols>
    <col min="1" max="1" width="6.42578125" customWidth="1"/>
    <col min="4" max="4" width="11" bestFit="1" customWidth="1"/>
    <col min="7" max="7" width="8.140625" customWidth="1"/>
    <col min="10" max="10" width="11" bestFit="1" customWidth="1"/>
  </cols>
  <sheetData>
    <row r="1" spans="1:13" ht="15.75">
      <c r="A1" s="24" t="s">
        <v>914</v>
      </c>
    </row>
    <row r="3" spans="1:13" ht="18.75">
      <c r="A3" s="27" t="s">
        <v>252</v>
      </c>
      <c r="B3" s="29" t="s">
        <v>253</v>
      </c>
    </row>
    <row r="6" spans="1:13">
      <c r="A6" s="4" t="s">
        <v>916</v>
      </c>
      <c r="G6" s="4" t="s">
        <v>917</v>
      </c>
    </row>
    <row r="8" spans="1:13">
      <c r="A8" s="2"/>
      <c r="B8" s="2"/>
      <c r="C8" s="208" t="s">
        <v>324</v>
      </c>
      <c r="D8" s="49"/>
      <c r="F8" s="50"/>
      <c r="G8" s="2"/>
      <c r="I8" s="208" t="s">
        <v>325</v>
      </c>
      <c r="J8" s="51"/>
    </row>
    <row r="9" spans="1:13">
      <c r="A9" s="52" t="s">
        <v>87</v>
      </c>
      <c r="B9" s="52" t="s">
        <v>328</v>
      </c>
      <c r="C9" s="52" t="s">
        <v>329</v>
      </c>
      <c r="D9" s="53" t="s">
        <v>330</v>
      </c>
      <c r="E9" s="25"/>
      <c r="F9" s="25"/>
      <c r="G9" s="52" t="s">
        <v>87</v>
      </c>
      <c r="H9" s="52" t="s">
        <v>328</v>
      </c>
      <c r="I9" s="52" t="s">
        <v>329</v>
      </c>
      <c r="J9" s="53" t="s">
        <v>330</v>
      </c>
    </row>
    <row r="10" spans="1:13">
      <c r="A10" s="111">
        <v>1990</v>
      </c>
      <c r="B10" s="245">
        <v>0.42599999999999999</v>
      </c>
      <c r="C10" s="245">
        <v>0.41100000000000003</v>
      </c>
      <c r="D10" s="246">
        <v>0.312</v>
      </c>
      <c r="E10" s="265"/>
      <c r="F10" s="265"/>
      <c r="G10" s="111">
        <v>1990</v>
      </c>
      <c r="H10" s="245">
        <v>0.16300000000000001</v>
      </c>
      <c r="I10" s="245">
        <v>0.18899999999999997</v>
      </c>
      <c r="J10" s="246">
        <v>0.14499999999999999</v>
      </c>
      <c r="M10" s="56"/>
    </row>
    <row r="11" spans="1:13">
      <c r="A11" s="111">
        <f>A10+1</f>
        <v>1991</v>
      </c>
      <c r="B11" s="245">
        <v>0.46200000000000002</v>
      </c>
      <c r="C11" s="245">
        <v>0.436</v>
      </c>
      <c r="D11" s="246">
        <v>0.32600000000000001</v>
      </c>
      <c r="E11" s="265"/>
      <c r="F11" s="265"/>
      <c r="G11" s="111">
        <f>G10+1</f>
        <v>1991</v>
      </c>
      <c r="H11" s="245">
        <v>0.17499999999999999</v>
      </c>
      <c r="I11" s="245">
        <v>0.18100000000000002</v>
      </c>
      <c r="J11" s="246">
        <v>0.14800000000000002</v>
      </c>
    </row>
    <row r="12" spans="1:13">
      <c r="A12" s="111">
        <f t="shared" ref="A12:A29" si="0">A11+1</f>
        <v>1992</v>
      </c>
      <c r="B12" s="245">
        <v>0.48100000000000004</v>
      </c>
      <c r="C12" s="245">
        <v>0.45899999999999996</v>
      </c>
      <c r="D12" s="246">
        <v>0.33899999999999997</v>
      </c>
      <c r="E12" s="265"/>
      <c r="F12" s="265"/>
      <c r="G12" s="111">
        <f t="shared" ref="G12:G29" si="1">G11+1</f>
        <v>1992</v>
      </c>
      <c r="H12" s="245">
        <v>0.17300000000000001</v>
      </c>
      <c r="I12" s="245">
        <v>0.185</v>
      </c>
      <c r="J12" s="246">
        <v>0.151</v>
      </c>
    </row>
    <row r="13" spans="1:13">
      <c r="A13" s="111">
        <f t="shared" si="0"/>
        <v>1993</v>
      </c>
      <c r="B13" s="245">
        <v>0.434</v>
      </c>
      <c r="C13" s="245">
        <v>0.40799999999999997</v>
      </c>
      <c r="D13" s="246">
        <v>0.30099999999999999</v>
      </c>
      <c r="E13" s="265"/>
      <c r="F13" s="265"/>
      <c r="G13" s="111">
        <f t="shared" si="1"/>
        <v>1993</v>
      </c>
      <c r="H13" s="245">
        <v>0.14300000000000002</v>
      </c>
      <c r="I13" s="245">
        <v>0.156</v>
      </c>
      <c r="J13" s="246">
        <v>0.127</v>
      </c>
    </row>
    <row r="14" spans="1:13">
      <c r="A14" s="111">
        <f t="shared" si="0"/>
        <v>1994</v>
      </c>
      <c r="B14" s="245">
        <v>0.40100000000000002</v>
      </c>
      <c r="C14" s="245">
        <v>0.34</v>
      </c>
      <c r="D14" s="246">
        <v>0.26700000000000002</v>
      </c>
      <c r="E14" s="265"/>
      <c r="F14" s="265"/>
      <c r="G14" s="111">
        <f t="shared" si="1"/>
        <v>1994</v>
      </c>
      <c r="H14" s="245">
        <v>0.13600000000000001</v>
      </c>
      <c r="I14" s="245">
        <v>0.127</v>
      </c>
      <c r="J14" s="246">
        <v>0.11599999999999999</v>
      </c>
    </row>
    <row r="15" spans="1:13">
      <c r="A15" s="111">
        <f t="shared" si="0"/>
        <v>1995</v>
      </c>
      <c r="B15" s="245">
        <v>0.38600000000000001</v>
      </c>
      <c r="C15" s="245">
        <v>0.29600000000000004</v>
      </c>
      <c r="D15" s="246">
        <v>0.248</v>
      </c>
      <c r="E15" s="265"/>
      <c r="F15" s="265"/>
      <c r="G15" s="111">
        <f t="shared" si="1"/>
        <v>1995</v>
      </c>
      <c r="H15" s="245">
        <v>0.14800000000000002</v>
      </c>
      <c r="I15" s="245">
        <v>0.12300000000000001</v>
      </c>
      <c r="J15" s="246">
        <v>0.122</v>
      </c>
    </row>
    <row r="16" spans="1:13">
      <c r="A16" s="111">
        <f t="shared" si="0"/>
        <v>1996</v>
      </c>
      <c r="B16" s="245">
        <v>0.39</v>
      </c>
      <c r="C16" s="245">
        <v>0.28999999999999998</v>
      </c>
      <c r="D16" s="246">
        <v>0.247</v>
      </c>
      <c r="E16" s="265"/>
      <c r="F16" s="265"/>
      <c r="G16" s="111">
        <f t="shared" si="1"/>
        <v>1996</v>
      </c>
      <c r="H16" s="245">
        <v>0.14800000000000002</v>
      </c>
      <c r="I16" s="245">
        <v>0.124</v>
      </c>
      <c r="J16" s="246">
        <v>0.121</v>
      </c>
    </row>
    <row r="17" spans="1:10">
      <c r="A17" s="111">
        <f t="shared" si="0"/>
        <v>1997</v>
      </c>
      <c r="B17" s="245">
        <v>0.40299999999999997</v>
      </c>
      <c r="C17" s="245">
        <v>0.3</v>
      </c>
      <c r="D17" s="246">
        <v>0.26600000000000001</v>
      </c>
      <c r="E17" s="265"/>
      <c r="F17" s="265"/>
      <c r="G17" s="111">
        <f t="shared" si="1"/>
        <v>1997</v>
      </c>
      <c r="H17" s="245">
        <v>0.155</v>
      </c>
      <c r="I17" s="245">
        <v>0.14800000000000002</v>
      </c>
      <c r="J17" s="246">
        <v>0.13400000000000001</v>
      </c>
    </row>
    <row r="18" spans="1:10">
      <c r="A18" s="111">
        <f t="shared" si="0"/>
        <v>1998</v>
      </c>
      <c r="B18" s="245">
        <v>0.41899999999999998</v>
      </c>
      <c r="C18" s="245">
        <v>0.34499999999999997</v>
      </c>
      <c r="D18" s="246">
        <v>0.27800000000000002</v>
      </c>
      <c r="E18" s="265"/>
      <c r="F18" s="265"/>
      <c r="G18" s="111">
        <f t="shared" si="1"/>
        <v>1998</v>
      </c>
      <c r="H18" s="245">
        <v>0.16500000000000001</v>
      </c>
      <c r="I18" s="245">
        <v>0.156</v>
      </c>
      <c r="J18" s="246">
        <v>0.13900000000000001</v>
      </c>
    </row>
    <row r="19" spans="1:10">
      <c r="A19" s="111">
        <f t="shared" si="0"/>
        <v>1999</v>
      </c>
      <c r="B19" s="245">
        <v>0.43700000000000006</v>
      </c>
      <c r="C19" s="245">
        <v>0.36799999999999999</v>
      </c>
      <c r="D19" s="246">
        <v>0.29600000000000004</v>
      </c>
      <c r="E19" s="265"/>
      <c r="F19" s="265"/>
      <c r="G19" s="111">
        <f t="shared" si="1"/>
        <v>1999</v>
      </c>
      <c r="H19" s="245">
        <v>0.17</v>
      </c>
      <c r="I19" s="245">
        <v>0.161</v>
      </c>
      <c r="J19" s="246">
        <v>0.14300000000000002</v>
      </c>
    </row>
    <row r="20" spans="1:10">
      <c r="A20" s="111">
        <f t="shared" si="0"/>
        <v>2000</v>
      </c>
      <c r="B20" s="245">
        <v>0.44600000000000001</v>
      </c>
      <c r="C20" s="245">
        <v>0.37799999999999995</v>
      </c>
      <c r="D20" s="246">
        <v>0.29799999999999999</v>
      </c>
      <c r="E20" s="265"/>
      <c r="F20" s="265"/>
      <c r="G20" s="111">
        <f t="shared" si="1"/>
        <v>2000</v>
      </c>
      <c r="H20" s="245">
        <v>0.17</v>
      </c>
      <c r="I20" s="245">
        <v>0.152</v>
      </c>
      <c r="J20" s="246">
        <v>0.14000000000000001</v>
      </c>
    </row>
    <row r="21" spans="1:10">
      <c r="A21" s="111">
        <f t="shared" si="0"/>
        <v>2001</v>
      </c>
      <c r="B21" s="245">
        <v>0.47399999999999998</v>
      </c>
      <c r="C21" s="245">
        <v>0.39500000000000002</v>
      </c>
      <c r="D21" s="246">
        <v>0.30399999999999999</v>
      </c>
      <c r="E21" s="265"/>
      <c r="F21" s="265"/>
      <c r="G21" s="111">
        <f t="shared" si="1"/>
        <v>2001</v>
      </c>
      <c r="H21" s="245">
        <v>0.191</v>
      </c>
      <c r="I21" s="245">
        <v>0.16</v>
      </c>
      <c r="J21" s="247">
        <v>0.14499999999999999</v>
      </c>
    </row>
    <row r="22" spans="1:10">
      <c r="A22" s="111">
        <f t="shared" si="0"/>
        <v>2002</v>
      </c>
      <c r="B22" s="245">
        <v>0.45799999999999996</v>
      </c>
      <c r="C22" s="245">
        <v>0.38500000000000001</v>
      </c>
      <c r="D22" s="246">
        <v>0.28100000000000003</v>
      </c>
      <c r="E22" s="265"/>
      <c r="F22" s="265"/>
      <c r="G22" s="111">
        <f t="shared" si="1"/>
        <v>2002</v>
      </c>
      <c r="H22" s="245">
        <v>0.188</v>
      </c>
      <c r="I22" s="245">
        <v>0.157</v>
      </c>
      <c r="J22" s="247">
        <v>0.13699999999999998</v>
      </c>
    </row>
    <row r="23" spans="1:10">
      <c r="A23" s="111">
        <f t="shared" si="0"/>
        <v>2003</v>
      </c>
      <c r="B23" s="245">
        <v>0.441</v>
      </c>
      <c r="C23" s="245">
        <v>0.37799999999999995</v>
      </c>
      <c r="D23" s="246">
        <v>0.26400000000000001</v>
      </c>
      <c r="E23" s="265"/>
      <c r="F23" s="265"/>
      <c r="G23" s="111">
        <f t="shared" si="1"/>
        <v>2003</v>
      </c>
      <c r="H23" s="245">
        <v>0.17399999999999999</v>
      </c>
      <c r="I23" s="245">
        <v>0.151</v>
      </c>
      <c r="J23" s="247">
        <v>0.126</v>
      </c>
    </row>
    <row r="24" spans="1:10">
      <c r="A24" s="111">
        <f t="shared" si="0"/>
        <v>2004</v>
      </c>
      <c r="B24" s="245">
        <v>0.44600000000000001</v>
      </c>
      <c r="C24" s="245">
        <v>0.377</v>
      </c>
      <c r="D24" s="246">
        <v>0.26100000000000001</v>
      </c>
      <c r="E24" s="265"/>
      <c r="F24" s="265"/>
      <c r="G24" s="111">
        <f t="shared" si="1"/>
        <v>2004</v>
      </c>
      <c r="H24" s="245">
        <v>0.16699999999999998</v>
      </c>
      <c r="I24" s="245">
        <v>0.14400000000000002</v>
      </c>
      <c r="J24" s="246">
        <v>0.122</v>
      </c>
    </row>
    <row r="25" spans="1:10">
      <c r="A25" s="111">
        <f t="shared" si="0"/>
        <v>2005</v>
      </c>
      <c r="B25" s="245">
        <v>0.44</v>
      </c>
      <c r="C25" s="245">
        <v>0.36700000000000005</v>
      </c>
      <c r="D25" s="246">
        <v>0.25600000000000001</v>
      </c>
      <c r="E25" s="265"/>
      <c r="F25" s="265"/>
      <c r="G25" s="111">
        <f t="shared" si="1"/>
        <v>2005</v>
      </c>
      <c r="H25" s="245">
        <v>0.16200000000000001</v>
      </c>
      <c r="I25" s="245">
        <v>0.13600000000000001</v>
      </c>
      <c r="J25" s="247">
        <v>0.115</v>
      </c>
    </row>
    <row r="26" spans="1:10">
      <c r="A26" s="111">
        <f t="shared" si="0"/>
        <v>2006</v>
      </c>
      <c r="B26" s="245">
        <v>0.439</v>
      </c>
      <c r="C26" s="245">
        <v>0.36099999999999999</v>
      </c>
      <c r="D26" s="246">
        <v>0.249</v>
      </c>
      <c r="E26" s="265"/>
      <c r="F26" s="265"/>
      <c r="G26" s="111">
        <f t="shared" si="1"/>
        <v>2006</v>
      </c>
      <c r="H26" s="245">
        <v>0.157</v>
      </c>
      <c r="I26" s="245">
        <v>0.13500000000000001</v>
      </c>
      <c r="J26" s="247">
        <v>0.10800000000000001</v>
      </c>
    </row>
    <row r="27" spans="1:10">
      <c r="A27" s="111">
        <f t="shared" si="0"/>
        <v>2007</v>
      </c>
      <c r="B27" s="245">
        <v>0.43799999999999994</v>
      </c>
      <c r="C27" s="245">
        <v>0.35100000000000003</v>
      </c>
      <c r="D27" s="246">
        <v>0.245</v>
      </c>
      <c r="E27" s="265"/>
      <c r="F27" s="265"/>
      <c r="G27" s="111">
        <f t="shared" si="1"/>
        <v>2007</v>
      </c>
      <c r="H27" s="245">
        <v>0.152</v>
      </c>
      <c r="I27" s="245">
        <v>0.127</v>
      </c>
      <c r="J27" s="247">
        <v>0.10400000000000001</v>
      </c>
    </row>
    <row r="28" spans="1:10">
      <c r="A28" s="111">
        <f t="shared" si="0"/>
        <v>2008</v>
      </c>
      <c r="B28" s="245">
        <v>0.45799999999999996</v>
      </c>
      <c r="C28" s="245">
        <v>0.36099999999999999</v>
      </c>
      <c r="D28" s="246">
        <v>0.25700000000000001</v>
      </c>
      <c r="E28" s="265"/>
      <c r="F28" s="265"/>
      <c r="G28" s="111">
        <f t="shared" si="1"/>
        <v>2008</v>
      </c>
      <c r="H28" s="245">
        <v>0.17499999999999999</v>
      </c>
      <c r="I28" s="245">
        <v>0.13200000000000001</v>
      </c>
      <c r="J28" s="247">
        <v>0.11</v>
      </c>
    </row>
    <row r="29" spans="1:10">
      <c r="A29" s="111">
        <f t="shared" si="0"/>
        <v>2009</v>
      </c>
      <c r="B29" s="245">
        <v>0.47399999999999998</v>
      </c>
      <c r="C29" s="245">
        <v>0.36599999999999999</v>
      </c>
      <c r="D29" s="246">
        <v>0.26400000000000001</v>
      </c>
      <c r="E29" s="265"/>
      <c r="F29" s="265"/>
      <c r="G29" s="111">
        <f t="shared" si="1"/>
        <v>2009</v>
      </c>
      <c r="H29" s="245">
        <v>0.17800000000000002</v>
      </c>
      <c r="I29" s="245">
        <v>0.13</v>
      </c>
      <c r="J29" s="247">
        <v>0.111</v>
      </c>
    </row>
    <row r="30" spans="1:10">
      <c r="A30" s="266">
        <v>2010</v>
      </c>
      <c r="B30" s="245">
        <v>0.45700000000000002</v>
      </c>
      <c r="C30" s="245">
        <v>0.34799999999999998</v>
      </c>
      <c r="D30" s="245">
        <v>0.251</v>
      </c>
      <c r="E30" s="266"/>
      <c r="F30" s="266"/>
      <c r="G30" s="266">
        <v>2010</v>
      </c>
      <c r="H30" s="245">
        <v>0.16600000000000001</v>
      </c>
      <c r="I30" s="245">
        <v>0.12</v>
      </c>
      <c r="J30" s="247">
        <v>0.10099999999999999</v>
      </c>
    </row>
    <row r="33" spans="1:1">
      <c r="A33" s="15" t="s">
        <v>106</v>
      </c>
    </row>
    <row r="34" spans="1:1">
      <c r="A34" s="15"/>
    </row>
    <row r="35" spans="1:1">
      <c r="A35" t="s">
        <v>332</v>
      </c>
    </row>
    <row r="37" spans="1:1">
      <c r="A37" t="s">
        <v>331</v>
      </c>
    </row>
  </sheetData>
  <hyperlinks>
    <hyperlink ref="A3" location="TableOfContents!A1" display="Back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3"/>
  <sheetViews>
    <sheetView workbookViewId="0">
      <selection activeCell="F22" sqref="F22"/>
    </sheetView>
  </sheetViews>
  <sheetFormatPr defaultRowHeight="15"/>
  <cols>
    <col min="1" max="1" width="6.5703125" customWidth="1"/>
    <col min="4" max="4" width="10.85546875" bestFit="1" customWidth="1"/>
  </cols>
  <sheetData>
    <row r="1" spans="1:4" ht="15.75">
      <c r="A1" s="24" t="s">
        <v>333</v>
      </c>
    </row>
    <row r="3" spans="1:4" ht="18.75">
      <c r="A3" s="27" t="s">
        <v>252</v>
      </c>
      <c r="B3" s="29" t="s">
        <v>253</v>
      </c>
      <c r="C3" s="27"/>
    </row>
    <row r="5" spans="1:4">
      <c r="C5" s="50"/>
    </row>
    <row r="6" spans="1:4">
      <c r="A6" s="14" t="s">
        <v>87</v>
      </c>
      <c r="B6" s="14" t="s">
        <v>328</v>
      </c>
      <c r="C6" s="14" t="s">
        <v>329</v>
      </c>
      <c r="D6" s="14" t="s">
        <v>330</v>
      </c>
    </row>
    <row r="7" spans="1:4">
      <c r="A7" s="111">
        <v>1990</v>
      </c>
      <c r="B7" s="245">
        <v>0.74099999999999999</v>
      </c>
      <c r="C7" s="245">
        <v>0.68099999999999994</v>
      </c>
      <c r="D7" s="245">
        <v>0.72299999999999998</v>
      </c>
    </row>
    <row r="8" spans="1:4">
      <c r="A8" s="111">
        <f>A7+1</f>
        <v>1991</v>
      </c>
      <c r="B8" s="245">
        <v>0.77599999999999991</v>
      </c>
      <c r="C8" s="245">
        <v>0.7</v>
      </c>
      <c r="D8" s="245">
        <v>0.74199999999999999</v>
      </c>
    </row>
    <row r="9" spans="1:4">
      <c r="A9" s="111">
        <f t="shared" ref="A9:A26" si="0">A8+1</f>
        <v>1992</v>
      </c>
      <c r="B9" s="245">
        <v>0.78700000000000003</v>
      </c>
      <c r="C9" s="245">
        <v>0.70400000000000007</v>
      </c>
      <c r="D9" s="245">
        <v>0.755</v>
      </c>
    </row>
    <row r="10" spans="1:4">
      <c r="A10" s="111">
        <f t="shared" si="0"/>
        <v>1993</v>
      </c>
      <c r="B10" s="245">
        <v>0.79799999999999993</v>
      </c>
      <c r="C10" s="245">
        <v>0.67099999999999993</v>
      </c>
      <c r="D10" s="245">
        <v>0.76200000000000001</v>
      </c>
    </row>
    <row r="11" spans="1:4">
      <c r="A11" s="111">
        <f t="shared" si="0"/>
        <v>1994</v>
      </c>
      <c r="B11" s="245">
        <v>0.81700000000000006</v>
      </c>
      <c r="C11" s="245">
        <v>0.66799999999999993</v>
      </c>
      <c r="D11" s="245">
        <v>0.76800000000000002</v>
      </c>
    </row>
    <row r="12" spans="1:4">
      <c r="A12" s="111">
        <f t="shared" si="0"/>
        <v>1995</v>
      </c>
      <c r="B12" s="245">
        <v>0.80200000000000005</v>
      </c>
      <c r="C12" s="245">
        <v>0.61899999999999999</v>
      </c>
      <c r="D12" s="245">
        <v>0.73799999999999999</v>
      </c>
    </row>
    <row r="13" spans="1:4">
      <c r="A13" s="111">
        <f t="shared" si="0"/>
        <v>1996</v>
      </c>
      <c r="B13" s="245">
        <v>0.76300000000000001</v>
      </c>
      <c r="C13" s="245">
        <v>0.51600000000000001</v>
      </c>
      <c r="D13" s="245">
        <v>0.64200000000000002</v>
      </c>
    </row>
    <row r="14" spans="1:4">
      <c r="A14" s="111">
        <f t="shared" si="0"/>
        <v>1997</v>
      </c>
      <c r="B14" s="245">
        <v>0.70400000000000007</v>
      </c>
      <c r="C14" s="245">
        <v>0.53900000000000003</v>
      </c>
      <c r="D14" s="245">
        <v>0.65</v>
      </c>
    </row>
    <row r="15" spans="1:4">
      <c r="A15" s="111">
        <f t="shared" si="0"/>
        <v>1998</v>
      </c>
      <c r="B15" s="245">
        <v>0.72499999999999998</v>
      </c>
      <c r="C15" s="245">
        <v>0.48899999999999999</v>
      </c>
      <c r="D15" s="245">
        <v>0.64400000000000002</v>
      </c>
    </row>
    <row r="16" spans="1:4">
      <c r="A16" s="111">
        <f t="shared" si="0"/>
        <v>1999</v>
      </c>
      <c r="B16" s="245">
        <v>0.73499999999999999</v>
      </c>
      <c r="C16" s="245">
        <v>0.49700000000000005</v>
      </c>
      <c r="D16" s="245">
        <v>0.66400000000000003</v>
      </c>
    </row>
    <row r="17" spans="1:4">
      <c r="A17" s="111">
        <f t="shared" si="0"/>
        <v>2000</v>
      </c>
      <c r="B17" s="245">
        <v>0.75599999999999989</v>
      </c>
      <c r="C17" s="245">
        <v>0.52200000000000002</v>
      </c>
      <c r="D17" s="245">
        <v>0.68599999999999994</v>
      </c>
    </row>
    <row r="18" spans="1:4">
      <c r="A18" s="111">
        <f t="shared" si="0"/>
        <v>2001</v>
      </c>
      <c r="B18" s="245">
        <v>0.77</v>
      </c>
      <c r="C18" s="245">
        <v>0.56499999999999995</v>
      </c>
      <c r="D18" s="245">
        <v>0.69799999999999995</v>
      </c>
    </row>
    <row r="19" spans="1:4">
      <c r="A19" s="111">
        <f t="shared" si="0"/>
        <v>2002</v>
      </c>
      <c r="B19" s="245">
        <v>0.77800000000000002</v>
      </c>
      <c r="C19" s="245">
        <v>0.57700000000000007</v>
      </c>
      <c r="D19" s="245">
        <v>0.71400000000000008</v>
      </c>
    </row>
    <row r="20" spans="1:4">
      <c r="A20" s="111">
        <f t="shared" si="0"/>
        <v>2003</v>
      </c>
      <c r="B20" s="245">
        <v>0.78299999999999992</v>
      </c>
      <c r="C20" s="245">
        <v>0.56799999999999995</v>
      </c>
      <c r="D20" s="245">
        <v>0.71200000000000008</v>
      </c>
    </row>
    <row r="21" spans="1:4">
      <c r="A21" s="111">
        <f t="shared" si="0"/>
        <v>2004</v>
      </c>
      <c r="B21" s="245">
        <v>0.79599999999999993</v>
      </c>
      <c r="C21" s="245">
        <v>0.57600000000000007</v>
      </c>
      <c r="D21" s="245">
        <v>0.71599999999999997</v>
      </c>
    </row>
    <row r="22" spans="1:4">
      <c r="A22" s="111">
        <f t="shared" si="0"/>
        <v>2005</v>
      </c>
      <c r="B22" s="245">
        <v>0.8</v>
      </c>
      <c r="C22" s="245">
        <v>0.58899999999999997</v>
      </c>
      <c r="D22" s="245">
        <v>0.72900000000000009</v>
      </c>
    </row>
    <row r="23" spans="1:4">
      <c r="A23" s="111">
        <f t="shared" si="0"/>
        <v>2006</v>
      </c>
      <c r="B23" s="245">
        <v>0.79799999999999993</v>
      </c>
      <c r="C23" s="245">
        <v>0.58599999999999997</v>
      </c>
      <c r="D23" s="245">
        <v>0.72499999999999998</v>
      </c>
    </row>
    <row r="24" spans="1:4">
      <c r="A24" s="111">
        <f t="shared" si="0"/>
        <v>2007</v>
      </c>
      <c r="B24" s="245">
        <v>0.79799999999999993</v>
      </c>
      <c r="C24" s="245">
        <v>0.59499999999999997</v>
      </c>
      <c r="D24" s="245">
        <v>0.72900000000000009</v>
      </c>
    </row>
    <row r="25" spans="1:4">
      <c r="A25" s="111">
        <f t="shared" si="0"/>
        <v>2008</v>
      </c>
      <c r="B25" s="245">
        <v>0.80799999999999994</v>
      </c>
      <c r="C25" s="245">
        <v>0.60399999999999998</v>
      </c>
      <c r="D25" s="245">
        <v>0.73</v>
      </c>
    </row>
    <row r="26" spans="1:4">
      <c r="A26" s="111">
        <f t="shared" si="0"/>
        <v>2009</v>
      </c>
      <c r="B26" s="245">
        <v>0.80689999999999995</v>
      </c>
      <c r="C26" s="245">
        <v>0.60699999999999998</v>
      </c>
      <c r="D26" s="245">
        <v>0.72270000000000001</v>
      </c>
    </row>
    <row r="27" spans="1:4">
      <c r="A27" s="111">
        <v>2010</v>
      </c>
      <c r="B27" s="245">
        <v>0.78599999999999992</v>
      </c>
      <c r="C27" s="245">
        <v>0.59200000000000008</v>
      </c>
      <c r="D27" s="245">
        <v>0.69700000000000006</v>
      </c>
    </row>
    <row r="30" spans="1:4">
      <c r="A30" s="15" t="s">
        <v>106</v>
      </c>
    </row>
    <row r="32" spans="1:4">
      <c r="A32" t="s">
        <v>335</v>
      </c>
    </row>
    <row r="33" spans="1:1">
      <c r="A33" t="s">
        <v>334</v>
      </c>
    </row>
  </sheetData>
  <hyperlinks>
    <hyperlink ref="A3" location="TableOfContents!A1" display="Back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9"/>
  <sheetViews>
    <sheetView workbookViewId="0">
      <selection activeCell="G12" sqref="G12"/>
    </sheetView>
  </sheetViews>
  <sheetFormatPr defaultRowHeight="15"/>
  <cols>
    <col min="1" max="1" width="6.42578125" customWidth="1"/>
    <col min="2" max="2" width="15.42578125" customWidth="1"/>
    <col min="3" max="3" width="11.28515625" customWidth="1"/>
    <col min="4" max="4" width="13.85546875" customWidth="1"/>
    <col min="8" max="8" width="9.140625" customWidth="1"/>
    <col min="9" max="9" width="20.85546875" customWidth="1"/>
    <col min="10" max="10" width="10.42578125" customWidth="1"/>
    <col min="11" max="11" width="12" customWidth="1"/>
    <col min="12" max="12" width="11.5703125" customWidth="1"/>
    <col min="13" max="13" width="15.5703125" customWidth="1"/>
  </cols>
  <sheetData>
    <row r="1" spans="1:13" ht="15.75">
      <c r="A1" s="24" t="s">
        <v>920</v>
      </c>
    </row>
    <row r="3" spans="1:13" ht="18.75">
      <c r="A3" s="27" t="s">
        <v>252</v>
      </c>
      <c r="B3" s="29" t="s">
        <v>253</v>
      </c>
    </row>
    <row r="4" spans="1:13" ht="18.75">
      <c r="A4" s="27"/>
      <c r="B4" s="29"/>
    </row>
    <row r="6" spans="1:13">
      <c r="A6" s="4" t="s">
        <v>915</v>
      </c>
      <c r="H6" s="4" t="s">
        <v>343</v>
      </c>
    </row>
    <row r="7" spans="1:13">
      <c r="H7" s="4" t="s">
        <v>921</v>
      </c>
    </row>
    <row r="9" spans="1:13" ht="39">
      <c r="A9" s="14" t="s">
        <v>338</v>
      </c>
      <c r="B9" s="209" t="s">
        <v>948</v>
      </c>
      <c r="C9" s="210" t="s">
        <v>949</v>
      </c>
      <c r="D9" s="210" t="s">
        <v>947</v>
      </c>
      <c r="H9" s="3" t="s">
        <v>365</v>
      </c>
      <c r="I9" s="62" t="s">
        <v>344</v>
      </c>
      <c r="J9" s="63" t="s">
        <v>345</v>
      </c>
      <c r="K9" s="225" t="s">
        <v>950</v>
      </c>
      <c r="L9" s="225" t="s">
        <v>952</v>
      </c>
      <c r="M9" s="215" t="s">
        <v>364</v>
      </c>
    </row>
    <row r="10" spans="1:13">
      <c r="A10" s="61">
        <v>1975</v>
      </c>
      <c r="B10" s="223">
        <v>592</v>
      </c>
      <c r="C10" s="211">
        <v>510</v>
      </c>
      <c r="D10" s="212">
        <v>58</v>
      </c>
      <c r="H10" s="140">
        <v>1993</v>
      </c>
      <c r="I10" s="140" t="s">
        <v>346</v>
      </c>
      <c r="J10" s="140">
        <v>1992</v>
      </c>
      <c r="K10" s="216">
        <v>28789</v>
      </c>
      <c r="L10" s="217">
        <v>30382</v>
      </c>
      <c r="M10" s="218">
        <v>-5.2432361266539405E-2</v>
      </c>
    </row>
    <row r="11" spans="1:13">
      <c r="A11" s="61">
        <v>1976</v>
      </c>
      <c r="B11" s="223">
        <v>551.5</v>
      </c>
      <c r="C11" s="211">
        <v>400</v>
      </c>
      <c r="D11" s="212">
        <v>43</v>
      </c>
      <c r="H11" s="64">
        <v>1994</v>
      </c>
      <c r="I11" s="64" t="s">
        <v>347</v>
      </c>
      <c r="J11" s="64">
        <v>1993</v>
      </c>
      <c r="K11" s="219">
        <v>32219</v>
      </c>
      <c r="L11" s="219">
        <v>33615</v>
      </c>
      <c r="M11" s="220">
        <v>-4.1529079280083293E-2</v>
      </c>
    </row>
    <row r="12" spans="1:13">
      <c r="A12" s="61">
        <v>1977</v>
      </c>
      <c r="B12" s="223">
        <v>568.9</v>
      </c>
      <c r="C12" s="211">
        <v>372</v>
      </c>
      <c r="D12" s="212">
        <v>48</v>
      </c>
      <c r="H12" s="64">
        <v>1995</v>
      </c>
      <c r="I12" s="64" t="s">
        <v>348</v>
      </c>
      <c r="J12" s="64">
        <v>1994</v>
      </c>
      <c r="K12" s="219">
        <v>37052</v>
      </c>
      <c r="L12" s="219">
        <v>36851</v>
      </c>
      <c r="M12" s="220">
        <v>5.0000000000000001E-3</v>
      </c>
    </row>
    <row r="13" spans="1:13">
      <c r="A13" s="61">
        <v>1978</v>
      </c>
      <c r="B13" s="223">
        <v>490.8</v>
      </c>
      <c r="C13" s="211">
        <v>322</v>
      </c>
      <c r="D13" s="212">
        <v>43</v>
      </c>
      <c r="H13" s="64">
        <v>1996</v>
      </c>
      <c r="I13" s="64" t="s">
        <v>349</v>
      </c>
      <c r="J13" s="64">
        <v>1995</v>
      </c>
      <c r="K13" s="219">
        <v>40852</v>
      </c>
      <c r="L13" s="219">
        <v>40234</v>
      </c>
      <c r="M13" s="220">
        <v>1.4999999999999999E-2</v>
      </c>
    </row>
    <row r="14" spans="1:13">
      <c r="A14" s="61">
        <v>1979</v>
      </c>
      <c r="B14" s="223">
        <v>440.5</v>
      </c>
      <c r="C14" s="211">
        <v>282</v>
      </c>
      <c r="D14" s="212">
        <v>44</v>
      </c>
      <c r="H14" s="64">
        <v>1997</v>
      </c>
      <c r="I14" s="65" t="s">
        <v>350</v>
      </c>
      <c r="J14" s="64">
        <v>1996</v>
      </c>
      <c r="K14" s="219">
        <v>44225</v>
      </c>
      <c r="L14" s="219">
        <v>43266</v>
      </c>
      <c r="M14" s="220">
        <v>2.2000000000000002E-2</v>
      </c>
    </row>
    <row r="15" spans="1:13">
      <c r="A15" s="61">
        <v>1980</v>
      </c>
      <c r="B15" s="223">
        <v>420.3</v>
      </c>
      <c r="C15" s="211">
        <v>295</v>
      </c>
      <c r="D15" s="212">
        <v>41</v>
      </c>
      <c r="H15" s="64">
        <v>1998</v>
      </c>
      <c r="I15" s="65" t="s">
        <v>351</v>
      </c>
      <c r="J15" s="64">
        <v>1997</v>
      </c>
      <c r="K15" s="219">
        <v>47031</v>
      </c>
      <c r="L15" s="219">
        <v>45419</v>
      </c>
      <c r="M15" s="220">
        <v>3.5000000000000003E-2</v>
      </c>
    </row>
    <row r="16" spans="1:13">
      <c r="A16" s="61">
        <v>1981</v>
      </c>
      <c r="B16" s="223">
        <v>381</v>
      </c>
      <c r="C16" s="211">
        <v>232</v>
      </c>
      <c r="D16" s="212">
        <v>37</v>
      </c>
      <c r="H16" s="64">
        <v>1999</v>
      </c>
      <c r="I16" s="65" t="s">
        <v>366</v>
      </c>
      <c r="J16" s="64">
        <v>1998</v>
      </c>
      <c r="K16" s="219">
        <v>49975</v>
      </c>
      <c r="L16" s="219">
        <v>47619</v>
      </c>
      <c r="M16" s="220">
        <v>4.9000000000000002E-2</v>
      </c>
    </row>
    <row r="17" spans="1:13">
      <c r="A17" s="61">
        <v>1982</v>
      </c>
      <c r="B17" s="223">
        <v>336.1</v>
      </c>
      <c r="C17" s="211">
        <v>204</v>
      </c>
      <c r="D17" s="212">
        <v>38</v>
      </c>
      <c r="H17" s="64">
        <v>2000</v>
      </c>
      <c r="I17" s="65" t="s">
        <v>352</v>
      </c>
      <c r="J17" s="64">
        <v>1999</v>
      </c>
      <c r="K17" s="219">
        <v>51409</v>
      </c>
      <c r="L17" s="219">
        <v>50474</v>
      </c>
      <c r="M17" s="220">
        <v>1.9E-2</v>
      </c>
    </row>
    <row r="18" spans="1:13">
      <c r="A18" s="61">
        <v>1983</v>
      </c>
      <c r="B18" s="223">
        <v>428.5</v>
      </c>
      <c r="C18" s="211">
        <v>267</v>
      </c>
      <c r="D18" s="212">
        <v>47</v>
      </c>
      <c r="H18" s="64">
        <v>2001</v>
      </c>
      <c r="I18" s="65" t="s">
        <v>353</v>
      </c>
      <c r="J18" s="64">
        <v>2000</v>
      </c>
      <c r="K18" s="219">
        <v>54070</v>
      </c>
      <c r="L18" s="219">
        <v>54241</v>
      </c>
      <c r="M18" s="220">
        <v>-3.0000000000000001E-3</v>
      </c>
    </row>
    <row r="19" spans="1:13">
      <c r="A19" s="61">
        <v>1984</v>
      </c>
      <c r="B19" s="223">
        <v>410</v>
      </c>
      <c r="C19" s="211">
        <v>329</v>
      </c>
      <c r="D19" s="212">
        <v>47</v>
      </c>
      <c r="H19" s="64">
        <v>2002</v>
      </c>
      <c r="I19" s="65" t="s">
        <v>354</v>
      </c>
      <c r="J19" s="64">
        <v>2001</v>
      </c>
      <c r="K19" s="219">
        <v>59400</v>
      </c>
      <c r="L19" s="219">
        <v>59600</v>
      </c>
      <c r="M19" s="220">
        <v>-4.0000000000000001E-3</v>
      </c>
    </row>
    <row r="20" spans="1:13">
      <c r="A20" s="61">
        <v>1985</v>
      </c>
      <c r="B20" s="223">
        <v>416.1</v>
      </c>
      <c r="C20" s="211">
        <v>332</v>
      </c>
      <c r="D20" s="212">
        <v>48</v>
      </c>
      <c r="H20" s="64">
        <v>2003</v>
      </c>
      <c r="I20" s="65" t="s">
        <v>355</v>
      </c>
      <c r="J20" s="64">
        <v>2002</v>
      </c>
      <c r="K20" s="219">
        <v>63300</v>
      </c>
      <c r="L20" s="219">
        <v>65700</v>
      </c>
      <c r="M20" s="220">
        <v>-3.6000000000000004E-2</v>
      </c>
    </row>
    <row r="21" spans="1:13">
      <c r="A21" s="61">
        <v>1986</v>
      </c>
      <c r="B21" s="223">
        <v>424.9</v>
      </c>
      <c r="C21" s="211">
        <v>389</v>
      </c>
      <c r="D21" s="212">
        <v>55</v>
      </c>
      <c r="H21" s="64">
        <v>2004</v>
      </c>
      <c r="I21" s="65" t="s">
        <v>356</v>
      </c>
      <c r="J21" s="64">
        <v>2003</v>
      </c>
      <c r="K21" s="219">
        <v>69700</v>
      </c>
      <c r="L21" s="219">
        <v>70900</v>
      </c>
      <c r="M21" s="220">
        <v>-1.8000000000000002E-2</v>
      </c>
    </row>
    <row r="22" spans="1:13">
      <c r="A22" s="61">
        <v>1987</v>
      </c>
      <c r="B22" s="223">
        <v>420.3</v>
      </c>
      <c r="C22" s="211">
        <v>382</v>
      </c>
      <c r="D22" s="212">
        <v>48</v>
      </c>
      <c r="H22" s="64">
        <v>2005</v>
      </c>
      <c r="I22" s="65" t="s">
        <v>357</v>
      </c>
      <c r="J22" s="64">
        <v>2004</v>
      </c>
      <c r="K22" s="219">
        <v>77800</v>
      </c>
      <c r="L22" s="219">
        <v>78200</v>
      </c>
      <c r="M22" s="220">
        <v>-6.0000000000000001E-3</v>
      </c>
    </row>
    <row r="23" spans="1:13">
      <c r="A23" s="61">
        <v>1988</v>
      </c>
      <c r="B23" s="223">
        <v>415.3</v>
      </c>
      <c r="C23" s="211">
        <v>355</v>
      </c>
      <c r="D23" s="212">
        <v>50</v>
      </c>
      <c r="H23" s="64">
        <v>2006</v>
      </c>
      <c r="I23" s="65" t="s">
        <v>358</v>
      </c>
      <c r="J23" s="64">
        <v>2005</v>
      </c>
      <c r="K23" s="219">
        <v>81400</v>
      </c>
      <c r="L23" s="219">
        <v>85400</v>
      </c>
      <c r="M23" s="220">
        <v>-4.5999999999999999E-2</v>
      </c>
    </row>
    <row r="24" spans="1:13">
      <c r="A24" s="61">
        <v>1989</v>
      </c>
      <c r="B24" s="223">
        <v>430.7</v>
      </c>
      <c r="C24" s="211">
        <v>383</v>
      </c>
      <c r="D24" s="212">
        <v>48</v>
      </c>
      <c r="H24" s="64">
        <v>2007</v>
      </c>
      <c r="I24" s="65" t="s">
        <v>359</v>
      </c>
      <c r="J24" s="64">
        <v>2006</v>
      </c>
      <c r="K24" s="219">
        <v>89000</v>
      </c>
      <c r="L24" s="219">
        <v>92400</v>
      </c>
      <c r="M24" s="220">
        <v>-3.7000000000000005E-2</v>
      </c>
    </row>
    <row r="25" spans="1:13">
      <c r="A25" s="61">
        <v>1990</v>
      </c>
      <c r="B25" s="223">
        <v>472.1</v>
      </c>
      <c r="C25" s="211">
        <v>452</v>
      </c>
      <c r="D25" s="212">
        <v>76</v>
      </c>
      <c r="H25" s="64">
        <v>2008</v>
      </c>
      <c r="I25" s="65" t="s">
        <v>360</v>
      </c>
      <c r="J25" s="64">
        <v>2007</v>
      </c>
      <c r="K25" s="219">
        <v>99000</v>
      </c>
      <c r="L25" s="219">
        <v>99100</v>
      </c>
      <c r="M25" s="220">
        <v>-1E-3</v>
      </c>
    </row>
    <row r="26" spans="1:13">
      <c r="A26" s="61">
        <v>1991</v>
      </c>
      <c r="B26" s="223">
        <v>540.79999999999995</v>
      </c>
      <c r="C26" s="211">
        <v>518</v>
      </c>
      <c r="D26" s="212">
        <v>126</v>
      </c>
      <c r="H26" s="64">
        <v>2009</v>
      </c>
      <c r="I26" s="65" t="s">
        <v>361</v>
      </c>
      <c r="J26" s="64">
        <v>2008</v>
      </c>
      <c r="K26" s="219">
        <v>103400</v>
      </c>
      <c r="L26" s="219">
        <v>106300</v>
      </c>
      <c r="M26" s="220">
        <v>-2.7999999999999997E-2</v>
      </c>
    </row>
    <row r="27" spans="1:13">
      <c r="A27" s="61">
        <v>1992</v>
      </c>
      <c r="B27" s="223">
        <v>642.1</v>
      </c>
      <c r="C27" s="211">
        <v>653</v>
      </c>
      <c r="D27" s="212">
        <v>221</v>
      </c>
      <c r="H27" s="64">
        <v>2010</v>
      </c>
      <c r="I27" s="66" t="s">
        <v>362</v>
      </c>
      <c r="J27" s="64">
        <v>2009</v>
      </c>
      <c r="K27" s="221">
        <v>111700</v>
      </c>
      <c r="L27" s="221">
        <v>118400</v>
      </c>
      <c r="M27" s="222">
        <v>-5.5999999999999994E-2</v>
      </c>
    </row>
    <row r="28" spans="1:13">
      <c r="A28" s="61">
        <v>1993</v>
      </c>
      <c r="B28" s="223">
        <v>637.4</v>
      </c>
      <c r="C28" s="211">
        <v>640</v>
      </c>
      <c r="D28" s="212">
        <v>235</v>
      </c>
      <c r="H28" s="64">
        <v>2011</v>
      </c>
      <c r="I28" s="66" t="s">
        <v>363</v>
      </c>
      <c r="J28" s="64">
        <v>2010</v>
      </c>
      <c r="K28" s="221">
        <v>128100</v>
      </c>
      <c r="L28" s="221">
        <v>127700</v>
      </c>
      <c r="M28" s="222">
        <v>4.0000000000000001E-3</v>
      </c>
    </row>
    <row r="29" spans="1:13">
      <c r="A29" s="61">
        <v>1994</v>
      </c>
      <c r="B29" s="223">
        <v>631.9</v>
      </c>
      <c r="C29" s="211">
        <v>586</v>
      </c>
      <c r="D29" s="212">
        <v>204</v>
      </c>
    </row>
    <row r="30" spans="1:13">
      <c r="A30" s="61">
        <v>1995</v>
      </c>
      <c r="B30" s="223">
        <v>645.6</v>
      </c>
      <c r="C30" s="211">
        <v>572</v>
      </c>
      <c r="D30" s="212">
        <v>177</v>
      </c>
      <c r="H30" s="4" t="s">
        <v>922</v>
      </c>
    </row>
    <row r="31" spans="1:13">
      <c r="A31" s="61">
        <v>1996</v>
      </c>
      <c r="B31" s="223">
        <v>624.29999999999995</v>
      </c>
      <c r="C31" s="211">
        <v>530</v>
      </c>
      <c r="D31" s="212">
        <v>145</v>
      </c>
    </row>
    <row r="32" spans="1:13">
      <c r="A32" s="61">
        <v>1997</v>
      </c>
      <c r="B32" s="223">
        <v>587.70000000000005</v>
      </c>
      <c r="C32" s="211">
        <v>460</v>
      </c>
      <c r="D32" s="212">
        <v>116</v>
      </c>
    </row>
    <row r="33" spans="1:4">
      <c r="A33" s="61">
        <v>1998</v>
      </c>
      <c r="B33" s="223">
        <v>608.4</v>
      </c>
      <c r="C33" s="211">
        <v>492</v>
      </c>
      <c r="D33" s="212">
        <v>135</v>
      </c>
    </row>
    <row r="34" spans="1:4">
      <c r="A34" s="61">
        <v>1999</v>
      </c>
      <c r="B34" s="223">
        <v>620.6</v>
      </c>
      <c r="C34" s="211">
        <v>495</v>
      </c>
      <c r="D34" s="212">
        <v>140</v>
      </c>
    </row>
    <row r="35" spans="1:4">
      <c r="A35" s="61">
        <v>2000</v>
      </c>
      <c r="B35" s="223">
        <v>621.29999999999995</v>
      </c>
      <c r="C35" s="211">
        <v>483</v>
      </c>
      <c r="D35" s="212">
        <v>145</v>
      </c>
    </row>
    <row r="36" spans="1:4">
      <c r="A36" s="61">
        <v>2001</v>
      </c>
      <c r="B36" s="223">
        <v>690.5</v>
      </c>
      <c r="C36" s="211">
        <v>504</v>
      </c>
      <c r="D36" s="212">
        <v>157</v>
      </c>
    </row>
    <row r="37" spans="1:4">
      <c r="A37" s="61">
        <v>2002</v>
      </c>
      <c r="B37" s="223">
        <v>750</v>
      </c>
      <c r="C37" s="211">
        <v>535</v>
      </c>
      <c r="D37" s="212">
        <v>171</v>
      </c>
    </row>
    <row r="38" spans="1:4">
      <c r="A38" s="61">
        <v>2003</v>
      </c>
      <c r="B38" s="223">
        <v>777.5</v>
      </c>
      <c r="C38" s="211">
        <v>540</v>
      </c>
      <c r="D38" s="212">
        <v>180</v>
      </c>
    </row>
    <row r="39" spans="1:4">
      <c r="A39" s="61">
        <v>2004</v>
      </c>
      <c r="B39" s="223">
        <v>795.8</v>
      </c>
      <c r="C39" s="211">
        <v>571</v>
      </c>
      <c r="D39" s="212">
        <v>183</v>
      </c>
    </row>
    <row r="40" spans="1:4">
      <c r="A40" s="141">
        <v>2005</v>
      </c>
      <c r="B40" s="223">
        <v>829.7</v>
      </c>
      <c r="C40" s="211">
        <v>561</v>
      </c>
      <c r="D40" s="212">
        <v>178</v>
      </c>
    </row>
    <row r="41" spans="1:4">
      <c r="A41" s="141">
        <v>2006</v>
      </c>
      <c r="B41" s="223">
        <v>803.8</v>
      </c>
      <c r="C41" s="211">
        <v>561</v>
      </c>
      <c r="D41" s="212">
        <v>175</v>
      </c>
    </row>
    <row r="42" spans="1:4">
      <c r="A42" s="141">
        <v>2007</v>
      </c>
      <c r="B42" s="223">
        <v>818.5</v>
      </c>
      <c r="C42" s="211">
        <v>566</v>
      </c>
      <c r="D42" s="212">
        <v>172</v>
      </c>
    </row>
    <row r="43" spans="1:4">
      <c r="A43" s="141">
        <v>2008</v>
      </c>
      <c r="B43" s="223">
        <v>890.4</v>
      </c>
      <c r="C43" s="211">
        <v>639</v>
      </c>
      <c r="D43" s="212">
        <v>183</v>
      </c>
    </row>
    <row r="44" spans="1:4">
      <c r="A44" s="141">
        <v>2009</v>
      </c>
      <c r="B44" s="224">
        <v>987.6</v>
      </c>
      <c r="C44" s="213">
        <v>697</v>
      </c>
      <c r="D44" s="214">
        <v>198</v>
      </c>
    </row>
    <row r="45" spans="1:4">
      <c r="A45" s="141">
        <v>2010</v>
      </c>
      <c r="B45" s="223">
        <v>1049.3</v>
      </c>
      <c r="C45" s="213">
        <v>740</v>
      </c>
      <c r="D45" s="214">
        <v>205</v>
      </c>
    </row>
    <row r="47" spans="1:4">
      <c r="A47" s="4" t="s">
        <v>342</v>
      </c>
    </row>
    <row r="49" spans="1:1">
      <c r="A49" s="15" t="s">
        <v>106</v>
      </c>
    </row>
    <row r="50" spans="1:1">
      <c r="A50" s="15"/>
    </row>
    <row r="51" spans="1:1">
      <c r="A51" s="4" t="s">
        <v>368</v>
      </c>
    </row>
    <row r="52" spans="1:1">
      <c r="A52" t="s">
        <v>439</v>
      </c>
    </row>
    <row r="53" spans="1:1">
      <c r="A53" s="1" t="s">
        <v>90</v>
      </c>
    </row>
    <row r="54" spans="1:1">
      <c r="A54" s="15"/>
    </row>
    <row r="55" spans="1:1">
      <c r="A55" t="s">
        <v>438</v>
      </c>
    </row>
    <row r="56" spans="1:1">
      <c r="A56" s="1" t="s">
        <v>367</v>
      </c>
    </row>
    <row r="58" spans="1:1">
      <c r="A58" s="4" t="s">
        <v>369</v>
      </c>
    </row>
    <row r="59" spans="1:1">
      <c r="A59" t="s">
        <v>951</v>
      </c>
    </row>
  </sheetData>
  <hyperlinks>
    <hyperlink ref="A3" location="TableOfContents!A1" display="Back"/>
    <hyperlink ref="A56" r:id="rId1" location="642998"/>
    <hyperlink ref="A53" r:id="rId2" location="table6.c7" display="http://www.ssa.gov/policy/docs/statcomps/supplement/2011/6c.html - table6.c7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1"/>
  <sheetViews>
    <sheetView workbookViewId="0">
      <selection activeCell="D5" sqref="D5"/>
    </sheetView>
  </sheetViews>
  <sheetFormatPr defaultRowHeight="15"/>
  <cols>
    <col min="1" max="1" width="6.5703125" customWidth="1"/>
    <col min="2" max="2" width="14.7109375" customWidth="1"/>
  </cols>
  <sheetData>
    <row r="1" spans="1:5" ht="15.75">
      <c r="A1" s="24" t="s">
        <v>370</v>
      </c>
    </row>
    <row r="3" spans="1:5" ht="18.75">
      <c r="A3" s="27" t="s">
        <v>252</v>
      </c>
      <c r="B3" s="29" t="s">
        <v>253</v>
      </c>
      <c r="C3" s="27"/>
    </row>
    <row r="5" spans="1:5" ht="30">
      <c r="A5" s="14" t="s">
        <v>87</v>
      </c>
      <c r="B5" s="3" t="s">
        <v>371</v>
      </c>
    </row>
    <row r="6" spans="1:5">
      <c r="A6" s="111">
        <v>1980</v>
      </c>
      <c r="B6" s="267">
        <v>4.3600000000000003</v>
      </c>
    </row>
    <row r="7" spans="1:5">
      <c r="A7" s="111">
        <v>1981</v>
      </c>
      <c r="B7" s="267">
        <v>3.87</v>
      </c>
      <c r="C7" s="67"/>
      <c r="E7" s="67"/>
    </row>
    <row r="8" spans="1:5">
      <c r="A8" s="111">
        <v>1982</v>
      </c>
      <c r="B8" s="267">
        <v>3.35</v>
      </c>
      <c r="C8" s="67"/>
      <c r="E8" s="67"/>
    </row>
    <row r="9" spans="1:5">
      <c r="A9" s="111">
        <v>1983</v>
      </c>
      <c r="B9" s="267">
        <v>4.22</v>
      </c>
      <c r="C9" s="67"/>
      <c r="E9" s="67"/>
    </row>
    <row r="10" spans="1:5">
      <c r="A10" s="111">
        <v>1984</v>
      </c>
      <c r="B10" s="267">
        <v>3.98</v>
      </c>
      <c r="C10" s="67"/>
      <c r="E10" s="67"/>
    </row>
    <row r="11" spans="1:5">
      <c r="A11" s="111">
        <v>1985</v>
      </c>
      <c r="B11" s="267">
        <v>3.97</v>
      </c>
      <c r="C11" s="67"/>
      <c r="E11" s="67"/>
    </row>
    <row r="12" spans="1:5">
      <c r="A12" s="111">
        <v>1986</v>
      </c>
      <c r="B12" s="267">
        <v>3.96</v>
      </c>
      <c r="C12" s="67"/>
      <c r="E12" s="67"/>
    </row>
    <row r="13" spans="1:5">
      <c r="A13" s="111">
        <v>1987</v>
      </c>
      <c r="B13" s="267">
        <v>3.85</v>
      </c>
      <c r="C13" s="67"/>
      <c r="E13" s="67"/>
    </row>
    <row r="14" spans="1:5">
      <c r="A14" s="111">
        <v>1988</v>
      </c>
      <c r="B14" s="267">
        <v>3.73</v>
      </c>
      <c r="C14" s="67"/>
      <c r="E14" s="67"/>
    </row>
    <row r="15" spans="1:5">
      <c r="A15" s="111">
        <v>1989</v>
      </c>
      <c r="B15" s="267">
        <v>3.79</v>
      </c>
      <c r="C15" s="67"/>
      <c r="E15" s="67"/>
    </row>
    <row r="16" spans="1:5">
      <c r="A16" s="111">
        <v>1990</v>
      </c>
      <c r="B16" s="267">
        <v>4.09</v>
      </c>
      <c r="C16" s="67"/>
      <c r="E16" s="67"/>
    </row>
    <row r="17" spans="1:5">
      <c r="A17" s="111">
        <v>1991</v>
      </c>
      <c r="B17" s="267">
        <v>4.62</v>
      </c>
      <c r="C17" s="67"/>
      <c r="E17" s="67"/>
    </row>
    <row r="18" spans="1:5">
      <c r="A18" s="111">
        <v>1992</v>
      </c>
      <c r="B18" s="267">
        <v>5.44</v>
      </c>
      <c r="C18" s="67"/>
      <c r="E18" s="67"/>
    </row>
    <row r="19" spans="1:5">
      <c r="A19" s="111">
        <v>1993</v>
      </c>
      <c r="B19" s="267">
        <v>5.35</v>
      </c>
      <c r="C19" s="67"/>
      <c r="E19" s="67"/>
    </row>
    <row r="20" spans="1:5">
      <c r="A20" s="111">
        <v>1994</v>
      </c>
      <c r="B20" s="267">
        <v>5.25</v>
      </c>
      <c r="C20" s="67"/>
      <c r="E20" s="67"/>
    </row>
    <row r="21" spans="1:5">
      <c r="A21" s="111">
        <v>1995</v>
      </c>
      <c r="B21" s="267">
        <v>5.29</v>
      </c>
      <c r="C21" s="67"/>
      <c r="E21" s="67"/>
    </row>
    <row r="22" spans="1:5">
      <c r="A22" s="111">
        <v>1996</v>
      </c>
      <c r="B22" s="267">
        <v>5.04</v>
      </c>
      <c r="C22" s="67"/>
      <c r="E22" s="67"/>
    </row>
    <row r="23" spans="1:5">
      <c r="A23" s="111">
        <v>1997</v>
      </c>
      <c r="B23" s="267">
        <v>4.68</v>
      </c>
      <c r="C23" s="67"/>
      <c r="E23" s="67"/>
    </row>
    <row r="24" spans="1:5">
      <c r="A24" s="111">
        <v>1998</v>
      </c>
      <c r="B24" s="267">
        <v>4.7699999999999996</v>
      </c>
      <c r="C24" s="67"/>
      <c r="E24" s="67"/>
    </row>
    <row r="25" spans="1:5">
      <c r="A25" s="111">
        <v>1999</v>
      </c>
      <c r="B25" s="267">
        <v>4.78</v>
      </c>
      <c r="C25" s="67"/>
      <c r="E25" s="67"/>
    </row>
    <row r="26" spans="1:5">
      <c r="A26" s="111">
        <v>2000</v>
      </c>
      <c r="B26" s="267">
        <v>4.71</v>
      </c>
      <c r="C26" s="67"/>
      <c r="E26" s="67"/>
    </row>
    <row r="27" spans="1:5">
      <c r="A27" s="111">
        <v>2001</v>
      </c>
      <c r="B27" s="267">
        <v>5.16</v>
      </c>
      <c r="C27" s="67"/>
      <c r="E27" s="67"/>
    </row>
    <row r="28" spans="1:5">
      <c r="A28" s="111">
        <v>2002</v>
      </c>
      <c r="B28" s="267">
        <v>5.55</v>
      </c>
      <c r="C28" s="67"/>
      <c r="E28" s="67"/>
    </row>
    <row r="29" spans="1:5">
      <c r="A29" s="111">
        <v>2003</v>
      </c>
      <c r="B29" s="267">
        <v>5.71</v>
      </c>
      <c r="C29" s="67"/>
      <c r="E29" s="67"/>
    </row>
    <row r="30" spans="1:5">
      <c r="A30" s="111">
        <v>2004</v>
      </c>
      <c r="B30" s="267">
        <v>5.8</v>
      </c>
      <c r="C30" s="67"/>
      <c r="E30" s="67"/>
    </row>
    <row r="31" spans="1:5">
      <c r="A31" s="68">
        <v>2005</v>
      </c>
      <c r="B31" s="267">
        <v>6</v>
      </c>
      <c r="C31" s="67"/>
      <c r="E31" s="67"/>
    </row>
    <row r="32" spans="1:5">
      <c r="A32" s="68">
        <v>2006</v>
      </c>
      <c r="B32" s="267">
        <v>5.76</v>
      </c>
      <c r="C32" s="67"/>
      <c r="E32" s="67"/>
    </row>
    <row r="33" spans="1:5">
      <c r="A33" s="68">
        <v>2007</v>
      </c>
      <c r="B33" s="267">
        <v>5.81</v>
      </c>
      <c r="C33" s="67"/>
      <c r="E33" s="67"/>
    </row>
    <row r="34" spans="1:5">
      <c r="A34" s="68">
        <v>2008</v>
      </c>
      <c r="B34" s="267">
        <v>6.27</v>
      </c>
      <c r="C34" s="67"/>
      <c r="E34" s="67"/>
    </row>
    <row r="35" spans="1:5">
      <c r="A35" s="68">
        <v>2009</v>
      </c>
      <c r="B35" s="267">
        <v>6.87</v>
      </c>
      <c r="C35" s="67"/>
      <c r="E35" s="67"/>
    </row>
    <row r="36" spans="1:5">
      <c r="A36" s="68"/>
      <c r="B36" s="69"/>
      <c r="C36" s="69"/>
      <c r="E36" s="67"/>
    </row>
    <row r="38" spans="1:5">
      <c r="A38" s="15" t="s">
        <v>106</v>
      </c>
    </row>
    <row r="40" spans="1:5">
      <c r="A40" t="s">
        <v>372</v>
      </c>
    </row>
    <row r="41" spans="1:5">
      <c r="A41" s="1" t="s">
        <v>373</v>
      </c>
    </row>
  </sheetData>
  <hyperlinks>
    <hyperlink ref="A3" location="TableOfContents!A1" display="Back"/>
    <hyperlink ref="A4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2"/>
  <sheetViews>
    <sheetView workbookViewId="0">
      <selection activeCell="J3" sqref="J3"/>
    </sheetView>
  </sheetViews>
  <sheetFormatPr defaultRowHeight="15"/>
  <cols>
    <col min="1" max="1" width="6.5703125" customWidth="1"/>
  </cols>
  <sheetData>
    <row r="1" spans="1:2" ht="15.75">
      <c r="A1" s="24" t="s">
        <v>374</v>
      </c>
    </row>
    <row r="3" spans="1:2" ht="18.75">
      <c r="A3" s="27" t="s">
        <v>252</v>
      </c>
      <c r="B3" s="29" t="s">
        <v>253</v>
      </c>
    </row>
    <row r="4" spans="1:2" ht="18.75">
      <c r="A4" s="27"/>
      <c r="B4" s="29"/>
    </row>
    <row r="40" spans="1:1">
      <c r="A40" s="15" t="s">
        <v>106</v>
      </c>
    </row>
    <row r="41" spans="1:1">
      <c r="A41" s="15"/>
    </row>
    <row r="42" spans="1:1">
      <c r="A42" t="s">
        <v>375</v>
      </c>
    </row>
  </sheetData>
  <hyperlinks>
    <hyperlink ref="A3" location="TableOfContents!A1" display="Back"/>
  </hyperlinks>
  <pageMargins left="0.7" right="0.7" top="0.75" bottom="0.75" header="0.3" footer="0.3"/>
  <legacyDrawing r:id="rId1"/>
  <oleObjects>
    <oleObject progId="Visio.Drawing.11" shapeId="2049" r:id="rId2"/>
  </oleObjects>
</worksheet>
</file>

<file path=xl/worksheets/sheet14.xml><?xml version="1.0" encoding="utf-8"?>
<worksheet xmlns="http://schemas.openxmlformats.org/spreadsheetml/2006/main" xmlns:r="http://schemas.openxmlformats.org/officeDocument/2006/relationships">
  <dimension ref="A1:E30"/>
  <sheetViews>
    <sheetView workbookViewId="0">
      <selection activeCell="H8" sqref="H8"/>
    </sheetView>
  </sheetViews>
  <sheetFormatPr defaultRowHeight="15"/>
  <cols>
    <col min="1" max="1" width="6.5703125" customWidth="1"/>
    <col min="2" max="2" width="10.85546875" customWidth="1"/>
    <col min="3" max="3" width="13.28515625" customWidth="1"/>
    <col min="4" max="4" width="10.42578125" customWidth="1"/>
  </cols>
  <sheetData>
    <row r="1" spans="1:5" ht="15.75">
      <c r="A1" s="24" t="s">
        <v>376</v>
      </c>
    </row>
    <row r="3" spans="1:5" ht="18.75">
      <c r="A3" s="27" t="s">
        <v>252</v>
      </c>
      <c r="B3" s="29" t="s">
        <v>253</v>
      </c>
    </row>
    <row r="5" spans="1:5">
      <c r="A5" s="14" t="s">
        <v>87</v>
      </c>
      <c r="B5" s="8" t="s">
        <v>378</v>
      </c>
      <c r="C5" s="226" t="s">
        <v>380</v>
      </c>
      <c r="D5" s="8" t="s">
        <v>379</v>
      </c>
      <c r="E5" s="4"/>
    </row>
    <row r="6" spans="1:5">
      <c r="A6" s="25">
        <v>1990</v>
      </c>
      <c r="B6" s="227">
        <v>0</v>
      </c>
      <c r="C6" s="227">
        <v>195100</v>
      </c>
      <c r="D6" s="227">
        <f>B6+C6</f>
        <v>195100</v>
      </c>
    </row>
    <row r="7" spans="1:5">
      <c r="A7" s="25">
        <v>1991</v>
      </c>
      <c r="B7" s="227">
        <v>0</v>
      </c>
      <c r="C7" s="227">
        <v>73500</v>
      </c>
      <c r="D7" s="227">
        <f t="shared" ref="D7:D23" si="0">B7+C7</f>
        <v>73500</v>
      </c>
    </row>
    <row r="8" spans="1:5">
      <c r="A8" s="25">
        <v>1992</v>
      </c>
      <c r="B8" s="227">
        <v>0</v>
      </c>
      <c r="C8" s="227">
        <v>73100</v>
      </c>
      <c r="D8" s="227">
        <f t="shared" si="0"/>
        <v>73100</v>
      </c>
    </row>
    <row r="9" spans="1:5">
      <c r="A9" s="25">
        <v>1993</v>
      </c>
      <c r="B9" s="227">
        <v>28900</v>
      </c>
      <c r="C9" s="227">
        <v>35900</v>
      </c>
      <c r="D9" s="227">
        <f t="shared" si="0"/>
        <v>64800</v>
      </c>
    </row>
    <row r="10" spans="1:5">
      <c r="A10" s="25">
        <v>1994</v>
      </c>
      <c r="B10" s="227">
        <v>32600</v>
      </c>
      <c r="C10" s="227">
        <v>85800</v>
      </c>
      <c r="D10" s="227">
        <f t="shared" si="0"/>
        <v>118400</v>
      </c>
    </row>
    <row r="11" spans="1:5">
      <c r="A11" s="25">
        <v>1995</v>
      </c>
      <c r="B11" s="227">
        <v>86800</v>
      </c>
      <c r="C11" s="227">
        <v>153800</v>
      </c>
      <c r="D11" s="227">
        <f t="shared" si="0"/>
        <v>240600</v>
      </c>
    </row>
    <row r="12" spans="1:5">
      <c r="A12" s="25">
        <v>1996</v>
      </c>
      <c r="B12" s="227">
        <v>248000</v>
      </c>
      <c r="C12" s="227">
        <v>250400</v>
      </c>
      <c r="D12" s="227">
        <f t="shared" si="0"/>
        <v>498400</v>
      </c>
    </row>
    <row r="13" spans="1:5">
      <c r="A13" s="25">
        <v>1997</v>
      </c>
      <c r="B13" s="227">
        <v>269615</v>
      </c>
      <c r="C13" s="227">
        <v>420863</v>
      </c>
      <c r="D13" s="227">
        <f t="shared" si="0"/>
        <v>690478</v>
      </c>
    </row>
    <row r="14" spans="1:5">
      <c r="A14" s="25">
        <v>1998</v>
      </c>
      <c r="B14" s="227">
        <v>749383</v>
      </c>
      <c r="C14" s="227">
        <v>642506</v>
      </c>
      <c r="D14" s="227">
        <f t="shared" si="0"/>
        <v>1391889</v>
      </c>
    </row>
    <row r="15" spans="1:5">
      <c r="A15" s="25">
        <v>1999</v>
      </c>
      <c r="B15" s="227">
        <v>912297</v>
      </c>
      <c r="C15" s="227">
        <v>791117</v>
      </c>
      <c r="D15" s="227">
        <f t="shared" si="0"/>
        <v>1703414</v>
      </c>
    </row>
    <row r="16" spans="1:5">
      <c r="A16" s="25">
        <v>2000</v>
      </c>
      <c r="B16" s="227">
        <v>959708</v>
      </c>
      <c r="C16" s="227">
        <v>876802</v>
      </c>
      <c r="D16" s="227">
        <f t="shared" si="0"/>
        <v>1836510</v>
      </c>
    </row>
    <row r="17" spans="1:4">
      <c r="A17" s="25">
        <v>2001</v>
      </c>
      <c r="B17" s="227">
        <v>894629</v>
      </c>
      <c r="C17" s="227">
        <v>835943</v>
      </c>
      <c r="D17" s="227">
        <f t="shared" si="0"/>
        <v>1730572</v>
      </c>
    </row>
    <row r="18" spans="1:4">
      <c r="A18" s="25">
        <v>2002</v>
      </c>
      <c r="B18" s="227">
        <v>712900</v>
      </c>
      <c r="C18" s="227">
        <v>856849</v>
      </c>
      <c r="D18" s="227">
        <f t="shared" si="0"/>
        <v>1569749</v>
      </c>
    </row>
    <row r="19" spans="1:4">
      <c r="A19" s="25">
        <v>2003</v>
      </c>
      <c r="B19" s="227">
        <v>691946</v>
      </c>
      <c r="C19" s="227">
        <v>669385</v>
      </c>
      <c r="D19" s="227">
        <f t="shared" si="0"/>
        <v>1361331</v>
      </c>
    </row>
    <row r="20" spans="1:4">
      <c r="A20" s="25">
        <v>2004</v>
      </c>
      <c r="B20" s="227">
        <v>911000</v>
      </c>
      <c r="C20" s="227">
        <v>681010</v>
      </c>
      <c r="D20" s="227">
        <f t="shared" si="0"/>
        <v>1592010</v>
      </c>
    </row>
    <row r="21" spans="1:4">
      <c r="A21" s="25">
        <v>2005</v>
      </c>
      <c r="B21" s="227">
        <v>982628</v>
      </c>
      <c r="C21" s="227">
        <v>530381</v>
      </c>
      <c r="D21" s="227">
        <f t="shared" si="0"/>
        <v>1513009</v>
      </c>
    </row>
    <row r="22" spans="1:4">
      <c r="A22" s="25">
        <v>2006</v>
      </c>
      <c r="B22" s="227">
        <v>997058</v>
      </c>
      <c r="C22" s="227">
        <v>316913</v>
      </c>
      <c r="D22" s="227">
        <f t="shared" si="0"/>
        <v>1313971</v>
      </c>
    </row>
    <row r="23" spans="1:4">
      <c r="A23" s="25">
        <v>2007</v>
      </c>
      <c r="B23" s="227">
        <v>557215</v>
      </c>
      <c r="C23" s="227">
        <v>189955</v>
      </c>
      <c r="D23" s="227">
        <f t="shared" si="0"/>
        <v>747170</v>
      </c>
    </row>
    <row r="24" spans="1:4">
      <c r="A24" s="25">
        <v>2008</v>
      </c>
      <c r="B24" s="227">
        <v>845915</v>
      </c>
      <c r="C24" s="227">
        <v>239661</v>
      </c>
      <c r="D24" s="227">
        <f>B24+C24</f>
        <v>1085576</v>
      </c>
    </row>
    <row r="25" spans="1:4">
      <c r="A25" s="25">
        <v>2009</v>
      </c>
      <c r="B25" s="227">
        <v>785023</v>
      </c>
      <c r="C25" s="227">
        <v>316036</v>
      </c>
      <c r="D25" s="227">
        <f>B25+C25</f>
        <v>1101059</v>
      </c>
    </row>
    <row r="28" spans="1:4">
      <c r="A28" s="15" t="s">
        <v>106</v>
      </c>
    </row>
    <row r="30" spans="1:4">
      <c r="A30" t="s">
        <v>381</v>
      </c>
    </row>
  </sheetData>
  <hyperlinks>
    <hyperlink ref="A3" location="TableOfContents!A1" display="Back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selection activeCell="F5" sqref="F5"/>
    </sheetView>
  </sheetViews>
  <sheetFormatPr defaultRowHeight="15"/>
  <cols>
    <col min="1" max="1" width="6.28515625" customWidth="1"/>
    <col min="2" max="2" width="14.28515625" customWidth="1"/>
    <col min="3" max="3" width="12.42578125" customWidth="1"/>
    <col min="4" max="4" width="12" customWidth="1"/>
    <col min="5" max="5" width="12.5703125" customWidth="1"/>
    <col min="8" max="8" width="13.28515625" customWidth="1"/>
    <col min="9" max="9" width="12" customWidth="1"/>
    <col min="10" max="10" width="12.7109375" customWidth="1"/>
    <col min="11" max="11" width="12.28515625" customWidth="1"/>
  </cols>
  <sheetData>
    <row r="1" spans="1:14" ht="15.75">
      <c r="A1" s="24" t="s">
        <v>923</v>
      </c>
    </row>
    <row r="3" spans="1:14" ht="18.75">
      <c r="A3" s="27" t="s">
        <v>252</v>
      </c>
      <c r="B3" s="29" t="s">
        <v>253</v>
      </c>
    </row>
    <row r="6" spans="1:14">
      <c r="B6" s="4" t="s">
        <v>924</v>
      </c>
      <c r="H6" s="4" t="s">
        <v>925</v>
      </c>
    </row>
    <row r="8" spans="1:14" ht="45">
      <c r="B8" s="3" t="s">
        <v>382</v>
      </c>
      <c r="C8" s="3" t="s">
        <v>384</v>
      </c>
      <c r="D8" s="3" t="s">
        <v>383</v>
      </c>
      <c r="E8" s="3" t="s">
        <v>385</v>
      </c>
      <c r="F8" s="25"/>
      <c r="G8" s="25"/>
      <c r="H8" s="3" t="s">
        <v>382</v>
      </c>
      <c r="I8" s="3" t="s">
        <v>384</v>
      </c>
      <c r="J8" s="3" t="s">
        <v>383</v>
      </c>
      <c r="K8" s="3" t="s">
        <v>385</v>
      </c>
      <c r="L8" s="25"/>
      <c r="M8" s="25"/>
    </row>
    <row r="9" spans="1:14">
      <c r="B9" s="111">
        <v>1993</v>
      </c>
      <c r="C9" s="245">
        <v>0.92700000000000005</v>
      </c>
      <c r="D9" s="245">
        <v>0.38700000000000001</v>
      </c>
      <c r="E9" s="245">
        <v>0.57499999999999996</v>
      </c>
      <c r="F9" s="111"/>
      <c r="G9" s="111"/>
      <c r="H9" s="111">
        <v>1995</v>
      </c>
      <c r="I9" s="245">
        <v>0.76400000000000001</v>
      </c>
      <c r="J9" s="245">
        <v>0.36199999999999993</v>
      </c>
      <c r="K9" s="245">
        <v>0.32600000000000001</v>
      </c>
      <c r="N9" s="55"/>
    </row>
    <row r="10" spans="1:14">
      <c r="B10" s="111">
        <v>1994</v>
      </c>
      <c r="C10" s="245">
        <v>0.82599999999999996</v>
      </c>
      <c r="D10" s="245">
        <v>0.42100000000000004</v>
      </c>
      <c r="E10" s="245">
        <v>0.50800000000000001</v>
      </c>
      <c r="F10" s="111"/>
      <c r="G10" s="111"/>
      <c r="H10" s="111">
        <v>1996</v>
      </c>
      <c r="I10" s="245">
        <v>0.84099999999999997</v>
      </c>
      <c r="J10" s="245">
        <v>0.53500000000000003</v>
      </c>
      <c r="K10" s="245">
        <v>0.32</v>
      </c>
    </row>
    <row r="11" spans="1:14">
      <c r="B11" s="111">
        <v>1995</v>
      </c>
      <c r="C11" s="245">
        <v>0.77</v>
      </c>
      <c r="D11" s="245">
        <v>0.45</v>
      </c>
      <c r="E11" s="245">
        <v>0.44800000000000006</v>
      </c>
      <c r="F11" s="111"/>
      <c r="G11" s="111"/>
      <c r="H11" s="111">
        <v>1997</v>
      </c>
      <c r="I11" s="245">
        <v>0.82899999999999996</v>
      </c>
      <c r="J11" s="245">
        <v>0.60399999999999998</v>
      </c>
      <c r="K11" s="245">
        <v>0.38299999999999995</v>
      </c>
    </row>
    <row r="12" spans="1:14">
      <c r="B12" s="111">
        <v>1996</v>
      </c>
      <c r="C12" s="245">
        <v>0.80500000000000005</v>
      </c>
      <c r="D12" s="245">
        <v>0.48699999999999993</v>
      </c>
      <c r="E12" s="245">
        <v>0.41799999999999998</v>
      </c>
      <c r="F12" s="111"/>
      <c r="G12" s="111"/>
      <c r="H12" s="111">
        <v>1998</v>
      </c>
      <c r="I12" s="245">
        <v>0.8640000000000001</v>
      </c>
      <c r="J12" s="245">
        <v>0.625</v>
      </c>
      <c r="K12" s="245">
        <v>0.39300000000000002</v>
      </c>
    </row>
    <row r="13" spans="1:14">
      <c r="B13" s="111">
        <v>1997</v>
      </c>
      <c r="C13" s="245">
        <v>0.83299999999999996</v>
      </c>
      <c r="D13" s="245">
        <v>0.628</v>
      </c>
      <c r="E13" s="245">
        <v>0.48</v>
      </c>
      <c r="F13" s="111"/>
      <c r="G13" s="111"/>
      <c r="H13" s="111">
        <v>1999</v>
      </c>
      <c r="I13" s="245">
        <v>0.8909999999999999</v>
      </c>
      <c r="J13" s="245">
        <v>0.64200000000000002</v>
      </c>
      <c r="K13" s="245">
        <v>0.38800000000000007</v>
      </c>
    </row>
    <row r="14" spans="1:14">
      <c r="B14" s="111">
        <v>1998</v>
      </c>
      <c r="C14" s="245">
        <v>0.87400000000000011</v>
      </c>
      <c r="D14" s="245">
        <v>0.67400000000000004</v>
      </c>
      <c r="E14" s="245">
        <v>0.51400000000000001</v>
      </c>
      <c r="F14" s="111"/>
      <c r="G14" s="111"/>
      <c r="H14" s="111">
        <v>2000</v>
      </c>
      <c r="I14" s="245">
        <v>0.9</v>
      </c>
      <c r="J14" s="245">
        <v>0.625</v>
      </c>
      <c r="K14" s="245">
        <v>0.38</v>
      </c>
    </row>
    <row r="15" spans="1:14">
      <c r="B15" s="111">
        <v>1999</v>
      </c>
      <c r="C15" s="245">
        <v>0.89</v>
      </c>
      <c r="D15" s="245">
        <v>0.69099999999999995</v>
      </c>
      <c r="E15" s="245">
        <v>0.499</v>
      </c>
      <c r="F15" s="111"/>
      <c r="G15" s="111"/>
      <c r="H15" s="111">
        <v>2001</v>
      </c>
      <c r="I15" s="245">
        <v>0.88</v>
      </c>
      <c r="J15" s="245">
        <v>0.60699999999999998</v>
      </c>
      <c r="K15" s="245">
        <v>0.35699999999999998</v>
      </c>
    </row>
    <row r="16" spans="1:14">
      <c r="B16" s="111">
        <v>2000</v>
      </c>
      <c r="C16" s="245">
        <v>0.90900000000000003</v>
      </c>
      <c r="D16" s="245">
        <v>0.69199999999999984</v>
      </c>
      <c r="E16" s="245">
        <v>0.48</v>
      </c>
      <c r="F16" s="111"/>
      <c r="G16" s="111"/>
      <c r="H16" s="111">
        <v>2002</v>
      </c>
      <c r="I16" s="245">
        <v>0.87400000000000011</v>
      </c>
      <c r="J16" s="245">
        <v>0.61299999999999999</v>
      </c>
      <c r="K16" s="245">
        <v>0.33399999999999996</v>
      </c>
    </row>
    <row r="17" spans="1:11">
      <c r="B17" s="111">
        <v>2001</v>
      </c>
      <c r="C17" s="245">
        <v>0.92500000000000004</v>
      </c>
      <c r="D17" s="245">
        <v>0.70299999999999996</v>
      </c>
      <c r="E17" s="245">
        <v>0.46300000000000002</v>
      </c>
      <c r="F17" s="111"/>
      <c r="G17" s="111"/>
      <c r="H17" s="111">
        <v>2003</v>
      </c>
      <c r="I17" s="245">
        <v>0.89600000000000013</v>
      </c>
      <c r="J17" s="245">
        <v>0.65799999999999992</v>
      </c>
      <c r="K17" s="245">
        <v>0.37</v>
      </c>
    </row>
    <row r="18" spans="1:11">
      <c r="B18" s="111">
        <v>2002</v>
      </c>
      <c r="C18" s="245">
        <v>0.90300000000000002</v>
      </c>
      <c r="D18" s="245">
        <v>0.7</v>
      </c>
      <c r="E18" s="245">
        <v>0.47</v>
      </c>
      <c r="F18" s="111"/>
      <c r="G18" s="111"/>
      <c r="H18" s="111">
        <v>2004</v>
      </c>
      <c r="I18" s="245">
        <v>0.90400000000000003</v>
      </c>
      <c r="J18" s="245">
        <v>0.64300000000000002</v>
      </c>
      <c r="K18" s="245">
        <v>0.38700000000000001</v>
      </c>
    </row>
    <row r="19" spans="1:11">
      <c r="B19" s="111">
        <v>2003</v>
      </c>
      <c r="C19" s="245">
        <v>0.878</v>
      </c>
      <c r="D19" s="245">
        <v>0.67700000000000005</v>
      </c>
      <c r="E19" s="245">
        <v>0.45100000000000001</v>
      </c>
      <c r="F19" s="111"/>
      <c r="G19" s="111"/>
      <c r="H19" s="111">
        <v>2005</v>
      </c>
      <c r="I19" s="245">
        <v>0.88400000000000001</v>
      </c>
      <c r="J19" s="245">
        <v>0.64599999999999991</v>
      </c>
      <c r="K19" s="245">
        <v>0.37</v>
      </c>
    </row>
    <row r="20" spans="1:11">
      <c r="B20" s="111">
        <v>2004</v>
      </c>
      <c r="C20" s="245">
        <v>0.88300000000000001</v>
      </c>
      <c r="D20" s="245">
        <v>0.65600000000000014</v>
      </c>
      <c r="E20" s="245">
        <v>0.45299999999999996</v>
      </c>
      <c r="F20" s="111"/>
      <c r="G20" s="111"/>
      <c r="H20" s="111">
        <v>2006</v>
      </c>
      <c r="I20" s="245">
        <v>0.8859999999999999</v>
      </c>
      <c r="J20" s="245">
        <v>0.64400000000000002</v>
      </c>
      <c r="K20" s="245">
        <v>0.36700000000000005</v>
      </c>
    </row>
    <row r="21" spans="1:11">
      <c r="B21" s="111">
        <v>2005</v>
      </c>
      <c r="C21" s="245">
        <v>0.87400000000000011</v>
      </c>
      <c r="D21" s="245">
        <v>0.67400000000000004</v>
      </c>
      <c r="E21" s="245">
        <v>0.47299999999999998</v>
      </c>
      <c r="F21" s="111"/>
      <c r="G21" s="111"/>
      <c r="H21" s="111">
        <v>2007</v>
      </c>
      <c r="I21" s="245">
        <v>0.88099999999999989</v>
      </c>
      <c r="J21" s="245">
        <v>0.68400000000000005</v>
      </c>
      <c r="K21" s="245">
        <v>0.39500000000000002</v>
      </c>
    </row>
    <row r="22" spans="1:11">
      <c r="B22" s="111">
        <v>2006</v>
      </c>
      <c r="C22" s="245">
        <v>0.88200000000000001</v>
      </c>
      <c r="D22" s="245">
        <v>0.66299999999999992</v>
      </c>
      <c r="E22" s="245">
        <v>0.46899999999999997</v>
      </c>
      <c r="F22" s="111"/>
      <c r="G22" s="111"/>
      <c r="H22" s="111">
        <v>2008</v>
      </c>
      <c r="I22" s="245">
        <v>0.9</v>
      </c>
      <c r="J22" s="245">
        <v>0.69499999999999995</v>
      </c>
      <c r="K22" s="245">
        <v>0.31900000000000001</v>
      </c>
    </row>
    <row r="23" spans="1:11">
      <c r="B23" s="111">
        <v>2007</v>
      </c>
      <c r="C23" s="245">
        <v>0.86299999999999999</v>
      </c>
      <c r="D23" s="245">
        <v>0.70499999999999996</v>
      </c>
      <c r="E23" s="245">
        <v>0.42299999999999999</v>
      </c>
      <c r="F23" s="111"/>
      <c r="G23" s="111"/>
      <c r="H23" s="111">
        <v>2009</v>
      </c>
      <c r="I23" s="245">
        <v>0.93500000000000005</v>
      </c>
      <c r="J23" s="245">
        <v>0.79400000000000004</v>
      </c>
      <c r="K23" s="245">
        <v>0.16699999999999998</v>
      </c>
    </row>
    <row r="24" spans="1:11">
      <c r="B24" s="111">
        <v>2008</v>
      </c>
      <c r="C24" s="245">
        <v>0.89800000000000002</v>
      </c>
      <c r="D24" s="245">
        <v>0.71900000000000008</v>
      </c>
      <c r="E24" s="245">
        <v>0.47299999999999998</v>
      </c>
      <c r="F24" s="111"/>
      <c r="G24" s="111"/>
      <c r="H24" s="111"/>
      <c r="I24" s="111"/>
      <c r="J24" s="111"/>
      <c r="K24" s="111"/>
    </row>
    <row r="25" spans="1:11">
      <c r="B25" s="111">
        <v>2009</v>
      </c>
      <c r="C25" s="245">
        <v>0.91900000000000004</v>
      </c>
      <c r="D25" s="245">
        <v>0.78099999999999992</v>
      </c>
      <c r="E25" s="245">
        <v>0.34499999999999997</v>
      </c>
      <c r="F25" s="111"/>
      <c r="G25" s="111"/>
      <c r="H25" s="111"/>
      <c r="I25" s="111"/>
      <c r="J25" s="111"/>
      <c r="K25" s="111"/>
    </row>
    <row r="26" spans="1:11">
      <c r="B26" s="25"/>
      <c r="C26" s="55"/>
      <c r="D26" s="55"/>
      <c r="E26" s="55"/>
      <c r="H26" s="25"/>
      <c r="I26" s="25"/>
      <c r="J26" s="25"/>
      <c r="K26" s="25"/>
    </row>
    <row r="28" spans="1:11">
      <c r="A28" s="15" t="s">
        <v>106</v>
      </c>
    </row>
    <row r="30" spans="1:11">
      <c r="A30" t="s">
        <v>381</v>
      </c>
    </row>
    <row r="31" spans="1:11">
      <c r="A31" t="s">
        <v>386</v>
      </c>
      <c r="D31" t="s">
        <v>387</v>
      </c>
    </row>
  </sheetData>
  <hyperlinks>
    <hyperlink ref="A3" location="TableOfContents!A1" display="Back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30"/>
  <sheetViews>
    <sheetView workbookViewId="0">
      <selection activeCell="E4" sqref="E4"/>
    </sheetView>
  </sheetViews>
  <sheetFormatPr defaultRowHeight="15"/>
  <cols>
    <col min="1" max="1" width="6.140625" customWidth="1"/>
    <col min="2" max="3" width="12.28515625" customWidth="1"/>
    <col min="4" max="4" width="12.140625" customWidth="1"/>
    <col min="5" max="5" width="12" customWidth="1"/>
    <col min="7" max="7" width="12.85546875" customWidth="1"/>
    <col min="8" max="8" width="12.42578125" customWidth="1"/>
    <col min="9" max="9" width="12" customWidth="1"/>
    <col min="10" max="10" width="12.140625" customWidth="1"/>
    <col min="12" max="12" width="12.85546875" customWidth="1"/>
    <col min="13" max="13" width="12.42578125" customWidth="1"/>
    <col min="14" max="14" width="12.140625" customWidth="1"/>
    <col min="15" max="15" width="12.42578125" customWidth="1"/>
  </cols>
  <sheetData>
    <row r="1" spans="1:15" ht="15.75">
      <c r="A1" s="24" t="s">
        <v>926</v>
      </c>
    </row>
    <row r="3" spans="1:15" ht="18.75">
      <c r="A3" s="27" t="s">
        <v>252</v>
      </c>
      <c r="B3" s="29" t="s">
        <v>253</v>
      </c>
    </row>
    <row r="4" spans="1:15" ht="18.75">
      <c r="A4" s="27"/>
      <c r="B4" s="29"/>
    </row>
    <row r="6" spans="1:15">
      <c r="B6" s="4" t="s">
        <v>927</v>
      </c>
      <c r="G6" s="4" t="s">
        <v>928</v>
      </c>
      <c r="L6" s="4" t="s">
        <v>929</v>
      </c>
    </row>
    <row r="8" spans="1:15" ht="45">
      <c r="B8" s="3" t="s">
        <v>382</v>
      </c>
      <c r="C8" s="3" t="s">
        <v>384</v>
      </c>
      <c r="D8" s="3" t="s">
        <v>383</v>
      </c>
      <c r="E8" s="3" t="s">
        <v>385</v>
      </c>
      <c r="G8" s="3" t="s">
        <v>382</v>
      </c>
      <c r="H8" s="3" t="s">
        <v>384</v>
      </c>
      <c r="I8" s="3" t="s">
        <v>383</v>
      </c>
      <c r="J8" s="3" t="s">
        <v>385</v>
      </c>
      <c r="L8" s="3" t="s">
        <v>382</v>
      </c>
      <c r="M8" s="3" t="s">
        <v>384</v>
      </c>
      <c r="N8" s="3" t="s">
        <v>383</v>
      </c>
      <c r="O8" s="3" t="s">
        <v>385</v>
      </c>
    </row>
    <row r="9" spans="1:15">
      <c r="B9" s="111">
        <v>1994</v>
      </c>
      <c r="C9" s="245">
        <v>0.629</v>
      </c>
      <c r="D9" s="245">
        <v>0.27699999999999997</v>
      </c>
      <c r="E9" s="245">
        <v>0.29399999999999998</v>
      </c>
      <c r="F9" s="111"/>
      <c r="G9" s="111">
        <v>1995</v>
      </c>
      <c r="H9" s="245">
        <v>0.90099999999999991</v>
      </c>
      <c r="I9" s="245">
        <v>0.4</v>
      </c>
      <c r="J9" s="245">
        <v>0.5</v>
      </c>
      <c r="K9" s="111"/>
      <c r="L9" s="111">
        <v>1995</v>
      </c>
      <c r="M9" s="245">
        <v>0.70700000000000007</v>
      </c>
      <c r="N9" s="245">
        <v>0.32700000000000001</v>
      </c>
      <c r="O9" s="245">
        <v>0.25700000000000001</v>
      </c>
    </row>
    <row r="10" spans="1:15">
      <c r="B10" s="111">
        <v>1995</v>
      </c>
      <c r="C10" s="245">
        <v>0.49200000000000005</v>
      </c>
      <c r="D10" s="245">
        <v>0.27699999999999997</v>
      </c>
      <c r="E10" s="245">
        <v>0.24199999999999999</v>
      </c>
      <c r="F10" s="111"/>
      <c r="G10" s="111">
        <v>1996</v>
      </c>
      <c r="H10" s="245">
        <v>0.64500000000000002</v>
      </c>
      <c r="I10" s="245">
        <v>0.34399999999999997</v>
      </c>
      <c r="J10" s="245">
        <v>0.20399999999999999</v>
      </c>
      <c r="K10" s="111"/>
      <c r="L10" s="111">
        <v>1996</v>
      </c>
      <c r="M10" s="245">
        <v>0.50600000000000001</v>
      </c>
      <c r="N10" s="245">
        <v>0.32899999999999996</v>
      </c>
      <c r="O10" s="245">
        <v>0.309</v>
      </c>
    </row>
    <row r="11" spans="1:15">
      <c r="B11" s="111">
        <v>1996</v>
      </c>
      <c r="C11" s="245">
        <v>0.436</v>
      </c>
      <c r="D11" s="245">
        <v>0.36399999999999999</v>
      </c>
      <c r="E11" s="245">
        <v>0.19</v>
      </c>
      <c r="F11" s="111"/>
      <c r="G11" s="111">
        <v>1997</v>
      </c>
      <c r="H11" s="245">
        <v>0.45899999999999996</v>
      </c>
      <c r="I11" s="245">
        <v>0.27399999999999997</v>
      </c>
      <c r="J11" s="245">
        <v>0.23600000000000002</v>
      </c>
      <c r="K11" s="111"/>
      <c r="L11" s="111">
        <v>1997</v>
      </c>
      <c r="M11" s="245">
        <v>0.57100000000000006</v>
      </c>
      <c r="N11" s="245">
        <v>0.33299999999999996</v>
      </c>
      <c r="O11" s="245"/>
    </row>
    <row r="12" spans="1:15">
      <c r="B12" s="111">
        <v>1997</v>
      </c>
      <c r="C12" s="245">
        <v>0.63200000000000001</v>
      </c>
      <c r="D12" s="245">
        <v>0.35600000000000004</v>
      </c>
      <c r="E12" s="245">
        <v>0.21299999999999999</v>
      </c>
      <c r="F12" s="111"/>
      <c r="G12" s="111">
        <v>1998</v>
      </c>
      <c r="H12" s="245">
        <v>0.52400000000000002</v>
      </c>
      <c r="I12" s="245">
        <v>0.28100000000000003</v>
      </c>
      <c r="J12" s="245">
        <v>0.23399999999999999</v>
      </c>
      <c r="K12" s="111"/>
      <c r="L12" s="111">
        <v>1998</v>
      </c>
      <c r="M12" s="245">
        <v>0.73699999999999999</v>
      </c>
      <c r="N12" s="245">
        <v>0.33600000000000002</v>
      </c>
      <c r="O12" s="245">
        <v>0.23699999999999999</v>
      </c>
    </row>
    <row r="13" spans="1:15">
      <c r="B13" s="111">
        <v>1998</v>
      </c>
      <c r="C13" s="245">
        <v>0.34600000000000003</v>
      </c>
      <c r="D13" s="245">
        <v>0.33799999999999997</v>
      </c>
      <c r="E13" s="245">
        <v>0.214</v>
      </c>
      <c r="F13" s="111"/>
      <c r="G13" s="111">
        <v>1999</v>
      </c>
      <c r="H13" s="245">
        <v>0.55299999999999994</v>
      </c>
      <c r="I13" s="245">
        <v>0.308</v>
      </c>
      <c r="J13" s="245">
        <v>0.24600000000000002</v>
      </c>
      <c r="K13" s="111"/>
      <c r="L13" s="111">
        <v>1999</v>
      </c>
      <c r="M13" s="245">
        <v>0.70599999999999996</v>
      </c>
      <c r="N13" s="245">
        <v>0.32799999999999996</v>
      </c>
      <c r="O13" s="245">
        <v>0.223</v>
      </c>
    </row>
    <row r="14" spans="1:15">
      <c r="B14" s="111">
        <v>1999</v>
      </c>
      <c r="C14" s="245">
        <v>0.42100000000000004</v>
      </c>
      <c r="D14" s="245">
        <v>0.37</v>
      </c>
      <c r="E14" s="245">
        <v>0.17</v>
      </c>
      <c r="F14" s="111"/>
      <c r="G14" s="111">
        <v>2000</v>
      </c>
      <c r="H14" s="245">
        <v>0.55799999999999994</v>
      </c>
      <c r="I14" s="245">
        <v>0.32400000000000001</v>
      </c>
      <c r="J14" s="245">
        <v>0.252</v>
      </c>
      <c r="K14" s="111"/>
      <c r="L14" s="111">
        <v>2000</v>
      </c>
      <c r="M14" s="245">
        <v>0.75800000000000001</v>
      </c>
      <c r="N14" s="245">
        <v>0.37799999999999995</v>
      </c>
      <c r="O14" s="245">
        <v>0.22899999999999998</v>
      </c>
    </row>
    <row r="15" spans="1:15">
      <c r="B15" s="111">
        <v>2000</v>
      </c>
      <c r="C15" s="245">
        <v>0.44900000000000001</v>
      </c>
      <c r="D15" s="245">
        <v>0.39</v>
      </c>
      <c r="E15" s="245">
        <v>0.21899999999999997</v>
      </c>
      <c r="F15" s="111"/>
      <c r="G15" s="111">
        <v>2001</v>
      </c>
      <c r="H15" s="245">
        <v>0.57499999999999996</v>
      </c>
      <c r="I15" s="245">
        <v>0.32400000000000001</v>
      </c>
      <c r="J15" s="245">
        <v>0.26</v>
      </c>
      <c r="K15" s="111"/>
      <c r="L15" s="111">
        <v>2001</v>
      </c>
      <c r="M15" s="245">
        <v>0.7609999999999999</v>
      </c>
      <c r="N15" s="245">
        <v>0.39100000000000001</v>
      </c>
      <c r="O15" s="245">
        <v>0.22399999999999998</v>
      </c>
    </row>
    <row r="16" spans="1:15">
      <c r="B16" s="111">
        <v>2001</v>
      </c>
      <c r="C16" s="245">
        <v>0.45700000000000002</v>
      </c>
      <c r="D16" s="245">
        <v>0.35899999999999999</v>
      </c>
      <c r="E16" s="245">
        <v>0.151</v>
      </c>
      <c r="F16" s="111"/>
      <c r="G16" s="111">
        <v>2002</v>
      </c>
      <c r="H16" s="245">
        <v>0.58899999999999997</v>
      </c>
      <c r="I16" s="245">
        <v>0.33100000000000002</v>
      </c>
      <c r="J16" s="245">
        <v>0.26600000000000001</v>
      </c>
      <c r="K16" s="111"/>
      <c r="L16" s="111">
        <v>2002</v>
      </c>
      <c r="M16" s="245">
        <v>0.79599999999999993</v>
      </c>
      <c r="N16" s="245">
        <v>0.40500000000000003</v>
      </c>
      <c r="O16" s="245">
        <v>0.223</v>
      </c>
    </row>
    <row r="17" spans="1:15">
      <c r="B17" s="111">
        <v>2002</v>
      </c>
      <c r="C17" s="245">
        <v>0.46100000000000002</v>
      </c>
      <c r="D17" s="245">
        <v>0.35700000000000004</v>
      </c>
      <c r="E17" s="245">
        <v>0.20399999999999999</v>
      </c>
      <c r="F17" s="111"/>
      <c r="G17" s="111">
        <v>2003</v>
      </c>
      <c r="H17" s="245">
        <v>0.59099999999999997</v>
      </c>
      <c r="I17" s="245">
        <v>0.32500000000000001</v>
      </c>
      <c r="J17" s="245">
        <v>0.26600000000000001</v>
      </c>
      <c r="K17" s="111"/>
      <c r="L17" s="111">
        <v>2003</v>
      </c>
      <c r="M17" s="245">
        <v>0.78900000000000003</v>
      </c>
      <c r="N17" s="245">
        <v>0.42</v>
      </c>
      <c r="O17" s="245">
        <v>0.22899999999999998</v>
      </c>
    </row>
    <row r="18" spans="1:15">
      <c r="B18" s="111">
        <v>2003</v>
      </c>
      <c r="C18" s="245">
        <v>0.48299999999999998</v>
      </c>
      <c r="D18" s="245">
        <v>0.35499999999999998</v>
      </c>
      <c r="E18" s="245">
        <v>0.19899999999999998</v>
      </c>
      <c r="F18" s="111"/>
      <c r="G18" s="111">
        <v>2004</v>
      </c>
      <c r="H18" s="245">
        <v>0.59899999999999998</v>
      </c>
      <c r="I18" s="245">
        <v>0.30499999999999999</v>
      </c>
      <c r="J18" s="245">
        <v>0.27399999999999997</v>
      </c>
      <c r="K18" s="111"/>
      <c r="L18" s="111">
        <v>2004</v>
      </c>
      <c r="M18" s="245">
        <v>0.78099999999999992</v>
      </c>
      <c r="N18" s="245">
        <v>0.379</v>
      </c>
      <c r="O18" s="245">
        <v>0.23600000000000002</v>
      </c>
    </row>
    <row r="19" spans="1:15">
      <c r="B19" s="111">
        <v>2004</v>
      </c>
      <c r="C19" s="245">
        <v>0.504</v>
      </c>
      <c r="D19" s="245">
        <v>0.36099999999999999</v>
      </c>
      <c r="E19" s="245">
        <v>0.15</v>
      </c>
      <c r="F19" s="111"/>
      <c r="G19" s="111">
        <v>2005</v>
      </c>
      <c r="H19" s="245">
        <v>0.56799999999999995</v>
      </c>
      <c r="I19" s="245">
        <v>0.30599999999999999</v>
      </c>
      <c r="J19" s="245">
        <v>0.27399999999999997</v>
      </c>
      <c r="K19" s="111"/>
      <c r="L19" s="111">
        <v>2005</v>
      </c>
      <c r="M19" s="245">
        <v>0.74299999999999999</v>
      </c>
      <c r="N19" s="245">
        <v>0.374</v>
      </c>
      <c r="O19" s="245">
        <v>0.22800000000000001</v>
      </c>
    </row>
    <row r="20" spans="1:15">
      <c r="B20" s="111">
        <v>2005</v>
      </c>
      <c r="C20" s="245">
        <v>0.47700000000000004</v>
      </c>
      <c r="D20" s="245">
        <v>0.35399999999999998</v>
      </c>
      <c r="E20" s="245">
        <v>0.16399999999999998</v>
      </c>
      <c r="F20" s="111"/>
      <c r="G20" s="111">
        <v>2006</v>
      </c>
      <c r="H20" s="245">
        <v>0.53600000000000003</v>
      </c>
      <c r="I20" s="245">
        <v>0.28300000000000003</v>
      </c>
      <c r="J20" s="245">
        <v>0.27800000000000002</v>
      </c>
      <c r="K20" s="111"/>
      <c r="L20" s="111">
        <v>2006</v>
      </c>
      <c r="M20" s="245">
        <v>0.74400000000000011</v>
      </c>
      <c r="N20" s="245">
        <v>0.37200000000000005</v>
      </c>
      <c r="O20" s="245">
        <v>0.23</v>
      </c>
    </row>
    <row r="21" spans="1:15">
      <c r="B21" s="111">
        <v>2006</v>
      </c>
      <c r="C21" s="245">
        <v>0.48499999999999999</v>
      </c>
      <c r="D21" s="245">
        <v>0.35100000000000003</v>
      </c>
      <c r="E21" s="245">
        <v>0.185</v>
      </c>
      <c r="F21" s="111"/>
      <c r="G21" s="111">
        <v>2007</v>
      </c>
      <c r="H21" s="245">
        <v>0.50900000000000001</v>
      </c>
      <c r="I21" s="245">
        <v>0.28300000000000003</v>
      </c>
      <c r="J21" s="245">
        <v>0.26700000000000002</v>
      </c>
      <c r="K21" s="111"/>
      <c r="L21" s="111">
        <v>2007</v>
      </c>
      <c r="M21" s="245">
        <v>0.71200000000000008</v>
      </c>
      <c r="N21" s="245">
        <v>0.41799999999999998</v>
      </c>
      <c r="O21" s="245">
        <v>0.27</v>
      </c>
    </row>
    <row r="22" spans="1:15">
      <c r="B22" s="111">
        <v>2007</v>
      </c>
      <c r="C22" s="245">
        <v>0.43099999999999999</v>
      </c>
      <c r="D22" s="245">
        <v>0.34899999999999998</v>
      </c>
      <c r="E22" s="245">
        <v>0.17600000000000002</v>
      </c>
      <c r="F22" s="111"/>
      <c r="G22" s="111">
        <v>2008</v>
      </c>
      <c r="H22" s="245">
        <v>0.498</v>
      </c>
      <c r="I22" s="245">
        <v>0.313</v>
      </c>
      <c r="J22" s="245">
        <v>0.22800000000000001</v>
      </c>
      <c r="K22" s="111"/>
      <c r="L22" s="111">
        <v>2008</v>
      </c>
      <c r="M22" s="245">
        <v>0.73799999999999999</v>
      </c>
      <c r="N22" s="245">
        <v>0.39700000000000002</v>
      </c>
      <c r="O22" s="245">
        <v>0.252</v>
      </c>
    </row>
    <row r="23" spans="1:15">
      <c r="B23" s="111">
        <v>2008</v>
      </c>
      <c r="C23" s="245">
        <v>0.42299999999999999</v>
      </c>
      <c r="D23" s="245">
        <v>0.30099999999999999</v>
      </c>
      <c r="E23" s="245">
        <v>0.156</v>
      </c>
      <c r="F23" s="111"/>
      <c r="G23" s="111">
        <v>2009</v>
      </c>
      <c r="H23" s="245">
        <v>0.51200000000000001</v>
      </c>
      <c r="I23" s="245">
        <v>0.33299999999999996</v>
      </c>
      <c r="J23" s="245">
        <v>0.22899999999999998</v>
      </c>
      <c r="K23" s="111"/>
      <c r="L23" s="111">
        <v>2009</v>
      </c>
      <c r="M23" s="245">
        <v>0.78500000000000003</v>
      </c>
      <c r="N23" s="245">
        <v>0.54200000000000004</v>
      </c>
      <c r="O23" s="245">
        <v>0.222</v>
      </c>
    </row>
    <row r="24" spans="1:15">
      <c r="B24" s="111">
        <v>2009</v>
      </c>
      <c r="C24" s="245">
        <v>0.45899999999999996</v>
      </c>
      <c r="D24" s="245">
        <v>0.36299999999999999</v>
      </c>
      <c r="E24" s="245">
        <v>0.14300000000000002</v>
      </c>
      <c r="F24" s="111"/>
      <c r="G24" s="111"/>
      <c r="H24" s="111"/>
      <c r="I24" s="111"/>
      <c r="J24" s="111"/>
      <c r="K24" s="111"/>
      <c r="L24" s="111"/>
      <c r="M24" s="111"/>
      <c r="N24" s="111"/>
      <c r="O24" s="111"/>
    </row>
    <row r="26" spans="1:15">
      <c r="C26" s="55"/>
    </row>
    <row r="27" spans="1:15">
      <c r="A27" s="15" t="s">
        <v>423</v>
      </c>
    </row>
    <row r="29" spans="1:15">
      <c r="A29" t="s">
        <v>381</v>
      </c>
    </row>
    <row r="30" spans="1:15">
      <c r="A30" t="s">
        <v>388</v>
      </c>
    </row>
  </sheetData>
  <hyperlinks>
    <hyperlink ref="A3" location="TableOfContents!A1" display="Back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activeCell="J14" sqref="J14"/>
    </sheetView>
  </sheetViews>
  <sheetFormatPr defaultRowHeight="15"/>
  <cols>
    <col min="1" max="1" width="6.7109375" customWidth="1"/>
  </cols>
  <sheetData>
    <row r="1" spans="1:7" ht="15.75">
      <c r="A1" s="24" t="s">
        <v>393</v>
      </c>
    </row>
    <row r="2" spans="1:7" ht="15.75">
      <c r="A2" s="24"/>
    </row>
    <row r="3" spans="1:7" ht="18.75">
      <c r="A3" s="27" t="s">
        <v>252</v>
      </c>
      <c r="B3" s="29" t="s">
        <v>253</v>
      </c>
    </row>
    <row r="6" spans="1:7">
      <c r="A6" s="14" t="s">
        <v>377</v>
      </c>
      <c r="B6" s="8" t="s">
        <v>389</v>
      </c>
      <c r="C6" s="8" t="s">
        <v>329</v>
      </c>
      <c r="D6" s="8" t="s">
        <v>118</v>
      </c>
      <c r="E6" s="7" t="s">
        <v>390</v>
      </c>
      <c r="F6" s="7" t="s">
        <v>391</v>
      </c>
      <c r="G6" s="8" t="s">
        <v>392</v>
      </c>
    </row>
    <row r="7" spans="1:7">
      <c r="A7" s="25">
        <v>2009</v>
      </c>
      <c r="B7" s="111">
        <v>33</v>
      </c>
      <c r="C7" s="111">
        <v>38</v>
      </c>
      <c r="D7" s="111">
        <v>7</v>
      </c>
      <c r="E7" s="111">
        <v>4</v>
      </c>
      <c r="F7" s="111">
        <v>5</v>
      </c>
      <c r="G7" s="111">
        <v>56</v>
      </c>
    </row>
    <row r="8" spans="1:7">
      <c r="A8" s="25">
        <v>2010</v>
      </c>
      <c r="B8" s="111">
        <v>67</v>
      </c>
      <c r="C8" s="111">
        <v>225</v>
      </c>
      <c r="D8" s="111">
        <v>16</v>
      </c>
      <c r="E8" s="111">
        <v>10</v>
      </c>
      <c r="F8" s="111">
        <v>12</v>
      </c>
      <c r="G8" s="111">
        <v>117</v>
      </c>
    </row>
    <row r="9" spans="1:7">
      <c r="A9" s="25">
        <v>2011</v>
      </c>
      <c r="B9" s="111">
        <v>69</v>
      </c>
      <c r="C9" s="111">
        <v>300</v>
      </c>
      <c r="D9" s="111">
        <v>15</v>
      </c>
      <c r="E9" s="111">
        <v>9</v>
      </c>
      <c r="F9" s="111">
        <v>11</v>
      </c>
      <c r="G9" s="111">
        <v>151</v>
      </c>
    </row>
    <row r="10" spans="1:7">
      <c r="A10" s="25">
        <v>2012</v>
      </c>
      <c r="B10" s="111">
        <v>62</v>
      </c>
      <c r="C10" s="111">
        <v>235</v>
      </c>
      <c r="D10" s="111">
        <v>14</v>
      </c>
      <c r="E10" s="111">
        <v>8</v>
      </c>
      <c r="F10" s="111">
        <v>10</v>
      </c>
      <c r="G10" s="111">
        <v>137</v>
      </c>
    </row>
    <row r="11" spans="1:7">
      <c r="A11" s="25">
        <v>2013</v>
      </c>
      <c r="B11" s="111">
        <v>54</v>
      </c>
      <c r="C11" s="111">
        <v>232</v>
      </c>
      <c r="D11" s="111">
        <v>14</v>
      </c>
      <c r="E11" s="111">
        <v>8</v>
      </c>
      <c r="F11" s="111">
        <v>10</v>
      </c>
      <c r="G11" s="111">
        <v>129</v>
      </c>
    </row>
    <row r="12" spans="1:7">
      <c r="A12" s="25">
        <v>2014</v>
      </c>
      <c r="B12" s="111">
        <v>48</v>
      </c>
      <c r="C12" s="111">
        <v>211</v>
      </c>
      <c r="D12" s="111">
        <v>13</v>
      </c>
      <c r="E12" s="111">
        <v>8</v>
      </c>
      <c r="F12" s="111">
        <v>9</v>
      </c>
      <c r="G12" s="111">
        <v>122</v>
      </c>
    </row>
    <row r="13" spans="1:7">
      <c r="A13" s="25">
        <v>2015</v>
      </c>
      <c r="B13" s="111">
        <v>44</v>
      </c>
      <c r="C13" s="111">
        <v>193</v>
      </c>
      <c r="D13" s="111">
        <v>12</v>
      </c>
      <c r="E13" s="111">
        <v>8</v>
      </c>
      <c r="F13" s="111">
        <v>9</v>
      </c>
      <c r="G13" s="111">
        <v>112</v>
      </c>
    </row>
    <row r="14" spans="1:7">
      <c r="A14" s="25">
        <v>2016</v>
      </c>
      <c r="B14" s="111">
        <v>40</v>
      </c>
      <c r="C14" s="111">
        <v>188</v>
      </c>
      <c r="D14" s="111">
        <v>11</v>
      </c>
      <c r="E14" s="111">
        <v>7</v>
      </c>
      <c r="F14" s="111">
        <v>9</v>
      </c>
      <c r="G14" s="111">
        <v>104</v>
      </c>
    </row>
    <row r="15" spans="1:7">
      <c r="A15" s="25">
        <v>2017</v>
      </c>
      <c r="B15" s="111">
        <v>37</v>
      </c>
      <c r="C15" s="111">
        <v>158</v>
      </c>
      <c r="D15" s="111">
        <v>11</v>
      </c>
      <c r="E15" s="111">
        <v>7</v>
      </c>
      <c r="F15" s="111">
        <v>9</v>
      </c>
      <c r="G15" s="111">
        <v>101</v>
      </c>
    </row>
    <row r="16" spans="1:7">
      <c r="A16" s="25">
        <v>2018</v>
      </c>
      <c r="B16" s="111">
        <v>35</v>
      </c>
      <c r="C16" s="111">
        <v>134</v>
      </c>
      <c r="D16" s="111">
        <v>11</v>
      </c>
      <c r="E16" s="111">
        <v>7</v>
      </c>
      <c r="F16" s="111">
        <v>9</v>
      </c>
      <c r="G16" s="111">
        <v>95</v>
      </c>
    </row>
    <row r="18" spans="1:1">
      <c r="A18" s="4" t="s">
        <v>394</v>
      </c>
    </row>
    <row r="20" spans="1:1">
      <c r="A20" s="15" t="s">
        <v>106</v>
      </c>
    </row>
    <row r="22" spans="1:1">
      <c r="A22" t="s">
        <v>381</v>
      </c>
    </row>
    <row r="23" spans="1:1">
      <c r="A23" t="s">
        <v>395</v>
      </c>
    </row>
  </sheetData>
  <hyperlinks>
    <hyperlink ref="A3" location="TableOfContents!A1" display="Back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42"/>
  <sheetViews>
    <sheetView workbookViewId="0">
      <selection activeCell="H18" sqref="H18"/>
    </sheetView>
  </sheetViews>
  <sheetFormatPr defaultRowHeight="15"/>
  <cols>
    <col min="1" max="1" width="12" customWidth="1"/>
    <col min="4" max="4" width="11" bestFit="1" customWidth="1"/>
    <col min="12" max="12" width="11" bestFit="1" customWidth="1"/>
  </cols>
  <sheetData>
    <row r="1" spans="1:14" ht="15.75">
      <c r="A1" s="24" t="s">
        <v>930</v>
      </c>
    </row>
    <row r="3" spans="1:14" ht="18.75">
      <c r="A3" s="27" t="s">
        <v>252</v>
      </c>
      <c r="B3" s="29" t="s">
        <v>253</v>
      </c>
    </row>
    <row r="4" spans="1:14" ht="18.75">
      <c r="A4" s="27"/>
      <c r="B4" s="29"/>
    </row>
    <row r="6" spans="1:14">
      <c r="A6" s="4" t="s">
        <v>931</v>
      </c>
      <c r="I6" s="4" t="s">
        <v>932</v>
      </c>
    </row>
    <row r="7" spans="1:14">
      <c r="J7" t="s">
        <v>954</v>
      </c>
    </row>
    <row r="8" spans="1:14" ht="30">
      <c r="A8" s="3" t="s">
        <v>953</v>
      </c>
      <c r="B8" s="14" t="s">
        <v>396</v>
      </c>
      <c r="C8" s="14" t="s">
        <v>397</v>
      </c>
      <c r="D8" s="14" t="s">
        <v>398</v>
      </c>
      <c r="E8" s="14" t="s">
        <v>399</v>
      </c>
      <c r="F8" s="14" t="s">
        <v>379</v>
      </c>
      <c r="I8" s="3" t="s">
        <v>953</v>
      </c>
      <c r="J8" s="14" t="s">
        <v>396</v>
      </c>
      <c r="K8" s="14" t="s">
        <v>397</v>
      </c>
      <c r="L8" s="14" t="s">
        <v>398</v>
      </c>
      <c r="M8" s="14" t="s">
        <v>399</v>
      </c>
      <c r="N8" s="14" t="s">
        <v>379</v>
      </c>
    </row>
    <row r="9" spans="1:14">
      <c r="A9" s="111">
        <v>1985</v>
      </c>
      <c r="B9" s="227">
        <v>23452</v>
      </c>
      <c r="C9" s="227">
        <v>136706</v>
      </c>
      <c r="D9" s="227">
        <v>189315</v>
      </c>
      <c r="E9" s="227">
        <v>3404</v>
      </c>
      <c r="F9" s="227">
        <f>SUM(B9:E9)</f>
        <v>352877</v>
      </c>
      <c r="G9" s="111"/>
      <c r="H9" s="111"/>
      <c r="I9" s="111">
        <v>1985</v>
      </c>
      <c r="J9" s="267">
        <v>8.3800000000000008</v>
      </c>
      <c r="K9" s="267">
        <v>54.12</v>
      </c>
      <c r="L9" s="267">
        <v>67.400000000000006</v>
      </c>
      <c r="M9" s="267">
        <v>1.38</v>
      </c>
      <c r="N9" s="267">
        <f t="shared" ref="N9:N25" si="0">J9+K9+L9+M9</f>
        <v>131.28</v>
      </c>
    </row>
    <row r="10" spans="1:14">
      <c r="A10" s="111">
        <v>1986</v>
      </c>
      <c r="B10" s="227">
        <v>23875</v>
      </c>
      <c r="C10" s="227">
        <v>134775</v>
      </c>
      <c r="D10" s="227">
        <v>189326</v>
      </c>
      <c r="E10" s="227">
        <v>3392</v>
      </c>
      <c r="F10" s="227">
        <f t="shared" ref="F10:F34" si="1">SUM(B10:E10)</f>
        <v>351368</v>
      </c>
      <c r="G10" s="111"/>
      <c r="H10" s="111"/>
      <c r="I10" s="111">
        <v>1986</v>
      </c>
      <c r="J10" s="267">
        <v>8.7799999999999994</v>
      </c>
      <c r="K10" s="267">
        <v>52.07</v>
      </c>
      <c r="L10" s="267">
        <v>65.92</v>
      </c>
      <c r="M10" s="267">
        <v>1.32</v>
      </c>
      <c r="N10" s="267">
        <f t="shared" si="0"/>
        <v>128.09</v>
      </c>
    </row>
    <row r="11" spans="1:14">
      <c r="A11" s="111">
        <v>1987</v>
      </c>
      <c r="B11" s="227">
        <v>37825</v>
      </c>
      <c r="C11" s="227">
        <v>136060</v>
      </c>
      <c r="D11" s="227">
        <v>179821</v>
      </c>
      <c r="E11" s="227">
        <v>7215</v>
      </c>
      <c r="F11" s="227">
        <f t="shared" si="1"/>
        <v>360921</v>
      </c>
      <c r="G11" s="111"/>
      <c r="H11" s="111"/>
      <c r="I11" s="111">
        <v>1987</v>
      </c>
      <c r="J11" s="267">
        <v>13.7</v>
      </c>
      <c r="K11" s="267">
        <v>51.14</v>
      </c>
      <c r="L11" s="267">
        <v>61.13</v>
      </c>
      <c r="M11" s="267">
        <v>2.66</v>
      </c>
      <c r="N11" s="267">
        <f t="shared" si="0"/>
        <v>128.63</v>
      </c>
    </row>
    <row r="12" spans="1:14">
      <c r="A12" s="111">
        <v>1988</v>
      </c>
      <c r="B12" s="227">
        <v>38001</v>
      </c>
      <c r="C12" s="227">
        <v>141383</v>
      </c>
      <c r="D12" s="227">
        <v>176570</v>
      </c>
      <c r="E12" s="227">
        <v>9164</v>
      </c>
      <c r="F12" s="227">
        <f t="shared" si="1"/>
        <v>365118</v>
      </c>
      <c r="G12" s="111"/>
      <c r="H12" s="111"/>
      <c r="I12" s="111">
        <v>1988</v>
      </c>
      <c r="J12" s="267">
        <v>13.37</v>
      </c>
      <c r="K12" s="267">
        <v>52.18</v>
      </c>
      <c r="L12" s="267">
        <v>58.83</v>
      </c>
      <c r="M12" s="267">
        <v>3.41</v>
      </c>
      <c r="N12" s="267">
        <f t="shared" si="0"/>
        <v>127.78999999999999</v>
      </c>
    </row>
    <row r="13" spans="1:14">
      <c r="A13" s="111">
        <v>1989</v>
      </c>
      <c r="B13" s="227">
        <v>31402</v>
      </c>
      <c r="C13" s="227">
        <v>138873</v>
      </c>
      <c r="D13" s="227">
        <v>180898</v>
      </c>
      <c r="E13" s="227">
        <v>6463</v>
      </c>
      <c r="F13" s="227">
        <f t="shared" si="1"/>
        <v>357636</v>
      </c>
      <c r="G13" s="111"/>
      <c r="H13" s="111"/>
      <c r="I13" s="111">
        <v>1989</v>
      </c>
      <c r="J13" s="267">
        <v>10.77</v>
      </c>
      <c r="K13" s="267">
        <v>50.7</v>
      </c>
      <c r="L13" s="267">
        <v>59.43</v>
      </c>
      <c r="M13" s="267">
        <v>2.4300000000000002</v>
      </c>
      <c r="N13" s="267">
        <f t="shared" si="0"/>
        <v>123.33000000000001</v>
      </c>
    </row>
    <row r="14" spans="1:14">
      <c r="A14" s="111">
        <v>1990</v>
      </c>
      <c r="B14" s="227">
        <v>30442</v>
      </c>
      <c r="C14" s="227">
        <v>141414</v>
      </c>
      <c r="D14" s="227">
        <v>177325</v>
      </c>
      <c r="E14" s="227">
        <v>4897</v>
      </c>
      <c r="F14" s="227">
        <f t="shared" si="1"/>
        <v>354078</v>
      </c>
      <c r="G14" s="111"/>
      <c r="H14" s="111"/>
      <c r="I14" s="111">
        <v>1990</v>
      </c>
      <c r="J14" s="267">
        <v>10.26</v>
      </c>
      <c r="K14" s="267">
        <v>50.21</v>
      </c>
      <c r="L14" s="267">
        <v>56.72</v>
      </c>
      <c r="M14" s="267">
        <v>1.7</v>
      </c>
      <c r="N14" s="267">
        <f t="shared" si="0"/>
        <v>118.89</v>
      </c>
    </row>
    <row r="15" spans="1:14">
      <c r="A15" s="111">
        <v>1991</v>
      </c>
      <c r="B15" s="227">
        <v>26706</v>
      </c>
      <c r="C15" s="227">
        <v>148685</v>
      </c>
      <c r="D15" s="227">
        <v>174973</v>
      </c>
      <c r="E15" s="227">
        <v>5106</v>
      </c>
      <c r="F15" s="227">
        <f t="shared" si="1"/>
        <v>355470</v>
      </c>
      <c r="G15" s="111"/>
      <c r="H15" s="111"/>
      <c r="I15" s="111">
        <v>1991</v>
      </c>
      <c r="J15" s="267">
        <v>8.5500000000000007</v>
      </c>
      <c r="K15" s="267">
        <v>50.46</v>
      </c>
      <c r="L15" s="267">
        <v>53.94</v>
      </c>
      <c r="M15" s="267">
        <v>1.66</v>
      </c>
      <c r="N15" s="267">
        <f t="shared" si="0"/>
        <v>114.61</v>
      </c>
    </row>
    <row r="16" spans="1:14">
      <c r="A16" s="111">
        <v>1992</v>
      </c>
      <c r="B16" s="227">
        <v>29854</v>
      </c>
      <c r="C16" s="227">
        <v>154396</v>
      </c>
      <c r="D16" s="227">
        <v>178452</v>
      </c>
      <c r="E16" s="227">
        <v>5109</v>
      </c>
      <c r="F16" s="227">
        <f t="shared" si="1"/>
        <v>367811</v>
      </c>
      <c r="G16" s="111"/>
      <c r="H16" s="111"/>
      <c r="I16" s="111">
        <v>1992</v>
      </c>
      <c r="J16" s="267">
        <v>8.98</v>
      </c>
      <c r="K16" s="267">
        <v>49.3</v>
      </c>
      <c r="L16" s="267">
        <v>51.57</v>
      </c>
      <c r="M16" s="267">
        <v>1.64</v>
      </c>
      <c r="N16" s="267">
        <f t="shared" si="0"/>
        <v>111.49</v>
      </c>
    </row>
    <row r="17" spans="1:14">
      <c r="A17" s="111">
        <v>1993</v>
      </c>
      <c r="B17" s="227">
        <v>29667</v>
      </c>
      <c r="C17" s="227">
        <v>163840</v>
      </c>
      <c r="D17" s="227">
        <v>177622</v>
      </c>
      <c r="E17" s="227">
        <v>5443</v>
      </c>
      <c r="F17" s="227">
        <f t="shared" si="1"/>
        <v>376572</v>
      </c>
      <c r="G17" s="111"/>
      <c r="H17" s="111"/>
      <c r="I17" s="111">
        <v>1993</v>
      </c>
      <c r="J17" s="267">
        <v>8.33</v>
      </c>
      <c r="K17" s="267">
        <v>48.97</v>
      </c>
      <c r="L17" s="267">
        <v>47.86</v>
      </c>
      <c r="M17" s="267">
        <v>1.61</v>
      </c>
      <c r="N17" s="267">
        <f t="shared" si="0"/>
        <v>106.77</v>
      </c>
    </row>
    <row r="18" spans="1:14">
      <c r="A18" s="111">
        <v>1994</v>
      </c>
      <c r="B18" s="227">
        <v>35915</v>
      </c>
      <c r="C18" s="227">
        <v>169674</v>
      </c>
      <c r="D18" s="227">
        <v>176425</v>
      </c>
      <c r="E18" s="227">
        <v>5553</v>
      </c>
      <c r="F18" s="227">
        <f t="shared" si="1"/>
        <v>387567</v>
      </c>
      <c r="G18" s="111"/>
      <c r="H18" s="111"/>
      <c r="I18" s="111">
        <v>1994</v>
      </c>
      <c r="J18" s="267">
        <v>9.52</v>
      </c>
      <c r="K18" s="267">
        <v>47.63</v>
      </c>
      <c r="L18" s="267">
        <v>44.48</v>
      </c>
      <c r="M18" s="267">
        <v>1.53</v>
      </c>
      <c r="N18" s="267">
        <f t="shared" si="0"/>
        <v>103.16</v>
      </c>
    </row>
    <row r="19" spans="1:14">
      <c r="A19" s="111">
        <v>1995</v>
      </c>
      <c r="B19" s="227">
        <v>47282</v>
      </c>
      <c r="C19" s="227">
        <v>171871</v>
      </c>
      <c r="D19" s="227">
        <v>185639</v>
      </c>
      <c r="E19" s="227">
        <v>6570</v>
      </c>
      <c r="F19" s="227">
        <f t="shared" si="1"/>
        <v>411362</v>
      </c>
      <c r="G19" s="111"/>
      <c r="H19" s="111"/>
      <c r="I19" s="111">
        <v>1995</v>
      </c>
      <c r="J19" s="267">
        <v>11.71</v>
      </c>
      <c r="K19" s="267">
        <v>45.7</v>
      </c>
      <c r="L19" s="267">
        <v>44.5</v>
      </c>
      <c r="M19" s="267">
        <v>1.72</v>
      </c>
      <c r="N19" s="267">
        <f t="shared" si="0"/>
        <v>103.63</v>
      </c>
    </row>
    <row r="20" spans="1:14">
      <c r="A20" s="111">
        <v>1996</v>
      </c>
      <c r="B20" s="227">
        <v>50572</v>
      </c>
      <c r="C20" s="227">
        <v>167145</v>
      </c>
      <c r="D20" s="227">
        <v>186427</v>
      </c>
      <c r="E20" s="227">
        <v>6327</v>
      </c>
      <c r="F20" s="227">
        <f t="shared" si="1"/>
        <v>410471</v>
      </c>
      <c r="G20" s="111"/>
      <c r="H20" s="111"/>
      <c r="I20" s="111">
        <v>1996</v>
      </c>
      <c r="J20" s="267">
        <v>11.92</v>
      </c>
      <c r="K20" s="267">
        <v>41.93</v>
      </c>
      <c r="L20" s="267">
        <v>42.69</v>
      </c>
      <c r="M20" s="267">
        <v>1.59</v>
      </c>
      <c r="N20" s="267">
        <f t="shared" si="0"/>
        <v>98.13</v>
      </c>
    </row>
    <row r="21" spans="1:14">
      <c r="A21" s="111">
        <v>1997</v>
      </c>
      <c r="B21" s="227">
        <v>105956</v>
      </c>
      <c r="C21" s="227">
        <v>157954</v>
      </c>
      <c r="D21" s="227">
        <v>194159</v>
      </c>
      <c r="E21" s="227">
        <v>5596</v>
      </c>
      <c r="F21" s="227">
        <f t="shared" si="1"/>
        <v>463665</v>
      </c>
      <c r="G21" s="111"/>
      <c r="H21" s="111"/>
      <c r="I21" s="111">
        <v>1997</v>
      </c>
      <c r="J21" s="267">
        <v>27.3</v>
      </c>
      <c r="K21" s="267">
        <v>37.299999999999997</v>
      </c>
      <c r="L21" s="267">
        <v>42.9</v>
      </c>
      <c r="M21" s="267">
        <v>1.38</v>
      </c>
      <c r="N21" s="267">
        <f t="shared" si="0"/>
        <v>108.88</v>
      </c>
    </row>
    <row r="22" spans="1:14">
      <c r="A22" s="111">
        <v>1998</v>
      </c>
      <c r="B22" s="227">
        <v>51531</v>
      </c>
      <c r="C22" s="227">
        <v>160815</v>
      </c>
      <c r="D22" s="227">
        <v>191730</v>
      </c>
      <c r="E22" s="227">
        <v>5967</v>
      </c>
      <c r="F22" s="227">
        <f t="shared" si="1"/>
        <v>410043</v>
      </c>
      <c r="G22" s="111"/>
      <c r="H22" s="111"/>
      <c r="I22" s="111">
        <v>1998</v>
      </c>
      <c r="J22" s="267">
        <v>10.65</v>
      </c>
      <c r="K22" s="267">
        <v>37.229999999999997</v>
      </c>
      <c r="L22" s="267">
        <v>41.51</v>
      </c>
      <c r="M22" s="267">
        <v>1.39</v>
      </c>
      <c r="N22" s="267">
        <f t="shared" si="0"/>
        <v>90.779999999999987</v>
      </c>
    </row>
    <row r="23" spans="1:14">
      <c r="A23" s="111">
        <v>1999</v>
      </c>
      <c r="B23" s="227">
        <v>57802</v>
      </c>
      <c r="C23" s="227">
        <v>165427</v>
      </c>
      <c r="D23" s="227">
        <v>205079</v>
      </c>
      <c r="E23" s="227">
        <v>8121</v>
      </c>
      <c r="F23" s="227">
        <f t="shared" si="1"/>
        <v>436429</v>
      </c>
      <c r="G23" s="111"/>
      <c r="H23" s="111"/>
      <c r="I23" s="111">
        <v>1999</v>
      </c>
      <c r="J23" s="267">
        <v>12.01</v>
      </c>
      <c r="K23" s="267">
        <v>36.9</v>
      </c>
      <c r="L23" s="267">
        <v>42.68</v>
      </c>
      <c r="M23" s="267">
        <v>1.87</v>
      </c>
      <c r="N23" s="267">
        <f t="shared" si="0"/>
        <v>93.460000000000008</v>
      </c>
    </row>
    <row r="24" spans="1:14">
      <c r="A24" s="111">
        <v>2000</v>
      </c>
      <c r="B24" s="227">
        <v>69483</v>
      </c>
      <c r="C24" s="227">
        <v>168996</v>
      </c>
      <c r="D24" s="227">
        <v>210067</v>
      </c>
      <c r="E24" s="227">
        <v>10181</v>
      </c>
      <c r="F24" s="227">
        <f t="shared" si="1"/>
        <v>458727</v>
      </c>
      <c r="G24" s="111"/>
      <c r="H24" s="111"/>
      <c r="I24" s="111">
        <v>2000</v>
      </c>
      <c r="J24" s="267">
        <v>14.07</v>
      </c>
      <c r="K24" s="267">
        <v>36.42</v>
      </c>
      <c r="L24" s="267">
        <v>42.26</v>
      </c>
      <c r="M24" s="267">
        <v>2.34</v>
      </c>
      <c r="N24" s="267">
        <f t="shared" si="0"/>
        <v>95.09</v>
      </c>
    </row>
    <row r="25" spans="1:14">
      <c r="A25" s="111">
        <v>2001</v>
      </c>
      <c r="B25" s="227">
        <v>66765</v>
      </c>
      <c r="C25" s="227">
        <v>164968</v>
      </c>
      <c r="D25" s="227">
        <v>213120</v>
      </c>
      <c r="E25" s="227">
        <v>10256</v>
      </c>
      <c r="F25" s="227">
        <f t="shared" si="1"/>
        <v>455109</v>
      </c>
      <c r="G25" s="111"/>
      <c r="H25" s="111"/>
      <c r="I25" s="111">
        <v>2001</v>
      </c>
      <c r="J25" s="267">
        <v>13.11</v>
      </c>
      <c r="K25" s="267">
        <v>34.31</v>
      </c>
      <c r="L25" s="267">
        <v>41.22</v>
      </c>
      <c r="M25" s="267">
        <v>2.2599999999999998</v>
      </c>
      <c r="N25" s="267">
        <f t="shared" si="0"/>
        <v>90.9</v>
      </c>
    </row>
    <row r="26" spans="1:14">
      <c r="A26" s="111">
        <v>2002</v>
      </c>
      <c r="B26" s="227">
        <v>64057</v>
      </c>
      <c r="C26" s="227">
        <v>180602</v>
      </c>
      <c r="D26" s="227">
        <v>222353</v>
      </c>
      <c r="E26" s="227">
        <v>10300</v>
      </c>
      <c r="F26" s="227">
        <f t="shared" si="1"/>
        <v>477312</v>
      </c>
      <c r="G26" s="111"/>
      <c r="H26" s="111"/>
      <c r="I26" s="111">
        <v>2002</v>
      </c>
      <c r="J26" s="267">
        <v>11.69</v>
      </c>
      <c r="K26" s="267">
        <v>36.020000000000003</v>
      </c>
      <c r="L26" s="267">
        <v>40.85</v>
      </c>
      <c r="M26" s="267">
        <v>2.15</v>
      </c>
      <c r="N26" s="267">
        <f>J26+K26+L26+M26</f>
        <v>90.710000000000008</v>
      </c>
    </row>
    <row r="27" spans="1:14">
      <c r="A27" s="111">
        <v>2003</v>
      </c>
      <c r="B27" s="227">
        <v>58023</v>
      </c>
      <c r="C27" s="227">
        <v>185209</v>
      </c>
      <c r="D27" s="227">
        <v>198334</v>
      </c>
      <c r="E27" s="227">
        <v>9218</v>
      </c>
      <c r="F27" s="227">
        <f t="shared" si="1"/>
        <v>450784</v>
      </c>
      <c r="G27" s="111"/>
      <c r="H27" s="111"/>
      <c r="I27" s="111">
        <v>2003</v>
      </c>
      <c r="J27" s="267">
        <v>10.01</v>
      </c>
      <c r="K27" s="267">
        <v>35.049999999999997</v>
      </c>
      <c r="L27" s="267">
        <v>34.47</v>
      </c>
      <c r="M27" s="267">
        <v>1.84</v>
      </c>
      <c r="N27" s="267">
        <f>J27+K27+L27+M27</f>
        <v>81.37</v>
      </c>
    </row>
    <row r="28" spans="1:14">
      <c r="A28" s="111">
        <v>2004</v>
      </c>
      <c r="B28" s="227">
        <v>53677</v>
      </c>
      <c r="C28" s="227">
        <v>191334</v>
      </c>
      <c r="D28" s="227">
        <v>201738</v>
      </c>
      <c r="E28" s="227">
        <v>16188</v>
      </c>
      <c r="F28" s="227">
        <f t="shared" si="1"/>
        <v>462937</v>
      </c>
      <c r="G28" s="111"/>
      <c r="H28" s="111"/>
      <c r="I28" s="111">
        <v>2004</v>
      </c>
      <c r="J28" s="267">
        <v>8.68</v>
      </c>
      <c r="K28" s="268">
        <v>34.53</v>
      </c>
      <c r="L28" s="267">
        <v>33.130000000000003</v>
      </c>
      <c r="M28" s="267">
        <v>3.01</v>
      </c>
      <c r="N28" s="267">
        <f t="shared" ref="N28:N34" si="2">J28+K28+L28+M28</f>
        <v>79.350000000000009</v>
      </c>
    </row>
    <row r="29" spans="1:14">
      <c r="A29" s="111">
        <v>2005</v>
      </c>
      <c r="B29" s="227">
        <v>63522</v>
      </c>
      <c r="C29" s="227">
        <v>200187</v>
      </c>
      <c r="D29" s="227">
        <v>210297</v>
      </c>
      <c r="E29" s="227">
        <v>20581</v>
      </c>
      <c r="F29" s="227">
        <f t="shared" si="1"/>
        <v>494587</v>
      </c>
      <c r="G29" s="111"/>
      <c r="H29" s="111"/>
      <c r="I29" s="68">
        <v>2005</v>
      </c>
      <c r="J29" s="267">
        <v>9.73</v>
      </c>
      <c r="K29" s="267">
        <v>34.42</v>
      </c>
      <c r="L29" s="267">
        <v>32.770000000000003</v>
      </c>
      <c r="M29" s="267">
        <v>3.61</v>
      </c>
      <c r="N29" s="267">
        <f t="shared" si="2"/>
        <v>80.530000000000015</v>
      </c>
    </row>
    <row r="30" spans="1:14">
      <c r="A30" s="111">
        <v>2006</v>
      </c>
      <c r="B30" s="227">
        <v>58234</v>
      </c>
      <c r="C30" s="227">
        <v>205381</v>
      </c>
      <c r="D30" s="227">
        <v>226560</v>
      </c>
      <c r="E30" s="227">
        <v>13472</v>
      </c>
      <c r="F30" s="227">
        <f t="shared" si="1"/>
        <v>503647</v>
      </c>
      <c r="G30" s="111"/>
      <c r="H30" s="111"/>
      <c r="I30" s="68">
        <v>2006</v>
      </c>
      <c r="J30" s="267">
        <v>8.5</v>
      </c>
      <c r="K30" s="267">
        <v>33.799999999999997</v>
      </c>
      <c r="L30" s="267">
        <v>33.71</v>
      </c>
      <c r="M30" s="267">
        <v>2.17</v>
      </c>
      <c r="N30" s="267">
        <f t="shared" si="2"/>
        <v>78.179999999999993</v>
      </c>
    </row>
    <row r="31" spans="1:14">
      <c r="A31" s="111">
        <v>2007</v>
      </c>
      <c r="B31" s="227">
        <v>47205</v>
      </c>
      <c r="C31" s="227">
        <v>209413</v>
      </c>
      <c r="D31" s="227">
        <v>242894</v>
      </c>
      <c r="E31" s="227">
        <v>18709</v>
      </c>
      <c r="F31" s="227">
        <f t="shared" si="1"/>
        <v>518221</v>
      </c>
      <c r="G31" s="111"/>
      <c r="H31" s="111"/>
      <c r="I31" s="68">
        <v>2007</v>
      </c>
      <c r="J31" s="267">
        <v>6.58</v>
      </c>
      <c r="K31" s="267">
        <v>33.21</v>
      </c>
      <c r="L31" s="267">
        <v>34.75</v>
      </c>
      <c r="M31" s="267">
        <v>2.86</v>
      </c>
      <c r="N31" s="267">
        <f t="shared" si="2"/>
        <v>77.399999999999991</v>
      </c>
    </row>
    <row r="32" spans="1:14">
      <c r="A32" s="111">
        <v>2008</v>
      </c>
      <c r="B32" s="227">
        <v>51369</v>
      </c>
      <c r="C32" s="227">
        <v>218872</v>
      </c>
      <c r="D32" s="227">
        <v>268769</v>
      </c>
      <c r="E32" s="227">
        <v>18758</v>
      </c>
      <c r="F32" s="227">
        <f t="shared" si="1"/>
        <v>557768</v>
      </c>
      <c r="G32" s="111"/>
      <c r="H32" s="111"/>
      <c r="I32" s="68">
        <v>2008</v>
      </c>
      <c r="J32" s="267">
        <v>6.85</v>
      </c>
      <c r="K32" s="267">
        <v>33.33</v>
      </c>
      <c r="L32" s="267">
        <v>36.72</v>
      </c>
      <c r="M32" s="267">
        <v>2.77</v>
      </c>
      <c r="N32" s="267">
        <f t="shared" si="2"/>
        <v>79.67</v>
      </c>
    </row>
    <row r="33" spans="1:14">
      <c r="A33" s="111">
        <v>2009</v>
      </c>
      <c r="B33" s="227">
        <v>45491</v>
      </c>
      <c r="C33" s="227">
        <v>225763</v>
      </c>
      <c r="D33" s="227">
        <v>339314</v>
      </c>
      <c r="E33" s="227">
        <v>17080</v>
      </c>
      <c r="F33" s="227">
        <f t="shared" si="1"/>
        <v>627648</v>
      </c>
      <c r="G33" s="111"/>
      <c r="H33" s="111"/>
      <c r="I33" s="68">
        <v>2009</v>
      </c>
      <c r="J33" s="267">
        <v>5.81</v>
      </c>
      <c r="K33" s="267">
        <v>32.67</v>
      </c>
      <c r="L33" s="267">
        <v>44.04</v>
      </c>
      <c r="M33" s="267">
        <v>2.79</v>
      </c>
      <c r="N33" s="267">
        <f t="shared" si="2"/>
        <v>85.310000000000016</v>
      </c>
    </row>
    <row r="34" spans="1:14">
      <c r="A34" s="111">
        <v>2010</v>
      </c>
      <c r="B34" s="227">
        <v>54582</v>
      </c>
      <c r="C34" s="227">
        <v>230411</v>
      </c>
      <c r="D34" s="227">
        <v>336962</v>
      </c>
      <c r="E34" s="227">
        <v>20818</v>
      </c>
      <c r="F34" s="227">
        <f t="shared" si="1"/>
        <v>642773</v>
      </c>
      <c r="G34" s="111"/>
      <c r="H34" s="111"/>
      <c r="I34" s="68">
        <v>2010</v>
      </c>
      <c r="J34" s="267">
        <v>6.6</v>
      </c>
      <c r="K34" s="267">
        <v>31.83</v>
      </c>
      <c r="L34" s="267">
        <v>41.68</v>
      </c>
      <c r="M34" s="267">
        <v>2.95</v>
      </c>
      <c r="N34" s="267">
        <f t="shared" si="2"/>
        <v>83.06</v>
      </c>
    </row>
    <row r="37" spans="1:14">
      <c r="A37" s="15" t="s">
        <v>106</v>
      </c>
    </row>
    <row r="39" spans="1:14">
      <c r="A39" t="s">
        <v>401</v>
      </c>
    </row>
    <row r="40" spans="1:14">
      <c r="A40" s="1" t="s">
        <v>373</v>
      </c>
    </row>
    <row r="42" spans="1:14">
      <c r="A42" t="s">
        <v>402</v>
      </c>
    </row>
  </sheetData>
  <hyperlinks>
    <hyperlink ref="A3" location="TableOfContents!A1" display="Back"/>
    <hyperlink ref="A40" r:id="rId1"/>
  </hyperlinks>
  <pageMargins left="0.7" right="0.7" top="0.75" bottom="0.75" header="0.3" footer="0.3"/>
  <ignoredErrors>
    <ignoredError sqref="F9:F34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M21"/>
  <sheetViews>
    <sheetView workbookViewId="0">
      <selection activeCell="I14" sqref="I14"/>
    </sheetView>
  </sheetViews>
  <sheetFormatPr defaultRowHeight="15"/>
  <cols>
    <col min="1" max="1" width="6.140625" customWidth="1"/>
  </cols>
  <sheetData>
    <row r="1" spans="1:13" ht="15.75">
      <c r="A1" s="24" t="s">
        <v>933</v>
      </c>
    </row>
    <row r="3" spans="1:13" ht="18.75">
      <c r="A3" s="27" t="s">
        <v>252</v>
      </c>
      <c r="B3" s="29" t="s">
        <v>253</v>
      </c>
    </row>
    <row r="6" spans="1:13">
      <c r="B6" s="4" t="s">
        <v>955</v>
      </c>
      <c r="K6" s="4" t="s">
        <v>957</v>
      </c>
    </row>
    <row r="7" spans="1:13">
      <c r="B7" s="4" t="s">
        <v>956</v>
      </c>
      <c r="K7" s="4" t="s">
        <v>956</v>
      </c>
    </row>
    <row r="8" spans="1:13">
      <c r="B8" s="57" t="s">
        <v>414</v>
      </c>
      <c r="K8" s="57" t="s">
        <v>415</v>
      </c>
    </row>
    <row r="9" spans="1:13">
      <c r="B9" s="4" t="s">
        <v>410</v>
      </c>
      <c r="C9" s="8" t="s">
        <v>403</v>
      </c>
      <c r="D9" s="8" t="s">
        <v>404</v>
      </c>
      <c r="K9" s="4" t="s">
        <v>410</v>
      </c>
      <c r="L9" s="8" t="s">
        <v>403</v>
      </c>
      <c r="M9" s="8" t="s">
        <v>404</v>
      </c>
    </row>
    <row r="10" spans="1:13">
      <c r="B10" t="s">
        <v>405</v>
      </c>
      <c r="C10" s="6">
        <v>1986</v>
      </c>
      <c r="D10" s="6">
        <v>1184</v>
      </c>
      <c r="K10" t="s">
        <v>405</v>
      </c>
      <c r="L10" s="5">
        <v>1.4999999999999999E-2</v>
      </c>
      <c r="M10" s="5">
        <v>1.2E-2</v>
      </c>
    </row>
    <row r="11" spans="1:13">
      <c r="B11" t="s">
        <v>406</v>
      </c>
      <c r="C11" s="6">
        <v>4864</v>
      </c>
      <c r="D11" s="6">
        <v>3935</v>
      </c>
      <c r="K11" t="s">
        <v>406</v>
      </c>
      <c r="L11" s="5">
        <v>1.3999999999999999E-2</v>
      </c>
      <c r="M11" s="5">
        <v>1.2E-2</v>
      </c>
    </row>
    <row r="12" spans="1:13">
      <c r="B12" t="s">
        <v>407</v>
      </c>
      <c r="C12" s="6">
        <v>6796</v>
      </c>
      <c r="D12" s="6">
        <v>6282</v>
      </c>
      <c r="K12" t="s">
        <v>407</v>
      </c>
      <c r="L12" s="5">
        <v>8.0000000000000002E-3</v>
      </c>
      <c r="M12" s="5">
        <v>8.0000000000000002E-3</v>
      </c>
    </row>
    <row r="13" spans="1:13">
      <c r="B13" t="s">
        <v>408</v>
      </c>
      <c r="C13" s="6">
        <v>6140</v>
      </c>
      <c r="D13" s="6">
        <v>6067</v>
      </c>
      <c r="K13" t="s">
        <v>408</v>
      </c>
      <c r="L13" s="5">
        <v>4.0000000000000001E-3</v>
      </c>
      <c r="M13" s="5">
        <v>4.0000000000000001E-3</v>
      </c>
    </row>
    <row r="14" spans="1:13">
      <c r="B14" t="s">
        <v>409</v>
      </c>
      <c r="C14" s="6">
        <v>1877</v>
      </c>
      <c r="D14" s="6">
        <v>1828</v>
      </c>
      <c r="K14" t="s">
        <v>409</v>
      </c>
      <c r="L14" s="5">
        <v>1E-3</v>
      </c>
      <c r="M14" s="5">
        <v>2E-3</v>
      </c>
    </row>
    <row r="17" spans="1:1">
      <c r="A17" s="15" t="s">
        <v>106</v>
      </c>
    </row>
    <row r="19" spans="1:1">
      <c r="A19" t="s">
        <v>436</v>
      </c>
    </row>
    <row r="20" spans="1:1">
      <c r="A20" t="s">
        <v>437</v>
      </c>
    </row>
    <row r="21" spans="1:1">
      <c r="A21" s="1" t="s">
        <v>411</v>
      </c>
    </row>
  </sheetData>
  <hyperlinks>
    <hyperlink ref="A3" location="TableOfContents!A1" display="Back"/>
    <hyperlink ref="A21" r:id="rId1" location="table57"/>
  </hyperlinks>
  <pageMargins left="0.7" right="0.7" top="0.75" bottom="0.75" header="0.3" footer="0.3"/>
  <pageSetup orientation="portrait" verticalDpi="4"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selection activeCell="G6" sqref="G6"/>
    </sheetView>
  </sheetViews>
  <sheetFormatPr defaultRowHeight="15"/>
  <cols>
    <col min="1" max="1" width="12" customWidth="1"/>
    <col min="2" max="2" width="12.85546875" customWidth="1"/>
    <col min="3" max="3" width="10.5703125" customWidth="1"/>
    <col min="4" max="4" width="13.85546875" customWidth="1"/>
    <col min="5" max="5" width="16.28515625" customWidth="1"/>
    <col min="6" max="6" width="16.7109375" customWidth="1"/>
  </cols>
  <sheetData>
    <row r="1" spans="1:10" ht="15.75">
      <c r="A1" s="24" t="s">
        <v>416</v>
      </c>
    </row>
    <row r="2" spans="1:10" ht="15.75">
      <c r="A2" s="24" t="s">
        <v>417</v>
      </c>
    </row>
    <row r="4" spans="1:10" ht="18.75">
      <c r="A4" s="27" t="s">
        <v>252</v>
      </c>
      <c r="B4" s="29" t="s">
        <v>253</v>
      </c>
    </row>
    <row r="6" spans="1:10" ht="45">
      <c r="B6" s="14" t="s">
        <v>418</v>
      </c>
      <c r="C6" s="14" t="s">
        <v>420</v>
      </c>
      <c r="D6" s="3" t="s">
        <v>419</v>
      </c>
      <c r="E6" s="3" t="s">
        <v>422</v>
      </c>
      <c r="F6" s="3" t="s">
        <v>421</v>
      </c>
      <c r="G6" s="25"/>
      <c r="H6" s="25"/>
      <c r="I6" s="25"/>
      <c r="J6" s="25"/>
    </row>
    <row r="7" spans="1:10">
      <c r="A7" s="25" t="s">
        <v>412</v>
      </c>
      <c r="B7" s="70">
        <v>591493</v>
      </c>
      <c r="C7" s="70">
        <v>165801</v>
      </c>
      <c r="D7" s="70">
        <v>60761</v>
      </c>
      <c r="E7" s="70">
        <v>38546</v>
      </c>
      <c r="F7" s="70">
        <v>21829</v>
      </c>
      <c r="G7" s="25"/>
      <c r="H7" s="25"/>
    </row>
    <row r="8" spans="1:10">
      <c r="A8" s="25" t="s">
        <v>413</v>
      </c>
      <c r="B8" s="72">
        <v>1</v>
      </c>
      <c r="C8" s="72">
        <v>0.28000000000000003</v>
      </c>
      <c r="D8" s="71">
        <v>0.10299999999999999</v>
      </c>
      <c r="E8" s="71">
        <v>6.5000000000000002E-2</v>
      </c>
      <c r="F8" s="71">
        <v>3.6999999999999998E-2</v>
      </c>
      <c r="G8" s="71"/>
      <c r="H8" s="25"/>
    </row>
    <row r="9" spans="1:10">
      <c r="B9" s="25"/>
      <c r="C9" s="25"/>
      <c r="D9" s="25"/>
      <c r="E9" s="25"/>
      <c r="F9" s="25"/>
      <c r="G9" s="25"/>
      <c r="H9" s="25"/>
    </row>
    <row r="10" spans="1:10">
      <c r="B10" s="25"/>
      <c r="C10" s="25"/>
      <c r="D10" s="25"/>
      <c r="E10" s="25"/>
      <c r="F10" s="25"/>
      <c r="G10" s="25"/>
      <c r="H10" s="25"/>
    </row>
    <row r="11" spans="1:10">
      <c r="B11" s="25"/>
      <c r="C11" s="25"/>
      <c r="D11" s="25"/>
      <c r="E11" s="25"/>
      <c r="F11" s="25"/>
      <c r="G11" s="25"/>
      <c r="H11" s="25"/>
    </row>
    <row r="25" spans="1:1">
      <c r="A25" s="15" t="s">
        <v>423</v>
      </c>
    </row>
    <row r="27" spans="1:1">
      <c r="A27" t="s">
        <v>424</v>
      </c>
    </row>
    <row r="28" spans="1:1">
      <c r="A28" t="s">
        <v>425</v>
      </c>
    </row>
    <row r="29" spans="1:1">
      <c r="A29" s="1" t="s">
        <v>426</v>
      </c>
    </row>
  </sheetData>
  <hyperlinks>
    <hyperlink ref="A4" location="TableOfContents!A1" display="Back"/>
    <hyperlink ref="A29" r:id="rId1"/>
  </hyperlinks>
  <pageMargins left="0.7" right="0.7" top="0.75" bottom="0.75" header="0.3" footer="0.3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74"/>
  <sheetViews>
    <sheetView workbookViewId="0">
      <selection activeCell="G7" sqref="G7"/>
    </sheetView>
  </sheetViews>
  <sheetFormatPr defaultRowHeight="15"/>
  <cols>
    <col min="1" max="1" width="6.5703125" customWidth="1"/>
    <col min="3" max="3" width="11.85546875" customWidth="1"/>
    <col min="4" max="4" width="12.140625" customWidth="1"/>
  </cols>
  <sheetData>
    <row r="1" spans="1:4" ht="15.75">
      <c r="A1" s="24" t="s">
        <v>428</v>
      </c>
    </row>
    <row r="3" spans="1:4" ht="18.75">
      <c r="A3" s="27" t="s">
        <v>252</v>
      </c>
      <c r="B3" s="29" t="s">
        <v>253</v>
      </c>
    </row>
    <row r="5" spans="1:4">
      <c r="B5" s="4" t="s">
        <v>400</v>
      </c>
    </row>
    <row r="6" spans="1:4">
      <c r="A6" s="14" t="s">
        <v>87</v>
      </c>
      <c r="B6" s="14" t="s">
        <v>427</v>
      </c>
      <c r="C6" s="3" t="s">
        <v>429</v>
      </c>
      <c r="D6" s="3" t="s">
        <v>430</v>
      </c>
    </row>
    <row r="7" spans="1:4">
      <c r="A7" s="111">
        <v>1980</v>
      </c>
      <c r="B7" s="227">
        <v>4734</v>
      </c>
      <c r="C7" s="227">
        <v>1601</v>
      </c>
      <c r="D7" s="227">
        <v>188</v>
      </c>
    </row>
    <row r="8" spans="1:4">
      <c r="A8" s="111">
        <v>1981</v>
      </c>
      <c r="B8" s="227">
        <v>4636</v>
      </c>
      <c r="C8" s="227">
        <v>1583</v>
      </c>
      <c r="D8" s="227">
        <v>194</v>
      </c>
    </row>
    <row r="9" spans="1:4">
      <c r="A9" s="111">
        <v>1982</v>
      </c>
      <c r="B9" s="227">
        <v>4184</v>
      </c>
      <c r="C9" s="227">
        <v>1546</v>
      </c>
      <c r="D9" s="227">
        <v>191</v>
      </c>
    </row>
    <row r="10" spans="1:4">
      <c r="A10" s="111">
        <v>1983</v>
      </c>
      <c r="B10" s="227">
        <v>3893</v>
      </c>
      <c r="C10" s="227">
        <v>1613</v>
      </c>
      <c r="D10" s="227">
        <v>198</v>
      </c>
    </row>
    <row r="11" spans="1:4">
      <c r="A11" s="111">
        <v>1984</v>
      </c>
      <c r="B11" s="227">
        <v>3789</v>
      </c>
      <c r="C11" s="227">
        <v>1688</v>
      </c>
      <c r="D11" s="227">
        <v>210</v>
      </c>
    </row>
    <row r="12" spans="1:4">
      <c r="A12" s="111">
        <v>1985</v>
      </c>
      <c r="B12" s="227">
        <v>3874</v>
      </c>
      <c r="C12" s="227">
        <v>1777</v>
      </c>
      <c r="D12" s="227">
        <v>226</v>
      </c>
    </row>
    <row r="13" spans="1:4">
      <c r="A13" s="111">
        <v>1986</v>
      </c>
      <c r="B13" s="227">
        <v>3972</v>
      </c>
      <c r="C13" s="227">
        <v>1902</v>
      </c>
      <c r="D13" s="227">
        <v>240</v>
      </c>
    </row>
    <row r="14" spans="1:4">
      <c r="A14" s="111">
        <v>1987</v>
      </c>
      <c r="B14" s="227">
        <v>4034</v>
      </c>
      <c r="C14" s="227">
        <v>1997</v>
      </c>
      <c r="D14" s="227">
        <v>249</v>
      </c>
    </row>
    <row r="15" spans="1:4">
      <c r="A15" s="111">
        <v>1988</v>
      </c>
      <c r="B15" s="227">
        <v>4077</v>
      </c>
      <c r="C15" s="227">
        <v>2076</v>
      </c>
      <c r="D15" s="227">
        <v>254</v>
      </c>
    </row>
    <row r="16" spans="1:4">
      <c r="A16" s="111">
        <v>1989</v>
      </c>
      <c r="B16" s="227">
        <v>4105</v>
      </c>
      <c r="C16" s="227">
        <v>2169</v>
      </c>
      <c r="D16" s="227">
        <v>263</v>
      </c>
    </row>
    <row r="17" spans="1:4">
      <c r="A17" s="111">
        <v>1990</v>
      </c>
      <c r="B17" s="227">
        <v>4204</v>
      </c>
      <c r="C17" s="227">
        <v>2305</v>
      </c>
      <c r="D17" s="227">
        <v>306</v>
      </c>
    </row>
    <row r="18" spans="1:4">
      <c r="A18" s="111">
        <v>1991</v>
      </c>
      <c r="B18" s="227">
        <v>4388</v>
      </c>
      <c r="C18" s="227">
        <v>2499</v>
      </c>
      <c r="D18" s="227">
        <v>395</v>
      </c>
    </row>
    <row r="19" spans="1:4">
      <c r="A19" s="111">
        <v>1992</v>
      </c>
      <c r="B19" s="227">
        <v>4716</v>
      </c>
      <c r="C19" s="227">
        <v>2767</v>
      </c>
      <c r="D19" s="227">
        <v>555</v>
      </c>
    </row>
    <row r="20" spans="1:4">
      <c r="A20" s="111">
        <v>1993</v>
      </c>
      <c r="B20" s="227">
        <v>5083</v>
      </c>
      <c r="C20" s="227">
        <v>3003</v>
      </c>
      <c r="D20" s="227">
        <v>721</v>
      </c>
    </row>
    <row r="21" spans="1:4">
      <c r="A21" s="111">
        <v>1994</v>
      </c>
      <c r="B21" s="227">
        <v>5435</v>
      </c>
      <c r="C21" s="227">
        <v>3192</v>
      </c>
      <c r="D21" s="227">
        <v>839</v>
      </c>
    </row>
    <row r="22" spans="1:4">
      <c r="A22" s="111">
        <v>1995</v>
      </c>
      <c r="B22" s="227">
        <v>5731</v>
      </c>
      <c r="C22" s="227">
        <v>3342</v>
      </c>
      <c r="D22" s="227">
        <v>915</v>
      </c>
    </row>
    <row r="23" spans="1:4">
      <c r="A23" s="111">
        <v>1996</v>
      </c>
      <c r="B23" s="227">
        <v>5977</v>
      </c>
      <c r="C23" s="227">
        <v>3440</v>
      </c>
      <c r="D23" s="227">
        <v>954</v>
      </c>
    </row>
    <row r="24" spans="1:4">
      <c r="A24" s="111">
        <v>1997</v>
      </c>
      <c r="B24" s="227">
        <v>6087</v>
      </c>
      <c r="C24" s="227">
        <v>3433</v>
      </c>
      <c r="D24" s="227">
        <v>878</v>
      </c>
    </row>
    <row r="25" spans="1:4">
      <c r="A25" s="111">
        <v>1998</v>
      </c>
      <c r="B25" s="227">
        <v>6250</v>
      </c>
      <c r="C25" s="227">
        <v>3519</v>
      </c>
      <c r="D25" s="227">
        <v>885</v>
      </c>
    </row>
    <row r="26" spans="1:4">
      <c r="A26" s="111">
        <v>1999</v>
      </c>
      <c r="B26" s="227">
        <v>6433</v>
      </c>
      <c r="C26" s="227">
        <v>3557</v>
      </c>
      <c r="D26" s="227">
        <v>845</v>
      </c>
    </row>
    <row r="27" spans="1:4">
      <c r="A27" s="111">
        <v>2000</v>
      </c>
      <c r="B27" s="227">
        <v>6606</v>
      </c>
      <c r="C27" s="227">
        <v>3610</v>
      </c>
      <c r="D27" s="227">
        <v>844</v>
      </c>
    </row>
    <row r="28" spans="1:4">
      <c r="A28" s="111">
        <v>2001</v>
      </c>
      <c r="B28" s="227">
        <v>6780</v>
      </c>
      <c r="C28" s="227">
        <v>3677</v>
      </c>
      <c r="D28" s="227">
        <v>879</v>
      </c>
    </row>
    <row r="29" spans="1:4">
      <c r="A29" s="111">
        <v>2002</v>
      </c>
      <c r="B29" s="227">
        <v>7060</v>
      </c>
      <c r="C29" s="227">
        <v>3740</v>
      </c>
      <c r="D29" s="227">
        <v>912</v>
      </c>
    </row>
    <row r="30" spans="1:4">
      <c r="A30" s="111">
        <v>2003</v>
      </c>
      <c r="B30" s="227">
        <v>7438</v>
      </c>
      <c r="C30" s="227">
        <v>3812</v>
      </c>
      <c r="D30" s="227">
        <v>956</v>
      </c>
    </row>
    <row r="31" spans="1:4">
      <c r="A31" s="111">
        <v>2004</v>
      </c>
      <c r="B31" s="227">
        <v>7810</v>
      </c>
      <c r="C31" s="227">
        <v>3870</v>
      </c>
      <c r="D31" s="227">
        <v>990</v>
      </c>
    </row>
    <row r="32" spans="1:4">
      <c r="A32" s="111">
        <v>2005</v>
      </c>
      <c r="B32" s="227">
        <v>8172</v>
      </c>
      <c r="C32" s="227">
        <v>3935</v>
      </c>
      <c r="D32" s="227">
        <v>1034</v>
      </c>
    </row>
    <row r="33" spans="1:4">
      <c r="A33" s="111">
        <v>2006</v>
      </c>
      <c r="B33" s="227">
        <v>8428</v>
      </c>
      <c r="C33" s="227">
        <v>4004</v>
      </c>
      <c r="D33" s="227">
        <v>1076</v>
      </c>
    </row>
    <row r="34" spans="1:4">
      <c r="A34" s="111">
        <v>2007</v>
      </c>
      <c r="B34" s="227">
        <v>8739</v>
      </c>
      <c r="C34" s="227">
        <v>4074</v>
      </c>
      <c r="D34" s="227">
        <v>1119</v>
      </c>
    </row>
    <row r="35" spans="1:4">
      <c r="A35" s="111">
        <v>2008</v>
      </c>
      <c r="B35" s="227">
        <v>9065</v>
      </c>
      <c r="C35" s="227">
        <v>4183</v>
      </c>
      <c r="D35" s="227">
        <v>1151</v>
      </c>
    </row>
    <row r="36" spans="1:4">
      <c r="A36" s="111">
        <v>2009</v>
      </c>
      <c r="B36" s="227">
        <v>9475</v>
      </c>
      <c r="C36" s="227">
        <v>4324</v>
      </c>
      <c r="D36" s="227">
        <v>1198</v>
      </c>
    </row>
    <row r="37" spans="1:4">
      <c r="A37" s="111">
        <v>2010</v>
      </c>
      <c r="B37" s="227">
        <v>9958</v>
      </c>
      <c r="C37" s="227">
        <v>4501</v>
      </c>
      <c r="D37" s="227">
        <v>1238</v>
      </c>
    </row>
    <row r="38" spans="1:4">
      <c r="A38" s="111">
        <v>2011</v>
      </c>
      <c r="B38" s="227">
        <v>10436</v>
      </c>
      <c r="C38" s="227">
        <v>4688</v>
      </c>
      <c r="D38" s="227">
        <v>1291</v>
      </c>
    </row>
    <row r="39" spans="1:4">
      <c r="A39" s="111">
        <v>2012</v>
      </c>
      <c r="B39" s="227">
        <v>10856</v>
      </c>
      <c r="C39" s="227">
        <v>4855</v>
      </c>
      <c r="D39" s="227">
        <v>1347</v>
      </c>
    </row>
    <row r="40" spans="1:4">
      <c r="A40" s="111">
        <v>2013</v>
      </c>
      <c r="B40" s="227">
        <v>11136</v>
      </c>
      <c r="C40" s="227">
        <v>4968</v>
      </c>
      <c r="D40" s="227">
        <v>1391</v>
      </c>
    </row>
    <row r="41" spans="1:4">
      <c r="A41" s="111">
        <v>2014</v>
      </c>
      <c r="B41" s="227">
        <v>11307</v>
      </c>
      <c r="C41" s="227">
        <v>5007</v>
      </c>
      <c r="D41" s="227">
        <v>1413</v>
      </c>
    </row>
    <row r="42" spans="1:4">
      <c r="A42" s="111">
        <v>2015</v>
      </c>
      <c r="B42" s="227">
        <v>11437</v>
      </c>
      <c r="C42" s="227">
        <v>5026</v>
      </c>
      <c r="D42" s="227">
        <v>1421</v>
      </c>
    </row>
    <row r="43" spans="1:4">
      <c r="A43" s="111">
        <v>2016</v>
      </c>
      <c r="B43" s="227">
        <v>11536</v>
      </c>
      <c r="C43" s="227">
        <v>5036</v>
      </c>
      <c r="D43" s="227">
        <v>1407</v>
      </c>
    </row>
    <row r="44" spans="1:4">
      <c r="A44" s="111">
        <v>2017</v>
      </c>
      <c r="B44" s="227">
        <v>11620</v>
      </c>
      <c r="C44" s="227">
        <v>5026</v>
      </c>
      <c r="D44" s="227">
        <v>1384</v>
      </c>
    </row>
    <row r="45" spans="1:4">
      <c r="A45" s="111">
        <v>2018</v>
      </c>
      <c r="B45" s="227">
        <v>11696</v>
      </c>
      <c r="C45" s="227">
        <v>5015</v>
      </c>
      <c r="D45" s="227">
        <v>1369</v>
      </c>
    </row>
    <row r="46" spans="1:4">
      <c r="A46" s="111">
        <v>2019</v>
      </c>
      <c r="B46" s="227">
        <v>11773</v>
      </c>
      <c r="C46" s="227">
        <v>5022</v>
      </c>
      <c r="D46" s="227">
        <v>1367</v>
      </c>
    </row>
    <row r="47" spans="1:4">
      <c r="A47" s="111">
        <v>2020</v>
      </c>
      <c r="B47" s="227">
        <v>11852</v>
      </c>
      <c r="C47" s="227">
        <v>5014</v>
      </c>
      <c r="D47" s="227">
        <v>1365</v>
      </c>
    </row>
    <row r="48" spans="1:4">
      <c r="A48" s="111">
        <v>2021</v>
      </c>
      <c r="B48" s="227">
        <v>12058</v>
      </c>
      <c r="C48" s="227">
        <v>5011</v>
      </c>
      <c r="D48" s="227">
        <v>1365</v>
      </c>
    </row>
    <row r="49" spans="1:4">
      <c r="A49" s="111">
        <v>2022</v>
      </c>
      <c r="B49" s="227">
        <v>12215</v>
      </c>
      <c r="C49" s="227">
        <v>5009</v>
      </c>
      <c r="D49" s="227">
        <v>1367</v>
      </c>
    </row>
    <row r="50" spans="1:4">
      <c r="A50" s="111">
        <v>2023</v>
      </c>
      <c r="B50" s="227">
        <v>12364</v>
      </c>
      <c r="C50" s="227">
        <v>5011</v>
      </c>
      <c r="D50" s="227">
        <v>1367</v>
      </c>
    </row>
    <row r="51" spans="1:4">
      <c r="A51" s="111">
        <v>2024</v>
      </c>
      <c r="B51" s="227">
        <v>12506</v>
      </c>
      <c r="C51" s="227">
        <v>5023</v>
      </c>
      <c r="D51" s="227">
        <v>1368</v>
      </c>
    </row>
    <row r="52" spans="1:4">
      <c r="A52" s="111">
        <v>2025</v>
      </c>
      <c r="B52" s="227">
        <v>12642</v>
      </c>
      <c r="C52" s="227">
        <v>5026</v>
      </c>
      <c r="D52" s="227">
        <v>1367</v>
      </c>
    </row>
    <row r="53" spans="1:4">
      <c r="A53" s="111">
        <v>2026</v>
      </c>
      <c r="B53" s="227">
        <v>12769</v>
      </c>
      <c r="C53" s="227">
        <v>5025</v>
      </c>
      <c r="D53" s="227">
        <v>1368</v>
      </c>
    </row>
    <row r="54" spans="1:4">
      <c r="A54" s="111">
        <v>2027</v>
      </c>
      <c r="B54" s="227">
        <v>12827</v>
      </c>
      <c r="C54" s="227">
        <v>5026</v>
      </c>
      <c r="D54" s="227">
        <v>1374</v>
      </c>
    </row>
    <row r="55" spans="1:4">
      <c r="A55" s="111">
        <v>2028</v>
      </c>
      <c r="B55" s="227">
        <v>12815</v>
      </c>
      <c r="C55" s="227">
        <v>5029</v>
      </c>
      <c r="D55" s="227">
        <v>1379</v>
      </c>
    </row>
    <row r="56" spans="1:4">
      <c r="A56" s="111">
        <v>2029</v>
      </c>
      <c r="B56" s="227">
        <v>12797</v>
      </c>
      <c r="C56" s="227">
        <v>5038</v>
      </c>
      <c r="D56" s="227">
        <v>1384</v>
      </c>
    </row>
    <row r="57" spans="1:4">
      <c r="A57" s="111">
        <v>2030</v>
      </c>
      <c r="B57" s="227">
        <v>12776</v>
      </c>
      <c r="C57" s="227">
        <v>5063</v>
      </c>
      <c r="D57" s="227">
        <v>1393</v>
      </c>
    </row>
    <row r="58" spans="1:4">
      <c r="A58" s="111">
        <v>2031</v>
      </c>
      <c r="B58" s="227">
        <v>12749</v>
      </c>
      <c r="C58" s="227">
        <v>5083</v>
      </c>
      <c r="D58" s="227">
        <v>1400</v>
      </c>
    </row>
    <row r="59" spans="1:4">
      <c r="A59" s="111">
        <v>2032</v>
      </c>
      <c r="B59" s="227">
        <v>12733</v>
      </c>
      <c r="C59" s="227">
        <v>5104</v>
      </c>
      <c r="D59" s="227">
        <v>1406</v>
      </c>
    </row>
    <row r="60" spans="1:4">
      <c r="A60" s="111">
        <v>2033</v>
      </c>
      <c r="B60" s="227">
        <v>12746</v>
      </c>
      <c r="C60" s="227">
        <v>5127</v>
      </c>
      <c r="D60" s="227">
        <v>1412</v>
      </c>
    </row>
    <row r="61" spans="1:4">
      <c r="A61" s="111">
        <v>2034</v>
      </c>
      <c r="B61" s="227">
        <v>12775</v>
      </c>
      <c r="C61" s="227">
        <v>5147</v>
      </c>
      <c r="D61" s="227">
        <v>1417</v>
      </c>
    </row>
    <row r="62" spans="1:4">
      <c r="A62" s="111">
        <v>2035</v>
      </c>
      <c r="B62" s="227">
        <v>12805</v>
      </c>
      <c r="C62" s="227">
        <v>5169</v>
      </c>
      <c r="D62" s="227">
        <v>1421</v>
      </c>
    </row>
    <row r="66" spans="1:1">
      <c r="A66" s="15" t="s">
        <v>106</v>
      </c>
    </row>
    <row r="68" spans="1:1">
      <c r="A68" s="4" t="s">
        <v>434</v>
      </c>
    </row>
    <row r="69" spans="1:1">
      <c r="A69" t="s">
        <v>431</v>
      </c>
    </row>
    <row r="70" spans="1:1">
      <c r="A70" s="1" t="s">
        <v>432</v>
      </c>
    </row>
    <row r="72" spans="1:1">
      <c r="A72" s="4" t="s">
        <v>433</v>
      </c>
    </row>
    <row r="73" spans="1:1">
      <c r="A73" t="s">
        <v>435</v>
      </c>
    </row>
    <row r="74" spans="1:1">
      <c r="A74" s="1" t="s">
        <v>367</v>
      </c>
    </row>
  </sheetData>
  <hyperlinks>
    <hyperlink ref="A3" location="TableOfContents!A1" display="Back"/>
    <hyperlink ref="A70" r:id="rId1"/>
    <hyperlink ref="A74" r:id="rId2" location="642998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50"/>
  <sheetViews>
    <sheetView workbookViewId="0">
      <selection activeCell="H5" sqref="H5"/>
    </sheetView>
  </sheetViews>
  <sheetFormatPr defaultRowHeight="15"/>
  <cols>
    <col min="1" max="1" width="6.42578125" customWidth="1"/>
    <col min="2" max="2" width="12.42578125" customWidth="1"/>
    <col min="3" max="3" width="13.85546875" customWidth="1"/>
    <col min="4" max="4" width="19.7109375" customWidth="1"/>
    <col min="5" max="5" width="14.85546875" customWidth="1"/>
    <col min="6" max="6" width="15.140625" customWidth="1"/>
    <col min="7" max="7" width="23" customWidth="1"/>
    <col min="8" max="8" width="15.7109375" customWidth="1"/>
    <col min="9" max="9" width="18.140625" customWidth="1"/>
    <col min="10" max="10" width="23" customWidth="1"/>
  </cols>
  <sheetData>
    <row r="1" spans="1:10" ht="15.75">
      <c r="A1" s="24" t="s">
        <v>444</v>
      </c>
    </row>
    <row r="2" spans="1:10" ht="15.75">
      <c r="A2" s="24" t="s">
        <v>445</v>
      </c>
    </row>
    <row r="4" spans="1:10" ht="18.75">
      <c r="A4" s="27" t="s">
        <v>252</v>
      </c>
      <c r="B4" s="29" t="s">
        <v>253</v>
      </c>
    </row>
    <row r="7" spans="1:10" ht="66" customHeight="1">
      <c r="A7" s="14" t="s">
        <v>338</v>
      </c>
      <c r="B7" s="226" t="s">
        <v>446</v>
      </c>
      <c r="C7" s="226" t="s">
        <v>447</v>
      </c>
      <c r="D7" s="226" t="s">
        <v>448</v>
      </c>
      <c r="E7" s="226" t="s">
        <v>449</v>
      </c>
      <c r="F7" s="226" t="s">
        <v>450</v>
      </c>
      <c r="G7" s="226" t="s">
        <v>451</v>
      </c>
      <c r="H7" s="226" t="s">
        <v>452</v>
      </c>
      <c r="I7" s="226" t="s">
        <v>453</v>
      </c>
      <c r="J7" s="226" t="s">
        <v>454</v>
      </c>
    </row>
    <row r="8" spans="1:10">
      <c r="A8" s="25">
        <v>1975</v>
      </c>
      <c r="B8" s="227">
        <v>86286</v>
      </c>
      <c r="C8" s="227">
        <v>2488</v>
      </c>
      <c r="D8" s="228">
        <v>2.8834341608140371E-2</v>
      </c>
      <c r="E8" s="227">
        <v>54763</v>
      </c>
      <c r="F8" s="227">
        <v>1711.066</v>
      </c>
      <c r="G8" s="228">
        <v>3.1244928144915363E-2</v>
      </c>
      <c r="H8" s="227">
        <v>31523</v>
      </c>
      <c r="I8" s="227">
        <v>777.88499999999999</v>
      </c>
      <c r="J8" s="228">
        <v>2.467674396472417E-2</v>
      </c>
    </row>
    <row r="9" spans="1:10">
      <c r="A9" s="25">
        <v>1976</v>
      </c>
      <c r="B9" s="227">
        <v>86652</v>
      </c>
      <c r="C9" s="227">
        <v>2670.2439999999997</v>
      </c>
      <c r="D9" s="228">
        <v>3.0815722660757969E-2</v>
      </c>
      <c r="E9" s="227">
        <v>54699</v>
      </c>
      <c r="F9" s="227">
        <v>1823.7619999999999</v>
      </c>
      <c r="G9" s="228">
        <v>3.3341779557213111E-2</v>
      </c>
      <c r="H9" s="227">
        <v>31953</v>
      </c>
      <c r="I9" s="227">
        <v>846.48199999999997</v>
      </c>
      <c r="J9" s="228">
        <v>2.6491471849278626E-2</v>
      </c>
    </row>
    <row r="10" spans="1:10">
      <c r="A10" s="25">
        <v>1977</v>
      </c>
      <c r="B10" s="227">
        <v>88830</v>
      </c>
      <c r="C10" s="227">
        <v>2834.4319999999998</v>
      </c>
      <c r="D10" s="228">
        <v>3.1908499380839804E-2</v>
      </c>
      <c r="E10" s="227">
        <v>55453</v>
      </c>
      <c r="F10" s="227">
        <v>1928.364</v>
      </c>
      <c r="G10" s="228">
        <v>3.4774746181450961E-2</v>
      </c>
      <c r="H10" s="227">
        <v>33377</v>
      </c>
      <c r="I10" s="227">
        <v>906.06799999999998</v>
      </c>
      <c r="J10" s="228">
        <v>2.7146478113671092E-2</v>
      </c>
    </row>
    <row r="11" spans="1:10">
      <c r="A11" s="25">
        <v>1978</v>
      </c>
      <c r="B11" s="227">
        <v>93702</v>
      </c>
      <c r="C11" s="227">
        <v>2879.828</v>
      </c>
      <c r="D11" s="228">
        <v>3.0733901090691768E-2</v>
      </c>
      <c r="E11" s="227">
        <v>57622</v>
      </c>
      <c r="F11" s="227">
        <v>1952.2270000000001</v>
      </c>
      <c r="G11" s="228">
        <v>3.3879889625490267E-2</v>
      </c>
      <c r="H11" s="227">
        <v>36080</v>
      </c>
      <c r="I11" s="227">
        <v>927.601</v>
      </c>
      <c r="J11" s="228">
        <v>2.5709562084257207E-2</v>
      </c>
    </row>
    <row r="12" spans="1:10">
      <c r="A12" s="25">
        <v>1979</v>
      </c>
      <c r="B12" s="227">
        <v>97984</v>
      </c>
      <c r="C12" s="227">
        <v>2870.4110000000001</v>
      </c>
      <c r="D12" s="228">
        <v>2.9294690969954278E-2</v>
      </c>
      <c r="E12" s="227">
        <v>59302</v>
      </c>
      <c r="F12" s="227">
        <v>1939.278</v>
      </c>
      <c r="G12" s="228">
        <v>3.2701730127145799E-2</v>
      </c>
      <c r="H12" s="227">
        <v>38682</v>
      </c>
      <c r="I12" s="227">
        <v>931.13300000000004</v>
      </c>
      <c r="J12" s="228">
        <v>2.4071480275063339E-2</v>
      </c>
    </row>
    <row r="13" spans="1:10">
      <c r="A13" s="25">
        <v>1980</v>
      </c>
      <c r="B13" s="227">
        <v>100458</v>
      </c>
      <c r="C13" s="227">
        <v>2856</v>
      </c>
      <c r="D13" s="228">
        <v>2.8429791554679569E-2</v>
      </c>
      <c r="E13" s="227">
        <v>60289</v>
      </c>
      <c r="F13" s="227">
        <v>1929.6179999999999</v>
      </c>
      <c r="G13" s="228">
        <v>3.2006137106271461E-2</v>
      </c>
      <c r="H13" s="227">
        <v>40170</v>
      </c>
      <c r="I13" s="227">
        <v>931.63499999999999</v>
      </c>
      <c r="J13" s="228">
        <v>2.3192307692307693E-2</v>
      </c>
    </row>
    <row r="14" spans="1:10">
      <c r="A14" s="25">
        <v>1981</v>
      </c>
      <c r="B14" s="227">
        <v>102644</v>
      </c>
      <c r="C14" s="227">
        <v>2776.5189999999998</v>
      </c>
      <c r="D14" s="228">
        <v>2.7049988309107202E-2</v>
      </c>
      <c r="E14" s="227">
        <v>60840</v>
      </c>
      <c r="F14" s="227">
        <v>1870.4359999999999</v>
      </c>
      <c r="G14" s="228">
        <v>3.074352399737015E-2</v>
      </c>
      <c r="H14" s="227">
        <v>41804</v>
      </c>
      <c r="I14" s="227">
        <v>906.08299999999997</v>
      </c>
      <c r="J14" s="228">
        <v>2.1674552674385224E-2</v>
      </c>
    </row>
    <row r="15" spans="1:10">
      <c r="A15" s="25">
        <v>1982</v>
      </c>
      <c r="B15" s="227">
        <v>104468</v>
      </c>
      <c r="C15" s="227">
        <v>2603.7129999999997</v>
      </c>
      <c r="D15" s="228">
        <v>2.492354596622889E-2</v>
      </c>
      <c r="E15" s="227">
        <v>61265</v>
      </c>
      <c r="F15" s="227">
        <v>1745.568</v>
      </c>
      <c r="G15" s="228">
        <v>2.8492091732636907E-2</v>
      </c>
      <c r="H15" s="227">
        <v>43203</v>
      </c>
      <c r="I15" s="227">
        <v>858.14499999999998</v>
      </c>
      <c r="J15" s="228">
        <v>1.9863088211466796E-2</v>
      </c>
    </row>
    <row r="16" spans="1:10">
      <c r="A16" s="25">
        <v>1983</v>
      </c>
      <c r="B16" s="227">
        <v>105381</v>
      </c>
      <c r="C16" s="227">
        <v>2568.9659999999999</v>
      </c>
      <c r="D16" s="228">
        <v>2.4377885956671504E-2</v>
      </c>
      <c r="E16" s="227">
        <v>61373</v>
      </c>
      <c r="F16" s="227">
        <v>1730.93</v>
      </c>
      <c r="G16" s="228">
        <v>2.8203444511430108E-2</v>
      </c>
      <c r="H16" s="227">
        <v>44008</v>
      </c>
      <c r="I16" s="227">
        <v>838.03599999999994</v>
      </c>
      <c r="J16" s="228">
        <v>1.9042810398109435E-2</v>
      </c>
    </row>
    <row r="17" spans="1:10">
      <c r="A17" s="25">
        <v>1984</v>
      </c>
      <c r="B17" s="227">
        <v>107076</v>
      </c>
      <c r="C17" s="227">
        <v>2596.5349999999999</v>
      </c>
      <c r="D17" s="228">
        <v>2.4249458328663751E-2</v>
      </c>
      <c r="E17" s="227">
        <v>61924</v>
      </c>
      <c r="F17" s="227">
        <v>1747.548</v>
      </c>
      <c r="G17" s="228">
        <v>2.8220851366190815E-2</v>
      </c>
      <c r="H17" s="227">
        <v>45152</v>
      </c>
      <c r="I17" s="227">
        <v>848.98699999999997</v>
      </c>
      <c r="J17" s="228">
        <v>1.8802865875265768E-2</v>
      </c>
    </row>
    <row r="18" spans="1:10">
      <c r="A18" s="25">
        <v>1985</v>
      </c>
      <c r="B18" s="227">
        <v>108764</v>
      </c>
      <c r="C18" s="227">
        <v>2653</v>
      </c>
      <c r="D18" s="228">
        <v>2.4392262145562869E-2</v>
      </c>
      <c r="E18" s="227">
        <v>62614</v>
      </c>
      <c r="F18" s="227">
        <v>1784.6969999999999</v>
      </c>
      <c r="G18" s="228">
        <v>2.850316223208867E-2</v>
      </c>
      <c r="H18" s="227">
        <v>46150</v>
      </c>
      <c r="I18" s="227">
        <v>871.803</v>
      </c>
      <c r="J18" s="228">
        <v>1.8890639219934995E-2</v>
      </c>
    </row>
    <row r="19" spans="1:10">
      <c r="A19" s="25">
        <v>1986</v>
      </c>
      <c r="B19" s="227">
        <v>111647</v>
      </c>
      <c r="C19" s="227">
        <v>2727.386</v>
      </c>
      <c r="D19" s="228">
        <v>2.4428654598869653E-2</v>
      </c>
      <c r="E19" s="227">
        <v>63611</v>
      </c>
      <c r="F19" s="227">
        <v>1826.1790000000001</v>
      </c>
      <c r="G19" s="228">
        <v>2.8708540975617425E-2</v>
      </c>
      <c r="H19" s="227">
        <v>48036</v>
      </c>
      <c r="I19" s="227">
        <v>901.20699999999999</v>
      </c>
      <c r="J19" s="228">
        <v>1.8761075027063034E-2</v>
      </c>
    </row>
    <row r="20" spans="1:10">
      <c r="A20" s="25">
        <v>1987</v>
      </c>
      <c r="B20" s="227">
        <v>113499</v>
      </c>
      <c r="C20" s="227">
        <v>2785.8850000000002</v>
      </c>
      <c r="D20" s="228">
        <v>2.45454585502956E-2</v>
      </c>
      <c r="E20" s="227">
        <v>64231</v>
      </c>
      <c r="F20" s="227">
        <v>1857.193</v>
      </c>
      <c r="G20" s="228">
        <v>2.8914278152294064E-2</v>
      </c>
      <c r="H20" s="227">
        <v>49268</v>
      </c>
      <c r="I20" s="227">
        <v>928.69200000000001</v>
      </c>
      <c r="J20" s="228">
        <v>1.8849801087927255E-2</v>
      </c>
    </row>
    <row r="21" spans="1:10">
      <c r="A21" s="25">
        <v>1988</v>
      </c>
      <c r="B21" s="227">
        <v>115679</v>
      </c>
      <c r="C21" s="227">
        <v>2830.2839999999997</v>
      </c>
      <c r="D21" s="228">
        <v>2.4466705279264169E-2</v>
      </c>
      <c r="E21" s="227">
        <v>65069</v>
      </c>
      <c r="F21" s="227">
        <v>1876.8779999999999</v>
      </c>
      <c r="G21" s="228">
        <v>2.8844426685518447E-2</v>
      </c>
      <c r="H21" s="227">
        <v>50610</v>
      </c>
      <c r="I21" s="227">
        <v>953.40599999999995</v>
      </c>
      <c r="J21" s="228">
        <v>1.8838292827504446E-2</v>
      </c>
    </row>
    <row r="22" spans="1:10">
      <c r="A22" s="25">
        <v>1989</v>
      </c>
      <c r="B22" s="227">
        <v>118061</v>
      </c>
      <c r="C22" s="227">
        <v>2895.364</v>
      </c>
      <c r="D22" s="228">
        <v>2.4524305232041063E-2</v>
      </c>
      <c r="E22" s="227">
        <v>66052</v>
      </c>
      <c r="F22" s="227">
        <v>1906.3789999999999</v>
      </c>
      <c r="G22" s="228">
        <v>2.886179071034942E-2</v>
      </c>
      <c r="H22" s="227">
        <v>52009</v>
      </c>
      <c r="I22" s="227">
        <v>988.98500000000001</v>
      </c>
      <c r="J22" s="228">
        <v>1.901565113730316E-2</v>
      </c>
    </row>
    <row r="23" spans="1:10">
      <c r="A23" s="25">
        <v>1990</v>
      </c>
      <c r="B23" s="227">
        <v>119391</v>
      </c>
      <c r="C23" s="227">
        <v>3007</v>
      </c>
      <c r="D23" s="228">
        <v>2.518615306011341E-2</v>
      </c>
      <c r="E23" s="227">
        <v>66630</v>
      </c>
      <c r="F23" s="227">
        <v>1967.4079999999999</v>
      </c>
      <c r="G23" s="228">
        <v>2.9527360048026412E-2</v>
      </c>
      <c r="H23" s="227">
        <v>52759</v>
      </c>
      <c r="I23" s="227">
        <v>1043.886</v>
      </c>
      <c r="J23" s="228">
        <v>1.9785932258003375E-2</v>
      </c>
    </row>
    <row r="24" spans="1:10">
      <c r="A24" s="25">
        <v>1991</v>
      </c>
      <c r="B24" s="227">
        <v>120657</v>
      </c>
      <c r="C24" s="227">
        <v>3194.9380000000001</v>
      </c>
      <c r="D24" s="228">
        <v>2.6479508026886131E-2</v>
      </c>
      <c r="E24" s="227">
        <v>67014</v>
      </c>
      <c r="F24" s="227">
        <v>2067.777</v>
      </c>
      <c r="G24" s="228">
        <v>3.0855895782970724E-2</v>
      </c>
      <c r="H24" s="227">
        <v>53643</v>
      </c>
      <c r="I24" s="227">
        <v>1127.1610000000001</v>
      </c>
      <c r="J24" s="228">
        <v>2.1012266278918033E-2</v>
      </c>
    </row>
    <row r="25" spans="1:10">
      <c r="A25" s="25">
        <v>1992</v>
      </c>
      <c r="B25" s="227">
        <v>121872</v>
      </c>
      <c r="C25" s="227">
        <v>3467.7830000000004</v>
      </c>
      <c r="D25" s="228">
        <v>2.8454304516213735E-2</v>
      </c>
      <c r="E25" s="227">
        <v>67381</v>
      </c>
      <c r="F25" s="227">
        <v>2219.7890000000002</v>
      </c>
      <c r="G25" s="228">
        <v>3.2943841735800894E-2</v>
      </c>
      <c r="H25" s="227">
        <v>54491</v>
      </c>
      <c r="I25" s="227">
        <v>1247.9939999999999</v>
      </c>
      <c r="J25" s="228">
        <v>2.2902754583325684E-2</v>
      </c>
    </row>
    <row r="26" spans="1:10">
      <c r="A26" s="25">
        <v>1993</v>
      </c>
      <c r="B26" s="227">
        <v>123263</v>
      </c>
      <c r="C26" s="227">
        <v>3725.9659999999999</v>
      </c>
      <c r="D26" s="228">
        <v>3.0227773135490778E-2</v>
      </c>
      <c r="E26" s="227">
        <v>67897</v>
      </c>
      <c r="F26" s="227">
        <v>2357.3319999999999</v>
      </c>
      <c r="G26" s="228">
        <v>3.4719236490566595E-2</v>
      </c>
      <c r="H26" s="227">
        <v>55366</v>
      </c>
      <c r="I26" s="227">
        <v>1368.634</v>
      </c>
      <c r="J26" s="228">
        <v>2.4719755806812845E-2</v>
      </c>
    </row>
    <row r="27" spans="1:10">
      <c r="A27" s="25">
        <v>1994</v>
      </c>
      <c r="B27" s="227">
        <v>125008</v>
      </c>
      <c r="C27" s="227">
        <v>3962.9540000000002</v>
      </c>
      <c r="D27" s="228">
        <v>3.1701603097401769E-2</v>
      </c>
      <c r="E27" s="227">
        <v>68593</v>
      </c>
      <c r="F27" s="227">
        <v>2473.0610000000001</v>
      </c>
      <c r="G27" s="228">
        <v>3.605413088799149E-2</v>
      </c>
      <c r="H27" s="227">
        <v>56415</v>
      </c>
      <c r="I27" s="227">
        <v>1489.893</v>
      </c>
      <c r="J27" s="228">
        <v>2.6409518745014623E-2</v>
      </c>
    </row>
    <row r="28" spans="1:10">
      <c r="A28" s="25">
        <v>1995</v>
      </c>
      <c r="B28" s="227">
        <v>126975</v>
      </c>
      <c r="C28" s="227">
        <v>4179</v>
      </c>
      <c r="D28" s="228">
        <v>3.291199054932073E-2</v>
      </c>
      <c r="E28" s="227">
        <v>69386</v>
      </c>
      <c r="F28" s="227">
        <v>2568.3589999999999</v>
      </c>
      <c r="G28" s="228">
        <v>3.701552186320007E-2</v>
      </c>
      <c r="H28" s="227">
        <v>57585</v>
      </c>
      <c r="I28" s="227">
        <v>1616.904</v>
      </c>
      <c r="J28" s="228">
        <v>2.8078562125553531E-2</v>
      </c>
    </row>
    <row r="29" spans="1:10">
      <c r="A29" s="25">
        <v>1996</v>
      </c>
      <c r="B29" s="227">
        <v>128983</v>
      </c>
      <c r="C29" s="227">
        <v>4378</v>
      </c>
      <c r="D29" s="228">
        <v>3.3942457533163287E-2</v>
      </c>
      <c r="E29" s="227">
        <v>70188</v>
      </c>
      <c r="F29" s="227">
        <v>2644.4540000000002</v>
      </c>
      <c r="G29" s="228">
        <v>3.7676725366159458E-2</v>
      </c>
      <c r="H29" s="227">
        <v>58791</v>
      </c>
      <c r="I29" s="227">
        <v>1741.1690000000001</v>
      </c>
      <c r="J29" s="228">
        <v>2.9616250786685037E-2</v>
      </c>
    </row>
    <row r="30" spans="1:10">
      <c r="A30" s="25">
        <v>1997</v>
      </c>
      <c r="B30" s="227">
        <v>131039</v>
      </c>
      <c r="C30" s="227">
        <v>4501</v>
      </c>
      <c r="D30" s="228">
        <v>3.4348552720945676E-2</v>
      </c>
      <c r="E30" s="227">
        <v>71024</v>
      </c>
      <c r="F30" s="227">
        <v>2666.4859999999999</v>
      </c>
      <c r="G30" s="228">
        <v>3.7543450101374179E-2</v>
      </c>
      <c r="H30" s="227">
        <v>60011</v>
      </c>
      <c r="I30" s="227">
        <v>1841.6479999999999</v>
      </c>
      <c r="J30" s="228">
        <v>3.0688507107030378E-2</v>
      </c>
    </row>
    <row r="31" spans="1:10">
      <c r="A31" s="25">
        <v>1998</v>
      </c>
      <c r="B31" s="227">
        <v>133258</v>
      </c>
      <c r="C31" s="227">
        <v>4691</v>
      </c>
      <c r="D31" s="228">
        <v>3.5202389349982738E-2</v>
      </c>
      <c r="E31" s="227">
        <v>71942</v>
      </c>
      <c r="F31" s="227">
        <v>2737.2959999999998</v>
      </c>
      <c r="G31" s="228">
        <v>3.8048650301631869E-2</v>
      </c>
      <c r="H31" s="227">
        <v>61313</v>
      </c>
      <c r="I31" s="227">
        <v>1961.0229999999999</v>
      </c>
      <c r="J31" s="228">
        <v>3.1983804413419664E-2</v>
      </c>
    </row>
    <row r="32" spans="1:10">
      <c r="A32" s="25">
        <v>1999</v>
      </c>
      <c r="B32" s="227">
        <v>135626</v>
      </c>
      <c r="C32" s="227">
        <v>4870</v>
      </c>
      <c r="D32" s="228">
        <v>3.5907569345110822E-2</v>
      </c>
      <c r="E32" s="227">
        <v>72936</v>
      </c>
      <c r="F32" s="227">
        <v>2801.163</v>
      </c>
      <c r="G32" s="228">
        <v>3.8405766699572227E-2</v>
      </c>
      <c r="H32" s="227">
        <v>62687</v>
      </c>
      <c r="I32" s="227">
        <v>2078.2919999999999</v>
      </c>
      <c r="J32" s="228">
        <v>3.3153476797422109E-2</v>
      </c>
    </row>
    <row r="33" spans="1:10">
      <c r="A33" s="25">
        <v>2000</v>
      </c>
      <c r="B33" s="227">
        <v>137925</v>
      </c>
      <c r="C33" s="227">
        <v>5036</v>
      </c>
      <c r="D33" s="228">
        <v>3.651259742613739E-2</v>
      </c>
      <c r="E33" s="227">
        <v>73897</v>
      </c>
      <c r="F33" s="227">
        <v>2856.4110000000001</v>
      </c>
      <c r="G33" s="228">
        <v>3.8653950769314049E-2</v>
      </c>
      <c r="H33" s="227">
        <v>64024</v>
      </c>
      <c r="I33" s="227">
        <v>2185.9229999999998</v>
      </c>
      <c r="J33" s="228">
        <v>3.4142243533674871E-2</v>
      </c>
    </row>
    <row r="34" spans="1:10">
      <c r="A34" s="25">
        <v>2001</v>
      </c>
      <c r="B34" s="227">
        <v>139891</v>
      </c>
      <c r="C34" s="227">
        <v>5268</v>
      </c>
      <c r="D34" s="228">
        <v>3.7657890786397981E-2</v>
      </c>
      <c r="E34" s="227">
        <v>74698</v>
      </c>
      <c r="F34" s="227">
        <v>2951.8330000000001</v>
      </c>
      <c r="G34" s="228">
        <v>3.9516894695975795E-2</v>
      </c>
      <c r="H34" s="227">
        <v>65188</v>
      </c>
      <c r="I34" s="227">
        <v>2322.35</v>
      </c>
      <c r="J34" s="228">
        <v>3.5625421856783454E-2</v>
      </c>
    </row>
    <row r="35" spans="1:10">
      <c r="A35" s="25">
        <v>2002</v>
      </c>
      <c r="B35" s="227">
        <v>141159</v>
      </c>
      <c r="C35" s="227">
        <v>5539</v>
      </c>
      <c r="D35" s="228">
        <v>3.9239439213936057E-2</v>
      </c>
      <c r="E35" s="227">
        <v>75152</v>
      </c>
      <c r="F35" s="227">
        <v>3070.0010000000002</v>
      </c>
      <c r="G35" s="228">
        <v>4.0850556206088996E-2</v>
      </c>
      <c r="H35" s="227">
        <v>66003</v>
      </c>
      <c r="I35" s="227">
        <v>2473.98</v>
      </c>
      <c r="J35" s="228">
        <v>3.7482841689014133E-2</v>
      </c>
    </row>
    <row r="36" spans="1:10">
      <c r="A36" s="25">
        <v>2003</v>
      </c>
      <c r="B36" s="227">
        <v>142266</v>
      </c>
      <c r="C36" s="227">
        <v>5869</v>
      </c>
      <c r="D36" s="228">
        <v>4.1253707843054557E-2</v>
      </c>
      <c r="E36" s="227">
        <v>75547</v>
      </c>
      <c r="F36" s="227">
        <v>3224.6239999999998</v>
      </c>
      <c r="G36" s="228">
        <v>4.268368035792288E-2</v>
      </c>
      <c r="H36" s="227">
        <v>66708</v>
      </c>
      <c r="I36" s="227">
        <v>2649.049</v>
      </c>
      <c r="J36" s="228">
        <v>3.9711114109252266E-2</v>
      </c>
    </row>
    <row r="37" spans="1:10">
      <c r="A37" s="25">
        <v>2004</v>
      </c>
      <c r="B37" s="227">
        <v>143637</v>
      </c>
      <c r="C37" s="227">
        <v>6197.6639999999998</v>
      </c>
      <c r="D37" s="228">
        <v>4.3148102508406609E-2</v>
      </c>
      <c r="E37" s="227">
        <v>76132</v>
      </c>
      <c r="F37" s="227">
        <v>3373.3589999999999</v>
      </c>
      <c r="G37" s="228">
        <v>4.4309344296747752E-2</v>
      </c>
      <c r="H37" s="227">
        <v>67489</v>
      </c>
      <c r="I37" s="227">
        <v>2824.3049999999998</v>
      </c>
      <c r="J37" s="228">
        <v>4.1848375290788123E-2</v>
      </c>
    </row>
    <row r="38" spans="1:10">
      <c r="A38" s="25">
        <v>2005</v>
      </c>
      <c r="B38" s="227">
        <v>145281</v>
      </c>
      <c r="C38" s="227">
        <v>6519</v>
      </c>
      <c r="D38" s="228">
        <v>4.4871662502323086E-2</v>
      </c>
      <c r="E38" s="227">
        <v>76866</v>
      </c>
      <c r="F38" s="227">
        <v>3521.4670000000001</v>
      </c>
      <c r="G38" s="228">
        <v>4.5813064293705928E-2</v>
      </c>
      <c r="H38" s="227">
        <v>68384</v>
      </c>
      <c r="I38" s="227">
        <v>3003.1149999999998</v>
      </c>
      <c r="J38" s="228">
        <v>4.3915462681328961E-2</v>
      </c>
    </row>
    <row r="39" spans="1:10">
      <c r="A39" s="25">
        <v>2006</v>
      </c>
      <c r="B39" s="227">
        <v>146970</v>
      </c>
      <c r="C39" s="227">
        <v>6807</v>
      </c>
      <c r="D39" s="228">
        <v>4.6315574607062669E-2</v>
      </c>
      <c r="E39" s="227">
        <v>77607</v>
      </c>
      <c r="F39" s="227">
        <v>3646.65</v>
      </c>
      <c r="G39" s="228">
        <v>4.69886737021145E-2</v>
      </c>
      <c r="H39" s="227">
        <v>69289</v>
      </c>
      <c r="I39" s="227">
        <v>3165.029</v>
      </c>
      <c r="J39" s="228">
        <v>4.567866472311622E-2</v>
      </c>
    </row>
    <row r="40" spans="1:10">
      <c r="A40" s="25">
        <v>2007</v>
      </c>
      <c r="B40" s="227">
        <v>148438</v>
      </c>
      <c r="C40" s="227">
        <v>7099</v>
      </c>
      <c r="D40" s="228">
        <v>4.7824681011600804E-2</v>
      </c>
      <c r="E40" s="227">
        <v>78241</v>
      </c>
      <c r="F40" s="227">
        <v>3775.9140000000002</v>
      </c>
      <c r="G40" s="228">
        <v>4.8260042688615945E-2</v>
      </c>
      <c r="H40" s="227">
        <v>70572</v>
      </c>
      <c r="I40" s="227">
        <v>3325.4409999999998</v>
      </c>
      <c r="J40" s="228">
        <v>4.7121252054639233E-2</v>
      </c>
    </row>
    <row r="41" spans="1:10">
      <c r="A41" s="25">
        <v>2008</v>
      </c>
      <c r="B41" s="227">
        <v>150221</v>
      </c>
      <c r="C41" s="227">
        <v>7427.2029999999995</v>
      </c>
      <c r="D41" s="228">
        <v>4.9441842352267659E-2</v>
      </c>
      <c r="E41" s="227">
        <v>78822</v>
      </c>
      <c r="F41" s="227">
        <v>3924.8440000000001</v>
      </c>
      <c r="G41" s="228">
        <v>4.9793763162568824E-2</v>
      </c>
      <c r="H41" s="227">
        <v>71606</v>
      </c>
      <c r="I41" s="227">
        <v>3502.3589999999999</v>
      </c>
      <c r="J41" s="228">
        <v>4.891152976007597E-2</v>
      </c>
    </row>
    <row r="42" spans="1:10">
      <c r="A42" s="25">
        <v>2009</v>
      </c>
      <c r="B42" s="227">
        <v>151359</v>
      </c>
      <c r="C42" s="227">
        <v>7788</v>
      </c>
      <c r="D42" s="228">
        <v>5.1453828315461914E-2</v>
      </c>
      <c r="E42" s="227">
        <v>79212</v>
      </c>
      <c r="F42" s="227">
        <v>4101.0739999999996</v>
      </c>
      <c r="G42" s="228">
        <v>5.1773392920264602E-2</v>
      </c>
      <c r="H42" s="227">
        <v>72374</v>
      </c>
      <c r="I42" s="227">
        <v>3688.0390000000002</v>
      </c>
      <c r="J42" s="228">
        <v>5.0958065050985164E-2</v>
      </c>
    </row>
    <row r="43" spans="1:10">
      <c r="A43" s="25">
        <v>2010</v>
      </c>
      <c r="B43" s="227">
        <v>152352</v>
      </c>
      <c r="C43" s="227">
        <v>8204</v>
      </c>
      <c r="D43" s="228">
        <v>5.3848981306448225E-2</v>
      </c>
      <c r="E43" s="227">
        <v>79492</v>
      </c>
      <c r="F43" s="227">
        <v>4310</v>
      </c>
      <c r="G43" s="228">
        <v>5.4219292507422127E-2</v>
      </c>
      <c r="H43" s="227">
        <v>72860</v>
      </c>
      <c r="I43" s="227">
        <v>3894</v>
      </c>
      <c r="J43" s="228">
        <v>5.3444962942629702E-2</v>
      </c>
    </row>
    <row r="46" spans="1:10">
      <c r="A46" s="15" t="s">
        <v>106</v>
      </c>
    </row>
    <row r="48" spans="1:10">
      <c r="A48" t="s">
        <v>455</v>
      </c>
    </row>
    <row r="49" spans="1:1">
      <c r="A49" s="1" t="s">
        <v>102</v>
      </c>
    </row>
    <row r="50" spans="1:1">
      <c r="A50" s="1" t="s">
        <v>456</v>
      </c>
    </row>
  </sheetData>
  <hyperlinks>
    <hyperlink ref="A4" location="TableOfContents!A1" display="Back"/>
    <hyperlink ref="A49" r:id="rId1" location="table4.c2"/>
    <hyperlink ref="A50" r:id="rId2" location="table5.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48"/>
  <sheetViews>
    <sheetView workbookViewId="0">
      <selection activeCell="G4" sqref="G4"/>
    </sheetView>
  </sheetViews>
  <sheetFormatPr defaultRowHeight="15"/>
  <cols>
    <col min="1" max="1" width="6.28515625" customWidth="1"/>
    <col min="2" max="2" width="13.140625" customWidth="1"/>
    <col min="3" max="3" width="12.7109375" customWidth="1"/>
    <col min="4" max="4" width="18.7109375" customWidth="1"/>
    <col min="5" max="5" width="18" customWidth="1"/>
    <col min="6" max="6" width="15.5703125" customWidth="1"/>
    <col min="7" max="7" width="17.7109375" customWidth="1"/>
  </cols>
  <sheetData>
    <row r="1" spans="1:7" ht="15.75">
      <c r="A1" s="24" t="s">
        <v>457</v>
      </c>
    </row>
    <row r="3" spans="1:7" ht="18.75">
      <c r="A3" s="27" t="s">
        <v>252</v>
      </c>
      <c r="B3" s="29" t="s">
        <v>253</v>
      </c>
    </row>
    <row r="5" spans="1:7">
      <c r="A5" s="4"/>
      <c r="B5" s="4"/>
      <c r="C5" s="4"/>
      <c r="D5" s="4"/>
      <c r="E5" s="4"/>
    </row>
    <row r="6" spans="1:7" ht="75">
      <c r="A6" s="14" t="s">
        <v>87</v>
      </c>
      <c r="B6" s="3" t="s">
        <v>460</v>
      </c>
      <c r="C6" s="3" t="s">
        <v>459</v>
      </c>
      <c r="D6" s="3" t="s">
        <v>958</v>
      </c>
      <c r="E6" s="3" t="s">
        <v>959</v>
      </c>
      <c r="F6" s="3" t="s">
        <v>960</v>
      </c>
      <c r="G6" s="3" t="s">
        <v>961</v>
      </c>
    </row>
    <row r="7" spans="1:7">
      <c r="A7" s="111">
        <v>1980</v>
      </c>
      <c r="B7" s="227">
        <v>63754</v>
      </c>
      <c r="C7" s="227">
        <v>137241</v>
      </c>
      <c r="D7" s="111">
        <v>188</v>
      </c>
      <c r="E7" s="227">
        <v>1601</v>
      </c>
      <c r="F7" s="228">
        <v>2.9488345829281298E-3</v>
      </c>
      <c r="G7" s="228">
        <v>1.1665610131083276E-2</v>
      </c>
    </row>
    <row r="8" spans="1:7">
      <c r="A8" s="111">
        <v>1981</v>
      </c>
      <c r="B8" s="227">
        <v>63213</v>
      </c>
      <c r="C8" s="227">
        <v>140032</v>
      </c>
      <c r="D8" s="111">
        <v>194</v>
      </c>
      <c r="E8" s="227">
        <v>1583</v>
      </c>
      <c r="F8" s="228">
        <v>3.0689889737870375E-3</v>
      </c>
      <c r="G8" s="228">
        <v>1.1304558957952468E-2</v>
      </c>
    </row>
    <row r="9" spans="1:7">
      <c r="A9" s="111">
        <v>1982</v>
      </c>
      <c r="B9" s="227">
        <v>62813</v>
      </c>
      <c r="C9" s="227">
        <v>142065</v>
      </c>
      <c r="D9" s="111">
        <v>191</v>
      </c>
      <c r="E9" s="227">
        <v>1546</v>
      </c>
      <c r="F9" s="228">
        <v>3.0407718147517234E-3</v>
      </c>
      <c r="G9" s="228">
        <v>1.0882342589659663E-2</v>
      </c>
    </row>
    <row r="10" spans="1:7">
      <c r="A10" s="111">
        <v>1983</v>
      </c>
      <c r="B10" s="227">
        <v>62566</v>
      </c>
      <c r="C10" s="227">
        <v>143865</v>
      </c>
      <c r="D10" s="111">
        <v>198</v>
      </c>
      <c r="E10" s="227">
        <v>1613</v>
      </c>
      <c r="F10" s="228">
        <v>3.1646581210241984E-3</v>
      </c>
      <c r="G10" s="228">
        <v>1.1211900045181246E-2</v>
      </c>
    </row>
    <row r="11" spans="1:7">
      <c r="A11" s="111">
        <v>1984</v>
      </c>
      <c r="B11" s="227">
        <v>62482</v>
      </c>
      <c r="C11" s="227">
        <v>145467</v>
      </c>
      <c r="D11" s="111">
        <v>210</v>
      </c>
      <c r="E11" s="227">
        <v>1688</v>
      </c>
      <c r="F11" s="228">
        <v>3.3609679587721262E-3</v>
      </c>
      <c r="G11" s="228">
        <v>1.1604006406951405E-2</v>
      </c>
    </row>
    <row r="12" spans="1:7">
      <c r="A12" s="111">
        <v>1985</v>
      </c>
      <c r="B12" s="227">
        <v>62623</v>
      </c>
      <c r="C12" s="227">
        <v>146884</v>
      </c>
      <c r="D12" s="111">
        <v>226</v>
      </c>
      <c r="E12" s="227">
        <v>1777</v>
      </c>
      <c r="F12" s="228">
        <v>3.6088976893473646E-3</v>
      </c>
      <c r="G12" s="228">
        <v>1.2097982081098009E-2</v>
      </c>
    </row>
    <row r="13" spans="1:7">
      <c r="A13" s="111">
        <v>1986</v>
      </c>
      <c r="B13" s="227">
        <v>62865</v>
      </c>
      <c r="C13" s="227">
        <v>148261</v>
      </c>
      <c r="D13" s="111">
        <v>240</v>
      </c>
      <c r="E13" s="227">
        <v>1902</v>
      </c>
      <c r="F13" s="228">
        <v>3.8177046051061799E-3</v>
      </c>
      <c r="G13" s="228">
        <v>1.2828727716661832E-2</v>
      </c>
    </row>
    <row r="14" spans="1:7">
      <c r="A14" s="111">
        <v>1987</v>
      </c>
      <c r="B14" s="227">
        <v>63056</v>
      </c>
      <c r="C14" s="227">
        <v>149609</v>
      </c>
      <c r="D14" s="111">
        <v>249</v>
      </c>
      <c r="E14" s="227">
        <v>1997</v>
      </c>
      <c r="F14" s="228">
        <v>3.9488708449632072E-3</v>
      </c>
      <c r="G14" s="228">
        <v>1.3348127452225468E-2</v>
      </c>
    </row>
    <row r="15" spans="1:7">
      <c r="A15" s="111">
        <v>1988</v>
      </c>
      <c r="B15" s="227">
        <v>63246</v>
      </c>
      <c r="C15" s="227">
        <v>151129</v>
      </c>
      <c r="D15" s="111">
        <v>254</v>
      </c>
      <c r="E15" s="227">
        <v>2076</v>
      </c>
      <c r="F15" s="228">
        <v>4.0160642570281121E-3</v>
      </c>
      <c r="G15" s="228">
        <v>1.373660912200835E-2</v>
      </c>
    </row>
    <row r="16" spans="1:7">
      <c r="A16" s="111">
        <v>1989</v>
      </c>
      <c r="B16" s="227">
        <v>63457</v>
      </c>
      <c r="C16" s="227">
        <v>152681</v>
      </c>
      <c r="D16" s="111">
        <v>263</v>
      </c>
      <c r="E16" s="227">
        <v>2169</v>
      </c>
      <c r="F16" s="228">
        <v>4.1445388215642087E-3</v>
      </c>
      <c r="G16" s="228">
        <v>1.4206089821261323E-2</v>
      </c>
    </row>
    <row r="17" spans="1:7">
      <c r="A17" s="111">
        <v>1990</v>
      </c>
      <c r="B17" s="227">
        <v>63947</v>
      </c>
      <c r="C17" s="227">
        <v>153757</v>
      </c>
      <c r="D17" s="111">
        <v>306</v>
      </c>
      <c r="E17" s="227">
        <v>2305</v>
      </c>
      <c r="F17" s="228">
        <v>4.7852127543121644E-3</v>
      </c>
      <c r="G17" s="228">
        <v>1.4991187393094298E-2</v>
      </c>
    </row>
    <row r="18" spans="1:7">
      <c r="A18" s="111">
        <v>1991</v>
      </c>
      <c r="B18" s="227">
        <v>65308</v>
      </c>
      <c r="C18" s="227">
        <v>155861</v>
      </c>
      <c r="D18" s="111">
        <v>395</v>
      </c>
      <c r="E18" s="227">
        <v>2499</v>
      </c>
      <c r="F18" s="228">
        <v>6.0482636124211432E-3</v>
      </c>
      <c r="G18" s="228">
        <v>1.6033517044032823E-2</v>
      </c>
    </row>
    <row r="19" spans="1:7">
      <c r="A19" s="111">
        <v>1992</v>
      </c>
      <c r="B19" s="227">
        <v>66502</v>
      </c>
      <c r="C19" s="227">
        <v>157656</v>
      </c>
      <c r="D19" s="111">
        <v>555</v>
      </c>
      <c r="E19" s="227">
        <v>2767</v>
      </c>
      <c r="F19" s="228">
        <v>8.3456136657544134E-3</v>
      </c>
      <c r="G19" s="228">
        <v>1.7550870249150047E-2</v>
      </c>
    </row>
    <row r="20" spans="1:7">
      <c r="A20" s="111">
        <v>1993</v>
      </c>
      <c r="B20" s="227">
        <v>67586</v>
      </c>
      <c r="C20" s="227">
        <v>159432</v>
      </c>
      <c r="D20" s="111">
        <v>721</v>
      </c>
      <c r="E20" s="227">
        <v>3003</v>
      </c>
      <c r="F20" s="228">
        <v>1.0667889799662652E-2</v>
      </c>
      <c r="G20" s="228">
        <v>1.8835616438356163E-2</v>
      </c>
    </row>
    <row r="21" spans="1:7">
      <c r="A21" s="111">
        <v>1994</v>
      </c>
      <c r="B21" s="227">
        <v>68631</v>
      </c>
      <c r="C21" s="227">
        <v>161164</v>
      </c>
      <c r="D21" s="111">
        <v>839</v>
      </c>
      <c r="E21" s="227">
        <v>3192</v>
      </c>
      <c r="F21" s="228">
        <v>1.2224796374816046E-2</v>
      </c>
      <c r="G21" s="228">
        <v>1.9805911990270781E-2</v>
      </c>
    </row>
    <row r="22" spans="1:7">
      <c r="A22" s="111">
        <v>1995</v>
      </c>
      <c r="B22" s="227">
        <v>69465</v>
      </c>
      <c r="C22" s="227">
        <v>163045</v>
      </c>
      <c r="D22" s="111">
        <v>915</v>
      </c>
      <c r="E22" s="227">
        <v>3342</v>
      </c>
      <c r="F22" s="228">
        <v>1.3172101058086806E-2</v>
      </c>
      <c r="G22" s="228">
        <v>2.0497408690852217E-2</v>
      </c>
    </row>
    <row r="23" spans="1:7">
      <c r="A23" s="111">
        <v>1996</v>
      </c>
      <c r="B23" s="227">
        <v>70226</v>
      </c>
      <c r="C23" s="227">
        <v>165026</v>
      </c>
      <c r="D23" s="111">
        <v>954</v>
      </c>
      <c r="E23" s="227">
        <v>3440</v>
      </c>
      <c r="F23" s="228">
        <v>1.3584712214849201E-2</v>
      </c>
      <c r="G23" s="228">
        <v>2.0845200150279349E-2</v>
      </c>
    </row>
    <row r="24" spans="1:7">
      <c r="A24" s="111">
        <v>1997</v>
      </c>
      <c r="B24" s="227">
        <v>70917</v>
      </c>
      <c r="C24" s="227">
        <v>167330</v>
      </c>
      <c r="D24" s="111">
        <v>878</v>
      </c>
      <c r="E24" s="227">
        <v>3433</v>
      </c>
      <c r="F24" s="228">
        <v>1.2380670361126387E-2</v>
      </c>
      <c r="G24" s="228">
        <v>2.05163449471105E-2</v>
      </c>
    </row>
    <row r="25" spans="1:7">
      <c r="A25" s="111">
        <v>1998</v>
      </c>
      <c r="B25" s="227">
        <v>71428</v>
      </c>
      <c r="C25" s="227">
        <v>169807</v>
      </c>
      <c r="D25" s="111">
        <v>885</v>
      </c>
      <c r="E25" s="227">
        <v>3519</v>
      </c>
      <c r="F25" s="228">
        <v>1.2390099120792966E-2</v>
      </c>
      <c r="G25" s="228">
        <v>2.0723527298639043E-2</v>
      </c>
    </row>
    <row r="26" spans="1:7">
      <c r="A26" s="111">
        <v>1999</v>
      </c>
      <c r="B26" s="227">
        <v>71947</v>
      </c>
      <c r="C26" s="227">
        <v>172246</v>
      </c>
      <c r="D26" s="111">
        <v>845</v>
      </c>
      <c r="E26" s="227">
        <v>3557</v>
      </c>
      <c r="F26" s="228">
        <v>1.1744756556909947E-2</v>
      </c>
      <c r="G26" s="228">
        <v>2.0650697258572041E-2</v>
      </c>
    </row>
    <row r="27" spans="1:7">
      <c r="A27" s="111">
        <v>2000</v>
      </c>
      <c r="B27" s="227">
        <v>72355.61</v>
      </c>
      <c r="C27" s="227">
        <v>174739.33600000001</v>
      </c>
      <c r="D27" s="111">
        <v>844</v>
      </c>
      <c r="E27" s="227">
        <v>3610</v>
      </c>
      <c r="F27" s="228">
        <v>1.1664610387501398E-2</v>
      </c>
      <c r="G27" s="228">
        <v>2.0659343698089822E-2</v>
      </c>
    </row>
    <row r="28" spans="1:7">
      <c r="A28" s="111">
        <v>2001</v>
      </c>
      <c r="B28" s="227">
        <v>72598.892999999996</v>
      </c>
      <c r="C28" s="227">
        <v>177109.071</v>
      </c>
      <c r="D28" s="111">
        <v>879</v>
      </c>
      <c r="E28" s="227">
        <v>3677</v>
      </c>
      <c r="F28" s="228">
        <v>1.2107622632758327E-2</v>
      </c>
      <c r="G28" s="228">
        <v>2.0761217814755518E-2</v>
      </c>
    </row>
    <row r="29" spans="1:7">
      <c r="A29" s="111">
        <v>2002</v>
      </c>
      <c r="B29" s="227">
        <v>72830.322</v>
      </c>
      <c r="C29" s="227">
        <v>179305.31599999999</v>
      </c>
      <c r="D29" s="111">
        <v>912</v>
      </c>
      <c r="E29" s="227">
        <v>3740</v>
      </c>
      <c r="F29" s="228">
        <v>1.2522256869879005E-2</v>
      </c>
      <c r="G29" s="228">
        <v>2.085827728610121E-2</v>
      </c>
    </row>
    <row r="30" spans="1:7">
      <c r="A30" s="111">
        <v>2003</v>
      </c>
      <c r="B30" s="227">
        <v>72978.885999999999</v>
      </c>
      <c r="C30" s="227">
        <v>181279.89799999999</v>
      </c>
      <c r="D30" s="111">
        <v>956</v>
      </c>
      <c r="E30" s="227">
        <v>3812</v>
      </c>
      <c r="F30" s="228">
        <v>1.309967926887785E-2</v>
      </c>
      <c r="G30" s="228">
        <v>2.1028255432932779E-2</v>
      </c>
    </row>
    <row r="31" spans="1:7">
      <c r="A31" s="111">
        <v>2004</v>
      </c>
      <c r="B31" s="227">
        <v>73166.091</v>
      </c>
      <c r="C31" s="227">
        <v>183424.56700000001</v>
      </c>
      <c r="D31" s="111">
        <v>990</v>
      </c>
      <c r="E31" s="227">
        <v>3870</v>
      </c>
      <c r="F31" s="228">
        <v>1.3530858167617565E-2</v>
      </c>
      <c r="G31" s="228">
        <v>2.1098591444405589E-2</v>
      </c>
    </row>
    <row r="32" spans="1:7">
      <c r="A32" s="111">
        <v>2005</v>
      </c>
      <c r="B32" s="227">
        <v>73378.417000000001</v>
      </c>
      <c r="C32" s="227">
        <v>185429.98</v>
      </c>
      <c r="D32" s="227">
        <v>1034</v>
      </c>
      <c r="E32" s="227">
        <v>3935</v>
      </c>
      <c r="F32" s="228">
        <v>1.4091336966290783E-2</v>
      </c>
      <c r="G32" s="228">
        <v>2.1220948198344192E-2</v>
      </c>
    </row>
    <row r="33" spans="1:7">
      <c r="A33" s="111">
        <v>2006</v>
      </c>
      <c r="B33" s="227">
        <v>73593.694000000003</v>
      </c>
      <c r="C33" s="227">
        <v>187505.06299999999</v>
      </c>
      <c r="D33" s="227">
        <v>1076</v>
      </c>
      <c r="E33" s="227">
        <v>4004</v>
      </c>
      <c r="F33" s="228">
        <v>1.4620817919535333E-2</v>
      </c>
      <c r="G33" s="228">
        <v>2.1354090049291095E-2</v>
      </c>
    </row>
    <row r="34" spans="1:7">
      <c r="A34" s="111">
        <v>2007</v>
      </c>
      <c r="B34" s="227">
        <v>73859.218999999997</v>
      </c>
      <c r="C34" s="227">
        <v>189488.70199999999</v>
      </c>
      <c r="D34" s="227">
        <v>1119</v>
      </c>
      <c r="E34" s="227">
        <v>4074</v>
      </c>
      <c r="F34" s="228">
        <v>1.5150444523384413E-2</v>
      </c>
      <c r="G34" s="228">
        <v>2.1499962567689129E-2</v>
      </c>
    </row>
    <row r="35" spans="1:7">
      <c r="A35" s="111">
        <v>2008</v>
      </c>
      <c r="B35" s="227">
        <v>73941.847999999998</v>
      </c>
      <c r="C35" s="227">
        <v>191248.16</v>
      </c>
      <c r="D35" s="227">
        <v>1151</v>
      </c>
      <c r="E35" s="227">
        <v>4183</v>
      </c>
      <c r="F35" s="228">
        <v>1.5566286631083389E-2</v>
      </c>
      <c r="G35" s="228">
        <v>2.1872105854508612E-2</v>
      </c>
    </row>
    <row r="36" spans="1:7">
      <c r="A36" s="111">
        <v>2009</v>
      </c>
      <c r="B36" s="227">
        <v>74548.214999999997</v>
      </c>
      <c r="C36" s="227">
        <v>192887.745</v>
      </c>
      <c r="D36" s="227">
        <v>1198</v>
      </c>
      <c r="E36" s="227">
        <v>4324</v>
      </c>
      <c r="F36" s="228">
        <v>1.6070136622318858E-2</v>
      </c>
      <c r="G36" s="228">
        <v>2.2417183631858E-2</v>
      </c>
    </row>
    <row r="37" spans="1:7">
      <c r="A37" s="111">
        <v>2010</v>
      </c>
      <c r="B37" s="227">
        <v>74181</v>
      </c>
      <c r="C37" s="227">
        <v>194296</v>
      </c>
      <c r="D37" s="227">
        <v>1238</v>
      </c>
      <c r="E37" s="227">
        <v>4501</v>
      </c>
      <c r="F37" s="228">
        <v>1.67E-2</v>
      </c>
      <c r="G37" s="228">
        <v>2.3165685346069914E-2</v>
      </c>
    </row>
    <row r="40" spans="1:7">
      <c r="A40" s="15" t="s">
        <v>106</v>
      </c>
    </row>
    <row r="42" spans="1:7">
      <c r="A42" s="4" t="s">
        <v>433</v>
      </c>
    </row>
    <row r="43" spans="1:7">
      <c r="A43" t="s">
        <v>463</v>
      </c>
    </row>
    <row r="44" spans="1:7">
      <c r="A44" s="1" t="s">
        <v>462</v>
      </c>
    </row>
    <row r="45" spans="1:7">
      <c r="A45" s="1"/>
    </row>
    <row r="46" spans="1:7">
      <c r="A46" s="4" t="s">
        <v>461</v>
      </c>
    </row>
    <row r="47" spans="1:7">
      <c r="A47" t="s">
        <v>464</v>
      </c>
    </row>
    <row r="48" spans="1:7">
      <c r="A48" s="1" t="s">
        <v>219</v>
      </c>
    </row>
  </sheetData>
  <hyperlinks>
    <hyperlink ref="A3" location="TableOfContents!A1" display="Back"/>
    <hyperlink ref="A44" r:id="rId1" location="642998"/>
    <hyperlink ref="A48" r:id="rId2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70"/>
  <sheetViews>
    <sheetView workbookViewId="0">
      <selection activeCell="H5" sqref="H5"/>
    </sheetView>
  </sheetViews>
  <sheetFormatPr defaultRowHeight="15"/>
  <cols>
    <col min="1" max="1" width="6.28515625" customWidth="1"/>
    <col min="2" max="2" width="24.5703125" bestFit="1" customWidth="1"/>
    <col min="3" max="3" width="10.42578125" customWidth="1"/>
    <col min="4" max="4" width="13" customWidth="1"/>
    <col min="5" max="5" width="21.85546875" customWidth="1"/>
  </cols>
  <sheetData>
    <row r="1" spans="1:6" ht="15.75">
      <c r="A1" s="24" t="s">
        <v>465</v>
      </c>
    </row>
    <row r="3" spans="1:6" ht="18.75">
      <c r="A3" s="27" t="s">
        <v>252</v>
      </c>
      <c r="B3" s="29" t="s">
        <v>253</v>
      </c>
    </row>
    <row r="5" spans="1:6">
      <c r="A5" s="20"/>
      <c r="B5" s="20"/>
      <c r="C5" s="20"/>
      <c r="D5" s="22"/>
      <c r="E5" s="20"/>
      <c r="F5" s="73"/>
    </row>
    <row r="6" spans="1:6" ht="39">
      <c r="A6" s="229" t="s">
        <v>467</v>
      </c>
      <c r="B6" s="229" t="s">
        <v>218</v>
      </c>
      <c r="C6" s="180" t="s">
        <v>466</v>
      </c>
      <c r="D6" s="230" t="s">
        <v>468</v>
      </c>
      <c r="E6" s="230" t="s">
        <v>469</v>
      </c>
      <c r="F6" s="73"/>
    </row>
    <row r="7" spans="1:6">
      <c r="A7" s="177" t="s">
        <v>206</v>
      </c>
      <c r="B7" s="177" t="s">
        <v>207</v>
      </c>
      <c r="C7" s="231">
        <v>216038</v>
      </c>
      <c r="D7" s="231">
        <v>2989485</v>
      </c>
      <c r="E7" s="232">
        <v>7.2265958852444481E-2</v>
      </c>
    </row>
    <row r="8" spans="1:6">
      <c r="A8" s="177" t="s">
        <v>144</v>
      </c>
      <c r="B8" s="177" t="s">
        <v>145</v>
      </c>
      <c r="C8" s="231">
        <v>12119</v>
      </c>
      <c r="D8" s="231">
        <v>467915</v>
      </c>
      <c r="E8" s="232">
        <v>2.590000320571044E-2</v>
      </c>
    </row>
    <row r="9" spans="1:6">
      <c r="A9" s="177" t="s">
        <v>134</v>
      </c>
      <c r="B9" s="177" t="s">
        <v>135</v>
      </c>
      <c r="C9" s="231">
        <v>144342</v>
      </c>
      <c r="D9" s="231">
        <v>3881172</v>
      </c>
      <c r="E9" s="232">
        <v>3.7190312616910561E-2</v>
      </c>
    </row>
    <row r="10" spans="1:6">
      <c r="A10" s="177" t="s">
        <v>208</v>
      </c>
      <c r="B10" s="177" t="s">
        <v>209</v>
      </c>
      <c r="C10" s="231">
        <v>133719</v>
      </c>
      <c r="D10" s="231">
        <v>1784462</v>
      </c>
      <c r="E10" s="232">
        <v>7.4935190550429201E-2</v>
      </c>
    </row>
    <row r="11" spans="1:6">
      <c r="A11" s="177" t="s">
        <v>142</v>
      </c>
      <c r="B11" s="177" t="s">
        <v>143</v>
      </c>
      <c r="C11" s="231">
        <v>662232</v>
      </c>
      <c r="D11" s="231">
        <v>23712402</v>
      </c>
      <c r="E11" s="232">
        <v>2.7927664181806634E-2</v>
      </c>
    </row>
    <row r="12" spans="1:6">
      <c r="A12" s="177" t="s">
        <v>124</v>
      </c>
      <c r="B12" s="177" t="s">
        <v>125</v>
      </c>
      <c r="C12" s="231">
        <v>94404</v>
      </c>
      <c r="D12" s="231">
        <v>3253962</v>
      </c>
      <c r="E12" s="232">
        <v>2.9012016735290701E-2</v>
      </c>
    </row>
    <row r="13" spans="1:6">
      <c r="A13" s="177" t="s">
        <v>128</v>
      </c>
      <c r="B13" s="177" t="s">
        <v>129</v>
      </c>
      <c r="C13" s="231">
        <v>77298</v>
      </c>
      <c r="D13" s="231">
        <v>2250523</v>
      </c>
      <c r="E13" s="232">
        <v>3.4346682971024958E-2</v>
      </c>
    </row>
    <row r="14" spans="1:6">
      <c r="A14" s="177" t="s">
        <v>156</v>
      </c>
      <c r="B14" s="177" t="s">
        <v>157</v>
      </c>
      <c r="C14" s="231">
        <v>25925</v>
      </c>
      <c r="D14" s="231">
        <v>562892</v>
      </c>
      <c r="E14" s="232">
        <v>4.6056792421992142E-2</v>
      </c>
    </row>
    <row r="15" spans="1:6">
      <c r="A15" s="177" t="s">
        <v>176</v>
      </c>
      <c r="B15" s="177" t="s">
        <v>177</v>
      </c>
      <c r="C15" s="231">
        <v>12843</v>
      </c>
      <c r="D15" s="231">
        <v>432099</v>
      </c>
      <c r="E15" s="232">
        <v>2.9722355293578556E-2</v>
      </c>
    </row>
    <row r="16" spans="1:6">
      <c r="A16" s="177" t="s">
        <v>180</v>
      </c>
      <c r="B16" s="177" t="s">
        <v>181</v>
      </c>
      <c r="C16" s="231">
        <v>488461</v>
      </c>
      <c r="D16" s="231">
        <v>11539617</v>
      </c>
      <c r="E16" s="232">
        <v>4.232904783581639E-2</v>
      </c>
    </row>
    <row r="17" spans="1:5">
      <c r="A17" s="177" t="s">
        <v>182</v>
      </c>
      <c r="B17" s="177" t="s">
        <v>183</v>
      </c>
      <c r="C17" s="231">
        <v>248887</v>
      </c>
      <c r="D17" s="231">
        <v>6164066</v>
      </c>
      <c r="E17" s="232">
        <v>4.0377082270047077E-2</v>
      </c>
    </row>
    <row r="18" spans="1:5">
      <c r="A18" s="177" t="s">
        <v>118</v>
      </c>
      <c r="B18" s="177" t="s">
        <v>119</v>
      </c>
      <c r="C18" s="231">
        <v>22686</v>
      </c>
      <c r="D18" s="231">
        <v>861345</v>
      </c>
      <c r="E18" s="232">
        <v>2.6337878550406632E-2</v>
      </c>
    </row>
    <row r="19" spans="1:5">
      <c r="A19" s="177" t="s">
        <v>168</v>
      </c>
      <c r="B19" s="177" t="s">
        <v>169</v>
      </c>
      <c r="C19" s="231">
        <v>38716</v>
      </c>
      <c r="D19" s="231">
        <v>943842</v>
      </c>
      <c r="E19" s="232">
        <v>4.1019577429273119E-2</v>
      </c>
    </row>
    <row r="20" spans="1:5">
      <c r="A20" s="177" t="s">
        <v>138</v>
      </c>
      <c r="B20" s="177" t="s">
        <v>139</v>
      </c>
      <c r="C20" s="231">
        <v>274692</v>
      </c>
      <c r="D20" s="231">
        <v>8092240</v>
      </c>
      <c r="E20" s="232">
        <v>3.3945112848852731E-2</v>
      </c>
    </row>
    <row r="21" spans="1:5">
      <c r="A21" s="177" t="s">
        <v>184</v>
      </c>
      <c r="B21" s="177" t="s">
        <v>185</v>
      </c>
      <c r="C21" s="231">
        <v>186817</v>
      </c>
      <c r="D21" s="231">
        <v>4034396</v>
      </c>
      <c r="E21" s="232">
        <v>4.6306064154336857E-2</v>
      </c>
    </row>
    <row r="22" spans="1:5">
      <c r="A22" s="177" t="s">
        <v>158</v>
      </c>
      <c r="B22" s="177" t="s">
        <v>159</v>
      </c>
      <c r="C22" s="231">
        <v>71549</v>
      </c>
      <c r="D22" s="231">
        <v>1865474</v>
      </c>
      <c r="E22" s="232">
        <v>3.835432710399609E-2</v>
      </c>
    </row>
    <row r="23" spans="1:5">
      <c r="A23" s="177" t="s">
        <v>170</v>
      </c>
      <c r="B23" s="177" t="s">
        <v>171</v>
      </c>
      <c r="C23" s="231">
        <v>69044</v>
      </c>
      <c r="D23" s="231">
        <v>1750063</v>
      </c>
      <c r="E23" s="232">
        <v>3.9452294003130176E-2</v>
      </c>
    </row>
    <row r="24" spans="1:5">
      <c r="A24" s="177" t="s">
        <v>210</v>
      </c>
      <c r="B24" s="177" t="s">
        <v>211</v>
      </c>
      <c r="C24" s="231">
        <v>199732</v>
      </c>
      <c r="D24" s="231">
        <v>2737769</v>
      </c>
      <c r="E24" s="232">
        <v>7.2954292345336666E-2</v>
      </c>
    </row>
    <row r="25" spans="1:5">
      <c r="A25" s="177" t="s">
        <v>202</v>
      </c>
      <c r="B25" s="177" t="s">
        <v>203</v>
      </c>
      <c r="C25" s="231">
        <v>142796</v>
      </c>
      <c r="D25" s="231">
        <v>2857500</v>
      </c>
      <c r="E25" s="232">
        <v>4.9972353455818019E-2</v>
      </c>
    </row>
    <row r="26" spans="1:5">
      <c r="A26" s="177" t="s">
        <v>188</v>
      </c>
      <c r="B26" s="177" t="s">
        <v>189</v>
      </c>
      <c r="C26" s="231">
        <v>55525</v>
      </c>
      <c r="D26" s="231">
        <v>842748</v>
      </c>
      <c r="E26" s="232">
        <v>6.5885650277425753E-2</v>
      </c>
    </row>
    <row r="27" spans="1:5">
      <c r="A27" s="177" t="s">
        <v>162</v>
      </c>
      <c r="B27" s="177" t="s">
        <v>163</v>
      </c>
      <c r="C27" s="231">
        <v>115898</v>
      </c>
      <c r="D27" s="231">
        <v>3712946</v>
      </c>
      <c r="E27" s="232">
        <v>3.121456654634891E-2</v>
      </c>
    </row>
    <row r="28" spans="1:5">
      <c r="A28" s="177" t="s">
        <v>152</v>
      </c>
      <c r="B28" s="177" t="s">
        <v>153</v>
      </c>
      <c r="C28" s="231">
        <v>187321</v>
      </c>
      <c r="D28" s="231">
        <v>4225982</v>
      </c>
      <c r="E28" s="232">
        <v>4.4326028837794386E-2</v>
      </c>
    </row>
    <row r="29" spans="1:5">
      <c r="A29" s="177" t="s">
        <v>192</v>
      </c>
      <c r="B29" s="177" t="s">
        <v>193</v>
      </c>
      <c r="C29" s="231">
        <v>314926</v>
      </c>
      <c r="D29" s="231">
        <v>6178042</v>
      </c>
      <c r="E29" s="232">
        <v>5.0975050023939622E-2</v>
      </c>
    </row>
    <row r="30" spans="1:5">
      <c r="A30" s="177" t="s">
        <v>126</v>
      </c>
      <c r="B30" s="177" t="s">
        <v>127</v>
      </c>
      <c r="C30" s="231">
        <v>115780</v>
      </c>
      <c r="D30" s="231">
        <v>3336741</v>
      </c>
      <c r="E30" s="232">
        <v>3.469852769513726E-2</v>
      </c>
    </row>
    <row r="31" spans="1:5">
      <c r="A31" s="177" t="s">
        <v>214</v>
      </c>
      <c r="B31" s="177" t="s">
        <v>215</v>
      </c>
      <c r="C31" s="231">
        <v>125555</v>
      </c>
      <c r="D31" s="231">
        <v>1831335</v>
      </c>
      <c r="E31" s="232">
        <v>6.8559275064365613E-2</v>
      </c>
    </row>
    <row r="32" spans="1:5">
      <c r="A32" s="177" t="s">
        <v>200</v>
      </c>
      <c r="B32" s="177" t="s">
        <v>201</v>
      </c>
      <c r="C32" s="231">
        <v>202465</v>
      </c>
      <c r="D32" s="231">
        <v>3725197</v>
      </c>
      <c r="E32" s="232">
        <v>5.4350145777525324E-2</v>
      </c>
    </row>
    <row r="33" spans="1:5">
      <c r="A33" s="177" t="s">
        <v>148</v>
      </c>
      <c r="B33" s="177" t="s">
        <v>149</v>
      </c>
      <c r="C33" s="231">
        <v>26077</v>
      </c>
      <c r="D33" s="231">
        <v>619110</v>
      </c>
      <c r="E33" s="232">
        <v>4.2120140201256644E-2</v>
      </c>
    </row>
    <row r="34" spans="1:5">
      <c r="A34" s="177" t="s">
        <v>130</v>
      </c>
      <c r="B34" s="177" t="s">
        <v>131</v>
      </c>
      <c r="C34" s="231">
        <v>39846</v>
      </c>
      <c r="D34" s="231">
        <v>1120443</v>
      </c>
      <c r="E34" s="232">
        <v>3.5562719388670373E-2</v>
      </c>
    </row>
    <row r="35" spans="1:5">
      <c r="A35" s="177" t="s">
        <v>140</v>
      </c>
      <c r="B35" s="177" t="s">
        <v>141</v>
      </c>
      <c r="C35" s="231">
        <v>55858</v>
      </c>
      <c r="D35" s="231">
        <v>1711184</v>
      </c>
      <c r="E35" s="232">
        <v>3.2642895211736432E-2</v>
      </c>
    </row>
    <row r="36" spans="1:5">
      <c r="A36" s="177" t="s">
        <v>164</v>
      </c>
      <c r="B36" s="177" t="s">
        <v>165</v>
      </c>
      <c r="C36" s="231">
        <v>42504</v>
      </c>
      <c r="D36" s="231">
        <v>850968</v>
      </c>
      <c r="E36" s="232">
        <v>4.9947824124996473E-2</v>
      </c>
    </row>
    <row r="37" spans="1:5">
      <c r="A37" s="177" t="s">
        <v>120</v>
      </c>
      <c r="B37" s="177" t="s">
        <v>121</v>
      </c>
      <c r="C37" s="231">
        <v>185970</v>
      </c>
      <c r="D37" s="231">
        <v>5540687</v>
      </c>
      <c r="E37" s="232">
        <v>3.3564429826120838E-2</v>
      </c>
    </row>
    <row r="38" spans="1:5">
      <c r="A38" s="177" t="s">
        <v>196</v>
      </c>
      <c r="B38" s="177" t="s">
        <v>197</v>
      </c>
      <c r="C38" s="231">
        <v>58641</v>
      </c>
      <c r="D38" s="231">
        <v>1268252</v>
      </c>
      <c r="E38" s="232">
        <v>4.6237656238665499E-2</v>
      </c>
    </row>
    <row r="39" spans="1:5">
      <c r="A39" s="177" t="s">
        <v>150</v>
      </c>
      <c r="B39" s="177" t="s">
        <v>151</v>
      </c>
      <c r="C39" s="231">
        <v>490662</v>
      </c>
      <c r="D39" s="231">
        <v>12435230</v>
      </c>
      <c r="E39" s="232">
        <v>3.945741252875902E-2</v>
      </c>
    </row>
    <row r="40" spans="1:5">
      <c r="A40" s="177" t="s">
        <v>186</v>
      </c>
      <c r="B40" s="177" t="s">
        <v>187</v>
      </c>
      <c r="C40" s="231">
        <v>310399</v>
      </c>
      <c r="D40" s="231">
        <v>6019769</v>
      </c>
      <c r="E40" s="232">
        <v>5.1563274271820066E-2</v>
      </c>
    </row>
    <row r="41" spans="1:5">
      <c r="A41" s="177" t="s">
        <v>132</v>
      </c>
      <c r="B41" s="177" t="s">
        <v>133</v>
      </c>
      <c r="C41" s="231">
        <v>13570</v>
      </c>
      <c r="D41" s="231">
        <v>425243</v>
      </c>
      <c r="E41" s="232">
        <v>3.1911166086214235E-2</v>
      </c>
    </row>
    <row r="42" spans="1:5">
      <c r="A42" s="177" t="s">
        <v>190</v>
      </c>
      <c r="B42" s="177" t="s">
        <v>191</v>
      </c>
      <c r="C42" s="231">
        <v>313105</v>
      </c>
      <c r="D42" s="231">
        <v>7183738</v>
      </c>
      <c r="E42" s="232">
        <v>4.3585247680246693E-2</v>
      </c>
    </row>
    <row r="43" spans="1:5">
      <c r="A43" s="177" t="s">
        <v>198</v>
      </c>
      <c r="B43" s="177" t="s">
        <v>199</v>
      </c>
      <c r="C43" s="231">
        <v>120235</v>
      </c>
      <c r="D43" s="231">
        <v>2314971</v>
      </c>
      <c r="E43" s="232">
        <v>5.1938015638208858E-2</v>
      </c>
    </row>
    <row r="44" spans="1:5">
      <c r="A44" s="177" t="s">
        <v>166</v>
      </c>
      <c r="B44" s="177" t="s">
        <v>167</v>
      </c>
      <c r="C44" s="231">
        <v>97786</v>
      </c>
      <c r="D44" s="231">
        <v>2431088</v>
      </c>
      <c r="E44" s="232">
        <v>4.0223142889109734E-2</v>
      </c>
    </row>
    <row r="45" spans="1:5">
      <c r="A45" s="177" t="s">
        <v>178</v>
      </c>
      <c r="B45" s="177" t="s">
        <v>179</v>
      </c>
      <c r="C45" s="231">
        <v>372365</v>
      </c>
      <c r="D45" s="231">
        <v>7950917</v>
      </c>
      <c r="E45" s="232">
        <v>4.6832962789072001E-2</v>
      </c>
    </row>
    <row r="46" spans="1:5">
      <c r="A46" s="177" t="s">
        <v>174</v>
      </c>
      <c r="B46" s="177" t="s">
        <v>175</v>
      </c>
      <c r="C46" s="231">
        <v>34381</v>
      </c>
      <c r="D46" s="231">
        <v>676730</v>
      </c>
      <c r="E46" s="232">
        <v>5.0804604495145775E-2</v>
      </c>
    </row>
    <row r="47" spans="1:5">
      <c r="A47" s="177" t="s">
        <v>194</v>
      </c>
      <c r="B47" s="177" t="s">
        <v>195</v>
      </c>
      <c r="C47" s="231">
        <v>164930</v>
      </c>
      <c r="D47" s="231">
        <v>2913016</v>
      </c>
      <c r="E47" s="232">
        <v>5.6618295265113548E-2</v>
      </c>
    </row>
    <row r="48" spans="1:5">
      <c r="A48" s="177" t="s">
        <v>116</v>
      </c>
      <c r="B48" s="177" t="s">
        <v>117</v>
      </c>
      <c r="C48" s="231">
        <v>17722</v>
      </c>
      <c r="D48" s="231">
        <v>494802</v>
      </c>
      <c r="E48" s="232">
        <v>3.5816346740716487E-2</v>
      </c>
    </row>
    <row r="49" spans="1:5">
      <c r="A49" s="177" t="s">
        <v>204</v>
      </c>
      <c r="B49" s="177" t="s">
        <v>205</v>
      </c>
      <c r="C49" s="231">
        <v>230168</v>
      </c>
      <c r="D49" s="231">
        <v>3996642</v>
      </c>
      <c r="E49" s="232">
        <v>5.7590347096387419E-2</v>
      </c>
    </row>
    <row r="50" spans="1:5">
      <c r="A50" s="177" t="s">
        <v>160</v>
      </c>
      <c r="B50" s="177" t="s">
        <v>161</v>
      </c>
      <c r="C50" s="231">
        <v>528238</v>
      </c>
      <c r="D50" s="231">
        <v>15677851</v>
      </c>
      <c r="E50" s="232">
        <v>3.3693265741586653E-2</v>
      </c>
    </row>
    <row r="51" spans="1:5">
      <c r="A51" s="177" t="s">
        <v>114</v>
      </c>
      <c r="B51" s="177" t="s">
        <v>115</v>
      </c>
      <c r="C51" s="231">
        <v>41919</v>
      </c>
      <c r="D51" s="231">
        <v>1643396</v>
      </c>
      <c r="E51" s="232">
        <v>2.5507546568203889E-2</v>
      </c>
    </row>
    <row r="52" spans="1:5">
      <c r="A52" s="177" t="s">
        <v>172</v>
      </c>
      <c r="B52" s="177" t="s">
        <v>173</v>
      </c>
      <c r="C52" s="231">
        <v>20774</v>
      </c>
      <c r="D52" s="231">
        <v>405430</v>
      </c>
      <c r="E52" s="232">
        <v>5.1239424808228302E-2</v>
      </c>
    </row>
    <row r="53" spans="1:5">
      <c r="A53" s="177" t="s">
        <v>136</v>
      </c>
      <c r="B53" s="177" t="s">
        <v>137</v>
      </c>
      <c r="C53" s="231">
        <v>199923</v>
      </c>
      <c r="D53" s="231">
        <v>5170410</v>
      </c>
      <c r="E53" s="232">
        <v>3.866675950263132E-2</v>
      </c>
    </row>
    <row r="54" spans="1:5">
      <c r="A54" s="177" t="s">
        <v>146</v>
      </c>
      <c r="B54" s="177" t="s">
        <v>147</v>
      </c>
      <c r="C54" s="231">
        <v>159689</v>
      </c>
      <c r="D54" s="231">
        <v>4315509</v>
      </c>
      <c r="E54" s="232">
        <v>3.7003514533279852E-2</v>
      </c>
    </row>
    <row r="55" spans="1:5">
      <c r="A55" s="177" t="s">
        <v>212</v>
      </c>
      <c r="B55" s="177" t="s">
        <v>213</v>
      </c>
      <c r="C55" s="231">
        <v>93663</v>
      </c>
      <c r="D55" s="231">
        <v>1168172</v>
      </c>
      <c r="E55" s="232">
        <v>8.0179117458730395E-2</v>
      </c>
    </row>
    <row r="56" spans="1:5">
      <c r="A56" s="177" t="s">
        <v>154</v>
      </c>
      <c r="B56" s="177" t="s">
        <v>155</v>
      </c>
      <c r="C56" s="231">
        <v>146516</v>
      </c>
      <c r="D56" s="231">
        <v>3570180</v>
      </c>
      <c r="E56" s="232">
        <v>4.1038827173980025E-2</v>
      </c>
    </row>
    <row r="57" spans="1:5">
      <c r="A57" s="177" t="s">
        <v>122</v>
      </c>
      <c r="B57" s="177" t="s">
        <v>123</v>
      </c>
      <c r="C57" s="231">
        <v>11804</v>
      </c>
      <c r="D57" s="231">
        <v>358134</v>
      </c>
      <c r="E57" s="232">
        <v>3.2959730156868657E-2</v>
      </c>
    </row>
    <row r="58" spans="1:5">
      <c r="A58" s="179"/>
      <c r="B58" s="179"/>
      <c r="C58" s="74"/>
      <c r="D58" s="76"/>
      <c r="E58" s="75"/>
    </row>
    <row r="59" spans="1:5">
      <c r="A59" s="177" t="s">
        <v>216</v>
      </c>
      <c r="B59" s="177" t="s">
        <v>217</v>
      </c>
      <c r="C59" s="231">
        <v>169369</v>
      </c>
      <c r="D59" s="231">
        <v>2280496</v>
      </c>
      <c r="E59" s="232">
        <v>7.4268492468305136E-2</v>
      </c>
    </row>
    <row r="62" spans="1:5">
      <c r="A62" s="15" t="s">
        <v>106</v>
      </c>
    </row>
    <row r="64" spans="1:5">
      <c r="A64" s="4" t="s">
        <v>434</v>
      </c>
    </row>
    <row r="65" spans="1:1">
      <c r="A65" t="s">
        <v>470</v>
      </c>
    </row>
    <row r="66" spans="1:1">
      <c r="A66" s="1" t="s">
        <v>471</v>
      </c>
    </row>
    <row r="67" spans="1:1">
      <c r="A67" s="1"/>
    </row>
    <row r="68" spans="1:1">
      <c r="A68" s="4" t="s">
        <v>461</v>
      </c>
    </row>
    <row r="69" spans="1:1">
      <c r="A69" t="s">
        <v>472</v>
      </c>
    </row>
    <row r="70" spans="1:1">
      <c r="A70" s="1" t="s">
        <v>219</v>
      </c>
    </row>
  </sheetData>
  <sortState ref="A7:E57">
    <sortCondition ref="B7:B57"/>
  </sortState>
  <hyperlinks>
    <hyperlink ref="A3" location="TableOfContents!A1" display="Back"/>
    <hyperlink ref="A66" r:id="rId1" location="table5.j14"/>
    <hyperlink ref="A70" r:id="rId2"/>
  </hyperlinks>
  <pageMargins left="0.7" right="0.7" top="0.75" bottom="0.75" header="0.3" footer="0.3"/>
  <pageSetup orientation="portrait" verticalDpi="4" r:id="rId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69"/>
  <sheetViews>
    <sheetView workbookViewId="0">
      <selection activeCell="K16" sqref="K16"/>
    </sheetView>
  </sheetViews>
  <sheetFormatPr defaultRowHeight="15"/>
  <cols>
    <col min="1" max="1" width="6.42578125" customWidth="1"/>
    <col min="2" max="2" width="19.28515625" customWidth="1"/>
    <col min="3" max="3" width="10.7109375" customWidth="1"/>
    <col min="4" max="4" width="11.7109375" customWidth="1"/>
    <col min="5" max="5" width="17.140625" customWidth="1"/>
    <col min="6" max="6" width="13.5703125" customWidth="1"/>
    <col min="7" max="7" width="19.140625" customWidth="1"/>
  </cols>
  <sheetData>
    <row r="1" spans="1:7" ht="15.75">
      <c r="A1" s="24" t="s">
        <v>473</v>
      </c>
    </row>
    <row r="2" spans="1:7" ht="15.75">
      <c r="A2" s="24" t="s">
        <v>474</v>
      </c>
    </row>
    <row r="3" spans="1:7" ht="15.75">
      <c r="A3" s="24"/>
    </row>
    <row r="4" spans="1:7" ht="18.75">
      <c r="A4" s="27" t="s">
        <v>252</v>
      </c>
      <c r="B4" s="29" t="s">
        <v>253</v>
      </c>
    </row>
    <row r="5" spans="1:7" ht="18.75">
      <c r="A5" s="27"/>
      <c r="B5" s="29"/>
    </row>
    <row r="7" spans="1:7" ht="50.25" customHeight="1">
      <c r="A7" s="81" t="s">
        <v>467</v>
      </c>
      <c r="B7" s="81" t="s">
        <v>218</v>
      </c>
      <c r="C7" s="3" t="s">
        <v>475</v>
      </c>
      <c r="D7" s="3" t="s">
        <v>476</v>
      </c>
      <c r="E7" s="3" t="s">
        <v>477</v>
      </c>
      <c r="F7" s="3" t="s">
        <v>478</v>
      </c>
      <c r="G7" s="3" t="s">
        <v>479</v>
      </c>
    </row>
    <row r="8" spans="1:7">
      <c r="A8" s="25" t="s">
        <v>206</v>
      </c>
      <c r="B8" s="80" t="s">
        <v>207</v>
      </c>
      <c r="C8" s="227">
        <v>112238</v>
      </c>
      <c r="D8" s="227">
        <v>2989485</v>
      </c>
      <c r="E8" s="227">
        <v>568000</v>
      </c>
      <c r="F8" s="228">
        <v>3.7544259295497387E-2</v>
      </c>
      <c r="G8" s="228">
        <v>0.19760211267605635</v>
      </c>
    </row>
    <row r="9" spans="1:7">
      <c r="A9" s="25" t="s">
        <v>144</v>
      </c>
      <c r="B9" s="80" t="s">
        <v>145</v>
      </c>
      <c r="C9" s="227">
        <v>7972</v>
      </c>
      <c r="D9" s="227">
        <v>467915</v>
      </c>
      <c r="E9" s="227">
        <v>63000</v>
      </c>
      <c r="F9" s="228">
        <v>1.7037282412403962E-2</v>
      </c>
      <c r="G9" s="228">
        <v>0.12653968253968254</v>
      </c>
    </row>
    <row r="10" spans="1:7">
      <c r="A10" s="25" t="s">
        <v>134</v>
      </c>
      <c r="B10" s="80" t="s">
        <v>135</v>
      </c>
      <c r="C10" s="227">
        <v>63335</v>
      </c>
      <c r="D10" s="227">
        <v>3881172</v>
      </c>
      <c r="E10" s="227">
        <v>897000</v>
      </c>
      <c r="F10" s="228">
        <v>1.6318524404484006E-2</v>
      </c>
      <c r="G10" s="228">
        <v>7.0607580824972135E-2</v>
      </c>
    </row>
    <row r="11" spans="1:7">
      <c r="A11" s="25" t="s">
        <v>208</v>
      </c>
      <c r="B11" s="80" t="s">
        <v>209</v>
      </c>
      <c r="C11" s="227">
        <v>63775</v>
      </c>
      <c r="D11" s="227">
        <v>1784462</v>
      </c>
      <c r="E11" s="227">
        <v>336000</v>
      </c>
      <c r="F11" s="228">
        <v>3.5739063090163871E-2</v>
      </c>
      <c r="G11" s="228">
        <v>0.18980654761904761</v>
      </c>
    </row>
    <row r="12" spans="1:7">
      <c r="A12" s="25" t="s">
        <v>142</v>
      </c>
      <c r="B12" s="80" t="s">
        <v>143</v>
      </c>
      <c r="C12" s="227">
        <v>613109</v>
      </c>
      <c r="D12" s="227">
        <v>23712402</v>
      </c>
      <c r="E12" s="227">
        <v>4619000</v>
      </c>
      <c r="F12" s="228">
        <v>2.5856047818352608E-2</v>
      </c>
      <c r="G12" s="228">
        <v>0.13273630655986143</v>
      </c>
    </row>
    <row r="13" spans="1:7">
      <c r="A13" s="25" t="s">
        <v>124</v>
      </c>
      <c r="B13" s="80" t="s">
        <v>125</v>
      </c>
      <c r="C13" s="227">
        <v>41675</v>
      </c>
      <c r="D13" s="227">
        <v>3253962</v>
      </c>
      <c r="E13" s="227">
        <v>455000</v>
      </c>
      <c r="F13" s="228">
        <v>1.2807463639710606E-2</v>
      </c>
      <c r="G13" s="228">
        <v>9.159340659340659E-2</v>
      </c>
    </row>
    <row r="14" spans="1:7">
      <c r="A14" s="25" t="s">
        <v>128</v>
      </c>
      <c r="B14" s="80" t="s">
        <v>129</v>
      </c>
      <c r="C14" s="227">
        <v>36904</v>
      </c>
      <c r="D14" s="227">
        <v>2250523</v>
      </c>
      <c r="E14" s="227">
        <v>220000</v>
      </c>
      <c r="F14" s="228">
        <v>1.6397966161643317E-2</v>
      </c>
      <c r="G14" s="228">
        <v>0.16774545454545456</v>
      </c>
    </row>
    <row r="15" spans="1:7">
      <c r="A15" s="25" t="s">
        <v>156</v>
      </c>
      <c r="B15" s="80" t="s">
        <v>157</v>
      </c>
      <c r="C15" s="227">
        <v>9622</v>
      </c>
      <c r="D15" s="227">
        <v>562892</v>
      </c>
      <c r="E15" s="227">
        <v>80000</v>
      </c>
      <c r="F15" s="228">
        <v>1.7093865253014789E-2</v>
      </c>
      <c r="G15" s="228">
        <v>0.12027500000000001</v>
      </c>
    </row>
    <row r="16" spans="1:7">
      <c r="A16" s="25" t="s">
        <v>176</v>
      </c>
      <c r="B16" s="80" t="s">
        <v>177</v>
      </c>
      <c r="C16" s="227">
        <v>15791</v>
      </c>
      <c r="D16" s="227">
        <v>432099</v>
      </c>
      <c r="E16" s="227">
        <v>84000</v>
      </c>
      <c r="F16" s="228">
        <v>3.654486587564424E-2</v>
      </c>
      <c r="G16" s="228">
        <v>0.18798809523809523</v>
      </c>
    </row>
    <row r="17" spans="1:7">
      <c r="A17" s="25" t="s">
        <v>180</v>
      </c>
      <c r="B17" s="80" t="s">
        <v>181</v>
      </c>
      <c r="C17" s="227">
        <v>233396</v>
      </c>
      <c r="D17" s="227">
        <v>11539617</v>
      </c>
      <c r="E17" s="227">
        <v>2191000</v>
      </c>
      <c r="F17" s="228">
        <v>2.0225627938951527E-2</v>
      </c>
      <c r="G17" s="228">
        <v>0.10652487448653583</v>
      </c>
    </row>
    <row r="18" spans="1:7">
      <c r="A18" s="25" t="s">
        <v>182</v>
      </c>
      <c r="B18" s="80" t="s">
        <v>183</v>
      </c>
      <c r="C18" s="227">
        <v>137475</v>
      </c>
      <c r="D18" s="227">
        <v>6164066</v>
      </c>
      <c r="E18" s="227">
        <v>1346000</v>
      </c>
      <c r="F18" s="228">
        <v>2.2302648933350162E-2</v>
      </c>
      <c r="G18" s="228">
        <v>0.10213595839524517</v>
      </c>
    </row>
    <row r="19" spans="1:7">
      <c r="A19" s="25" t="s">
        <v>118</v>
      </c>
      <c r="B19" s="80" t="s">
        <v>119</v>
      </c>
      <c r="C19" s="227">
        <v>14611</v>
      </c>
      <c r="D19" s="227">
        <v>861345</v>
      </c>
      <c r="E19" s="227">
        <v>107000</v>
      </c>
      <c r="F19" s="228">
        <v>1.6963005532045813E-2</v>
      </c>
      <c r="G19" s="228">
        <v>0.13655140186915887</v>
      </c>
    </row>
    <row r="20" spans="1:7">
      <c r="A20" s="25" t="s">
        <v>168</v>
      </c>
      <c r="B20" s="80" t="s">
        <v>169</v>
      </c>
      <c r="C20" s="227">
        <v>18227</v>
      </c>
      <c r="D20" s="227">
        <v>943842</v>
      </c>
      <c r="E20" s="227">
        <v>163000</v>
      </c>
      <c r="F20" s="228">
        <v>1.9311494932414536E-2</v>
      </c>
      <c r="G20" s="228">
        <v>0.11182208588957056</v>
      </c>
    </row>
    <row r="21" spans="1:7">
      <c r="A21" s="25" t="s">
        <v>138</v>
      </c>
      <c r="B21" s="80" t="s">
        <v>139</v>
      </c>
      <c r="C21" s="227">
        <v>168598</v>
      </c>
      <c r="D21" s="227">
        <v>8092240</v>
      </c>
      <c r="E21" s="227">
        <v>1383000</v>
      </c>
      <c r="F21" s="228">
        <v>2.0834527893389222E-2</v>
      </c>
      <c r="G21" s="228">
        <v>0.12190744757772957</v>
      </c>
    </row>
    <row r="22" spans="1:7">
      <c r="A22" s="25" t="s">
        <v>184</v>
      </c>
      <c r="B22" s="80" t="s">
        <v>185</v>
      </c>
      <c r="C22" s="227">
        <v>79539</v>
      </c>
      <c r="D22" s="227">
        <v>4034396</v>
      </c>
      <c r="E22" s="227">
        <v>624000</v>
      </c>
      <c r="F22" s="228">
        <v>1.9715218833252859E-2</v>
      </c>
      <c r="G22" s="228">
        <v>0.12746634615384617</v>
      </c>
    </row>
    <row r="23" spans="1:7">
      <c r="A23" s="25" t="s">
        <v>158</v>
      </c>
      <c r="B23" s="80" t="s">
        <v>159</v>
      </c>
      <c r="C23" s="227">
        <v>32817</v>
      </c>
      <c r="D23" s="227">
        <v>1865474</v>
      </c>
      <c r="E23" s="227">
        <v>259000</v>
      </c>
      <c r="F23" s="228">
        <v>1.7591775602340209E-2</v>
      </c>
      <c r="G23" s="228">
        <v>0.12670656370656372</v>
      </c>
    </row>
    <row r="24" spans="1:7">
      <c r="A24" s="25" t="s">
        <v>170</v>
      </c>
      <c r="B24" s="80" t="s">
        <v>171</v>
      </c>
      <c r="C24" s="227">
        <v>30354</v>
      </c>
      <c r="D24" s="227">
        <v>1750063</v>
      </c>
      <c r="E24" s="227">
        <v>269000</v>
      </c>
      <c r="F24" s="228">
        <v>1.7344518454478496E-2</v>
      </c>
      <c r="G24" s="228">
        <v>0.11284014869888476</v>
      </c>
    </row>
    <row r="25" spans="1:7">
      <c r="A25" s="25" t="s">
        <v>210</v>
      </c>
      <c r="B25" s="80" t="s">
        <v>211</v>
      </c>
      <c r="C25" s="227">
        <v>129720</v>
      </c>
      <c r="D25" s="227">
        <v>2737769</v>
      </c>
      <c r="E25" s="227">
        <v>616000</v>
      </c>
      <c r="F25" s="228">
        <v>4.7381645420048218E-2</v>
      </c>
      <c r="G25" s="228">
        <v>0.2105844155844156</v>
      </c>
    </row>
    <row r="26" spans="1:7">
      <c r="A26" s="25" t="s">
        <v>202</v>
      </c>
      <c r="B26" s="80" t="s">
        <v>203</v>
      </c>
      <c r="C26" s="227">
        <v>106924</v>
      </c>
      <c r="D26" s="227">
        <v>2857500</v>
      </c>
      <c r="E26" s="227">
        <v>652000</v>
      </c>
      <c r="F26" s="228">
        <v>3.7418722659667544E-2</v>
      </c>
      <c r="G26" s="228">
        <v>0.16399386503067484</v>
      </c>
    </row>
    <row r="27" spans="1:7">
      <c r="A27" s="25" t="s">
        <v>188</v>
      </c>
      <c r="B27" s="80" t="s">
        <v>189</v>
      </c>
      <c r="C27" s="227">
        <v>26299</v>
      </c>
      <c r="D27" s="227">
        <v>842748</v>
      </c>
      <c r="E27" s="227">
        <v>124000</v>
      </c>
      <c r="F27" s="228">
        <v>3.1206244334012066E-2</v>
      </c>
      <c r="G27" s="228">
        <v>0.21208870967741936</v>
      </c>
    </row>
    <row r="28" spans="1:7">
      <c r="A28" s="25" t="s">
        <v>162</v>
      </c>
      <c r="B28" s="80" t="s">
        <v>163</v>
      </c>
      <c r="C28" s="227">
        <v>65697</v>
      </c>
      <c r="D28" s="227">
        <v>3712946</v>
      </c>
      <c r="E28" s="227">
        <v>464000</v>
      </c>
      <c r="F28" s="228">
        <v>1.7694035948812616E-2</v>
      </c>
      <c r="G28" s="228">
        <v>0.14158836206896552</v>
      </c>
    </row>
    <row r="29" spans="1:7">
      <c r="A29" s="25" t="s">
        <v>152</v>
      </c>
      <c r="B29" s="80" t="s">
        <v>153</v>
      </c>
      <c r="C29" s="227">
        <v>119236</v>
      </c>
      <c r="D29" s="227">
        <v>4225982</v>
      </c>
      <c r="E29" s="227">
        <v>574000</v>
      </c>
      <c r="F29" s="228">
        <v>2.8214980565463836E-2</v>
      </c>
      <c r="G29" s="228">
        <v>0.20772822299651567</v>
      </c>
    </row>
    <row r="30" spans="1:7">
      <c r="A30" s="25" t="s">
        <v>192</v>
      </c>
      <c r="B30" s="80" t="s">
        <v>193</v>
      </c>
      <c r="C30" s="227">
        <v>173668</v>
      </c>
      <c r="D30" s="227">
        <v>6178042</v>
      </c>
      <c r="E30" s="227">
        <v>1164000</v>
      </c>
      <c r="F30" s="228">
        <v>2.8110524337646135E-2</v>
      </c>
      <c r="G30" s="228">
        <v>0.14919931271477663</v>
      </c>
    </row>
    <row r="31" spans="1:7">
      <c r="A31" s="25" t="s">
        <v>126</v>
      </c>
      <c r="B31" s="80" t="s">
        <v>127</v>
      </c>
      <c r="C31" s="227">
        <v>54850</v>
      </c>
      <c r="D31" s="227">
        <v>3336741</v>
      </c>
      <c r="E31" s="227">
        <v>412000</v>
      </c>
      <c r="F31" s="228">
        <v>1.6438195233013292E-2</v>
      </c>
      <c r="G31" s="228">
        <v>0.13313106796116506</v>
      </c>
    </row>
    <row r="32" spans="1:7">
      <c r="A32" s="25" t="s">
        <v>214</v>
      </c>
      <c r="B32" s="80" t="s">
        <v>215</v>
      </c>
      <c r="C32" s="227">
        <v>75879</v>
      </c>
      <c r="D32" s="227">
        <v>1831335</v>
      </c>
      <c r="E32" s="227">
        <v>450000</v>
      </c>
      <c r="F32" s="228">
        <v>4.1433708196479617E-2</v>
      </c>
      <c r="G32" s="228">
        <v>0.16861999999999999</v>
      </c>
    </row>
    <row r="33" spans="1:7">
      <c r="A33" s="25" t="s">
        <v>200</v>
      </c>
      <c r="B33" s="80" t="s">
        <v>201</v>
      </c>
      <c r="C33" s="227">
        <v>91969</v>
      </c>
      <c r="D33" s="227">
        <v>3725197</v>
      </c>
      <c r="E33" s="227">
        <v>696000</v>
      </c>
      <c r="F33" s="228">
        <v>2.4688358763308358E-2</v>
      </c>
      <c r="G33" s="228">
        <v>0.13213936781609195</v>
      </c>
    </row>
    <row r="34" spans="1:7">
      <c r="A34" s="25" t="s">
        <v>148</v>
      </c>
      <c r="B34" s="80" t="s">
        <v>149</v>
      </c>
      <c r="C34" s="227">
        <v>12184</v>
      </c>
      <c r="D34" s="227">
        <v>619110</v>
      </c>
      <c r="E34" s="227">
        <v>108000</v>
      </c>
      <c r="F34" s="228">
        <v>1.9679863029187058E-2</v>
      </c>
      <c r="G34" s="228">
        <v>0.11281481481481481</v>
      </c>
    </row>
    <row r="35" spans="1:7">
      <c r="A35" s="25" t="s">
        <v>130</v>
      </c>
      <c r="B35" s="80" t="s">
        <v>131</v>
      </c>
      <c r="C35" s="227">
        <v>17652</v>
      </c>
      <c r="D35" s="227">
        <v>1120443</v>
      </c>
      <c r="E35" s="227">
        <v>149000</v>
      </c>
      <c r="F35" s="228">
        <v>1.5754482825096859E-2</v>
      </c>
      <c r="G35" s="228">
        <v>0.11846979865771812</v>
      </c>
    </row>
    <row r="36" spans="1:7">
      <c r="A36" s="25" t="s">
        <v>140</v>
      </c>
      <c r="B36" s="80" t="s">
        <v>141</v>
      </c>
      <c r="C36" s="227">
        <v>22657</v>
      </c>
      <c r="D36" s="227">
        <v>1711184</v>
      </c>
      <c r="E36" s="227">
        <v>309000</v>
      </c>
      <c r="F36" s="228">
        <v>1.3240539883495871E-2</v>
      </c>
      <c r="G36" s="228">
        <v>7.3323624595469261E-2</v>
      </c>
    </row>
    <row r="37" spans="1:7">
      <c r="A37" s="25" t="s">
        <v>164</v>
      </c>
      <c r="B37" s="80" t="s">
        <v>165</v>
      </c>
      <c r="C37" s="227">
        <v>13532</v>
      </c>
      <c r="D37" s="227">
        <v>850968</v>
      </c>
      <c r="E37" s="227">
        <v>74000</v>
      </c>
      <c r="F37" s="228">
        <v>1.5901890552876254E-2</v>
      </c>
      <c r="G37" s="228">
        <v>0.18286486486486486</v>
      </c>
    </row>
    <row r="38" spans="1:7">
      <c r="A38" s="25" t="s">
        <v>120</v>
      </c>
      <c r="B38" s="80" t="s">
        <v>121</v>
      </c>
      <c r="C38" s="227">
        <v>89936</v>
      </c>
      <c r="D38" s="227">
        <v>5540687</v>
      </c>
      <c r="E38" s="227">
        <v>688000</v>
      </c>
      <c r="F38" s="228">
        <v>1.6231922142506877E-2</v>
      </c>
      <c r="G38" s="228">
        <v>0.13072093023255815</v>
      </c>
    </row>
    <row r="39" spans="1:7">
      <c r="A39" s="25" t="s">
        <v>196</v>
      </c>
      <c r="B39" s="80" t="s">
        <v>197</v>
      </c>
      <c r="C39" s="227">
        <v>35212</v>
      </c>
      <c r="D39" s="227">
        <v>1268252</v>
      </c>
      <c r="E39" s="227">
        <v>270000</v>
      </c>
      <c r="F39" s="228">
        <v>2.7764198282360288E-2</v>
      </c>
      <c r="G39" s="228">
        <v>0.13041481481481482</v>
      </c>
    </row>
    <row r="40" spans="1:7">
      <c r="A40" s="25" t="s">
        <v>150</v>
      </c>
      <c r="B40" s="80" t="s">
        <v>151</v>
      </c>
      <c r="C40" s="227">
        <v>362848</v>
      </c>
      <c r="D40" s="227">
        <v>12435230</v>
      </c>
      <c r="E40" s="227">
        <v>2228000</v>
      </c>
      <c r="F40" s="228">
        <v>2.9179034083004495E-2</v>
      </c>
      <c r="G40" s="228">
        <v>0.16285816876122083</v>
      </c>
    </row>
    <row r="41" spans="1:7">
      <c r="A41" s="25" t="s">
        <v>186</v>
      </c>
      <c r="B41" s="80" t="s">
        <v>187</v>
      </c>
      <c r="C41" s="227">
        <v>133220</v>
      </c>
      <c r="D41" s="227">
        <v>6019769</v>
      </c>
      <c r="E41" s="227">
        <v>1057000</v>
      </c>
      <c r="F41" s="228">
        <v>2.2130417296743445E-2</v>
      </c>
      <c r="G41" s="228">
        <v>0.12603595080416272</v>
      </c>
    </row>
    <row r="42" spans="1:7">
      <c r="A42" s="25" t="s">
        <v>132</v>
      </c>
      <c r="B42" s="80" t="s">
        <v>133</v>
      </c>
      <c r="C42" s="227">
        <v>5591</v>
      </c>
      <c r="D42" s="227">
        <v>425243</v>
      </c>
      <c r="E42" s="227">
        <v>54000</v>
      </c>
      <c r="F42" s="228">
        <v>1.3147776682978908E-2</v>
      </c>
      <c r="G42" s="228">
        <v>0.10353703703703704</v>
      </c>
    </row>
    <row r="43" spans="1:7">
      <c r="A43" s="25" t="s">
        <v>190</v>
      </c>
      <c r="B43" s="80" t="s">
        <v>191</v>
      </c>
      <c r="C43" s="227">
        <v>198054</v>
      </c>
      <c r="D43" s="227">
        <v>7183738</v>
      </c>
      <c r="E43" s="227">
        <v>1206000</v>
      </c>
      <c r="F43" s="228">
        <v>2.7569769387469308E-2</v>
      </c>
      <c r="G43" s="228">
        <v>0.16422388059701493</v>
      </c>
    </row>
    <row r="44" spans="1:7">
      <c r="A44" s="25" t="s">
        <v>198</v>
      </c>
      <c r="B44" s="80" t="s">
        <v>199</v>
      </c>
      <c r="C44" s="227">
        <v>61395</v>
      </c>
      <c r="D44" s="227">
        <v>2314971</v>
      </c>
      <c r="E44" s="227">
        <v>408000</v>
      </c>
      <c r="F44" s="228">
        <v>2.6520850585169318E-2</v>
      </c>
      <c r="G44" s="228">
        <v>0.15047794117647059</v>
      </c>
    </row>
    <row r="45" spans="1:7">
      <c r="A45" s="25" t="s">
        <v>166</v>
      </c>
      <c r="B45" s="80" t="s">
        <v>167</v>
      </c>
      <c r="C45" s="227">
        <v>49654</v>
      </c>
      <c r="D45" s="227">
        <v>2431088</v>
      </c>
      <c r="E45" s="227">
        <v>416000</v>
      </c>
      <c r="F45" s="228">
        <v>2.0424600014479113E-2</v>
      </c>
      <c r="G45" s="228">
        <v>0.11936057692307692</v>
      </c>
    </row>
    <row r="46" spans="1:7">
      <c r="A46" s="25" t="s">
        <v>178</v>
      </c>
      <c r="B46" s="80" t="s">
        <v>179</v>
      </c>
      <c r="C46" s="227">
        <v>226308</v>
      </c>
      <c r="D46" s="227">
        <v>7950917</v>
      </c>
      <c r="E46" s="227">
        <v>1121000</v>
      </c>
      <c r="F46" s="228">
        <v>2.8463131988423474E-2</v>
      </c>
      <c r="G46" s="228">
        <v>0.20188046387154326</v>
      </c>
    </row>
    <row r="47" spans="1:7">
      <c r="A47" s="25" t="s">
        <v>174</v>
      </c>
      <c r="B47" s="80" t="s">
        <v>175</v>
      </c>
      <c r="C47" s="227">
        <v>21027</v>
      </c>
      <c r="D47" s="227">
        <v>676730</v>
      </c>
      <c r="E47" s="227">
        <v>102000</v>
      </c>
      <c r="F47" s="228">
        <v>3.1071476068742335E-2</v>
      </c>
      <c r="G47" s="228">
        <v>0.20614705882352941</v>
      </c>
    </row>
    <row r="48" spans="1:7">
      <c r="A48" s="25" t="s">
        <v>194</v>
      </c>
      <c r="B48" s="80" t="s">
        <v>195</v>
      </c>
      <c r="C48" s="227">
        <v>69298</v>
      </c>
      <c r="D48" s="227">
        <v>2913016</v>
      </c>
      <c r="E48" s="227">
        <v>538000</v>
      </c>
      <c r="F48" s="228">
        <v>2.3789090070222754E-2</v>
      </c>
      <c r="G48" s="228">
        <v>0.12880669144981413</v>
      </c>
    </row>
    <row r="49" spans="1:7">
      <c r="A49" s="25" t="s">
        <v>116</v>
      </c>
      <c r="B49" s="80" t="s">
        <v>117</v>
      </c>
      <c r="C49" s="227">
        <v>8473</v>
      </c>
      <c r="D49" s="227">
        <v>494802</v>
      </c>
      <c r="E49" s="227">
        <v>82000</v>
      </c>
      <c r="F49" s="228">
        <v>1.7124021325701996E-2</v>
      </c>
      <c r="G49" s="228">
        <v>0.10332926829268292</v>
      </c>
    </row>
    <row r="50" spans="1:7">
      <c r="A50" s="25" t="s">
        <v>204</v>
      </c>
      <c r="B50" s="80" t="s">
        <v>205</v>
      </c>
      <c r="C50" s="227">
        <v>117036</v>
      </c>
      <c r="D50" s="227">
        <v>3996642</v>
      </c>
      <c r="E50" s="227">
        <v>795000</v>
      </c>
      <c r="F50" s="228">
        <v>2.9283583568405675E-2</v>
      </c>
      <c r="G50" s="228">
        <v>0.14721509433962265</v>
      </c>
    </row>
    <row r="51" spans="1:7">
      <c r="A51" s="25" t="s">
        <v>160</v>
      </c>
      <c r="B51" s="80" t="s">
        <v>161</v>
      </c>
      <c r="C51" s="227">
        <v>318912</v>
      </c>
      <c r="D51" s="227">
        <v>15677851</v>
      </c>
      <c r="E51" s="227">
        <v>3269000</v>
      </c>
      <c r="F51" s="228">
        <v>2.0341563394115685E-2</v>
      </c>
      <c r="G51" s="228">
        <v>9.7556439278066689E-2</v>
      </c>
    </row>
    <row r="52" spans="1:7">
      <c r="A52" s="25" t="s">
        <v>114</v>
      </c>
      <c r="B52" s="80" t="s">
        <v>115</v>
      </c>
      <c r="C52" s="227">
        <v>18271</v>
      </c>
      <c r="D52" s="227">
        <v>1643396</v>
      </c>
      <c r="E52" s="227">
        <v>197000</v>
      </c>
      <c r="F52" s="228">
        <v>1.1117831612100795E-2</v>
      </c>
      <c r="G52" s="228">
        <v>9.2746192893401011E-2</v>
      </c>
    </row>
    <row r="53" spans="1:7">
      <c r="A53" s="25" t="s">
        <v>172</v>
      </c>
      <c r="B53" s="80" t="s">
        <v>173</v>
      </c>
      <c r="C53" s="227">
        <v>10941</v>
      </c>
      <c r="D53" s="227">
        <v>405430</v>
      </c>
      <c r="E53" s="227">
        <v>57000</v>
      </c>
      <c r="F53" s="228">
        <v>2.6986162839454406E-2</v>
      </c>
      <c r="G53" s="228">
        <v>0.19194736842105264</v>
      </c>
    </row>
    <row r="54" spans="1:7">
      <c r="A54" s="25" t="s">
        <v>136</v>
      </c>
      <c r="B54" s="80" t="s">
        <v>137</v>
      </c>
      <c r="C54" s="227">
        <v>90349</v>
      </c>
      <c r="D54" s="227">
        <v>5170410</v>
      </c>
      <c r="E54" s="227">
        <v>621000</v>
      </c>
      <c r="F54" s="228">
        <v>1.7474242855015365E-2</v>
      </c>
      <c r="G54" s="228">
        <v>0.14548953301127215</v>
      </c>
    </row>
    <row r="55" spans="1:7">
      <c r="A55" s="25" t="s">
        <v>146</v>
      </c>
      <c r="B55" s="80" t="s">
        <v>147</v>
      </c>
      <c r="C55" s="227">
        <v>89661</v>
      </c>
      <c r="D55" s="227">
        <v>4315509</v>
      </c>
      <c r="E55" s="227">
        <v>625000</v>
      </c>
      <c r="F55" s="228">
        <v>2.0776459972624318E-2</v>
      </c>
      <c r="G55" s="228">
        <v>0.14345759999999999</v>
      </c>
    </row>
    <row r="56" spans="1:7">
      <c r="A56" s="25" t="s">
        <v>212</v>
      </c>
      <c r="B56" s="80" t="s">
        <v>213</v>
      </c>
      <c r="C56" s="227">
        <v>59531</v>
      </c>
      <c r="D56" s="227">
        <v>1168172</v>
      </c>
      <c r="E56" s="227">
        <v>259000</v>
      </c>
      <c r="F56" s="228">
        <v>5.0960817413873982E-2</v>
      </c>
      <c r="G56" s="228">
        <v>0.22984942084942084</v>
      </c>
    </row>
    <row r="57" spans="1:7">
      <c r="A57" s="25" t="s">
        <v>154</v>
      </c>
      <c r="B57" s="80" t="s">
        <v>155</v>
      </c>
      <c r="C57" s="227">
        <v>71021</v>
      </c>
      <c r="D57" s="227">
        <v>3570180</v>
      </c>
      <c r="E57" s="227">
        <v>438000</v>
      </c>
      <c r="F57" s="228">
        <v>1.989283453495342E-2</v>
      </c>
      <c r="G57" s="228">
        <v>0.16214840182648402</v>
      </c>
    </row>
    <row r="58" spans="1:7">
      <c r="A58" s="25" t="s">
        <v>122</v>
      </c>
      <c r="B58" s="80" t="s">
        <v>123</v>
      </c>
      <c r="C58" s="227">
        <v>4608</v>
      </c>
      <c r="D58" s="227">
        <v>358134</v>
      </c>
      <c r="E58" s="227">
        <v>41000</v>
      </c>
      <c r="F58" s="228">
        <v>1.2866692355375362E-2</v>
      </c>
      <c r="G58" s="228">
        <v>0.11239024390243903</v>
      </c>
    </row>
    <row r="61" spans="1:7">
      <c r="A61" s="15" t="s">
        <v>106</v>
      </c>
    </row>
    <row r="63" spans="1:7">
      <c r="A63" s="4" t="s">
        <v>433</v>
      </c>
    </row>
    <row r="64" spans="1:7">
      <c r="A64" t="s">
        <v>480</v>
      </c>
    </row>
    <row r="65" spans="1:1">
      <c r="A65" s="1" t="s">
        <v>481</v>
      </c>
    </row>
    <row r="67" spans="1:1">
      <c r="A67" s="4" t="s">
        <v>482</v>
      </c>
    </row>
    <row r="68" spans="1:1">
      <c r="A68" t="s">
        <v>483</v>
      </c>
    </row>
    <row r="69" spans="1:1">
      <c r="A69" s="1" t="s">
        <v>93</v>
      </c>
    </row>
  </sheetData>
  <sortState ref="A9:G59">
    <sortCondition ref="B9:B59"/>
  </sortState>
  <hyperlinks>
    <hyperlink ref="A4" location="TableOfContents!A1" display="Back"/>
    <hyperlink ref="A65" r:id="rId1" location="table10"/>
    <hyperlink ref="A69" r:id="rId2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69"/>
  <sheetViews>
    <sheetView workbookViewId="0">
      <selection activeCell="I9" sqref="I9"/>
    </sheetView>
  </sheetViews>
  <sheetFormatPr defaultRowHeight="15"/>
  <cols>
    <col min="1" max="1" width="6.42578125" customWidth="1"/>
    <col min="2" max="2" width="18.7109375" customWidth="1"/>
    <col min="3" max="3" width="11.42578125" customWidth="1"/>
    <col min="4" max="4" width="12" customWidth="1"/>
    <col min="5" max="5" width="17.5703125" customWidth="1"/>
    <col min="6" max="6" width="15.85546875" bestFit="1" customWidth="1"/>
    <col min="7" max="7" width="20.5703125" customWidth="1"/>
  </cols>
  <sheetData>
    <row r="1" spans="1:7" ht="15.75">
      <c r="A1" s="24" t="s">
        <v>484</v>
      </c>
    </row>
    <row r="2" spans="1:7" ht="15.75">
      <c r="A2" s="24" t="s">
        <v>485</v>
      </c>
    </row>
    <row r="4" spans="1:7" ht="18.75">
      <c r="A4" s="27" t="s">
        <v>252</v>
      </c>
      <c r="B4" s="29" t="s">
        <v>253</v>
      </c>
    </row>
    <row r="7" spans="1:7" ht="45">
      <c r="A7" s="82" t="s">
        <v>467</v>
      </c>
      <c r="B7" s="82" t="s">
        <v>218</v>
      </c>
      <c r="C7" s="226" t="s">
        <v>486</v>
      </c>
      <c r="D7" s="226" t="s">
        <v>487</v>
      </c>
      <c r="E7" s="226" t="s">
        <v>488</v>
      </c>
      <c r="F7" s="226" t="s">
        <v>489</v>
      </c>
      <c r="G7" s="226" t="s">
        <v>490</v>
      </c>
    </row>
    <row r="8" spans="1:7">
      <c r="A8" s="83" t="s">
        <v>206</v>
      </c>
      <c r="B8" s="83" t="s">
        <v>207</v>
      </c>
      <c r="C8" s="233">
        <v>30045</v>
      </c>
      <c r="D8" s="234">
        <v>1132459</v>
      </c>
      <c r="E8" s="233">
        <v>347000</v>
      </c>
      <c r="F8" s="235">
        <f t="shared" ref="F8:F39" si="0">C8/D8</f>
        <v>2.6530761820074723E-2</v>
      </c>
      <c r="G8" s="235">
        <f t="shared" ref="G8:G39" si="1">C8/E8</f>
        <v>8.6585014409221908E-2</v>
      </c>
    </row>
    <row r="9" spans="1:7">
      <c r="A9" s="83" t="s">
        <v>144</v>
      </c>
      <c r="B9" s="83" t="s">
        <v>145</v>
      </c>
      <c r="C9" s="233">
        <v>1239</v>
      </c>
      <c r="D9" s="234">
        <v>187378</v>
      </c>
      <c r="E9" s="233">
        <v>37000</v>
      </c>
      <c r="F9" s="235">
        <f t="shared" si="0"/>
        <v>6.6123024047647005E-3</v>
      </c>
      <c r="G9" s="235">
        <f t="shared" si="1"/>
        <v>3.3486486486486486E-2</v>
      </c>
    </row>
    <row r="10" spans="1:7">
      <c r="A10" s="83" t="s">
        <v>134</v>
      </c>
      <c r="B10" s="83" t="s">
        <v>135</v>
      </c>
      <c r="C10" s="233">
        <v>20526</v>
      </c>
      <c r="D10" s="234">
        <v>1629014</v>
      </c>
      <c r="E10" s="233">
        <v>611000</v>
      </c>
      <c r="F10" s="235">
        <f t="shared" si="0"/>
        <v>1.2600260034597615E-2</v>
      </c>
      <c r="G10" s="235">
        <f t="shared" si="1"/>
        <v>3.3594108019639933E-2</v>
      </c>
    </row>
    <row r="11" spans="1:7">
      <c r="A11" s="83" t="s">
        <v>208</v>
      </c>
      <c r="B11" s="83" t="s">
        <v>209</v>
      </c>
      <c r="C11" s="233">
        <v>27009</v>
      </c>
      <c r="D11" s="234">
        <v>711475</v>
      </c>
      <c r="E11" s="233">
        <v>226000</v>
      </c>
      <c r="F11" s="235">
        <f t="shared" si="0"/>
        <v>3.7961980392845845E-2</v>
      </c>
      <c r="G11" s="235">
        <f t="shared" si="1"/>
        <v>0.11950884955752213</v>
      </c>
    </row>
    <row r="12" spans="1:7">
      <c r="A12" s="83" t="s">
        <v>142</v>
      </c>
      <c r="B12" s="83" t="s">
        <v>143</v>
      </c>
      <c r="C12" s="233">
        <v>111206</v>
      </c>
      <c r="D12" s="234">
        <v>9295040</v>
      </c>
      <c r="E12" s="233">
        <v>2806000</v>
      </c>
      <c r="F12" s="235">
        <f t="shared" si="0"/>
        <v>1.1964015216717734E-2</v>
      </c>
      <c r="G12" s="235">
        <f t="shared" si="1"/>
        <v>3.9631503920171063E-2</v>
      </c>
    </row>
    <row r="13" spans="1:7">
      <c r="A13" s="83" t="s">
        <v>124</v>
      </c>
      <c r="B13" s="83" t="s">
        <v>125</v>
      </c>
      <c r="C13" s="233">
        <v>8660</v>
      </c>
      <c r="D13" s="234">
        <v>1225609</v>
      </c>
      <c r="E13" s="233">
        <v>290000</v>
      </c>
      <c r="F13" s="235">
        <f t="shared" si="0"/>
        <v>7.0658750058134366E-3</v>
      </c>
      <c r="G13" s="235">
        <f t="shared" si="1"/>
        <v>2.9862068965517241E-2</v>
      </c>
    </row>
    <row r="14" spans="1:7">
      <c r="A14" s="83" t="s">
        <v>128</v>
      </c>
      <c r="B14" s="83" t="s">
        <v>129</v>
      </c>
      <c r="C14" s="233">
        <v>7950</v>
      </c>
      <c r="D14" s="234">
        <v>817015</v>
      </c>
      <c r="E14" s="233">
        <v>124000</v>
      </c>
      <c r="F14" s="235">
        <f t="shared" si="0"/>
        <v>9.7305435028732651E-3</v>
      </c>
      <c r="G14" s="235">
        <f t="shared" si="1"/>
        <v>6.4112903225806456E-2</v>
      </c>
    </row>
    <row r="15" spans="1:7">
      <c r="A15" s="83" t="s">
        <v>156</v>
      </c>
      <c r="B15" s="83" t="s">
        <v>157</v>
      </c>
      <c r="C15" s="233">
        <v>3626</v>
      </c>
      <c r="D15" s="234">
        <v>205765</v>
      </c>
      <c r="E15" s="233">
        <v>50000</v>
      </c>
      <c r="F15" s="235">
        <f t="shared" si="0"/>
        <v>1.762204456540228E-2</v>
      </c>
      <c r="G15" s="235">
        <f t="shared" si="1"/>
        <v>7.2520000000000001E-2</v>
      </c>
    </row>
    <row r="16" spans="1:7">
      <c r="A16" s="83" t="s">
        <v>176</v>
      </c>
      <c r="B16" s="83" t="s">
        <v>177</v>
      </c>
      <c r="C16" s="233">
        <v>4391</v>
      </c>
      <c r="D16" s="234">
        <v>100815</v>
      </c>
      <c r="E16" s="233">
        <v>44000</v>
      </c>
      <c r="F16" s="235">
        <f t="shared" si="0"/>
        <v>4.3555026533749937E-2</v>
      </c>
      <c r="G16" s="235">
        <f t="shared" si="1"/>
        <v>9.9795454545454548E-2</v>
      </c>
    </row>
    <row r="17" spans="1:7">
      <c r="A17" s="83" t="s">
        <v>180</v>
      </c>
      <c r="B17" s="83" t="s">
        <v>181</v>
      </c>
      <c r="C17" s="233">
        <v>92928</v>
      </c>
      <c r="D17" s="234">
        <v>4002091</v>
      </c>
      <c r="E17" s="233">
        <v>1119000</v>
      </c>
      <c r="F17" s="235">
        <f t="shared" si="0"/>
        <v>2.3219861817235041E-2</v>
      </c>
      <c r="G17" s="235">
        <f t="shared" si="1"/>
        <v>8.3045576407506705E-2</v>
      </c>
    </row>
    <row r="18" spans="1:7">
      <c r="A18" s="83" t="s">
        <v>182</v>
      </c>
      <c r="B18" s="83" t="s">
        <v>183</v>
      </c>
      <c r="C18" s="233">
        <v>41154</v>
      </c>
      <c r="D18" s="234">
        <v>2491552</v>
      </c>
      <c r="E18" s="233">
        <v>786000</v>
      </c>
      <c r="F18" s="235">
        <f t="shared" si="0"/>
        <v>1.6517415650967749E-2</v>
      </c>
      <c r="G18" s="235">
        <f t="shared" si="1"/>
        <v>5.23587786259542E-2</v>
      </c>
    </row>
    <row r="19" spans="1:7">
      <c r="A19" s="83" t="s">
        <v>118</v>
      </c>
      <c r="B19" s="83" t="s">
        <v>119</v>
      </c>
      <c r="C19" s="233">
        <v>1721</v>
      </c>
      <c r="D19" s="234">
        <v>303818</v>
      </c>
      <c r="E19" s="233">
        <v>76000</v>
      </c>
      <c r="F19" s="235">
        <f t="shared" si="0"/>
        <v>5.66457550243896E-3</v>
      </c>
      <c r="G19" s="235">
        <f t="shared" si="1"/>
        <v>2.2644736842105263E-2</v>
      </c>
    </row>
    <row r="20" spans="1:7">
      <c r="A20" s="83" t="s">
        <v>168</v>
      </c>
      <c r="B20" s="83" t="s">
        <v>169</v>
      </c>
      <c r="C20" s="233">
        <v>5277</v>
      </c>
      <c r="D20" s="234">
        <v>429072</v>
      </c>
      <c r="E20" s="233">
        <v>122000</v>
      </c>
      <c r="F20" s="235">
        <f t="shared" si="0"/>
        <v>1.2298635194093299E-2</v>
      </c>
      <c r="G20" s="235">
        <f t="shared" si="1"/>
        <v>4.3254098360655739E-2</v>
      </c>
    </row>
    <row r="21" spans="1:7">
      <c r="A21" s="83" t="s">
        <v>138</v>
      </c>
      <c r="B21" s="83" t="s">
        <v>139</v>
      </c>
      <c r="C21" s="233">
        <v>44751</v>
      </c>
      <c r="D21" s="234">
        <v>3129179</v>
      </c>
      <c r="E21" s="233">
        <v>912000</v>
      </c>
      <c r="F21" s="235">
        <f t="shared" si="0"/>
        <v>1.4301195297552489E-2</v>
      </c>
      <c r="G21" s="235">
        <f t="shared" si="1"/>
        <v>4.9069078947368422E-2</v>
      </c>
    </row>
    <row r="22" spans="1:7">
      <c r="A22" s="83" t="s">
        <v>184</v>
      </c>
      <c r="B22" s="83" t="s">
        <v>185</v>
      </c>
      <c r="C22" s="233">
        <v>25707</v>
      </c>
      <c r="D22" s="234">
        <v>1608298</v>
      </c>
      <c r="E22" s="233">
        <v>484000</v>
      </c>
      <c r="F22" s="235">
        <f t="shared" si="0"/>
        <v>1.5983978093612006E-2</v>
      </c>
      <c r="G22" s="235">
        <f t="shared" si="1"/>
        <v>5.3113636363636363E-2</v>
      </c>
    </row>
    <row r="23" spans="1:7">
      <c r="A23" s="83" t="s">
        <v>158</v>
      </c>
      <c r="B23" s="83" t="s">
        <v>159</v>
      </c>
      <c r="C23" s="233">
        <v>7943</v>
      </c>
      <c r="D23" s="234">
        <v>727993</v>
      </c>
      <c r="E23" s="233">
        <v>139000</v>
      </c>
      <c r="F23" s="235">
        <f t="shared" si="0"/>
        <v>1.0910819197437338E-2</v>
      </c>
      <c r="G23" s="235">
        <f t="shared" si="1"/>
        <v>5.7143884892086334E-2</v>
      </c>
    </row>
    <row r="24" spans="1:7">
      <c r="A24" s="83" t="s">
        <v>170</v>
      </c>
      <c r="B24" s="83" t="s">
        <v>171</v>
      </c>
      <c r="C24" s="233">
        <v>8765</v>
      </c>
      <c r="D24" s="234">
        <v>726939</v>
      </c>
      <c r="E24" s="233">
        <v>205000</v>
      </c>
      <c r="F24" s="235">
        <f t="shared" si="0"/>
        <v>1.2057407843023967E-2</v>
      </c>
      <c r="G24" s="235">
        <f t="shared" si="1"/>
        <v>4.2756097560975613E-2</v>
      </c>
    </row>
    <row r="25" spans="1:7">
      <c r="A25" s="83" t="s">
        <v>210</v>
      </c>
      <c r="B25" s="83" t="s">
        <v>211</v>
      </c>
      <c r="C25" s="233">
        <v>30328</v>
      </c>
      <c r="D25" s="234">
        <v>1023371</v>
      </c>
      <c r="E25" s="233">
        <v>323000</v>
      </c>
      <c r="F25" s="235">
        <f t="shared" si="0"/>
        <v>2.9635391270614469E-2</v>
      </c>
      <c r="G25" s="235">
        <f t="shared" si="1"/>
        <v>9.3894736842105267E-2</v>
      </c>
    </row>
    <row r="26" spans="1:7">
      <c r="A26" s="83" t="s">
        <v>202</v>
      </c>
      <c r="B26" s="83" t="s">
        <v>203</v>
      </c>
      <c r="C26" s="233">
        <v>35551</v>
      </c>
      <c r="D26" s="234">
        <v>1118015</v>
      </c>
      <c r="E26" s="233">
        <v>473000</v>
      </c>
      <c r="F26" s="235">
        <f t="shared" si="0"/>
        <v>3.1798321131648502E-2</v>
      </c>
      <c r="G26" s="235">
        <f t="shared" si="1"/>
        <v>7.516067653276956E-2</v>
      </c>
    </row>
    <row r="27" spans="1:7">
      <c r="A27" s="83" t="s">
        <v>188</v>
      </c>
      <c r="B27" s="83" t="s">
        <v>189</v>
      </c>
      <c r="C27" s="233">
        <v>3900</v>
      </c>
      <c r="D27" s="234">
        <v>274533</v>
      </c>
      <c r="E27" s="233">
        <v>57000</v>
      </c>
      <c r="F27" s="235">
        <f t="shared" si="0"/>
        <v>1.4205942455005409E-2</v>
      </c>
      <c r="G27" s="235">
        <f t="shared" si="1"/>
        <v>6.8421052631578952E-2</v>
      </c>
    </row>
    <row r="28" spans="1:7">
      <c r="A28" s="83" t="s">
        <v>162</v>
      </c>
      <c r="B28" s="83" t="s">
        <v>163</v>
      </c>
      <c r="C28" s="233">
        <v>16889</v>
      </c>
      <c r="D28" s="234">
        <v>1352964</v>
      </c>
      <c r="E28" s="233">
        <v>232000</v>
      </c>
      <c r="F28" s="235">
        <f t="shared" si="0"/>
        <v>1.2482963330879462E-2</v>
      </c>
      <c r="G28" s="235">
        <f t="shared" si="1"/>
        <v>7.2797413793103449E-2</v>
      </c>
    </row>
    <row r="29" spans="1:7">
      <c r="A29" s="83" t="s">
        <v>152</v>
      </c>
      <c r="B29" s="83" t="s">
        <v>153</v>
      </c>
      <c r="C29" s="233">
        <v>23202</v>
      </c>
      <c r="D29" s="234">
        <v>1418923</v>
      </c>
      <c r="E29" s="233">
        <v>264000</v>
      </c>
      <c r="F29" s="235">
        <f t="shared" si="0"/>
        <v>1.6351838683283024E-2</v>
      </c>
      <c r="G29" s="235">
        <f t="shared" si="1"/>
        <v>8.7886363636363637E-2</v>
      </c>
    </row>
    <row r="30" spans="1:7">
      <c r="A30" s="83" t="s">
        <v>192</v>
      </c>
      <c r="B30" s="83" t="s">
        <v>193</v>
      </c>
      <c r="C30" s="233">
        <v>41454</v>
      </c>
      <c r="D30" s="234">
        <v>2344068</v>
      </c>
      <c r="E30" s="233">
        <v>629000</v>
      </c>
      <c r="F30" s="235">
        <f t="shared" si="0"/>
        <v>1.7684640547970452E-2</v>
      </c>
      <c r="G30" s="235">
        <f t="shared" si="1"/>
        <v>6.590461049284578E-2</v>
      </c>
    </row>
    <row r="31" spans="1:7">
      <c r="A31" s="83" t="s">
        <v>126</v>
      </c>
      <c r="B31" s="83" t="s">
        <v>127</v>
      </c>
      <c r="C31" s="233">
        <v>12984</v>
      </c>
      <c r="D31" s="234">
        <v>1284063</v>
      </c>
      <c r="E31" s="233">
        <v>229000</v>
      </c>
      <c r="F31" s="235">
        <f t="shared" si="0"/>
        <v>1.0111653400183636E-2</v>
      </c>
      <c r="G31" s="235">
        <f t="shared" si="1"/>
        <v>5.6698689956331878E-2</v>
      </c>
    </row>
    <row r="32" spans="1:7">
      <c r="A32" s="83" t="s">
        <v>214</v>
      </c>
      <c r="B32" s="83" t="s">
        <v>215</v>
      </c>
      <c r="C32" s="233">
        <v>24020</v>
      </c>
      <c r="D32" s="234">
        <v>755555</v>
      </c>
      <c r="E32" s="233">
        <v>313000</v>
      </c>
      <c r="F32" s="235">
        <f t="shared" si="0"/>
        <v>3.1791199846470476E-2</v>
      </c>
      <c r="G32" s="235">
        <f t="shared" si="1"/>
        <v>7.6741214057507987E-2</v>
      </c>
    </row>
    <row r="33" spans="1:7">
      <c r="A33" s="83" t="s">
        <v>200</v>
      </c>
      <c r="B33" s="83" t="s">
        <v>201</v>
      </c>
      <c r="C33" s="233">
        <v>22796</v>
      </c>
      <c r="D33" s="234">
        <v>1425436</v>
      </c>
      <c r="E33" s="233">
        <v>359000</v>
      </c>
      <c r="F33" s="235">
        <f t="shared" si="0"/>
        <v>1.5992299899820126E-2</v>
      </c>
      <c r="G33" s="235">
        <f t="shared" si="1"/>
        <v>6.3498607242339827E-2</v>
      </c>
    </row>
    <row r="34" spans="1:7">
      <c r="A34" s="83" t="s">
        <v>148</v>
      </c>
      <c r="B34" s="83" t="s">
        <v>149</v>
      </c>
      <c r="C34" s="233">
        <v>2523</v>
      </c>
      <c r="D34" s="234">
        <v>223563</v>
      </c>
      <c r="E34" s="233">
        <v>56000</v>
      </c>
      <c r="F34" s="235">
        <f t="shared" si="0"/>
        <v>1.1285409481891011E-2</v>
      </c>
      <c r="G34" s="235">
        <f t="shared" si="1"/>
        <v>4.5053571428571429E-2</v>
      </c>
    </row>
    <row r="35" spans="1:7">
      <c r="A35" s="83" t="s">
        <v>130</v>
      </c>
      <c r="B35" s="83" t="s">
        <v>131</v>
      </c>
      <c r="C35" s="233">
        <v>4071</v>
      </c>
      <c r="D35" s="234">
        <v>459221</v>
      </c>
      <c r="E35" s="233">
        <v>97000</v>
      </c>
      <c r="F35" s="235">
        <f t="shared" si="0"/>
        <v>8.8650127063004524E-3</v>
      </c>
      <c r="G35" s="235">
        <f t="shared" si="1"/>
        <v>4.1969072164948454E-2</v>
      </c>
    </row>
    <row r="36" spans="1:7">
      <c r="A36" s="83" t="s">
        <v>140</v>
      </c>
      <c r="B36" s="83" t="s">
        <v>141</v>
      </c>
      <c r="C36" s="233">
        <v>7724</v>
      </c>
      <c r="D36" s="234">
        <v>665008</v>
      </c>
      <c r="E36" s="233">
        <v>200000</v>
      </c>
      <c r="F36" s="235">
        <f t="shared" si="0"/>
        <v>1.1614897865890336E-2</v>
      </c>
      <c r="G36" s="235">
        <f t="shared" si="1"/>
        <v>3.8620000000000002E-2</v>
      </c>
    </row>
    <row r="37" spans="1:7">
      <c r="A37" s="83" t="s">
        <v>164</v>
      </c>
      <c r="B37" s="83" t="s">
        <v>165</v>
      </c>
      <c r="C37" s="233">
        <v>2400</v>
      </c>
      <c r="D37" s="234">
        <v>287234</v>
      </c>
      <c r="E37" s="233">
        <v>27000</v>
      </c>
      <c r="F37" s="235">
        <f t="shared" si="0"/>
        <v>8.355556793415821E-3</v>
      </c>
      <c r="G37" s="235">
        <f t="shared" si="1"/>
        <v>8.8888888888888892E-2</v>
      </c>
    </row>
    <row r="38" spans="1:7">
      <c r="A38" s="83" t="s">
        <v>120</v>
      </c>
      <c r="B38" s="83" t="s">
        <v>121</v>
      </c>
      <c r="C38" s="233">
        <v>24884</v>
      </c>
      <c r="D38" s="234">
        <v>2065214</v>
      </c>
      <c r="E38" s="233">
        <v>390000</v>
      </c>
      <c r="F38" s="235">
        <f t="shared" si="0"/>
        <v>1.204911452275648E-2</v>
      </c>
      <c r="G38" s="235">
        <f t="shared" si="1"/>
        <v>6.3805128205128209E-2</v>
      </c>
    </row>
    <row r="39" spans="1:7">
      <c r="A39" s="83" t="s">
        <v>196</v>
      </c>
      <c r="B39" s="83" t="s">
        <v>197</v>
      </c>
      <c r="C39" s="233">
        <v>9103</v>
      </c>
      <c r="D39" s="234">
        <v>518672</v>
      </c>
      <c r="E39" s="233">
        <v>191000</v>
      </c>
      <c r="F39" s="235">
        <f t="shared" si="0"/>
        <v>1.7550590739426844E-2</v>
      </c>
      <c r="G39" s="235">
        <f t="shared" si="1"/>
        <v>4.7659685863874347E-2</v>
      </c>
    </row>
    <row r="40" spans="1:7">
      <c r="A40" s="83" t="s">
        <v>150</v>
      </c>
      <c r="B40" s="83" t="s">
        <v>151</v>
      </c>
      <c r="C40" s="233">
        <v>83532</v>
      </c>
      <c r="D40" s="234">
        <v>4324929</v>
      </c>
      <c r="E40" s="233">
        <v>1342000</v>
      </c>
      <c r="F40" s="235">
        <f t="shared" ref="F40:F58" si="2">C40/D40</f>
        <v>1.9314074288849598E-2</v>
      </c>
      <c r="G40" s="235">
        <f t="shared" ref="G40:G58" si="3">C40/E40</f>
        <v>6.2244411326378542E-2</v>
      </c>
    </row>
    <row r="41" spans="1:7">
      <c r="A41" s="83" t="s">
        <v>186</v>
      </c>
      <c r="B41" s="83" t="s">
        <v>187</v>
      </c>
      <c r="C41" s="233">
        <v>41767</v>
      </c>
      <c r="D41" s="234">
        <v>2281635</v>
      </c>
      <c r="E41" s="233">
        <v>772000</v>
      </c>
      <c r="F41" s="235">
        <f t="shared" si="2"/>
        <v>1.8305732511992495E-2</v>
      </c>
      <c r="G41" s="235">
        <f t="shared" si="3"/>
        <v>5.4102331606217614E-2</v>
      </c>
    </row>
    <row r="42" spans="1:7">
      <c r="A42" s="83" t="s">
        <v>132</v>
      </c>
      <c r="B42" s="83" t="s">
        <v>133</v>
      </c>
      <c r="C42" s="233">
        <v>1089</v>
      </c>
      <c r="D42" s="234">
        <v>149871</v>
      </c>
      <c r="E42" s="233">
        <v>30000</v>
      </c>
      <c r="F42" s="235">
        <f t="shared" si="2"/>
        <v>7.2662489741177417E-3</v>
      </c>
      <c r="G42" s="235">
        <f t="shared" si="3"/>
        <v>3.6299999999999999E-2</v>
      </c>
    </row>
    <row r="43" spans="1:7">
      <c r="A43" s="83" t="s">
        <v>190</v>
      </c>
      <c r="B43" s="83" t="s">
        <v>191</v>
      </c>
      <c r="C43" s="233">
        <v>48693</v>
      </c>
      <c r="D43" s="234">
        <v>2730751</v>
      </c>
      <c r="E43" s="233">
        <v>721000</v>
      </c>
      <c r="F43" s="235">
        <f t="shared" si="2"/>
        <v>1.7831358479773511E-2</v>
      </c>
      <c r="G43" s="235">
        <f t="shared" si="3"/>
        <v>6.7535367545076289E-2</v>
      </c>
    </row>
    <row r="44" spans="1:7">
      <c r="A44" s="83" t="s">
        <v>198</v>
      </c>
      <c r="B44" s="83" t="s">
        <v>199</v>
      </c>
      <c r="C44" s="233">
        <v>17722</v>
      </c>
      <c r="D44" s="234">
        <v>929666</v>
      </c>
      <c r="E44" s="233">
        <v>310000</v>
      </c>
      <c r="F44" s="235">
        <f t="shared" si="2"/>
        <v>1.9062760174084026E-2</v>
      </c>
      <c r="G44" s="235">
        <f t="shared" si="3"/>
        <v>5.7167741935483872E-2</v>
      </c>
    </row>
    <row r="45" spans="1:7">
      <c r="A45" s="83" t="s">
        <v>166</v>
      </c>
      <c r="B45" s="83" t="s">
        <v>167</v>
      </c>
      <c r="C45" s="233">
        <v>9984</v>
      </c>
      <c r="D45" s="234">
        <v>866453</v>
      </c>
      <c r="E45" s="233">
        <v>229000</v>
      </c>
      <c r="F45" s="235">
        <f t="shared" si="2"/>
        <v>1.1522840823449166E-2</v>
      </c>
      <c r="G45" s="235">
        <f t="shared" si="3"/>
        <v>4.3598253275109168E-2</v>
      </c>
    </row>
    <row r="46" spans="1:7">
      <c r="A46" s="83" t="s">
        <v>178</v>
      </c>
      <c r="B46" s="83" t="s">
        <v>179</v>
      </c>
      <c r="C46" s="233">
        <v>70104</v>
      </c>
      <c r="D46" s="234">
        <v>2792155</v>
      </c>
      <c r="E46" s="233">
        <v>580000</v>
      </c>
      <c r="F46" s="235">
        <f t="shared" si="2"/>
        <v>2.5107488660192575E-2</v>
      </c>
      <c r="G46" s="235">
        <f t="shared" si="3"/>
        <v>0.12086896551724138</v>
      </c>
    </row>
    <row r="47" spans="1:7">
      <c r="A47" s="83" t="s">
        <v>174</v>
      </c>
      <c r="B47" s="83" t="s">
        <v>175</v>
      </c>
      <c r="C47" s="233">
        <v>4607</v>
      </c>
      <c r="D47" s="234">
        <v>223956</v>
      </c>
      <c r="E47" s="233">
        <v>55000</v>
      </c>
      <c r="F47" s="235">
        <f t="shared" si="2"/>
        <v>2.0571005018842986E-2</v>
      </c>
      <c r="G47" s="235">
        <f t="shared" si="3"/>
        <v>8.376363636363636E-2</v>
      </c>
    </row>
    <row r="48" spans="1:7">
      <c r="A48" s="83" t="s">
        <v>194</v>
      </c>
      <c r="B48" s="83" t="s">
        <v>195</v>
      </c>
      <c r="C48" s="233">
        <v>20280</v>
      </c>
      <c r="D48" s="234">
        <v>1080474</v>
      </c>
      <c r="E48" s="233">
        <v>320000</v>
      </c>
      <c r="F48" s="235">
        <f t="shared" si="2"/>
        <v>1.8769540035206769E-2</v>
      </c>
      <c r="G48" s="235">
        <f t="shared" si="3"/>
        <v>6.3375000000000001E-2</v>
      </c>
    </row>
    <row r="49" spans="1:7">
      <c r="A49" s="83" t="s">
        <v>116</v>
      </c>
      <c r="B49" s="83" t="s">
        <v>117</v>
      </c>
      <c r="C49" s="233">
        <v>2431</v>
      </c>
      <c r="D49" s="234">
        <v>202797</v>
      </c>
      <c r="E49" s="233">
        <v>44000</v>
      </c>
      <c r="F49" s="235">
        <f t="shared" si="2"/>
        <v>1.1987356814943022E-2</v>
      </c>
      <c r="G49" s="235">
        <f t="shared" si="3"/>
        <v>5.525E-2</v>
      </c>
    </row>
    <row r="50" spans="1:7">
      <c r="A50" s="83" t="s">
        <v>204</v>
      </c>
      <c r="B50" s="83" t="s">
        <v>205</v>
      </c>
      <c r="C50" s="233">
        <v>25042</v>
      </c>
      <c r="D50" s="234">
        <v>1496001</v>
      </c>
      <c r="E50" s="233">
        <v>439000</v>
      </c>
      <c r="F50" s="235">
        <f t="shared" si="2"/>
        <v>1.6739293623466829E-2</v>
      </c>
      <c r="G50" s="235">
        <f t="shared" si="3"/>
        <v>5.7043280182232349E-2</v>
      </c>
    </row>
    <row r="51" spans="1:7">
      <c r="A51" s="83" t="s">
        <v>160</v>
      </c>
      <c r="B51" s="83" t="s">
        <v>161</v>
      </c>
      <c r="C51" s="233">
        <v>129744</v>
      </c>
      <c r="D51" s="234">
        <v>6865824</v>
      </c>
      <c r="E51" s="233">
        <v>2465000</v>
      </c>
      <c r="F51" s="235">
        <f t="shared" si="2"/>
        <v>1.8897076301402426E-2</v>
      </c>
      <c r="G51" s="235">
        <f t="shared" si="3"/>
        <v>5.263448275862069E-2</v>
      </c>
    </row>
    <row r="52" spans="1:7">
      <c r="A52" s="83" t="s">
        <v>114</v>
      </c>
      <c r="B52" s="83" t="s">
        <v>115</v>
      </c>
      <c r="C52" s="233">
        <v>5295</v>
      </c>
      <c r="D52" s="234">
        <v>871027</v>
      </c>
      <c r="E52" s="233">
        <v>164000</v>
      </c>
      <c r="F52" s="235">
        <f t="shared" si="2"/>
        <v>6.0790308451976801E-3</v>
      </c>
      <c r="G52" s="235">
        <f t="shared" si="3"/>
        <v>3.2286585365853659E-2</v>
      </c>
    </row>
    <row r="53" spans="1:7">
      <c r="A53" s="83" t="s">
        <v>172</v>
      </c>
      <c r="B53" s="83" t="s">
        <v>173</v>
      </c>
      <c r="C53" s="233">
        <v>1861</v>
      </c>
      <c r="D53" s="234">
        <v>129233</v>
      </c>
      <c r="E53" s="233">
        <v>22000</v>
      </c>
      <c r="F53" s="235">
        <f t="shared" si="2"/>
        <v>1.4400346660682644E-2</v>
      </c>
      <c r="G53" s="235">
        <f t="shared" si="3"/>
        <v>8.4590909090909092E-2</v>
      </c>
    </row>
    <row r="54" spans="1:7">
      <c r="A54" s="83" t="s">
        <v>136</v>
      </c>
      <c r="B54" s="83" t="s">
        <v>137</v>
      </c>
      <c r="C54" s="233">
        <v>24082</v>
      </c>
      <c r="D54" s="234">
        <v>1853677</v>
      </c>
      <c r="E54" s="233">
        <v>313000</v>
      </c>
      <c r="F54" s="235">
        <f t="shared" si="2"/>
        <v>1.2991475861220698E-2</v>
      </c>
      <c r="G54" s="235">
        <f t="shared" si="3"/>
        <v>7.6939297124600639E-2</v>
      </c>
    </row>
    <row r="55" spans="1:7">
      <c r="A55" s="83" t="s">
        <v>146</v>
      </c>
      <c r="B55" s="83" t="s">
        <v>147</v>
      </c>
      <c r="C55" s="233">
        <v>17238</v>
      </c>
      <c r="D55" s="234">
        <v>1581354</v>
      </c>
      <c r="E55" s="233">
        <v>358000</v>
      </c>
      <c r="F55" s="235">
        <f t="shared" si="2"/>
        <v>1.0900785023467231E-2</v>
      </c>
      <c r="G55" s="235">
        <f t="shared" si="3"/>
        <v>4.8150837988826814E-2</v>
      </c>
    </row>
    <row r="56" spans="1:7">
      <c r="A56" s="83" t="s">
        <v>212</v>
      </c>
      <c r="B56" s="83" t="s">
        <v>213</v>
      </c>
      <c r="C56" s="233">
        <v>9193</v>
      </c>
      <c r="D56" s="234">
        <v>387418</v>
      </c>
      <c r="E56" s="233">
        <v>108000</v>
      </c>
      <c r="F56" s="235">
        <f t="shared" si="2"/>
        <v>2.3728892307533465E-2</v>
      </c>
      <c r="G56" s="235">
        <f t="shared" si="3"/>
        <v>8.5120370370370374E-2</v>
      </c>
    </row>
    <row r="57" spans="1:7">
      <c r="A57" s="83" t="s">
        <v>154</v>
      </c>
      <c r="B57" s="83" t="s">
        <v>155</v>
      </c>
      <c r="C57" s="233">
        <v>20587</v>
      </c>
      <c r="D57" s="234">
        <v>1339492</v>
      </c>
      <c r="E57" s="233">
        <v>233000</v>
      </c>
      <c r="F57" s="235">
        <f t="shared" si="2"/>
        <v>1.5369259390873555E-2</v>
      </c>
      <c r="G57" s="235">
        <f t="shared" si="3"/>
        <v>8.835622317596567E-2</v>
      </c>
    </row>
    <row r="58" spans="1:7">
      <c r="A58" s="83" t="s">
        <v>122</v>
      </c>
      <c r="B58" s="83" t="s">
        <v>123</v>
      </c>
      <c r="C58" s="233">
        <v>971</v>
      </c>
      <c r="D58" s="234">
        <v>135402</v>
      </c>
      <c r="E58" s="233">
        <v>21000</v>
      </c>
      <c r="F58" s="235">
        <f t="shared" si="2"/>
        <v>7.1712382387261638E-3</v>
      </c>
      <c r="G58" s="235">
        <f t="shared" si="3"/>
        <v>4.6238095238095238E-2</v>
      </c>
    </row>
    <row r="61" spans="1:7">
      <c r="A61" s="15" t="s">
        <v>106</v>
      </c>
    </row>
    <row r="63" spans="1:7">
      <c r="A63" s="4" t="s">
        <v>433</v>
      </c>
    </row>
    <row r="64" spans="1:7">
      <c r="A64" t="s">
        <v>480</v>
      </c>
    </row>
    <row r="65" spans="1:1">
      <c r="A65" s="1" t="s">
        <v>481</v>
      </c>
    </row>
    <row r="67" spans="1:1">
      <c r="A67" s="4" t="s">
        <v>482</v>
      </c>
    </row>
    <row r="68" spans="1:1">
      <c r="A68" t="s">
        <v>483</v>
      </c>
    </row>
    <row r="69" spans="1:1">
      <c r="A69" s="1" t="s">
        <v>93</v>
      </c>
    </row>
  </sheetData>
  <sortState ref="A10:G60">
    <sortCondition ref="B10:B60"/>
  </sortState>
  <hyperlinks>
    <hyperlink ref="A4" location="TableOfContents!A1" display="Back"/>
    <hyperlink ref="A65" r:id="rId1" location="table10"/>
    <hyperlink ref="A69" r:id="rId2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N27"/>
  <sheetViews>
    <sheetView workbookViewId="0">
      <selection activeCell="G8" sqref="G8"/>
    </sheetView>
  </sheetViews>
  <sheetFormatPr defaultRowHeight="15"/>
  <cols>
    <col min="1" max="1" width="6.42578125" customWidth="1"/>
    <col min="2" max="2" width="11.28515625" customWidth="1"/>
    <col min="10" max="10" width="11.85546875" customWidth="1"/>
  </cols>
  <sheetData>
    <row r="1" spans="1:14" ht="15.75">
      <c r="A1" s="24" t="s">
        <v>492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8.75">
      <c r="A3" s="84" t="s">
        <v>252</v>
      </c>
      <c r="B3" s="85" t="s">
        <v>253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>
      <c r="B6" s="4" t="s">
        <v>494</v>
      </c>
      <c r="C6" s="10"/>
      <c r="D6" s="10"/>
      <c r="E6" s="10"/>
      <c r="F6" s="10"/>
      <c r="G6" s="10"/>
      <c r="H6" s="10"/>
      <c r="I6" s="10"/>
      <c r="J6" s="4" t="s">
        <v>495</v>
      </c>
      <c r="K6" s="10"/>
      <c r="L6" s="10"/>
      <c r="M6" s="10"/>
      <c r="N6" s="10"/>
    </row>
    <row r="7" spans="1:14">
      <c r="A7" s="4"/>
      <c r="B7" s="10"/>
      <c r="C7" s="4" t="s">
        <v>493</v>
      </c>
      <c r="D7" s="10"/>
      <c r="E7" s="10"/>
      <c r="F7" s="10"/>
      <c r="G7" s="10"/>
      <c r="H7" s="10"/>
      <c r="I7" s="10"/>
      <c r="J7" s="10"/>
      <c r="K7" s="4" t="s">
        <v>493</v>
      </c>
      <c r="L7" s="10"/>
      <c r="M7" s="10"/>
      <c r="N7" s="10"/>
    </row>
    <row r="8" spans="1:14" ht="30" customHeight="1">
      <c r="B8" s="3" t="s">
        <v>491</v>
      </c>
      <c r="C8" s="14" t="s">
        <v>96</v>
      </c>
      <c r="D8" s="14" t="s">
        <v>97</v>
      </c>
      <c r="E8" s="10"/>
      <c r="F8" s="10"/>
      <c r="G8" s="10"/>
      <c r="H8" s="10"/>
      <c r="I8" s="10"/>
      <c r="J8" s="3" t="s">
        <v>491</v>
      </c>
      <c r="K8" s="14" t="s">
        <v>96</v>
      </c>
      <c r="L8" s="14" t="s">
        <v>97</v>
      </c>
      <c r="M8" s="10"/>
      <c r="N8" s="10"/>
    </row>
    <row r="9" spans="1:14">
      <c r="B9" s="266">
        <v>20</v>
      </c>
      <c r="C9" s="269">
        <v>19.649999999999999</v>
      </c>
      <c r="D9" s="269">
        <v>22.02</v>
      </c>
      <c r="E9" s="266"/>
      <c r="F9" s="266"/>
      <c r="G9" s="266"/>
      <c r="H9" s="266"/>
      <c r="I9" s="266"/>
      <c r="J9" s="270">
        <v>20</v>
      </c>
      <c r="K9" s="266">
        <v>19.5</v>
      </c>
      <c r="L9" s="266">
        <v>21.4</v>
      </c>
      <c r="M9" s="10"/>
      <c r="N9" s="10"/>
    </row>
    <row r="10" spans="1:14">
      <c r="B10" s="266">
        <v>30</v>
      </c>
      <c r="C10" s="269">
        <v>15.68</v>
      </c>
      <c r="D10" s="269">
        <v>18.23</v>
      </c>
      <c r="E10" s="266"/>
      <c r="F10" s="266"/>
      <c r="G10" s="266"/>
      <c r="H10" s="266"/>
      <c r="I10" s="266"/>
      <c r="J10" s="266">
        <v>30</v>
      </c>
      <c r="K10" s="266">
        <v>16.2</v>
      </c>
      <c r="L10" s="266">
        <v>18.399999999999999</v>
      </c>
      <c r="M10" s="10"/>
      <c r="N10" s="10"/>
    </row>
    <row r="11" spans="1:14">
      <c r="B11" s="266">
        <v>40</v>
      </c>
      <c r="C11" s="269">
        <v>12.72</v>
      </c>
      <c r="D11" s="269">
        <v>14.35</v>
      </c>
      <c r="E11" s="266"/>
      <c r="F11" s="266"/>
      <c r="G11" s="266"/>
      <c r="H11" s="266"/>
      <c r="I11" s="266"/>
      <c r="J11" s="266">
        <v>40</v>
      </c>
      <c r="K11" s="266">
        <v>12.1</v>
      </c>
      <c r="L11" s="266">
        <v>14</v>
      </c>
      <c r="M11" s="10"/>
      <c r="N11" s="10"/>
    </row>
    <row r="12" spans="1:14">
      <c r="B12" s="266">
        <v>50</v>
      </c>
      <c r="C12" s="269">
        <v>8.19</v>
      </c>
      <c r="D12" s="269">
        <v>8.91</v>
      </c>
      <c r="E12" s="266"/>
      <c r="F12" s="266"/>
      <c r="G12" s="266"/>
      <c r="H12" s="266"/>
      <c r="I12" s="266"/>
      <c r="J12" s="266">
        <v>50</v>
      </c>
      <c r="K12" s="266">
        <v>7.7</v>
      </c>
      <c r="L12" s="266">
        <v>8.6</v>
      </c>
      <c r="M12" s="10"/>
      <c r="N12" s="10"/>
    </row>
    <row r="13" spans="1:14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>
      <c r="B17" s="15" t="s">
        <v>106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1:14">
      <c r="B18" s="15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1:14">
      <c r="B19" s="4" t="s">
        <v>497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>
      <c r="A20" s="10"/>
      <c r="B20" t="s">
        <v>496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1:14">
      <c r="A21" s="10"/>
      <c r="B21" t="s">
        <v>499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1:14">
      <c r="A22" s="10"/>
      <c r="B22" s="1" t="s">
        <v>373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4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14">
      <c r="A24" s="10"/>
      <c r="B24" s="4" t="s">
        <v>498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4">
      <c r="B25" t="s">
        <v>496</v>
      </c>
    </row>
    <row r="26" spans="1:14">
      <c r="B26" t="s">
        <v>500</v>
      </c>
    </row>
    <row r="27" spans="1:14">
      <c r="B27" s="1" t="s">
        <v>501</v>
      </c>
    </row>
  </sheetData>
  <hyperlinks>
    <hyperlink ref="A3" location="TableOfContents!A1" display="Back"/>
    <hyperlink ref="B27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19"/>
  <sheetViews>
    <sheetView workbookViewId="0">
      <selection activeCell="I12" sqref="I12"/>
    </sheetView>
  </sheetViews>
  <sheetFormatPr defaultRowHeight="15"/>
  <cols>
    <col min="1" max="1" width="6.85546875" customWidth="1"/>
    <col min="2" max="2" width="14.85546875" customWidth="1"/>
    <col min="3" max="3" width="17.7109375" customWidth="1"/>
    <col min="4" max="4" width="12" customWidth="1"/>
    <col min="5" max="5" width="15.5703125" customWidth="1"/>
  </cols>
  <sheetData>
    <row r="1" spans="1:5" ht="15.75">
      <c r="A1" s="24" t="s">
        <v>502</v>
      </c>
    </row>
    <row r="3" spans="1:5" ht="18.75">
      <c r="A3" s="84" t="s">
        <v>252</v>
      </c>
      <c r="B3" s="85" t="s">
        <v>253</v>
      </c>
    </row>
    <row r="4" spans="1:5" ht="18.75">
      <c r="A4" s="84"/>
      <c r="B4" s="85"/>
    </row>
    <row r="6" spans="1:5" ht="60">
      <c r="A6" s="4" t="s">
        <v>87</v>
      </c>
      <c r="B6" s="226" t="s">
        <v>504</v>
      </c>
      <c r="C6" s="226" t="s">
        <v>505</v>
      </c>
      <c r="D6" s="226" t="s">
        <v>506</v>
      </c>
      <c r="E6" s="226" t="s">
        <v>507</v>
      </c>
    </row>
    <row r="7" spans="1:5">
      <c r="A7">
        <v>1975</v>
      </c>
      <c r="B7" s="9">
        <v>0.11</v>
      </c>
      <c r="C7" s="9">
        <v>0.1</v>
      </c>
      <c r="D7" s="9">
        <v>0.32</v>
      </c>
      <c r="E7" s="9">
        <v>0.17</v>
      </c>
    </row>
    <row r="8" spans="1:5">
      <c r="A8">
        <v>1980</v>
      </c>
      <c r="B8" s="9">
        <v>0.11</v>
      </c>
      <c r="C8" s="9">
        <v>0.15</v>
      </c>
      <c r="D8" s="9">
        <v>0.26</v>
      </c>
      <c r="E8" s="9">
        <v>0.18</v>
      </c>
    </row>
    <row r="9" spans="1:5">
      <c r="A9">
        <v>1985</v>
      </c>
      <c r="B9" s="9">
        <v>0.18</v>
      </c>
      <c r="C9" s="9">
        <v>0.15</v>
      </c>
      <c r="D9" s="9">
        <v>0.19</v>
      </c>
      <c r="E9" s="9">
        <v>0.13</v>
      </c>
    </row>
    <row r="10" spans="1:5">
      <c r="A10">
        <v>1990</v>
      </c>
      <c r="B10" s="9">
        <v>0.23</v>
      </c>
      <c r="C10" s="9">
        <v>0.14000000000000001</v>
      </c>
      <c r="D10" s="9">
        <v>0.16</v>
      </c>
      <c r="E10" s="9">
        <v>0.16</v>
      </c>
    </row>
    <row r="11" spans="1:5">
      <c r="A11">
        <v>1995</v>
      </c>
      <c r="B11" s="9">
        <v>0.22</v>
      </c>
      <c r="C11" s="9">
        <v>0.16</v>
      </c>
      <c r="D11" s="9">
        <v>0.14000000000000001</v>
      </c>
      <c r="E11" s="9">
        <v>0.12</v>
      </c>
    </row>
    <row r="12" spans="1:5">
      <c r="A12">
        <v>2000</v>
      </c>
      <c r="B12" s="9">
        <v>0.23</v>
      </c>
      <c r="C12" s="9">
        <v>0.16</v>
      </c>
      <c r="D12" s="9">
        <v>0.13</v>
      </c>
      <c r="E12" s="9">
        <v>0.18</v>
      </c>
    </row>
    <row r="13" spans="1:5">
      <c r="A13">
        <v>2005</v>
      </c>
      <c r="B13" s="9">
        <v>0.26</v>
      </c>
      <c r="C13" s="9">
        <v>0.14000000000000001</v>
      </c>
      <c r="D13" s="9">
        <v>0.11</v>
      </c>
      <c r="E13" s="9">
        <v>0.2</v>
      </c>
    </row>
    <row r="14" spans="1:5">
      <c r="A14">
        <v>2010</v>
      </c>
      <c r="B14" s="9">
        <v>0.23</v>
      </c>
      <c r="C14" s="9">
        <v>0.14000000000000001</v>
      </c>
      <c r="D14" s="9">
        <v>0.11</v>
      </c>
      <c r="E14" s="9">
        <v>0.26</v>
      </c>
    </row>
    <row r="17" spans="1:1">
      <c r="A17" s="15" t="s">
        <v>423</v>
      </c>
    </row>
    <row r="19" spans="1:1">
      <c r="A19" t="s">
        <v>508</v>
      </c>
    </row>
  </sheetData>
  <hyperlinks>
    <hyperlink ref="A3" location="TableOfContents!A1" display="Back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L30"/>
  <sheetViews>
    <sheetView workbookViewId="0">
      <selection activeCell="C3" sqref="C3"/>
    </sheetView>
  </sheetViews>
  <sheetFormatPr defaultRowHeight="15"/>
  <cols>
    <col min="1" max="1" width="6.5703125" customWidth="1"/>
    <col min="2" max="2" width="31.42578125" bestFit="1" customWidth="1"/>
    <col min="6" max="6" width="31" customWidth="1"/>
    <col min="10" max="10" width="30.7109375" customWidth="1"/>
  </cols>
  <sheetData>
    <row r="1" spans="1:12" ht="15.75">
      <c r="A1" s="24" t="s">
        <v>509</v>
      </c>
    </row>
    <row r="3" spans="1:12" ht="18.75">
      <c r="A3" s="84" t="s">
        <v>252</v>
      </c>
      <c r="B3" s="85" t="s">
        <v>253</v>
      </c>
    </row>
    <row r="6" spans="1:12">
      <c r="B6" s="4" t="s">
        <v>516</v>
      </c>
      <c r="F6" s="4" t="s">
        <v>517</v>
      </c>
      <c r="J6" s="4" t="s">
        <v>518</v>
      </c>
    </row>
    <row r="7" spans="1:12">
      <c r="B7" s="4"/>
    </row>
    <row r="8" spans="1:12">
      <c r="B8" s="4" t="s">
        <v>98</v>
      </c>
      <c r="C8" s="8" t="s">
        <v>412</v>
      </c>
      <c r="D8" s="8" t="s">
        <v>413</v>
      </c>
      <c r="F8" s="4" t="s">
        <v>98</v>
      </c>
      <c r="G8" s="14" t="s">
        <v>412</v>
      </c>
      <c r="H8" s="14" t="s">
        <v>413</v>
      </c>
      <c r="J8" s="4" t="s">
        <v>98</v>
      </c>
      <c r="K8" s="8" t="s">
        <v>412</v>
      </c>
      <c r="L8" s="8" t="s">
        <v>413</v>
      </c>
    </row>
    <row r="9" spans="1:12">
      <c r="B9" t="s">
        <v>510</v>
      </c>
      <c r="C9" s="227">
        <v>365957</v>
      </c>
      <c r="D9" s="236">
        <v>4.4999999999999998E-2</v>
      </c>
      <c r="F9" s="58" t="s">
        <v>510</v>
      </c>
      <c r="G9" s="70">
        <v>935783</v>
      </c>
      <c r="H9" s="236">
        <v>0.20204719543768368</v>
      </c>
      <c r="J9" s="10" t="s">
        <v>510</v>
      </c>
      <c r="K9" s="238">
        <v>141701</v>
      </c>
      <c r="L9" s="239">
        <f>K9/K16</f>
        <v>0.11434240669297788</v>
      </c>
    </row>
    <row r="10" spans="1:12">
      <c r="B10" t="s">
        <v>511</v>
      </c>
      <c r="C10" s="227">
        <v>2325682</v>
      </c>
      <c r="D10" s="236">
        <v>0.28299999999999997</v>
      </c>
      <c r="F10" s="10" t="s">
        <v>511</v>
      </c>
      <c r="G10" s="70">
        <v>1787109</v>
      </c>
      <c r="H10" s="236">
        <v>0.38585907351538062</v>
      </c>
      <c r="J10" s="10" t="s">
        <v>511</v>
      </c>
      <c r="K10" s="238">
        <v>685427</v>
      </c>
      <c r="L10" s="239">
        <f>K10/K16</f>
        <v>0.5530897650146982</v>
      </c>
    </row>
    <row r="11" spans="1:12">
      <c r="B11" t="s">
        <v>512</v>
      </c>
      <c r="C11" s="227">
        <v>707291</v>
      </c>
      <c r="D11" s="236">
        <v>8.5999999999999993E-2</v>
      </c>
      <c r="F11" s="10" t="s">
        <v>503</v>
      </c>
      <c r="G11" s="70">
        <v>548349</v>
      </c>
      <c r="H11" s="236">
        <v>0.11839537325540046</v>
      </c>
      <c r="J11" s="10" t="s">
        <v>519</v>
      </c>
      <c r="K11" s="238">
        <v>66273</v>
      </c>
      <c r="L11" s="239">
        <f>K11/K16</f>
        <v>5.3477493586945209E-2</v>
      </c>
    </row>
    <row r="12" spans="1:12">
      <c r="B12" t="s">
        <v>503</v>
      </c>
      <c r="C12" s="227">
        <v>2316896</v>
      </c>
      <c r="D12" s="236">
        <v>0.28199999999999997</v>
      </c>
      <c r="F12" s="10" t="s">
        <v>513</v>
      </c>
      <c r="G12" s="70">
        <v>360252</v>
      </c>
      <c r="H12" s="236">
        <v>7.7782890104667879E-2</v>
      </c>
      <c r="J12" s="10" t="s">
        <v>513</v>
      </c>
      <c r="K12" s="238">
        <v>97559</v>
      </c>
      <c r="L12" s="239">
        <f>K12/K16</f>
        <v>7.8723021394063758E-2</v>
      </c>
    </row>
    <row r="13" spans="1:12">
      <c r="B13" t="s">
        <v>513</v>
      </c>
      <c r="C13" s="227">
        <v>770551</v>
      </c>
      <c r="D13" s="236">
        <v>9.4E-2</v>
      </c>
      <c r="F13" s="58" t="s">
        <v>399</v>
      </c>
      <c r="G13" s="70">
        <v>1000014</v>
      </c>
      <c r="H13" s="236">
        <v>0.21591546768686737</v>
      </c>
      <c r="J13" s="10" t="s">
        <v>514</v>
      </c>
      <c r="K13" s="238">
        <f>1239269-K9-K10-K11-K12</f>
        <v>248309</v>
      </c>
      <c r="L13" s="239">
        <f>K13/K16</f>
        <v>0.20036731331131497</v>
      </c>
    </row>
    <row r="14" spans="1:12">
      <c r="B14" t="s">
        <v>514</v>
      </c>
      <c r="C14" s="227">
        <v>1717574</v>
      </c>
      <c r="D14" s="236">
        <v>0.21</v>
      </c>
      <c r="G14" s="70"/>
      <c r="H14" s="25"/>
      <c r="J14" s="10"/>
      <c r="K14" s="111"/>
      <c r="L14" s="111"/>
    </row>
    <row r="15" spans="1:12">
      <c r="C15" s="227"/>
      <c r="D15" s="111"/>
      <c r="K15" s="111"/>
      <c r="L15" s="111"/>
    </row>
    <row r="16" spans="1:12">
      <c r="B16" t="s">
        <v>515</v>
      </c>
      <c r="C16" s="227">
        <v>8203951</v>
      </c>
      <c r="D16" s="237">
        <v>1</v>
      </c>
      <c r="F16" t="s">
        <v>515</v>
      </c>
      <c r="G16" s="227">
        <v>4631507</v>
      </c>
      <c r="H16" s="236">
        <v>1</v>
      </c>
      <c r="J16" s="10" t="s">
        <v>515</v>
      </c>
      <c r="K16" s="238">
        <f>SUM(K9:K13)</f>
        <v>1239269</v>
      </c>
      <c r="L16" s="239">
        <f>SUM(L9:L13)</f>
        <v>1</v>
      </c>
    </row>
    <row r="19" spans="2:2">
      <c r="B19" s="15" t="s">
        <v>106</v>
      </c>
    </row>
    <row r="21" spans="2:2">
      <c r="B21" s="4" t="s">
        <v>434</v>
      </c>
    </row>
    <row r="22" spans="2:2">
      <c r="B22" t="s">
        <v>520</v>
      </c>
    </row>
    <row r="23" spans="2:2">
      <c r="B23" t="s">
        <v>521</v>
      </c>
    </row>
    <row r="24" spans="2:2">
      <c r="B24" s="1" t="s">
        <v>522</v>
      </c>
    </row>
    <row r="25" spans="2:2">
      <c r="B25" s="1"/>
    </row>
    <row r="26" spans="2:2">
      <c r="B26" s="4" t="s">
        <v>433</v>
      </c>
    </row>
    <row r="27" spans="2:2">
      <c r="B27" t="s">
        <v>436</v>
      </c>
    </row>
    <row r="28" spans="2:2">
      <c r="B28" t="s">
        <v>523</v>
      </c>
    </row>
    <row r="29" spans="2:2">
      <c r="B29" s="1" t="s">
        <v>524</v>
      </c>
    </row>
    <row r="30" spans="2:2">
      <c r="B30" s="1" t="s">
        <v>525</v>
      </c>
    </row>
  </sheetData>
  <hyperlinks>
    <hyperlink ref="A3" location="TableOfContents!A1" display="Back"/>
    <hyperlink ref="B24" r:id="rId1" location="table21"/>
    <hyperlink ref="B29" r:id="rId2" location="table35"/>
    <hyperlink ref="B30" r:id="rId3" location="table36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L33"/>
  <sheetViews>
    <sheetView workbookViewId="0">
      <selection activeCell="G13" sqref="G13"/>
    </sheetView>
  </sheetViews>
  <sheetFormatPr defaultRowHeight="15"/>
  <cols>
    <col min="1" max="1" width="6.42578125" customWidth="1"/>
    <col min="2" max="2" width="12.42578125" customWidth="1"/>
    <col min="3" max="3" width="11" customWidth="1"/>
    <col min="4" max="4" width="11.85546875" customWidth="1"/>
    <col min="10" max="10" width="12.140625" customWidth="1"/>
    <col min="11" max="11" width="14" customWidth="1"/>
    <col min="12" max="12" width="11.85546875" customWidth="1"/>
    <col min="13" max="13" width="11" customWidth="1"/>
  </cols>
  <sheetData>
    <row r="1" spans="1:12" ht="15.75">
      <c r="A1" s="24" t="s">
        <v>526</v>
      </c>
    </row>
    <row r="3" spans="1:12" ht="18.75">
      <c r="A3" s="84" t="s">
        <v>252</v>
      </c>
      <c r="B3" s="85" t="s">
        <v>253</v>
      </c>
    </row>
    <row r="6" spans="1:12">
      <c r="A6" s="4" t="s">
        <v>527</v>
      </c>
      <c r="I6" s="4" t="s">
        <v>531</v>
      </c>
    </row>
    <row r="8" spans="1:12" ht="30">
      <c r="A8" s="3" t="s">
        <v>87</v>
      </c>
      <c r="B8" s="226" t="s">
        <v>528</v>
      </c>
      <c r="C8" s="226" t="s">
        <v>529</v>
      </c>
      <c r="D8" s="226" t="s">
        <v>530</v>
      </c>
      <c r="I8" s="3" t="s">
        <v>87</v>
      </c>
      <c r="J8" s="226" t="s">
        <v>528</v>
      </c>
      <c r="K8" s="226" t="s">
        <v>529</v>
      </c>
      <c r="L8" s="226" t="s">
        <v>530</v>
      </c>
    </row>
    <row r="9" spans="1:12">
      <c r="A9" s="86">
        <v>1986</v>
      </c>
      <c r="B9" s="240">
        <v>106800</v>
      </c>
      <c r="C9" s="240">
        <v>494500</v>
      </c>
      <c r="D9" s="240">
        <v>601300</v>
      </c>
      <c r="I9" s="26">
        <v>1986</v>
      </c>
      <c r="J9" s="240">
        <v>395600</v>
      </c>
      <c r="K9" s="240">
        <v>330000</v>
      </c>
      <c r="L9" s="240">
        <v>725600</v>
      </c>
    </row>
    <row r="10" spans="1:12">
      <c r="A10" s="86">
        <v>1988</v>
      </c>
      <c r="B10" s="240">
        <v>128100</v>
      </c>
      <c r="C10" s="240">
        <v>578600</v>
      </c>
      <c r="D10" s="240">
        <v>706700</v>
      </c>
      <c r="I10" s="26">
        <v>1988</v>
      </c>
      <c r="J10" s="240">
        <v>454800</v>
      </c>
      <c r="K10" s="240">
        <v>411800</v>
      </c>
      <c r="L10" s="240">
        <v>866600</v>
      </c>
    </row>
    <row r="11" spans="1:12">
      <c r="A11" s="86">
        <v>1990</v>
      </c>
      <c r="B11" s="240">
        <v>146300</v>
      </c>
      <c r="C11" s="240">
        <v>668500</v>
      </c>
      <c r="D11" s="240">
        <v>814800</v>
      </c>
      <c r="I11" s="26">
        <v>1990</v>
      </c>
      <c r="J11" s="240">
        <v>517900</v>
      </c>
      <c r="K11" s="240">
        <v>513900</v>
      </c>
      <c r="L11" s="240">
        <v>1031800</v>
      </c>
    </row>
    <row r="12" spans="1:12">
      <c r="A12" s="86">
        <v>1992</v>
      </c>
      <c r="B12" s="240">
        <v>177900</v>
      </c>
      <c r="C12" s="240">
        <v>819600</v>
      </c>
      <c r="D12" s="240">
        <v>997500</v>
      </c>
      <c r="I12" s="26">
        <v>1992</v>
      </c>
      <c r="J12" s="240">
        <v>697800</v>
      </c>
      <c r="K12" s="240">
        <v>726100</v>
      </c>
      <c r="L12" s="240">
        <v>1423900</v>
      </c>
    </row>
    <row r="13" spans="1:12">
      <c r="A13" s="86">
        <v>1994</v>
      </c>
      <c r="B13" s="240">
        <v>211100</v>
      </c>
      <c r="C13" s="240">
        <v>989300</v>
      </c>
      <c r="D13" s="240">
        <v>1200400</v>
      </c>
      <c r="I13" s="26">
        <v>1994</v>
      </c>
      <c r="J13" s="240">
        <v>885600</v>
      </c>
      <c r="K13" s="240">
        <v>970400</v>
      </c>
      <c r="L13" s="240">
        <v>1856000</v>
      </c>
    </row>
    <row r="14" spans="1:12">
      <c r="A14" s="86">
        <v>1996</v>
      </c>
      <c r="B14" s="240">
        <v>228400</v>
      </c>
      <c r="C14" s="240">
        <v>1130600</v>
      </c>
      <c r="D14" s="240">
        <v>1359000</v>
      </c>
      <c r="I14" s="26">
        <v>1996</v>
      </c>
      <c r="J14" s="240">
        <v>972100</v>
      </c>
      <c r="K14" s="240">
        <v>1046600</v>
      </c>
      <c r="L14" s="240">
        <v>2018700</v>
      </c>
    </row>
    <row r="15" spans="1:12">
      <c r="A15" s="86">
        <v>1998</v>
      </c>
      <c r="B15" s="240">
        <v>243700</v>
      </c>
      <c r="C15" s="240">
        <v>1215300</v>
      </c>
      <c r="D15" s="240">
        <v>1459000</v>
      </c>
      <c r="I15" s="26">
        <v>1998</v>
      </c>
      <c r="J15" s="240">
        <v>1067200</v>
      </c>
      <c r="K15" s="240">
        <v>1232600</v>
      </c>
      <c r="L15" s="240">
        <v>2299800</v>
      </c>
    </row>
    <row r="16" spans="1:12">
      <c r="A16" s="86">
        <v>2000</v>
      </c>
      <c r="B16" s="240">
        <v>257601</v>
      </c>
      <c r="C16" s="240">
        <v>1361157</v>
      </c>
      <c r="D16" s="240">
        <v>1618758</v>
      </c>
      <c r="I16" s="26">
        <v>2000</v>
      </c>
      <c r="J16" s="240">
        <v>1059769</v>
      </c>
      <c r="K16" s="240">
        <v>1419469</v>
      </c>
      <c r="L16" s="240">
        <v>2479238</v>
      </c>
    </row>
    <row r="17" spans="1:12">
      <c r="A17" s="86">
        <v>2002</v>
      </c>
      <c r="B17" s="240">
        <v>268210</v>
      </c>
      <c r="C17" s="240">
        <v>1558928</v>
      </c>
      <c r="D17" s="240">
        <v>1827138</v>
      </c>
      <c r="I17" s="26">
        <v>2002</v>
      </c>
      <c r="J17" s="240">
        <v>1093759</v>
      </c>
      <c r="K17" s="240">
        <v>1629652</v>
      </c>
      <c r="L17" s="240">
        <v>2723411</v>
      </c>
    </row>
    <row r="18" spans="1:12">
      <c r="A18" s="87">
        <v>2004</v>
      </c>
      <c r="B18" s="240">
        <v>310240</v>
      </c>
      <c r="C18" s="241">
        <v>1765627</v>
      </c>
      <c r="D18" s="240">
        <v>2075867</v>
      </c>
      <c r="I18" s="88">
        <v>2004</v>
      </c>
      <c r="J18" s="241">
        <v>1096223</v>
      </c>
      <c r="K18" s="241">
        <v>1846743</v>
      </c>
      <c r="L18" s="240">
        <v>2942966</v>
      </c>
    </row>
    <row r="19" spans="1:12">
      <c r="A19" s="87">
        <v>2006</v>
      </c>
      <c r="B19" s="241">
        <v>329540</v>
      </c>
      <c r="C19" s="241">
        <v>1947274</v>
      </c>
      <c r="D19" s="240">
        <v>2276814</v>
      </c>
      <c r="I19" s="88">
        <v>2006</v>
      </c>
      <c r="J19" s="241">
        <v>1088438</v>
      </c>
      <c r="K19" s="241">
        <v>2042751</v>
      </c>
      <c r="L19" s="240">
        <v>3131189</v>
      </c>
    </row>
    <row r="20" spans="1:12">
      <c r="A20" s="87">
        <v>2008</v>
      </c>
      <c r="B20" s="241">
        <v>346967</v>
      </c>
      <c r="C20" s="241">
        <v>2122456</v>
      </c>
      <c r="D20" s="240">
        <v>2469423</v>
      </c>
      <c r="I20" s="88">
        <v>2008</v>
      </c>
      <c r="J20" s="241">
        <v>1075018</v>
      </c>
      <c r="K20" s="241">
        <v>2225956</v>
      </c>
      <c r="L20" s="240">
        <v>3300974</v>
      </c>
    </row>
    <row r="21" spans="1:12">
      <c r="A21" s="87">
        <v>2009</v>
      </c>
      <c r="B21" s="240">
        <v>358737</v>
      </c>
      <c r="C21" s="242">
        <v>2220390</v>
      </c>
      <c r="D21" s="240">
        <v>2579127</v>
      </c>
      <c r="I21" s="88">
        <v>2009</v>
      </c>
      <c r="J21" s="238">
        <v>1073646</v>
      </c>
      <c r="K21" s="238">
        <v>2336957</v>
      </c>
      <c r="L21" s="240">
        <v>3410603</v>
      </c>
    </row>
    <row r="22" spans="1:12">
      <c r="A22" s="87">
        <v>2010</v>
      </c>
      <c r="B22" s="240">
        <v>365957</v>
      </c>
      <c r="C22" s="242">
        <v>2325682</v>
      </c>
      <c r="D22" s="240">
        <v>2691639</v>
      </c>
      <c r="I22" s="88">
        <v>2010</v>
      </c>
      <c r="J22" s="238">
        <v>1077484</v>
      </c>
      <c r="K22" s="242">
        <v>2472536</v>
      </c>
      <c r="L22" s="240">
        <v>3550020</v>
      </c>
    </row>
    <row r="25" spans="1:12">
      <c r="A25" s="15" t="s">
        <v>106</v>
      </c>
    </row>
    <row r="27" spans="1:12">
      <c r="A27" s="4" t="s">
        <v>434</v>
      </c>
    </row>
    <row r="28" spans="1:12">
      <c r="A28" t="s">
        <v>532</v>
      </c>
    </row>
    <row r="29" spans="1:12">
      <c r="A29" s="1" t="s">
        <v>522</v>
      </c>
    </row>
    <row r="31" spans="1:12">
      <c r="A31" s="4" t="s">
        <v>433</v>
      </c>
    </row>
    <row r="32" spans="1:12">
      <c r="A32" t="s">
        <v>533</v>
      </c>
    </row>
    <row r="33" spans="1:1">
      <c r="A33" s="1" t="s">
        <v>534</v>
      </c>
    </row>
  </sheetData>
  <hyperlinks>
    <hyperlink ref="A3" location="TableOfContents!A1" display="Back"/>
    <hyperlink ref="A29" r:id="rId1" location="table21"/>
    <hyperlink ref="A33" r:id="rId2" location="table34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41"/>
  <sheetViews>
    <sheetView workbookViewId="0">
      <selection activeCell="H5" sqref="H5"/>
    </sheetView>
  </sheetViews>
  <sheetFormatPr defaultRowHeight="15"/>
  <cols>
    <col min="1" max="1" width="6.140625" customWidth="1"/>
  </cols>
  <sheetData>
    <row r="1" spans="1:7" ht="15.75">
      <c r="A1" s="24" t="s">
        <v>535</v>
      </c>
    </row>
    <row r="3" spans="1:7" ht="18.75">
      <c r="A3" s="84" t="s">
        <v>252</v>
      </c>
      <c r="B3" s="85" t="s">
        <v>253</v>
      </c>
    </row>
    <row r="6" spans="1:7" ht="30">
      <c r="A6" s="4" t="s">
        <v>338</v>
      </c>
      <c r="B6" s="226" t="s">
        <v>536</v>
      </c>
      <c r="C6" s="226" t="s">
        <v>537</v>
      </c>
      <c r="D6" s="226" t="s">
        <v>538</v>
      </c>
      <c r="E6" s="226" t="s">
        <v>539</v>
      </c>
      <c r="F6" s="226" t="s">
        <v>540</v>
      </c>
      <c r="G6" s="48"/>
    </row>
    <row r="7" spans="1:7">
      <c r="A7">
        <v>1984</v>
      </c>
      <c r="B7" s="28">
        <v>4.1696642732030151E-2</v>
      </c>
      <c r="C7" s="28">
        <v>0.10924253884821043</v>
      </c>
      <c r="D7" s="28">
        <v>0.14741561384563007</v>
      </c>
      <c r="E7" s="28">
        <v>0.35356608624787983</v>
      </c>
      <c r="F7" s="28">
        <v>0.34807911832624949</v>
      </c>
      <c r="G7" s="28"/>
    </row>
    <row r="8" spans="1:7">
      <c r="A8">
        <v>1985</v>
      </c>
      <c r="B8" s="28">
        <v>4.3104856589418657E-2</v>
      </c>
      <c r="C8" s="28">
        <v>0.11921044568360463</v>
      </c>
      <c r="D8" s="28">
        <v>0.15693142987490205</v>
      </c>
      <c r="E8" s="28">
        <v>0.34583183708130355</v>
      </c>
      <c r="F8" s="28">
        <v>0.33492143077077119</v>
      </c>
      <c r="G8" s="28"/>
    </row>
    <row r="9" spans="1:7">
      <c r="A9">
        <v>1986</v>
      </c>
      <c r="B9" s="28">
        <v>4.5998791260867387E-2</v>
      </c>
      <c r="C9" s="28">
        <v>0.12916869314335583</v>
      </c>
      <c r="D9" s="28">
        <v>0.16728172601204416</v>
      </c>
      <c r="E9" s="28">
        <v>0.33753582144965866</v>
      </c>
      <c r="F9" s="28">
        <v>0.32001496813407404</v>
      </c>
      <c r="G9" s="28"/>
    </row>
    <row r="10" spans="1:7">
      <c r="A10">
        <v>1987</v>
      </c>
      <c r="B10" s="28">
        <v>4.6084529044721934E-2</v>
      </c>
      <c r="C10" s="28">
        <v>0.13444901554601291</v>
      </c>
      <c r="D10" s="28">
        <v>0.17805280166727749</v>
      </c>
      <c r="E10" s="28">
        <v>0.3305626738467381</v>
      </c>
      <c r="F10" s="28">
        <v>0.31085097989524957</v>
      </c>
      <c r="G10" s="28"/>
    </row>
    <row r="11" spans="1:7">
      <c r="A11">
        <v>1988</v>
      </c>
      <c r="B11" s="28">
        <v>4.4647572330343124E-2</v>
      </c>
      <c r="C11" s="28">
        <v>0.13909613210322425</v>
      </c>
      <c r="D11" s="28">
        <v>0.18767433535476691</v>
      </c>
      <c r="E11" s="28">
        <v>0.32783021375685384</v>
      </c>
      <c r="F11" s="28">
        <v>0.3007517464548119</v>
      </c>
      <c r="G11" s="28"/>
    </row>
    <row r="12" spans="1:7">
      <c r="A12">
        <v>1989</v>
      </c>
      <c r="B12" s="28">
        <v>4.3366047828060104E-2</v>
      </c>
      <c r="C12" s="28">
        <v>0.14318971520028823</v>
      </c>
      <c r="D12" s="28">
        <v>0.19879511811514627</v>
      </c>
      <c r="E12" s="28">
        <v>0.32644400486387054</v>
      </c>
      <c r="F12" s="28">
        <v>0.28820511399263493</v>
      </c>
      <c r="G12" s="28"/>
    </row>
    <row r="13" spans="1:7">
      <c r="A13">
        <v>1990</v>
      </c>
      <c r="B13" s="28">
        <v>4.293404801519695E-2</v>
      </c>
      <c r="C13" s="28">
        <v>0.14759575308937176</v>
      </c>
      <c r="D13" s="28">
        <v>0.20964222733658128</v>
      </c>
      <c r="E13" s="28">
        <v>0.3232607027926393</v>
      </c>
      <c r="F13" s="28">
        <v>0.27656726876621068</v>
      </c>
      <c r="G13" s="28"/>
    </row>
    <row r="14" spans="1:7">
      <c r="A14">
        <v>1991</v>
      </c>
      <c r="B14" s="28">
        <v>4.3078087044059757E-2</v>
      </c>
      <c r="C14" s="28">
        <v>0.15123444246094397</v>
      </c>
      <c r="D14" s="28">
        <v>0.21963602940027072</v>
      </c>
      <c r="E14" s="28">
        <v>0.32146463620134996</v>
      </c>
      <c r="F14" s="28">
        <v>0.26458680489337555</v>
      </c>
      <c r="G14" s="28"/>
    </row>
    <row r="15" spans="1:7">
      <c r="A15">
        <v>1992</v>
      </c>
      <c r="B15" s="28">
        <v>4.5080657467041707E-2</v>
      </c>
      <c r="C15" s="28">
        <v>0.15492049416554141</v>
      </c>
      <c r="D15" s="28">
        <v>0.2288149988627628</v>
      </c>
      <c r="E15" s="28">
        <v>0.32064906012385808</v>
      </c>
      <c r="F15" s="28">
        <v>0.25053478938079593</v>
      </c>
      <c r="G15" s="28"/>
    </row>
    <row r="16" spans="1:7">
      <c r="A16">
        <v>1993</v>
      </c>
      <c r="B16" s="28">
        <v>4.5093890859752295E-2</v>
      </c>
      <c r="C16" s="28">
        <v>0.15730439515945224</v>
      </c>
      <c r="D16" s="28">
        <v>0.2355087911233385</v>
      </c>
      <c r="E16" s="28">
        <v>0.32451405480340972</v>
      </c>
      <c r="F16" s="28">
        <v>0.23757886805404724</v>
      </c>
      <c r="G16" s="28"/>
    </row>
    <row r="17" spans="1:7">
      <c r="A17">
        <v>1994</v>
      </c>
      <c r="B17" s="28">
        <v>4.2245354321974286E-2</v>
      </c>
      <c r="C17" s="28">
        <v>0.15598788884154904</v>
      </c>
      <c r="D17" s="28">
        <v>0.24239712196118077</v>
      </c>
      <c r="E17" s="28">
        <v>0.32790381662838863</v>
      </c>
      <c r="F17" s="28">
        <v>0.23146581824690729</v>
      </c>
      <c r="G17" s="28"/>
    </row>
    <row r="18" spans="1:7">
      <c r="A18">
        <v>1995</v>
      </c>
      <c r="B18" s="28">
        <v>3.8865746933160084E-2</v>
      </c>
      <c r="C18" s="28">
        <v>0.15135714831658195</v>
      </c>
      <c r="D18" s="28">
        <v>0.24954379562043794</v>
      </c>
      <c r="E18" s="28">
        <v>0.33236758130469674</v>
      </c>
      <c r="F18" s="28">
        <v>0.22786572782512324</v>
      </c>
      <c r="G18" s="28"/>
    </row>
    <row r="19" spans="1:7">
      <c r="A19">
        <v>1996</v>
      </c>
      <c r="B19" s="28">
        <v>3.5542311515626847E-2</v>
      </c>
      <c r="C19" s="28">
        <v>0.14550482895732827</v>
      </c>
      <c r="D19" s="28">
        <v>0.25401729122397426</v>
      </c>
      <c r="E19" s="28">
        <v>0.34067404766030407</v>
      </c>
      <c r="F19" s="28">
        <v>0.22426152064276661</v>
      </c>
      <c r="G19" s="28"/>
    </row>
    <row r="20" spans="1:7">
      <c r="A20">
        <v>1997</v>
      </c>
      <c r="B20" s="28">
        <v>3.2473988849827773E-2</v>
      </c>
      <c r="C20" s="28">
        <v>0.13697356272859626</v>
      </c>
      <c r="D20" s="28">
        <v>0.253</v>
      </c>
      <c r="E20" s="28">
        <v>0.35348531657256488</v>
      </c>
      <c r="F20" s="28">
        <v>0.22352499911224741</v>
      </c>
      <c r="G20" s="28"/>
    </row>
    <row r="21" spans="1:7">
      <c r="A21">
        <v>1998</v>
      </c>
      <c r="B21" s="28">
        <v>2.99829040176623E-2</v>
      </c>
      <c r="C21" s="28">
        <v>0.13055965390748583</v>
      </c>
      <c r="D21" s="28">
        <v>0.25433201121564569</v>
      </c>
      <c r="E21" s="28">
        <v>0.3617088317887337</v>
      </c>
      <c r="F21" s="28">
        <v>0.224</v>
      </c>
      <c r="G21" s="28"/>
    </row>
    <row r="22" spans="1:7">
      <c r="A22">
        <v>1999</v>
      </c>
      <c r="B22" s="28">
        <v>2.8209358251462993E-2</v>
      </c>
      <c r="C22" s="28">
        <v>0.12371038829931301</v>
      </c>
      <c r="D22" s="28">
        <v>0.25514613547386306</v>
      </c>
      <c r="E22" s="28">
        <v>0.37031451341524468</v>
      </c>
      <c r="F22" s="28">
        <v>0.223</v>
      </c>
      <c r="G22" s="28"/>
    </row>
    <row r="23" spans="1:7">
      <c r="A23">
        <v>2000</v>
      </c>
      <c r="B23" s="28">
        <v>2.7139464319755984E-2</v>
      </c>
      <c r="C23" s="28">
        <v>0.11707083624579016</v>
      </c>
      <c r="D23" s="28">
        <v>0.25516497744169792</v>
      </c>
      <c r="E23" s="28">
        <v>0.379</v>
      </c>
      <c r="F23" s="28">
        <v>0.223</v>
      </c>
      <c r="G23" s="28"/>
    </row>
    <row r="24" spans="1:7">
      <c r="A24">
        <v>2001</v>
      </c>
      <c r="B24" s="28">
        <v>2.8304771527713154E-2</v>
      </c>
      <c r="C24" s="28">
        <v>0.112</v>
      </c>
      <c r="D24" s="28">
        <v>0.25227769558173591</v>
      </c>
      <c r="E24" s="28">
        <v>0.38402792681745579</v>
      </c>
      <c r="F24" s="28">
        <v>0.2240507939884411</v>
      </c>
      <c r="G24" s="28"/>
    </row>
    <row r="25" spans="1:7">
      <c r="A25">
        <v>2002</v>
      </c>
      <c r="B25" s="28">
        <v>3.0163335055438542E-2</v>
      </c>
      <c r="C25" s="28">
        <v>0.10547593327865951</v>
      </c>
      <c r="D25" s="28">
        <v>0.24914286127178073</v>
      </c>
      <c r="E25" s="28">
        <v>0.38755676624770136</v>
      </c>
      <c r="F25" s="28">
        <v>0.22700000000000001</v>
      </c>
      <c r="G25" s="28"/>
    </row>
    <row r="26" spans="1:7">
      <c r="A26">
        <v>2003</v>
      </c>
      <c r="B26" s="28">
        <v>3.1281071139708724E-2</v>
      </c>
      <c r="C26" s="28">
        <v>0.1</v>
      </c>
      <c r="D26" s="28">
        <v>0.24399999999999999</v>
      </c>
      <c r="E26" s="28">
        <v>0.38800000000000001</v>
      </c>
      <c r="F26" s="28">
        <v>0.23699999999999999</v>
      </c>
      <c r="G26" s="28"/>
    </row>
    <row r="27" spans="1:7">
      <c r="A27">
        <v>2004</v>
      </c>
      <c r="B27" s="28">
        <v>3.1E-2</v>
      </c>
      <c r="C27" s="28">
        <v>9.5000000000000001E-2</v>
      </c>
      <c r="D27" s="28">
        <v>0.23799999999999999</v>
      </c>
      <c r="E27" s="28">
        <v>0.39</v>
      </c>
      <c r="F27" s="28">
        <v>0.245</v>
      </c>
      <c r="G27" s="28"/>
    </row>
    <row r="28" spans="1:7">
      <c r="A28">
        <v>2005</v>
      </c>
      <c r="B28" s="28">
        <v>3.1298803931284071E-2</v>
      </c>
      <c r="C28" s="28">
        <v>9.0999999999999998E-2</v>
      </c>
      <c r="D28" s="28">
        <v>0.23100000000000001</v>
      </c>
      <c r="E28" s="28">
        <v>0.39500000000000002</v>
      </c>
      <c r="F28" s="28">
        <v>0.252</v>
      </c>
      <c r="G28" s="28"/>
    </row>
    <row r="29" spans="1:7">
      <c r="A29">
        <v>2006</v>
      </c>
      <c r="B29" s="28">
        <v>0.03</v>
      </c>
      <c r="C29" s="28">
        <v>8.7999999999999995E-2</v>
      </c>
      <c r="D29" s="28">
        <v>0.223</v>
      </c>
      <c r="E29" s="28">
        <v>0.39600000000000002</v>
      </c>
      <c r="F29" s="28">
        <v>0.26400000000000001</v>
      </c>
      <c r="G29" s="28"/>
    </row>
    <row r="30" spans="1:7">
      <c r="A30">
        <v>2007</v>
      </c>
      <c r="B30" s="28">
        <v>2.9000000000000001E-2</v>
      </c>
      <c r="C30" s="28">
        <v>8.5000000000000006E-2</v>
      </c>
      <c r="D30" s="28">
        <v>0.215</v>
      </c>
      <c r="E30" s="28">
        <v>0.39200000000000002</v>
      </c>
      <c r="F30" s="28">
        <v>0.28000000000000003</v>
      </c>
      <c r="G30" s="28"/>
    </row>
    <row r="31" spans="1:7">
      <c r="A31">
        <v>2008</v>
      </c>
      <c r="B31" s="28">
        <v>2.9000000000000001E-2</v>
      </c>
      <c r="C31" s="28">
        <v>8.4000000000000005E-2</v>
      </c>
      <c r="D31" s="28">
        <v>0.20599999999999999</v>
      </c>
      <c r="E31" s="28">
        <v>0.39</v>
      </c>
      <c r="F31" s="28">
        <v>0.29099999999999998</v>
      </c>
      <c r="G31" s="28"/>
    </row>
    <row r="32" spans="1:7">
      <c r="A32">
        <v>2009</v>
      </c>
      <c r="B32" s="28">
        <v>2.9000000000000001E-2</v>
      </c>
      <c r="C32" s="28">
        <v>8.4000000000000005E-2</v>
      </c>
      <c r="D32" s="28">
        <v>0.20100000000000001</v>
      </c>
      <c r="E32" s="28">
        <v>0.39400000000000002</v>
      </c>
      <c r="F32" s="28">
        <v>0.29299999999999998</v>
      </c>
      <c r="G32" s="28"/>
    </row>
    <row r="33" spans="1:7">
      <c r="A33">
        <v>2010</v>
      </c>
      <c r="B33" s="28">
        <v>2.9000000000000001E-2</v>
      </c>
      <c r="C33" s="28">
        <v>8.2000000000000003E-2</v>
      </c>
      <c r="D33" s="28">
        <v>0.19600000000000001</v>
      </c>
      <c r="E33" s="28">
        <v>0.39800000000000002</v>
      </c>
      <c r="F33" s="28">
        <v>0.29599999999999999</v>
      </c>
      <c r="G33" s="28"/>
    </row>
    <row r="35" spans="1:7">
      <c r="A35" s="4" t="s">
        <v>541</v>
      </c>
    </row>
    <row r="38" spans="1:7">
      <c r="A38" s="15" t="s">
        <v>423</v>
      </c>
    </row>
    <row r="40" spans="1:7">
      <c r="A40" t="s">
        <v>543</v>
      </c>
    </row>
    <row r="41" spans="1:7">
      <c r="A41" s="1" t="s">
        <v>542</v>
      </c>
    </row>
  </sheetData>
  <hyperlinks>
    <hyperlink ref="A3" location="TableOfContents!A1" display="Back"/>
    <hyperlink ref="A41" r:id="rId1" location="table5.d4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K51"/>
  <sheetViews>
    <sheetView workbookViewId="0">
      <selection activeCell="N11" sqref="N11"/>
    </sheetView>
  </sheetViews>
  <sheetFormatPr defaultRowHeight="15"/>
  <cols>
    <col min="1" max="1" width="6.42578125" customWidth="1"/>
    <col min="6" max="6" width="8.28515625" customWidth="1"/>
    <col min="7" max="7" width="15.140625" customWidth="1"/>
    <col min="8" max="10" width="13.140625" customWidth="1"/>
  </cols>
  <sheetData>
    <row r="1" spans="1:11" ht="15.75">
      <c r="A1" s="24" t="s">
        <v>544</v>
      </c>
    </row>
    <row r="3" spans="1:11" ht="18.75">
      <c r="A3" s="84" t="s">
        <v>252</v>
      </c>
      <c r="B3" s="85" t="s">
        <v>253</v>
      </c>
    </row>
    <row r="5" spans="1:11">
      <c r="A5" s="4"/>
      <c r="B5" s="4"/>
      <c r="C5" s="4" t="s">
        <v>400</v>
      </c>
      <c r="D5" s="4"/>
      <c r="E5" s="4"/>
      <c r="F5" s="4"/>
      <c r="G5" s="4"/>
      <c r="H5" s="4"/>
      <c r="I5" s="4"/>
      <c r="J5" s="4"/>
    </row>
    <row r="6" spans="1:11" ht="64.5" customHeight="1">
      <c r="A6" s="8" t="s">
        <v>338</v>
      </c>
      <c r="B6" s="8" t="s">
        <v>458</v>
      </c>
      <c r="C6" s="8" t="s">
        <v>339</v>
      </c>
      <c r="D6" s="8" t="s">
        <v>340</v>
      </c>
      <c r="E6" s="8" t="s">
        <v>341</v>
      </c>
      <c r="F6" s="8" t="s">
        <v>379</v>
      </c>
      <c r="G6" s="226" t="s">
        <v>962</v>
      </c>
      <c r="H6" s="226" t="s">
        <v>963</v>
      </c>
      <c r="I6" s="226" t="s">
        <v>964</v>
      </c>
      <c r="J6" s="226" t="s">
        <v>965</v>
      </c>
    </row>
    <row r="7" spans="1:11">
      <c r="A7">
        <v>1974</v>
      </c>
      <c r="B7" s="6">
        <v>70</v>
      </c>
      <c r="C7" s="6">
        <v>338</v>
      </c>
      <c r="D7" s="6">
        <v>321</v>
      </c>
      <c r="E7" s="6">
        <v>756</v>
      </c>
      <c r="F7" s="6">
        <v>1485</v>
      </c>
      <c r="G7" s="28">
        <v>4.7138047138047139E-2</v>
      </c>
      <c r="H7" s="28">
        <v>0.22760942760942762</v>
      </c>
      <c r="I7" s="28">
        <v>0.21616161616161617</v>
      </c>
      <c r="J7" s="28">
        <v>0.50909090909090904</v>
      </c>
      <c r="K7" s="28"/>
    </row>
    <row r="8" spans="1:11">
      <c r="A8">
        <v>1975</v>
      </c>
      <c r="B8" s="6">
        <v>106</v>
      </c>
      <c r="C8" s="6">
        <v>395</v>
      </c>
      <c r="D8" s="6">
        <v>352</v>
      </c>
      <c r="E8" s="6">
        <v>838</v>
      </c>
      <c r="F8" s="6">
        <v>1691</v>
      </c>
      <c r="G8" s="28">
        <v>6.2684801892371383E-2</v>
      </c>
      <c r="H8" s="28">
        <v>0.23358959195742166</v>
      </c>
      <c r="I8" s="28">
        <v>0.20816085156712005</v>
      </c>
      <c r="J8" s="28">
        <v>0.49556475458308691</v>
      </c>
      <c r="K8" s="28"/>
    </row>
    <row r="9" spans="1:11">
      <c r="A9">
        <v>1976</v>
      </c>
      <c r="B9" s="6">
        <v>124</v>
      </c>
      <c r="C9" s="6">
        <v>420</v>
      </c>
      <c r="D9" s="6">
        <v>352</v>
      </c>
      <c r="E9" s="6">
        <v>813</v>
      </c>
      <c r="F9" s="6">
        <v>1709</v>
      </c>
      <c r="G9" s="28">
        <v>7.2557050906963141E-2</v>
      </c>
      <c r="H9" s="28">
        <v>0.24575775307197192</v>
      </c>
      <c r="I9" s="28">
        <v>0.20596840257460503</v>
      </c>
      <c r="J9" s="28">
        <v>0.4757167934464599</v>
      </c>
      <c r="K9" s="28"/>
    </row>
    <row r="10" spans="1:11">
      <c r="A10">
        <v>1977</v>
      </c>
      <c r="B10" s="6">
        <v>147</v>
      </c>
      <c r="C10" s="6">
        <v>442</v>
      </c>
      <c r="D10" s="6">
        <v>358</v>
      </c>
      <c r="E10" s="6">
        <v>800</v>
      </c>
      <c r="F10" s="6">
        <v>1747</v>
      </c>
      <c r="G10" s="28">
        <v>8.4144247281053228E-2</v>
      </c>
      <c r="H10" s="28">
        <v>0.25300515168860904</v>
      </c>
      <c r="I10" s="28">
        <v>0.20492272467086434</v>
      </c>
      <c r="J10" s="28">
        <v>0.45792787635947341</v>
      </c>
      <c r="K10" s="28"/>
    </row>
    <row r="11" spans="1:11">
      <c r="A11">
        <v>1978</v>
      </c>
      <c r="B11" s="6">
        <v>165</v>
      </c>
      <c r="C11" s="6">
        <v>460</v>
      </c>
      <c r="D11" s="6">
        <v>361</v>
      </c>
      <c r="E11" s="6">
        <v>791</v>
      </c>
      <c r="F11" s="6">
        <v>1777</v>
      </c>
      <c r="G11" s="28">
        <v>9.2853123241418117E-2</v>
      </c>
      <c r="H11" s="28">
        <v>0.25886325267304444</v>
      </c>
      <c r="I11" s="28">
        <v>0.20315137872819358</v>
      </c>
      <c r="J11" s="28">
        <v>0.44513224535734386</v>
      </c>
      <c r="K11" s="28"/>
    </row>
    <row r="12" spans="1:11">
      <c r="A12">
        <v>1979</v>
      </c>
      <c r="B12" s="6">
        <v>176</v>
      </c>
      <c r="C12" s="6">
        <v>472</v>
      </c>
      <c r="D12" s="6">
        <v>359</v>
      </c>
      <c r="E12" s="6">
        <v>764</v>
      </c>
      <c r="F12" s="6">
        <v>1771</v>
      </c>
      <c r="G12" s="28">
        <v>9.9378881987577633E-2</v>
      </c>
      <c r="H12" s="28">
        <v>0.26651609260304915</v>
      </c>
      <c r="I12" s="28">
        <v>0.20271033314511575</v>
      </c>
      <c r="J12" s="28">
        <v>0.43139469226425747</v>
      </c>
      <c r="K12" s="28"/>
    </row>
    <row r="13" spans="1:11">
      <c r="A13">
        <v>1980</v>
      </c>
      <c r="B13" s="6">
        <v>188</v>
      </c>
      <c r="C13" s="6">
        <v>500</v>
      </c>
      <c r="D13" s="6">
        <v>351</v>
      </c>
      <c r="E13" s="6">
        <v>750</v>
      </c>
      <c r="F13" s="6">
        <v>1789</v>
      </c>
      <c r="G13" s="28">
        <v>0.10508664058133035</v>
      </c>
      <c r="H13" s="28">
        <v>0.27948574622694244</v>
      </c>
      <c r="I13" s="28">
        <v>0.19619899385131359</v>
      </c>
      <c r="J13" s="28">
        <v>0.41922861934041367</v>
      </c>
      <c r="K13" s="28"/>
    </row>
    <row r="14" spans="1:11">
      <c r="A14">
        <v>1981</v>
      </c>
      <c r="B14" s="6">
        <v>194</v>
      </c>
      <c r="C14" s="6">
        <v>514</v>
      </c>
      <c r="D14" s="6">
        <v>349</v>
      </c>
      <c r="E14" s="6">
        <v>720</v>
      </c>
      <c r="F14" s="6">
        <v>1777</v>
      </c>
      <c r="G14" s="28">
        <v>0.10917276308384918</v>
      </c>
      <c r="H14" s="28">
        <v>0.28925154755205401</v>
      </c>
      <c r="I14" s="28">
        <v>0.19639842431063589</v>
      </c>
      <c r="J14" s="28">
        <v>0.40517726505346091</v>
      </c>
      <c r="K14" s="28"/>
    </row>
    <row r="15" spans="1:11">
      <c r="A15">
        <v>1982</v>
      </c>
      <c r="B15" s="6">
        <v>191</v>
      </c>
      <c r="C15" s="6">
        <v>517</v>
      </c>
      <c r="D15" s="6">
        <v>346</v>
      </c>
      <c r="E15" s="6">
        <v>683</v>
      </c>
      <c r="F15" s="6">
        <v>1737</v>
      </c>
      <c r="G15" s="28">
        <v>0.10995970063327576</v>
      </c>
      <c r="H15" s="28">
        <v>0.29763960852043753</v>
      </c>
      <c r="I15" s="28">
        <v>0.19919401266551526</v>
      </c>
      <c r="J15" s="28">
        <v>0.39320667818077143</v>
      </c>
      <c r="K15" s="28"/>
    </row>
    <row r="16" spans="1:11">
      <c r="A16">
        <v>1983</v>
      </c>
      <c r="B16" s="6">
        <v>198</v>
      </c>
      <c r="C16" s="6">
        <v>555</v>
      </c>
      <c r="D16" s="6">
        <v>366</v>
      </c>
      <c r="E16" s="6">
        <v>692</v>
      </c>
      <c r="F16" s="6">
        <v>1811</v>
      </c>
      <c r="G16" s="28">
        <v>0.10933186085035891</v>
      </c>
      <c r="H16" s="28">
        <v>0.30646051905024846</v>
      </c>
      <c r="I16" s="28">
        <v>0.20209828823854223</v>
      </c>
      <c r="J16" s="28">
        <v>0.38210933186085033</v>
      </c>
      <c r="K16" s="28"/>
    </row>
    <row r="17" spans="1:11">
      <c r="A17">
        <v>1984</v>
      </c>
      <c r="B17" s="6">
        <v>210</v>
      </c>
      <c r="C17" s="6">
        <v>595</v>
      </c>
      <c r="D17" s="6">
        <v>393</v>
      </c>
      <c r="E17" s="6">
        <v>700</v>
      </c>
      <c r="F17" s="6">
        <v>1898</v>
      </c>
      <c r="G17" s="28">
        <v>0.11064278187565858</v>
      </c>
      <c r="H17" s="28">
        <v>0.31348788198103267</v>
      </c>
      <c r="I17" s="28">
        <v>0.20706006322444678</v>
      </c>
      <c r="J17" s="28">
        <v>0.36880927291886195</v>
      </c>
      <c r="K17" s="28"/>
    </row>
    <row r="18" spans="1:11">
      <c r="A18">
        <v>1985</v>
      </c>
      <c r="B18" s="6">
        <v>226</v>
      </c>
      <c r="C18" s="6">
        <v>634</v>
      </c>
      <c r="D18" s="6">
        <v>426</v>
      </c>
      <c r="E18" s="6">
        <v>717</v>
      </c>
      <c r="F18" s="6">
        <v>2003</v>
      </c>
      <c r="G18" s="28">
        <v>0.11283075386919621</v>
      </c>
      <c r="H18" s="28">
        <v>0.31652521218172741</v>
      </c>
      <c r="I18" s="28">
        <v>0.21268097853220169</v>
      </c>
      <c r="J18" s="28">
        <v>0.35796305541687468</v>
      </c>
      <c r="K18" s="28"/>
    </row>
    <row r="19" spans="1:11">
      <c r="A19">
        <v>1986</v>
      </c>
      <c r="B19" s="6">
        <v>240</v>
      </c>
      <c r="C19" s="6">
        <v>688</v>
      </c>
      <c r="D19" s="6">
        <v>475</v>
      </c>
      <c r="E19" s="6">
        <v>739</v>
      </c>
      <c r="F19" s="6">
        <v>2142</v>
      </c>
      <c r="G19" s="28">
        <v>0.11204481792717087</v>
      </c>
      <c r="H19" s="28">
        <v>0.32119514472455651</v>
      </c>
      <c r="I19" s="28">
        <v>0.22175536881419233</v>
      </c>
      <c r="J19" s="28">
        <v>0.34500466853408029</v>
      </c>
      <c r="K19" s="28"/>
    </row>
    <row r="20" spans="1:11">
      <c r="A20">
        <v>1987</v>
      </c>
      <c r="B20" s="6">
        <v>249</v>
      </c>
      <c r="C20" s="6">
        <v>717</v>
      </c>
      <c r="D20" s="6">
        <v>524</v>
      </c>
      <c r="E20" s="6">
        <v>756</v>
      </c>
      <c r="F20" s="6">
        <v>2246</v>
      </c>
      <c r="G20" s="28">
        <v>0.11086375779162956</v>
      </c>
      <c r="H20" s="28">
        <v>0.31923419412288512</v>
      </c>
      <c r="I20" s="28">
        <v>0.23330365093499555</v>
      </c>
      <c r="J20" s="28">
        <v>0.33659839715048978</v>
      </c>
      <c r="K20" s="28"/>
    </row>
    <row r="21" spans="1:11">
      <c r="A21">
        <v>1988</v>
      </c>
      <c r="B21" s="6">
        <v>254</v>
      </c>
      <c r="C21" s="6">
        <v>738</v>
      </c>
      <c r="D21" s="6">
        <v>564</v>
      </c>
      <c r="E21" s="6">
        <v>774</v>
      </c>
      <c r="F21" s="6">
        <v>2330</v>
      </c>
      <c r="G21" s="28">
        <v>0.10901287553648069</v>
      </c>
      <c r="H21" s="28">
        <v>0.31673819742489273</v>
      </c>
      <c r="I21" s="28">
        <v>0.24206008583690988</v>
      </c>
      <c r="J21" s="28">
        <v>0.33218884120171671</v>
      </c>
      <c r="K21" s="28"/>
    </row>
    <row r="22" spans="1:11">
      <c r="A22">
        <v>1989</v>
      </c>
      <c r="B22" s="6">
        <v>263</v>
      </c>
      <c r="C22" s="6">
        <v>757</v>
      </c>
      <c r="D22" s="6">
        <v>613</v>
      </c>
      <c r="E22" s="6">
        <v>799</v>
      </c>
      <c r="F22" s="6">
        <v>2432</v>
      </c>
      <c r="G22" s="28">
        <v>0.10814144736842106</v>
      </c>
      <c r="H22" s="28">
        <v>0.31126644736842107</v>
      </c>
      <c r="I22" s="28">
        <v>0.25205592105263158</v>
      </c>
      <c r="J22" s="28">
        <v>0.32853618421052633</v>
      </c>
      <c r="K22" s="28"/>
    </row>
    <row r="23" spans="1:11">
      <c r="A23">
        <v>1990</v>
      </c>
      <c r="B23" s="6">
        <v>306</v>
      </c>
      <c r="C23" s="6">
        <v>788</v>
      </c>
      <c r="D23" s="6">
        <v>677</v>
      </c>
      <c r="E23" s="6">
        <v>840</v>
      </c>
      <c r="F23" s="6">
        <v>2611</v>
      </c>
      <c r="G23" s="28">
        <v>0.11719647644580621</v>
      </c>
      <c r="H23" s="28">
        <v>0.30180007659900421</v>
      </c>
      <c r="I23" s="28">
        <v>0.25928762926081961</v>
      </c>
      <c r="J23" s="28">
        <v>0.32171581769436997</v>
      </c>
      <c r="K23" s="28"/>
    </row>
    <row r="24" spans="1:11">
      <c r="A24">
        <v>1991</v>
      </c>
      <c r="B24" s="6">
        <v>395</v>
      </c>
      <c r="C24" s="6">
        <v>833</v>
      </c>
      <c r="D24" s="6">
        <v>769</v>
      </c>
      <c r="E24" s="6">
        <v>897</v>
      </c>
      <c r="F24" s="6">
        <v>2894</v>
      </c>
      <c r="G24" s="28">
        <v>0.13648928818244643</v>
      </c>
      <c r="H24" s="28">
        <v>0.28783690393918454</v>
      </c>
      <c r="I24" s="28">
        <v>0.2657221838286109</v>
      </c>
      <c r="J24" s="28">
        <v>0.30995162404975812</v>
      </c>
      <c r="K24" s="28"/>
    </row>
    <row r="25" spans="1:11">
      <c r="A25">
        <v>1992</v>
      </c>
      <c r="B25" s="6">
        <v>555</v>
      </c>
      <c r="C25" s="6">
        <v>920</v>
      </c>
      <c r="D25" s="6">
        <v>877</v>
      </c>
      <c r="E25" s="6">
        <v>970</v>
      </c>
      <c r="F25" s="6">
        <v>3322</v>
      </c>
      <c r="G25" s="28">
        <v>0.16706803130644191</v>
      </c>
      <c r="H25" s="28">
        <v>0.2769416014449127</v>
      </c>
      <c r="I25" s="28">
        <v>0.26399759181216137</v>
      </c>
      <c r="J25" s="28">
        <v>0.29199277543648405</v>
      </c>
      <c r="K25" s="28"/>
    </row>
    <row r="26" spans="1:11">
      <c r="A26">
        <v>1993</v>
      </c>
      <c r="B26" s="6">
        <v>721</v>
      </c>
      <c r="C26" s="6">
        <v>990</v>
      </c>
      <c r="D26" s="6">
        <v>979</v>
      </c>
      <c r="E26" s="6">
        <v>1034</v>
      </c>
      <c r="F26" s="6">
        <v>3724</v>
      </c>
      <c r="G26" s="28">
        <v>0.19360902255639098</v>
      </c>
      <c r="H26" s="28">
        <v>0.26584317937701396</v>
      </c>
      <c r="I26" s="28">
        <v>0.26288936627282494</v>
      </c>
      <c r="J26" s="28">
        <v>0.27765843179377014</v>
      </c>
      <c r="K26" s="28"/>
    </row>
    <row r="27" spans="1:11">
      <c r="A27">
        <v>1994</v>
      </c>
      <c r="B27" s="6">
        <v>839</v>
      </c>
      <c r="C27" s="6">
        <v>1032</v>
      </c>
      <c r="D27" s="6">
        <v>1071</v>
      </c>
      <c r="E27" s="6">
        <v>1089</v>
      </c>
      <c r="F27" s="6">
        <v>4031</v>
      </c>
      <c r="G27" s="28">
        <v>0.20813693872488218</v>
      </c>
      <c r="H27" s="28">
        <v>0.2560158769536095</v>
      </c>
      <c r="I27" s="28">
        <v>0.26569089555941455</v>
      </c>
      <c r="J27" s="28">
        <v>0.2701562887620938</v>
      </c>
      <c r="K27" s="28"/>
    </row>
    <row r="28" spans="1:11">
      <c r="A28">
        <v>1995</v>
      </c>
      <c r="B28" s="6">
        <v>915</v>
      </c>
      <c r="C28" s="6">
        <v>1058</v>
      </c>
      <c r="D28" s="6">
        <v>1150</v>
      </c>
      <c r="E28" s="6">
        <v>1134</v>
      </c>
      <c r="F28" s="6">
        <v>4257</v>
      </c>
      <c r="G28" s="28">
        <v>0.21494009866102889</v>
      </c>
      <c r="H28" s="28">
        <v>0.24853182992717876</v>
      </c>
      <c r="I28" s="28">
        <v>0.27014329339910736</v>
      </c>
      <c r="J28" s="28">
        <v>0.26638477801268501</v>
      </c>
      <c r="K28" s="28"/>
    </row>
    <row r="29" spans="1:11">
      <c r="A29">
        <v>1996</v>
      </c>
      <c r="B29" s="6">
        <v>954</v>
      </c>
      <c r="C29" s="6">
        <v>1066</v>
      </c>
      <c r="D29" s="6">
        <v>1198</v>
      </c>
      <c r="E29" s="6">
        <v>1176</v>
      </c>
      <c r="F29" s="6">
        <v>4394</v>
      </c>
      <c r="G29" s="28">
        <v>0.2171142467000455</v>
      </c>
      <c r="H29" s="28">
        <v>0.24260355029585798</v>
      </c>
      <c r="I29" s="28">
        <v>0.27264451524806554</v>
      </c>
      <c r="J29" s="28">
        <v>0.26763768775603097</v>
      </c>
      <c r="K29" s="28"/>
    </row>
    <row r="30" spans="1:11">
      <c r="A30">
        <v>1997</v>
      </c>
      <c r="B30" s="6">
        <v>878</v>
      </c>
      <c r="C30" s="6">
        <v>1039</v>
      </c>
      <c r="D30" s="6">
        <v>1196</v>
      </c>
      <c r="E30" s="6">
        <v>1198</v>
      </c>
      <c r="F30" s="6">
        <v>4311</v>
      </c>
      <c r="G30" s="28">
        <v>0.20366504291347715</v>
      </c>
      <c r="H30" s="28">
        <v>0.24101136627232661</v>
      </c>
      <c r="I30" s="28">
        <v>0.27742983066573879</v>
      </c>
      <c r="J30" s="28">
        <v>0.27789376014845746</v>
      </c>
      <c r="K30" s="28"/>
    </row>
    <row r="31" spans="1:11">
      <c r="A31">
        <v>1998</v>
      </c>
      <c r="B31" s="6">
        <v>885</v>
      </c>
      <c r="C31" s="6">
        <v>1038</v>
      </c>
      <c r="D31" s="6">
        <v>1238</v>
      </c>
      <c r="E31" s="6">
        <v>1243</v>
      </c>
      <c r="F31" s="6">
        <v>4404</v>
      </c>
      <c r="G31" s="28">
        <v>0.20095367847411444</v>
      </c>
      <c r="H31" s="28">
        <v>0.23569482288828339</v>
      </c>
      <c r="I31" s="28">
        <v>0.28110808356039962</v>
      </c>
      <c r="J31" s="28">
        <v>0.28224341507720252</v>
      </c>
      <c r="K31" s="28"/>
    </row>
    <row r="32" spans="1:11">
      <c r="A32">
        <v>1999</v>
      </c>
      <c r="B32" s="6">
        <v>845</v>
      </c>
      <c r="C32" s="6">
        <v>1005</v>
      </c>
      <c r="D32" s="6">
        <v>1274</v>
      </c>
      <c r="E32" s="6">
        <v>1278</v>
      </c>
      <c r="F32" s="6">
        <v>4402</v>
      </c>
      <c r="G32" s="28">
        <v>0.19195820081781009</v>
      </c>
      <c r="H32" s="28">
        <v>0.2283053157655611</v>
      </c>
      <c r="I32" s="28">
        <v>0.2894139027714675</v>
      </c>
      <c r="J32" s="28">
        <v>0.29032258064516131</v>
      </c>
      <c r="K32" s="28"/>
    </row>
    <row r="33" spans="1:11">
      <c r="A33">
        <v>2000</v>
      </c>
      <c r="B33" s="6">
        <v>844</v>
      </c>
      <c r="C33" s="6">
        <v>994</v>
      </c>
      <c r="D33" s="6">
        <v>1303</v>
      </c>
      <c r="E33" s="6">
        <v>1313</v>
      </c>
      <c r="F33" s="6">
        <v>4454</v>
      </c>
      <c r="G33" s="28">
        <v>0.18949259092950158</v>
      </c>
      <c r="H33" s="28">
        <v>0.22317018410417602</v>
      </c>
      <c r="I33" s="28">
        <v>0.29254602604400537</v>
      </c>
      <c r="J33" s="28">
        <v>0.29479119892231703</v>
      </c>
      <c r="K33" s="28"/>
    </row>
    <row r="34" spans="1:11">
      <c r="A34">
        <v>2001</v>
      </c>
      <c r="B34" s="6">
        <v>879</v>
      </c>
      <c r="C34" s="6">
        <v>995</v>
      </c>
      <c r="D34" s="6">
        <v>1329</v>
      </c>
      <c r="E34" s="6">
        <v>1353</v>
      </c>
      <c r="F34" s="6">
        <v>4556</v>
      </c>
      <c r="G34" s="28">
        <v>0.19293239683933275</v>
      </c>
      <c r="H34" s="28">
        <v>0.21839332748024584</v>
      </c>
      <c r="I34" s="28">
        <v>0.29170324846356455</v>
      </c>
      <c r="J34" s="28">
        <v>0.29697102721685686</v>
      </c>
      <c r="K34" s="28"/>
    </row>
    <row r="35" spans="1:11">
      <c r="A35">
        <v>2002</v>
      </c>
      <c r="B35" s="6">
        <v>912</v>
      </c>
      <c r="C35" s="6">
        <v>1002</v>
      </c>
      <c r="D35" s="6">
        <v>1344</v>
      </c>
      <c r="E35" s="6">
        <v>1394</v>
      </c>
      <c r="F35" s="6">
        <v>4652</v>
      </c>
      <c r="G35" s="28">
        <v>0.19604471195184867</v>
      </c>
      <c r="H35" s="28">
        <v>0.21539122957867585</v>
      </c>
      <c r="I35" s="28">
        <v>0.28890799656061911</v>
      </c>
      <c r="J35" s="28">
        <v>0.29965606190885641</v>
      </c>
      <c r="K35" s="28"/>
    </row>
    <row r="36" spans="1:11">
      <c r="A36">
        <v>2003</v>
      </c>
      <c r="B36" s="6">
        <v>956</v>
      </c>
      <c r="C36" s="6">
        <v>1023</v>
      </c>
      <c r="D36" s="6">
        <v>1353</v>
      </c>
      <c r="E36" s="6">
        <v>1436</v>
      </c>
      <c r="F36" s="6">
        <v>4768</v>
      </c>
      <c r="G36" s="28">
        <v>0.20050335570469799</v>
      </c>
      <c r="H36" s="28">
        <v>0.21455536912751677</v>
      </c>
      <c r="I36" s="28">
        <v>0.28376677852348992</v>
      </c>
      <c r="J36" s="28">
        <v>0.3011744966442953</v>
      </c>
      <c r="K36" s="28"/>
    </row>
    <row r="37" spans="1:11">
      <c r="A37">
        <v>2004</v>
      </c>
      <c r="B37" s="6">
        <v>990</v>
      </c>
      <c r="C37" s="6">
        <v>1044</v>
      </c>
      <c r="D37" s="6">
        <v>1350</v>
      </c>
      <c r="E37" s="6">
        <v>1476</v>
      </c>
      <c r="F37" s="6">
        <v>4860</v>
      </c>
      <c r="G37" s="28">
        <v>0.20370370370370369</v>
      </c>
      <c r="H37" s="28">
        <v>0.21481481481481482</v>
      </c>
      <c r="I37" s="28">
        <v>0.27777777777777779</v>
      </c>
      <c r="J37" s="28">
        <v>0.3037037037037037</v>
      </c>
      <c r="K37" s="28"/>
    </row>
    <row r="38" spans="1:11">
      <c r="A38">
        <v>2005</v>
      </c>
      <c r="B38" s="6">
        <v>1034</v>
      </c>
      <c r="C38" s="6">
        <v>1065</v>
      </c>
      <c r="D38" s="6">
        <v>1347</v>
      </c>
      <c r="E38" s="6">
        <v>1523</v>
      </c>
      <c r="F38" s="6">
        <v>4969</v>
      </c>
      <c r="G38" s="28">
        <v>0.2080901589857114</v>
      </c>
      <c r="H38" s="28">
        <v>0.2143288388005635</v>
      </c>
      <c r="I38" s="28">
        <v>0.27108070034212117</v>
      </c>
      <c r="J38" s="28">
        <v>0.30650030187160393</v>
      </c>
      <c r="K38" s="28"/>
    </row>
    <row r="39" spans="1:11">
      <c r="A39">
        <v>2006</v>
      </c>
      <c r="B39" s="6">
        <v>1076</v>
      </c>
      <c r="C39" s="6">
        <v>1095</v>
      </c>
      <c r="D39" s="6">
        <v>1334</v>
      </c>
      <c r="E39" s="6">
        <v>1575</v>
      </c>
      <c r="F39" s="6">
        <v>5080</v>
      </c>
      <c r="G39" s="28">
        <v>0.21181102362204723</v>
      </c>
      <c r="H39" s="28">
        <v>0.21555118110236221</v>
      </c>
      <c r="I39" s="28">
        <v>0.26259842519685039</v>
      </c>
      <c r="J39" s="28">
        <v>0.31003937007874016</v>
      </c>
      <c r="K39" s="28"/>
    </row>
    <row r="40" spans="1:11">
      <c r="A40">
        <v>2007</v>
      </c>
      <c r="B40" s="6">
        <v>1119</v>
      </c>
      <c r="C40" s="6">
        <v>1124</v>
      </c>
      <c r="D40" s="6">
        <v>1316</v>
      </c>
      <c r="E40" s="6">
        <v>1634</v>
      </c>
      <c r="F40" s="6">
        <v>5193</v>
      </c>
      <c r="G40" s="28">
        <v>0.21548238012709417</v>
      </c>
      <c r="H40" s="28">
        <v>0.21644521471211245</v>
      </c>
      <c r="I40" s="28">
        <v>0.25341806277681495</v>
      </c>
      <c r="J40" s="28">
        <v>0.31465434238397844</v>
      </c>
      <c r="K40" s="28"/>
    </row>
    <row r="41" spans="1:11">
      <c r="A41">
        <v>2008</v>
      </c>
      <c r="B41" s="6">
        <v>1151</v>
      </c>
      <c r="C41" s="6">
        <v>1173</v>
      </c>
      <c r="D41" s="6">
        <v>1306</v>
      </c>
      <c r="E41" s="6">
        <v>1704</v>
      </c>
      <c r="F41" s="6">
        <v>5334</v>
      </c>
      <c r="G41" s="28">
        <v>0.21578552680914886</v>
      </c>
      <c r="H41" s="28">
        <v>0.21991001124859394</v>
      </c>
      <c r="I41" s="28">
        <v>0.24484439445069367</v>
      </c>
      <c r="J41" s="28">
        <v>0.31946006749156358</v>
      </c>
      <c r="K41" s="28"/>
    </row>
    <row r="42" spans="1:11">
      <c r="A42">
        <v>2009</v>
      </c>
      <c r="B42" s="6">
        <v>1198</v>
      </c>
      <c r="C42" s="6">
        <v>1229</v>
      </c>
      <c r="D42" s="6">
        <v>1302</v>
      </c>
      <c r="E42" s="6">
        <v>1793</v>
      </c>
      <c r="F42" s="6">
        <v>5522</v>
      </c>
      <c r="G42" s="28">
        <v>0.21695038029699384</v>
      </c>
      <c r="H42" s="28">
        <v>0.22256428830134009</v>
      </c>
      <c r="I42" s="28">
        <v>0.23578413618254257</v>
      </c>
      <c r="J42" s="28">
        <v>0.3247011952191235</v>
      </c>
      <c r="K42" s="28"/>
    </row>
    <row r="43" spans="1:11">
      <c r="A43">
        <v>2010</v>
      </c>
      <c r="B43" s="6">
        <v>1238</v>
      </c>
      <c r="C43" s="6">
        <v>1294</v>
      </c>
      <c r="D43" s="6">
        <v>1307</v>
      </c>
      <c r="E43" s="6">
        <v>1900</v>
      </c>
      <c r="F43" s="6">
        <v>5739</v>
      </c>
      <c r="G43" s="28">
        <v>0.21571702387175465</v>
      </c>
      <c r="H43" s="28">
        <v>0.225474821397456</v>
      </c>
      <c r="I43" s="28">
        <v>0.22774002439449381</v>
      </c>
      <c r="J43" s="28">
        <v>0.33106813033629551</v>
      </c>
      <c r="K43" s="28"/>
    </row>
    <row r="48" spans="1:11">
      <c r="A48" t="s">
        <v>423</v>
      </c>
    </row>
    <row r="50" spans="1:1">
      <c r="A50" t="s">
        <v>435</v>
      </c>
    </row>
    <row r="51" spans="1:1">
      <c r="A51" s="1" t="s">
        <v>545</v>
      </c>
    </row>
  </sheetData>
  <hyperlinks>
    <hyperlink ref="A3" location="TableOfContents!A1" display="Back"/>
    <hyperlink ref="A51" r:id="rId1" location="642998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K24"/>
  <sheetViews>
    <sheetView workbookViewId="0">
      <selection activeCell="H4" sqref="H4"/>
    </sheetView>
  </sheetViews>
  <sheetFormatPr defaultRowHeight="15"/>
  <cols>
    <col min="1" max="1" width="6.42578125" customWidth="1"/>
    <col min="9" max="9" width="7.140625" customWidth="1"/>
  </cols>
  <sheetData>
    <row r="1" spans="1:11" ht="15.75">
      <c r="A1" s="24" t="s">
        <v>546</v>
      </c>
    </row>
    <row r="2" spans="1:11" ht="15.75">
      <c r="A2" s="24" t="s">
        <v>547</v>
      </c>
    </row>
    <row r="4" spans="1:11" ht="18.75">
      <c r="A4" s="84" t="s">
        <v>252</v>
      </c>
      <c r="B4" s="85" t="s">
        <v>253</v>
      </c>
    </row>
    <row r="7" spans="1:11">
      <c r="A7" s="4" t="s">
        <v>548</v>
      </c>
      <c r="I7" s="4" t="s">
        <v>549</v>
      </c>
    </row>
    <row r="9" spans="1:11">
      <c r="A9" s="243" t="s">
        <v>338</v>
      </c>
      <c r="B9" s="8" t="s">
        <v>403</v>
      </c>
      <c r="C9" s="8" t="s">
        <v>404</v>
      </c>
      <c r="I9" s="8" t="s">
        <v>338</v>
      </c>
      <c r="J9" s="8" t="s">
        <v>403</v>
      </c>
      <c r="K9" s="8" t="s">
        <v>404</v>
      </c>
    </row>
    <row r="10" spans="1:11">
      <c r="A10" s="10">
        <v>1960</v>
      </c>
      <c r="B10" s="89">
        <v>54.5</v>
      </c>
      <c r="C10" s="89">
        <v>52.5</v>
      </c>
      <c r="I10">
        <v>1980</v>
      </c>
      <c r="J10" s="54">
        <v>41.8</v>
      </c>
      <c r="K10" s="54">
        <v>46</v>
      </c>
    </row>
    <row r="11" spans="1:11">
      <c r="A11" s="10">
        <v>1970</v>
      </c>
      <c r="B11" s="89">
        <v>52.1</v>
      </c>
      <c r="C11" s="89">
        <v>52.8</v>
      </c>
      <c r="I11">
        <v>1990</v>
      </c>
      <c r="J11" s="54">
        <v>41.4</v>
      </c>
      <c r="K11" s="54">
        <v>45.1</v>
      </c>
    </row>
    <row r="12" spans="1:11">
      <c r="A12" s="10">
        <v>1980</v>
      </c>
      <c r="B12" s="89">
        <v>51.2</v>
      </c>
      <c r="C12" s="89">
        <v>51.1</v>
      </c>
      <c r="I12">
        <v>2000</v>
      </c>
      <c r="J12">
        <v>43.1</v>
      </c>
      <c r="K12">
        <v>44.5</v>
      </c>
    </row>
    <row r="13" spans="1:11">
      <c r="A13" s="10">
        <v>1990</v>
      </c>
      <c r="B13" s="89">
        <v>48.1</v>
      </c>
      <c r="C13" s="89">
        <v>48.4</v>
      </c>
      <c r="I13">
        <v>2010</v>
      </c>
      <c r="J13">
        <v>44.4</v>
      </c>
      <c r="K13">
        <v>44.8</v>
      </c>
    </row>
    <row r="14" spans="1:11">
      <c r="A14" s="10">
        <v>2000</v>
      </c>
      <c r="B14" s="89">
        <v>49.6</v>
      </c>
      <c r="C14" s="89">
        <v>49.2</v>
      </c>
    </row>
    <row r="15" spans="1:11">
      <c r="A15" s="10">
        <v>2010</v>
      </c>
      <c r="B15" s="90">
        <v>49.5</v>
      </c>
      <c r="C15" s="91">
        <v>48.8</v>
      </c>
    </row>
    <row r="18" spans="1:1">
      <c r="A18" s="15" t="s">
        <v>106</v>
      </c>
    </row>
    <row r="20" spans="1:1">
      <c r="A20" s="4" t="s">
        <v>434</v>
      </c>
    </row>
    <row r="21" spans="1:1">
      <c r="A21" t="s">
        <v>551</v>
      </c>
    </row>
    <row r="23" spans="1:1">
      <c r="A23" s="4" t="s">
        <v>433</v>
      </c>
    </row>
    <row r="24" spans="1:1">
      <c r="A24" t="s">
        <v>550</v>
      </c>
    </row>
  </sheetData>
  <hyperlinks>
    <hyperlink ref="A4" location="TableOfContents!A1" display="Back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18"/>
  <sheetViews>
    <sheetView workbookViewId="0">
      <selection activeCell="G4" sqref="G4"/>
    </sheetView>
  </sheetViews>
  <sheetFormatPr defaultRowHeight="15"/>
  <cols>
    <col min="1" max="1" width="6.42578125" customWidth="1"/>
    <col min="2" max="2" width="12.42578125" customWidth="1"/>
    <col min="3" max="3" width="13.28515625" customWidth="1"/>
  </cols>
  <sheetData>
    <row r="1" spans="1:3" ht="15.75">
      <c r="A1" s="24" t="s">
        <v>552</v>
      </c>
    </row>
    <row r="3" spans="1:3" ht="18.75">
      <c r="A3" s="84" t="s">
        <v>252</v>
      </c>
      <c r="B3" s="85" t="s">
        <v>253</v>
      </c>
    </row>
    <row r="4" spans="1:3" ht="18.75">
      <c r="A4" s="84"/>
      <c r="B4" s="85"/>
    </row>
    <row r="6" spans="1:3">
      <c r="A6" s="8" t="s">
        <v>338</v>
      </c>
      <c r="B6" s="8" t="s">
        <v>403</v>
      </c>
      <c r="C6" s="8" t="s">
        <v>404</v>
      </c>
    </row>
    <row r="7" spans="1:3">
      <c r="A7">
        <v>1970</v>
      </c>
      <c r="B7" s="6">
        <v>1068986</v>
      </c>
      <c r="C7" s="6">
        <v>423962</v>
      </c>
    </row>
    <row r="8" spans="1:3">
      <c r="A8">
        <v>1980</v>
      </c>
      <c r="B8" s="6">
        <v>1928030</v>
      </c>
      <c r="C8" s="6">
        <v>930650</v>
      </c>
    </row>
    <row r="9" spans="1:3">
      <c r="A9">
        <v>1990</v>
      </c>
      <c r="B9" s="6">
        <v>1967408</v>
      </c>
      <c r="C9" s="6">
        <v>1043886</v>
      </c>
    </row>
    <row r="10" spans="1:3">
      <c r="A10">
        <v>2000</v>
      </c>
      <c r="B10" s="6">
        <v>2856411</v>
      </c>
      <c r="C10" s="6">
        <v>2185923</v>
      </c>
    </row>
    <row r="11" spans="1:3">
      <c r="A11">
        <v>2010</v>
      </c>
      <c r="B11" s="6">
        <v>4309685</v>
      </c>
      <c r="C11" s="6">
        <v>3894266</v>
      </c>
    </row>
    <row r="14" spans="1:3">
      <c r="A14" s="15" t="s">
        <v>423</v>
      </c>
    </row>
    <row r="16" spans="1:3">
      <c r="A16" t="s">
        <v>554</v>
      </c>
    </row>
    <row r="17" spans="1:1">
      <c r="A17" t="s">
        <v>553</v>
      </c>
    </row>
    <row r="18" spans="1:1">
      <c r="A18" s="1" t="s">
        <v>555</v>
      </c>
    </row>
  </sheetData>
  <hyperlinks>
    <hyperlink ref="A3" location="TableOfContents!A1" display="Back"/>
    <hyperlink ref="A18" r:id="rId1" location="table5.d3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34"/>
  <sheetViews>
    <sheetView workbookViewId="0">
      <selection activeCell="H4" sqref="H4"/>
    </sheetView>
  </sheetViews>
  <sheetFormatPr defaultRowHeight="15"/>
  <cols>
    <col min="1" max="1" width="6.7109375" customWidth="1"/>
    <col min="2" max="2" width="10.5703125" customWidth="1"/>
    <col min="3" max="3" width="10.7109375" customWidth="1"/>
    <col min="4" max="4" width="11.7109375" customWidth="1"/>
    <col min="5" max="5" width="12.28515625" customWidth="1"/>
    <col min="6" max="7" width="10.140625" customWidth="1"/>
  </cols>
  <sheetData>
    <row r="1" spans="1:7" ht="15.75">
      <c r="A1" s="24" t="s">
        <v>556</v>
      </c>
    </row>
    <row r="3" spans="1:7" ht="18.75">
      <c r="A3" s="84" t="s">
        <v>252</v>
      </c>
      <c r="B3" s="85" t="s">
        <v>253</v>
      </c>
    </row>
    <row r="6" spans="1:7" ht="30.75" customHeight="1">
      <c r="B6" s="276" t="s">
        <v>557</v>
      </c>
      <c r="C6" s="276"/>
      <c r="D6" s="276" t="s">
        <v>567</v>
      </c>
      <c r="E6" s="276"/>
      <c r="F6" s="277" t="s">
        <v>966</v>
      </c>
      <c r="G6" s="277"/>
    </row>
    <row r="7" spans="1:7" ht="31.5" customHeight="1">
      <c r="A7" s="48" t="s">
        <v>566</v>
      </c>
      <c r="B7" s="8" t="s">
        <v>403</v>
      </c>
      <c r="C7" s="8" t="s">
        <v>404</v>
      </c>
      <c r="D7" s="8" t="s">
        <v>403</v>
      </c>
      <c r="E7" s="8" t="s">
        <v>404</v>
      </c>
      <c r="F7" s="8" t="s">
        <v>403</v>
      </c>
      <c r="G7" s="8" t="s">
        <v>404</v>
      </c>
    </row>
    <row r="8" spans="1:7">
      <c r="A8" s="4" t="s">
        <v>558</v>
      </c>
      <c r="B8" s="6">
        <v>33206</v>
      </c>
      <c r="C8" s="6">
        <v>22651</v>
      </c>
      <c r="D8" s="6">
        <v>11014176</v>
      </c>
      <c r="E8" s="6">
        <v>10571823</v>
      </c>
      <c r="F8" s="28">
        <v>3.0148419636657339E-3</v>
      </c>
      <c r="G8" s="28">
        <v>2.1425822206822798E-3</v>
      </c>
    </row>
    <row r="9" spans="1:7">
      <c r="A9" s="4" t="s">
        <v>559</v>
      </c>
      <c r="B9" s="6">
        <v>100188</v>
      </c>
      <c r="C9" s="6">
        <v>76703</v>
      </c>
      <c r="D9" s="6">
        <v>10635591</v>
      </c>
      <c r="E9" s="6">
        <v>10466258</v>
      </c>
      <c r="F9" s="28">
        <v>9.4200688988510372E-3</v>
      </c>
      <c r="G9" s="28">
        <v>7.3285982439951318E-3</v>
      </c>
    </row>
    <row r="10" spans="1:7">
      <c r="A10" s="4" t="s">
        <v>560</v>
      </c>
      <c r="B10" s="6">
        <v>147694</v>
      </c>
      <c r="C10" s="6">
        <v>135257</v>
      </c>
      <c r="D10" s="6">
        <v>9996500</v>
      </c>
      <c r="E10" s="6">
        <v>9965599</v>
      </c>
      <c r="F10" s="28">
        <v>1.477457109988496E-2</v>
      </c>
      <c r="G10" s="28">
        <v>1.3572390380146742E-2</v>
      </c>
    </row>
    <row r="11" spans="1:7">
      <c r="A11" s="4" t="s">
        <v>561</v>
      </c>
      <c r="B11" s="6">
        <v>197445</v>
      </c>
      <c r="C11" s="6">
        <v>196262</v>
      </c>
      <c r="D11" s="6">
        <v>10042022</v>
      </c>
      <c r="E11" s="6">
        <v>10137620</v>
      </c>
      <c r="F11" s="28">
        <v>1.9661876861054476E-2</v>
      </c>
      <c r="G11" s="28">
        <v>1.9359770833785445E-2</v>
      </c>
    </row>
    <row r="12" spans="1:7">
      <c r="A12" s="4" t="s">
        <v>562</v>
      </c>
      <c r="B12" s="6">
        <v>314907</v>
      </c>
      <c r="C12" s="6">
        <v>300892</v>
      </c>
      <c r="D12" s="6">
        <v>10393977</v>
      </c>
      <c r="E12" s="6">
        <v>10496987</v>
      </c>
      <c r="F12" s="28">
        <v>3.029706531003484E-2</v>
      </c>
      <c r="G12" s="28">
        <v>2.866460632941624E-2</v>
      </c>
    </row>
    <row r="13" spans="1:7">
      <c r="A13" s="4" t="s">
        <v>563</v>
      </c>
      <c r="B13" s="6">
        <v>506533</v>
      </c>
      <c r="C13" s="6">
        <v>480270</v>
      </c>
      <c r="D13" s="6">
        <v>11209085</v>
      </c>
      <c r="E13" s="6">
        <v>11499506</v>
      </c>
      <c r="F13" s="28">
        <v>4.518950476332368E-2</v>
      </c>
      <c r="G13" s="28">
        <v>4.1764402749126787E-2</v>
      </c>
    </row>
    <row r="14" spans="1:7">
      <c r="A14" s="4" t="s">
        <v>564</v>
      </c>
      <c r="B14" s="6">
        <v>745740</v>
      </c>
      <c r="C14" s="6">
        <v>692026</v>
      </c>
      <c r="D14" s="6">
        <v>10933274</v>
      </c>
      <c r="E14" s="6">
        <v>11364851</v>
      </c>
      <c r="F14" s="28">
        <v>6.8208296984050704E-2</v>
      </c>
      <c r="G14" s="28">
        <v>6.089177939948355E-2</v>
      </c>
    </row>
    <row r="15" spans="1:7">
      <c r="A15" s="4" t="s">
        <v>565</v>
      </c>
      <c r="B15" s="6">
        <v>953061</v>
      </c>
      <c r="C15" s="6">
        <v>870176</v>
      </c>
      <c r="D15" s="6">
        <v>9523648</v>
      </c>
      <c r="E15" s="6">
        <v>10141157</v>
      </c>
      <c r="F15" s="28">
        <v>0.10007310223981399</v>
      </c>
      <c r="G15" s="28">
        <v>8.5806382841721124E-2</v>
      </c>
    </row>
    <row r="16" spans="1:7">
      <c r="A16" s="4" t="s">
        <v>568</v>
      </c>
      <c r="B16" s="6">
        <v>1126313</v>
      </c>
      <c r="C16" s="6">
        <v>964289</v>
      </c>
      <c r="D16" s="6">
        <v>8077500</v>
      </c>
      <c r="E16" s="6">
        <v>8740424</v>
      </c>
      <c r="F16" s="28">
        <v>0.13943831631073972</v>
      </c>
      <c r="G16" s="28">
        <v>0.11032519703849607</v>
      </c>
    </row>
    <row r="19" spans="1:1">
      <c r="A19" s="15" t="s">
        <v>569</v>
      </c>
    </row>
    <row r="21" spans="1:1">
      <c r="A21" s="4" t="s">
        <v>434</v>
      </c>
    </row>
    <row r="22" spans="1:1">
      <c r="A22" t="s">
        <v>576</v>
      </c>
    </row>
    <row r="23" spans="1:1">
      <c r="A23" s="1" t="s">
        <v>577</v>
      </c>
    </row>
    <row r="25" spans="1:1">
      <c r="A25" s="4" t="s">
        <v>461</v>
      </c>
    </row>
    <row r="26" spans="1:1">
      <c r="A26" t="s">
        <v>578</v>
      </c>
    </row>
    <row r="27" spans="1:1">
      <c r="A27" s="1" t="s">
        <v>219</v>
      </c>
    </row>
    <row r="29" spans="1:1">
      <c r="A29" t="s">
        <v>570</v>
      </c>
    </row>
    <row r="30" spans="1:1">
      <c r="A30" t="s">
        <v>571</v>
      </c>
    </row>
    <row r="31" spans="1:1">
      <c r="A31" t="s">
        <v>572</v>
      </c>
    </row>
    <row r="32" spans="1:1">
      <c r="A32" t="s">
        <v>573</v>
      </c>
    </row>
    <row r="33" spans="1:1">
      <c r="A33" t="s">
        <v>574</v>
      </c>
    </row>
    <row r="34" spans="1:1">
      <c r="A34" t="s">
        <v>575</v>
      </c>
    </row>
  </sheetData>
  <mergeCells count="3">
    <mergeCell ref="B6:C6"/>
    <mergeCell ref="D6:E6"/>
    <mergeCell ref="F6:G6"/>
  </mergeCells>
  <hyperlinks>
    <hyperlink ref="A3" location="TableOfContents!A1" display="Back"/>
    <hyperlink ref="A23" r:id="rId1" location="table5.a1.2"/>
    <hyperlink ref="A27" r:id="rId2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R63"/>
  <sheetViews>
    <sheetView workbookViewId="0">
      <selection activeCell="H26" sqref="H26"/>
    </sheetView>
  </sheetViews>
  <sheetFormatPr defaultRowHeight="15"/>
  <cols>
    <col min="1" max="1" width="6.7109375" customWidth="1"/>
    <col min="2" max="2" width="10.85546875" customWidth="1"/>
    <col min="3" max="3" width="11.42578125" customWidth="1"/>
    <col min="4" max="4" width="10.85546875" customWidth="1"/>
    <col min="5" max="5" width="10" customWidth="1"/>
    <col min="6" max="6" width="12" customWidth="1"/>
    <col min="9" max="9" width="7.85546875" customWidth="1"/>
    <col min="10" max="10" width="11" customWidth="1"/>
    <col min="11" max="11" width="11.42578125" customWidth="1"/>
    <col min="12" max="12" width="10.85546875" customWidth="1"/>
    <col min="13" max="13" width="10.5703125" customWidth="1"/>
    <col min="14" max="14" width="11.85546875" bestFit="1" customWidth="1"/>
  </cols>
  <sheetData>
    <row r="1" spans="1:18" ht="15.75">
      <c r="A1" s="24" t="s">
        <v>579</v>
      </c>
    </row>
    <row r="3" spans="1:18" ht="18.75">
      <c r="A3" s="84" t="s">
        <v>252</v>
      </c>
      <c r="B3" s="85" t="s">
        <v>253</v>
      </c>
    </row>
    <row r="6" spans="1:18">
      <c r="A6" s="4" t="s">
        <v>580</v>
      </c>
      <c r="I6" s="4" t="s">
        <v>581</v>
      </c>
    </row>
    <row r="8" spans="1:18">
      <c r="A8" s="4" t="s">
        <v>87</v>
      </c>
      <c r="B8" s="8" t="s">
        <v>96</v>
      </c>
      <c r="C8" s="8" t="s">
        <v>97</v>
      </c>
      <c r="D8" s="244" t="s">
        <v>379</v>
      </c>
      <c r="E8" s="8" t="s">
        <v>967</v>
      </c>
      <c r="F8" s="8" t="s">
        <v>968</v>
      </c>
      <c r="I8" s="8" t="s">
        <v>87</v>
      </c>
      <c r="J8" s="8" t="s">
        <v>96</v>
      </c>
      <c r="K8" s="8" t="s">
        <v>97</v>
      </c>
      <c r="L8" s="244" t="s">
        <v>379</v>
      </c>
      <c r="M8" s="8" t="s">
        <v>967</v>
      </c>
      <c r="N8" s="8" t="s">
        <v>968</v>
      </c>
    </row>
    <row r="9" spans="1:18">
      <c r="A9" s="92">
        <v>1993</v>
      </c>
      <c r="B9" s="6">
        <v>1374445</v>
      </c>
      <c r="C9" s="6">
        <v>1669811</v>
      </c>
      <c r="D9" s="6">
        <v>3044256</v>
      </c>
      <c r="E9" s="28">
        <v>0.45148798261381434</v>
      </c>
      <c r="F9" s="28">
        <v>0.5485120173861856</v>
      </c>
      <c r="I9" s="92">
        <v>1993</v>
      </c>
      <c r="J9" s="6">
        <v>481782</v>
      </c>
      <c r="K9" s="6">
        <v>288618</v>
      </c>
      <c r="L9" s="6">
        <v>770400</v>
      </c>
      <c r="M9" s="28">
        <v>0.62536604361370718</v>
      </c>
      <c r="N9" s="28">
        <v>0.37463395638629282</v>
      </c>
      <c r="Q9" s="92"/>
      <c r="R9" s="92"/>
    </row>
    <row r="10" spans="1:18">
      <c r="A10" s="92">
        <v>1994</v>
      </c>
      <c r="B10" s="6">
        <v>1455408</v>
      </c>
      <c r="C10" s="6">
        <v>1773497</v>
      </c>
      <c r="D10" s="6">
        <v>3228905</v>
      </c>
      <c r="E10" s="28">
        <v>0.45074351831348397</v>
      </c>
      <c r="F10" s="28">
        <v>0.54925648168651597</v>
      </c>
      <c r="I10" s="92">
        <v>1994</v>
      </c>
      <c r="J10" s="6">
        <v>562486</v>
      </c>
      <c r="K10" s="6">
        <v>329968</v>
      </c>
      <c r="L10" s="6">
        <v>892454</v>
      </c>
      <c r="M10" s="28">
        <v>0.63026889901328242</v>
      </c>
      <c r="N10" s="28">
        <v>0.36973110098671752</v>
      </c>
      <c r="Q10" s="92"/>
      <c r="R10" s="92"/>
    </row>
    <row r="11" spans="1:18">
      <c r="A11" s="92">
        <v>1995</v>
      </c>
      <c r="B11" s="6">
        <v>1512548</v>
      </c>
      <c r="C11" s="6">
        <v>1859629</v>
      </c>
      <c r="D11" s="6">
        <v>3372177</v>
      </c>
      <c r="E11" s="28">
        <v>0.44853754710977506</v>
      </c>
      <c r="F11" s="28">
        <v>0.55146245289022489</v>
      </c>
      <c r="I11" s="92">
        <v>1995</v>
      </c>
      <c r="J11" s="6">
        <v>617027</v>
      </c>
      <c r="K11" s="6">
        <v>357074</v>
      </c>
      <c r="L11" s="6">
        <v>974101</v>
      </c>
      <c r="M11" s="28">
        <v>0.63343226215762016</v>
      </c>
      <c r="N11" s="28">
        <v>0.36656773784237978</v>
      </c>
      <c r="Q11" s="92"/>
      <c r="R11" s="92"/>
    </row>
    <row r="12" spans="1:18">
      <c r="A12" s="92">
        <v>1996</v>
      </c>
      <c r="B12" s="6">
        <v>1533953</v>
      </c>
      <c r="C12" s="6">
        <v>1920765</v>
      </c>
      <c r="D12" s="6">
        <v>3454718</v>
      </c>
      <c r="E12" s="28">
        <v>0.44401684884265519</v>
      </c>
      <c r="F12" s="28">
        <v>0.55598315115734487</v>
      </c>
      <c r="I12" s="92">
        <v>1996</v>
      </c>
      <c r="J12" s="6">
        <v>645360</v>
      </c>
      <c r="K12" s="6">
        <v>372556</v>
      </c>
      <c r="L12" s="6">
        <v>1017916</v>
      </c>
      <c r="M12" s="28">
        <v>0.63400123389356289</v>
      </c>
      <c r="N12" s="28">
        <v>0.36599876610643706</v>
      </c>
      <c r="Q12" s="92"/>
      <c r="R12" s="92"/>
    </row>
    <row r="13" spans="1:18">
      <c r="A13" s="92">
        <v>1997</v>
      </c>
      <c r="B13" s="6">
        <v>1543339</v>
      </c>
      <c r="C13" s="6">
        <v>1963682</v>
      </c>
      <c r="D13" s="6">
        <v>3507021</v>
      </c>
      <c r="E13" s="28">
        <v>0.44007121713842035</v>
      </c>
      <c r="F13" s="28">
        <v>0.55992878286157965</v>
      </c>
      <c r="I13" s="92">
        <v>1997</v>
      </c>
      <c r="J13" s="6">
        <v>553497</v>
      </c>
      <c r="K13" s="6">
        <v>326330</v>
      </c>
      <c r="L13" s="6">
        <v>879827</v>
      </c>
      <c r="M13" s="28">
        <v>0.62909753849336292</v>
      </c>
      <c r="N13" s="28">
        <v>0.37090246150663708</v>
      </c>
      <c r="Q13" s="92"/>
      <c r="R13" s="92"/>
    </row>
    <row r="14" spans="1:18">
      <c r="A14" s="92">
        <v>1998</v>
      </c>
      <c r="B14" s="6">
        <v>1575951</v>
      </c>
      <c r="C14" s="6">
        <v>2014317</v>
      </c>
      <c r="D14" s="6">
        <v>3590268</v>
      </c>
      <c r="E14" s="28">
        <v>0.43895079698785716</v>
      </c>
      <c r="F14" s="28">
        <v>0.56104920301214278</v>
      </c>
      <c r="I14" s="92">
        <v>1998</v>
      </c>
      <c r="J14" s="6">
        <v>561164</v>
      </c>
      <c r="K14" s="6">
        <v>325901</v>
      </c>
      <c r="L14" s="6">
        <v>887065</v>
      </c>
      <c r="M14" s="28">
        <v>0.63260753157885841</v>
      </c>
      <c r="N14" s="28">
        <v>0.36739246842114165</v>
      </c>
      <c r="Q14" s="92"/>
      <c r="R14" s="92"/>
    </row>
    <row r="15" spans="1:18">
      <c r="A15" s="92">
        <v>1999</v>
      </c>
      <c r="B15" s="6">
        <v>1581119</v>
      </c>
      <c r="C15" s="6">
        <v>2056016</v>
      </c>
      <c r="D15" s="6">
        <v>3637135</v>
      </c>
      <c r="E15" s="28">
        <v>0.43471551097223504</v>
      </c>
      <c r="F15" s="28">
        <v>0.56528448902776496</v>
      </c>
      <c r="I15" s="92">
        <v>1999</v>
      </c>
      <c r="J15" s="6">
        <v>537343</v>
      </c>
      <c r="K15" s="6">
        <v>309720</v>
      </c>
      <c r="L15" s="6">
        <v>847063</v>
      </c>
      <c r="M15" s="28">
        <v>0.6343601361409954</v>
      </c>
      <c r="N15" s="28">
        <v>0.3656398638590046</v>
      </c>
      <c r="Q15" s="92"/>
      <c r="R15" s="92"/>
    </row>
    <row r="16" spans="1:18">
      <c r="A16" s="92">
        <v>2000</v>
      </c>
      <c r="B16" s="6">
        <v>1602263</v>
      </c>
      <c r="C16" s="6">
        <v>2089021</v>
      </c>
      <c r="D16" s="6">
        <v>3691284</v>
      </c>
      <c r="E16" s="28">
        <v>0.43406657412434263</v>
      </c>
      <c r="F16" s="28">
        <v>0.56593342587565731</v>
      </c>
      <c r="I16" s="92">
        <v>2000</v>
      </c>
      <c r="J16" s="6">
        <v>539141</v>
      </c>
      <c r="K16" s="6">
        <v>307643</v>
      </c>
      <c r="L16" s="6">
        <v>846784</v>
      </c>
      <c r="M16" s="28">
        <v>0.63669247411382357</v>
      </c>
      <c r="N16" s="28">
        <v>0.36330752588617643</v>
      </c>
      <c r="Q16" s="92"/>
      <c r="R16" s="92"/>
    </row>
    <row r="17" spans="1:18">
      <c r="A17" s="92">
        <v>2001</v>
      </c>
      <c r="B17" s="6">
        <v>1629301</v>
      </c>
      <c r="C17" s="6">
        <v>2127556</v>
      </c>
      <c r="D17" s="6">
        <v>3756857</v>
      </c>
      <c r="E17" s="28">
        <v>0.43368725506453931</v>
      </c>
      <c r="F17" s="28">
        <v>0.56631274493546069</v>
      </c>
      <c r="I17" s="92">
        <v>2001</v>
      </c>
      <c r="J17" s="6">
        <v>563881</v>
      </c>
      <c r="K17" s="6">
        <v>317955</v>
      </c>
      <c r="L17" s="6">
        <v>881836</v>
      </c>
      <c r="M17" s="28">
        <v>0.6394397597739262</v>
      </c>
      <c r="N17" s="28">
        <v>0.3605602402260738</v>
      </c>
      <c r="Q17" s="92"/>
      <c r="R17" s="92"/>
    </row>
    <row r="18" spans="1:18">
      <c r="A18" s="92">
        <v>2002</v>
      </c>
      <c r="B18" s="6">
        <v>1654757</v>
      </c>
      <c r="C18" s="6">
        <v>2169215</v>
      </c>
      <c r="D18" s="6">
        <v>3823972</v>
      </c>
      <c r="E18" s="28">
        <v>0.43273250954766407</v>
      </c>
      <c r="F18" s="28">
        <v>0.56726749045233593</v>
      </c>
      <c r="I18" s="92">
        <v>2002</v>
      </c>
      <c r="J18" s="6">
        <v>588364</v>
      </c>
      <c r="K18" s="6">
        <v>326457</v>
      </c>
      <c r="L18" s="6">
        <v>914821</v>
      </c>
      <c r="M18" s="28">
        <v>0.64314658277411652</v>
      </c>
      <c r="N18" s="28">
        <v>0.35685341722588354</v>
      </c>
      <c r="Q18" s="92"/>
      <c r="R18" s="92"/>
    </row>
    <row r="19" spans="1:18">
      <c r="A19" s="92">
        <v>2003</v>
      </c>
      <c r="B19" s="6">
        <v>1692638</v>
      </c>
      <c r="C19" s="6">
        <v>2209601</v>
      </c>
      <c r="D19" s="6">
        <v>3902239</v>
      </c>
      <c r="E19" s="28">
        <v>0.43376072044792746</v>
      </c>
      <c r="F19" s="28">
        <v>0.56623927955207254</v>
      </c>
      <c r="I19" s="92">
        <v>2003</v>
      </c>
      <c r="J19" s="6">
        <v>620279</v>
      </c>
      <c r="K19" s="6">
        <v>339100</v>
      </c>
      <c r="L19" s="6">
        <v>959379</v>
      </c>
      <c r="M19" s="28">
        <v>0.64654219031269189</v>
      </c>
      <c r="N19" s="28">
        <v>0.35345780968730817</v>
      </c>
      <c r="Q19" s="92"/>
      <c r="R19" s="92"/>
    </row>
    <row r="20" spans="1:18">
      <c r="A20" s="92">
        <v>2004</v>
      </c>
      <c r="B20" s="6">
        <v>1749464</v>
      </c>
      <c r="C20" s="6">
        <v>2265365</v>
      </c>
      <c r="D20" s="6">
        <v>4014829</v>
      </c>
      <c r="E20" s="28">
        <v>0.43575056372263926</v>
      </c>
      <c r="F20" s="28">
        <v>0.56424943627736079</v>
      </c>
      <c r="I20" s="92">
        <v>2004</v>
      </c>
      <c r="J20" s="6">
        <v>647839</v>
      </c>
      <c r="K20" s="6">
        <v>348210</v>
      </c>
      <c r="L20" s="6">
        <v>996049</v>
      </c>
      <c r="M20" s="28">
        <v>0.65040876503063605</v>
      </c>
      <c r="N20" s="28">
        <v>0.34959123496936395</v>
      </c>
      <c r="Q20" s="92"/>
      <c r="R20" s="92"/>
    </row>
    <row r="21" spans="1:18">
      <c r="A21" s="92">
        <v>2005</v>
      </c>
      <c r="B21" s="6">
        <v>1784572</v>
      </c>
      <c r="C21" s="6">
        <v>2299039</v>
      </c>
      <c r="D21" s="6">
        <v>4083611</v>
      </c>
      <c r="E21" s="28">
        <v>0.43700832425027752</v>
      </c>
      <c r="F21" s="28">
        <v>0.56299167574972253</v>
      </c>
      <c r="I21" s="92">
        <v>2005</v>
      </c>
      <c r="J21" s="6">
        <v>674581</v>
      </c>
      <c r="K21" s="6">
        <v>360237</v>
      </c>
      <c r="L21" s="6">
        <v>1034818</v>
      </c>
      <c r="M21" s="28">
        <v>0.65188371288477776</v>
      </c>
      <c r="N21" s="28">
        <v>0.34811628711522219</v>
      </c>
      <c r="Q21" s="92"/>
      <c r="R21" s="92"/>
    </row>
    <row r="22" spans="1:18">
      <c r="A22" s="92">
        <v>2006</v>
      </c>
      <c r="B22" s="6">
        <v>1818004</v>
      </c>
      <c r="C22" s="6">
        <v>2335532</v>
      </c>
      <c r="D22" s="6">
        <v>4153536</v>
      </c>
      <c r="E22" s="28">
        <v>0.43770031125286984</v>
      </c>
      <c r="F22" s="28">
        <v>0.56229968874713021</v>
      </c>
      <c r="I22" s="92">
        <v>2006</v>
      </c>
      <c r="J22" s="6">
        <v>707700</v>
      </c>
      <c r="K22" s="6">
        <v>372213</v>
      </c>
      <c r="L22" s="6">
        <v>1079913</v>
      </c>
      <c r="M22" s="28">
        <v>0.6553305682957794</v>
      </c>
      <c r="N22" s="28">
        <v>0.3446694317042206</v>
      </c>
      <c r="Q22" s="92"/>
      <c r="R22" s="92"/>
    </row>
    <row r="23" spans="1:18">
      <c r="A23" s="92">
        <v>2007</v>
      </c>
      <c r="B23" s="6">
        <v>1861886</v>
      </c>
      <c r="C23" s="6">
        <v>2363896</v>
      </c>
      <c r="D23" s="6">
        <v>4225782</v>
      </c>
      <c r="E23" s="28">
        <v>0.44060152653402374</v>
      </c>
      <c r="F23" s="28">
        <v>0.55939847346597626</v>
      </c>
      <c r="I23" s="92">
        <v>2007</v>
      </c>
      <c r="J23" s="6">
        <v>735719</v>
      </c>
      <c r="K23" s="6">
        <v>384340</v>
      </c>
      <c r="L23" s="6">
        <v>1120059</v>
      </c>
      <c r="M23" s="28">
        <v>0.65685736197825295</v>
      </c>
      <c r="N23" s="28">
        <v>0.34314263802174705</v>
      </c>
      <c r="Q23" s="92"/>
      <c r="R23" s="92"/>
    </row>
    <row r="24" spans="1:18">
      <c r="A24" s="92">
        <v>2008</v>
      </c>
      <c r="B24" s="6">
        <v>1928173</v>
      </c>
      <c r="C24" s="6">
        <v>2401055</v>
      </c>
      <c r="D24" s="6">
        <v>4329228</v>
      </c>
      <c r="E24" s="28">
        <v>0.44538495085035945</v>
      </c>
      <c r="F24" s="28">
        <v>0.55461504914964055</v>
      </c>
      <c r="I24" s="92">
        <v>2008</v>
      </c>
      <c r="J24" s="6">
        <v>759281</v>
      </c>
      <c r="K24" s="6">
        <v>398081</v>
      </c>
      <c r="L24" s="6">
        <v>1157362</v>
      </c>
      <c r="M24" s="28">
        <v>0.65604452193868468</v>
      </c>
      <c r="N24" s="28">
        <v>0.34395547806131532</v>
      </c>
      <c r="Q24" s="92"/>
      <c r="R24" s="92"/>
    </row>
    <row r="25" spans="1:18">
      <c r="A25" s="92">
        <v>2010</v>
      </c>
      <c r="B25" s="6">
        <v>2338420</v>
      </c>
      <c r="C25" s="6">
        <v>3087381</v>
      </c>
      <c r="D25" s="6">
        <v>5425801</v>
      </c>
      <c r="E25" s="28">
        <v>0.4309815269671704</v>
      </c>
      <c r="F25" s="28">
        <v>0.5690184730328296</v>
      </c>
      <c r="I25" s="92">
        <v>2010</v>
      </c>
      <c r="J25" s="6">
        <v>820212</v>
      </c>
      <c r="K25" s="6">
        <v>419057</v>
      </c>
      <c r="L25" s="6">
        <v>1239269</v>
      </c>
      <c r="M25" s="28">
        <v>0.66185146243470949</v>
      </c>
      <c r="N25" s="28">
        <v>0.33814853756529051</v>
      </c>
      <c r="Q25" s="92"/>
      <c r="R25" s="92"/>
    </row>
    <row r="26" spans="1:18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</row>
    <row r="27" spans="1:18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</row>
    <row r="28" spans="1:18">
      <c r="A28" s="93" t="s">
        <v>423</v>
      </c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</row>
    <row r="29" spans="1:18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</row>
    <row r="30" spans="1:18">
      <c r="A30" s="92" t="s">
        <v>583</v>
      </c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</row>
    <row r="31" spans="1:18">
      <c r="A31" s="94" t="s">
        <v>582</v>
      </c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</row>
    <row r="32" spans="1:18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</row>
    <row r="33" spans="1:18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</row>
    <row r="34" spans="1:18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</row>
    <row r="35" spans="1:18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</row>
    <row r="36" spans="1:18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</row>
    <row r="37" spans="1:18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</row>
    <row r="38" spans="1:18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</row>
    <row r="39" spans="1:18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</row>
    <row r="40" spans="1:18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</row>
    <row r="41" spans="1:18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</row>
    <row r="42" spans="1:18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</row>
    <row r="43" spans="1:18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</row>
    <row r="44" spans="1:18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</row>
    <row r="45" spans="1:18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</row>
    <row r="46" spans="1:18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</row>
    <row r="47" spans="1:18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</row>
    <row r="48" spans="1:18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</row>
    <row r="49" spans="1:18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</row>
    <row r="50" spans="1:18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</row>
    <row r="51" spans="1:18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</row>
    <row r="52" spans="1:18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</row>
    <row r="53" spans="1:18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</row>
    <row r="54" spans="1:18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</row>
    <row r="55" spans="1:18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</row>
    <row r="56" spans="1:18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</row>
    <row r="57" spans="1:18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</row>
    <row r="58" spans="1:18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</row>
    <row r="59" spans="1:18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</row>
    <row r="60" spans="1:18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</row>
    <row r="61" spans="1:18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</row>
    <row r="62" spans="1:18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</row>
    <row r="63" spans="1:18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</row>
  </sheetData>
  <hyperlinks>
    <hyperlink ref="A3" location="TableOfContents!A1" display="Back"/>
    <hyperlink ref="A31" r:id="rId1" location="table7.e3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54"/>
  <sheetViews>
    <sheetView workbookViewId="0">
      <selection activeCell="G10" sqref="G10"/>
    </sheetView>
  </sheetViews>
  <sheetFormatPr defaultRowHeight="15"/>
  <cols>
    <col min="1" max="1" width="6.28515625" customWidth="1"/>
    <col min="2" max="2" width="10.42578125" customWidth="1"/>
    <col min="3" max="3" width="13" customWidth="1"/>
  </cols>
  <sheetData>
    <row r="1" spans="1:3" ht="15.75">
      <c r="A1" s="24" t="s">
        <v>584</v>
      </c>
    </row>
    <row r="3" spans="1:3" ht="18.75">
      <c r="A3" s="84" t="s">
        <v>252</v>
      </c>
      <c r="B3" s="85" t="s">
        <v>253</v>
      </c>
    </row>
    <row r="6" spans="1:3" ht="45">
      <c r="A6" s="12" t="s">
        <v>87</v>
      </c>
      <c r="B6" s="226" t="s">
        <v>592</v>
      </c>
      <c r="C6" s="226" t="s">
        <v>593</v>
      </c>
    </row>
    <row r="7" spans="1:3">
      <c r="A7" s="95">
        <v>1974</v>
      </c>
      <c r="B7" s="96">
        <v>205.7</v>
      </c>
      <c r="C7" s="97">
        <v>909.82</v>
      </c>
    </row>
    <row r="8" spans="1:3">
      <c r="A8" s="95">
        <v>1975</v>
      </c>
      <c r="B8" s="96">
        <v>225.9</v>
      </c>
      <c r="C8" s="97">
        <v>915.59</v>
      </c>
    </row>
    <row r="9" spans="1:3">
      <c r="A9" s="95">
        <v>1976</v>
      </c>
      <c r="B9" s="96">
        <v>245.17</v>
      </c>
      <c r="C9" s="97">
        <v>939.56</v>
      </c>
    </row>
    <row r="10" spans="1:3">
      <c r="A10" s="95">
        <v>1977</v>
      </c>
      <c r="B10" s="96">
        <v>265.3</v>
      </c>
      <c r="C10" s="97">
        <v>954.62</v>
      </c>
    </row>
    <row r="11" spans="1:3">
      <c r="A11" s="95">
        <v>1978</v>
      </c>
      <c r="B11" s="96">
        <v>288.3</v>
      </c>
      <c r="C11" s="97">
        <v>964.2</v>
      </c>
    </row>
    <row r="12" spans="1:3">
      <c r="A12" s="95">
        <v>1979</v>
      </c>
      <c r="B12" s="96">
        <v>322</v>
      </c>
      <c r="C12" s="97">
        <v>967.14</v>
      </c>
    </row>
    <row r="13" spans="1:3">
      <c r="A13" s="95">
        <v>1980</v>
      </c>
      <c r="B13" s="96">
        <v>370.7</v>
      </c>
      <c r="C13" s="97">
        <v>980.99</v>
      </c>
    </row>
    <row r="14" spans="1:3">
      <c r="A14" s="95">
        <v>1981</v>
      </c>
      <c r="B14" s="96">
        <v>413.2</v>
      </c>
      <c r="C14" s="97">
        <v>991.21</v>
      </c>
    </row>
    <row r="15" spans="1:3">
      <c r="A15" s="95">
        <v>1982</v>
      </c>
      <c r="B15" s="96">
        <v>440.6</v>
      </c>
      <c r="C15" s="97">
        <v>995.6</v>
      </c>
    </row>
    <row r="16" spans="1:3">
      <c r="A16" s="95">
        <v>1983</v>
      </c>
      <c r="B16" s="96">
        <v>456.2</v>
      </c>
      <c r="C16" s="97">
        <v>998.77</v>
      </c>
    </row>
    <row r="17" spans="1:3">
      <c r="A17" s="95">
        <v>1984</v>
      </c>
      <c r="B17" s="96">
        <v>470.7</v>
      </c>
      <c r="C17" s="97">
        <v>987.86</v>
      </c>
    </row>
    <row r="18" spans="1:3">
      <c r="A18" s="95">
        <v>1985</v>
      </c>
      <c r="B18" s="96">
        <v>483.8</v>
      </c>
      <c r="C18" s="97">
        <v>980.44</v>
      </c>
    </row>
    <row r="19" spans="1:3">
      <c r="A19" s="95">
        <v>1986</v>
      </c>
      <c r="B19" s="96">
        <v>487.9</v>
      </c>
      <c r="C19" s="97">
        <v>970.71</v>
      </c>
    </row>
    <row r="20" spans="1:3">
      <c r="A20" s="95">
        <v>1987</v>
      </c>
      <c r="B20" s="96">
        <v>508.2</v>
      </c>
      <c r="C20" s="97">
        <v>975.49</v>
      </c>
    </row>
    <row r="21" spans="1:3">
      <c r="A21" s="95">
        <v>1988</v>
      </c>
      <c r="B21" s="96">
        <v>529.5</v>
      </c>
      <c r="C21" s="97">
        <v>976</v>
      </c>
    </row>
    <row r="22" spans="1:3">
      <c r="A22" s="95">
        <v>1989</v>
      </c>
      <c r="B22" s="96">
        <v>556</v>
      </c>
      <c r="C22" s="97">
        <v>977.73</v>
      </c>
    </row>
    <row r="23" spans="1:3">
      <c r="A23" s="95">
        <v>1990</v>
      </c>
      <c r="B23" s="96">
        <v>587.20000000000005</v>
      </c>
      <c r="C23" s="97">
        <v>979.67</v>
      </c>
    </row>
    <row r="24" spans="1:3">
      <c r="A24" s="95">
        <v>1991</v>
      </c>
      <c r="B24" s="96">
        <v>609.4</v>
      </c>
      <c r="C24" s="97">
        <v>975.65</v>
      </c>
    </row>
    <row r="25" spans="1:3">
      <c r="A25" s="95">
        <v>1992</v>
      </c>
      <c r="B25" s="96">
        <v>626.1</v>
      </c>
      <c r="C25" s="97">
        <v>973.09</v>
      </c>
    </row>
    <row r="26" spans="1:3">
      <c r="A26" s="95">
        <v>1993</v>
      </c>
      <c r="B26" s="96">
        <v>641.70000000000005</v>
      </c>
      <c r="C26" s="97">
        <v>968.35</v>
      </c>
    </row>
    <row r="27" spans="1:3">
      <c r="A27" s="95">
        <v>1994</v>
      </c>
      <c r="B27" s="96">
        <v>661.4</v>
      </c>
      <c r="C27" s="97">
        <v>973.16</v>
      </c>
    </row>
    <row r="28" spans="1:3">
      <c r="A28" s="95">
        <v>1995</v>
      </c>
      <c r="B28" s="96">
        <v>681.6</v>
      </c>
      <c r="C28" s="97">
        <v>975.24</v>
      </c>
    </row>
    <row r="29" spans="1:3">
      <c r="A29" s="95">
        <v>1996</v>
      </c>
      <c r="B29" s="96">
        <v>703.9</v>
      </c>
      <c r="C29" s="97">
        <v>978.26</v>
      </c>
    </row>
    <row r="30" spans="1:3">
      <c r="A30" s="95">
        <v>1997</v>
      </c>
      <c r="B30" s="96">
        <v>721.6</v>
      </c>
      <c r="C30" s="97">
        <v>980.37</v>
      </c>
    </row>
    <row r="31" spans="1:3">
      <c r="A31" s="95">
        <v>1998</v>
      </c>
      <c r="B31" s="96">
        <v>733.1</v>
      </c>
      <c r="C31" s="97">
        <v>980.72</v>
      </c>
    </row>
    <row r="32" spans="1:3">
      <c r="A32" s="95">
        <v>1999</v>
      </c>
      <c r="B32" s="96">
        <v>754.1</v>
      </c>
      <c r="C32" s="97">
        <v>987.01</v>
      </c>
    </row>
    <row r="33" spans="1:3">
      <c r="A33" s="95">
        <v>2000</v>
      </c>
      <c r="B33" s="96">
        <v>786.4</v>
      </c>
      <c r="C33" s="97">
        <v>995.81</v>
      </c>
    </row>
    <row r="34" spans="1:3">
      <c r="A34" s="95">
        <v>2001</v>
      </c>
      <c r="B34" s="96">
        <v>814.4</v>
      </c>
      <c r="C34" s="97">
        <v>1002.74</v>
      </c>
    </row>
    <row r="35" spans="1:3">
      <c r="A35" s="95">
        <v>2002</v>
      </c>
      <c r="B35" s="96">
        <v>834.3</v>
      </c>
      <c r="C35" s="97">
        <v>1011.25</v>
      </c>
    </row>
    <row r="36" spans="1:3">
      <c r="A36" s="95">
        <v>2003</v>
      </c>
      <c r="B36" s="96">
        <v>861.6</v>
      </c>
      <c r="C36" s="97">
        <v>1021.07</v>
      </c>
    </row>
    <row r="37" spans="1:3">
      <c r="A37" s="95" t="s">
        <v>585</v>
      </c>
      <c r="B37" s="96">
        <v>894</v>
      </c>
      <c r="C37" s="97">
        <v>1031.99</v>
      </c>
    </row>
    <row r="38" spans="1:3">
      <c r="A38" s="95" t="s">
        <v>586</v>
      </c>
      <c r="B38" s="96">
        <v>938</v>
      </c>
      <c r="C38" s="97">
        <v>1047.29</v>
      </c>
    </row>
    <row r="39" spans="1:3">
      <c r="A39" s="95" t="s">
        <v>587</v>
      </c>
      <c r="B39" s="96">
        <v>977.7</v>
      </c>
      <c r="C39" s="97">
        <v>1057.51</v>
      </c>
    </row>
    <row r="40" spans="1:3">
      <c r="A40" s="95" t="s">
        <v>588</v>
      </c>
      <c r="B40" s="96">
        <v>1004</v>
      </c>
      <c r="C40" s="97">
        <v>1055.8800000000001</v>
      </c>
    </row>
    <row r="41" spans="1:3">
      <c r="A41" s="95" t="s">
        <v>589</v>
      </c>
      <c r="B41" s="96">
        <v>1063.0999999999999</v>
      </c>
      <c r="C41" s="97">
        <v>1076.69</v>
      </c>
    </row>
    <row r="42" spans="1:3">
      <c r="A42" s="95" t="s">
        <v>590</v>
      </c>
      <c r="B42" s="96">
        <v>1062</v>
      </c>
      <c r="C42" s="97">
        <v>1079.42</v>
      </c>
    </row>
    <row r="43" spans="1:3">
      <c r="A43" s="95" t="s">
        <v>591</v>
      </c>
      <c r="B43" s="96">
        <v>1067.8</v>
      </c>
      <c r="C43" s="97">
        <v>1067.8</v>
      </c>
    </row>
    <row r="46" spans="1:3">
      <c r="A46" s="15" t="s">
        <v>106</v>
      </c>
    </row>
    <row r="47" spans="1:3">
      <c r="A47" s="15"/>
    </row>
    <row r="48" spans="1:3">
      <c r="A48" s="4" t="s">
        <v>434</v>
      </c>
    </row>
    <row r="49" spans="1:1">
      <c r="A49" t="s">
        <v>595</v>
      </c>
    </row>
    <row r="50" spans="1:1">
      <c r="A50" s="1" t="s">
        <v>594</v>
      </c>
    </row>
    <row r="52" spans="1:1">
      <c r="A52" s="4" t="s">
        <v>596</v>
      </c>
    </row>
    <row r="53" spans="1:1">
      <c r="A53" t="s">
        <v>597</v>
      </c>
    </row>
    <row r="54" spans="1:1">
      <c r="A54" s="1" t="s">
        <v>598</v>
      </c>
    </row>
  </sheetData>
  <hyperlinks>
    <hyperlink ref="A3" location="TableOfContents!A1" display="Back"/>
    <hyperlink ref="A50" r:id="rId1"/>
    <hyperlink ref="A54" r:id="rId2"/>
  </hyperlinks>
  <pageMargins left="0.7" right="0.7" top="0.75" bottom="0.75" header="0.3" footer="0.3"/>
  <ignoredErrors>
    <ignoredError sqref="A37:A38 A39:A43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C54"/>
  <sheetViews>
    <sheetView workbookViewId="0">
      <selection activeCell="E7" sqref="E7"/>
    </sheetView>
  </sheetViews>
  <sheetFormatPr defaultRowHeight="15"/>
  <cols>
    <col min="1" max="1" width="6.42578125" customWidth="1"/>
    <col min="2" max="2" width="11.7109375" customWidth="1"/>
    <col min="3" max="3" width="13.5703125" customWidth="1"/>
  </cols>
  <sheetData>
    <row r="1" spans="1:3" ht="15.75">
      <c r="A1" s="24" t="s">
        <v>599</v>
      </c>
    </row>
    <row r="3" spans="1:3" ht="18.75">
      <c r="A3" s="84" t="s">
        <v>252</v>
      </c>
      <c r="B3" s="85" t="s">
        <v>253</v>
      </c>
    </row>
    <row r="6" spans="1:3" ht="60">
      <c r="A6" s="12" t="s">
        <v>87</v>
      </c>
      <c r="B6" s="226" t="s">
        <v>969</v>
      </c>
      <c r="C6" s="226" t="s">
        <v>970</v>
      </c>
    </row>
    <row r="7" spans="1:3">
      <c r="A7">
        <v>1974</v>
      </c>
      <c r="B7" s="98">
        <v>146</v>
      </c>
      <c r="C7" s="98">
        <v>645.76</v>
      </c>
    </row>
    <row r="8" spans="1:3">
      <c r="A8">
        <v>1975</v>
      </c>
      <c r="B8" s="98">
        <v>157.69999999999999</v>
      </c>
      <c r="C8" s="98">
        <v>639.16999999999996</v>
      </c>
    </row>
    <row r="9" spans="1:3">
      <c r="A9">
        <v>1976</v>
      </c>
      <c r="B9" s="98">
        <v>167.8</v>
      </c>
      <c r="C9" s="98">
        <v>643.04999999999995</v>
      </c>
    </row>
    <row r="10" spans="1:3">
      <c r="A10">
        <v>1977</v>
      </c>
      <c r="B10" s="98">
        <v>177.8</v>
      </c>
      <c r="C10" s="98">
        <v>639.77</v>
      </c>
    </row>
    <row r="11" spans="1:3">
      <c r="A11">
        <v>1978</v>
      </c>
      <c r="B11" s="98">
        <v>189.4</v>
      </c>
      <c r="C11" s="98">
        <v>633.42999999999995</v>
      </c>
    </row>
    <row r="12" spans="1:3">
      <c r="A12">
        <v>1979</v>
      </c>
      <c r="B12" s="98">
        <v>208.2</v>
      </c>
      <c r="C12" s="98">
        <v>625.33000000000004</v>
      </c>
    </row>
    <row r="13" spans="1:3">
      <c r="A13">
        <v>1980</v>
      </c>
      <c r="B13" s="98">
        <v>238</v>
      </c>
      <c r="C13" s="98">
        <v>629.82000000000005</v>
      </c>
    </row>
    <row r="14" spans="1:3">
      <c r="A14">
        <v>1981</v>
      </c>
      <c r="B14" s="98">
        <v>264.7</v>
      </c>
      <c r="C14" s="98">
        <v>634.98</v>
      </c>
    </row>
    <row r="15" spans="1:3">
      <c r="A15">
        <v>1982</v>
      </c>
      <c r="B15" s="98">
        <v>284.3</v>
      </c>
      <c r="C15" s="98">
        <v>642.41999999999996</v>
      </c>
    </row>
    <row r="16" spans="1:3">
      <c r="A16">
        <v>1983</v>
      </c>
      <c r="B16" s="98">
        <v>304.3</v>
      </c>
      <c r="C16" s="98">
        <v>666.21</v>
      </c>
    </row>
    <row r="17" spans="1:3">
      <c r="A17">
        <v>1984</v>
      </c>
      <c r="B17" s="98">
        <v>314</v>
      </c>
      <c r="C17" s="98">
        <v>659</v>
      </c>
    </row>
    <row r="18" spans="1:3">
      <c r="A18">
        <v>1985</v>
      </c>
      <c r="B18" s="98">
        <v>325</v>
      </c>
      <c r="C18" s="98">
        <v>658.63</v>
      </c>
    </row>
    <row r="19" spans="1:3">
      <c r="A19">
        <v>1986</v>
      </c>
      <c r="B19" s="98">
        <v>336</v>
      </c>
      <c r="C19" s="98">
        <v>668.49</v>
      </c>
    </row>
    <row r="20" spans="1:3">
      <c r="A20">
        <v>1987</v>
      </c>
      <c r="B20" s="98">
        <v>340</v>
      </c>
      <c r="C20" s="98">
        <v>652.63</v>
      </c>
    </row>
    <row r="21" spans="1:3">
      <c r="A21">
        <v>1988</v>
      </c>
      <c r="B21" s="98">
        <v>354</v>
      </c>
      <c r="C21" s="98">
        <v>652.51</v>
      </c>
    </row>
    <row r="22" spans="1:3">
      <c r="A22">
        <v>1989</v>
      </c>
      <c r="B22" s="98">
        <v>368</v>
      </c>
      <c r="C22" s="98">
        <v>647.13</v>
      </c>
    </row>
    <row r="23" spans="1:3">
      <c r="A23">
        <v>1990</v>
      </c>
      <c r="B23" s="98">
        <v>386</v>
      </c>
      <c r="C23" s="98">
        <v>643.99</v>
      </c>
    </row>
    <row r="24" spans="1:3">
      <c r="A24">
        <v>1991</v>
      </c>
      <c r="B24" s="98">
        <v>407</v>
      </c>
      <c r="C24" s="98">
        <v>651.61</v>
      </c>
    </row>
    <row r="25" spans="1:3">
      <c r="A25">
        <v>1992</v>
      </c>
      <c r="B25" s="98">
        <v>422</v>
      </c>
      <c r="C25" s="98">
        <v>655.88</v>
      </c>
    </row>
    <row r="26" spans="1:3">
      <c r="A26">
        <v>1993</v>
      </c>
      <c r="B26" s="98">
        <v>434</v>
      </c>
      <c r="C26" s="98">
        <v>654.91999999999996</v>
      </c>
    </row>
    <row r="27" spans="1:3">
      <c r="A27">
        <v>1994</v>
      </c>
      <c r="B27" s="98">
        <v>446</v>
      </c>
      <c r="C27" s="98">
        <v>656.23</v>
      </c>
    </row>
    <row r="28" spans="1:3">
      <c r="A28">
        <v>1995</v>
      </c>
      <c r="B28" s="98">
        <v>458</v>
      </c>
      <c r="C28" s="98">
        <v>655.30999999999995</v>
      </c>
    </row>
    <row r="29" spans="1:3">
      <c r="A29">
        <v>1996</v>
      </c>
      <c r="B29" s="98">
        <v>470</v>
      </c>
      <c r="C29" s="98">
        <v>653.20000000000005</v>
      </c>
    </row>
    <row r="30" spans="1:3">
      <c r="A30">
        <v>1997</v>
      </c>
      <c r="B30" s="98">
        <v>484</v>
      </c>
      <c r="C30" s="98">
        <v>657.56</v>
      </c>
    </row>
    <row r="31" spans="1:3">
      <c r="A31">
        <v>1998</v>
      </c>
      <c r="B31" s="98">
        <v>494</v>
      </c>
      <c r="C31" s="98">
        <v>660.86</v>
      </c>
    </row>
    <row r="32" spans="1:3">
      <c r="A32">
        <v>1999</v>
      </c>
      <c r="B32" s="98">
        <v>500</v>
      </c>
      <c r="C32" s="98">
        <v>654.42999999999995</v>
      </c>
    </row>
    <row r="33" spans="1:3">
      <c r="A33">
        <v>2000</v>
      </c>
      <c r="B33" s="98">
        <v>513</v>
      </c>
      <c r="C33" s="98">
        <v>649.61</v>
      </c>
    </row>
    <row r="34" spans="1:3">
      <c r="A34">
        <v>2001</v>
      </c>
      <c r="B34" s="98">
        <v>531</v>
      </c>
      <c r="C34" s="98">
        <v>653.79999999999995</v>
      </c>
    </row>
    <row r="35" spans="1:3">
      <c r="A35">
        <v>2002</v>
      </c>
      <c r="B35" s="98">
        <v>545</v>
      </c>
      <c r="C35" s="98">
        <v>660.59</v>
      </c>
    </row>
    <row r="36" spans="1:3">
      <c r="A36">
        <v>2003</v>
      </c>
      <c r="B36" s="98">
        <v>552</v>
      </c>
      <c r="C36" s="98">
        <v>654.16999999999996</v>
      </c>
    </row>
    <row r="37" spans="1:3">
      <c r="A37">
        <v>2004</v>
      </c>
      <c r="B37" s="98">
        <v>564</v>
      </c>
      <c r="C37" s="98">
        <v>651.04999999999995</v>
      </c>
    </row>
    <row r="38" spans="1:3">
      <c r="A38">
        <v>2005</v>
      </c>
      <c r="B38" s="98">
        <v>579</v>
      </c>
      <c r="C38" s="98">
        <v>646.46</v>
      </c>
    </row>
    <row r="39" spans="1:3">
      <c r="A39">
        <v>2006</v>
      </c>
      <c r="B39" s="98">
        <v>603</v>
      </c>
      <c r="C39" s="98">
        <v>652.22</v>
      </c>
    </row>
    <row r="40" spans="1:3">
      <c r="A40">
        <v>2007</v>
      </c>
      <c r="B40" s="98">
        <v>623</v>
      </c>
      <c r="C40" s="98">
        <v>655.19000000000005</v>
      </c>
    </row>
    <row r="41" spans="1:3">
      <c r="A41">
        <v>2008</v>
      </c>
      <c r="B41" s="98">
        <v>637</v>
      </c>
      <c r="C41" s="98">
        <v>645.15</v>
      </c>
    </row>
    <row r="42" spans="1:3">
      <c r="A42">
        <v>2009</v>
      </c>
      <c r="B42" s="98">
        <v>674</v>
      </c>
      <c r="C42" s="98">
        <v>685.06</v>
      </c>
    </row>
    <row r="43" spans="1:3">
      <c r="A43">
        <v>2010</v>
      </c>
      <c r="B43" s="98">
        <v>674</v>
      </c>
      <c r="C43" s="98">
        <v>674</v>
      </c>
    </row>
    <row r="46" spans="1:3">
      <c r="A46" s="15" t="s">
        <v>106</v>
      </c>
    </row>
    <row r="48" spans="1:3">
      <c r="A48" s="4" t="s">
        <v>433</v>
      </c>
    </row>
    <row r="49" spans="1:1">
      <c r="A49" t="s">
        <v>600</v>
      </c>
    </row>
    <row r="50" spans="1:1">
      <c r="A50" s="1" t="s">
        <v>601</v>
      </c>
    </row>
    <row r="52" spans="1:1">
      <c r="A52" s="4" t="s">
        <v>596</v>
      </c>
    </row>
    <row r="53" spans="1:1">
      <c r="A53" t="s">
        <v>597</v>
      </c>
    </row>
    <row r="54" spans="1:1">
      <c r="A54" s="1" t="s">
        <v>598</v>
      </c>
    </row>
  </sheetData>
  <hyperlinks>
    <hyperlink ref="A3" location="TableOfContents!A1" display="Back"/>
    <hyperlink ref="A50" r:id="rId1" location="150288"/>
    <hyperlink ref="A54" r:id="rId2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L33"/>
  <sheetViews>
    <sheetView workbookViewId="0">
      <selection activeCell="L20" sqref="L20"/>
    </sheetView>
  </sheetViews>
  <sheetFormatPr defaultRowHeight="15"/>
  <cols>
    <col min="1" max="1" width="6.28515625" customWidth="1"/>
    <col min="2" max="2" width="15.85546875" customWidth="1"/>
  </cols>
  <sheetData>
    <row r="1" spans="1:12" ht="15.75">
      <c r="A1" s="24" t="s">
        <v>602</v>
      </c>
    </row>
    <row r="3" spans="1:12" ht="18.75">
      <c r="A3" s="84" t="s">
        <v>252</v>
      </c>
      <c r="B3" s="85" t="s">
        <v>253</v>
      </c>
    </row>
    <row r="6" spans="1:12">
      <c r="B6" s="4" t="s">
        <v>606</v>
      </c>
    </row>
    <row r="8" spans="1:12">
      <c r="C8" s="8">
        <v>1980</v>
      </c>
      <c r="D8" s="8">
        <v>1985</v>
      </c>
      <c r="E8" s="8">
        <v>1990</v>
      </c>
      <c r="F8" s="8">
        <v>1995</v>
      </c>
      <c r="G8" s="8">
        <v>2000</v>
      </c>
      <c r="H8" s="8">
        <v>2005</v>
      </c>
      <c r="I8" s="8">
        <v>2010</v>
      </c>
    </row>
    <row r="9" spans="1:12">
      <c r="B9" s="4" t="s">
        <v>603</v>
      </c>
      <c r="C9" s="245">
        <v>0.52500000000000002</v>
      </c>
      <c r="D9" s="245">
        <v>0.56700000000000006</v>
      </c>
      <c r="E9" s="245">
        <v>0.55700000000000005</v>
      </c>
      <c r="F9" s="245">
        <v>0.54600000000000004</v>
      </c>
      <c r="G9" s="245">
        <v>0.65300000000000002</v>
      </c>
      <c r="H9" s="245">
        <v>0.65300000000000002</v>
      </c>
      <c r="I9" s="245">
        <v>0.59399999999999997</v>
      </c>
      <c r="L9" s="111"/>
    </row>
    <row r="10" spans="1:12">
      <c r="B10" s="4" t="s">
        <v>604</v>
      </c>
      <c r="C10" s="245">
        <v>0.374</v>
      </c>
      <c r="D10" s="245">
        <v>0.41100000000000003</v>
      </c>
      <c r="E10" s="245">
        <v>0.42599999999999999</v>
      </c>
      <c r="F10" s="245">
        <v>0.38500000000000001</v>
      </c>
      <c r="G10" s="245">
        <v>0.44600000000000001</v>
      </c>
      <c r="H10" s="245">
        <v>0.44</v>
      </c>
      <c r="I10" s="245">
        <v>0.45500000000000002</v>
      </c>
    </row>
    <row r="11" spans="1:12">
      <c r="B11" s="4" t="s">
        <v>605</v>
      </c>
      <c r="C11" s="245">
        <v>0.23699999999999999</v>
      </c>
      <c r="D11" s="245">
        <v>0.313</v>
      </c>
      <c r="E11" s="245">
        <v>0.25800000000000001</v>
      </c>
      <c r="F11" s="245">
        <v>0.27600000000000002</v>
      </c>
      <c r="G11" s="245">
        <v>0.309</v>
      </c>
      <c r="H11" s="245">
        <v>0.28499999999999998</v>
      </c>
      <c r="I11" s="245">
        <v>0.33899999999999997</v>
      </c>
    </row>
    <row r="12" spans="1:12">
      <c r="C12" s="111"/>
      <c r="D12" s="111"/>
      <c r="E12" s="111"/>
      <c r="F12" s="111"/>
      <c r="G12" s="111"/>
      <c r="H12" s="111"/>
      <c r="I12" s="111"/>
    </row>
    <row r="13" spans="1:12">
      <c r="C13" s="111"/>
      <c r="D13" s="111"/>
      <c r="E13" s="111"/>
      <c r="F13" s="111"/>
      <c r="G13" s="111"/>
      <c r="H13" s="111"/>
      <c r="I13" s="111"/>
    </row>
    <row r="14" spans="1:12">
      <c r="B14" s="4" t="s">
        <v>607</v>
      </c>
      <c r="C14" s="111"/>
      <c r="D14" s="111"/>
      <c r="E14" s="111"/>
      <c r="F14" s="111"/>
      <c r="G14" s="111"/>
      <c r="H14" s="111"/>
      <c r="I14" s="111"/>
    </row>
    <row r="15" spans="1:12">
      <c r="C15" s="111"/>
      <c r="D15" s="111"/>
      <c r="E15" s="111"/>
      <c r="F15" s="111"/>
      <c r="G15" s="111"/>
      <c r="H15" s="111"/>
      <c r="I15" s="111"/>
    </row>
    <row r="16" spans="1:12">
      <c r="C16" s="8">
        <v>1980</v>
      </c>
      <c r="D16" s="8">
        <v>1985</v>
      </c>
      <c r="E16" s="8">
        <v>1990</v>
      </c>
      <c r="F16" s="8">
        <v>1995</v>
      </c>
      <c r="G16" s="8">
        <v>2000</v>
      </c>
      <c r="H16" s="8">
        <v>2005</v>
      </c>
      <c r="I16" s="8">
        <v>2010</v>
      </c>
    </row>
    <row r="17" spans="2:9">
      <c r="B17" s="4" t="s">
        <v>603</v>
      </c>
      <c r="C17" s="245">
        <v>0.53900000000000003</v>
      </c>
      <c r="D17" s="245">
        <v>0.58299999999999996</v>
      </c>
      <c r="E17" s="245">
        <v>0.57399999999999995</v>
      </c>
      <c r="F17" s="245">
        <v>0.50600000000000001</v>
      </c>
      <c r="G17" s="245">
        <v>0.58799999999999997</v>
      </c>
      <c r="H17" s="245">
        <v>0.59099999999999997</v>
      </c>
      <c r="I17" s="245">
        <v>0.55899999999999994</v>
      </c>
    </row>
    <row r="18" spans="2:9">
      <c r="B18" s="4" t="s">
        <v>604</v>
      </c>
      <c r="C18" s="245">
        <v>0.32500000000000001</v>
      </c>
      <c r="D18" s="245">
        <v>0.375</v>
      </c>
      <c r="E18" s="245">
        <v>0.41100000000000003</v>
      </c>
      <c r="F18" s="245">
        <v>0.29600000000000004</v>
      </c>
      <c r="G18" s="245">
        <v>0.37799999999999995</v>
      </c>
      <c r="H18" s="245">
        <v>0.36700000000000005</v>
      </c>
      <c r="I18" s="245">
        <v>0.34899999999999998</v>
      </c>
    </row>
    <row r="19" spans="2:9">
      <c r="B19" s="4" t="s">
        <v>605</v>
      </c>
      <c r="C19" s="245">
        <v>0.19600000000000001</v>
      </c>
      <c r="D19" s="245">
        <v>0.26899999999999996</v>
      </c>
      <c r="E19" s="245">
        <v>0.23600000000000002</v>
      </c>
      <c r="F19" s="245">
        <v>0.16699999999999998</v>
      </c>
      <c r="G19" s="245">
        <v>0.26600000000000001</v>
      </c>
      <c r="H19" s="246">
        <v>0.252</v>
      </c>
      <c r="I19" s="247">
        <v>0.23499999999999999</v>
      </c>
    </row>
    <row r="20" spans="2:9">
      <c r="C20" s="111"/>
      <c r="D20" s="111"/>
      <c r="E20" s="111"/>
      <c r="F20" s="111"/>
      <c r="G20" s="111"/>
      <c r="H20" s="111"/>
      <c r="I20" s="111"/>
    </row>
    <row r="21" spans="2:9">
      <c r="C21" s="111"/>
      <c r="D21" s="111"/>
      <c r="E21" s="111"/>
      <c r="F21" s="111"/>
      <c r="G21" s="111"/>
      <c r="H21" s="111"/>
      <c r="I21" s="111"/>
    </row>
    <row r="22" spans="2:9">
      <c r="B22" s="4" t="s">
        <v>608</v>
      </c>
      <c r="C22" s="111"/>
      <c r="D22" s="111"/>
      <c r="E22" s="111"/>
      <c r="F22" s="111"/>
      <c r="G22" s="111"/>
      <c r="H22" s="111"/>
      <c r="I22" s="111"/>
    </row>
    <row r="23" spans="2:9">
      <c r="C23" s="111"/>
      <c r="D23" s="111"/>
      <c r="E23" s="111"/>
      <c r="F23" s="111"/>
      <c r="G23" s="111"/>
      <c r="H23" s="111"/>
      <c r="I23" s="111"/>
    </row>
    <row r="24" spans="2:9">
      <c r="B24" s="12"/>
      <c r="C24" s="8">
        <v>1980</v>
      </c>
      <c r="D24" s="8">
        <v>1985</v>
      </c>
      <c r="E24" s="8">
        <v>1990</v>
      </c>
      <c r="F24" s="8">
        <v>1995</v>
      </c>
      <c r="G24" s="8">
        <v>2000</v>
      </c>
      <c r="H24" s="8">
        <v>2005</v>
      </c>
      <c r="I24" s="8">
        <v>2010</v>
      </c>
    </row>
    <row r="25" spans="2:9">
      <c r="B25" s="4" t="s">
        <v>603</v>
      </c>
      <c r="C25" s="245">
        <v>0.39100000000000001</v>
      </c>
      <c r="D25" s="245">
        <v>0.47799999999999998</v>
      </c>
      <c r="E25" s="245">
        <v>0.45600000000000002</v>
      </c>
      <c r="F25" s="245">
        <v>0.43799999999999994</v>
      </c>
      <c r="G25" s="245">
        <v>0.54600000000000004</v>
      </c>
      <c r="H25" s="245">
        <v>0.53799999999999992</v>
      </c>
      <c r="I25" s="245">
        <v>0.39600000000000002</v>
      </c>
    </row>
    <row r="26" spans="2:9">
      <c r="B26" s="4" t="s">
        <v>604</v>
      </c>
      <c r="C26" s="245">
        <v>0.23499999999999999</v>
      </c>
      <c r="D26" s="245">
        <v>0.27699999999999997</v>
      </c>
      <c r="E26" s="245">
        <v>0.312</v>
      </c>
      <c r="F26" s="245">
        <v>0.248</v>
      </c>
      <c r="G26" s="245">
        <v>0.29799999999999999</v>
      </c>
      <c r="H26" s="245">
        <v>0.25600000000000001</v>
      </c>
      <c r="I26" s="245">
        <v>0.25</v>
      </c>
    </row>
    <row r="27" spans="2:9">
      <c r="B27" s="4" t="s">
        <v>605</v>
      </c>
      <c r="C27" s="245">
        <v>0.17800000000000002</v>
      </c>
      <c r="D27" s="245">
        <v>0.16600000000000001</v>
      </c>
      <c r="E27" s="245">
        <v>0.16899999999999998</v>
      </c>
      <c r="F27" s="245">
        <v>0.17100000000000001</v>
      </c>
      <c r="G27" s="245">
        <v>0.19800000000000001</v>
      </c>
      <c r="H27" s="245">
        <v>0.151</v>
      </c>
      <c r="I27" s="245">
        <v>0.16300000000000001</v>
      </c>
    </row>
    <row r="31" spans="2:9">
      <c r="B31" s="15" t="s">
        <v>423</v>
      </c>
    </row>
    <row r="33" spans="2:2">
      <c r="B33" t="s">
        <v>612</v>
      </c>
    </row>
  </sheetData>
  <hyperlinks>
    <hyperlink ref="A3" location="TableOfContents!A1" display="Back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62"/>
  <sheetViews>
    <sheetView workbookViewId="0">
      <selection activeCell="F5" sqref="F5"/>
    </sheetView>
  </sheetViews>
  <sheetFormatPr defaultRowHeight="15"/>
  <cols>
    <col min="1" max="1" width="6.28515625" customWidth="1"/>
    <col min="2" max="2" width="18.5703125" customWidth="1"/>
    <col min="3" max="4" width="10.28515625" customWidth="1"/>
  </cols>
  <sheetData>
    <row r="1" spans="1:4" ht="15.75">
      <c r="A1" s="24" t="s">
        <v>609</v>
      </c>
      <c r="B1" s="24"/>
    </row>
    <row r="3" spans="1:4" ht="18.75">
      <c r="A3" s="84" t="s">
        <v>252</v>
      </c>
      <c r="B3" s="85" t="s">
        <v>253</v>
      </c>
    </row>
    <row r="6" spans="1:4">
      <c r="A6" s="100" t="s">
        <v>467</v>
      </c>
      <c r="B6" s="100" t="s">
        <v>218</v>
      </c>
      <c r="C6" s="8" t="s">
        <v>610</v>
      </c>
      <c r="D6" s="8" t="s">
        <v>611</v>
      </c>
    </row>
    <row r="7" spans="1:4">
      <c r="A7" s="80" t="s">
        <v>206</v>
      </c>
      <c r="B7" s="80" t="s">
        <v>207</v>
      </c>
      <c r="C7" s="5">
        <v>0.32200000000000001</v>
      </c>
      <c r="D7" s="5">
        <v>0.308</v>
      </c>
    </row>
    <row r="8" spans="1:4">
      <c r="A8" s="80" t="s">
        <v>144</v>
      </c>
      <c r="B8" s="80" t="s">
        <v>145</v>
      </c>
      <c r="C8" s="5">
        <v>0.42200000000000004</v>
      </c>
      <c r="D8" s="5">
        <v>0.48899999999999999</v>
      </c>
    </row>
    <row r="9" spans="1:4">
      <c r="A9" s="80" t="s">
        <v>134</v>
      </c>
      <c r="B9" s="80" t="s">
        <v>135</v>
      </c>
      <c r="C9" s="5">
        <v>0.33399999999999996</v>
      </c>
      <c r="D9" s="5">
        <v>0.314</v>
      </c>
    </row>
    <row r="10" spans="1:4">
      <c r="A10" s="80" t="s">
        <v>208</v>
      </c>
      <c r="B10" s="80" t="s">
        <v>209</v>
      </c>
      <c r="C10" s="5">
        <v>0.34200000000000003</v>
      </c>
      <c r="D10" s="5">
        <v>0.33399999999999996</v>
      </c>
    </row>
    <row r="11" spans="1:4">
      <c r="A11" s="80" t="s">
        <v>142</v>
      </c>
      <c r="B11" s="80" t="s">
        <v>143</v>
      </c>
      <c r="C11" s="5">
        <v>0.31900000000000001</v>
      </c>
      <c r="D11" s="5">
        <v>0.36499999999999999</v>
      </c>
    </row>
    <row r="12" spans="1:4">
      <c r="A12" s="80" t="s">
        <v>124</v>
      </c>
      <c r="B12" s="80" t="s">
        <v>125</v>
      </c>
      <c r="C12" s="5">
        <v>0.39899999999999997</v>
      </c>
      <c r="D12" s="5">
        <v>0.38100000000000001</v>
      </c>
    </row>
    <row r="13" spans="1:4">
      <c r="A13" s="80" t="s">
        <v>128</v>
      </c>
      <c r="B13" s="80" t="s">
        <v>129</v>
      </c>
      <c r="C13" s="5">
        <v>0.45799999999999996</v>
      </c>
      <c r="D13" s="5">
        <v>0.33399999999999996</v>
      </c>
    </row>
    <row r="14" spans="1:4">
      <c r="A14" s="80" t="s">
        <v>156</v>
      </c>
      <c r="B14" s="80" t="s">
        <v>157</v>
      </c>
      <c r="C14" s="5">
        <v>0.47799999999999998</v>
      </c>
      <c r="D14" s="5">
        <v>0.40299999999999997</v>
      </c>
    </row>
    <row r="15" spans="1:4">
      <c r="A15" s="80" t="s">
        <v>176</v>
      </c>
      <c r="B15" s="80" t="s">
        <v>177</v>
      </c>
      <c r="C15" s="5">
        <v>0.33500000000000002</v>
      </c>
      <c r="D15" s="5">
        <v>0.47899999999999998</v>
      </c>
    </row>
    <row r="16" spans="1:4">
      <c r="A16" s="80" t="s">
        <v>180</v>
      </c>
      <c r="B16" s="80" t="s">
        <v>181</v>
      </c>
      <c r="C16" s="5">
        <v>0.379</v>
      </c>
      <c r="D16" s="5">
        <v>0.32700000000000001</v>
      </c>
    </row>
    <row r="17" spans="1:4">
      <c r="A17" s="80" t="s">
        <v>182</v>
      </c>
      <c r="B17" s="80" t="s">
        <v>183</v>
      </c>
      <c r="C17" s="5">
        <v>0.249</v>
      </c>
      <c r="D17" s="5">
        <v>0.28699999999999998</v>
      </c>
    </row>
    <row r="18" spans="1:4">
      <c r="A18" s="80" t="s">
        <v>118</v>
      </c>
      <c r="B18" s="80" t="s">
        <v>119</v>
      </c>
      <c r="C18" s="5">
        <v>0.38799999999999996</v>
      </c>
      <c r="D18" s="5">
        <v>0.47600000000000003</v>
      </c>
    </row>
    <row r="19" spans="1:4">
      <c r="A19" s="80" t="s">
        <v>168</v>
      </c>
      <c r="B19" s="80" t="s">
        <v>169</v>
      </c>
      <c r="C19" s="5">
        <v>0.28600000000000003</v>
      </c>
      <c r="D19" s="5">
        <v>0.34100000000000003</v>
      </c>
    </row>
    <row r="20" spans="1:4">
      <c r="A20" s="80" t="s">
        <v>138</v>
      </c>
      <c r="B20" s="80" t="s">
        <v>139</v>
      </c>
      <c r="C20" s="5">
        <v>0.33899999999999997</v>
      </c>
      <c r="D20" s="5">
        <v>0.33799999999999997</v>
      </c>
    </row>
    <row r="21" spans="1:4">
      <c r="A21" s="80" t="s">
        <v>184</v>
      </c>
      <c r="B21" s="80" t="s">
        <v>185</v>
      </c>
      <c r="C21" s="5">
        <v>0.433</v>
      </c>
      <c r="D21" s="5">
        <v>0.33299999999999996</v>
      </c>
    </row>
    <row r="22" spans="1:4">
      <c r="A22" s="80" t="s">
        <v>158</v>
      </c>
      <c r="B22" s="80" t="s">
        <v>159</v>
      </c>
      <c r="C22" s="5">
        <v>0.42100000000000004</v>
      </c>
      <c r="D22" s="5">
        <v>0.32600000000000001</v>
      </c>
    </row>
    <row r="23" spans="1:4">
      <c r="A23" s="80" t="s">
        <v>170</v>
      </c>
      <c r="B23" s="80" t="s">
        <v>171</v>
      </c>
      <c r="C23" s="5">
        <v>0.42</v>
      </c>
      <c r="D23" s="5">
        <v>0.36899999999999999</v>
      </c>
    </row>
    <row r="24" spans="1:4">
      <c r="A24" s="80" t="s">
        <v>210</v>
      </c>
      <c r="B24" s="80" t="s">
        <v>211</v>
      </c>
      <c r="C24" s="5">
        <v>0.318</v>
      </c>
      <c r="D24" s="5">
        <v>0.3</v>
      </c>
    </row>
    <row r="25" spans="1:4">
      <c r="A25" s="80" t="s">
        <v>202</v>
      </c>
      <c r="B25" s="80" t="s">
        <v>203</v>
      </c>
      <c r="C25" s="5">
        <v>0.252</v>
      </c>
      <c r="D25" s="5">
        <v>0.35200000000000004</v>
      </c>
    </row>
    <row r="26" spans="1:4">
      <c r="A26" s="80" t="s">
        <v>188</v>
      </c>
      <c r="B26" s="80" t="s">
        <v>189</v>
      </c>
      <c r="C26" s="5">
        <v>0.46600000000000003</v>
      </c>
      <c r="D26" s="5">
        <v>0.318</v>
      </c>
    </row>
    <row r="27" spans="1:4">
      <c r="A27" s="80" t="s">
        <v>162</v>
      </c>
      <c r="B27" s="80" t="s">
        <v>163</v>
      </c>
      <c r="C27" s="5">
        <v>0.33</v>
      </c>
      <c r="D27" s="5">
        <v>0.374</v>
      </c>
    </row>
    <row r="28" spans="1:4">
      <c r="A28" s="80" t="s">
        <v>152</v>
      </c>
      <c r="B28" s="80" t="s">
        <v>153</v>
      </c>
      <c r="C28" s="5">
        <v>0.47200000000000003</v>
      </c>
      <c r="D28" s="5">
        <v>0.43700000000000006</v>
      </c>
    </row>
    <row r="29" spans="1:4">
      <c r="A29" s="80" t="s">
        <v>192</v>
      </c>
      <c r="B29" s="80" t="s">
        <v>193</v>
      </c>
      <c r="C29" s="5">
        <v>0.38799999999999996</v>
      </c>
      <c r="D29" s="5">
        <v>0.34299999999999997</v>
      </c>
    </row>
    <row r="30" spans="1:4">
      <c r="A30" s="80" t="s">
        <v>126</v>
      </c>
      <c r="B30" s="80" t="s">
        <v>127</v>
      </c>
      <c r="C30" s="5">
        <v>0.503</v>
      </c>
      <c r="D30" s="5">
        <v>0.36399999999999999</v>
      </c>
    </row>
    <row r="31" spans="1:4">
      <c r="A31" s="80" t="s">
        <v>214</v>
      </c>
      <c r="B31" s="80" t="s">
        <v>215</v>
      </c>
      <c r="C31" s="5">
        <v>0.28499999999999998</v>
      </c>
      <c r="D31" s="5">
        <v>0.249</v>
      </c>
    </row>
    <row r="32" spans="1:4">
      <c r="A32" s="80" t="s">
        <v>200</v>
      </c>
      <c r="B32" s="80" t="s">
        <v>201</v>
      </c>
      <c r="C32" s="5">
        <v>0.32700000000000001</v>
      </c>
      <c r="D32" s="5">
        <v>0.32700000000000001</v>
      </c>
    </row>
    <row r="33" spans="1:4">
      <c r="A33" s="80" t="s">
        <v>148</v>
      </c>
      <c r="B33" s="80" t="s">
        <v>149</v>
      </c>
      <c r="C33" s="5">
        <v>0.35700000000000004</v>
      </c>
      <c r="D33" s="5">
        <v>0.39</v>
      </c>
    </row>
    <row r="34" spans="1:4">
      <c r="A34" s="80" t="s">
        <v>130</v>
      </c>
      <c r="B34" s="80" t="s">
        <v>131</v>
      </c>
      <c r="C34" s="5">
        <v>0.41299999999999998</v>
      </c>
      <c r="D34" s="5">
        <v>0.39399999999999996</v>
      </c>
    </row>
    <row r="35" spans="1:4">
      <c r="A35" s="80" t="s">
        <v>140</v>
      </c>
      <c r="B35" s="80" t="s">
        <v>141</v>
      </c>
      <c r="C35" s="5">
        <v>0.35799999999999998</v>
      </c>
      <c r="D35" s="5">
        <v>0.38299999999999995</v>
      </c>
    </row>
    <row r="36" spans="1:4">
      <c r="A36" s="80" t="s">
        <v>164</v>
      </c>
      <c r="B36" s="80" t="s">
        <v>165</v>
      </c>
      <c r="C36" s="5">
        <v>0.496</v>
      </c>
      <c r="D36" s="5">
        <v>0.495</v>
      </c>
    </row>
    <row r="37" spans="1:4">
      <c r="A37" s="80" t="s">
        <v>120</v>
      </c>
      <c r="B37" s="80" t="s">
        <v>121</v>
      </c>
      <c r="C37" s="5">
        <v>0.442</v>
      </c>
      <c r="D37" s="5">
        <v>0.46500000000000002</v>
      </c>
    </row>
    <row r="38" spans="1:4">
      <c r="A38" s="80" t="s">
        <v>196</v>
      </c>
      <c r="B38" s="80" t="s">
        <v>197</v>
      </c>
      <c r="C38" s="5">
        <v>0.311</v>
      </c>
      <c r="D38" s="5">
        <v>0.35200000000000004</v>
      </c>
    </row>
    <row r="39" spans="1:4">
      <c r="A39" s="80" t="s">
        <v>150</v>
      </c>
      <c r="B39" s="80" t="s">
        <v>151</v>
      </c>
      <c r="C39" s="5">
        <v>0.35499999999999998</v>
      </c>
      <c r="D39" s="5">
        <v>0.41600000000000004</v>
      </c>
    </row>
    <row r="40" spans="1:4">
      <c r="A40" s="80" t="s">
        <v>186</v>
      </c>
      <c r="B40" s="80" t="s">
        <v>187</v>
      </c>
      <c r="C40" s="5">
        <v>0.39399999999999996</v>
      </c>
      <c r="D40" s="5">
        <v>0.28100000000000003</v>
      </c>
    </row>
    <row r="41" spans="1:4">
      <c r="A41" s="80" t="s">
        <v>132</v>
      </c>
      <c r="B41" s="80" t="s">
        <v>133</v>
      </c>
      <c r="C41" s="5">
        <v>0.44700000000000001</v>
      </c>
      <c r="D41" s="5">
        <v>0.43200000000000005</v>
      </c>
    </row>
    <row r="42" spans="1:4">
      <c r="A42" s="80" t="s">
        <v>190</v>
      </c>
      <c r="B42" s="80" t="s">
        <v>191</v>
      </c>
      <c r="C42" s="5">
        <v>0.42399999999999999</v>
      </c>
      <c r="D42" s="5">
        <v>0.313</v>
      </c>
    </row>
    <row r="43" spans="1:4">
      <c r="A43" s="80" t="s">
        <v>198</v>
      </c>
      <c r="B43" s="80" t="s">
        <v>199</v>
      </c>
      <c r="C43" s="5">
        <v>0.33500000000000002</v>
      </c>
      <c r="D43" s="5">
        <v>0.35799999999999998</v>
      </c>
    </row>
    <row r="44" spans="1:4">
      <c r="A44" s="80" t="s">
        <v>166</v>
      </c>
      <c r="B44" s="80" t="s">
        <v>167</v>
      </c>
      <c r="C44" s="5">
        <v>0.34700000000000003</v>
      </c>
      <c r="D44" s="5">
        <v>0.38500000000000001</v>
      </c>
    </row>
    <row r="45" spans="1:4">
      <c r="A45" s="80" t="s">
        <v>178</v>
      </c>
      <c r="B45" s="80" t="s">
        <v>179</v>
      </c>
      <c r="C45" s="5">
        <v>0.33100000000000002</v>
      </c>
      <c r="D45" s="5">
        <v>0.34399999999999997</v>
      </c>
    </row>
    <row r="46" spans="1:4">
      <c r="A46" s="80" t="s">
        <v>174</v>
      </c>
      <c r="B46" s="80" t="s">
        <v>175</v>
      </c>
      <c r="C46" s="5">
        <v>0.47600000000000003</v>
      </c>
      <c r="D46" s="5">
        <v>0.34700000000000003</v>
      </c>
    </row>
    <row r="47" spans="1:4">
      <c r="A47" s="80" t="s">
        <v>194</v>
      </c>
      <c r="B47" s="80" t="s">
        <v>195</v>
      </c>
      <c r="C47" s="5">
        <v>0.376</v>
      </c>
      <c r="D47" s="5">
        <v>0.30299999999999999</v>
      </c>
    </row>
    <row r="48" spans="1:4">
      <c r="A48" s="80" t="s">
        <v>116</v>
      </c>
      <c r="B48" s="80" t="s">
        <v>117</v>
      </c>
      <c r="C48" s="5">
        <v>0.46500000000000002</v>
      </c>
      <c r="D48" s="5">
        <v>0.41299999999999998</v>
      </c>
    </row>
    <row r="49" spans="1:4">
      <c r="A49" s="80" t="s">
        <v>204</v>
      </c>
      <c r="B49" s="80" t="s">
        <v>205</v>
      </c>
      <c r="C49" s="5">
        <v>0.3</v>
      </c>
      <c r="D49" s="5">
        <v>0.25800000000000001</v>
      </c>
    </row>
    <row r="50" spans="1:4">
      <c r="A50" s="80" t="s">
        <v>160</v>
      </c>
      <c r="B50" s="80" t="s">
        <v>161</v>
      </c>
      <c r="C50" s="5">
        <v>0.35899999999999999</v>
      </c>
      <c r="D50" s="5">
        <v>0.41700000000000004</v>
      </c>
    </row>
    <row r="51" spans="1:4">
      <c r="A51" s="80" t="s">
        <v>114</v>
      </c>
      <c r="B51" s="80" t="s">
        <v>115</v>
      </c>
      <c r="C51" s="5">
        <v>0.45899999999999996</v>
      </c>
      <c r="D51" s="5">
        <v>0.40700000000000003</v>
      </c>
    </row>
    <row r="52" spans="1:4">
      <c r="A52" s="80" t="s">
        <v>172</v>
      </c>
      <c r="B52" s="80" t="s">
        <v>173</v>
      </c>
      <c r="C52" s="5">
        <v>0.43200000000000005</v>
      </c>
      <c r="D52" s="5">
        <v>0.436</v>
      </c>
    </row>
    <row r="53" spans="1:4">
      <c r="A53" s="80" t="s">
        <v>136</v>
      </c>
      <c r="B53" s="80" t="s">
        <v>137</v>
      </c>
      <c r="C53" s="5">
        <v>0.34499999999999997</v>
      </c>
      <c r="D53" s="5">
        <v>0.38799999999999996</v>
      </c>
    </row>
    <row r="54" spans="1:4">
      <c r="A54" s="80" t="s">
        <v>146</v>
      </c>
      <c r="B54" s="80" t="s">
        <v>147</v>
      </c>
      <c r="C54" s="5">
        <v>0.33799999999999997</v>
      </c>
      <c r="D54" s="5">
        <v>0.40399999999999997</v>
      </c>
    </row>
    <row r="55" spans="1:4">
      <c r="A55" s="80" t="s">
        <v>212</v>
      </c>
      <c r="B55" s="80" t="s">
        <v>213</v>
      </c>
      <c r="C55" s="5">
        <v>0.29600000000000004</v>
      </c>
      <c r="D55" s="5">
        <v>0.26200000000000001</v>
      </c>
    </row>
    <row r="56" spans="1:4">
      <c r="A56" s="80" t="s">
        <v>154</v>
      </c>
      <c r="B56" s="80" t="s">
        <v>155</v>
      </c>
      <c r="C56" s="5">
        <v>0.54700000000000004</v>
      </c>
      <c r="D56" s="5">
        <v>0.38299999999999995</v>
      </c>
    </row>
    <row r="57" spans="1:4">
      <c r="A57" s="80" t="s">
        <v>122</v>
      </c>
      <c r="B57" s="80" t="s">
        <v>123</v>
      </c>
      <c r="C57" s="5">
        <v>0.40500000000000003</v>
      </c>
      <c r="D57" s="5">
        <v>0.495</v>
      </c>
    </row>
    <row r="60" spans="1:4">
      <c r="A60" s="15" t="s">
        <v>423</v>
      </c>
    </row>
    <row r="62" spans="1:4">
      <c r="A62" t="s">
        <v>612</v>
      </c>
    </row>
  </sheetData>
  <sortState ref="A7:D57">
    <sortCondition ref="B7:B57"/>
  </sortState>
  <hyperlinks>
    <hyperlink ref="A3" location="TableOfContents!A1" display="Back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G49"/>
  <sheetViews>
    <sheetView workbookViewId="0">
      <selection activeCell="F5" sqref="F5"/>
    </sheetView>
  </sheetViews>
  <sheetFormatPr defaultRowHeight="15"/>
  <cols>
    <col min="1" max="1" width="6.42578125" customWidth="1"/>
    <col min="2" max="4" width="15" customWidth="1"/>
  </cols>
  <sheetData>
    <row r="1" spans="1:7" ht="15.75">
      <c r="A1" s="24" t="s">
        <v>613</v>
      </c>
    </row>
    <row r="3" spans="1:7" ht="18.75">
      <c r="A3" s="84" t="s">
        <v>252</v>
      </c>
      <c r="B3" s="85" t="s">
        <v>253</v>
      </c>
    </row>
    <row r="6" spans="1:7" ht="26.25">
      <c r="A6" s="11" t="s">
        <v>87</v>
      </c>
      <c r="B6" s="142" t="s">
        <v>614</v>
      </c>
      <c r="C6" s="142" t="s">
        <v>615</v>
      </c>
      <c r="D6" s="142" t="s">
        <v>616</v>
      </c>
    </row>
    <row r="7" spans="1:7">
      <c r="A7" s="25">
        <v>1975</v>
      </c>
      <c r="B7" s="245">
        <v>0.29399999999999998</v>
      </c>
      <c r="C7" s="245">
        <v>0.439</v>
      </c>
      <c r="D7" s="245">
        <v>0.26700000000000002</v>
      </c>
      <c r="G7" s="55"/>
    </row>
    <row r="8" spans="1:7">
      <c r="A8" s="25">
        <v>1976</v>
      </c>
      <c r="B8" s="245">
        <v>0.28999999999999998</v>
      </c>
      <c r="C8" s="245">
        <v>0.45100000000000001</v>
      </c>
      <c r="D8" s="245">
        <v>0.25900000000000001</v>
      </c>
    </row>
    <row r="9" spans="1:7">
      <c r="A9" s="25">
        <v>1977</v>
      </c>
      <c r="B9" s="245">
        <v>0.34200000000000003</v>
      </c>
      <c r="C9" s="245">
        <v>0.41899999999999998</v>
      </c>
      <c r="D9" s="245">
        <v>0.23899999999999999</v>
      </c>
    </row>
    <row r="10" spans="1:7">
      <c r="A10" s="25">
        <v>1978</v>
      </c>
      <c r="B10" s="245">
        <v>0.45600000000000002</v>
      </c>
      <c r="C10" s="245">
        <v>0.31900000000000001</v>
      </c>
      <c r="D10" s="245">
        <v>0.22500000000000001</v>
      </c>
    </row>
    <row r="11" spans="1:7">
      <c r="A11" s="25">
        <v>1979</v>
      </c>
      <c r="B11" s="245">
        <v>0.55100000000000005</v>
      </c>
      <c r="C11" s="245">
        <v>0.22699999999999998</v>
      </c>
      <c r="D11" s="245">
        <v>0.221</v>
      </c>
    </row>
    <row r="12" spans="1:7">
      <c r="A12" s="25">
        <v>1980</v>
      </c>
      <c r="B12" s="245">
        <v>0.57899999999999996</v>
      </c>
      <c r="C12" s="245">
        <v>0.16200000000000001</v>
      </c>
      <c r="D12" s="245">
        <v>0.25900000000000001</v>
      </c>
    </row>
    <row r="13" spans="1:7">
      <c r="A13" s="25">
        <v>1981</v>
      </c>
      <c r="B13" s="245">
        <v>0.63900000000000001</v>
      </c>
      <c r="C13" s="245">
        <v>0.12300000000000001</v>
      </c>
      <c r="D13" s="245">
        <v>0.23800000000000002</v>
      </c>
    </row>
    <row r="14" spans="1:7">
      <c r="A14" s="25">
        <v>1982</v>
      </c>
      <c r="B14" s="245">
        <v>0.72699999999999998</v>
      </c>
      <c r="C14" s="245">
        <v>8.5999999999999993E-2</v>
      </c>
      <c r="D14" s="245">
        <v>0.187</v>
      </c>
    </row>
    <row r="15" spans="1:7">
      <c r="A15" s="25">
        <v>1983</v>
      </c>
      <c r="B15" s="245">
        <v>0.74</v>
      </c>
      <c r="C15" s="245">
        <v>8.3000000000000004E-2</v>
      </c>
      <c r="D15" s="245">
        <v>0.17699999999999999</v>
      </c>
    </row>
    <row r="16" spans="1:7">
      <c r="A16" s="25">
        <v>1984</v>
      </c>
      <c r="B16" s="245">
        <v>0.66700000000000004</v>
      </c>
      <c r="C16" s="245">
        <v>8.6999999999999994E-2</v>
      </c>
      <c r="D16" s="245">
        <v>0.24600000000000002</v>
      </c>
    </row>
    <row r="17" spans="1:4">
      <c r="A17" s="25">
        <v>1985</v>
      </c>
      <c r="B17" s="245">
        <v>0.627</v>
      </c>
      <c r="C17" s="245">
        <v>9.1999999999999998E-2</v>
      </c>
      <c r="D17" s="245">
        <v>0.28100000000000003</v>
      </c>
    </row>
    <row r="18" spans="1:4">
      <c r="A18" s="25">
        <v>1986</v>
      </c>
      <c r="B18" s="245">
        <v>0.68200000000000005</v>
      </c>
      <c r="C18" s="245">
        <v>8.6999999999999994E-2</v>
      </c>
      <c r="D18" s="245">
        <v>0.23100000000000001</v>
      </c>
    </row>
    <row r="19" spans="1:4">
      <c r="A19" s="25">
        <v>1987</v>
      </c>
      <c r="B19" s="245">
        <v>0.66</v>
      </c>
      <c r="C19" s="245">
        <v>0.10199999999999999</v>
      </c>
      <c r="D19" s="245">
        <v>0.23800000000000002</v>
      </c>
    </row>
    <row r="20" spans="1:4">
      <c r="A20" s="25">
        <v>1988</v>
      </c>
      <c r="B20" s="245">
        <v>0.64300000000000002</v>
      </c>
      <c r="C20" s="245">
        <v>0.11</v>
      </c>
      <c r="D20" s="245">
        <v>0.247</v>
      </c>
    </row>
    <row r="21" spans="1:4">
      <c r="A21" s="25">
        <v>1989</v>
      </c>
      <c r="B21" s="245">
        <v>0.621</v>
      </c>
      <c r="C21" s="245">
        <v>0.113</v>
      </c>
      <c r="D21" s="245">
        <v>0.26600000000000001</v>
      </c>
    </row>
    <row r="22" spans="1:4">
      <c r="A22" s="25">
        <v>1990</v>
      </c>
      <c r="B22" s="245">
        <v>0.59</v>
      </c>
      <c r="C22" s="245">
        <v>0.11800000000000001</v>
      </c>
      <c r="D22" s="245">
        <v>0.29199999999999998</v>
      </c>
    </row>
    <row r="23" spans="1:4">
      <c r="A23" s="25">
        <v>1991</v>
      </c>
      <c r="B23" s="245">
        <v>0.55899999999999994</v>
      </c>
      <c r="C23" s="245">
        <v>0.124</v>
      </c>
      <c r="D23" s="245">
        <v>0.317</v>
      </c>
    </row>
    <row r="24" spans="1:4">
      <c r="A24" s="25">
        <v>1992</v>
      </c>
      <c r="B24" s="245">
        <v>0.50900000000000001</v>
      </c>
      <c r="C24" s="245">
        <v>0.152</v>
      </c>
      <c r="D24" s="245">
        <v>0.33899999999999997</v>
      </c>
    </row>
    <row r="25" spans="1:4">
      <c r="A25" s="25">
        <v>1993</v>
      </c>
      <c r="B25" s="245">
        <v>0.51200000000000001</v>
      </c>
      <c r="C25" s="245">
        <v>0.15</v>
      </c>
      <c r="D25" s="245">
        <v>0.33799999999999997</v>
      </c>
    </row>
    <row r="26" spans="1:4">
      <c r="A26" s="25">
        <v>1994</v>
      </c>
      <c r="B26" s="245">
        <v>0.54799999999999993</v>
      </c>
      <c r="C26" s="245">
        <v>0.106</v>
      </c>
      <c r="D26" s="245">
        <v>0.34499999999999997</v>
      </c>
    </row>
    <row r="27" spans="1:4">
      <c r="A27" s="25">
        <v>1995</v>
      </c>
      <c r="B27" s="245">
        <v>0.54100000000000004</v>
      </c>
      <c r="C27" s="245">
        <v>0.1</v>
      </c>
      <c r="D27" s="245">
        <v>0.34499999999999997</v>
      </c>
    </row>
    <row r="28" spans="1:4">
      <c r="A28" s="25">
        <v>1996</v>
      </c>
      <c r="B28" s="245">
        <v>0.53400000000000003</v>
      </c>
      <c r="C28" s="245">
        <v>9.6999999999999989E-2</v>
      </c>
      <c r="D28" s="245">
        <v>0.36799999999999999</v>
      </c>
    </row>
    <row r="29" spans="1:4">
      <c r="A29" s="25">
        <v>1997</v>
      </c>
      <c r="B29" s="245">
        <v>0.53200000000000003</v>
      </c>
      <c r="C29" s="245">
        <v>9.9000000000000005E-2</v>
      </c>
      <c r="D29" s="245">
        <v>0.36799999999999999</v>
      </c>
    </row>
    <row r="30" spans="1:4">
      <c r="A30" s="25">
        <v>1998</v>
      </c>
      <c r="B30" s="245">
        <v>0.51700000000000002</v>
      </c>
      <c r="C30" s="245">
        <v>9.1999999999999998E-2</v>
      </c>
      <c r="D30" s="245">
        <v>0.39</v>
      </c>
    </row>
    <row r="31" spans="1:4">
      <c r="A31" s="25">
        <v>1999</v>
      </c>
      <c r="B31" s="245">
        <v>0.51500000000000001</v>
      </c>
      <c r="C31" s="245">
        <v>8.900000000000001E-2</v>
      </c>
      <c r="D31" s="245">
        <v>0.39600000000000002</v>
      </c>
    </row>
    <row r="32" spans="1:4">
      <c r="A32" s="25">
        <v>2000</v>
      </c>
      <c r="B32" s="245">
        <v>0.49</v>
      </c>
      <c r="C32" s="245">
        <v>9.0999999999999998E-2</v>
      </c>
      <c r="D32" s="245">
        <v>0.41899999999999998</v>
      </c>
    </row>
    <row r="33" spans="1:4">
      <c r="A33" s="25">
        <v>2001</v>
      </c>
      <c r="B33" s="245">
        <v>0.44299999999999995</v>
      </c>
      <c r="C33" s="245">
        <v>0.09</v>
      </c>
      <c r="D33" s="245">
        <v>0.46700000000000003</v>
      </c>
    </row>
    <row r="34" spans="1:4">
      <c r="A34" s="25">
        <v>2002</v>
      </c>
      <c r="B34" s="245">
        <v>0.433</v>
      </c>
      <c r="C34" s="245">
        <v>8.5999999999999993E-2</v>
      </c>
      <c r="D34" s="245">
        <v>0.48100000000000004</v>
      </c>
    </row>
    <row r="35" spans="1:4">
      <c r="A35" s="25">
        <v>2003</v>
      </c>
      <c r="B35" s="245">
        <v>0.42299999999999999</v>
      </c>
      <c r="C35" s="245">
        <v>7.6999999999999999E-2</v>
      </c>
      <c r="D35" s="245">
        <v>0.5</v>
      </c>
    </row>
    <row r="36" spans="1:4">
      <c r="A36" s="25">
        <v>2004</v>
      </c>
      <c r="B36" s="245">
        <v>0.41100000000000003</v>
      </c>
      <c r="C36" s="245">
        <v>7.4999999999999997E-2</v>
      </c>
      <c r="D36" s="245">
        <v>0.51400000000000001</v>
      </c>
    </row>
    <row r="37" spans="1:4">
      <c r="A37" s="25">
        <v>2005</v>
      </c>
      <c r="B37" s="245">
        <v>0.40899999999999997</v>
      </c>
      <c r="C37" s="245">
        <v>6.9000000000000006E-2</v>
      </c>
      <c r="D37" s="245">
        <v>0.52100000000000002</v>
      </c>
    </row>
    <row r="38" spans="1:4">
      <c r="A38" s="25">
        <v>2006</v>
      </c>
      <c r="B38" s="245">
        <v>0.41100000000000003</v>
      </c>
      <c r="C38" s="245">
        <v>6.6000000000000003E-2</v>
      </c>
      <c r="D38" s="245">
        <v>0.52300000000000002</v>
      </c>
    </row>
    <row r="39" spans="1:4">
      <c r="A39" s="25">
        <v>2007</v>
      </c>
      <c r="B39" s="245">
        <v>0.40899999999999997</v>
      </c>
      <c r="C39" s="245">
        <v>6.5000000000000002E-2</v>
      </c>
      <c r="D39" s="245">
        <v>0.52500000000000002</v>
      </c>
    </row>
    <row r="40" spans="1:4">
      <c r="A40" s="25">
        <v>2008</v>
      </c>
      <c r="B40" s="245">
        <v>0.4</v>
      </c>
      <c r="C40" s="245">
        <v>7.0000000000000007E-2</v>
      </c>
      <c r="D40" s="245">
        <v>0.52900000000000003</v>
      </c>
    </row>
    <row r="41" spans="1:4">
      <c r="A41" s="25">
        <v>2009</v>
      </c>
      <c r="B41" s="245">
        <v>0.38100000000000001</v>
      </c>
      <c r="C41" s="245">
        <v>7.4999999999999997E-2</v>
      </c>
      <c r="D41" s="245">
        <v>0.54400000000000004</v>
      </c>
    </row>
    <row r="42" spans="1:4">
      <c r="A42" s="25">
        <v>2010</v>
      </c>
      <c r="B42" s="245">
        <v>0.379</v>
      </c>
      <c r="C42" s="245">
        <v>7.9000000000000001E-2</v>
      </c>
      <c r="D42" s="245">
        <v>0.54299999999999993</v>
      </c>
    </row>
    <row r="45" spans="1:4">
      <c r="A45" s="15" t="s">
        <v>423</v>
      </c>
    </row>
    <row r="47" spans="1:4">
      <c r="A47" t="s">
        <v>778</v>
      </c>
    </row>
    <row r="49" spans="1:1">
      <c r="A49" t="s">
        <v>617</v>
      </c>
    </row>
  </sheetData>
  <hyperlinks>
    <hyperlink ref="A3" location="TableOfContents!A1" display="Back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I69"/>
  <sheetViews>
    <sheetView workbookViewId="0">
      <selection activeCell="E3" sqref="E3"/>
    </sheetView>
  </sheetViews>
  <sheetFormatPr defaultRowHeight="15"/>
  <cols>
    <col min="1" max="1" width="6.42578125" customWidth="1"/>
    <col min="2" max="2" width="22.42578125" customWidth="1"/>
    <col min="3" max="3" width="10.28515625" customWidth="1"/>
    <col min="5" max="5" width="21.85546875" customWidth="1"/>
    <col min="6" max="6" width="10.5703125" customWidth="1"/>
    <col min="8" max="8" width="22.140625" customWidth="1"/>
    <col min="9" max="9" width="11.28515625" customWidth="1"/>
  </cols>
  <sheetData>
    <row r="1" spans="1:9" ht="15.75">
      <c r="A1" s="24" t="s">
        <v>618</v>
      </c>
    </row>
    <row r="3" spans="1:9" ht="18.75">
      <c r="A3" s="84" t="s">
        <v>252</v>
      </c>
      <c r="B3" s="85" t="s">
        <v>253</v>
      </c>
    </row>
    <row r="6" spans="1:9">
      <c r="B6" s="4" t="s">
        <v>670</v>
      </c>
      <c r="E6" s="4" t="s">
        <v>673</v>
      </c>
      <c r="H6" s="4" t="s">
        <v>674</v>
      </c>
    </row>
    <row r="7" spans="1:9" ht="30" customHeight="1">
      <c r="C7" s="248" t="s">
        <v>971</v>
      </c>
      <c r="F7" s="248" t="s">
        <v>971</v>
      </c>
      <c r="I7" s="248" t="s">
        <v>971</v>
      </c>
    </row>
    <row r="8" spans="1:9">
      <c r="B8" s="102" t="s">
        <v>641</v>
      </c>
      <c r="C8" s="102">
        <v>0.38325502479770296</v>
      </c>
      <c r="E8" s="102" t="s">
        <v>641</v>
      </c>
      <c r="F8" s="102">
        <v>5.8666144609762466E-2</v>
      </c>
      <c r="H8" s="102" t="s">
        <v>641</v>
      </c>
      <c r="I8" s="102">
        <v>0.5580788305925346</v>
      </c>
    </row>
    <row r="9" spans="1:9">
      <c r="B9" s="51" t="s">
        <v>652</v>
      </c>
      <c r="C9" s="102">
        <v>0.41832386363636365</v>
      </c>
      <c r="E9" s="51" t="s">
        <v>652</v>
      </c>
      <c r="F9" s="102">
        <v>3.8352272727272728E-2</v>
      </c>
      <c r="H9" s="51" t="s">
        <v>652</v>
      </c>
      <c r="I9" s="102">
        <v>0.54332386363636365</v>
      </c>
    </row>
    <row r="10" spans="1:9">
      <c r="B10" s="51" t="s">
        <v>663</v>
      </c>
      <c r="C10" s="102">
        <v>0.46435316336166194</v>
      </c>
      <c r="E10" s="51" t="s">
        <v>663</v>
      </c>
      <c r="F10" s="102">
        <v>6.5509915014164311E-2</v>
      </c>
      <c r="H10" s="51" t="s">
        <v>663</v>
      </c>
      <c r="I10" s="102">
        <v>0.47013692162417375</v>
      </c>
    </row>
    <row r="11" spans="1:9">
      <c r="B11" s="101" t="s">
        <v>621</v>
      </c>
      <c r="C11" s="102">
        <v>0.30991869918699189</v>
      </c>
      <c r="E11" s="101" t="s">
        <v>621</v>
      </c>
      <c r="F11" s="102">
        <v>3.6531165311653117E-2</v>
      </c>
      <c r="H11" s="101" t="s">
        <v>621</v>
      </c>
      <c r="I11" s="102">
        <v>0.65355013550135499</v>
      </c>
    </row>
    <row r="12" spans="1:9">
      <c r="B12" s="101" t="s">
        <v>654</v>
      </c>
      <c r="C12" s="102">
        <v>0.42342257118531834</v>
      </c>
      <c r="E12" s="101" t="s">
        <v>654</v>
      </c>
      <c r="F12" s="102">
        <v>4.0525967268943336E-2</v>
      </c>
      <c r="H12" s="101" t="s">
        <v>654</v>
      </c>
      <c r="I12" s="102">
        <v>0.53605146154573835</v>
      </c>
    </row>
    <row r="13" spans="1:9">
      <c r="B13" s="101" t="s">
        <v>660</v>
      </c>
      <c r="C13" s="102">
        <v>0.45680159256801595</v>
      </c>
      <c r="E13" s="101" t="s">
        <v>660</v>
      </c>
      <c r="F13" s="102">
        <v>0.10935633709356338</v>
      </c>
      <c r="H13" s="101" t="s">
        <v>660</v>
      </c>
      <c r="I13" s="102">
        <v>0.4338420703384207</v>
      </c>
    </row>
    <row r="14" spans="1:9">
      <c r="B14" s="101" t="s">
        <v>667</v>
      </c>
      <c r="C14" s="102">
        <v>0.49063291139240506</v>
      </c>
      <c r="E14" s="101" t="s">
        <v>667</v>
      </c>
      <c r="F14" s="102">
        <v>6.109704641350211E-2</v>
      </c>
      <c r="H14" s="101" t="s">
        <v>667</v>
      </c>
      <c r="I14" s="102">
        <v>0.44827004219409283</v>
      </c>
    </row>
    <row r="15" spans="1:9">
      <c r="B15" s="101" t="s">
        <v>640</v>
      </c>
      <c r="C15" s="102">
        <v>0.37166831194471867</v>
      </c>
      <c r="E15" s="101" t="s">
        <v>640</v>
      </c>
      <c r="F15" s="102">
        <v>9.7729516288252716E-2</v>
      </c>
      <c r="H15" s="101" t="s">
        <v>640</v>
      </c>
      <c r="I15" s="102">
        <v>0.53060217176702862</v>
      </c>
    </row>
    <row r="16" spans="1:9">
      <c r="B16" s="101" t="s">
        <v>637</v>
      </c>
      <c r="C16" s="102">
        <v>0.36712527154236063</v>
      </c>
      <c r="E16" s="101" t="s">
        <v>637</v>
      </c>
      <c r="F16" s="102">
        <v>0.11223750905141203</v>
      </c>
      <c r="H16" s="101" t="s">
        <v>637</v>
      </c>
      <c r="I16" s="102">
        <v>0.52063721940622743</v>
      </c>
    </row>
    <row r="17" spans="2:9">
      <c r="B17" s="101" t="s">
        <v>646</v>
      </c>
      <c r="C17" s="102">
        <v>0.39497380682229677</v>
      </c>
      <c r="E17" s="101" t="s">
        <v>646</v>
      </c>
      <c r="F17" s="102">
        <v>8.6715109963064002E-2</v>
      </c>
      <c r="H17" s="101" t="s">
        <v>646</v>
      </c>
      <c r="I17" s="102">
        <v>0.51831108321463926</v>
      </c>
    </row>
    <row r="18" spans="2:9">
      <c r="B18" s="101" t="s">
        <v>661</v>
      </c>
      <c r="C18" s="102">
        <v>0.45783427034954777</v>
      </c>
      <c r="E18" s="101" t="s">
        <v>661</v>
      </c>
      <c r="F18" s="102">
        <v>0.10999755560987534</v>
      </c>
      <c r="H18" s="101" t="s">
        <v>661</v>
      </c>
      <c r="I18" s="102">
        <v>0.43216817404057689</v>
      </c>
    </row>
    <row r="19" spans="2:9">
      <c r="B19" s="101" t="s">
        <v>669</v>
      </c>
      <c r="C19" s="102">
        <v>0.61115602263540825</v>
      </c>
      <c r="E19" s="101" t="s">
        <v>669</v>
      </c>
      <c r="F19" s="102">
        <v>9.5796281325788199E-2</v>
      </c>
      <c r="H19" s="101" t="s">
        <v>669</v>
      </c>
      <c r="I19" s="102">
        <v>0.29304769603880354</v>
      </c>
    </row>
    <row r="20" spans="2:9">
      <c r="B20" s="101" t="s">
        <v>644</v>
      </c>
      <c r="C20" s="102">
        <v>0.3936665631791369</v>
      </c>
      <c r="E20" s="101" t="s">
        <v>644</v>
      </c>
      <c r="F20" s="102">
        <v>1.5212666873641726E-2</v>
      </c>
      <c r="H20" s="101" t="s">
        <v>644</v>
      </c>
      <c r="I20" s="102">
        <v>0.5911207699472214</v>
      </c>
    </row>
    <row r="21" spans="2:9">
      <c r="B21" s="101" t="s">
        <v>656</v>
      </c>
      <c r="C21" s="102">
        <v>0.42723277220333361</v>
      </c>
      <c r="E21" s="101" t="s">
        <v>656</v>
      </c>
      <c r="F21" s="102">
        <v>0.13064930757110871</v>
      </c>
      <c r="H21" s="101" t="s">
        <v>656</v>
      </c>
      <c r="I21" s="102">
        <v>0.44211792022555768</v>
      </c>
    </row>
    <row r="22" spans="2:9">
      <c r="B22" s="101" t="s">
        <v>655</v>
      </c>
      <c r="C22" s="102">
        <v>0.42719005410383332</v>
      </c>
      <c r="E22" s="101" t="s">
        <v>655</v>
      </c>
      <c r="F22" s="102">
        <v>0.15252676413030966</v>
      </c>
      <c r="H22" s="101" t="s">
        <v>655</v>
      </c>
      <c r="I22" s="102">
        <v>0.42028318176585705</v>
      </c>
    </row>
    <row r="23" spans="2:9">
      <c r="B23" s="101" t="s">
        <v>626</v>
      </c>
      <c r="C23" s="102">
        <v>0.33398506932100958</v>
      </c>
      <c r="E23" s="101" t="s">
        <v>626</v>
      </c>
      <c r="F23" s="102">
        <v>9.8471382865268395E-2</v>
      </c>
      <c r="H23" s="101" t="s">
        <v>626</v>
      </c>
      <c r="I23" s="102">
        <v>0.56754354781372196</v>
      </c>
    </row>
    <row r="24" spans="2:9">
      <c r="B24" s="101" t="s">
        <v>658</v>
      </c>
      <c r="C24" s="102">
        <v>0.43901952969310482</v>
      </c>
      <c r="E24" s="101" t="s">
        <v>658</v>
      </c>
      <c r="F24" s="102">
        <v>0.12534874451972897</v>
      </c>
      <c r="H24" s="101" t="s">
        <v>658</v>
      </c>
      <c r="I24" s="102">
        <v>0.43563172578716619</v>
      </c>
    </row>
    <row r="25" spans="2:9">
      <c r="B25" s="101" t="s">
        <v>625</v>
      </c>
      <c r="C25" s="102">
        <v>0.33390291262135924</v>
      </c>
      <c r="E25" s="101" t="s">
        <v>625</v>
      </c>
      <c r="F25" s="102">
        <v>8.0155339805825246E-2</v>
      </c>
      <c r="H25" s="101" t="s">
        <v>625</v>
      </c>
      <c r="I25" s="102">
        <v>0.58594174757281559</v>
      </c>
    </row>
    <row r="26" spans="2:9">
      <c r="B26" s="101" t="s">
        <v>643</v>
      </c>
      <c r="C26" s="102">
        <v>0.38980015758183512</v>
      </c>
      <c r="E26" s="101" t="s">
        <v>643</v>
      </c>
      <c r="F26" s="102">
        <v>5.88066757395602E-2</v>
      </c>
      <c r="H26" s="101" t="s">
        <v>643</v>
      </c>
      <c r="I26" s="102">
        <v>0.55139316667860472</v>
      </c>
    </row>
    <row r="27" spans="2:9">
      <c r="B27" s="101" t="s">
        <v>666</v>
      </c>
      <c r="C27" s="102">
        <v>0.48680075424261471</v>
      </c>
      <c r="E27" s="101" t="s">
        <v>666</v>
      </c>
      <c r="F27" s="102">
        <v>3.016970458830924E-2</v>
      </c>
      <c r="H27" s="101" t="s">
        <v>666</v>
      </c>
      <c r="I27" s="102">
        <v>0.48302954116907604</v>
      </c>
    </row>
    <row r="28" spans="2:9">
      <c r="B28" s="101" t="s">
        <v>659</v>
      </c>
      <c r="C28" s="102">
        <v>0.45429095472535957</v>
      </c>
      <c r="E28" s="101" t="s">
        <v>659</v>
      </c>
      <c r="F28" s="102">
        <v>0.16661839945940729</v>
      </c>
      <c r="H28" s="101" t="s">
        <v>659</v>
      </c>
      <c r="I28" s="102">
        <v>0.37909064581523311</v>
      </c>
    </row>
    <row r="29" spans="2:9">
      <c r="B29" s="101" t="s">
        <v>653</v>
      </c>
      <c r="C29" s="102">
        <v>0.42214411247803163</v>
      </c>
      <c r="E29" s="101" t="s">
        <v>653</v>
      </c>
      <c r="F29" s="102">
        <v>5.659050966608084E-2</v>
      </c>
      <c r="H29" s="101" t="s">
        <v>653</v>
      </c>
      <c r="I29" s="102">
        <v>0.52126537785588756</v>
      </c>
    </row>
    <row r="30" spans="2:9">
      <c r="B30" s="101" t="s">
        <v>634</v>
      </c>
      <c r="C30" s="102">
        <v>0.36103705420965188</v>
      </c>
      <c r="E30" s="101" t="s">
        <v>634</v>
      </c>
      <c r="F30" s="102">
        <v>9.5668637224218533E-2</v>
      </c>
      <c r="H30" s="101" t="s">
        <v>634</v>
      </c>
      <c r="I30" s="102">
        <v>0.54329430856612959</v>
      </c>
    </row>
    <row r="31" spans="2:9">
      <c r="B31" s="101" t="s">
        <v>631</v>
      </c>
      <c r="C31" s="102">
        <v>0.35417491096161458</v>
      </c>
      <c r="E31" s="101" t="s">
        <v>631</v>
      </c>
      <c r="F31" s="102">
        <v>0.12979817965967549</v>
      </c>
      <c r="H31" s="101" t="s">
        <v>631</v>
      </c>
      <c r="I31" s="102">
        <v>0.51602690937870999</v>
      </c>
    </row>
    <row r="32" spans="2:9">
      <c r="B32" s="101" t="s">
        <v>662</v>
      </c>
      <c r="C32" s="102">
        <v>0.45879342849447885</v>
      </c>
      <c r="E32" s="101" t="s">
        <v>662</v>
      </c>
      <c r="F32" s="102">
        <v>6.0463237274441153E-2</v>
      </c>
      <c r="H32" s="101" t="s">
        <v>662</v>
      </c>
      <c r="I32" s="102">
        <v>0.48074333423108001</v>
      </c>
    </row>
    <row r="33" spans="2:9">
      <c r="B33" s="101" t="s">
        <v>638</v>
      </c>
      <c r="C33" s="102">
        <v>0.36815515939840893</v>
      </c>
      <c r="E33" s="101" t="s">
        <v>638</v>
      </c>
      <c r="F33" s="102">
        <v>8.791591661343709E-2</v>
      </c>
      <c r="H33" s="101" t="s">
        <v>638</v>
      </c>
      <c r="I33" s="102">
        <v>0.54392892398815396</v>
      </c>
    </row>
    <row r="34" spans="2:9">
      <c r="B34" s="101" t="s">
        <v>632</v>
      </c>
      <c r="C34" s="102">
        <v>0.35535006605019814</v>
      </c>
      <c r="E34" s="101" t="s">
        <v>632</v>
      </c>
      <c r="F34" s="102">
        <v>0.12065169528841919</v>
      </c>
      <c r="H34" s="101" t="s">
        <v>632</v>
      </c>
      <c r="I34" s="102">
        <v>0.52399823866138262</v>
      </c>
    </row>
    <row r="35" spans="2:9">
      <c r="B35" s="101" t="s">
        <v>629</v>
      </c>
      <c r="C35" s="102">
        <v>0.34460592509782001</v>
      </c>
      <c r="E35" s="101" t="s">
        <v>629</v>
      </c>
      <c r="F35" s="102">
        <v>5.0307434320849637E-2</v>
      </c>
      <c r="H35" s="101" t="s">
        <v>629</v>
      </c>
      <c r="I35" s="102">
        <v>0.60508664058133033</v>
      </c>
    </row>
    <row r="36" spans="2:9">
      <c r="B36" s="101" t="s">
        <v>639</v>
      </c>
      <c r="C36" s="102">
        <v>0.36863853849499784</v>
      </c>
      <c r="E36" s="101" t="s">
        <v>639</v>
      </c>
      <c r="F36" s="102">
        <v>8.9821661591996518E-2</v>
      </c>
      <c r="H36" s="101" t="s">
        <v>639</v>
      </c>
      <c r="I36" s="102">
        <v>0.5415397999130056</v>
      </c>
    </row>
    <row r="37" spans="2:9">
      <c r="B37" s="101" t="s">
        <v>665</v>
      </c>
      <c r="C37" s="102">
        <v>0.47578475336322867</v>
      </c>
      <c r="E37" s="101" t="s">
        <v>665</v>
      </c>
      <c r="F37" s="102">
        <v>4.4618834080717491E-2</v>
      </c>
      <c r="H37" s="101" t="s">
        <v>665</v>
      </c>
      <c r="I37" s="102">
        <v>0.47959641255605379</v>
      </c>
    </row>
    <row r="38" spans="2:9">
      <c r="B38" s="101" t="s">
        <v>627</v>
      </c>
      <c r="C38" s="102">
        <v>0.33419582475742426</v>
      </c>
      <c r="E38" s="101" t="s">
        <v>627</v>
      </c>
      <c r="F38" s="102">
        <v>8.2622758012349307E-2</v>
      </c>
      <c r="H38" s="101" t="s">
        <v>627</v>
      </c>
      <c r="I38" s="102">
        <v>0.58318141723022643</v>
      </c>
    </row>
    <row r="39" spans="2:9">
      <c r="B39" s="101" t="s">
        <v>628</v>
      </c>
      <c r="C39" s="102">
        <v>0.33943965517241381</v>
      </c>
      <c r="E39" s="101" t="s">
        <v>628</v>
      </c>
      <c r="F39" s="102">
        <v>8.1896551724137928E-2</v>
      </c>
      <c r="H39" s="101" t="s">
        <v>628</v>
      </c>
      <c r="I39" s="102">
        <v>0.57866379310344829</v>
      </c>
    </row>
    <row r="40" spans="2:9">
      <c r="B40" s="101" t="s">
        <v>619</v>
      </c>
      <c r="C40" s="102">
        <v>0.28207421677904682</v>
      </c>
      <c r="E40" s="101" t="s">
        <v>619</v>
      </c>
      <c r="F40" s="102">
        <v>4.786477684509885E-2</v>
      </c>
      <c r="H40" s="101" t="s">
        <v>619</v>
      </c>
      <c r="I40" s="102">
        <v>0.67006100637585431</v>
      </c>
    </row>
    <row r="41" spans="2:9">
      <c r="B41" s="101" t="s">
        <v>636</v>
      </c>
      <c r="C41" s="102">
        <v>0.36675653255910412</v>
      </c>
      <c r="E41" s="101" t="s">
        <v>636</v>
      </c>
      <c r="F41" s="102">
        <v>5.1534632932393201E-2</v>
      </c>
      <c r="H41" s="101" t="s">
        <v>636</v>
      </c>
      <c r="I41" s="102">
        <v>0.58170883450850275</v>
      </c>
    </row>
    <row r="42" spans="2:9">
      <c r="B42" s="101" t="s">
        <v>668</v>
      </c>
      <c r="C42" s="102">
        <v>0.50721153846153844</v>
      </c>
      <c r="E42" s="101" t="s">
        <v>668</v>
      </c>
      <c r="F42" s="102">
        <v>4.8878205128205128E-2</v>
      </c>
      <c r="H42" s="101" t="s">
        <v>668</v>
      </c>
      <c r="I42" s="102">
        <v>0.44391025641025639</v>
      </c>
    </row>
    <row r="43" spans="2:9">
      <c r="B43" s="101" t="s">
        <v>645</v>
      </c>
      <c r="C43" s="102">
        <v>0.39454212454212456</v>
      </c>
      <c r="E43" s="101" t="s">
        <v>645</v>
      </c>
      <c r="F43" s="102">
        <v>0.1115018315018315</v>
      </c>
      <c r="H43" s="101" t="s">
        <v>645</v>
      </c>
      <c r="I43" s="102">
        <v>0.49395604395604398</v>
      </c>
    </row>
    <row r="44" spans="2:9">
      <c r="B44" s="101" t="s">
        <v>664</v>
      </c>
      <c r="C44" s="102">
        <v>0.47428510456679474</v>
      </c>
      <c r="E44" s="101" t="s">
        <v>664</v>
      </c>
      <c r="F44" s="102">
        <v>2.4114383269312846E-2</v>
      </c>
      <c r="H44" s="101" t="s">
        <v>664</v>
      </c>
      <c r="I44" s="102">
        <v>0.50160051216389245</v>
      </c>
    </row>
    <row r="45" spans="2:9">
      <c r="B45" s="101" t="s">
        <v>635</v>
      </c>
      <c r="C45" s="102">
        <v>0.36289408029031528</v>
      </c>
      <c r="E45" s="101" t="s">
        <v>635</v>
      </c>
      <c r="F45" s="102">
        <v>2.2454071217963258E-2</v>
      </c>
      <c r="H45" s="101" t="s">
        <v>635</v>
      </c>
      <c r="I45" s="102">
        <v>0.6146518484917215</v>
      </c>
    </row>
    <row r="46" spans="2:9">
      <c r="B46" s="101" t="s">
        <v>633</v>
      </c>
      <c r="C46" s="102">
        <v>0.36095945257334205</v>
      </c>
      <c r="E46" s="101" t="s">
        <v>633</v>
      </c>
      <c r="F46" s="102">
        <v>6.7736769309165029E-2</v>
      </c>
      <c r="H46" s="101" t="s">
        <v>633</v>
      </c>
      <c r="I46" s="102">
        <v>0.57130377811749289</v>
      </c>
    </row>
    <row r="47" spans="2:9">
      <c r="B47" s="101" t="s">
        <v>651</v>
      </c>
      <c r="C47" s="102">
        <v>0.40655853314527501</v>
      </c>
      <c r="E47" s="101" t="s">
        <v>651</v>
      </c>
      <c r="F47" s="102">
        <v>6.8406205923836394E-2</v>
      </c>
      <c r="H47" s="101" t="s">
        <v>651</v>
      </c>
      <c r="I47" s="102">
        <v>0.52503526093088859</v>
      </c>
    </row>
    <row r="48" spans="2:9">
      <c r="B48" s="101" t="s">
        <v>622</v>
      </c>
      <c r="C48" s="102">
        <v>0.32068025932537819</v>
      </c>
      <c r="E48" s="101" t="s">
        <v>622</v>
      </c>
      <c r="F48" s="102">
        <v>8.2025744620877569E-2</v>
      </c>
      <c r="H48" s="101" t="s">
        <v>622</v>
      </c>
      <c r="I48" s="102">
        <v>0.59729399605374422</v>
      </c>
    </row>
    <row r="49" spans="2:9">
      <c r="B49" s="101" t="s">
        <v>648</v>
      </c>
      <c r="C49" s="102">
        <v>0.39800117577895355</v>
      </c>
      <c r="E49" s="101" t="s">
        <v>648</v>
      </c>
      <c r="F49" s="102">
        <v>0.12228101116990006</v>
      </c>
      <c r="H49" s="101" t="s">
        <v>648</v>
      </c>
      <c r="I49" s="102">
        <v>0.47971781305114636</v>
      </c>
    </row>
    <row r="50" spans="2:9">
      <c r="B50" s="101" t="s">
        <v>647</v>
      </c>
      <c r="C50" s="102">
        <v>0.39639768422557359</v>
      </c>
      <c r="E50" s="101" t="s">
        <v>647</v>
      </c>
      <c r="F50" s="102">
        <v>7.0187977985848041E-2</v>
      </c>
      <c r="H50" s="101" t="s">
        <v>647</v>
      </c>
      <c r="I50" s="102">
        <v>0.53341433778857839</v>
      </c>
    </row>
    <row r="51" spans="2:9">
      <c r="B51" s="101" t="s">
        <v>630</v>
      </c>
      <c r="C51" s="102">
        <v>0.3469171196663936</v>
      </c>
      <c r="E51" s="101" t="s">
        <v>630</v>
      </c>
      <c r="F51" s="102">
        <v>8.8409412465559611E-2</v>
      </c>
      <c r="H51" s="101" t="s">
        <v>630</v>
      </c>
      <c r="I51" s="102">
        <v>0.56467346786804673</v>
      </c>
    </row>
    <row r="52" spans="2:9">
      <c r="B52" s="101" t="s">
        <v>657</v>
      </c>
      <c r="C52" s="102">
        <v>0.43512851897184823</v>
      </c>
      <c r="E52" s="101" t="s">
        <v>657</v>
      </c>
      <c r="F52" s="102">
        <v>7.4969400244798048E-2</v>
      </c>
      <c r="H52" s="101" t="s">
        <v>657</v>
      </c>
      <c r="I52" s="102">
        <v>0.48990208078335373</v>
      </c>
    </row>
    <row r="53" spans="2:9">
      <c r="B53" s="101" t="s">
        <v>620</v>
      </c>
      <c r="C53" s="102">
        <v>0.28948758584257794</v>
      </c>
      <c r="E53" s="101" t="s">
        <v>620</v>
      </c>
      <c r="F53" s="102">
        <v>0.13153724247226625</v>
      </c>
      <c r="H53" s="101" t="s">
        <v>620</v>
      </c>
      <c r="I53" s="102">
        <v>0.57897517168515589</v>
      </c>
    </row>
    <row r="54" spans="2:9">
      <c r="B54" s="101" t="s">
        <v>649</v>
      </c>
      <c r="C54" s="102">
        <v>0.39818334084906271</v>
      </c>
      <c r="E54" s="101" t="s">
        <v>649</v>
      </c>
      <c r="F54" s="102">
        <v>7.4083617857372927E-2</v>
      </c>
      <c r="H54" s="101" t="s">
        <v>649</v>
      </c>
      <c r="I54" s="102">
        <v>0.52773304129356435</v>
      </c>
    </row>
    <row r="55" spans="2:9">
      <c r="B55" s="101" t="s">
        <v>623</v>
      </c>
      <c r="C55" s="102">
        <v>0.32287360216875638</v>
      </c>
      <c r="E55" s="101" t="s">
        <v>623</v>
      </c>
      <c r="F55" s="102">
        <v>1.9722128092172143E-2</v>
      </c>
      <c r="H55" s="101" t="s">
        <v>623</v>
      </c>
      <c r="I55" s="102">
        <v>0.65740426973907151</v>
      </c>
    </row>
    <row r="56" spans="2:9">
      <c r="B56" s="101" t="s">
        <v>642</v>
      </c>
      <c r="C56" s="102">
        <v>0.38847262247838615</v>
      </c>
      <c r="E56" s="101" t="s">
        <v>642</v>
      </c>
      <c r="F56" s="102">
        <v>6.2439961575408258E-2</v>
      </c>
      <c r="H56" s="101" t="s">
        <v>642</v>
      </c>
      <c r="I56" s="102">
        <v>0.54908741594620558</v>
      </c>
    </row>
    <row r="57" spans="2:9">
      <c r="B57" s="101" t="s">
        <v>650</v>
      </c>
      <c r="C57" s="102">
        <v>0.40606497039526324</v>
      </c>
      <c r="E57" s="101" t="s">
        <v>650</v>
      </c>
      <c r="F57" s="102">
        <v>0.12890062409985598</v>
      </c>
      <c r="H57" s="101" t="s">
        <v>650</v>
      </c>
      <c r="I57" s="102">
        <v>0.46503440550488079</v>
      </c>
    </row>
    <row r="58" spans="2:9">
      <c r="B58" s="51" t="s">
        <v>624</v>
      </c>
      <c r="C58" s="102">
        <v>0.32570556826849734</v>
      </c>
      <c r="E58" s="51" t="s">
        <v>624</v>
      </c>
      <c r="F58" s="102">
        <v>8.771929824561403E-2</v>
      </c>
      <c r="H58" s="51" t="s">
        <v>624</v>
      </c>
      <c r="I58" s="102">
        <v>0.58657513348588863</v>
      </c>
    </row>
    <row r="59" spans="2:9">
      <c r="B59" s="60"/>
      <c r="C59" s="102"/>
      <c r="D59" s="10"/>
      <c r="E59" s="60"/>
      <c r="F59" s="102"/>
      <c r="G59" s="10"/>
      <c r="H59" s="60"/>
      <c r="I59" s="102"/>
    </row>
    <row r="60" spans="2:9">
      <c r="B60" s="59" t="s">
        <v>676</v>
      </c>
      <c r="C60" s="9">
        <v>0.38</v>
      </c>
      <c r="D60" s="10"/>
      <c r="E60" s="59" t="s">
        <v>676</v>
      </c>
      <c r="F60" s="9">
        <v>0.08</v>
      </c>
      <c r="G60" s="10"/>
      <c r="H60" s="59" t="s">
        <v>676</v>
      </c>
      <c r="I60" s="28">
        <v>0.54300000000000004</v>
      </c>
    </row>
    <row r="61" spans="2:9">
      <c r="B61" s="10"/>
      <c r="C61" s="10"/>
      <c r="D61" s="10"/>
      <c r="E61" s="10"/>
      <c r="F61" s="10"/>
      <c r="G61" s="10"/>
      <c r="H61" s="10"/>
      <c r="I61" s="10"/>
    </row>
    <row r="62" spans="2:9">
      <c r="B62" s="4" t="s">
        <v>671</v>
      </c>
    </row>
    <row r="63" spans="2:9">
      <c r="B63" s="4" t="s">
        <v>672</v>
      </c>
    </row>
    <row r="64" spans="2:9">
      <c r="B64" s="4" t="s">
        <v>675</v>
      </c>
    </row>
    <row r="67" spans="2:2">
      <c r="B67" s="15" t="s">
        <v>423</v>
      </c>
    </row>
    <row r="69" spans="2:2">
      <c r="B69" t="s">
        <v>779</v>
      </c>
    </row>
  </sheetData>
  <sortState ref="H8:I58">
    <sortCondition ref="H8:H58"/>
  </sortState>
  <hyperlinks>
    <hyperlink ref="A3" location="TableOfContents!A1" display="Back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H53"/>
  <sheetViews>
    <sheetView workbookViewId="0">
      <selection activeCell="H3" sqref="H3"/>
    </sheetView>
  </sheetViews>
  <sheetFormatPr defaultRowHeight="15"/>
  <cols>
    <col min="1" max="1" width="6.42578125" customWidth="1"/>
    <col min="2" max="2" width="8.85546875" customWidth="1"/>
    <col min="3" max="3" width="12" customWidth="1"/>
    <col min="4" max="4" width="15.140625" customWidth="1"/>
    <col min="5" max="5" width="15.28515625" customWidth="1"/>
    <col min="6" max="6" width="14.140625" customWidth="1"/>
  </cols>
  <sheetData>
    <row r="1" spans="1:7" ht="15.75">
      <c r="A1" s="24" t="s">
        <v>677</v>
      </c>
    </row>
    <row r="3" spans="1:7" ht="18.75">
      <c r="A3" s="84" t="s">
        <v>252</v>
      </c>
      <c r="B3" s="85" t="s">
        <v>253</v>
      </c>
    </row>
    <row r="6" spans="1:7" ht="30.75" customHeight="1">
      <c r="A6" s="11" t="s">
        <v>87</v>
      </c>
      <c r="B6" s="142" t="s">
        <v>678</v>
      </c>
      <c r="C6" s="142" t="s">
        <v>679</v>
      </c>
      <c r="D6" s="142" t="s">
        <v>680</v>
      </c>
      <c r="E6" s="142" t="s">
        <v>681</v>
      </c>
      <c r="F6" s="142" t="s">
        <v>684</v>
      </c>
      <c r="G6" s="142" t="s">
        <v>379</v>
      </c>
    </row>
    <row r="7" spans="1:7">
      <c r="A7" s="25">
        <v>1975</v>
      </c>
      <c r="B7" s="245">
        <v>0.19600000000000001</v>
      </c>
      <c r="C7" s="245">
        <v>8.4000000000000005E-2</v>
      </c>
      <c r="D7" s="245">
        <v>0.44299999999999995</v>
      </c>
      <c r="E7" s="245">
        <v>0.182</v>
      </c>
      <c r="F7" s="245">
        <v>9.5000000000000001E-2</v>
      </c>
      <c r="G7" s="249">
        <v>1</v>
      </c>
    </row>
    <row r="8" spans="1:7">
      <c r="A8" s="25">
        <v>1976</v>
      </c>
      <c r="B8" s="245">
        <v>0.19899999999999998</v>
      </c>
      <c r="C8" s="245">
        <v>0.10800000000000001</v>
      </c>
      <c r="D8" s="245">
        <v>0.41899999999999998</v>
      </c>
      <c r="E8" s="245">
        <v>0.20100000000000001</v>
      </c>
      <c r="F8" s="245">
        <v>7.2999999999999995E-2</v>
      </c>
      <c r="G8" s="249">
        <v>1</v>
      </c>
    </row>
    <row r="9" spans="1:7">
      <c r="A9" s="25">
        <v>1977</v>
      </c>
      <c r="B9" s="245">
        <v>0.21199999999999999</v>
      </c>
      <c r="C9" s="245">
        <v>0.248</v>
      </c>
      <c r="D9" s="245">
        <v>0.3</v>
      </c>
      <c r="E9" s="245">
        <v>0.157</v>
      </c>
      <c r="F9" s="245">
        <v>8.3000000000000004E-2</v>
      </c>
      <c r="G9" s="249">
        <v>1</v>
      </c>
    </row>
    <row r="10" spans="1:7">
      <c r="A10" s="25">
        <v>1978</v>
      </c>
      <c r="B10" s="245">
        <v>0.21100000000000002</v>
      </c>
      <c r="C10" s="245">
        <v>0.318</v>
      </c>
      <c r="D10" s="245">
        <v>0.25</v>
      </c>
      <c r="E10" s="245">
        <v>0.14599999999999999</v>
      </c>
      <c r="F10" s="245">
        <v>7.4999999999999997E-2</v>
      </c>
      <c r="G10" s="249">
        <v>1</v>
      </c>
    </row>
    <row r="11" spans="1:7">
      <c r="A11" s="25">
        <v>1979</v>
      </c>
      <c r="B11" s="245">
        <v>0.2</v>
      </c>
      <c r="C11" s="245">
        <v>0.41600000000000004</v>
      </c>
      <c r="D11" s="245">
        <v>0.215</v>
      </c>
      <c r="E11" s="245">
        <v>0.125</v>
      </c>
      <c r="F11" s="245">
        <v>4.4000000000000004E-2</v>
      </c>
      <c r="G11" s="249">
        <v>1</v>
      </c>
    </row>
    <row r="12" spans="1:7">
      <c r="A12" s="25">
        <v>1980</v>
      </c>
      <c r="B12" s="245">
        <v>0.20600000000000002</v>
      </c>
      <c r="C12" s="245">
        <v>0.39</v>
      </c>
      <c r="D12" s="245">
        <v>0.23699999999999999</v>
      </c>
      <c r="E12" s="245">
        <v>0.127</v>
      </c>
      <c r="F12" s="245">
        <v>3.9E-2</v>
      </c>
      <c r="G12" s="249">
        <v>0.99900000000000011</v>
      </c>
    </row>
    <row r="13" spans="1:7">
      <c r="A13" s="25">
        <v>1981</v>
      </c>
      <c r="B13" s="245">
        <v>0.17499999999999999</v>
      </c>
      <c r="C13" s="245">
        <v>0.43200000000000005</v>
      </c>
      <c r="D13" s="245">
        <v>0.187</v>
      </c>
      <c r="E13" s="245">
        <v>0.113</v>
      </c>
      <c r="F13" s="245">
        <v>9.4E-2</v>
      </c>
      <c r="G13" s="249">
        <v>1.0010000000000001</v>
      </c>
    </row>
    <row r="14" spans="1:7">
      <c r="A14" s="25">
        <v>1982</v>
      </c>
      <c r="B14" s="245">
        <v>0.16399999999999998</v>
      </c>
      <c r="C14" s="245">
        <v>0.38900000000000001</v>
      </c>
      <c r="D14" s="245">
        <v>0.22600000000000001</v>
      </c>
      <c r="E14" s="245">
        <v>0.14099999999999999</v>
      </c>
      <c r="F14" s="245">
        <v>7.4999999999999997E-2</v>
      </c>
      <c r="G14" s="249">
        <v>0.99499999999999988</v>
      </c>
    </row>
    <row r="15" spans="1:7">
      <c r="A15" s="25">
        <v>1983</v>
      </c>
      <c r="B15" s="245">
        <v>0.16899999999999998</v>
      </c>
      <c r="C15" s="245">
        <v>0.39399999999999996</v>
      </c>
      <c r="D15" s="245">
        <v>0.22</v>
      </c>
      <c r="E15" s="245">
        <v>0.14300000000000002</v>
      </c>
      <c r="F15" s="245">
        <v>7.400000000000001E-2</v>
      </c>
      <c r="G15" s="249">
        <v>1</v>
      </c>
    </row>
    <row r="16" spans="1:7">
      <c r="A16" s="25">
        <v>1984</v>
      </c>
      <c r="B16" s="245">
        <v>0.14800000000000002</v>
      </c>
      <c r="C16" s="245">
        <v>0.34299999999999997</v>
      </c>
      <c r="D16" s="245">
        <v>0.23800000000000002</v>
      </c>
      <c r="E16" s="245">
        <v>0.16699999999999998</v>
      </c>
      <c r="F16" s="245">
        <v>0.10400000000000001</v>
      </c>
      <c r="G16" s="249">
        <v>0.99999999999999989</v>
      </c>
    </row>
    <row r="17" spans="1:7">
      <c r="A17" s="25">
        <v>1985</v>
      </c>
      <c r="B17" s="245">
        <v>0.154</v>
      </c>
      <c r="C17" s="245">
        <v>0.23300000000000001</v>
      </c>
      <c r="D17" s="245">
        <v>0.35399999999999998</v>
      </c>
      <c r="E17" s="245">
        <v>0.20300000000000001</v>
      </c>
      <c r="F17" s="245">
        <v>5.5999999999999994E-2</v>
      </c>
      <c r="G17" s="249">
        <v>1</v>
      </c>
    </row>
    <row r="18" spans="1:7">
      <c r="A18" s="25">
        <v>1986</v>
      </c>
      <c r="B18" s="245">
        <v>0.14199999999999999</v>
      </c>
      <c r="C18" s="245">
        <v>0.20100000000000001</v>
      </c>
      <c r="D18" s="245">
        <v>0.38400000000000001</v>
      </c>
      <c r="E18" s="245">
        <v>0.20499999999999999</v>
      </c>
      <c r="F18" s="245">
        <v>6.8000000000000005E-2</v>
      </c>
      <c r="G18" s="249">
        <v>1</v>
      </c>
    </row>
    <row r="19" spans="1:7">
      <c r="A19" s="25">
        <v>1987</v>
      </c>
      <c r="B19" s="245">
        <v>0.158</v>
      </c>
      <c r="C19" s="245">
        <v>0.183</v>
      </c>
      <c r="D19" s="245">
        <v>0.38200000000000001</v>
      </c>
      <c r="E19" s="245">
        <v>0.217</v>
      </c>
      <c r="F19" s="245">
        <v>0.06</v>
      </c>
      <c r="G19" s="249">
        <v>1</v>
      </c>
    </row>
    <row r="20" spans="1:7">
      <c r="A20" s="25">
        <v>1988</v>
      </c>
      <c r="B20" s="245">
        <v>0.159</v>
      </c>
      <c r="C20" s="245">
        <v>0.20300000000000001</v>
      </c>
      <c r="D20" s="245">
        <v>0.34200000000000003</v>
      </c>
      <c r="E20" s="245">
        <v>0.22800000000000001</v>
      </c>
      <c r="F20" s="245">
        <v>6.8000000000000005E-2</v>
      </c>
      <c r="G20" s="249">
        <v>1</v>
      </c>
    </row>
    <row r="21" spans="1:7">
      <c r="A21" s="25">
        <v>1989</v>
      </c>
      <c r="B21" s="245">
        <v>0.157</v>
      </c>
      <c r="C21" s="245">
        <v>0.20699999999999999</v>
      </c>
      <c r="D21" s="245">
        <v>0.32700000000000001</v>
      </c>
      <c r="E21" s="245">
        <v>0.249</v>
      </c>
      <c r="F21" s="245">
        <v>6.0999999999999999E-2</v>
      </c>
      <c r="G21" s="249">
        <v>1.0010000000000001</v>
      </c>
    </row>
    <row r="22" spans="1:7">
      <c r="A22" s="25">
        <v>1990</v>
      </c>
      <c r="B22" s="245">
        <v>0.151</v>
      </c>
      <c r="C22" s="245">
        <v>0.214</v>
      </c>
      <c r="D22" s="245">
        <v>0.31</v>
      </c>
      <c r="E22" s="245">
        <v>0.26300000000000001</v>
      </c>
      <c r="F22" s="245">
        <v>6.3E-2</v>
      </c>
      <c r="G22" s="249">
        <v>1.0010000000000001</v>
      </c>
    </row>
    <row r="23" spans="1:7">
      <c r="A23" s="25">
        <v>1991</v>
      </c>
      <c r="B23" s="245">
        <v>0.13800000000000001</v>
      </c>
      <c r="C23" s="245">
        <v>0.20499999999999999</v>
      </c>
      <c r="D23" s="245">
        <v>0.308</v>
      </c>
      <c r="E23" s="245">
        <v>0.28600000000000003</v>
      </c>
      <c r="F23" s="245">
        <v>6.3E-2</v>
      </c>
      <c r="G23" s="249">
        <v>1</v>
      </c>
    </row>
    <row r="24" spans="1:7">
      <c r="A24" s="25">
        <v>1992</v>
      </c>
      <c r="B24" s="245">
        <v>0.12</v>
      </c>
      <c r="C24" s="245">
        <v>0.19500000000000001</v>
      </c>
      <c r="D24" s="245">
        <v>0.30599999999999999</v>
      </c>
      <c r="E24" s="245">
        <v>0.315</v>
      </c>
      <c r="F24" s="245">
        <v>6.4000000000000001E-2</v>
      </c>
      <c r="G24" s="249">
        <v>1</v>
      </c>
    </row>
    <row r="25" spans="1:7">
      <c r="A25" s="25">
        <v>1993</v>
      </c>
      <c r="B25" s="245">
        <v>0.11699999999999999</v>
      </c>
      <c r="C25" s="245">
        <v>0.19800000000000001</v>
      </c>
      <c r="D25" s="245">
        <v>0.30199999999999999</v>
      </c>
      <c r="E25" s="245">
        <v>0.316</v>
      </c>
      <c r="F25" s="245">
        <v>6.7000000000000004E-2</v>
      </c>
      <c r="G25" s="249">
        <v>1</v>
      </c>
    </row>
    <row r="26" spans="1:7">
      <c r="A26" s="25">
        <v>1994</v>
      </c>
      <c r="B26" s="245">
        <v>0.11699999999999999</v>
      </c>
      <c r="C26" s="245">
        <v>0.192</v>
      </c>
      <c r="D26" s="245">
        <v>0.29499999999999998</v>
      </c>
      <c r="E26" s="245">
        <v>0.32299999999999995</v>
      </c>
      <c r="F26" s="245">
        <v>7.2000000000000008E-2</v>
      </c>
      <c r="G26" s="249">
        <v>0.99899999999999989</v>
      </c>
    </row>
    <row r="27" spans="1:7">
      <c r="A27" s="25">
        <v>1995</v>
      </c>
      <c r="B27" s="245">
        <v>0.11800000000000001</v>
      </c>
      <c r="C27" s="245">
        <v>0.187</v>
      </c>
      <c r="D27" s="245">
        <v>0.29499999999999998</v>
      </c>
      <c r="E27" s="245">
        <v>0.32500000000000001</v>
      </c>
      <c r="F27" s="245">
        <v>7.4999999999999997E-2</v>
      </c>
      <c r="G27" s="249">
        <v>1</v>
      </c>
    </row>
    <row r="28" spans="1:7">
      <c r="A28" s="25">
        <v>1996</v>
      </c>
      <c r="B28" s="245">
        <v>0.109</v>
      </c>
      <c r="C28" s="245">
        <v>0.17100000000000001</v>
      </c>
      <c r="D28" s="245">
        <v>0.29299999999999998</v>
      </c>
      <c r="E28" s="245">
        <v>0.36200000000000004</v>
      </c>
      <c r="F28" s="245">
        <v>6.5000000000000002E-2</v>
      </c>
      <c r="G28" s="249">
        <v>1</v>
      </c>
    </row>
    <row r="29" spans="1:7">
      <c r="A29" s="25">
        <v>1997</v>
      </c>
      <c r="B29" s="245">
        <v>0.106</v>
      </c>
      <c r="C29" s="245">
        <v>0.16</v>
      </c>
      <c r="D29" s="245">
        <v>0.28699999999999998</v>
      </c>
      <c r="E29" s="245">
        <v>0.36599999999999999</v>
      </c>
      <c r="F29" s="245">
        <v>8.1000000000000003E-2</v>
      </c>
      <c r="G29" s="249">
        <v>0.99999999999999989</v>
      </c>
    </row>
    <row r="30" spans="1:7">
      <c r="A30" s="25">
        <v>1998</v>
      </c>
      <c r="B30" s="245">
        <v>0.11</v>
      </c>
      <c r="C30" s="245">
        <v>0.14800000000000002</v>
      </c>
      <c r="D30" s="245">
        <v>0.30399999999999999</v>
      </c>
      <c r="E30" s="245">
        <v>0.36200000000000004</v>
      </c>
      <c r="F30" s="245">
        <v>7.5999999999999998E-2</v>
      </c>
      <c r="G30" s="249">
        <v>1.0000000000000002</v>
      </c>
    </row>
    <row r="31" spans="1:7">
      <c r="A31" s="25">
        <v>1999</v>
      </c>
      <c r="B31" s="245">
        <v>0.107</v>
      </c>
      <c r="C31" s="245">
        <v>0.14400000000000002</v>
      </c>
      <c r="D31" s="245">
        <v>0.313</v>
      </c>
      <c r="E31" s="245">
        <v>0.35700000000000004</v>
      </c>
      <c r="F31" s="245">
        <v>0.08</v>
      </c>
      <c r="G31" s="249">
        <v>1.0010000000000001</v>
      </c>
    </row>
    <row r="32" spans="1:7">
      <c r="A32" s="25">
        <v>2000</v>
      </c>
      <c r="B32" s="245">
        <v>0.106</v>
      </c>
      <c r="C32" s="245">
        <v>0.13600000000000001</v>
      </c>
      <c r="D32" s="245">
        <v>0.32100000000000001</v>
      </c>
      <c r="E32" s="245">
        <v>0.35299999999999998</v>
      </c>
      <c r="F32" s="245">
        <v>8.4000000000000005E-2</v>
      </c>
      <c r="G32" s="249">
        <v>0.99999999999999989</v>
      </c>
    </row>
    <row r="33" spans="1:8">
      <c r="A33" s="25">
        <v>2001</v>
      </c>
      <c r="B33" s="245">
        <v>0.10199999999999999</v>
      </c>
      <c r="C33" s="245">
        <v>0.13200000000000001</v>
      </c>
      <c r="D33" s="245">
        <v>0.317</v>
      </c>
      <c r="E33" s="245">
        <v>0.35200000000000004</v>
      </c>
      <c r="F33" s="245">
        <v>9.6000000000000002E-2</v>
      </c>
      <c r="G33" s="249">
        <v>0.999</v>
      </c>
    </row>
    <row r="34" spans="1:8">
      <c r="A34" s="25">
        <v>2002</v>
      </c>
      <c r="B34" s="245">
        <v>0.10099999999999999</v>
      </c>
      <c r="C34" s="245">
        <v>0.13900000000000001</v>
      </c>
      <c r="D34" s="245">
        <v>0.311</v>
      </c>
      <c r="E34" s="245">
        <v>0.33700000000000002</v>
      </c>
      <c r="F34" s="245">
        <v>0.11199999999999999</v>
      </c>
      <c r="G34" s="249">
        <v>0.99999999999999989</v>
      </c>
    </row>
    <row r="35" spans="1:8">
      <c r="A35" s="25">
        <v>2003</v>
      </c>
      <c r="B35" s="245">
        <v>9.3000000000000013E-2</v>
      </c>
      <c r="C35" s="245">
        <v>0.14000000000000001</v>
      </c>
      <c r="D35" s="245">
        <v>0.315</v>
      </c>
      <c r="E35" s="245">
        <v>0.34100000000000003</v>
      </c>
      <c r="F35" s="245">
        <v>0.11</v>
      </c>
      <c r="G35" s="249">
        <v>0.999</v>
      </c>
    </row>
    <row r="36" spans="1:8">
      <c r="A36" s="25">
        <v>2004</v>
      </c>
      <c r="B36" s="245">
        <v>8.3000000000000004E-2</v>
      </c>
      <c r="C36" s="245">
        <v>0.14499999999999999</v>
      </c>
      <c r="D36" s="245">
        <v>0.311</v>
      </c>
      <c r="E36" s="245">
        <v>0.34499999999999997</v>
      </c>
      <c r="F36" s="245">
        <v>0.11599999999999999</v>
      </c>
      <c r="G36" s="249">
        <v>0.99999999999999989</v>
      </c>
    </row>
    <row r="37" spans="1:8">
      <c r="A37" s="25">
        <v>2005</v>
      </c>
      <c r="B37" s="245">
        <v>7.5999999999999998E-2</v>
      </c>
      <c r="C37" s="245">
        <v>0.151</v>
      </c>
      <c r="D37" s="245">
        <v>0.30099999999999999</v>
      </c>
      <c r="E37" s="245">
        <v>0.34600000000000003</v>
      </c>
      <c r="F37" s="245">
        <v>0.126</v>
      </c>
      <c r="G37" s="249">
        <v>1</v>
      </c>
    </row>
    <row r="38" spans="1:8">
      <c r="A38" s="25">
        <v>2006</v>
      </c>
      <c r="B38" s="245">
        <v>7.400000000000001E-2</v>
      </c>
      <c r="C38" s="245">
        <v>0.158</v>
      </c>
      <c r="D38" s="245">
        <v>0.29899999999999999</v>
      </c>
      <c r="E38" s="245">
        <v>0.34299999999999997</v>
      </c>
      <c r="F38" s="245">
        <v>0.127</v>
      </c>
      <c r="G38" s="249">
        <v>1.0009999999999999</v>
      </c>
    </row>
    <row r="39" spans="1:8">
      <c r="A39" s="25">
        <v>2007</v>
      </c>
      <c r="B39" s="245">
        <v>7.400000000000001E-2</v>
      </c>
      <c r="C39" s="245">
        <v>0.16200000000000001</v>
      </c>
      <c r="D39" s="245">
        <v>0.29399999999999998</v>
      </c>
      <c r="E39" s="245">
        <v>0.34600000000000003</v>
      </c>
      <c r="F39" s="245">
        <v>0.125</v>
      </c>
      <c r="G39" s="249">
        <v>1.0010000000000001</v>
      </c>
    </row>
    <row r="40" spans="1:8">
      <c r="A40" s="25">
        <v>2008</v>
      </c>
      <c r="B40" s="245">
        <v>7.2000000000000008E-2</v>
      </c>
      <c r="C40" s="245">
        <v>0.16800000000000001</v>
      </c>
      <c r="D40" s="245">
        <v>0.29600000000000004</v>
      </c>
      <c r="E40" s="245">
        <v>0.33799999999999997</v>
      </c>
      <c r="F40" s="245">
        <v>0.127</v>
      </c>
      <c r="G40" s="249">
        <v>1.0009999999999999</v>
      </c>
    </row>
    <row r="41" spans="1:8">
      <c r="A41" s="25">
        <v>2009</v>
      </c>
      <c r="B41" s="245">
        <v>6.5000000000000002E-2</v>
      </c>
      <c r="C41" s="245">
        <v>0.17800000000000002</v>
      </c>
      <c r="D41" s="245">
        <v>0.28999999999999998</v>
      </c>
      <c r="E41" s="245">
        <v>0.34700000000000003</v>
      </c>
      <c r="F41" s="245">
        <v>0.12</v>
      </c>
      <c r="G41" s="249">
        <v>1</v>
      </c>
    </row>
    <row r="42" spans="1:8">
      <c r="A42" s="25">
        <v>2010</v>
      </c>
      <c r="B42" s="245">
        <v>5.4000000000000006E-2</v>
      </c>
      <c r="C42" s="245">
        <v>0.18600000000000003</v>
      </c>
      <c r="D42" s="245">
        <v>0.28300000000000003</v>
      </c>
      <c r="E42" s="245">
        <v>0.35299999999999998</v>
      </c>
      <c r="F42" s="245">
        <v>0.124</v>
      </c>
      <c r="G42" s="249">
        <v>1</v>
      </c>
    </row>
    <row r="44" spans="1:8">
      <c r="A44" s="4" t="s">
        <v>685</v>
      </c>
      <c r="B44" s="10"/>
      <c r="C44" s="10"/>
      <c r="D44" s="10"/>
      <c r="E44" s="10"/>
      <c r="F44" s="10"/>
      <c r="G44" s="10"/>
      <c r="H44" s="10"/>
    </row>
    <row r="45" spans="1:8">
      <c r="A45" s="4" t="s">
        <v>686</v>
      </c>
      <c r="B45" s="10"/>
      <c r="C45" s="10"/>
      <c r="D45" s="10"/>
      <c r="E45" s="10"/>
      <c r="F45" s="10"/>
      <c r="G45" s="10"/>
      <c r="H45" s="10"/>
    </row>
    <row r="47" spans="1:8">
      <c r="A47" s="58" t="s">
        <v>682</v>
      </c>
    </row>
    <row r="48" spans="1:8">
      <c r="A48" t="s">
        <v>683</v>
      </c>
    </row>
    <row r="51" spans="1:1">
      <c r="A51" s="15" t="s">
        <v>423</v>
      </c>
    </row>
    <row r="53" spans="1:1">
      <c r="A53" t="s">
        <v>779</v>
      </c>
    </row>
  </sheetData>
  <hyperlinks>
    <hyperlink ref="A3" location="TableOfContents!A1" display="Back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D64"/>
  <sheetViews>
    <sheetView workbookViewId="0">
      <selection activeCell="G7" sqref="G7"/>
    </sheetView>
  </sheetViews>
  <sheetFormatPr defaultRowHeight="15"/>
  <cols>
    <col min="1" max="1" width="6.5703125" customWidth="1"/>
    <col min="2" max="2" width="21.28515625" customWidth="1"/>
    <col min="3" max="3" width="14.85546875" customWidth="1"/>
    <col min="4" max="4" width="15.140625" customWidth="1"/>
  </cols>
  <sheetData>
    <row r="1" spans="1:4" ht="15.75">
      <c r="A1" s="24" t="s">
        <v>687</v>
      </c>
    </row>
    <row r="2" spans="1:4" ht="15.75">
      <c r="A2" s="24"/>
    </row>
    <row r="3" spans="1:4" ht="18.75">
      <c r="A3" s="84" t="s">
        <v>252</v>
      </c>
      <c r="B3" s="85" t="s">
        <v>253</v>
      </c>
    </row>
    <row r="4" spans="1:4" ht="18.75">
      <c r="A4" s="84"/>
      <c r="B4" s="85"/>
    </row>
    <row r="6" spans="1:4" ht="30">
      <c r="A6" s="12" t="s">
        <v>467</v>
      </c>
      <c r="B6" s="12" t="s">
        <v>218</v>
      </c>
      <c r="C6" s="226" t="s">
        <v>740</v>
      </c>
      <c r="D6" s="226" t="s">
        <v>741</v>
      </c>
    </row>
    <row r="7" spans="1:4">
      <c r="A7" s="101" t="s">
        <v>206</v>
      </c>
      <c r="B7" s="51" t="s">
        <v>736</v>
      </c>
      <c r="C7" s="102">
        <v>0.193</v>
      </c>
      <c r="D7" s="102">
        <v>0.10627622696588214</v>
      </c>
    </row>
    <row r="8" spans="1:4">
      <c r="A8" s="101" t="s">
        <v>144</v>
      </c>
      <c r="B8" s="51" t="s">
        <v>737</v>
      </c>
      <c r="C8" s="102">
        <v>0.107</v>
      </c>
      <c r="D8" s="102">
        <v>7.6923076923076927E-2</v>
      </c>
    </row>
    <row r="9" spans="1:4">
      <c r="A9" s="51" t="s">
        <v>134</v>
      </c>
      <c r="B9" s="51" t="s">
        <v>734</v>
      </c>
      <c r="C9" s="102">
        <v>0.2</v>
      </c>
      <c r="D9" s="102">
        <v>0.13168052256532067</v>
      </c>
    </row>
    <row r="10" spans="1:4">
      <c r="A10" s="101" t="s">
        <v>208</v>
      </c>
      <c r="B10" s="51" t="s">
        <v>735</v>
      </c>
      <c r="C10" s="102">
        <v>0.16500000000000001</v>
      </c>
      <c r="D10" s="102">
        <v>0.15185755863721964</v>
      </c>
    </row>
    <row r="11" spans="1:4">
      <c r="A11" s="101" t="s">
        <v>142</v>
      </c>
      <c r="B11" s="51" t="s">
        <v>733</v>
      </c>
      <c r="C11" s="102">
        <v>0.248</v>
      </c>
      <c r="D11" s="102">
        <v>0.16387191910680429</v>
      </c>
    </row>
    <row r="12" spans="1:4">
      <c r="A12" s="101" t="s">
        <v>124</v>
      </c>
      <c r="B12" s="51" t="s">
        <v>732</v>
      </c>
      <c r="C12" s="102">
        <v>0.154</v>
      </c>
      <c r="D12" s="102">
        <v>5.7128786013297218E-2</v>
      </c>
    </row>
    <row r="13" spans="1:4">
      <c r="A13" s="101" t="s">
        <v>128</v>
      </c>
      <c r="B13" s="51" t="s">
        <v>731</v>
      </c>
      <c r="C13" s="102">
        <v>0.2</v>
      </c>
      <c r="D13" s="102">
        <v>0.12225</v>
      </c>
    </row>
    <row r="14" spans="1:4">
      <c r="A14" s="101" t="s">
        <v>156</v>
      </c>
      <c r="B14" s="51" t="s">
        <v>730</v>
      </c>
      <c r="C14" s="102">
        <v>0.11800000000000001</v>
      </c>
      <c r="D14" s="102">
        <v>7.1428571428571425E-2</v>
      </c>
    </row>
    <row r="15" spans="1:4">
      <c r="A15" s="101" t="s">
        <v>176</v>
      </c>
      <c r="B15" s="51" t="s">
        <v>637</v>
      </c>
      <c r="C15" s="102">
        <v>0.16399999999999998</v>
      </c>
      <c r="D15" s="102">
        <v>0.10856183547845549</v>
      </c>
    </row>
    <row r="16" spans="1:4">
      <c r="A16" s="101" t="s">
        <v>180</v>
      </c>
      <c r="B16" s="51" t="s">
        <v>729</v>
      </c>
      <c r="C16" s="102">
        <v>0.159</v>
      </c>
      <c r="D16" s="102">
        <v>7.910336561821775E-2</v>
      </c>
    </row>
    <row r="17" spans="1:4">
      <c r="A17" s="101" t="s">
        <v>182</v>
      </c>
      <c r="B17" s="51" t="s">
        <v>728</v>
      </c>
      <c r="C17" s="102">
        <v>0.17800000000000002</v>
      </c>
      <c r="D17" s="102">
        <v>0.1147562582345191</v>
      </c>
    </row>
    <row r="18" spans="1:4">
      <c r="A18" s="101" t="s">
        <v>118</v>
      </c>
      <c r="B18" s="51" t="s">
        <v>727</v>
      </c>
      <c r="C18" s="102">
        <v>0.24399999999999999</v>
      </c>
      <c r="D18" s="102">
        <v>9.783728115345007E-2</v>
      </c>
    </row>
    <row r="19" spans="1:4">
      <c r="A19" s="101" t="s">
        <v>168</v>
      </c>
      <c r="B19" s="51" t="s">
        <v>725</v>
      </c>
      <c r="C19" s="102">
        <v>0.184</v>
      </c>
      <c r="D19" s="102">
        <v>8.2872928176795563E-2</v>
      </c>
    </row>
    <row r="20" spans="1:4">
      <c r="A20" s="101" t="s">
        <v>138</v>
      </c>
      <c r="B20" s="51" t="s">
        <v>724</v>
      </c>
      <c r="C20" s="102">
        <v>0.20800000000000002</v>
      </c>
      <c r="D20" s="102">
        <v>0.1144006256284214</v>
      </c>
    </row>
    <row r="21" spans="1:4">
      <c r="A21" s="101" t="s">
        <v>184</v>
      </c>
      <c r="B21" s="51" t="s">
        <v>723</v>
      </c>
      <c r="C21" s="102">
        <v>0.182</v>
      </c>
      <c r="D21" s="102">
        <v>0.11324632617408283</v>
      </c>
    </row>
    <row r="22" spans="1:4">
      <c r="A22" s="101" t="s">
        <v>158</v>
      </c>
      <c r="B22" s="51" t="s">
        <v>726</v>
      </c>
      <c r="C22" s="102">
        <v>0.11800000000000001</v>
      </c>
      <c r="D22" s="102">
        <v>5.8458523840627039E-2</v>
      </c>
    </row>
    <row r="23" spans="1:4">
      <c r="A23" s="101" t="s">
        <v>170</v>
      </c>
      <c r="B23" s="51" t="s">
        <v>722</v>
      </c>
      <c r="C23" s="102">
        <v>0.18</v>
      </c>
      <c r="D23" s="102">
        <v>8.435259384226064E-2</v>
      </c>
    </row>
    <row r="24" spans="1:4">
      <c r="A24" s="101" t="s">
        <v>210</v>
      </c>
      <c r="B24" s="51" t="s">
        <v>721</v>
      </c>
      <c r="C24" s="102">
        <v>0.18899999999999997</v>
      </c>
      <c r="D24" s="102">
        <v>8.5766927683095351E-2</v>
      </c>
    </row>
    <row r="25" spans="1:4">
      <c r="A25" s="101" t="s">
        <v>202</v>
      </c>
      <c r="B25" s="51" t="s">
        <v>720</v>
      </c>
      <c r="C25" s="102">
        <v>0.245</v>
      </c>
      <c r="D25" s="102">
        <v>0.19511714904508762</v>
      </c>
    </row>
    <row r="26" spans="1:4">
      <c r="A26" s="101" t="s">
        <v>188</v>
      </c>
      <c r="B26" s="51" t="s">
        <v>717</v>
      </c>
      <c r="C26" s="102">
        <v>0.26800000000000002</v>
      </c>
      <c r="D26" s="102">
        <v>0.20661157024793389</v>
      </c>
    </row>
    <row r="27" spans="1:4">
      <c r="A27" s="101" t="s">
        <v>162</v>
      </c>
      <c r="B27" s="51" t="s">
        <v>718</v>
      </c>
      <c r="C27" s="102">
        <v>0.17800000000000002</v>
      </c>
      <c r="D27" s="102">
        <v>0.1022106631989597</v>
      </c>
    </row>
    <row r="28" spans="1:4">
      <c r="A28" s="101" t="s">
        <v>152</v>
      </c>
      <c r="B28" s="51" t="s">
        <v>719</v>
      </c>
      <c r="C28" s="102">
        <v>0.20699999999999999</v>
      </c>
      <c r="D28" s="102">
        <v>0.10240880935994494</v>
      </c>
    </row>
    <row r="29" spans="1:4">
      <c r="A29" s="101" t="s">
        <v>192</v>
      </c>
      <c r="B29" s="51" t="s">
        <v>716</v>
      </c>
      <c r="C29" s="102">
        <v>0.13300000000000001</v>
      </c>
      <c r="D29" s="102">
        <v>6.9868995633187769E-2</v>
      </c>
    </row>
    <row r="30" spans="1:4">
      <c r="A30" s="101" t="s">
        <v>126</v>
      </c>
      <c r="B30" s="51" t="s">
        <v>715</v>
      </c>
      <c r="C30" s="102">
        <v>0.10400000000000001</v>
      </c>
      <c r="D30" s="102">
        <v>7.1978444957659732E-2</v>
      </c>
    </row>
    <row r="31" spans="1:4">
      <c r="A31" s="101" t="s">
        <v>214</v>
      </c>
      <c r="B31" s="51" t="s">
        <v>713</v>
      </c>
      <c r="C31" s="102">
        <v>0.28899999999999998</v>
      </c>
      <c r="D31" s="102">
        <v>0.24778657968313142</v>
      </c>
    </row>
    <row r="32" spans="1:4">
      <c r="A32" s="101" t="s">
        <v>200</v>
      </c>
      <c r="B32" s="51" t="s">
        <v>714</v>
      </c>
      <c r="C32" s="102">
        <v>0.21</v>
      </c>
      <c r="D32" s="102">
        <v>0.15850773430391266</v>
      </c>
    </row>
    <row r="33" spans="1:4">
      <c r="A33" s="101" t="s">
        <v>148</v>
      </c>
      <c r="B33" s="51" t="s">
        <v>712</v>
      </c>
      <c r="C33" s="102">
        <v>0.105</v>
      </c>
      <c r="D33" s="102">
        <v>6.585612968591692E-2</v>
      </c>
    </row>
    <row r="34" spans="1:4">
      <c r="A34" s="101" t="s">
        <v>130</v>
      </c>
      <c r="B34" s="51" t="s">
        <v>709</v>
      </c>
      <c r="C34" s="102">
        <v>0.114</v>
      </c>
      <c r="D34" s="102">
        <v>4.9191848208011243E-2</v>
      </c>
    </row>
    <row r="35" spans="1:4">
      <c r="A35" s="101" t="s">
        <v>140</v>
      </c>
      <c r="B35" s="51" t="s">
        <v>705</v>
      </c>
      <c r="C35" s="102">
        <v>0.17</v>
      </c>
      <c r="D35" s="102">
        <v>6.5924657534246575E-2</v>
      </c>
    </row>
    <row r="36" spans="1:4">
      <c r="A36" s="101" t="s">
        <v>164</v>
      </c>
      <c r="B36" s="51" t="s">
        <v>708</v>
      </c>
      <c r="C36" s="102">
        <v>0.182</v>
      </c>
      <c r="D36" s="102">
        <v>7.2335025380710655E-2</v>
      </c>
    </row>
    <row r="37" spans="1:4">
      <c r="A37" s="101" t="s">
        <v>120</v>
      </c>
      <c r="B37" s="51" t="s">
        <v>707</v>
      </c>
      <c r="C37" s="102">
        <v>0.20100000000000001</v>
      </c>
      <c r="D37" s="102">
        <v>8.8135593220338981E-2</v>
      </c>
    </row>
    <row r="38" spans="1:4">
      <c r="A38" s="101" t="s">
        <v>196</v>
      </c>
      <c r="B38" s="51" t="s">
        <v>706</v>
      </c>
      <c r="C38" s="102">
        <v>0.21100000000000002</v>
      </c>
      <c r="D38" s="102">
        <v>0.16145367887995235</v>
      </c>
    </row>
    <row r="39" spans="1:4">
      <c r="A39" s="101" t="s">
        <v>150</v>
      </c>
      <c r="B39" s="51" t="s">
        <v>704</v>
      </c>
      <c r="C39" s="102">
        <v>0.18600000000000003</v>
      </c>
      <c r="D39" s="102">
        <v>4.4756615485135577E-2</v>
      </c>
    </row>
    <row r="40" spans="1:4">
      <c r="A40" s="101" t="s">
        <v>186</v>
      </c>
      <c r="B40" s="51" t="s">
        <v>711</v>
      </c>
      <c r="C40" s="102">
        <v>0.127</v>
      </c>
      <c r="D40" s="102">
        <v>1.5467602521609149E-2</v>
      </c>
    </row>
    <row r="41" spans="1:4">
      <c r="A41" s="101" t="s">
        <v>132</v>
      </c>
      <c r="B41" s="51" t="s">
        <v>710</v>
      </c>
      <c r="C41" s="102">
        <v>9.0999999999999998E-2</v>
      </c>
      <c r="D41" s="102">
        <v>9.5238095238095233E-2</v>
      </c>
    </row>
    <row r="42" spans="1:4">
      <c r="A42" s="101" t="s">
        <v>190</v>
      </c>
      <c r="B42" s="51" t="s">
        <v>703</v>
      </c>
      <c r="C42" s="102">
        <v>0.16800000000000001</v>
      </c>
      <c r="D42" s="102">
        <v>6.1799049245396226E-2</v>
      </c>
    </row>
    <row r="43" spans="1:4">
      <c r="A43" s="101" t="s">
        <v>198</v>
      </c>
      <c r="B43" s="51" t="s">
        <v>702</v>
      </c>
      <c r="C43" s="102">
        <v>0.18600000000000003</v>
      </c>
      <c r="D43" s="102">
        <v>0.11217674259290975</v>
      </c>
    </row>
    <row r="44" spans="1:4">
      <c r="A44" s="101" t="s">
        <v>166</v>
      </c>
      <c r="B44" s="51" t="s">
        <v>701</v>
      </c>
      <c r="C44" s="102">
        <v>0.22699999999999998</v>
      </c>
      <c r="D44" s="102">
        <v>9.9141630901287539E-2</v>
      </c>
    </row>
    <row r="45" spans="1:4">
      <c r="A45" s="101" t="s">
        <v>178</v>
      </c>
      <c r="B45" s="51" t="s">
        <v>700</v>
      </c>
      <c r="C45" s="102">
        <v>0.14099999999999999</v>
      </c>
      <c r="D45" s="102">
        <v>5.2922050141182508E-2</v>
      </c>
    </row>
    <row r="46" spans="1:4">
      <c r="A46" s="101" t="s">
        <v>174</v>
      </c>
      <c r="B46" s="51" t="s">
        <v>699</v>
      </c>
      <c r="C46" s="102">
        <v>0.17699999999999999</v>
      </c>
      <c r="D46" s="102">
        <v>0.11886586695747001</v>
      </c>
    </row>
    <row r="47" spans="1:4">
      <c r="A47" s="101" t="s">
        <v>194</v>
      </c>
      <c r="B47" s="51" t="s">
        <v>698</v>
      </c>
      <c r="C47" s="102">
        <v>0.17699999999999999</v>
      </c>
      <c r="D47" s="102">
        <v>0.10122699386503067</v>
      </c>
    </row>
    <row r="48" spans="1:4">
      <c r="A48" s="101" t="s">
        <v>116</v>
      </c>
      <c r="B48" s="51" t="s">
        <v>697</v>
      </c>
      <c r="C48" s="102">
        <v>0.151</v>
      </c>
      <c r="D48" s="102">
        <v>0.14162561576354679</v>
      </c>
    </row>
    <row r="49" spans="1:4">
      <c r="A49" s="101" t="s">
        <v>204</v>
      </c>
      <c r="B49" s="51" t="s">
        <v>696</v>
      </c>
      <c r="C49" s="102">
        <v>0.18899999999999997</v>
      </c>
      <c r="D49" s="102">
        <v>7.0172941427656399E-2</v>
      </c>
    </row>
    <row r="50" spans="1:4">
      <c r="A50" s="101" t="s">
        <v>160</v>
      </c>
      <c r="B50" s="51" t="s">
        <v>695</v>
      </c>
      <c r="C50" s="102">
        <v>0.245</v>
      </c>
      <c r="D50" s="102">
        <v>0.13511844799012121</v>
      </c>
    </row>
    <row r="51" spans="1:4">
      <c r="A51" s="101" t="s">
        <v>114</v>
      </c>
      <c r="B51" s="51" t="s">
        <v>694</v>
      </c>
      <c r="C51" s="102">
        <v>0.18100000000000002</v>
      </c>
      <c r="D51" s="102">
        <v>0.1229260935143288</v>
      </c>
    </row>
    <row r="52" spans="1:4">
      <c r="A52" s="101" t="s">
        <v>172</v>
      </c>
      <c r="B52" s="51" t="s">
        <v>692</v>
      </c>
      <c r="C52" s="102">
        <v>0.13</v>
      </c>
      <c r="D52" s="102">
        <v>4.4520547945205477E-2</v>
      </c>
    </row>
    <row r="53" spans="1:4">
      <c r="A53" s="101" t="s">
        <v>136</v>
      </c>
      <c r="B53" s="51" t="s">
        <v>693</v>
      </c>
      <c r="C53" s="102">
        <v>0.14199999999999999</v>
      </c>
      <c r="D53" s="102">
        <v>7.2812500000000002E-2</v>
      </c>
    </row>
    <row r="54" spans="1:4">
      <c r="A54" s="101" t="s">
        <v>146</v>
      </c>
      <c r="B54" s="51" t="s">
        <v>691</v>
      </c>
      <c r="C54" s="102">
        <v>0.193</v>
      </c>
      <c r="D54" s="102">
        <v>6.0594560404807082E-2</v>
      </c>
    </row>
    <row r="55" spans="1:4">
      <c r="A55" s="101" t="s">
        <v>212</v>
      </c>
      <c r="B55" s="51" t="s">
        <v>689</v>
      </c>
      <c r="C55" s="102">
        <v>0.191</v>
      </c>
      <c r="D55" s="102">
        <v>0.10463842220598978</v>
      </c>
    </row>
    <row r="56" spans="1:4">
      <c r="A56" s="101" t="s">
        <v>154</v>
      </c>
      <c r="B56" s="51" t="s">
        <v>690</v>
      </c>
      <c r="C56" s="102">
        <v>0.10199999999999999</v>
      </c>
      <c r="D56" s="102">
        <v>8.6444864158070608E-2</v>
      </c>
    </row>
    <row r="57" spans="1:4">
      <c r="A57" s="101" t="s">
        <v>122</v>
      </c>
      <c r="B57" s="51" t="s">
        <v>688</v>
      </c>
      <c r="C57" s="102">
        <v>0.115</v>
      </c>
      <c r="D57" s="102">
        <v>3.6423841059602648E-2</v>
      </c>
    </row>
    <row r="59" spans="1:4">
      <c r="A59" s="4" t="s">
        <v>738</v>
      </c>
    </row>
    <row r="62" spans="1:4">
      <c r="A62" s="15" t="s">
        <v>423</v>
      </c>
    </row>
    <row r="63" spans="1:4">
      <c r="A63" s="15"/>
    </row>
    <row r="64" spans="1:4">
      <c r="A64" t="s">
        <v>779</v>
      </c>
    </row>
  </sheetData>
  <sortState ref="A6:D56">
    <sortCondition ref="B6:B56"/>
  </sortState>
  <hyperlinks>
    <hyperlink ref="A3" location="TableOfContents!A1" display="Back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D64"/>
  <sheetViews>
    <sheetView workbookViewId="0">
      <selection activeCell="G6" sqref="G6"/>
    </sheetView>
  </sheetViews>
  <sheetFormatPr defaultRowHeight="15"/>
  <cols>
    <col min="1" max="1" width="6.28515625" customWidth="1"/>
    <col min="2" max="2" width="21" customWidth="1"/>
    <col min="3" max="3" width="14.140625" customWidth="1"/>
    <col min="4" max="4" width="13.85546875" customWidth="1"/>
  </cols>
  <sheetData>
    <row r="1" spans="1:4" ht="15.75">
      <c r="A1" s="24" t="s">
        <v>739</v>
      </c>
    </row>
    <row r="2" spans="1:4">
      <c r="A2" s="4"/>
    </row>
    <row r="3" spans="1:4" ht="18.75">
      <c r="A3" s="84" t="s">
        <v>252</v>
      </c>
      <c r="B3" s="85" t="s">
        <v>253</v>
      </c>
    </row>
    <row r="6" spans="1:4" ht="45">
      <c r="A6" s="12" t="s">
        <v>467</v>
      </c>
      <c r="B6" s="12" t="s">
        <v>218</v>
      </c>
      <c r="C6" s="226" t="s">
        <v>742</v>
      </c>
      <c r="D6" s="226" t="s">
        <v>743</v>
      </c>
    </row>
    <row r="7" spans="1:4">
      <c r="A7" s="101" t="s">
        <v>206</v>
      </c>
      <c r="B7" s="51" t="s">
        <v>736</v>
      </c>
      <c r="C7" s="102">
        <v>0.2875268953297051</v>
      </c>
      <c r="D7" s="102">
        <v>0.19111476008027733</v>
      </c>
    </row>
    <row r="8" spans="1:4">
      <c r="A8" s="101" t="s">
        <v>144</v>
      </c>
      <c r="B8" s="51" t="s">
        <v>737</v>
      </c>
      <c r="C8" s="102">
        <v>0.27353992848629322</v>
      </c>
      <c r="D8" s="102">
        <v>0.17823639774859287</v>
      </c>
    </row>
    <row r="9" spans="1:4">
      <c r="A9" s="51" t="s">
        <v>134</v>
      </c>
      <c r="B9" s="51" t="s">
        <v>734</v>
      </c>
      <c r="C9" s="102">
        <v>0.24334543254688445</v>
      </c>
      <c r="D9" s="102">
        <v>0.14652612826603326</v>
      </c>
    </row>
    <row r="10" spans="1:4">
      <c r="A10" s="101" t="s">
        <v>208</v>
      </c>
      <c r="B10" s="51" t="s">
        <v>735</v>
      </c>
      <c r="C10" s="102">
        <v>0.14677262406746674</v>
      </c>
      <c r="D10" s="102">
        <v>5.153227187125492E-2</v>
      </c>
    </row>
    <row r="11" spans="1:4">
      <c r="A11" s="101" t="s">
        <v>142</v>
      </c>
      <c r="B11" s="51" t="s">
        <v>733</v>
      </c>
      <c r="C11" s="102">
        <v>0.28983346820563055</v>
      </c>
      <c r="D11" s="102">
        <v>0.15104276385085316</v>
      </c>
    </row>
    <row r="12" spans="1:4">
      <c r="A12" s="101" t="s">
        <v>124</v>
      </c>
      <c r="B12" s="51" t="s">
        <v>732</v>
      </c>
      <c r="C12" s="102">
        <v>0.15907150065988665</v>
      </c>
      <c r="D12" s="102">
        <v>7.5104654026101947E-2</v>
      </c>
    </row>
    <row r="13" spans="1:4">
      <c r="A13" s="101" t="s">
        <v>128</v>
      </c>
      <c r="B13" s="51" t="s">
        <v>731</v>
      </c>
      <c r="C13" s="102">
        <v>0.24213184236630894</v>
      </c>
      <c r="D13" s="102">
        <v>8.0500000000000002E-2</v>
      </c>
    </row>
    <row r="14" spans="1:4">
      <c r="A14" s="101" t="s">
        <v>156</v>
      </c>
      <c r="B14" s="51" t="s">
        <v>730</v>
      </c>
      <c r="C14" s="102">
        <v>0.32324026740070783</v>
      </c>
      <c r="D14" s="102">
        <v>0.21698113207547171</v>
      </c>
    </row>
    <row r="15" spans="1:4">
      <c r="A15" s="101" t="s">
        <v>176</v>
      </c>
      <c r="B15" s="51" t="s">
        <v>637</v>
      </c>
      <c r="C15" s="102">
        <v>0.23932203389830509</v>
      </c>
      <c r="D15" s="102">
        <v>0.13766088416340236</v>
      </c>
    </row>
    <row r="16" spans="1:4">
      <c r="A16" s="101" t="s">
        <v>180</v>
      </c>
      <c r="B16" s="51" t="s">
        <v>729</v>
      </c>
      <c r="C16" s="102">
        <v>0.36037400027737976</v>
      </c>
      <c r="D16" s="102">
        <v>0.23079913187133555</v>
      </c>
    </row>
    <row r="17" spans="1:4">
      <c r="A17" s="101" t="s">
        <v>182</v>
      </c>
      <c r="B17" s="51" t="s">
        <v>728</v>
      </c>
      <c r="C17" s="102">
        <v>0.37478621404508933</v>
      </c>
      <c r="D17" s="102">
        <v>0.22812911725955204</v>
      </c>
    </row>
    <row r="18" spans="1:4">
      <c r="A18" s="101" t="s">
        <v>118</v>
      </c>
      <c r="B18" s="51" t="s">
        <v>727</v>
      </c>
      <c r="C18" s="102">
        <v>0.25699658703071671</v>
      </c>
      <c r="D18" s="102">
        <v>0.12049433573635428</v>
      </c>
    </row>
    <row r="19" spans="1:4">
      <c r="A19" s="101" t="s">
        <v>168</v>
      </c>
      <c r="B19" s="51" t="s">
        <v>725</v>
      </c>
      <c r="C19" s="102">
        <v>0.3012385726924211</v>
      </c>
      <c r="D19" s="102">
        <v>0.17327975891511804</v>
      </c>
    </row>
    <row r="20" spans="1:4">
      <c r="A20" s="101" t="s">
        <v>138</v>
      </c>
      <c r="B20" s="51" t="s">
        <v>724</v>
      </c>
      <c r="C20" s="102">
        <v>0.2783815851922164</v>
      </c>
      <c r="D20" s="102">
        <v>0.17093062227684058</v>
      </c>
    </row>
    <row r="21" spans="1:4">
      <c r="A21" s="101" t="s">
        <v>184</v>
      </c>
      <c r="B21" s="51" t="s">
        <v>723</v>
      </c>
      <c r="C21" s="102">
        <v>9.4469469469469464E-2</v>
      </c>
      <c r="D21" s="102">
        <v>3.1343130202445793E-2</v>
      </c>
    </row>
    <row r="22" spans="1:4">
      <c r="A22" s="101" t="s">
        <v>158</v>
      </c>
      <c r="B22" s="51" t="s">
        <v>726</v>
      </c>
      <c r="C22" s="102">
        <v>0.32812925478805482</v>
      </c>
      <c r="D22" s="102">
        <v>0.15022860875244937</v>
      </c>
    </row>
    <row r="23" spans="1:4">
      <c r="A23" s="101" t="s">
        <v>170</v>
      </c>
      <c r="B23" s="51" t="s">
        <v>722</v>
      </c>
      <c r="C23" s="102">
        <v>0.15243331773514274</v>
      </c>
      <c r="D23" s="102">
        <v>4.1754533951919012E-2</v>
      </c>
    </row>
    <row r="24" spans="1:4">
      <c r="A24" s="101" t="s">
        <v>210</v>
      </c>
      <c r="B24" s="51" t="s">
        <v>721</v>
      </c>
      <c r="C24" s="102">
        <v>0.30494868407682146</v>
      </c>
      <c r="D24" s="102">
        <v>0.18995854444956245</v>
      </c>
    </row>
    <row r="25" spans="1:4">
      <c r="A25" s="101" t="s">
        <v>202</v>
      </c>
      <c r="B25" s="51" t="s">
        <v>720</v>
      </c>
      <c r="C25" s="102">
        <v>0.24662752655402681</v>
      </c>
      <c r="D25" s="102">
        <v>0.13634573734987201</v>
      </c>
    </row>
    <row r="26" spans="1:4">
      <c r="A26" s="101" t="s">
        <v>188</v>
      </c>
      <c r="B26" s="51" t="s">
        <v>717</v>
      </c>
      <c r="C26" s="102">
        <v>0.25967558338076269</v>
      </c>
      <c r="D26" s="102">
        <v>0.12101534828807554</v>
      </c>
    </row>
    <row r="27" spans="1:4">
      <c r="A27" s="101" t="s">
        <v>162</v>
      </c>
      <c r="B27" s="51" t="s">
        <v>718</v>
      </c>
      <c r="C27" s="102">
        <v>0.28575061995294715</v>
      </c>
      <c r="D27" s="102">
        <v>0.17334200260078025</v>
      </c>
    </row>
    <row r="28" spans="1:4">
      <c r="A28" s="101" t="s">
        <v>152</v>
      </c>
      <c r="B28" s="51" t="s">
        <v>719</v>
      </c>
      <c r="C28" s="102">
        <v>0.24671916010498687</v>
      </c>
      <c r="D28" s="102">
        <v>0.16930488644184447</v>
      </c>
    </row>
    <row r="29" spans="1:4">
      <c r="A29" s="101" t="s">
        <v>192</v>
      </c>
      <c r="B29" s="51" t="s">
        <v>716</v>
      </c>
      <c r="C29" s="102">
        <v>0.17573119545181995</v>
      </c>
      <c r="D29" s="102">
        <v>8.4635715927373012E-2</v>
      </c>
    </row>
    <row r="30" spans="1:4">
      <c r="A30" s="101" t="s">
        <v>126</v>
      </c>
      <c r="B30" s="51" t="s">
        <v>715</v>
      </c>
      <c r="C30" s="102">
        <v>0.37807259361359979</v>
      </c>
      <c r="D30" s="102">
        <v>0.21362586605080833</v>
      </c>
    </row>
    <row r="31" spans="1:4">
      <c r="A31" s="101" t="s">
        <v>214</v>
      </c>
      <c r="B31" s="51" t="s">
        <v>713</v>
      </c>
      <c r="C31" s="102">
        <v>0.2720487804878049</v>
      </c>
      <c r="D31" s="102">
        <v>0.17264678471575023</v>
      </c>
    </row>
    <row r="32" spans="1:4">
      <c r="A32" s="101" t="s">
        <v>200</v>
      </c>
      <c r="B32" s="51" t="s">
        <v>714</v>
      </c>
      <c r="C32" s="102">
        <v>0.1844806763285024</v>
      </c>
      <c r="D32" s="102">
        <v>9.5177434030937216E-2</v>
      </c>
    </row>
    <row r="33" spans="1:4">
      <c r="A33" s="101" t="s">
        <v>148</v>
      </c>
      <c r="B33" s="51" t="s">
        <v>712</v>
      </c>
      <c r="C33" s="102">
        <v>0.39440907832825906</v>
      </c>
      <c r="D33" s="102">
        <v>0.21377912867274571</v>
      </c>
    </row>
    <row r="34" spans="1:4">
      <c r="A34" s="101" t="s">
        <v>130</v>
      </c>
      <c r="B34" s="51" t="s">
        <v>709</v>
      </c>
      <c r="C34" s="102">
        <v>0.21527649343443683</v>
      </c>
      <c r="D34" s="102">
        <v>0.10119465917076599</v>
      </c>
    </row>
    <row r="35" spans="1:4">
      <c r="A35" s="101" t="s">
        <v>140</v>
      </c>
      <c r="B35" s="51" t="s">
        <v>705</v>
      </c>
      <c r="C35" s="102">
        <v>0.3125</v>
      </c>
      <c r="D35" s="102">
        <v>0.1990582191780822</v>
      </c>
    </row>
    <row r="36" spans="1:4">
      <c r="A36" s="101" t="s">
        <v>164</v>
      </c>
      <c r="B36" s="51" t="s">
        <v>708</v>
      </c>
      <c r="C36" s="102">
        <v>0.23316516779995614</v>
      </c>
      <c r="D36" s="102">
        <v>9.7715736040609139E-2</v>
      </c>
    </row>
    <row r="37" spans="1:4">
      <c r="A37" s="101" t="s">
        <v>120</v>
      </c>
      <c r="B37" s="51" t="s">
        <v>707</v>
      </c>
      <c r="C37" s="102">
        <v>0.20608761949445781</v>
      </c>
      <c r="D37" s="102">
        <v>0.13072955047899779</v>
      </c>
    </row>
    <row r="38" spans="1:4">
      <c r="A38" s="101" t="s">
        <v>196</v>
      </c>
      <c r="B38" s="51" t="s">
        <v>706</v>
      </c>
      <c r="C38" s="102">
        <v>0.2376595504348808</v>
      </c>
      <c r="D38" s="102">
        <v>0.11677092642240096</v>
      </c>
    </row>
    <row r="39" spans="1:4">
      <c r="A39" s="101" t="s">
        <v>150</v>
      </c>
      <c r="B39" s="51" t="s">
        <v>704</v>
      </c>
      <c r="C39" s="102">
        <v>0.26910104381168787</v>
      </c>
      <c r="D39" s="102">
        <v>0.12624777668880904</v>
      </c>
    </row>
    <row r="40" spans="1:4">
      <c r="A40" s="101" t="s">
        <v>186</v>
      </c>
      <c r="B40" s="51" t="s">
        <v>711</v>
      </c>
      <c r="C40" s="102">
        <v>0.28384123242697196</v>
      </c>
      <c r="D40" s="102">
        <v>0.16299473581594853</v>
      </c>
    </row>
    <row r="41" spans="1:4">
      <c r="A41" s="101" t="s">
        <v>132</v>
      </c>
      <c r="B41" s="51" t="s">
        <v>710</v>
      </c>
      <c r="C41" s="102">
        <v>0.3345476624165149</v>
      </c>
      <c r="D41" s="102">
        <v>0.11904761904761903</v>
      </c>
    </row>
    <row r="42" spans="1:4">
      <c r="A42" s="101" t="s">
        <v>190</v>
      </c>
      <c r="B42" s="51" t="s">
        <v>703</v>
      </c>
      <c r="C42" s="102">
        <v>0.27264430755190511</v>
      </c>
      <c r="D42" s="102">
        <v>0.17339733234873309</v>
      </c>
    </row>
    <row r="43" spans="1:4">
      <c r="A43" s="101" t="s">
        <v>198</v>
      </c>
      <c r="B43" s="51" t="s">
        <v>702</v>
      </c>
      <c r="C43" s="102">
        <v>0.33244834352995495</v>
      </c>
      <c r="D43" s="102">
        <v>0.19369755095050523</v>
      </c>
    </row>
    <row r="44" spans="1:4">
      <c r="A44" s="101" t="s">
        <v>166</v>
      </c>
      <c r="B44" s="51" t="s">
        <v>701</v>
      </c>
      <c r="C44" s="102">
        <v>0.33022425084342133</v>
      </c>
      <c r="D44" s="102">
        <v>0.21695278969957082</v>
      </c>
    </row>
    <row r="45" spans="1:4">
      <c r="A45" s="101" t="s">
        <v>178</v>
      </c>
      <c r="B45" s="51" t="s">
        <v>700</v>
      </c>
      <c r="C45" s="102">
        <v>0.25944256822328327</v>
      </c>
      <c r="D45" s="102">
        <v>0.15033798237357748</v>
      </c>
    </row>
    <row r="46" spans="1:4">
      <c r="A46" s="101" t="s">
        <v>174</v>
      </c>
      <c r="B46" s="51" t="s">
        <v>699</v>
      </c>
      <c r="C46" s="102">
        <v>0.28597560975609754</v>
      </c>
      <c r="D46" s="102">
        <v>0.23391494002181026</v>
      </c>
    </row>
    <row r="47" spans="1:4">
      <c r="A47" s="101" t="s">
        <v>194</v>
      </c>
      <c r="B47" s="51" t="s">
        <v>698</v>
      </c>
      <c r="C47" s="102">
        <v>0.33751365523268517</v>
      </c>
      <c r="D47" s="102">
        <v>0.20312083222192584</v>
      </c>
    </row>
    <row r="48" spans="1:4">
      <c r="A48" s="101" t="s">
        <v>116</v>
      </c>
      <c r="B48" s="51" t="s">
        <v>697</v>
      </c>
      <c r="C48" s="102">
        <v>0.30922165820642977</v>
      </c>
      <c r="D48" s="102">
        <v>0.10714285714285714</v>
      </c>
    </row>
    <row r="49" spans="1:4">
      <c r="A49" s="101" t="s">
        <v>204</v>
      </c>
      <c r="B49" s="51" t="s">
        <v>696</v>
      </c>
      <c r="C49" s="102">
        <v>0.4027695351137488</v>
      </c>
      <c r="D49" s="102">
        <v>0.26396697743932818</v>
      </c>
    </row>
    <row r="50" spans="1:4">
      <c r="A50" s="101" t="s">
        <v>160</v>
      </c>
      <c r="B50" s="51" t="s">
        <v>695</v>
      </c>
      <c r="C50" s="102">
        <v>0.35985179848710958</v>
      </c>
      <c r="D50" s="102">
        <v>0.222435251681669</v>
      </c>
    </row>
    <row r="51" spans="1:4">
      <c r="A51" s="101" t="s">
        <v>114</v>
      </c>
      <c r="B51" s="51" t="s">
        <v>694</v>
      </c>
      <c r="C51" s="102">
        <v>0.31890459363957596</v>
      </c>
      <c r="D51" s="102">
        <v>0.19607843137254904</v>
      </c>
    </row>
    <row r="52" spans="1:4">
      <c r="A52" s="101" t="s">
        <v>172</v>
      </c>
      <c r="B52" s="51" t="s">
        <v>692</v>
      </c>
      <c r="C52" s="102">
        <v>0.24098360655737705</v>
      </c>
      <c r="D52" s="102">
        <v>0.14554794520547945</v>
      </c>
    </row>
    <row r="53" spans="1:4">
      <c r="A53" s="101" t="s">
        <v>136</v>
      </c>
      <c r="B53" s="51" t="s">
        <v>693</v>
      </c>
      <c r="C53" s="102">
        <v>0.35768023730708054</v>
      </c>
      <c r="D53" s="102">
        <v>0.18593750000000001</v>
      </c>
    </row>
    <row r="54" spans="1:4">
      <c r="A54" s="101" t="s">
        <v>146</v>
      </c>
      <c r="B54" s="51" t="s">
        <v>691</v>
      </c>
      <c r="C54" s="102">
        <v>0.27819410601811412</v>
      </c>
      <c r="D54" s="102">
        <v>0.16521189120809615</v>
      </c>
    </row>
    <row r="55" spans="1:4">
      <c r="A55" s="101" t="s">
        <v>212</v>
      </c>
      <c r="B55" s="51" t="s">
        <v>689</v>
      </c>
      <c r="C55" s="102">
        <v>0.3448200175592625</v>
      </c>
      <c r="D55" s="102">
        <v>0.19466764061358657</v>
      </c>
    </row>
    <row r="56" spans="1:4">
      <c r="A56" s="101" t="s">
        <v>154</v>
      </c>
      <c r="B56" s="51" t="s">
        <v>690</v>
      </c>
      <c r="C56" s="102">
        <v>0.12911338220343518</v>
      </c>
      <c r="D56" s="102">
        <v>4.4602644195844837E-2</v>
      </c>
    </row>
    <row r="57" spans="1:4">
      <c r="A57" s="101" t="s">
        <v>122</v>
      </c>
      <c r="B57" s="51" t="s">
        <v>688</v>
      </c>
      <c r="C57" s="102">
        <v>0.29006526468455401</v>
      </c>
      <c r="D57" s="102">
        <v>0.21192052980132453</v>
      </c>
    </row>
    <row r="59" spans="1:4">
      <c r="A59" s="4" t="s">
        <v>738</v>
      </c>
    </row>
    <row r="62" spans="1:4">
      <c r="A62" s="15" t="s">
        <v>423</v>
      </c>
    </row>
    <row r="63" spans="1:4">
      <c r="A63" s="15"/>
    </row>
    <row r="64" spans="1:4">
      <c r="A64" t="s">
        <v>779</v>
      </c>
    </row>
  </sheetData>
  <sortState ref="A7:D57">
    <sortCondition ref="B7:B57"/>
  </sortState>
  <hyperlinks>
    <hyperlink ref="A3" location="TableOfContents!A1" display="Back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D64"/>
  <sheetViews>
    <sheetView workbookViewId="0">
      <selection activeCell="H11" sqref="H11"/>
    </sheetView>
  </sheetViews>
  <sheetFormatPr defaultRowHeight="15"/>
  <cols>
    <col min="1" max="1" width="6.5703125" customWidth="1"/>
    <col min="2" max="2" width="21" customWidth="1"/>
    <col min="3" max="3" width="14.5703125" customWidth="1"/>
    <col min="4" max="4" width="14.140625" customWidth="1"/>
  </cols>
  <sheetData>
    <row r="1" spans="1:4" ht="15.75">
      <c r="A1" s="24" t="s">
        <v>744</v>
      </c>
    </row>
    <row r="3" spans="1:4" ht="18.75">
      <c r="A3" s="84" t="s">
        <v>252</v>
      </c>
      <c r="B3" s="85" t="s">
        <v>253</v>
      </c>
    </row>
    <row r="6" spans="1:4" ht="45">
      <c r="A6" s="4" t="s">
        <v>467</v>
      </c>
      <c r="B6" s="4" t="s">
        <v>218</v>
      </c>
      <c r="C6" s="226" t="s">
        <v>745</v>
      </c>
      <c r="D6" s="226" t="s">
        <v>746</v>
      </c>
    </row>
    <row r="7" spans="1:4">
      <c r="A7" s="101" t="s">
        <v>206</v>
      </c>
      <c r="B7" s="51" t="s">
        <v>736</v>
      </c>
      <c r="C7" s="102">
        <v>0.32964181749145671</v>
      </c>
      <c r="D7" s="102">
        <v>0.42273307790549169</v>
      </c>
    </row>
    <row r="8" spans="1:4">
      <c r="A8" s="101" t="s">
        <v>144</v>
      </c>
      <c r="B8" s="51" t="s">
        <v>737</v>
      </c>
      <c r="C8" s="102">
        <v>0.33194278903456498</v>
      </c>
      <c r="D8" s="102">
        <v>0.43339587242026267</v>
      </c>
    </row>
    <row r="9" spans="1:4">
      <c r="A9" s="51" t="s">
        <v>134</v>
      </c>
      <c r="B9" s="51" t="s">
        <v>734</v>
      </c>
      <c r="C9" s="102">
        <v>0.23190159306311756</v>
      </c>
      <c r="D9" s="102">
        <v>0.26395486935866985</v>
      </c>
    </row>
    <row r="10" spans="1:4">
      <c r="A10" s="101" t="s">
        <v>208</v>
      </c>
      <c r="B10" s="51" t="s">
        <v>735</v>
      </c>
      <c r="C10" s="102">
        <v>0.55654665369229106</v>
      </c>
      <c r="D10" s="102">
        <v>0.60229412771785651</v>
      </c>
    </row>
    <row r="11" spans="1:4">
      <c r="A11" s="101" t="s">
        <v>142</v>
      </c>
      <c r="B11" s="51" t="s">
        <v>733</v>
      </c>
      <c r="C11" s="102">
        <v>0.29410324119425868</v>
      </c>
      <c r="D11" s="102">
        <v>0.40947967137139246</v>
      </c>
    </row>
    <row r="12" spans="1:4">
      <c r="A12" s="101" t="s">
        <v>124</v>
      </c>
      <c r="B12" s="51" t="s">
        <v>732</v>
      </c>
      <c r="C12" s="102">
        <v>0.49848614238024991</v>
      </c>
      <c r="D12" s="102">
        <v>0.5545432159566609</v>
      </c>
    </row>
    <row r="13" spans="1:4">
      <c r="A13" s="101" t="s">
        <v>128</v>
      </c>
      <c r="B13" s="51" t="s">
        <v>731</v>
      </c>
      <c r="C13" s="102">
        <v>0.32329335377401031</v>
      </c>
      <c r="D13" s="102">
        <v>0.45750000000000002</v>
      </c>
    </row>
    <row r="14" spans="1:4">
      <c r="A14" s="101" t="s">
        <v>156</v>
      </c>
      <c r="B14" s="51" t="s">
        <v>730</v>
      </c>
      <c r="C14" s="102">
        <v>0.41053873377900119</v>
      </c>
      <c r="D14" s="102">
        <v>0.46226415094339623</v>
      </c>
    </row>
    <row r="15" spans="1:4">
      <c r="A15" s="101" t="s">
        <v>176</v>
      </c>
      <c r="B15" s="51" t="s">
        <v>637</v>
      </c>
      <c r="C15" s="102">
        <v>0.32711864406779662</v>
      </c>
      <c r="D15" s="102">
        <v>0.38220481253497485</v>
      </c>
    </row>
    <row r="16" spans="1:4">
      <c r="A16" s="101" t="s">
        <v>180</v>
      </c>
      <c r="B16" s="51" t="s">
        <v>729</v>
      </c>
      <c r="C16" s="102">
        <v>0.30905875826360318</v>
      </c>
      <c r="D16" s="102">
        <v>0.43905283275566065</v>
      </c>
    </row>
    <row r="17" spans="1:4">
      <c r="A17" s="101" t="s">
        <v>182</v>
      </c>
      <c r="B17" s="51" t="s">
        <v>728</v>
      </c>
      <c r="C17" s="102">
        <v>0.27711842446229595</v>
      </c>
      <c r="D17" s="102">
        <v>0.38260869565217392</v>
      </c>
    </row>
    <row r="18" spans="1:4">
      <c r="A18" s="101" t="s">
        <v>118</v>
      </c>
      <c r="B18" s="51" t="s">
        <v>727</v>
      </c>
      <c r="C18" s="102">
        <v>0.30034129692832767</v>
      </c>
      <c r="D18" s="102">
        <v>0.43048403707518029</v>
      </c>
    </row>
    <row r="19" spans="1:4">
      <c r="A19" s="101" t="s">
        <v>168</v>
      </c>
      <c r="B19" s="51" t="s">
        <v>725</v>
      </c>
      <c r="C19" s="102">
        <v>0.22132114420524918</v>
      </c>
      <c r="D19" s="102">
        <v>0.35760924158714213</v>
      </c>
    </row>
    <row r="20" spans="1:4">
      <c r="A20" s="101" t="s">
        <v>138</v>
      </c>
      <c r="B20" s="51" t="s">
        <v>724</v>
      </c>
      <c r="C20" s="102">
        <v>0.33198860939724723</v>
      </c>
      <c r="D20" s="102">
        <v>0.43576136744497823</v>
      </c>
    </row>
    <row r="21" spans="1:4">
      <c r="A21" s="101" t="s">
        <v>184</v>
      </c>
      <c r="B21" s="51" t="s">
        <v>723</v>
      </c>
      <c r="C21" s="102">
        <v>0.56153028028028029</v>
      </c>
      <c r="D21" s="102">
        <v>0.61802486897543929</v>
      </c>
    </row>
    <row r="22" spans="1:4">
      <c r="A22" s="101" t="s">
        <v>158</v>
      </c>
      <c r="B22" s="51" t="s">
        <v>726</v>
      </c>
      <c r="C22" s="102">
        <v>0.31224471271671056</v>
      </c>
      <c r="D22" s="102">
        <v>0.49444807315480077</v>
      </c>
    </row>
    <row r="23" spans="1:4">
      <c r="A23" s="101" t="s">
        <v>170</v>
      </c>
      <c r="B23" s="51" t="s">
        <v>722</v>
      </c>
      <c r="C23" s="102">
        <v>0.46244735610669158</v>
      </c>
      <c r="D23" s="102">
        <v>0.57612821594264019</v>
      </c>
    </row>
    <row r="24" spans="1:4">
      <c r="A24" s="101" t="s">
        <v>210</v>
      </c>
      <c r="B24" s="51" t="s">
        <v>721</v>
      </c>
      <c r="C24" s="102">
        <v>0.34823696778782642</v>
      </c>
      <c r="D24" s="102">
        <v>0.4807001381851681</v>
      </c>
    </row>
    <row r="25" spans="1:4">
      <c r="A25" s="101" t="s">
        <v>202</v>
      </c>
      <c r="B25" s="51" t="s">
        <v>720</v>
      </c>
      <c r="C25" s="102">
        <v>0.31739344776587641</v>
      </c>
      <c r="D25" s="102">
        <v>0.41228588304784408</v>
      </c>
    </row>
    <row r="26" spans="1:4">
      <c r="A26" s="101" t="s">
        <v>188</v>
      </c>
      <c r="B26" s="51" t="s">
        <v>717</v>
      </c>
      <c r="C26" s="102">
        <v>0.28315310187820147</v>
      </c>
      <c r="D26" s="102">
        <v>0.43742621015348282</v>
      </c>
    </row>
    <row r="27" spans="1:4">
      <c r="A27" s="101" t="s">
        <v>162</v>
      </c>
      <c r="B27" s="51" t="s">
        <v>718</v>
      </c>
      <c r="C27" s="102">
        <v>0.28892986583582375</v>
      </c>
      <c r="D27" s="102">
        <v>0.31352405721716514</v>
      </c>
    </row>
    <row r="28" spans="1:4">
      <c r="A28" s="101" t="s">
        <v>152</v>
      </c>
      <c r="B28" s="51" t="s">
        <v>719</v>
      </c>
      <c r="C28" s="102">
        <v>0.33264263019754109</v>
      </c>
      <c r="D28" s="102">
        <v>0.39298004129387482</v>
      </c>
    </row>
    <row r="29" spans="1:4">
      <c r="A29" s="101" t="s">
        <v>192</v>
      </c>
      <c r="B29" s="51" t="s">
        <v>716</v>
      </c>
      <c r="C29" s="102">
        <v>0.52517266650380867</v>
      </c>
      <c r="D29" s="102">
        <v>0.62468398069409337</v>
      </c>
    </row>
    <row r="30" spans="1:4">
      <c r="A30" s="101" t="s">
        <v>126</v>
      </c>
      <c r="B30" s="51" t="s">
        <v>715</v>
      </c>
      <c r="C30" s="102">
        <v>0.35136687342062944</v>
      </c>
      <c r="D30" s="102">
        <v>0.44457274826789844</v>
      </c>
    </row>
    <row r="31" spans="1:4">
      <c r="A31" s="101" t="s">
        <v>214</v>
      </c>
      <c r="B31" s="51" t="s">
        <v>713</v>
      </c>
      <c r="C31" s="102">
        <v>0.19775609756097562</v>
      </c>
      <c r="D31" s="102">
        <v>0.25209692451071763</v>
      </c>
    </row>
    <row r="32" spans="1:4">
      <c r="A32" s="101" t="s">
        <v>200</v>
      </c>
      <c r="B32" s="51" t="s">
        <v>714</v>
      </c>
      <c r="C32" s="102">
        <v>0.3908816425120773</v>
      </c>
      <c r="D32" s="102">
        <v>0.46505914467697906</v>
      </c>
    </row>
    <row r="33" spans="1:4">
      <c r="A33" s="101" t="s">
        <v>148</v>
      </c>
      <c r="B33" s="51" t="s">
        <v>712</v>
      </c>
      <c r="C33" s="102">
        <v>0.30196512593412678</v>
      </c>
      <c r="D33" s="102">
        <v>0.45795339412360692</v>
      </c>
    </row>
    <row r="34" spans="1:4">
      <c r="A34" s="101" t="s">
        <v>130</v>
      </c>
      <c r="B34" s="51" t="s">
        <v>709</v>
      </c>
      <c r="C34" s="102">
        <v>0.45755502126872571</v>
      </c>
      <c r="D34" s="102">
        <v>0.58257203092059029</v>
      </c>
    </row>
    <row r="35" spans="1:4">
      <c r="A35" s="101" t="s">
        <v>140</v>
      </c>
      <c r="B35" s="51" t="s">
        <v>705</v>
      </c>
      <c r="C35" s="102">
        <v>0.20855402542372878</v>
      </c>
      <c r="D35" s="102">
        <v>0.2970890410958904</v>
      </c>
    </row>
    <row r="36" spans="1:4">
      <c r="A36" s="101" t="s">
        <v>164</v>
      </c>
      <c r="B36" s="51" t="s">
        <v>708</v>
      </c>
      <c r="C36" s="102">
        <v>0.34459311252467645</v>
      </c>
      <c r="D36" s="102">
        <v>0.39086294416243655</v>
      </c>
    </row>
    <row r="37" spans="1:4">
      <c r="A37" s="101" t="s">
        <v>120</v>
      </c>
      <c r="B37" s="51" t="s">
        <v>707</v>
      </c>
      <c r="C37" s="102">
        <v>0.38883349950149548</v>
      </c>
      <c r="D37" s="102">
        <v>0.44126750184229918</v>
      </c>
    </row>
    <row r="38" spans="1:4">
      <c r="A38" s="101" t="s">
        <v>196</v>
      </c>
      <c r="B38" s="51" t="s">
        <v>706</v>
      </c>
      <c r="C38" s="102">
        <v>0.39297413306223883</v>
      </c>
      <c r="D38" s="102">
        <v>0.45963658028001192</v>
      </c>
    </row>
    <row r="39" spans="1:4">
      <c r="A39" s="101" t="s">
        <v>150</v>
      </c>
      <c r="B39" s="51" t="s">
        <v>704</v>
      </c>
      <c r="C39" s="102">
        <v>0.40488532272953198</v>
      </c>
      <c r="D39" s="102">
        <v>0.56187157428581802</v>
      </c>
    </row>
    <row r="40" spans="1:4">
      <c r="A40" s="101" t="s">
        <v>186</v>
      </c>
      <c r="B40" s="51" t="s">
        <v>711</v>
      </c>
      <c r="C40" s="102">
        <v>0.44993265426382689</v>
      </c>
      <c r="D40" s="102">
        <v>0.60921557158640416</v>
      </c>
    </row>
    <row r="41" spans="1:4">
      <c r="A41" s="101" t="s">
        <v>132</v>
      </c>
      <c r="B41" s="51" t="s">
        <v>710</v>
      </c>
      <c r="C41" s="102">
        <v>0.31390406800242865</v>
      </c>
      <c r="D41" s="102">
        <v>0.48677248677248675</v>
      </c>
    </row>
    <row r="42" spans="1:4">
      <c r="A42" s="101" t="s">
        <v>190</v>
      </c>
      <c r="B42" s="51" t="s">
        <v>703</v>
      </c>
      <c r="C42" s="102">
        <v>0.40080994752452659</v>
      </c>
      <c r="D42" s="102">
        <v>0.50722296580052617</v>
      </c>
    </row>
    <row r="43" spans="1:4">
      <c r="A43" s="101" t="s">
        <v>198</v>
      </c>
      <c r="B43" s="51" t="s">
        <v>702</v>
      </c>
      <c r="C43" s="102">
        <v>0.35420754934780097</v>
      </c>
      <c r="D43" s="102">
        <v>0.47747902038020207</v>
      </c>
    </row>
    <row r="44" spans="1:4">
      <c r="A44" s="101" t="s">
        <v>166</v>
      </c>
      <c r="B44" s="51" t="s">
        <v>701</v>
      </c>
      <c r="C44" s="102">
        <v>0.31355427664219093</v>
      </c>
      <c r="D44" s="102">
        <v>0.47875536480686698</v>
      </c>
    </row>
    <row r="45" spans="1:4">
      <c r="A45" s="101" t="s">
        <v>178</v>
      </c>
      <c r="B45" s="51" t="s">
        <v>700</v>
      </c>
      <c r="C45" s="102">
        <v>0.44555723768487249</v>
      </c>
      <c r="D45" s="102">
        <v>0.55035509540515104</v>
      </c>
    </row>
    <row r="46" spans="1:4">
      <c r="A46" s="101" t="s">
        <v>174</v>
      </c>
      <c r="B46" s="51" t="s">
        <v>699</v>
      </c>
      <c r="C46" s="102">
        <v>0.33252032520325203</v>
      </c>
      <c r="D46" s="102">
        <v>0.36859323882224648</v>
      </c>
    </row>
    <row r="47" spans="1:4">
      <c r="A47" s="101" t="s">
        <v>194</v>
      </c>
      <c r="B47" s="51" t="s">
        <v>698</v>
      </c>
      <c r="C47" s="102">
        <v>0.33812540965698057</v>
      </c>
      <c r="D47" s="102">
        <v>0.48226193651640437</v>
      </c>
    </row>
    <row r="48" spans="1:4">
      <c r="A48" s="101" t="s">
        <v>116</v>
      </c>
      <c r="B48" s="51" t="s">
        <v>697</v>
      </c>
      <c r="C48" s="102">
        <v>0.36590524534686969</v>
      </c>
      <c r="D48" s="102">
        <v>0.54187192118226601</v>
      </c>
    </row>
    <row r="49" spans="1:4">
      <c r="A49" s="101" t="s">
        <v>204</v>
      </c>
      <c r="B49" s="51" t="s">
        <v>696</v>
      </c>
      <c r="C49" s="102">
        <v>0.22653313550939663</v>
      </c>
      <c r="D49" s="102">
        <v>0.36331933670201411</v>
      </c>
    </row>
    <row r="50" spans="1:4">
      <c r="A50" s="101" t="s">
        <v>160</v>
      </c>
      <c r="B50" s="51" t="s">
        <v>695</v>
      </c>
      <c r="C50" s="102">
        <v>0.19686872845160294</v>
      </c>
      <c r="D50" s="102">
        <v>0.36298053488447662</v>
      </c>
    </row>
    <row r="51" spans="1:4">
      <c r="A51" s="101" t="s">
        <v>114</v>
      </c>
      <c r="B51" s="51" t="s">
        <v>694</v>
      </c>
      <c r="C51" s="102">
        <v>0.36978798586572437</v>
      </c>
      <c r="D51" s="102">
        <v>0.49170437405731521</v>
      </c>
    </row>
    <row r="52" spans="1:4">
      <c r="A52" s="101" t="s">
        <v>172</v>
      </c>
      <c r="B52" s="51" t="s">
        <v>692</v>
      </c>
      <c r="C52" s="102">
        <v>0.38852459016393437</v>
      </c>
      <c r="D52" s="102">
        <v>0.52397260273972601</v>
      </c>
    </row>
    <row r="53" spans="1:4">
      <c r="A53" s="101" t="s">
        <v>136</v>
      </c>
      <c r="B53" s="51" t="s">
        <v>693</v>
      </c>
      <c r="C53" s="102">
        <v>0.34370835303727271</v>
      </c>
      <c r="D53" s="102">
        <v>0.50703125000000004</v>
      </c>
    </row>
    <row r="54" spans="1:4">
      <c r="A54" s="101" t="s">
        <v>146</v>
      </c>
      <c r="B54" s="51" t="s">
        <v>691</v>
      </c>
      <c r="C54" s="102">
        <v>0.36136269596800147</v>
      </c>
      <c r="D54" s="102">
        <v>0.52080961416824789</v>
      </c>
    </row>
    <row r="55" spans="1:4">
      <c r="A55" s="101" t="s">
        <v>212</v>
      </c>
      <c r="B55" s="51" t="s">
        <v>689</v>
      </c>
      <c r="C55" s="102">
        <v>0.29689786362306114</v>
      </c>
      <c r="D55" s="102">
        <v>0.41818845872899929</v>
      </c>
    </row>
    <row r="56" spans="1:4">
      <c r="A56" s="101" t="s">
        <v>154</v>
      </c>
      <c r="B56" s="51" t="s">
        <v>690</v>
      </c>
      <c r="C56" s="102">
        <v>0.65535876718925568</v>
      </c>
      <c r="D56" s="102">
        <v>0.68385878250762744</v>
      </c>
    </row>
    <row r="57" spans="1:4">
      <c r="A57" s="101" t="s">
        <v>122</v>
      </c>
      <c r="B57" s="51" t="s">
        <v>688</v>
      </c>
      <c r="C57" s="102">
        <v>0.34952864394488758</v>
      </c>
      <c r="D57" s="102">
        <v>0.44039735099337746</v>
      </c>
    </row>
    <row r="59" spans="1:4">
      <c r="A59" s="4" t="s">
        <v>738</v>
      </c>
    </row>
    <row r="62" spans="1:4">
      <c r="A62" s="15" t="s">
        <v>423</v>
      </c>
    </row>
    <row r="63" spans="1:4">
      <c r="A63" s="15"/>
    </row>
    <row r="64" spans="1:4">
      <c r="A64" t="s">
        <v>779</v>
      </c>
    </row>
  </sheetData>
  <sortState ref="A7:D57">
    <sortCondition ref="B7:B57"/>
  </sortState>
  <hyperlinks>
    <hyperlink ref="A3" location="TableOfContents!A1" display="Back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G69"/>
  <sheetViews>
    <sheetView workbookViewId="0">
      <selection activeCell="I6" sqref="I6"/>
    </sheetView>
  </sheetViews>
  <sheetFormatPr defaultRowHeight="15"/>
  <cols>
    <col min="1" max="1" width="6.28515625" customWidth="1"/>
    <col min="2" max="2" width="19.42578125" customWidth="1"/>
    <col min="3" max="3" width="15.85546875" customWidth="1"/>
    <col min="6" max="6" width="9.140625" customWidth="1"/>
  </cols>
  <sheetData>
    <row r="1" spans="1:7" ht="15.75">
      <c r="A1" s="24" t="s">
        <v>747</v>
      </c>
    </row>
    <row r="3" spans="1:7" ht="18.75">
      <c r="A3" s="84" t="s">
        <v>252</v>
      </c>
      <c r="B3" s="85" t="s">
        <v>253</v>
      </c>
    </row>
    <row r="4" spans="1:7" ht="18.75">
      <c r="A4" s="84"/>
      <c r="B4" s="85"/>
    </row>
    <row r="6" spans="1:7" ht="60">
      <c r="A6" s="4" t="s">
        <v>467</v>
      </c>
      <c r="B6" s="4" t="s">
        <v>218</v>
      </c>
      <c r="C6" s="226" t="s">
        <v>972</v>
      </c>
      <c r="F6" s="275" t="s">
        <v>748</v>
      </c>
      <c r="G6" s="275"/>
    </row>
    <row r="7" spans="1:7">
      <c r="A7" s="103" t="s">
        <v>206</v>
      </c>
      <c r="B7" t="s">
        <v>207</v>
      </c>
      <c r="C7" s="104">
        <v>0.42699999999999999</v>
      </c>
      <c r="F7" s="107" t="s">
        <v>200</v>
      </c>
      <c r="G7" s="250">
        <v>0.25</v>
      </c>
    </row>
    <row r="8" spans="1:7">
      <c r="A8" s="103" t="s">
        <v>144</v>
      </c>
      <c r="B8" t="s">
        <v>145</v>
      </c>
      <c r="C8" s="104">
        <v>0.25600000000000001</v>
      </c>
      <c r="F8" s="107" t="s">
        <v>136</v>
      </c>
      <c r="G8" s="250">
        <v>0.25</v>
      </c>
    </row>
    <row r="9" spans="1:7">
      <c r="A9" s="103" t="s">
        <v>134</v>
      </c>
      <c r="B9" t="s">
        <v>135</v>
      </c>
      <c r="C9" s="104">
        <v>0.52300000000000002</v>
      </c>
      <c r="F9" s="107" t="s">
        <v>156</v>
      </c>
      <c r="G9" s="250">
        <v>0.26</v>
      </c>
    </row>
    <row r="10" spans="1:7">
      <c r="A10" s="103" t="s">
        <v>208</v>
      </c>
      <c r="B10" t="s">
        <v>209</v>
      </c>
      <c r="C10" s="104">
        <v>0.50900000000000001</v>
      </c>
      <c r="F10" s="59" t="s">
        <v>144</v>
      </c>
      <c r="G10" s="250">
        <v>0.26</v>
      </c>
    </row>
    <row r="11" spans="1:7">
      <c r="A11" s="103" t="s">
        <v>142</v>
      </c>
      <c r="B11" t="s">
        <v>143</v>
      </c>
      <c r="C11" s="104">
        <v>0.53400000000000003</v>
      </c>
      <c r="F11" s="107" t="s">
        <v>116</v>
      </c>
      <c r="G11" s="250">
        <v>0.28000000000000003</v>
      </c>
    </row>
    <row r="12" spans="1:7">
      <c r="A12" s="103" t="s">
        <v>124</v>
      </c>
      <c r="B12" t="s">
        <v>125</v>
      </c>
      <c r="C12" s="104">
        <v>0.45</v>
      </c>
      <c r="F12" s="107" t="s">
        <v>752</v>
      </c>
      <c r="G12" s="250">
        <v>0.48</v>
      </c>
    </row>
    <row r="13" spans="1:7">
      <c r="A13" s="103" t="s">
        <v>128</v>
      </c>
      <c r="B13" t="s">
        <v>129</v>
      </c>
      <c r="C13" s="104">
        <v>0.36299999999999999</v>
      </c>
      <c r="F13" s="107" t="s">
        <v>198</v>
      </c>
      <c r="G13" s="250">
        <v>0.57999999999999996</v>
      </c>
    </row>
    <row r="14" spans="1:7">
      <c r="A14" s="103" t="s">
        <v>156</v>
      </c>
      <c r="B14" t="s">
        <v>157</v>
      </c>
      <c r="C14" s="104">
        <v>0.255</v>
      </c>
      <c r="F14" s="107" t="s">
        <v>210</v>
      </c>
      <c r="G14" s="250">
        <v>0.61</v>
      </c>
    </row>
    <row r="15" spans="1:7">
      <c r="A15" s="103" t="s">
        <v>176</v>
      </c>
      <c r="B15" t="s">
        <v>177</v>
      </c>
      <c r="C15" s="104">
        <v>0.29699999999999999</v>
      </c>
      <c r="F15" s="107" t="s">
        <v>150</v>
      </c>
      <c r="G15" s="250">
        <v>0.61899999999999999</v>
      </c>
    </row>
    <row r="16" spans="1:7">
      <c r="A16" s="103" t="s">
        <v>180</v>
      </c>
      <c r="B16" t="s">
        <v>181</v>
      </c>
      <c r="C16" s="104">
        <v>0.48899999999999999</v>
      </c>
      <c r="F16" s="107" t="s">
        <v>204</v>
      </c>
      <c r="G16" s="250">
        <v>0.68</v>
      </c>
    </row>
    <row r="17" spans="1:7">
      <c r="A17" s="103" t="s">
        <v>182</v>
      </c>
      <c r="B17" t="s">
        <v>183</v>
      </c>
      <c r="C17" s="104">
        <v>0.53500000000000003</v>
      </c>
      <c r="F17" s="107" t="s">
        <v>184</v>
      </c>
      <c r="G17" s="250">
        <v>0.7</v>
      </c>
    </row>
    <row r="18" spans="1:7">
      <c r="A18" s="103" t="s">
        <v>118</v>
      </c>
      <c r="B18" t="s">
        <v>119</v>
      </c>
      <c r="C18" s="104">
        <v>0.33900000000000002</v>
      </c>
    </row>
    <row r="19" spans="1:7">
      <c r="A19" s="103" t="s">
        <v>168</v>
      </c>
      <c r="B19" t="s">
        <v>169</v>
      </c>
      <c r="C19" s="104">
        <v>0.34100000000000003</v>
      </c>
    </row>
    <row r="20" spans="1:7">
      <c r="A20" s="103" t="s">
        <v>138</v>
      </c>
      <c r="B20" t="s">
        <v>139</v>
      </c>
      <c r="C20" s="104">
        <v>0.53200000000000003</v>
      </c>
    </row>
    <row r="21" spans="1:7">
      <c r="A21" s="103" t="s">
        <v>184</v>
      </c>
      <c r="B21" t="s">
        <v>185</v>
      </c>
      <c r="C21" s="104">
        <v>0.70299999999999996</v>
      </c>
    </row>
    <row r="22" spans="1:7">
      <c r="A22" s="103" t="s">
        <v>158</v>
      </c>
      <c r="B22" t="s">
        <v>159</v>
      </c>
      <c r="C22" s="104">
        <v>0.40500000000000003</v>
      </c>
    </row>
    <row r="23" spans="1:7">
      <c r="A23" s="103" t="s">
        <v>170</v>
      </c>
      <c r="B23" t="s">
        <v>171</v>
      </c>
      <c r="C23" s="104">
        <v>0.378</v>
      </c>
    </row>
    <row r="24" spans="1:7">
      <c r="A24" s="103" t="s">
        <v>210</v>
      </c>
      <c r="B24" t="s">
        <v>211</v>
      </c>
      <c r="C24" s="104">
        <v>0.60699999999999998</v>
      </c>
    </row>
    <row r="25" spans="1:7">
      <c r="A25" s="103" t="s">
        <v>202</v>
      </c>
      <c r="B25" t="s">
        <v>203</v>
      </c>
      <c r="C25" s="104">
        <v>0.52900000000000003</v>
      </c>
    </row>
    <row r="26" spans="1:7">
      <c r="A26" s="103" t="s">
        <v>188</v>
      </c>
      <c r="B26" t="s">
        <v>189</v>
      </c>
      <c r="C26" s="104">
        <v>0.36599999999999999</v>
      </c>
    </row>
    <row r="27" spans="1:7">
      <c r="A27" s="103" t="s">
        <v>162</v>
      </c>
      <c r="B27" t="s">
        <v>163</v>
      </c>
      <c r="C27" s="104">
        <v>0.31</v>
      </c>
    </row>
    <row r="28" spans="1:7">
      <c r="A28" s="103" t="s">
        <v>152</v>
      </c>
      <c r="B28" t="s">
        <v>153</v>
      </c>
      <c r="C28" s="104">
        <v>0.28799999999999998</v>
      </c>
    </row>
    <row r="29" spans="1:7">
      <c r="A29" s="103" t="s">
        <v>192</v>
      </c>
      <c r="B29" t="s">
        <v>193</v>
      </c>
      <c r="C29" s="104">
        <v>0.54400000000000004</v>
      </c>
    </row>
    <row r="30" spans="1:7">
      <c r="A30" s="103" t="s">
        <v>126</v>
      </c>
      <c r="B30" t="s">
        <v>127</v>
      </c>
      <c r="C30" s="104">
        <v>0.41199999999999998</v>
      </c>
    </row>
    <row r="31" spans="1:7">
      <c r="A31" s="103" t="s">
        <v>214</v>
      </c>
      <c r="B31" t="s">
        <v>215</v>
      </c>
      <c r="C31" s="104">
        <v>0.55600000000000005</v>
      </c>
    </row>
    <row r="32" spans="1:7">
      <c r="A32" s="103" t="s">
        <v>200</v>
      </c>
      <c r="B32" t="s">
        <v>201</v>
      </c>
      <c r="C32" s="104">
        <v>0.249</v>
      </c>
    </row>
    <row r="33" spans="1:3">
      <c r="A33" s="103" t="s">
        <v>148</v>
      </c>
      <c r="B33" t="s">
        <v>149</v>
      </c>
      <c r="C33" s="104">
        <v>0.33500000000000002</v>
      </c>
    </row>
    <row r="34" spans="1:3">
      <c r="A34" s="103" t="s">
        <v>130</v>
      </c>
      <c r="B34" t="s">
        <v>131</v>
      </c>
      <c r="C34" s="104">
        <v>0.52800000000000002</v>
      </c>
    </row>
    <row r="35" spans="1:3">
      <c r="A35" s="103" t="s">
        <v>140</v>
      </c>
      <c r="B35" t="s">
        <v>141</v>
      </c>
      <c r="C35" s="104">
        <v>0.47899999999999998</v>
      </c>
    </row>
    <row r="36" spans="1:3">
      <c r="A36" s="103" t="s">
        <v>164</v>
      </c>
      <c r="B36" t="s">
        <v>165</v>
      </c>
      <c r="C36" s="104">
        <v>0.44500000000000001</v>
      </c>
    </row>
    <row r="37" spans="1:3">
      <c r="A37" s="103" t="s">
        <v>120</v>
      </c>
      <c r="B37" t="s">
        <v>121</v>
      </c>
      <c r="C37" s="104">
        <v>0.45800000000000002</v>
      </c>
    </row>
    <row r="38" spans="1:3">
      <c r="A38" s="103" t="s">
        <v>196</v>
      </c>
      <c r="B38" t="s">
        <v>197</v>
      </c>
      <c r="C38" s="104">
        <v>0.439</v>
      </c>
    </row>
    <row r="39" spans="1:3">
      <c r="A39" s="103" t="s">
        <v>150</v>
      </c>
      <c r="B39" t="s">
        <v>151</v>
      </c>
      <c r="C39" s="104">
        <v>0.61599999999999999</v>
      </c>
    </row>
    <row r="40" spans="1:3">
      <c r="A40" s="103" t="s">
        <v>186</v>
      </c>
      <c r="B40" t="s">
        <v>187</v>
      </c>
      <c r="C40" s="104">
        <v>0.504</v>
      </c>
    </row>
    <row r="41" spans="1:3">
      <c r="A41" s="103" t="s">
        <v>132</v>
      </c>
      <c r="B41" t="s">
        <v>133</v>
      </c>
      <c r="C41" s="104">
        <v>0.30299999999999999</v>
      </c>
    </row>
    <row r="42" spans="1:3">
      <c r="A42" s="103" t="s">
        <v>190</v>
      </c>
      <c r="B42" t="s">
        <v>191</v>
      </c>
      <c r="C42" s="104">
        <v>0.48299999999999998</v>
      </c>
    </row>
    <row r="43" spans="1:3">
      <c r="A43" s="103" t="s">
        <v>198</v>
      </c>
      <c r="B43" t="s">
        <v>199</v>
      </c>
      <c r="C43" s="104">
        <v>0.57799999999999996</v>
      </c>
    </row>
    <row r="44" spans="1:3">
      <c r="A44" s="103" t="s">
        <v>166</v>
      </c>
      <c r="B44" t="s">
        <v>167</v>
      </c>
      <c r="C44" s="104">
        <v>0.38500000000000001</v>
      </c>
    </row>
    <row r="45" spans="1:3">
      <c r="A45" s="103" t="s">
        <v>178</v>
      </c>
      <c r="B45" t="s">
        <v>179</v>
      </c>
      <c r="C45" s="104">
        <v>0.46300000000000002</v>
      </c>
    </row>
    <row r="46" spans="1:3">
      <c r="A46" s="103" t="s">
        <v>216</v>
      </c>
      <c r="B46" t="s">
        <v>217</v>
      </c>
      <c r="C46" s="104">
        <v>0.66200000000000003</v>
      </c>
    </row>
    <row r="47" spans="1:3">
      <c r="A47" s="103" t="s">
        <v>174</v>
      </c>
      <c r="B47" t="s">
        <v>175</v>
      </c>
      <c r="C47" s="104">
        <v>0.51300000000000001</v>
      </c>
    </row>
    <row r="48" spans="1:3">
      <c r="A48" s="103" t="s">
        <v>194</v>
      </c>
      <c r="B48" t="s">
        <v>195</v>
      </c>
      <c r="C48" s="104">
        <v>0.45500000000000002</v>
      </c>
    </row>
    <row r="49" spans="1:3">
      <c r="A49" s="103" t="s">
        <v>116</v>
      </c>
      <c r="B49" t="s">
        <v>117</v>
      </c>
      <c r="C49" s="104">
        <v>0.27600000000000002</v>
      </c>
    </row>
    <row r="50" spans="1:3">
      <c r="A50" s="103" t="s">
        <v>204</v>
      </c>
      <c r="B50" t="s">
        <v>205</v>
      </c>
      <c r="C50" s="104">
        <v>0.68400000000000005</v>
      </c>
    </row>
    <row r="51" spans="1:3">
      <c r="A51" s="103" t="s">
        <v>160</v>
      </c>
      <c r="B51" t="s">
        <v>161</v>
      </c>
      <c r="C51" s="104">
        <v>0.46700000000000003</v>
      </c>
    </row>
    <row r="52" spans="1:3">
      <c r="A52" s="105" t="s">
        <v>114</v>
      </c>
      <c r="B52" t="s">
        <v>115</v>
      </c>
      <c r="C52" s="28">
        <v>0.439</v>
      </c>
    </row>
    <row r="53" spans="1:3">
      <c r="A53" s="105" t="s">
        <v>172</v>
      </c>
      <c r="B53" t="s">
        <v>173</v>
      </c>
      <c r="C53" s="28">
        <v>0.45500000000000002</v>
      </c>
    </row>
    <row r="54" spans="1:3">
      <c r="A54" s="105" t="s">
        <v>136</v>
      </c>
      <c r="B54" t="s">
        <v>137</v>
      </c>
      <c r="C54" s="28">
        <v>0.249</v>
      </c>
    </row>
    <row r="55" spans="1:3">
      <c r="A55" s="105" t="s">
        <v>146</v>
      </c>
      <c r="B55" t="s">
        <v>147</v>
      </c>
      <c r="C55" s="28">
        <v>0.35299999999999998</v>
      </c>
    </row>
    <row r="56" spans="1:3">
      <c r="A56" s="105" t="s">
        <v>212</v>
      </c>
      <c r="B56" t="s">
        <v>213</v>
      </c>
      <c r="C56" s="28">
        <v>0.54400000000000004</v>
      </c>
    </row>
    <row r="57" spans="1:3">
      <c r="A57" s="105" t="s">
        <v>154</v>
      </c>
      <c r="B57" t="s">
        <v>155</v>
      </c>
      <c r="C57" s="28">
        <v>0.315</v>
      </c>
    </row>
    <row r="58" spans="1:3">
      <c r="A58" s="105" t="s">
        <v>122</v>
      </c>
      <c r="B58" t="s">
        <v>123</v>
      </c>
      <c r="C58" s="28">
        <v>0.56999999999999995</v>
      </c>
    </row>
    <row r="59" spans="1:3">
      <c r="A59" s="105"/>
      <c r="C59" s="28"/>
    </row>
    <row r="60" spans="1:3">
      <c r="A60" s="105"/>
      <c r="B60" s="4" t="s">
        <v>676</v>
      </c>
      <c r="C60" s="108">
        <v>0.48</v>
      </c>
    </row>
    <row r="62" spans="1:3">
      <c r="A62" s="4" t="s">
        <v>749</v>
      </c>
    </row>
    <row r="63" spans="1:3">
      <c r="A63" s="4" t="s">
        <v>750</v>
      </c>
    </row>
    <row r="64" spans="1:3">
      <c r="A64" s="4" t="s">
        <v>751</v>
      </c>
    </row>
    <row r="65" spans="1:1">
      <c r="A65" s="4"/>
    </row>
    <row r="66" spans="1:1">
      <c r="A66" s="4"/>
    </row>
    <row r="67" spans="1:1">
      <c r="A67" s="15" t="s">
        <v>423</v>
      </c>
    </row>
    <row r="69" spans="1:1">
      <c r="A69" t="s">
        <v>332</v>
      </c>
    </row>
  </sheetData>
  <sortState ref="A6:C57">
    <sortCondition ref="B6:B57"/>
  </sortState>
  <mergeCells count="1">
    <mergeCell ref="F6:G6"/>
  </mergeCells>
  <hyperlinks>
    <hyperlink ref="A3" location="TableOfContents!A1" display="Back"/>
  </hyperlinks>
  <pageMargins left="0.7" right="0.7" top="0.75" bottom="0.75" header="0.3" footer="0.3"/>
  <pageSetup orientation="portrait" verticalDpi="4"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:F66"/>
  <sheetViews>
    <sheetView workbookViewId="0">
      <selection activeCell="G55" sqref="G55"/>
    </sheetView>
  </sheetViews>
  <sheetFormatPr defaultRowHeight="15"/>
  <cols>
    <col min="1" max="1" width="6.28515625" customWidth="1"/>
    <col min="2" max="2" width="11" customWidth="1"/>
    <col min="3" max="3" width="11.7109375" customWidth="1"/>
  </cols>
  <sheetData>
    <row r="1" spans="1:6" ht="15.75">
      <c r="A1" s="24" t="s">
        <v>758</v>
      </c>
    </row>
    <row r="3" spans="1:6" ht="18.75">
      <c r="A3" s="84" t="s">
        <v>252</v>
      </c>
      <c r="B3" s="85" t="s">
        <v>253</v>
      </c>
    </row>
    <row r="6" spans="1:6">
      <c r="A6" s="251"/>
      <c r="B6" s="252" t="s">
        <v>753</v>
      </c>
      <c r="C6" s="252"/>
    </row>
    <row r="7" spans="1:6">
      <c r="A7" s="60"/>
      <c r="B7" s="253" t="s">
        <v>754</v>
      </c>
      <c r="C7" s="253"/>
    </row>
    <row r="8" spans="1:6">
      <c r="A8" s="254" t="s">
        <v>218</v>
      </c>
      <c r="B8" s="184" t="s">
        <v>218</v>
      </c>
      <c r="C8" s="254" t="s">
        <v>755</v>
      </c>
      <c r="D8" s="254" t="s">
        <v>756</v>
      </c>
    </row>
    <row r="9" spans="1:6">
      <c r="A9" s="255" t="s">
        <v>144</v>
      </c>
      <c r="B9" t="s">
        <v>145</v>
      </c>
      <c r="C9" s="271">
        <v>49504</v>
      </c>
      <c r="D9" s="271">
        <v>114686</v>
      </c>
      <c r="F9" s="103"/>
    </row>
    <row r="10" spans="1:6">
      <c r="A10" s="255" t="s">
        <v>206</v>
      </c>
      <c r="B10" t="s">
        <v>207</v>
      </c>
      <c r="C10" s="271">
        <v>33902</v>
      </c>
      <c r="D10" s="271">
        <v>53995</v>
      </c>
      <c r="F10" s="103"/>
    </row>
    <row r="11" spans="1:6">
      <c r="A11" s="255" t="s">
        <v>208</v>
      </c>
      <c r="B11" t="s">
        <v>209</v>
      </c>
      <c r="C11" s="271">
        <v>35249</v>
      </c>
      <c r="D11" s="271">
        <v>59157</v>
      </c>
      <c r="F11" s="103"/>
    </row>
    <row r="12" spans="1:6">
      <c r="A12" s="255" t="s">
        <v>134</v>
      </c>
      <c r="B12" t="s">
        <v>135</v>
      </c>
      <c r="C12" s="271">
        <v>35166</v>
      </c>
      <c r="D12" s="271">
        <v>49561</v>
      </c>
      <c r="F12" s="103"/>
    </row>
    <row r="13" spans="1:6">
      <c r="A13" s="255" t="s">
        <v>142</v>
      </c>
      <c r="B13" t="s">
        <v>143</v>
      </c>
      <c r="C13" s="271">
        <v>33804</v>
      </c>
      <c r="D13" s="271">
        <v>53352</v>
      </c>
      <c r="F13" s="103"/>
    </row>
    <row r="14" spans="1:6">
      <c r="A14" s="255" t="s">
        <v>124</v>
      </c>
      <c r="B14" t="s">
        <v>125</v>
      </c>
      <c r="C14" s="271">
        <v>40392</v>
      </c>
      <c r="D14" s="271">
        <v>67404</v>
      </c>
      <c r="F14" s="103"/>
    </row>
    <row r="15" spans="1:6">
      <c r="A15" s="255" t="s">
        <v>128</v>
      </c>
      <c r="B15" t="s">
        <v>129</v>
      </c>
      <c r="C15" s="271">
        <v>48018</v>
      </c>
      <c r="D15" s="271">
        <v>76317</v>
      </c>
      <c r="F15" s="103"/>
    </row>
    <row r="16" spans="1:6">
      <c r="A16" s="255" t="s">
        <v>176</v>
      </c>
      <c r="B16" t="s">
        <v>177</v>
      </c>
      <c r="C16" s="271">
        <v>50510</v>
      </c>
      <c r="D16" s="271">
        <v>65126</v>
      </c>
      <c r="F16" s="103"/>
    </row>
    <row r="17" spans="1:6">
      <c r="A17" s="255" t="s">
        <v>156</v>
      </c>
      <c r="B17" t="s">
        <v>157</v>
      </c>
      <c r="C17" s="271">
        <v>29755</v>
      </c>
      <c r="D17" s="271">
        <v>44633</v>
      </c>
      <c r="F17" s="103"/>
    </row>
    <row r="18" spans="1:6">
      <c r="A18" s="255" t="s">
        <v>180</v>
      </c>
      <c r="B18" t="s">
        <v>181</v>
      </c>
      <c r="C18" s="271">
        <v>30989</v>
      </c>
      <c r="D18" s="271">
        <v>51490</v>
      </c>
      <c r="F18" s="103"/>
    </row>
    <row r="19" spans="1:6">
      <c r="A19" s="255" t="s">
        <v>182</v>
      </c>
      <c r="B19" t="s">
        <v>183</v>
      </c>
      <c r="C19" s="271">
        <v>30000</v>
      </c>
      <c r="D19" s="271">
        <v>51406</v>
      </c>
      <c r="F19" s="103"/>
    </row>
    <row r="20" spans="1:6">
      <c r="A20" s="255" t="s">
        <v>118</v>
      </c>
      <c r="B20" t="s">
        <v>119</v>
      </c>
      <c r="C20" s="271">
        <v>38988</v>
      </c>
      <c r="D20" s="271">
        <v>57708</v>
      </c>
      <c r="F20" s="103"/>
    </row>
    <row r="21" spans="1:6">
      <c r="A21" s="255" t="s">
        <v>158</v>
      </c>
      <c r="B21" t="s">
        <v>159</v>
      </c>
      <c r="C21" s="271">
        <v>39852</v>
      </c>
      <c r="D21" s="271">
        <v>60112</v>
      </c>
      <c r="F21" s="103"/>
    </row>
    <row r="22" spans="1:6">
      <c r="A22" s="255" t="s">
        <v>168</v>
      </c>
      <c r="B22" t="s">
        <v>169</v>
      </c>
      <c r="C22" s="271">
        <v>30805</v>
      </c>
      <c r="D22" s="271">
        <v>56659</v>
      </c>
      <c r="F22" s="103"/>
    </row>
    <row r="23" spans="1:6">
      <c r="A23" s="255" t="s">
        <v>138</v>
      </c>
      <c r="B23" t="s">
        <v>139</v>
      </c>
      <c r="C23" s="271">
        <v>42576</v>
      </c>
      <c r="D23" s="271">
        <v>62820</v>
      </c>
      <c r="F23" s="103"/>
    </row>
    <row r="24" spans="1:6">
      <c r="A24" s="255" t="s">
        <v>184</v>
      </c>
      <c r="B24" t="s">
        <v>185</v>
      </c>
      <c r="C24" s="271">
        <v>32006</v>
      </c>
      <c r="D24" s="271">
        <v>60164</v>
      </c>
      <c r="F24" s="103"/>
    </row>
    <row r="25" spans="1:6">
      <c r="A25" s="255" t="s">
        <v>170</v>
      </c>
      <c r="B25" t="s">
        <v>171</v>
      </c>
      <c r="C25" s="271">
        <v>31262</v>
      </c>
      <c r="D25" s="271">
        <v>42806</v>
      </c>
      <c r="F25" s="103"/>
    </row>
    <row r="26" spans="1:6">
      <c r="A26" s="255" t="s">
        <v>210</v>
      </c>
      <c r="B26" t="s">
        <v>211</v>
      </c>
      <c r="C26" s="271">
        <v>31071</v>
      </c>
      <c r="D26" s="271" t="s">
        <v>757</v>
      </c>
      <c r="F26" s="103"/>
    </row>
    <row r="27" spans="1:6">
      <c r="A27" s="255" t="s">
        <v>202</v>
      </c>
      <c r="B27" t="s">
        <v>203</v>
      </c>
      <c r="C27" s="271">
        <v>24170</v>
      </c>
      <c r="D27" s="271">
        <v>50877</v>
      </c>
      <c r="F27" s="103"/>
    </row>
    <row r="28" spans="1:6">
      <c r="A28" s="255" t="s">
        <v>152</v>
      </c>
      <c r="B28" t="s">
        <v>153</v>
      </c>
      <c r="C28" s="271">
        <v>43339</v>
      </c>
      <c r="D28" s="271">
        <v>58882</v>
      </c>
      <c r="F28" s="103"/>
    </row>
    <row r="29" spans="1:6">
      <c r="A29" s="255" t="s">
        <v>162</v>
      </c>
      <c r="B29" t="s">
        <v>163</v>
      </c>
      <c r="C29" s="271">
        <v>37408</v>
      </c>
      <c r="D29" s="271">
        <v>52596</v>
      </c>
      <c r="F29" s="103"/>
    </row>
    <row r="30" spans="1:6">
      <c r="A30" s="255" t="s">
        <v>188</v>
      </c>
      <c r="B30" t="s">
        <v>189</v>
      </c>
      <c r="C30" s="271">
        <v>31304</v>
      </c>
      <c r="D30" s="271">
        <v>42182</v>
      </c>
      <c r="F30" s="103"/>
    </row>
    <row r="31" spans="1:6">
      <c r="A31" s="255" t="s">
        <v>192</v>
      </c>
      <c r="B31" t="s">
        <v>193</v>
      </c>
      <c r="C31" s="271">
        <v>40082</v>
      </c>
      <c r="D31" s="271">
        <v>54870</v>
      </c>
      <c r="F31" s="103"/>
    </row>
    <row r="32" spans="1:6">
      <c r="A32" s="255" t="s">
        <v>126</v>
      </c>
      <c r="B32" t="s">
        <v>127</v>
      </c>
      <c r="C32" s="271">
        <v>34264</v>
      </c>
      <c r="D32" s="271">
        <v>49569</v>
      </c>
      <c r="F32" s="103"/>
    </row>
    <row r="33" spans="1:6">
      <c r="A33" s="255" t="s">
        <v>200</v>
      </c>
      <c r="B33" t="s">
        <v>201</v>
      </c>
      <c r="C33" s="271">
        <v>38280</v>
      </c>
      <c r="D33" s="271">
        <v>60880</v>
      </c>
      <c r="F33" s="103"/>
    </row>
    <row r="34" spans="1:6">
      <c r="A34" s="255" t="s">
        <v>214</v>
      </c>
      <c r="B34" t="s">
        <v>215</v>
      </c>
      <c r="C34" s="271">
        <v>20210</v>
      </c>
      <c r="D34" s="271">
        <v>47886</v>
      </c>
      <c r="F34" s="103"/>
    </row>
    <row r="35" spans="1:6">
      <c r="A35" s="255" t="s">
        <v>148</v>
      </c>
      <c r="B35" t="s">
        <v>149</v>
      </c>
      <c r="C35" s="271">
        <v>35570</v>
      </c>
      <c r="D35" s="271">
        <v>53355</v>
      </c>
      <c r="F35" s="103"/>
    </row>
    <row r="36" spans="1:6">
      <c r="A36" s="255" t="s">
        <v>186</v>
      </c>
      <c r="B36" t="s">
        <v>187</v>
      </c>
      <c r="C36" s="271">
        <v>34065</v>
      </c>
      <c r="D36" s="271">
        <v>53814</v>
      </c>
      <c r="F36" s="103"/>
    </row>
    <row r="37" spans="1:6">
      <c r="A37" s="255" t="s">
        <v>132</v>
      </c>
      <c r="B37" t="s">
        <v>133</v>
      </c>
      <c r="C37" s="271">
        <v>30144</v>
      </c>
      <c r="D37" s="271">
        <v>50232</v>
      </c>
      <c r="F37" s="103"/>
    </row>
    <row r="38" spans="1:6">
      <c r="A38" s="255" t="s">
        <v>130</v>
      </c>
      <c r="B38" t="s">
        <v>131</v>
      </c>
      <c r="C38" s="271">
        <v>31004</v>
      </c>
      <c r="D38" s="271">
        <v>60410</v>
      </c>
      <c r="F38" s="103"/>
    </row>
    <row r="39" spans="1:6">
      <c r="A39" s="255" t="s">
        <v>164</v>
      </c>
      <c r="B39" t="s">
        <v>165</v>
      </c>
      <c r="C39" s="271">
        <v>37289</v>
      </c>
      <c r="D39" s="271">
        <v>50914</v>
      </c>
      <c r="F39" s="103"/>
    </row>
    <row r="40" spans="1:6">
      <c r="A40" s="255" t="s">
        <v>120</v>
      </c>
      <c r="B40" t="s">
        <v>121</v>
      </c>
      <c r="C40" s="271">
        <v>44749</v>
      </c>
      <c r="D40" s="271">
        <v>63279</v>
      </c>
      <c r="F40" s="103"/>
    </row>
    <row r="41" spans="1:6">
      <c r="A41" s="255" t="s">
        <v>196</v>
      </c>
      <c r="B41" t="s">
        <v>197</v>
      </c>
      <c r="C41" s="271">
        <v>34000</v>
      </c>
      <c r="D41" s="271">
        <v>60000</v>
      </c>
      <c r="F41" s="103"/>
    </row>
    <row r="42" spans="1:6">
      <c r="A42" s="255" t="s">
        <v>140</v>
      </c>
      <c r="B42" t="s">
        <v>141</v>
      </c>
      <c r="C42" s="271">
        <v>33491</v>
      </c>
      <c r="D42" s="271">
        <v>49172</v>
      </c>
      <c r="F42" s="103"/>
    </row>
    <row r="43" spans="1:6">
      <c r="A43" s="255" t="s">
        <v>150</v>
      </c>
      <c r="B43" t="s">
        <v>151</v>
      </c>
      <c r="C43" s="271">
        <v>54628</v>
      </c>
      <c r="D43" s="271">
        <v>65644</v>
      </c>
      <c r="F43" s="103"/>
    </row>
    <row r="44" spans="1:6">
      <c r="A44" s="255" t="s">
        <v>190</v>
      </c>
      <c r="B44" t="s">
        <v>191</v>
      </c>
      <c r="C44" s="271">
        <v>45282</v>
      </c>
      <c r="D44" s="271">
        <v>66269</v>
      </c>
      <c r="F44" s="103"/>
    </row>
    <row r="45" spans="1:6">
      <c r="A45" s="255" t="s">
        <v>198</v>
      </c>
      <c r="B45" t="s">
        <v>199</v>
      </c>
      <c r="C45" s="271">
        <v>25730</v>
      </c>
      <c r="D45" s="271">
        <v>42884</v>
      </c>
      <c r="F45" s="103"/>
    </row>
    <row r="46" spans="1:6">
      <c r="A46" s="255" t="s">
        <v>166</v>
      </c>
      <c r="B46" t="s">
        <v>167</v>
      </c>
      <c r="C46" s="271">
        <v>37032</v>
      </c>
      <c r="D46" s="271">
        <v>51432</v>
      </c>
      <c r="F46" s="103"/>
    </row>
    <row r="47" spans="1:6">
      <c r="A47" s="255" t="s">
        <v>178</v>
      </c>
      <c r="B47" t="s">
        <v>179</v>
      </c>
      <c r="C47" s="271">
        <v>42250</v>
      </c>
      <c r="D47" s="271">
        <v>64215</v>
      </c>
      <c r="F47" s="103"/>
    </row>
    <row r="48" spans="1:6">
      <c r="A48" s="255" t="s">
        <v>174</v>
      </c>
      <c r="B48" t="s">
        <v>175</v>
      </c>
      <c r="C48" s="271">
        <v>43731</v>
      </c>
      <c r="D48" s="271">
        <v>50879</v>
      </c>
      <c r="F48" s="103"/>
    </row>
    <row r="49" spans="1:6">
      <c r="A49" s="255" t="s">
        <v>194</v>
      </c>
      <c r="B49" t="s">
        <v>195</v>
      </c>
      <c r="C49" s="271">
        <v>31547</v>
      </c>
      <c r="D49" s="271">
        <v>48804</v>
      </c>
      <c r="F49" s="103"/>
    </row>
    <row r="50" spans="1:6">
      <c r="A50" s="255" t="s">
        <v>116</v>
      </c>
      <c r="B50" t="s">
        <v>117</v>
      </c>
      <c r="C50" s="271">
        <v>24451</v>
      </c>
      <c r="D50" s="271">
        <v>30564</v>
      </c>
      <c r="F50" s="103"/>
    </row>
    <row r="51" spans="1:6">
      <c r="A51" s="255" t="s">
        <v>204</v>
      </c>
      <c r="B51" t="s">
        <v>205</v>
      </c>
      <c r="C51" s="271">
        <v>28824</v>
      </c>
      <c r="D51" s="271">
        <v>42192</v>
      </c>
      <c r="F51" s="103"/>
    </row>
    <row r="52" spans="1:6">
      <c r="A52" s="255" t="s">
        <v>160</v>
      </c>
      <c r="B52" t="s">
        <v>161</v>
      </c>
      <c r="C52" s="271">
        <v>38146</v>
      </c>
      <c r="D52" s="271">
        <v>61034</v>
      </c>
      <c r="F52" s="103"/>
    </row>
    <row r="53" spans="1:6">
      <c r="A53" s="255" t="s">
        <v>114</v>
      </c>
      <c r="B53" t="s">
        <v>115</v>
      </c>
      <c r="C53" s="271">
        <v>30804</v>
      </c>
      <c r="D53" s="271">
        <v>47528</v>
      </c>
      <c r="F53" s="105"/>
    </row>
    <row r="54" spans="1:6">
      <c r="A54" s="255" t="s">
        <v>136</v>
      </c>
      <c r="B54" t="s">
        <v>137</v>
      </c>
      <c r="C54" s="271">
        <v>35042</v>
      </c>
      <c r="D54" s="271">
        <v>64347</v>
      </c>
      <c r="F54" s="105"/>
    </row>
    <row r="55" spans="1:6">
      <c r="A55" s="255" t="s">
        <v>172</v>
      </c>
      <c r="B55" t="s">
        <v>173</v>
      </c>
      <c r="C55" s="271">
        <v>35589</v>
      </c>
      <c r="D55" s="271">
        <v>55307</v>
      </c>
      <c r="F55" s="105"/>
    </row>
    <row r="56" spans="1:6">
      <c r="A56" s="255" t="s">
        <v>146</v>
      </c>
      <c r="B56" t="s">
        <v>147</v>
      </c>
      <c r="C56" s="272">
        <v>34260</v>
      </c>
      <c r="D56" s="272">
        <v>44712</v>
      </c>
      <c r="F56" s="105"/>
    </row>
    <row r="57" spans="1:6">
      <c r="A57" s="255" t="s">
        <v>154</v>
      </c>
      <c r="B57" t="s">
        <v>155</v>
      </c>
      <c r="C57" s="271">
        <v>41473</v>
      </c>
      <c r="D57" s="271">
        <v>62444</v>
      </c>
      <c r="F57" s="105"/>
    </row>
    <row r="58" spans="1:6">
      <c r="A58" s="255" t="s">
        <v>212</v>
      </c>
      <c r="B58" t="s">
        <v>213</v>
      </c>
      <c r="C58" s="271">
        <v>29400</v>
      </c>
      <c r="D58" s="271">
        <v>54396</v>
      </c>
      <c r="F58" s="105"/>
    </row>
    <row r="59" spans="1:6">
      <c r="A59" s="255" t="s">
        <v>122</v>
      </c>
      <c r="B59" t="s">
        <v>123</v>
      </c>
      <c r="C59" s="271">
        <v>39780</v>
      </c>
      <c r="D59" s="271">
        <v>56160</v>
      </c>
      <c r="F59" s="105"/>
    </row>
    <row r="61" spans="1:6">
      <c r="A61" s="109" t="s">
        <v>759</v>
      </c>
    </row>
    <row r="62" spans="1:6">
      <c r="A62" s="109"/>
    </row>
    <row r="63" spans="1:6">
      <c r="A63" s="109"/>
    </row>
    <row r="64" spans="1:6">
      <c r="A64" s="15" t="s">
        <v>423</v>
      </c>
    </row>
    <row r="66" spans="1:1">
      <c r="A66" t="s">
        <v>763</v>
      </c>
    </row>
  </sheetData>
  <sortState ref="F9:G60">
    <sortCondition ref="F9:F60"/>
  </sortState>
  <hyperlinks>
    <hyperlink ref="A3" location="TableOfContents!A1" display="Back"/>
  </hyperlinks>
  <pageMargins left="0.7" right="0.7" top="0.75" bottom="0.75" header="0.3" footer="0.3"/>
  <pageSetup orientation="portrait" verticalDpi="4" r:id="rId1"/>
</worksheet>
</file>

<file path=xl/worksheets/sheet49.xml><?xml version="1.0" encoding="utf-8"?>
<worksheet xmlns="http://schemas.openxmlformats.org/spreadsheetml/2006/main" xmlns:r="http://schemas.openxmlformats.org/officeDocument/2006/relationships">
  <dimension ref="A1:E64"/>
  <sheetViews>
    <sheetView workbookViewId="0">
      <selection activeCell="G6" sqref="G6"/>
    </sheetView>
  </sheetViews>
  <sheetFormatPr defaultRowHeight="15"/>
  <cols>
    <col min="1" max="1" width="6.140625" style="51" customWidth="1"/>
    <col min="2" max="2" width="18.5703125" style="51" customWidth="1"/>
    <col min="3" max="3" width="11.85546875" style="51" customWidth="1"/>
    <col min="4" max="16384" width="9.140625" style="51"/>
  </cols>
  <sheetData>
    <row r="1" spans="1:5" ht="15.75">
      <c r="A1" s="181" t="s">
        <v>760</v>
      </c>
      <c r="B1" s="181"/>
    </row>
    <row r="3" spans="1:5" ht="18.75">
      <c r="A3" s="256" t="s">
        <v>252</v>
      </c>
      <c r="B3" s="256"/>
      <c r="C3" s="257" t="s">
        <v>253</v>
      </c>
    </row>
    <row r="6" spans="1:5" ht="33" customHeight="1">
      <c r="A6" s="184" t="s">
        <v>218</v>
      </c>
      <c r="B6" s="184" t="s">
        <v>218</v>
      </c>
      <c r="C6" s="258" t="s">
        <v>761</v>
      </c>
    </row>
    <row r="7" spans="1:5">
      <c r="A7" s="259" t="s">
        <v>144</v>
      </c>
      <c r="B7" t="s">
        <v>145</v>
      </c>
      <c r="C7" s="260">
        <v>0.13</v>
      </c>
      <c r="E7" s="255"/>
    </row>
    <row r="8" spans="1:5">
      <c r="A8" s="259" t="s">
        <v>206</v>
      </c>
      <c r="B8" t="s">
        <v>207</v>
      </c>
      <c r="C8" s="260">
        <v>0.16</v>
      </c>
      <c r="E8" s="255"/>
    </row>
    <row r="9" spans="1:5">
      <c r="A9" s="259" t="s">
        <v>208</v>
      </c>
      <c r="B9" t="s">
        <v>209</v>
      </c>
      <c r="C9" s="260">
        <v>0.11</v>
      </c>
      <c r="E9" s="255"/>
    </row>
    <row r="10" spans="1:5">
      <c r="A10" s="259" t="s">
        <v>134</v>
      </c>
      <c r="B10" t="s">
        <v>135</v>
      </c>
      <c r="C10" s="260">
        <v>0.16</v>
      </c>
      <c r="E10" s="255"/>
    </row>
    <row r="11" spans="1:5">
      <c r="A11" s="259" t="s">
        <v>142</v>
      </c>
      <c r="B11" t="s">
        <v>143</v>
      </c>
      <c r="C11" s="260">
        <v>0.08</v>
      </c>
      <c r="E11" s="255"/>
    </row>
    <row r="12" spans="1:5">
      <c r="A12" s="259" t="s">
        <v>124</v>
      </c>
      <c r="B12" t="s">
        <v>125</v>
      </c>
      <c r="C12" s="260">
        <v>0.3</v>
      </c>
      <c r="E12" s="255"/>
    </row>
    <row r="13" spans="1:5">
      <c r="A13" s="259" t="s">
        <v>128</v>
      </c>
      <c r="B13" t="s">
        <v>129</v>
      </c>
      <c r="C13" s="260">
        <v>0.11</v>
      </c>
      <c r="E13" s="255"/>
    </row>
    <row r="14" spans="1:5">
      <c r="A14" s="259" t="s">
        <v>176</v>
      </c>
      <c r="B14" t="s">
        <v>177</v>
      </c>
      <c r="C14" s="260">
        <v>0.21</v>
      </c>
      <c r="E14" s="255"/>
    </row>
    <row r="15" spans="1:5">
      <c r="A15" s="259" t="s">
        <v>156</v>
      </c>
      <c r="B15" t="s">
        <v>157</v>
      </c>
      <c r="C15" s="260">
        <v>0.34</v>
      </c>
      <c r="E15" s="255"/>
    </row>
    <row r="16" spans="1:5">
      <c r="A16" s="259" t="s">
        <v>180</v>
      </c>
      <c r="B16" t="s">
        <v>181</v>
      </c>
      <c r="C16" s="260">
        <v>0.21</v>
      </c>
      <c r="E16" s="255"/>
    </row>
    <row r="17" spans="1:5">
      <c r="A17" s="259" t="s">
        <v>182</v>
      </c>
      <c r="B17" t="s">
        <v>183</v>
      </c>
      <c r="C17" s="260">
        <v>0.17</v>
      </c>
      <c r="E17" s="255"/>
    </row>
    <row r="18" spans="1:5">
      <c r="A18" s="259" t="s">
        <v>118</v>
      </c>
      <c r="B18" t="s">
        <v>119</v>
      </c>
      <c r="C18" s="260">
        <v>0.03</v>
      </c>
      <c r="E18" s="255"/>
    </row>
    <row r="19" spans="1:5">
      <c r="A19" s="259" t="s">
        <v>158</v>
      </c>
      <c r="B19" t="s">
        <v>159</v>
      </c>
      <c r="C19" s="260">
        <v>0.02</v>
      </c>
      <c r="E19" s="255"/>
    </row>
    <row r="20" spans="1:5">
      <c r="A20" s="259" t="s">
        <v>168</v>
      </c>
      <c r="B20" t="s">
        <v>169</v>
      </c>
      <c r="C20" s="260">
        <v>0.11</v>
      </c>
      <c r="E20" s="255"/>
    </row>
    <row r="21" spans="1:5">
      <c r="A21" s="259" t="s">
        <v>138</v>
      </c>
      <c r="B21" t="s">
        <v>139</v>
      </c>
      <c r="C21" s="260">
        <v>0.11</v>
      </c>
      <c r="E21" s="255"/>
    </row>
    <row r="22" spans="1:5">
      <c r="A22" s="259" t="s">
        <v>184</v>
      </c>
      <c r="B22" t="s">
        <v>185</v>
      </c>
      <c r="C22" s="260">
        <v>0.18</v>
      </c>
      <c r="E22" s="255"/>
    </row>
    <row r="23" spans="1:5">
      <c r="A23" s="259" t="s">
        <v>170</v>
      </c>
      <c r="B23" t="s">
        <v>171</v>
      </c>
      <c r="C23" s="260">
        <v>0.47</v>
      </c>
      <c r="E23" s="255"/>
    </row>
    <row r="24" spans="1:5">
      <c r="A24" s="259" t="s">
        <v>210</v>
      </c>
      <c r="B24" t="s">
        <v>211</v>
      </c>
      <c r="C24" s="260">
        <v>0.15</v>
      </c>
      <c r="E24" s="255"/>
    </row>
    <row r="25" spans="1:5">
      <c r="A25" s="259" t="s">
        <v>202</v>
      </c>
      <c r="B25" t="s">
        <v>203</v>
      </c>
      <c r="C25" s="260">
        <v>0.25</v>
      </c>
      <c r="E25" s="255"/>
    </row>
    <row r="26" spans="1:5">
      <c r="A26" s="259" t="s">
        <v>152</v>
      </c>
      <c r="B26" t="s">
        <v>153</v>
      </c>
      <c r="C26" s="260">
        <v>0.08</v>
      </c>
      <c r="E26" s="255"/>
    </row>
    <row r="27" spans="1:5">
      <c r="A27" s="259" t="s">
        <v>162</v>
      </c>
      <c r="B27" t="s">
        <v>163</v>
      </c>
      <c r="C27" s="260">
        <v>0.15</v>
      </c>
      <c r="E27" s="255"/>
    </row>
    <row r="28" spans="1:5">
      <c r="A28" s="259" t="s">
        <v>188</v>
      </c>
      <c r="B28" t="s">
        <v>189</v>
      </c>
      <c r="C28" s="260">
        <v>0.17</v>
      </c>
      <c r="E28" s="255"/>
    </row>
    <row r="29" spans="1:5">
      <c r="A29" s="259" t="s">
        <v>192</v>
      </c>
      <c r="B29" t="s">
        <v>193</v>
      </c>
      <c r="C29" s="260">
        <v>0.06</v>
      </c>
      <c r="E29" s="255"/>
    </row>
    <row r="30" spans="1:5">
      <c r="A30" s="259" t="s">
        <v>126</v>
      </c>
      <c r="B30" t="s">
        <v>127</v>
      </c>
      <c r="C30" s="260">
        <v>0.27</v>
      </c>
      <c r="E30" s="255"/>
    </row>
    <row r="31" spans="1:5">
      <c r="A31" s="259" t="s">
        <v>200</v>
      </c>
      <c r="B31" t="s">
        <v>201</v>
      </c>
      <c r="C31" s="260">
        <v>0.12</v>
      </c>
      <c r="E31" s="255"/>
    </row>
    <row r="32" spans="1:5">
      <c r="A32" s="259" t="s">
        <v>214</v>
      </c>
      <c r="B32" t="s">
        <v>215</v>
      </c>
      <c r="C32" s="260">
        <v>0.15</v>
      </c>
      <c r="E32" s="255"/>
    </row>
    <row r="33" spans="1:5">
      <c r="A33" s="259" t="s">
        <v>148</v>
      </c>
      <c r="B33" t="s">
        <v>149</v>
      </c>
      <c r="C33" s="260">
        <v>7.0000000000000007E-2</v>
      </c>
      <c r="E33" s="255"/>
    </row>
    <row r="34" spans="1:5">
      <c r="A34" s="259" t="s">
        <v>186</v>
      </c>
      <c r="B34" t="s">
        <v>187</v>
      </c>
      <c r="C34" s="260">
        <v>0.12</v>
      </c>
      <c r="E34" s="255"/>
    </row>
    <row r="35" spans="1:5">
      <c r="A35" s="259" t="s">
        <v>132</v>
      </c>
      <c r="B35" t="s">
        <v>133</v>
      </c>
      <c r="C35" s="260">
        <v>0</v>
      </c>
      <c r="E35" s="255"/>
    </row>
    <row r="36" spans="1:5">
      <c r="A36" s="259" t="s">
        <v>130</v>
      </c>
      <c r="B36" t="s">
        <v>131</v>
      </c>
      <c r="C36" s="260">
        <v>0.09</v>
      </c>
      <c r="E36" s="255"/>
    </row>
    <row r="37" spans="1:5">
      <c r="A37" s="259" t="s">
        <v>164</v>
      </c>
      <c r="B37" t="s">
        <v>165</v>
      </c>
      <c r="C37" s="260">
        <v>0.02</v>
      </c>
      <c r="E37" s="255"/>
    </row>
    <row r="38" spans="1:5">
      <c r="A38" s="259" t="s">
        <v>120</v>
      </c>
      <c r="B38" t="s">
        <v>121</v>
      </c>
      <c r="C38" s="260">
        <v>0.05</v>
      </c>
      <c r="E38" s="255"/>
    </row>
    <row r="39" spans="1:5">
      <c r="A39" s="259" t="s">
        <v>196</v>
      </c>
      <c r="B39" t="s">
        <v>197</v>
      </c>
      <c r="C39" s="260">
        <v>0.18</v>
      </c>
      <c r="E39" s="255"/>
    </row>
    <row r="40" spans="1:5">
      <c r="A40" s="259" t="s">
        <v>140</v>
      </c>
      <c r="B40" t="s">
        <v>141</v>
      </c>
      <c r="C40" s="260">
        <v>0.16</v>
      </c>
      <c r="E40" s="255"/>
    </row>
    <row r="41" spans="1:5">
      <c r="A41" s="259" t="s">
        <v>150</v>
      </c>
      <c r="B41" t="s">
        <v>151</v>
      </c>
      <c r="C41" s="260">
        <v>0.15</v>
      </c>
      <c r="E41" s="255"/>
    </row>
    <row r="42" spans="1:5">
      <c r="A42" s="259" t="s">
        <v>190</v>
      </c>
      <c r="B42" t="s">
        <v>191</v>
      </c>
      <c r="C42" s="260">
        <v>0.16</v>
      </c>
      <c r="E42" s="255"/>
    </row>
    <row r="43" spans="1:5">
      <c r="A43" s="259" t="s">
        <v>198</v>
      </c>
      <c r="B43" t="s">
        <v>199</v>
      </c>
      <c r="C43" s="260">
        <v>0.2</v>
      </c>
      <c r="E43" s="255"/>
    </row>
    <row r="44" spans="1:5">
      <c r="A44" s="259" t="s">
        <v>166</v>
      </c>
      <c r="B44" t="s">
        <v>167</v>
      </c>
      <c r="C44" s="260">
        <v>0.14000000000000001</v>
      </c>
      <c r="E44" s="255"/>
    </row>
    <row r="45" spans="1:5">
      <c r="A45" s="259" t="s">
        <v>178</v>
      </c>
      <c r="B45" t="s">
        <v>179</v>
      </c>
      <c r="C45" s="260">
        <v>0.2</v>
      </c>
      <c r="E45" s="255"/>
    </row>
    <row r="46" spans="1:5">
      <c r="A46" s="259" t="s">
        <v>174</v>
      </c>
      <c r="B46" t="s">
        <v>175</v>
      </c>
      <c r="C46" s="260">
        <v>0.02</v>
      </c>
      <c r="E46" s="255"/>
    </row>
    <row r="47" spans="1:5">
      <c r="A47" s="259" t="s">
        <v>194</v>
      </c>
      <c r="B47" t="s">
        <v>195</v>
      </c>
      <c r="C47" s="260">
        <v>0.16</v>
      </c>
      <c r="E47" s="255"/>
    </row>
    <row r="48" spans="1:5">
      <c r="A48" s="259" t="s">
        <v>116</v>
      </c>
      <c r="B48" t="s">
        <v>117</v>
      </c>
      <c r="C48" s="260">
        <v>0.08</v>
      </c>
      <c r="E48" s="255"/>
    </row>
    <row r="49" spans="1:5">
      <c r="A49" s="259" t="s">
        <v>204</v>
      </c>
      <c r="B49" t="s">
        <v>205</v>
      </c>
      <c r="C49" s="260">
        <v>0.2</v>
      </c>
      <c r="E49" s="255"/>
    </row>
    <row r="50" spans="1:5">
      <c r="A50" s="259" t="s">
        <v>160</v>
      </c>
      <c r="B50" t="s">
        <v>161</v>
      </c>
      <c r="C50" s="260">
        <v>0.12</v>
      </c>
      <c r="E50" s="255"/>
    </row>
    <row r="51" spans="1:5">
      <c r="A51" s="259" t="s">
        <v>114</v>
      </c>
      <c r="B51" t="s">
        <v>115</v>
      </c>
      <c r="C51" s="260">
        <v>0.12</v>
      </c>
      <c r="E51" s="255"/>
    </row>
    <row r="52" spans="1:5">
      <c r="A52" s="259" t="s">
        <v>136</v>
      </c>
      <c r="B52" t="s">
        <v>137</v>
      </c>
      <c r="C52" s="260">
        <v>0.17</v>
      </c>
      <c r="E52" s="255"/>
    </row>
    <row r="53" spans="1:5">
      <c r="A53" s="259" t="s">
        <v>172</v>
      </c>
      <c r="B53" t="s">
        <v>173</v>
      </c>
      <c r="C53" s="260">
        <v>0.15</v>
      </c>
      <c r="E53" s="255"/>
    </row>
    <row r="54" spans="1:5">
      <c r="A54" s="184" t="s">
        <v>146</v>
      </c>
      <c r="B54" t="s">
        <v>147</v>
      </c>
      <c r="C54" s="260">
        <v>0.09</v>
      </c>
      <c r="E54" s="255"/>
    </row>
    <row r="55" spans="1:5">
      <c r="A55" s="259" t="s">
        <v>154</v>
      </c>
      <c r="B55" t="s">
        <v>155</v>
      </c>
      <c r="C55" s="260">
        <v>0.17</v>
      </c>
      <c r="E55" s="255"/>
    </row>
    <row r="56" spans="1:5">
      <c r="A56" s="259" t="s">
        <v>212</v>
      </c>
      <c r="B56" t="s">
        <v>213</v>
      </c>
      <c r="C56" s="260">
        <v>0.16</v>
      </c>
      <c r="E56" s="255"/>
    </row>
    <row r="57" spans="1:5">
      <c r="A57" s="259" t="s">
        <v>122</v>
      </c>
      <c r="B57" t="s">
        <v>123</v>
      </c>
      <c r="C57" s="260">
        <v>0</v>
      </c>
      <c r="E57" s="255"/>
    </row>
    <row r="59" spans="1:5">
      <c r="A59" s="51" t="s">
        <v>762</v>
      </c>
    </row>
    <row r="62" spans="1:5">
      <c r="A62" s="198" t="s">
        <v>423</v>
      </c>
      <c r="B62" s="198"/>
    </row>
    <row r="64" spans="1:5">
      <c r="A64" s="51" t="s">
        <v>763</v>
      </c>
    </row>
  </sheetData>
  <sortState ref="A7:B57">
    <sortCondition ref="A7:A57"/>
  </sortState>
  <hyperlinks>
    <hyperlink ref="A3" location="TableOfContents!A1" display="Back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D36"/>
  <sheetViews>
    <sheetView workbookViewId="0">
      <selection activeCell="G6" sqref="G6"/>
    </sheetView>
  </sheetViews>
  <sheetFormatPr defaultRowHeight="15"/>
  <cols>
    <col min="1" max="1" width="6.42578125" customWidth="1"/>
    <col min="2" max="2" width="11.7109375" customWidth="1"/>
    <col min="3" max="3" width="13.28515625" customWidth="1"/>
    <col min="4" max="4" width="15.5703125" customWidth="1"/>
  </cols>
  <sheetData>
    <row r="1" spans="1:4" ht="15.75">
      <c r="A1" s="24" t="s">
        <v>764</v>
      </c>
    </row>
    <row r="3" spans="1:4" ht="18.75">
      <c r="A3" s="84" t="s">
        <v>252</v>
      </c>
      <c r="B3" s="85" t="s">
        <v>253</v>
      </c>
    </row>
    <row r="6" spans="1:4">
      <c r="A6" s="8" t="s">
        <v>87</v>
      </c>
      <c r="B6" s="8" t="s">
        <v>765</v>
      </c>
      <c r="C6" s="8" t="s">
        <v>766</v>
      </c>
      <c r="D6" s="8" t="s">
        <v>768</v>
      </c>
    </row>
    <row r="7" spans="1:4">
      <c r="A7">
        <v>1986</v>
      </c>
      <c r="B7" s="6">
        <v>225273</v>
      </c>
      <c r="C7" s="6">
        <v>215489</v>
      </c>
      <c r="D7" s="6">
        <v>115372</v>
      </c>
    </row>
    <row r="8" spans="1:4">
      <c r="A8">
        <v>1987</v>
      </c>
      <c r="B8" s="6">
        <v>270241</v>
      </c>
      <c r="C8" s="6">
        <v>242046</v>
      </c>
      <c r="D8" s="6">
        <v>143567</v>
      </c>
    </row>
    <row r="9" spans="1:4">
      <c r="A9">
        <v>1988</v>
      </c>
      <c r="B9" s="6">
        <v>274779</v>
      </c>
      <c r="C9" s="6">
        <v>268173</v>
      </c>
      <c r="D9" s="6">
        <v>150173</v>
      </c>
    </row>
    <row r="10" spans="1:4">
      <c r="A10">
        <v>1989</v>
      </c>
      <c r="B10" s="6">
        <v>281478</v>
      </c>
      <c r="C10" s="6">
        <v>284518</v>
      </c>
      <c r="D10" s="6">
        <v>147132</v>
      </c>
    </row>
    <row r="11" spans="1:4">
      <c r="A11">
        <v>1990</v>
      </c>
      <c r="B11" s="6">
        <v>297326</v>
      </c>
      <c r="C11" s="6">
        <v>283579</v>
      </c>
      <c r="D11" s="6">
        <v>160879</v>
      </c>
    </row>
    <row r="12" spans="1:4">
      <c r="A12">
        <v>1991</v>
      </c>
      <c r="B12" s="6">
        <v>312892</v>
      </c>
      <c r="C12" s="6">
        <v>300432</v>
      </c>
      <c r="D12" s="6">
        <v>173391</v>
      </c>
    </row>
    <row r="13" spans="1:4">
      <c r="A13">
        <v>1992</v>
      </c>
      <c r="B13" s="6">
        <v>372073</v>
      </c>
      <c r="C13" s="6">
        <v>335590</v>
      </c>
      <c r="D13" s="6">
        <v>210546</v>
      </c>
    </row>
    <row r="14" spans="1:4">
      <c r="A14">
        <v>1993</v>
      </c>
      <c r="B14" s="6">
        <v>488173</v>
      </c>
      <c r="C14" s="6">
        <v>355030</v>
      </c>
      <c r="D14" s="6">
        <v>344882</v>
      </c>
    </row>
    <row r="15" spans="1:4">
      <c r="A15">
        <v>1994</v>
      </c>
      <c r="B15" s="6">
        <v>515148</v>
      </c>
      <c r="C15" s="6">
        <v>396442</v>
      </c>
      <c r="D15" s="6">
        <v>463588</v>
      </c>
    </row>
    <row r="16" spans="1:4">
      <c r="A16">
        <v>1995</v>
      </c>
      <c r="B16" s="6">
        <v>557350</v>
      </c>
      <c r="C16" s="6">
        <v>500732</v>
      </c>
      <c r="D16" s="6">
        <v>525941</v>
      </c>
    </row>
    <row r="17" spans="1:4">
      <c r="A17">
        <v>1996</v>
      </c>
      <c r="B17" s="6">
        <v>497933</v>
      </c>
      <c r="C17" s="6">
        <v>548544</v>
      </c>
      <c r="D17" s="6">
        <v>475330</v>
      </c>
    </row>
    <row r="18" spans="1:4">
      <c r="A18">
        <v>1997</v>
      </c>
      <c r="B18" s="6">
        <v>489548</v>
      </c>
      <c r="C18" s="6">
        <v>526749</v>
      </c>
      <c r="D18" s="6">
        <v>438129</v>
      </c>
    </row>
    <row r="19" spans="1:4">
      <c r="A19">
        <v>1998</v>
      </c>
      <c r="B19" s="6">
        <v>457720</v>
      </c>
      <c r="C19" s="6">
        <v>561325</v>
      </c>
      <c r="D19" s="6">
        <v>334524</v>
      </c>
    </row>
    <row r="20" spans="1:4">
      <c r="A20">
        <v>1999</v>
      </c>
      <c r="B20" s="6">
        <v>455192</v>
      </c>
      <c r="C20" s="6">
        <v>524738</v>
      </c>
      <c r="D20" s="6">
        <v>264978</v>
      </c>
    </row>
    <row r="21" spans="1:4">
      <c r="A21">
        <v>2000</v>
      </c>
      <c r="B21" s="6">
        <v>491404</v>
      </c>
      <c r="C21" s="6">
        <v>451342</v>
      </c>
      <c r="D21" s="6">
        <v>310852</v>
      </c>
    </row>
    <row r="22" spans="1:4">
      <c r="A22">
        <v>2001</v>
      </c>
      <c r="B22" s="6">
        <v>477100</v>
      </c>
      <c r="C22" s="6">
        <v>395565</v>
      </c>
      <c r="D22" s="6">
        <v>392387</v>
      </c>
    </row>
    <row r="23" spans="1:4">
      <c r="A23">
        <v>2002</v>
      </c>
      <c r="B23" s="6">
        <v>525383</v>
      </c>
      <c r="C23" s="6">
        <v>454718</v>
      </c>
      <c r="D23" s="6">
        <v>463052</v>
      </c>
    </row>
    <row r="24" spans="1:4">
      <c r="A24">
        <v>2003</v>
      </c>
      <c r="B24" s="6">
        <v>587240</v>
      </c>
      <c r="C24" s="6">
        <v>493923</v>
      </c>
      <c r="D24" s="6">
        <v>556369</v>
      </c>
    </row>
    <row r="25" spans="1:4">
      <c r="A25">
        <v>2004</v>
      </c>
      <c r="B25" s="6">
        <v>576611</v>
      </c>
      <c r="C25" s="6">
        <v>497379</v>
      </c>
      <c r="D25" s="6">
        <v>635601</v>
      </c>
    </row>
    <row r="26" spans="1:4">
      <c r="A26">
        <v>2005</v>
      </c>
      <c r="B26" s="6">
        <v>592343</v>
      </c>
      <c r="C26" s="6">
        <v>519359</v>
      </c>
      <c r="D26" s="6">
        <v>708164</v>
      </c>
    </row>
    <row r="27" spans="1:4">
      <c r="A27">
        <v>2006</v>
      </c>
      <c r="B27" s="6">
        <v>557970</v>
      </c>
      <c r="C27" s="6">
        <v>558978</v>
      </c>
      <c r="D27" s="6">
        <v>715568</v>
      </c>
    </row>
    <row r="28" spans="1:4">
      <c r="A28">
        <v>2007</v>
      </c>
      <c r="B28" s="6">
        <v>579127</v>
      </c>
      <c r="C28" s="6">
        <v>547951</v>
      </c>
      <c r="D28" s="6">
        <v>746744</v>
      </c>
    </row>
    <row r="29" spans="1:4">
      <c r="A29">
        <v>2008</v>
      </c>
      <c r="B29" s="6">
        <v>589449</v>
      </c>
      <c r="C29" s="6">
        <v>575380</v>
      </c>
      <c r="D29" s="6">
        <v>760813</v>
      </c>
    </row>
    <row r="30" spans="1:4">
      <c r="A30">
        <v>2009</v>
      </c>
      <c r="B30" s="6">
        <v>622851</v>
      </c>
      <c r="C30" s="6">
        <v>660842</v>
      </c>
      <c r="D30" s="6">
        <v>722822</v>
      </c>
    </row>
    <row r="31" spans="1:4">
      <c r="A31">
        <v>2010</v>
      </c>
      <c r="B31" s="6">
        <v>720161</v>
      </c>
      <c r="C31" s="6">
        <v>737616</v>
      </c>
      <c r="D31" s="6">
        <v>705367</v>
      </c>
    </row>
    <row r="34" spans="1:1">
      <c r="A34" s="15" t="s">
        <v>423</v>
      </c>
    </row>
    <row r="36" spans="1:1">
      <c r="A36" t="s">
        <v>767</v>
      </c>
    </row>
  </sheetData>
  <hyperlinks>
    <hyperlink ref="A3" location="TableOfContents!A1" display="Back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36"/>
  <sheetViews>
    <sheetView workbookViewId="0">
      <selection activeCell="F4" sqref="F4"/>
    </sheetView>
  </sheetViews>
  <sheetFormatPr defaultRowHeight="15"/>
  <cols>
    <col min="1" max="1" width="6.42578125" customWidth="1"/>
    <col min="2" max="2" width="13.42578125" customWidth="1"/>
    <col min="3" max="3" width="12.7109375" customWidth="1"/>
  </cols>
  <sheetData>
    <row r="1" spans="1:3" ht="15.75">
      <c r="A1" s="24" t="s">
        <v>769</v>
      </c>
    </row>
    <row r="3" spans="1:3" ht="18.75">
      <c r="A3" s="84" t="s">
        <v>252</v>
      </c>
      <c r="B3" s="85" t="s">
        <v>253</v>
      </c>
    </row>
    <row r="6" spans="1:3">
      <c r="A6" s="4" t="s">
        <v>87</v>
      </c>
      <c r="B6" s="226" t="s">
        <v>770</v>
      </c>
      <c r="C6" s="8" t="s">
        <v>766</v>
      </c>
    </row>
    <row r="7" spans="1:3">
      <c r="A7">
        <v>1986</v>
      </c>
      <c r="B7" s="6">
        <v>703</v>
      </c>
      <c r="C7" s="6">
        <v>215489</v>
      </c>
    </row>
    <row r="8" spans="1:3">
      <c r="A8">
        <v>1987</v>
      </c>
      <c r="B8" s="6">
        <v>666</v>
      </c>
      <c r="C8" s="6">
        <v>242046</v>
      </c>
    </row>
    <row r="9" spans="1:3">
      <c r="A9">
        <v>1988</v>
      </c>
      <c r="B9" s="6">
        <v>652</v>
      </c>
      <c r="C9" s="6">
        <v>268173</v>
      </c>
    </row>
    <row r="10" spans="1:3">
      <c r="A10">
        <v>1989</v>
      </c>
      <c r="B10" s="6">
        <v>694</v>
      </c>
      <c r="C10" s="6">
        <v>284518</v>
      </c>
    </row>
    <row r="11" spans="1:3">
      <c r="A11">
        <v>1990</v>
      </c>
      <c r="B11" s="6">
        <v>696</v>
      </c>
      <c r="C11" s="6">
        <v>283579</v>
      </c>
    </row>
    <row r="12" spans="1:3">
      <c r="A12">
        <v>1991</v>
      </c>
      <c r="B12" s="6">
        <v>779</v>
      </c>
      <c r="C12" s="6">
        <v>300432</v>
      </c>
    </row>
    <row r="13" spans="1:3">
      <c r="A13">
        <v>1992</v>
      </c>
      <c r="B13" s="6">
        <v>838</v>
      </c>
      <c r="C13" s="6">
        <v>335590</v>
      </c>
    </row>
    <row r="14" spans="1:3">
      <c r="A14">
        <v>1993</v>
      </c>
      <c r="B14" s="6">
        <v>814</v>
      </c>
      <c r="C14" s="6">
        <v>355030</v>
      </c>
    </row>
    <row r="15" spans="1:3">
      <c r="A15">
        <v>1994</v>
      </c>
      <c r="B15" s="6">
        <v>879</v>
      </c>
      <c r="C15" s="6">
        <v>396442</v>
      </c>
    </row>
    <row r="16" spans="1:3">
      <c r="A16">
        <v>1995</v>
      </c>
      <c r="B16" s="6">
        <v>1014</v>
      </c>
      <c r="C16" s="6">
        <v>500732</v>
      </c>
    </row>
    <row r="17" spans="1:3">
      <c r="A17">
        <v>1996</v>
      </c>
      <c r="B17" s="6">
        <v>1024</v>
      </c>
      <c r="C17" s="6">
        <v>548544</v>
      </c>
    </row>
    <row r="18" spans="1:3">
      <c r="A18">
        <v>1997</v>
      </c>
      <c r="B18" s="6">
        <v>1061</v>
      </c>
      <c r="C18" s="6">
        <v>526749</v>
      </c>
    </row>
    <row r="19" spans="1:3">
      <c r="A19">
        <v>1998</v>
      </c>
      <c r="B19" s="6">
        <v>1153</v>
      </c>
      <c r="C19" s="6">
        <v>561325</v>
      </c>
    </row>
    <row r="20" spans="1:3">
      <c r="A20">
        <v>1999</v>
      </c>
      <c r="B20" s="6">
        <v>1090</v>
      </c>
      <c r="C20" s="6">
        <v>524738</v>
      </c>
    </row>
    <row r="21" spans="1:3">
      <c r="A21">
        <v>2000</v>
      </c>
      <c r="B21" s="6">
        <v>1024</v>
      </c>
      <c r="C21" s="6">
        <v>451342</v>
      </c>
    </row>
    <row r="22" spans="1:3">
      <c r="A22">
        <v>2001</v>
      </c>
      <c r="B22" s="6">
        <v>974</v>
      </c>
      <c r="C22" s="6">
        <v>395565</v>
      </c>
    </row>
    <row r="23" spans="1:3">
      <c r="A23">
        <v>2002</v>
      </c>
      <c r="B23" s="6">
        <v>1082</v>
      </c>
      <c r="C23" s="6">
        <v>454718</v>
      </c>
    </row>
    <row r="24" spans="1:3">
      <c r="A24">
        <v>2003</v>
      </c>
      <c r="B24" s="6">
        <v>1035</v>
      </c>
      <c r="C24" s="6">
        <v>493923</v>
      </c>
    </row>
    <row r="25" spans="1:3">
      <c r="A25">
        <v>2004</v>
      </c>
      <c r="B25" s="6">
        <v>1034</v>
      </c>
      <c r="C25" s="6">
        <v>497379</v>
      </c>
    </row>
    <row r="26" spans="1:3">
      <c r="A26">
        <v>2005</v>
      </c>
      <c r="B26" s="6">
        <v>1096</v>
      </c>
      <c r="C26" s="6">
        <v>519359</v>
      </c>
    </row>
    <row r="27" spans="1:3">
      <c r="A27">
        <v>2006</v>
      </c>
      <c r="B27" s="6">
        <v>1114</v>
      </c>
      <c r="C27" s="6">
        <v>558978</v>
      </c>
    </row>
    <row r="28" spans="1:3">
      <c r="A28">
        <v>2007</v>
      </c>
      <c r="B28" s="6">
        <v>1082</v>
      </c>
      <c r="C28" s="6">
        <v>547951</v>
      </c>
    </row>
    <row r="29" spans="1:3">
      <c r="A29">
        <v>2008</v>
      </c>
      <c r="B29" s="6">
        <v>1183</v>
      </c>
      <c r="C29" s="6">
        <v>575380</v>
      </c>
    </row>
    <row r="30" spans="1:3">
      <c r="A30">
        <v>2009</v>
      </c>
      <c r="B30" s="6">
        <v>1258</v>
      </c>
      <c r="C30" s="6">
        <v>660842</v>
      </c>
    </row>
    <row r="31" spans="1:3">
      <c r="A31">
        <v>2010</v>
      </c>
      <c r="B31" s="6">
        <v>1336</v>
      </c>
      <c r="C31" s="6">
        <v>737616</v>
      </c>
    </row>
    <row r="34" spans="1:1">
      <c r="A34" s="15" t="s">
        <v>423</v>
      </c>
    </row>
    <row r="36" spans="1:1">
      <c r="A36" t="s">
        <v>767</v>
      </c>
    </row>
  </sheetData>
  <hyperlinks>
    <hyperlink ref="A3" location="TableOfContents!A1" display="Back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65"/>
  <sheetViews>
    <sheetView workbookViewId="0">
      <selection activeCell="G6" sqref="G6"/>
    </sheetView>
  </sheetViews>
  <sheetFormatPr defaultRowHeight="15"/>
  <cols>
    <col min="1" max="1" width="6.42578125" customWidth="1"/>
    <col min="2" max="2" width="15.28515625" customWidth="1"/>
    <col min="3" max="3" width="13.42578125" customWidth="1"/>
  </cols>
  <sheetData>
    <row r="1" spans="1:6" ht="15.75">
      <c r="A1" s="24" t="s">
        <v>771</v>
      </c>
    </row>
    <row r="3" spans="1:6" ht="18.75">
      <c r="A3" s="84" t="s">
        <v>252</v>
      </c>
      <c r="B3" s="85" t="s">
        <v>253</v>
      </c>
    </row>
    <row r="6" spans="1:6" ht="60">
      <c r="A6" s="8" t="s">
        <v>218</v>
      </c>
      <c r="B6" s="8"/>
      <c r="C6" s="226" t="s">
        <v>772</v>
      </c>
      <c r="D6" s="226" t="s">
        <v>773</v>
      </c>
    </row>
    <row r="7" spans="1:6">
      <c r="A7" s="110" t="s">
        <v>144</v>
      </c>
      <c r="B7" t="s">
        <v>145</v>
      </c>
      <c r="C7" s="111">
        <v>48.9</v>
      </c>
      <c r="D7" s="112">
        <v>49</v>
      </c>
      <c r="F7" s="255"/>
    </row>
    <row r="8" spans="1:6">
      <c r="A8" s="110" t="s">
        <v>206</v>
      </c>
      <c r="B8" t="s">
        <v>207</v>
      </c>
      <c r="C8" s="111">
        <v>30.8</v>
      </c>
      <c r="D8" s="112">
        <v>60</v>
      </c>
      <c r="F8" s="255"/>
    </row>
    <row r="9" spans="1:6">
      <c r="A9" s="110" t="s">
        <v>208</v>
      </c>
      <c r="B9" t="s">
        <v>209</v>
      </c>
      <c r="C9" s="111">
        <v>33.4</v>
      </c>
      <c r="D9" s="112">
        <v>58</v>
      </c>
      <c r="F9" s="255"/>
    </row>
    <row r="10" spans="1:6">
      <c r="A10" s="110" t="s">
        <v>134</v>
      </c>
      <c r="B10" t="s">
        <v>135</v>
      </c>
      <c r="C10" s="111">
        <v>31.4</v>
      </c>
      <c r="D10" s="112">
        <v>62</v>
      </c>
      <c r="F10" s="255"/>
    </row>
    <row r="11" spans="1:6">
      <c r="A11" s="110" t="s">
        <v>142</v>
      </c>
      <c r="B11" t="s">
        <v>143</v>
      </c>
      <c r="C11" s="111">
        <v>36.5</v>
      </c>
      <c r="D11" s="112">
        <v>56</v>
      </c>
      <c r="F11" s="255"/>
    </row>
    <row r="12" spans="1:6">
      <c r="A12" s="110" t="s">
        <v>124</v>
      </c>
      <c r="B12" t="s">
        <v>125</v>
      </c>
      <c r="C12" s="111">
        <v>38.1</v>
      </c>
      <c r="D12" s="112">
        <v>60</v>
      </c>
      <c r="F12" s="255"/>
    </row>
    <row r="13" spans="1:6">
      <c r="A13" s="110" t="s">
        <v>128</v>
      </c>
      <c r="B13" t="s">
        <v>129</v>
      </c>
      <c r="C13" s="111">
        <v>33.4</v>
      </c>
      <c r="D13" s="112">
        <v>63</v>
      </c>
      <c r="F13" s="255"/>
    </row>
    <row r="14" spans="1:6">
      <c r="A14" s="110" t="s">
        <v>176</v>
      </c>
      <c r="B14" t="s">
        <v>177</v>
      </c>
      <c r="C14" s="111">
        <v>47.9</v>
      </c>
      <c r="D14" s="112">
        <v>59</v>
      </c>
      <c r="F14" s="255"/>
    </row>
    <row r="15" spans="1:6">
      <c r="A15" s="110" t="s">
        <v>156</v>
      </c>
      <c r="B15" t="s">
        <v>157</v>
      </c>
      <c r="C15" s="111">
        <v>40.299999999999997</v>
      </c>
      <c r="D15" s="112">
        <v>39</v>
      </c>
      <c r="F15" s="255"/>
    </row>
    <row r="16" spans="1:6">
      <c r="A16" s="110" t="s">
        <v>180</v>
      </c>
      <c r="B16" t="s">
        <v>181</v>
      </c>
      <c r="C16" s="111">
        <v>32.700000000000003</v>
      </c>
      <c r="D16" s="112">
        <v>62</v>
      </c>
      <c r="F16" s="255"/>
    </row>
    <row r="17" spans="1:6">
      <c r="A17" s="110" t="s">
        <v>182</v>
      </c>
      <c r="B17" t="s">
        <v>183</v>
      </c>
      <c r="C17" s="111">
        <v>28.7</v>
      </c>
      <c r="D17" s="112">
        <v>66</v>
      </c>
      <c r="F17" s="255"/>
    </row>
    <row r="18" spans="1:6">
      <c r="A18" s="110" t="s">
        <v>118</v>
      </c>
      <c r="B18" t="s">
        <v>119</v>
      </c>
      <c r="C18" s="111">
        <v>47.6</v>
      </c>
      <c r="D18" s="112">
        <v>78</v>
      </c>
      <c r="F18" s="255"/>
    </row>
    <row r="19" spans="1:6">
      <c r="A19" s="110" t="s">
        <v>158</v>
      </c>
      <c r="B19" t="s">
        <v>159</v>
      </c>
      <c r="C19" s="111">
        <v>32.6</v>
      </c>
      <c r="D19" s="112">
        <v>62</v>
      </c>
      <c r="F19" s="255"/>
    </row>
    <row r="20" spans="1:6">
      <c r="A20" s="110" t="s">
        <v>168</v>
      </c>
      <c r="B20" t="s">
        <v>169</v>
      </c>
      <c r="C20" s="111">
        <v>34.1</v>
      </c>
      <c r="D20" s="112">
        <v>71</v>
      </c>
      <c r="F20" s="255"/>
    </row>
    <row r="21" spans="1:6">
      <c r="A21" s="110" t="s">
        <v>138</v>
      </c>
      <c r="B21" t="s">
        <v>139</v>
      </c>
      <c r="C21" s="111">
        <v>33.799999999999997</v>
      </c>
      <c r="D21" s="112">
        <v>62</v>
      </c>
      <c r="F21" s="255"/>
    </row>
    <row r="22" spans="1:6">
      <c r="A22" s="110" t="s">
        <v>184</v>
      </c>
      <c r="B22" t="s">
        <v>185</v>
      </c>
      <c r="C22" s="111">
        <v>33.299999999999997</v>
      </c>
      <c r="D22" s="112">
        <v>62</v>
      </c>
      <c r="F22" s="255"/>
    </row>
    <row r="23" spans="1:6">
      <c r="A23" s="110" t="s">
        <v>170</v>
      </c>
      <c r="B23" t="s">
        <v>171</v>
      </c>
      <c r="C23" s="111">
        <v>36.9</v>
      </c>
      <c r="D23" s="112">
        <v>57</v>
      </c>
      <c r="F23" s="255"/>
    </row>
    <row r="24" spans="1:6">
      <c r="A24" s="110" t="s">
        <v>210</v>
      </c>
      <c r="B24" t="s">
        <v>211</v>
      </c>
      <c r="C24" s="111">
        <v>30</v>
      </c>
      <c r="D24" s="112">
        <v>64</v>
      </c>
      <c r="F24" s="255"/>
    </row>
    <row r="25" spans="1:6">
      <c r="A25" s="110" t="s">
        <v>202</v>
      </c>
      <c r="B25" t="s">
        <v>203</v>
      </c>
      <c r="C25" s="111">
        <v>35.200000000000003</v>
      </c>
      <c r="D25" s="112">
        <v>48</v>
      </c>
      <c r="F25" s="255"/>
    </row>
    <row r="26" spans="1:6">
      <c r="A26" s="110" t="s">
        <v>152</v>
      </c>
      <c r="B26" t="s">
        <v>153</v>
      </c>
      <c r="C26" s="111">
        <v>43.7</v>
      </c>
      <c r="D26" s="112">
        <v>59</v>
      </c>
      <c r="F26" s="255"/>
    </row>
    <row r="27" spans="1:6">
      <c r="A27" s="110" t="s">
        <v>162</v>
      </c>
      <c r="B27" t="s">
        <v>163</v>
      </c>
      <c r="C27" s="111">
        <v>37.4</v>
      </c>
      <c r="D27" s="112">
        <v>60</v>
      </c>
      <c r="F27" s="255"/>
    </row>
    <row r="28" spans="1:6">
      <c r="A28" s="110" t="s">
        <v>188</v>
      </c>
      <c r="B28" t="s">
        <v>189</v>
      </c>
      <c r="C28" s="111">
        <v>31.8</v>
      </c>
      <c r="D28" s="112">
        <v>70</v>
      </c>
      <c r="F28" s="255"/>
    </row>
    <row r="29" spans="1:6">
      <c r="A29" s="110" t="s">
        <v>192</v>
      </c>
      <c r="B29" t="s">
        <v>193</v>
      </c>
      <c r="C29" s="111">
        <v>34.299999999999997</v>
      </c>
      <c r="D29" s="112">
        <v>62</v>
      </c>
      <c r="F29" s="255"/>
    </row>
    <row r="30" spans="1:6">
      <c r="A30" s="110" t="s">
        <v>126</v>
      </c>
      <c r="B30" t="s">
        <v>127</v>
      </c>
      <c r="C30" s="111">
        <v>36.4</v>
      </c>
      <c r="D30" s="112">
        <v>60</v>
      </c>
      <c r="F30" s="255"/>
    </row>
    <row r="31" spans="1:6">
      <c r="A31" s="110" t="s">
        <v>200</v>
      </c>
      <c r="B31" t="s">
        <v>201</v>
      </c>
      <c r="C31" s="111">
        <v>32.700000000000003</v>
      </c>
      <c r="D31" s="112">
        <v>56</v>
      </c>
      <c r="F31" s="255"/>
    </row>
    <row r="32" spans="1:6">
      <c r="A32" s="110" t="s">
        <v>214</v>
      </c>
      <c r="B32" t="s">
        <v>215</v>
      </c>
      <c r="C32" s="111">
        <v>24.9</v>
      </c>
      <c r="D32" s="112">
        <v>57</v>
      </c>
      <c r="F32" s="255"/>
    </row>
    <row r="33" spans="1:6">
      <c r="A33" s="110" t="s">
        <v>148</v>
      </c>
      <c r="B33" t="s">
        <v>149</v>
      </c>
      <c r="C33" s="111">
        <v>39</v>
      </c>
      <c r="D33" s="112">
        <v>66</v>
      </c>
      <c r="F33" s="255"/>
    </row>
    <row r="34" spans="1:6">
      <c r="A34" s="110" t="s">
        <v>186</v>
      </c>
      <c r="B34" t="s">
        <v>187</v>
      </c>
      <c r="C34" s="111">
        <v>28.1</v>
      </c>
      <c r="D34" s="112">
        <v>66</v>
      </c>
      <c r="F34" s="255"/>
    </row>
    <row r="35" spans="1:6">
      <c r="A35" s="110" t="s">
        <v>132</v>
      </c>
      <c r="B35" t="s">
        <v>133</v>
      </c>
      <c r="C35" s="111">
        <v>43.2</v>
      </c>
      <c r="D35" s="112">
        <v>63</v>
      </c>
      <c r="F35" s="255"/>
    </row>
    <row r="36" spans="1:6">
      <c r="A36" s="110" t="s">
        <v>130</v>
      </c>
      <c r="B36" t="s">
        <v>131</v>
      </c>
      <c r="C36" s="111">
        <v>39.4</v>
      </c>
      <c r="D36" s="112">
        <v>63</v>
      </c>
      <c r="F36" s="255"/>
    </row>
    <row r="37" spans="1:6">
      <c r="A37" s="110" t="s">
        <v>164</v>
      </c>
      <c r="B37" t="s">
        <v>165</v>
      </c>
      <c r="C37" s="111">
        <v>49.5</v>
      </c>
      <c r="D37" s="112">
        <v>62</v>
      </c>
      <c r="F37" s="255"/>
    </row>
    <row r="38" spans="1:6">
      <c r="A38" s="110" t="s">
        <v>120</v>
      </c>
      <c r="B38" t="s">
        <v>121</v>
      </c>
      <c r="C38" s="111">
        <v>46.5</v>
      </c>
      <c r="D38" s="112">
        <v>70</v>
      </c>
      <c r="F38" s="255"/>
    </row>
    <row r="39" spans="1:6">
      <c r="A39" s="110" t="s">
        <v>196</v>
      </c>
      <c r="B39" t="s">
        <v>197</v>
      </c>
      <c r="C39" s="111">
        <v>35.200000000000003</v>
      </c>
      <c r="D39" s="112">
        <v>68</v>
      </c>
      <c r="F39" s="255"/>
    </row>
    <row r="40" spans="1:6">
      <c r="A40" s="110" t="s">
        <v>140</v>
      </c>
      <c r="B40" t="s">
        <v>141</v>
      </c>
      <c r="C40" s="111">
        <v>38.299999999999997</v>
      </c>
      <c r="D40" s="112">
        <v>64</v>
      </c>
      <c r="F40" s="255"/>
    </row>
    <row r="41" spans="1:6">
      <c r="A41" s="110" t="s">
        <v>150</v>
      </c>
      <c r="B41" t="s">
        <v>151</v>
      </c>
      <c r="C41" s="111">
        <v>41.6</v>
      </c>
      <c r="D41" s="112">
        <v>60</v>
      </c>
      <c r="F41" s="255"/>
    </row>
    <row r="42" spans="1:6">
      <c r="A42" s="110" t="s">
        <v>190</v>
      </c>
      <c r="B42" t="s">
        <v>191</v>
      </c>
      <c r="C42" s="111">
        <v>31.3</v>
      </c>
      <c r="D42" s="112">
        <v>64</v>
      </c>
      <c r="F42" s="255"/>
    </row>
    <row r="43" spans="1:6">
      <c r="A43" s="110" t="s">
        <v>198</v>
      </c>
      <c r="B43" t="s">
        <v>199</v>
      </c>
      <c r="C43" s="111">
        <v>35.799999999999997</v>
      </c>
      <c r="D43" s="112">
        <v>60</v>
      </c>
      <c r="F43" s="255"/>
    </row>
    <row r="44" spans="1:6">
      <c r="A44" s="110" t="s">
        <v>166</v>
      </c>
      <c r="B44" t="s">
        <v>167</v>
      </c>
      <c r="C44" s="111">
        <v>38.5</v>
      </c>
      <c r="D44" s="112">
        <v>62</v>
      </c>
      <c r="F44" s="255"/>
    </row>
    <row r="45" spans="1:6">
      <c r="A45" s="110" t="s">
        <v>178</v>
      </c>
      <c r="B45" t="s">
        <v>179</v>
      </c>
      <c r="C45" s="111">
        <v>34.4</v>
      </c>
      <c r="D45" s="112">
        <v>57</v>
      </c>
      <c r="F45" s="255"/>
    </row>
    <row r="46" spans="1:6">
      <c r="A46" s="110" t="s">
        <v>174</v>
      </c>
      <c r="B46" t="s">
        <v>175</v>
      </c>
      <c r="C46" s="111">
        <v>34.700000000000003</v>
      </c>
      <c r="D46" s="112">
        <v>53</v>
      </c>
      <c r="F46" s="255"/>
    </row>
    <row r="47" spans="1:6">
      <c r="A47" s="110" t="s">
        <v>194</v>
      </c>
      <c r="B47" t="s">
        <v>195</v>
      </c>
      <c r="C47" s="111">
        <v>30.3</v>
      </c>
      <c r="D47" s="112">
        <v>64</v>
      </c>
      <c r="F47" s="255"/>
    </row>
    <row r="48" spans="1:6">
      <c r="A48" s="110" t="s">
        <v>116</v>
      </c>
      <c r="B48" t="s">
        <v>117</v>
      </c>
      <c r="C48" s="111">
        <v>41.3</v>
      </c>
      <c r="D48" s="112">
        <v>59</v>
      </c>
      <c r="F48" s="255"/>
    </row>
    <row r="49" spans="1:6">
      <c r="A49" s="110" t="s">
        <v>204</v>
      </c>
      <c r="B49" t="s">
        <v>205</v>
      </c>
      <c r="C49" s="111">
        <v>25.8</v>
      </c>
      <c r="D49" s="112">
        <v>69</v>
      </c>
      <c r="F49" s="255"/>
    </row>
    <row r="50" spans="1:6">
      <c r="A50" s="110" t="s">
        <v>160</v>
      </c>
      <c r="B50" t="s">
        <v>161</v>
      </c>
      <c r="C50" s="111">
        <v>41.7</v>
      </c>
      <c r="D50" s="112">
        <v>51</v>
      </c>
      <c r="F50" s="255"/>
    </row>
    <row r="51" spans="1:6">
      <c r="A51" s="110" t="s">
        <v>114</v>
      </c>
      <c r="B51" t="s">
        <v>115</v>
      </c>
      <c r="C51" s="111">
        <v>40.700000000000003</v>
      </c>
      <c r="D51" s="112">
        <v>71</v>
      </c>
      <c r="F51" s="255"/>
    </row>
    <row r="52" spans="1:6">
      <c r="A52" s="110" t="s">
        <v>136</v>
      </c>
      <c r="B52" t="s">
        <v>137</v>
      </c>
      <c r="C52" s="111">
        <v>38.799999999999997</v>
      </c>
      <c r="D52" s="112">
        <v>58</v>
      </c>
      <c r="F52" s="255"/>
    </row>
    <row r="53" spans="1:6">
      <c r="A53" s="110" t="s">
        <v>172</v>
      </c>
      <c r="B53" t="s">
        <v>173</v>
      </c>
      <c r="C53" s="111">
        <v>43.6</v>
      </c>
      <c r="D53" s="112">
        <v>64</v>
      </c>
      <c r="F53" s="255"/>
    </row>
    <row r="54" spans="1:6">
      <c r="A54" s="110" t="s">
        <v>146</v>
      </c>
      <c r="B54" t="s">
        <v>147</v>
      </c>
      <c r="C54" s="111">
        <v>40.4</v>
      </c>
      <c r="D54" s="112">
        <v>67</v>
      </c>
      <c r="F54" s="255"/>
    </row>
    <row r="55" spans="1:6">
      <c r="A55" s="110" t="s">
        <v>154</v>
      </c>
      <c r="B55" t="s">
        <v>155</v>
      </c>
      <c r="C55" s="111">
        <v>38.299999999999997</v>
      </c>
      <c r="D55" s="112">
        <v>55</v>
      </c>
      <c r="F55" s="255"/>
    </row>
    <row r="56" spans="1:6">
      <c r="A56" s="110" t="s">
        <v>212</v>
      </c>
      <c r="B56" t="s">
        <v>213</v>
      </c>
      <c r="C56" s="111">
        <v>26.2</v>
      </c>
      <c r="D56" s="112">
        <v>69</v>
      </c>
      <c r="F56" s="255"/>
    </row>
    <row r="57" spans="1:6">
      <c r="A57" s="110" t="s">
        <v>122</v>
      </c>
      <c r="B57" t="s">
        <v>123</v>
      </c>
      <c r="C57" s="111">
        <v>49.5</v>
      </c>
      <c r="D57" s="112">
        <v>56</v>
      </c>
      <c r="F57" s="255"/>
    </row>
    <row r="59" spans="1:6">
      <c r="A59" s="15" t="s">
        <v>423</v>
      </c>
    </row>
    <row r="60" spans="1:6">
      <c r="A60" s="15"/>
    </row>
    <row r="61" spans="1:6">
      <c r="A61" s="4" t="s">
        <v>774</v>
      </c>
    </row>
    <row r="62" spans="1:6">
      <c r="A62" t="s">
        <v>776</v>
      </c>
    </row>
    <row r="64" spans="1:6">
      <c r="A64" s="4" t="s">
        <v>777</v>
      </c>
    </row>
    <row r="65" spans="1:1">
      <c r="A65" t="s">
        <v>775</v>
      </c>
    </row>
  </sheetData>
  <sortState ref="A7:C57">
    <sortCondition ref="A7:A57"/>
  </sortState>
  <hyperlinks>
    <hyperlink ref="A3" location="TableOfContents!A1" display="Back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E34"/>
  <sheetViews>
    <sheetView workbookViewId="0">
      <selection activeCell="H6" sqref="H6"/>
    </sheetView>
  </sheetViews>
  <sheetFormatPr defaultRowHeight="15"/>
  <cols>
    <col min="1" max="1" width="6.28515625" customWidth="1"/>
    <col min="2" max="2" width="15.140625" customWidth="1"/>
  </cols>
  <sheetData>
    <row r="1" spans="1:5" ht="15.75">
      <c r="A1" s="24" t="s">
        <v>780</v>
      </c>
    </row>
    <row r="3" spans="1:5" ht="18.75">
      <c r="A3" s="84" t="s">
        <v>252</v>
      </c>
      <c r="B3" s="85" t="s">
        <v>253</v>
      </c>
    </row>
    <row r="6" spans="1:5" ht="30">
      <c r="B6" s="48" t="s">
        <v>803</v>
      </c>
      <c r="C6" s="48" t="s">
        <v>829</v>
      </c>
      <c r="D6" s="48" t="s">
        <v>830</v>
      </c>
      <c r="E6" s="48" t="s">
        <v>831</v>
      </c>
    </row>
    <row r="7" spans="1:5">
      <c r="B7" s="10" t="s">
        <v>781</v>
      </c>
      <c r="C7" s="5">
        <v>8.9999999999999998E-4</v>
      </c>
      <c r="D7" s="5">
        <v>8.0000000000000004E-4</v>
      </c>
      <c r="E7" s="5">
        <v>1.4000000000000002E-3</v>
      </c>
    </row>
    <row r="8" spans="1:5">
      <c r="B8" s="113" t="s">
        <v>782</v>
      </c>
      <c r="C8" s="5">
        <v>3.15E-2</v>
      </c>
      <c r="D8" s="5">
        <v>4.1900000000000007E-2</v>
      </c>
      <c r="E8" s="5">
        <v>5.5800000000000002E-2</v>
      </c>
    </row>
    <row r="9" spans="1:5">
      <c r="B9" s="10" t="s">
        <v>783</v>
      </c>
      <c r="C9" s="5">
        <v>2.2700000000000001E-2</v>
      </c>
      <c r="D9" s="5">
        <v>2.9600000000000001E-2</v>
      </c>
      <c r="E9" s="5">
        <v>1.2199999999999999E-2</v>
      </c>
    </row>
    <row r="10" spans="1:5">
      <c r="B10" s="10" t="s">
        <v>784</v>
      </c>
      <c r="C10" s="5">
        <v>4.1100000000000005E-2</v>
      </c>
      <c r="D10" s="5">
        <v>2.8799999999999999E-2</v>
      </c>
      <c r="E10" s="5">
        <v>0.02</v>
      </c>
    </row>
    <row r="11" spans="1:5">
      <c r="B11" s="10" t="s">
        <v>785</v>
      </c>
      <c r="C11" s="5">
        <v>7.6100000000000001E-2</v>
      </c>
      <c r="D11" s="5">
        <v>5.1799999999999999E-2</v>
      </c>
      <c r="E11" s="5">
        <v>2.7200000000000002E-2</v>
      </c>
    </row>
    <row r="12" spans="1:5">
      <c r="B12" s="10" t="s">
        <v>786</v>
      </c>
      <c r="C12" s="5">
        <v>0.11019999999999999</v>
      </c>
      <c r="D12" s="5">
        <v>6.7400000000000002E-2</v>
      </c>
      <c r="E12" s="5">
        <v>3.0099999999999998E-2</v>
      </c>
    </row>
    <row r="13" spans="1:5">
      <c r="B13" s="10" t="s">
        <v>787</v>
      </c>
      <c r="C13" s="5">
        <v>0.1225</v>
      </c>
      <c r="D13" s="5">
        <v>8.8699999999999987E-2</v>
      </c>
      <c r="E13" s="5">
        <v>5.2300000000000006E-2</v>
      </c>
    </row>
    <row r="14" spans="1:5">
      <c r="B14" s="10" t="s">
        <v>788</v>
      </c>
      <c r="C14" s="5">
        <v>0.1234</v>
      </c>
      <c r="D14" s="5">
        <v>0.1134</v>
      </c>
      <c r="E14" s="5">
        <v>7.3700000000000002E-2</v>
      </c>
    </row>
    <row r="15" spans="1:5">
      <c r="B15" s="10" t="s">
        <v>789</v>
      </c>
      <c r="C15" s="5">
        <v>0.1391</v>
      </c>
      <c r="D15" s="5">
        <v>0.1241</v>
      </c>
      <c r="E15" s="5">
        <v>0.121</v>
      </c>
    </row>
    <row r="16" spans="1:5">
      <c r="B16" s="10" t="s">
        <v>790</v>
      </c>
      <c r="C16" s="5">
        <v>0.11289999999999999</v>
      </c>
      <c r="D16" s="5">
        <v>0.1183</v>
      </c>
      <c r="E16" s="5">
        <v>0.1303</v>
      </c>
    </row>
    <row r="17" spans="1:5">
      <c r="B17" s="10" t="s">
        <v>791</v>
      </c>
      <c r="C17" s="5">
        <v>8.14E-2</v>
      </c>
      <c r="D17" s="5">
        <v>0.115</v>
      </c>
      <c r="E17" s="5">
        <v>0.19399999999999998</v>
      </c>
    </row>
    <row r="18" spans="1:5">
      <c r="B18" s="10" t="s">
        <v>792</v>
      </c>
      <c r="C18" s="5">
        <v>5.7699999999999994E-2</v>
      </c>
      <c r="D18" s="5">
        <v>8.3000000000000004E-2</v>
      </c>
      <c r="E18" s="5">
        <v>0.11380000000000001</v>
      </c>
    </row>
    <row r="19" spans="1:5">
      <c r="B19" s="10" t="s">
        <v>793</v>
      </c>
      <c r="C19" s="5">
        <v>2.8900000000000002E-2</v>
      </c>
      <c r="D19" s="5">
        <v>4.6799999999999994E-2</v>
      </c>
      <c r="E19" s="5">
        <v>8.2299999999999998E-2</v>
      </c>
    </row>
    <row r="20" spans="1:5">
      <c r="B20" s="10" t="s">
        <v>794</v>
      </c>
      <c r="C20" s="5">
        <v>1.7500000000000002E-2</v>
      </c>
      <c r="D20" s="5">
        <v>2.7099999999999999E-2</v>
      </c>
      <c r="E20" s="5">
        <v>3.2199999999999999E-2</v>
      </c>
    </row>
    <row r="21" spans="1:5">
      <c r="B21" s="10" t="s">
        <v>795</v>
      </c>
      <c r="C21" s="5">
        <v>1.0500000000000001E-2</v>
      </c>
      <c r="D21" s="5">
        <v>2.4700000000000003E-2</v>
      </c>
      <c r="E21" s="5">
        <v>2.0799999999999999E-2</v>
      </c>
    </row>
    <row r="22" spans="1:5">
      <c r="B22" s="10" t="s">
        <v>796</v>
      </c>
      <c r="C22" s="5">
        <v>6.9999999999999993E-3</v>
      </c>
      <c r="D22" s="5">
        <v>9.8999999999999991E-3</v>
      </c>
      <c r="E22" s="5">
        <v>0.01</v>
      </c>
    </row>
    <row r="23" spans="1:5">
      <c r="B23" s="10" t="s">
        <v>797</v>
      </c>
      <c r="C23" s="5">
        <v>8.6999999999999994E-3</v>
      </c>
      <c r="D23" s="5">
        <v>7.4000000000000003E-3</v>
      </c>
      <c r="E23" s="5">
        <v>7.1999999999999998E-3</v>
      </c>
    </row>
    <row r="24" spans="1:5">
      <c r="B24" s="10" t="s">
        <v>798</v>
      </c>
      <c r="C24" s="5">
        <v>0</v>
      </c>
      <c r="D24" s="5">
        <v>3.3E-3</v>
      </c>
      <c r="E24" s="5">
        <v>3.5999999999999999E-3</v>
      </c>
    </row>
    <row r="25" spans="1:5">
      <c r="B25" s="10" t="s">
        <v>799</v>
      </c>
      <c r="C25" s="5">
        <v>2.5999999999999999E-3</v>
      </c>
      <c r="D25" s="5">
        <v>3.3E-3</v>
      </c>
      <c r="E25" s="5">
        <v>2.0999999999999999E-3</v>
      </c>
    </row>
    <row r="26" spans="1:5">
      <c r="B26" s="10" t="s">
        <v>800</v>
      </c>
      <c r="C26" s="5">
        <v>1.7000000000000001E-3</v>
      </c>
      <c r="D26" s="5">
        <v>2.5000000000000001E-3</v>
      </c>
      <c r="E26" s="5">
        <v>1.4000000000000002E-3</v>
      </c>
    </row>
    <row r="27" spans="1:5">
      <c r="B27" s="10" t="s">
        <v>801</v>
      </c>
      <c r="C27" s="5">
        <v>0</v>
      </c>
      <c r="D27" s="5">
        <v>4.8999999999999998E-3</v>
      </c>
      <c r="E27" s="5">
        <v>1.4000000000000002E-3</v>
      </c>
    </row>
    <row r="28" spans="1:5">
      <c r="B28" s="10" t="s">
        <v>802</v>
      </c>
      <c r="C28" s="5">
        <v>3.4999999999999996E-3</v>
      </c>
      <c r="D28" s="5">
        <v>7.3000000000000001E-3</v>
      </c>
      <c r="E28" s="5">
        <v>7.0999999999999995E-3</v>
      </c>
    </row>
    <row r="30" spans="1:5">
      <c r="B30" t="s">
        <v>379</v>
      </c>
      <c r="C30" s="9">
        <f>SUM(C7:C28)</f>
        <v>0.99990000000000001</v>
      </c>
      <c r="D30" s="9">
        <f t="shared" ref="D30:E30" si="0">SUM(D7:D28)</f>
        <v>0.99999999999999978</v>
      </c>
      <c r="E30" s="9">
        <f t="shared" si="0"/>
        <v>0.99990000000000001</v>
      </c>
    </row>
    <row r="31" spans="1:5">
      <c r="C31" s="9"/>
      <c r="D31" s="9"/>
      <c r="E31" s="9"/>
    </row>
    <row r="32" spans="1:5">
      <c r="A32" s="15" t="s">
        <v>423</v>
      </c>
    </row>
    <row r="34" spans="1:1">
      <c r="A34" t="s">
        <v>804</v>
      </c>
    </row>
  </sheetData>
  <hyperlinks>
    <hyperlink ref="A3" location="TableOfContents!A1" display="Back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E36"/>
  <sheetViews>
    <sheetView workbookViewId="0">
      <selection activeCell="H4" sqref="H4"/>
    </sheetView>
  </sheetViews>
  <sheetFormatPr defaultRowHeight="15"/>
  <cols>
    <col min="1" max="1" width="6.42578125" customWidth="1"/>
    <col min="2" max="2" width="10.140625" customWidth="1"/>
  </cols>
  <sheetData>
    <row r="1" spans="1:5" ht="15.75">
      <c r="A1" s="24" t="s">
        <v>805</v>
      </c>
    </row>
    <row r="3" spans="1:5" ht="18.75">
      <c r="A3" s="84" t="s">
        <v>252</v>
      </c>
      <c r="B3" s="85" t="s">
        <v>253</v>
      </c>
    </row>
    <row r="6" spans="1:5" ht="30">
      <c r="B6" s="48" t="s">
        <v>828</v>
      </c>
      <c r="C6" s="48" t="s">
        <v>829</v>
      </c>
      <c r="D6" s="48" t="s">
        <v>830</v>
      </c>
      <c r="E6" s="48" t="s">
        <v>831</v>
      </c>
    </row>
    <row r="7" spans="1:5">
      <c r="B7" s="123" t="s">
        <v>806</v>
      </c>
      <c r="C7" s="114">
        <v>0</v>
      </c>
      <c r="D7" s="115">
        <v>0</v>
      </c>
      <c r="E7" s="116">
        <v>0</v>
      </c>
    </row>
    <row r="8" spans="1:5">
      <c r="B8" s="124" t="s">
        <v>807</v>
      </c>
      <c r="C8" s="117">
        <v>0</v>
      </c>
      <c r="D8" s="118">
        <v>8.7719298245614037E-4</v>
      </c>
      <c r="E8" s="119">
        <v>0</v>
      </c>
    </row>
    <row r="9" spans="1:5">
      <c r="B9" s="124" t="s">
        <v>808</v>
      </c>
      <c r="C9" s="117">
        <v>0</v>
      </c>
      <c r="D9" s="118">
        <v>0</v>
      </c>
      <c r="E9" s="119">
        <v>7.6804915514592934E-4</v>
      </c>
    </row>
    <row r="10" spans="1:5">
      <c r="B10" s="124" t="s">
        <v>809</v>
      </c>
      <c r="C10" s="117">
        <v>9.1575091575091575E-4</v>
      </c>
      <c r="D10" s="118">
        <v>8.7719298245614037E-4</v>
      </c>
      <c r="E10" s="119">
        <v>2.304147465437788E-3</v>
      </c>
    </row>
    <row r="11" spans="1:5">
      <c r="B11" s="124" t="s">
        <v>810</v>
      </c>
      <c r="C11" s="117">
        <v>9.1575091575091575E-4</v>
      </c>
      <c r="D11" s="118">
        <v>2.631578947368421E-3</v>
      </c>
      <c r="E11" s="119">
        <v>1.5360983102918587E-3</v>
      </c>
    </row>
    <row r="12" spans="1:5">
      <c r="B12" s="124" t="s">
        <v>811</v>
      </c>
      <c r="C12" s="117">
        <v>3.663003663003663E-3</v>
      </c>
      <c r="D12" s="118">
        <v>6.1403508771929825E-3</v>
      </c>
      <c r="E12" s="119">
        <v>6.1443932411674347E-3</v>
      </c>
    </row>
    <row r="13" spans="1:5">
      <c r="B13" s="124" t="s">
        <v>812</v>
      </c>
      <c r="C13" s="117">
        <v>3.663003663003663E-3</v>
      </c>
      <c r="D13" s="118">
        <v>7.8947368421052634E-3</v>
      </c>
      <c r="E13" s="119">
        <v>6.9124423963133645E-3</v>
      </c>
    </row>
    <row r="14" spans="1:5">
      <c r="B14" s="124" t="s">
        <v>813</v>
      </c>
      <c r="C14" s="117">
        <v>1.5567765567765568E-2</v>
      </c>
      <c r="D14" s="118">
        <v>6.1403508771929825E-3</v>
      </c>
      <c r="E14" s="119">
        <v>1.1520737327188941E-2</v>
      </c>
    </row>
    <row r="15" spans="1:5">
      <c r="B15" s="124" t="s">
        <v>814</v>
      </c>
      <c r="C15" s="117">
        <v>9.1575091575091579E-3</v>
      </c>
      <c r="D15" s="118">
        <v>1.5789473684210527E-2</v>
      </c>
      <c r="E15" s="119">
        <v>2.1505376344086023E-2</v>
      </c>
    </row>
    <row r="16" spans="1:5">
      <c r="B16" s="124" t="s">
        <v>815</v>
      </c>
      <c r="C16" s="117">
        <v>3.8461538461538464E-2</v>
      </c>
      <c r="D16" s="118">
        <v>2.2807017543859651E-2</v>
      </c>
      <c r="E16" s="119">
        <v>3.840245775729647E-2</v>
      </c>
    </row>
    <row r="17" spans="1:5">
      <c r="B17" s="124" t="s">
        <v>816</v>
      </c>
      <c r="C17" s="117">
        <v>5.3113553113553112E-2</v>
      </c>
      <c r="D17" s="118">
        <v>5.7894736842105263E-2</v>
      </c>
      <c r="E17" s="119">
        <v>5.606758832565284E-2</v>
      </c>
    </row>
    <row r="18" spans="1:5">
      <c r="B18" s="124" t="s">
        <v>817</v>
      </c>
      <c r="C18" s="117">
        <v>7.3260073260073263E-2</v>
      </c>
      <c r="D18" s="118">
        <v>5.8771929824561406E-2</v>
      </c>
      <c r="E18" s="119">
        <v>8.9093701996927802E-2</v>
      </c>
    </row>
    <row r="19" spans="1:5">
      <c r="B19" s="124" t="s">
        <v>818</v>
      </c>
      <c r="C19" s="117">
        <v>9.432234432234432E-2</v>
      </c>
      <c r="D19" s="118">
        <v>6.8421052631578952E-2</v>
      </c>
      <c r="E19" s="119">
        <v>0.11290322580645161</v>
      </c>
    </row>
    <row r="20" spans="1:5">
      <c r="B20" s="124" t="s">
        <v>819</v>
      </c>
      <c r="C20" s="117">
        <v>0.11172161172161173</v>
      </c>
      <c r="D20" s="118">
        <v>9.0350877192982459E-2</v>
      </c>
      <c r="E20" s="119">
        <v>0.11751152073732719</v>
      </c>
    </row>
    <row r="21" spans="1:5">
      <c r="B21" s="124" t="s">
        <v>820</v>
      </c>
      <c r="C21" s="117">
        <v>0.12087912087912088</v>
      </c>
      <c r="D21" s="118">
        <v>0.10438596491228071</v>
      </c>
      <c r="E21" s="119">
        <v>0.11136712749615975</v>
      </c>
    </row>
    <row r="22" spans="1:5">
      <c r="B22" s="124" t="s">
        <v>821</v>
      </c>
      <c r="C22" s="117">
        <v>0.10989010989010989</v>
      </c>
      <c r="D22" s="118">
        <v>0.14561403508771931</v>
      </c>
      <c r="E22" s="119">
        <v>0.1098310291858679</v>
      </c>
    </row>
    <row r="23" spans="1:5">
      <c r="B23" s="124" t="s">
        <v>822</v>
      </c>
      <c r="C23" s="117">
        <v>0.11538461538461539</v>
      </c>
      <c r="D23" s="118">
        <v>0.11140350877192982</v>
      </c>
      <c r="E23" s="119">
        <v>9.5238095238095233E-2</v>
      </c>
    </row>
    <row r="24" spans="1:5">
      <c r="B24" s="124" t="s">
        <v>823</v>
      </c>
      <c r="C24" s="117">
        <v>9.0659340659340656E-2</v>
      </c>
      <c r="D24" s="118">
        <v>0.11315789473684211</v>
      </c>
      <c r="E24" s="119">
        <v>8.9093701996927802E-2</v>
      </c>
    </row>
    <row r="25" spans="1:5">
      <c r="B25" s="124" t="s">
        <v>824</v>
      </c>
      <c r="C25" s="117">
        <v>8.1501831501831504E-2</v>
      </c>
      <c r="D25" s="118">
        <v>8.8596491228070173E-2</v>
      </c>
      <c r="E25" s="119">
        <v>5.9907834101382486E-2</v>
      </c>
    </row>
    <row r="26" spans="1:5">
      <c r="B26" s="124" t="s">
        <v>825</v>
      </c>
      <c r="C26" s="117">
        <v>5.4945054945054944E-2</v>
      </c>
      <c r="D26" s="118">
        <v>5.9649122807017542E-2</v>
      </c>
      <c r="E26" s="119">
        <v>4.8387096774193547E-2</v>
      </c>
    </row>
    <row r="27" spans="1:5">
      <c r="B27" s="124" t="s">
        <v>826</v>
      </c>
      <c r="C27" s="117">
        <v>2.197802197802198E-2</v>
      </c>
      <c r="D27" s="118">
        <v>3.4210526315789476E-2</v>
      </c>
      <c r="E27" s="119">
        <v>1.9969278033794162E-2</v>
      </c>
    </row>
    <row r="28" spans="1:5">
      <c r="B28" s="125" t="s">
        <v>827</v>
      </c>
      <c r="C28" s="120">
        <v>0</v>
      </c>
      <c r="D28" s="121">
        <v>4.3859649122807015E-3</v>
      </c>
      <c r="E28" s="122">
        <v>1.5360983102918587E-3</v>
      </c>
    </row>
    <row r="30" spans="1:5">
      <c r="B30" s="261" t="s">
        <v>379</v>
      </c>
      <c r="C30" s="9">
        <f>SUM(C7:C28)</f>
        <v>1</v>
      </c>
      <c r="D30" s="9">
        <f t="shared" ref="D30:E30" si="0">SUM(D7:D28)</f>
        <v>0.99999999999999989</v>
      </c>
      <c r="E30" s="9">
        <f t="shared" si="0"/>
        <v>1</v>
      </c>
    </row>
    <row r="32" spans="1:5">
      <c r="A32" s="15" t="s">
        <v>423</v>
      </c>
    </row>
    <row r="34" spans="1:1">
      <c r="A34" t="s">
        <v>832</v>
      </c>
    </row>
    <row r="36" spans="1:1">
      <c r="A36" s="92"/>
    </row>
  </sheetData>
  <hyperlinks>
    <hyperlink ref="A3" location="TableOfContents!A1" display="Back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45"/>
  <sheetViews>
    <sheetView workbookViewId="0">
      <selection activeCell="F7" sqref="F7"/>
    </sheetView>
  </sheetViews>
  <sheetFormatPr defaultRowHeight="15"/>
  <cols>
    <col min="1" max="1" width="6.28515625" customWidth="1"/>
    <col min="2" max="2" width="11.42578125" customWidth="1"/>
  </cols>
  <sheetData>
    <row r="1" spans="1:3" ht="15.75">
      <c r="A1" s="24" t="s">
        <v>833</v>
      </c>
    </row>
    <row r="3" spans="1:3" ht="18.75">
      <c r="A3" s="84" t="s">
        <v>252</v>
      </c>
      <c r="B3" s="85" t="s">
        <v>253</v>
      </c>
    </row>
    <row r="5" spans="1:3" ht="30">
      <c r="A5" s="4" t="s">
        <v>87</v>
      </c>
      <c r="B5" s="226" t="s">
        <v>834</v>
      </c>
      <c r="C5" s="226" t="s">
        <v>835</v>
      </c>
    </row>
    <row r="6" spans="1:3">
      <c r="A6">
        <v>1977</v>
      </c>
      <c r="B6" s="28">
        <v>0.38</v>
      </c>
      <c r="C6" s="28">
        <v>4.2000000000000003E-2</v>
      </c>
    </row>
    <row r="7" spans="1:3">
      <c r="A7">
        <v>1978</v>
      </c>
      <c r="B7" s="28">
        <v>0.43</v>
      </c>
      <c r="C7" s="28">
        <v>4.5999999999999999E-2</v>
      </c>
    </row>
    <row r="8" spans="1:3">
      <c r="A8">
        <v>1979</v>
      </c>
      <c r="B8" s="28">
        <v>0.28799999999999998</v>
      </c>
      <c r="C8" s="28">
        <v>4.4999999999999998E-2</v>
      </c>
    </row>
    <row r="9" spans="1:3">
      <c r="A9">
        <v>1980</v>
      </c>
      <c r="B9" s="28">
        <v>0.13700000000000001</v>
      </c>
      <c r="C9" s="28">
        <v>3.9E-2</v>
      </c>
    </row>
    <row r="10" spans="1:3">
      <c r="A10">
        <v>1981</v>
      </c>
      <c r="B10" s="28">
        <v>0.14299999999999999</v>
      </c>
      <c r="C10" s="28">
        <v>4.1000000000000002E-2</v>
      </c>
    </row>
    <row r="11" spans="1:3">
      <c r="A11">
        <v>1982</v>
      </c>
      <c r="B11" s="28">
        <v>0.153</v>
      </c>
      <c r="C11" s="28">
        <v>4.3999999999999997E-2</v>
      </c>
    </row>
    <row r="12" spans="1:3">
      <c r="A12">
        <v>1983</v>
      </c>
      <c r="B12" s="28">
        <v>0.17399999999999999</v>
      </c>
      <c r="C12" s="28">
        <v>5.6000000000000001E-2</v>
      </c>
    </row>
    <row r="13" spans="1:3">
      <c r="A13">
        <v>1984</v>
      </c>
      <c r="B13" s="28">
        <v>0.16400000000000001</v>
      </c>
      <c r="C13" s="28">
        <v>0.06</v>
      </c>
    </row>
    <row r="14" spans="1:3">
      <c r="A14">
        <v>1985</v>
      </c>
      <c r="B14" s="28">
        <v>0.182</v>
      </c>
      <c r="C14" s="28">
        <v>6.9000000000000006E-2</v>
      </c>
    </row>
    <row r="15" spans="1:3">
      <c r="A15">
        <v>1986</v>
      </c>
      <c r="B15" s="28">
        <v>0.20699999999999999</v>
      </c>
      <c r="C15" s="28">
        <v>9.8000000000000004E-2</v>
      </c>
    </row>
    <row r="16" spans="1:3">
      <c r="A16">
        <v>1987</v>
      </c>
      <c r="B16" s="28">
        <v>0.23699999999999999</v>
      </c>
      <c r="C16" s="28">
        <v>0.112</v>
      </c>
    </row>
    <row r="17" spans="1:3">
      <c r="A17">
        <v>1988</v>
      </c>
      <c r="B17" s="28">
        <v>0.247</v>
      </c>
      <c r="C17" s="28">
        <v>0.107</v>
      </c>
    </row>
    <row r="18" spans="1:3">
      <c r="A18">
        <v>1989</v>
      </c>
      <c r="B18" s="28">
        <v>0.30599999999999999</v>
      </c>
      <c r="C18" s="28">
        <v>0.11799999999999999</v>
      </c>
    </row>
    <row r="19" spans="1:3">
      <c r="A19">
        <v>1990</v>
      </c>
      <c r="B19" s="28">
        <v>0.35699999999999998</v>
      </c>
      <c r="C19" s="28">
        <v>0.122</v>
      </c>
    </row>
    <row r="20" spans="1:3">
      <c r="A20">
        <v>1991</v>
      </c>
      <c r="B20" s="28">
        <v>0.38100000000000001</v>
      </c>
      <c r="C20" s="28">
        <v>0.115</v>
      </c>
    </row>
    <row r="21" spans="1:3">
      <c r="A21">
        <v>1992</v>
      </c>
      <c r="B21" s="28">
        <v>0.439</v>
      </c>
      <c r="C21" s="28">
        <v>0.127</v>
      </c>
    </row>
    <row r="22" spans="1:3">
      <c r="A22">
        <v>1993</v>
      </c>
      <c r="B22" s="28">
        <v>0.435</v>
      </c>
      <c r="C22" s="28">
        <v>0.13100000000000001</v>
      </c>
    </row>
    <row r="23" spans="1:3">
      <c r="A23">
        <v>1994</v>
      </c>
      <c r="B23" s="28">
        <v>0.42399999999999999</v>
      </c>
      <c r="C23" s="28">
        <v>0.14099999999999999</v>
      </c>
    </row>
    <row r="24" spans="1:3">
      <c r="A24">
        <v>1995</v>
      </c>
      <c r="B24" s="28">
        <v>0.432</v>
      </c>
      <c r="C24" s="28">
        <v>0.14499999999999999</v>
      </c>
    </row>
    <row r="25" spans="1:3">
      <c r="A25">
        <v>1996</v>
      </c>
      <c r="B25" s="28">
        <v>0.42</v>
      </c>
      <c r="C25" s="28">
        <v>0.129</v>
      </c>
    </row>
    <row r="26" spans="1:3">
      <c r="A26">
        <v>1997</v>
      </c>
      <c r="B26" s="28">
        <v>0.45</v>
      </c>
      <c r="C26" s="28">
        <v>0.13500000000000001</v>
      </c>
    </row>
    <row r="27" spans="1:3">
      <c r="A27">
        <v>1998</v>
      </c>
      <c r="B27" s="28">
        <v>0.44900000000000001</v>
      </c>
      <c r="C27" s="28">
        <v>0.152</v>
      </c>
    </row>
    <row r="28" spans="1:3">
      <c r="A28">
        <v>1999</v>
      </c>
      <c r="B28" s="28">
        <v>0.47399999999999998</v>
      </c>
      <c r="C28" s="28">
        <v>0.16300000000000001</v>
      </c>
    </row>
    <row r="29" spans="1:3">
      <c r="A29">
        <v>2000</v>
      </c>
      <c r="B29" s="28">
        <v>0.496</v>
      </c>
      <c r="C29" s="28">
        <v>0.17799999999999999</v>
      </c>
    </row>
    <row r="30" spans="1:3">
      <c r="A30">
        <v>2001</v>
      </c>
      <c r="B30" s="28">
        <v>0.51200000000000001</v>
      </c>
      <c r="C30" s="28">
        <v>0.17499999999999999</v>
      </c>
    </row>
    <row r="31" spans="1:3">
      <c r="A31">
        <v>2002</v>
      </c>
      <c r="B31" s="28">
        <v>0.54700000000000004</v>
      </c>
      <c r="C31" s="28">
        <v>0.17800000000000002</v>
      </c>
    </row>
    <row r="32" spans="1:3">
      <c r="A32">
        <v>2003</v>
      </c>
      <c r="B32" s="28">
        <v>0.56700000000000006</v>
      </c>
      <c r="C32" s="28">
        <v>0.17899999999999999</v>
      </c>
    </row>
    <row r="33" spans="1:3">
      <c r="A33">
        <v>2004</v>
      </c>
      <c r="B33" s="28">
        <v>0.58700000000000008</v>
      </c>
      <c r="C33" s="28">
        <v>0.17800000000000002</v>
      </c>
    </row>
    <row r="34" spans="1:3">
      <c r="A34">
        <v>2005</v>
      </c>
      <c r="B34" s="28">
        <v>0.59</v>
      </c>
      <c r="C34" s="28">
        <v>0.20499999999999999</v>
      </c>
    </row>
    <row r="35" spans="1:3">
      <c r="A35">
        <v>2006</v>
      </c>
      <c r="B35" s="28">
        <v>0.67980427240405983</v>
      </c>
      <c r="C35" s="28">
        <v>0.18144399809827796</v>
      </c>
    </row>
    <row r="36" spans="1:3">
      <c r="A36">
        <v>2007</v>
      </c>
      <c r="B36" s="28">
        <v>0.69826817613908776</v>
      </c>
      <c r="C36" s="28">
        <v>0.17570764701023309</v>
      </c>
    </row>
    <row r="37" spans="1:3">
      <c r="A37">
        <v>2008</v>
      </c>
      <c r="B37" s="28">
        <v>0.71599999999999997</v>
      </c>
      <c r="C37" s="28">
        <v>0.16800000000000001</v>
      </c>
    </row>
    <row r="38" spans="1:3">
      <c r="A38">
        <v>2009</v>
      </c>
      <c r="B38" s="28">
        <v>0.73355125055066539</v>
      </c>
      <c r="C38" s="28">
        <v>0.15810349328224224</v>
      </c>
    </row>
    <row r="39" spans="1:3">
      <c r="A39">
        <v>2010</v>
      </c>
      <c r="B39" s="28">
        <v>0.75700000000000001</v>
      </c>
      <c r="C39" s="28">
        <v>0.14399999999999999</v>
      </c>
    </row>
    <row r="42" spans="1:3">
      <c r="A42" s="15" t="s">
        <v>423</v>
      </c>
    </row>
    <row r="44" spans="1:3">
      <c r="A44" t="s">
        <v>839</v>
      </c>
    </row>
    <row r="45" spans="1:3">
      <c r="A45" t="s">
        <v>840</v>
      </c>
    </row>
  </sheetData>
  <hyperlinks>
    <hyperlink ref="A3" location="TableOfContents!A1" display="Back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51"/>
  <sheetViews>
    <sheetView workbookViewId="0">
      <selection activeCell="G9" sqref="G9"/>
    </sheetView>
  </sheetViews>
  <sheetFormatPr defaultRowHeight="15"/>
  <cols>
    <col min="1" max="1" width="6.28515625" customWidth="1"/>
    <col min="2" max="2" width="12.5703125" customWidth="1"/>
    <col min="3" max="3" width="13.42578125" customWidth="1"/>
  </cols>
  <sheetData>
    <row r="1" spans="1:3" ht="15.75">
      <c r="A1" s="24" t="s">
        <v>836</v>
      </c>
    </row>
    <row r="3" spans="1:3" ht="18.75">
      <c r="A3" s="84" t="s">
        <v>252</v>
      </c>
      <c r="B3" s="85" t="s">
        <v>253</v>
      </c>
    </row>
    <row r="6" spans="1:3" ht="30">
      <c r="A6" s="4" t="s">
        <v>87</v>
      </c>
      <c r="B6" s="226" t="s">
        <v>837</v>
      </c>
      <c r="C6" s="226" t="s">
        <v>838</v>
      </c>
    </row>
    <row r="7" spans="1:3">
      <c r="A7" s="128">
        <v>1977</v>
      </c>
      <c r="B7" s="126">
        <v>0.36799999999999999</v>
      </c>
      <c r="C7" s="126">
        <v>0.104</v>
      </c>
    </row>
    <row r="8" spans="1:3">
      <c r="A8" s="129">
        <v>1978</v>
      </c>
      <c r="B8" s="127">
        <v>0.39900000000000002</v>
      </c>
      <c r="C8" s="127">
        <v>0.12</v>
      </c>
    </row>
    <row r="9" spans="1:3">
      <c r="A9" s="129">
        <v>1979</v>
      </c>
      <c r="B9" s="127">
        <v>0.42499999999999999</v>
      </c>
      <c r="C9" s="127">
        <v>0.13400000000000001</v>
      </c>
    </row>
    <row r="10" spans="1:3">
      <c r="A10" s="129">
        <v>1980</v>
      </c>
      <c r="B10" s="127">
        <v>0.48</v>
      </c>
      <c r="C10" s="127">
        <v>0.153</v>
      </c>
    </row>
    <row r="11" spans="1:3">
      <c r="A11" s="129">
        <v>1981</v>
      </c>
      <c r="B11" s="127">
        <v>0.55000000000000004</v>
      </c>
      <c r="C11" s="127">
        <v>0.17699999999999999</v>
      </c>
    </row>
    <row r="12" spans="1:3">
      <c r="A12" s="129">
        <v>1982</v>
      </c>
      <c r="B12" s="127">
        <v>0.58799999999999997</v>
      </c>
      <c r="C12" s="127">
        <v>0.14399999999999999</v>
      </c>
    </row>
    <row r="13" spans="1:3">
      <c r="A13" s="129">
        <v>1983</v>
      </c>
      <c r="B13" s="127">
        <v>0.64200000000000002</v>
      </c>
      <c r="C13" s="127">
        <v>0.155</v>
      </c>
    </row>
    <row r="14" spans="1:3">
      <c r="A14" s="129">
        <v>1984</v>
      </c>
      <c r="B14" s="127">
        <v>0.64500000000000002</v>
      </c>
      <c r="C14" s="127">
        <v>0.16300000000000001</v>
      </c>
    </row>
    <row r="15" spans="1:3">
      <c r="A15" s="129">
        <v>1985</v>
      </c>
      <c r="B15" s="127">
        <v>0.63800000000000001</v>
      </c>
      <c r="C15" s="127">
        <v>0.18</v>
      </c>
    </row>
    <row r="16" spans="1:3">
      <c r="A16" s="129">
        <v>1986</v>
      </c>
      <c r="B16" s="127">
        <v>0.65200000000000002</v>
      </c>
      <c r="C16" s="127">
        <v>0.17599999999999999</v>
      </c>
    </row>
    <row r="17" spans="1:3">
      <c r="A17" s="129">
        <v>1987</v>
      </c>
      <c r="B17" s="131">
        <v>0.65800000000000003</v>
      </c>
      <c r="C17" s="131">
        <v>0.189</v>
      </c>
    </row>
    <row r="18" spans="1:3">
      <c r="A18" s="129">
        <v>1988</v>
      </c>
      <c r="B18" s="131">
        <v>0.65500000000000003</v>
      </c>
      <c r="C18" s="131">
        <v>0.189</v>
      </c>
    </row>
    <row r="19" spans="1:3">
      <c r="A19" s="129">
        <v>1989</v>
      </c>
      <c r="B19" s="131">
        <v>0.66</v>
      </c>
      <c r="C19" s="131">
        <v>0.20699999999999999</v>
      </c>
    </row>
    <row r="20" spans="1:3">
      <c r="A20" s="129">
        <v>1990</v>
      </c>
      <c r="B20" s="131">
        <v>0.67100000000000004</v>
      </c>
      <c r="C20" s="131">
        <v>0.19600000000000001</v>
      </c>
    </row>
    <row r="21" spans="1:3">
      <c r="A21" s="129">
        <v>1991</v>
      </c>
      <c r="B21" s="131">
        <v>0.67500000000000004</v>
      </c>
      <c r="C21" s="131">
        <v>0.191</v>
      </c>
    </row>
    <row r="22" spans="1:3">
      <c r="A22" s="129">
        <v>1992</v>
      </c>
      <c r="B22" s="131">
        <v>0.69199999999999995</v>
      </c>
      <c r="C22" s="131">
        <v>0.193</v>
      </c>
    </row>
    <row r="23" spans="1:3">
      <c r="A23" s="129">
        <v>1993</v>
      </c>
      <c r="B23" s="131">
        <v>0.69799999999999995</v>
      </c>
      <c r="C23" s="131">
        <v>0.184</v>
      </c>
    </row>
    <row r="24" spans="1:3">
      <c r="A24" s="129">
        <v>1994</v>
      </c>
      <c r="B24" s="131">
        <v>0.71099999999999997</v>
      </c>
      <c r="C24" s="131">
        <v>0.18099999999999999</v>
      </c>
    </row>
    <row r="25" spans="1:3">
      <c r="A25" s="129">
        <v>1995</v>
      </c>
      <c r="B25" s="131">
        <v>0.71</v>
      </c>
      <c r="C25" s="131">
        <v>0.18099999999999999</v>
      </c>
    </row>
    <row r="26" spans="1:3">
      <c r="A26" s="129">
        <v>1996</v>
      </c>
      <c r="B26" s="131">
        <v>0.71399999999999997</v>
      </c>
      <c r="C26" s="131">
        <v>0.17</v>
      </c>
    </row>
    <row r="27" spans="1:3">
      <c r="A27" s="129">
        <v>1997</v>
      </c>
      <c r="B27" s="131">
        <v>0.71499999999999997</v>
      </c>
      <c r="C27" s="131">
        <v>0.16900000000000001</v>
      </c>
    </row>
    <row r="28" spans="1:3">
      <c r="A28" s="129">
        <v>1998</v>
      </c>
      <c r="B28" s="131">
        <v>0.69099999999999995</v>
      </c>
      <c r="C28" s="131">
        <v>0.16600000000000001</v>
      </c>
    </row>
    <row r="29" spans="1:3">
      <c r="A29" s="129">
        <v>1999</v>
      </c>
      <c r="B29" s="131">
        <v>0.67800000000000005</v>
      </c>
      <c r="C29" s="131">
        <v>0.16600000000000001</v>
      </c>
    </row>
    <row r="30" spans="1:3">
      <c r="A30" s="129">
        <v>2000</v>
      </c>
      <c r="B30" s="131">
        <v>0.69499999999999995</v>
      </c>
      <c r="C30" s="131">
        <v>0.16400000000000001</v>
      </c>
    </row>
    <row r="31" spans="1:3">
      <c r="A31" s="129">
        <v>2001</v>
      </c>
      <c r="B31" s="131">
        <v>0.70199999999999996</v>
      </c>
      <c r="C31" s="131">
        <v>0.16200000000000001</v>
      </c>
    </row>
    <row r="32" spans="1:3">
      <c r="A32" s="129">
        <v>2002</v>
      </c>
      <c r="B32" s="131">
        <v>0.71499999999999997</v>
      </c>
      <c r="C32" s="131">
        <v>0.157</v>
      </c>
    </row>
    <row r="33" spans="1:3">
      <c r="A33" s="129">
        <v>2003</v>
      </c>
      <c r="B33" s="131">
        <v>0.72</v>
      </c>
      <c r="C33" s="131">
        <v>0.152</v>
      </c>
    </row>
    <row r="34" spans="1:3">
      <c r="A34" s="129">
        <v>2004</v>
      </c>
      <c r="B34" s="131">
        <v>0.72599999999999998</v>
      </c>
      <c r="C34" s="131">
        <v>0.13800000000000001</v>
      </c>
    </row>
    <row r="35" spans="1:3">
      <c r="A35" s="129">
        <v>2005</v>
      </c>
      <c r="B35" s="131">
        <v>0.755</v>
      </c>
      <c r="C35" s="131">
        <v>0.11699999999999999</v>
      </c>
    </row>
    <row r="36" spans="1:3">
      <c r="A36" s="129">
        <v>2006</v>
      </c>
      <c r="B36" s="131">
        <v>0.80885625108119785</v>
      </c>
      <c r="C36" s="131">
        <v>8.5520665488409309E-2</v>
      </c>
    </row>
    <row r="37" spans="1:3">
      <c r="A37" s="129">
        <v>2007</v>
      </c>
      <c r="B37" s="131">
        <v>0.81307061273910652</v>
      </c>
      <c r="C37" s="131">
        <v>8.5682195132622804E-2</v>
      </c>
    </row>
    <row r="38" spans="1:3">
      <c r="A38" s="129">
        <v>2008</v>
      </c>
      <c r="B38" s="131">
        <v>0.78</v>
      </c>
      <c r="C38" s="131">
        <v>9.2999999999999999E-2</v>
      </c>
    </row>
    <row r="39" spans="1:3">
      <c r="A39" s="129">
        <v>2009</v>
      </c>
      <c r="B39" s="131">
        <v>0.74492193615398028</v>
      </c>
      <c r="C39" s="131">
        <v>0.10586601221337627</v>
      </c>
    </row>
    <row r="40" spans="1:3">
      <c r="A40" s="130">
        <v>2010</v>
      </c>
      <c r="B40" s="132">
        <v>0.746</v>
      </c>
      <c r="C40" s="132">
        <v>0.193</v>
      </c>
    </row>
    <row r="43" spans="1:3">
      <c r="A43" s="15" t="s">
        <v>423</v>
      </c>
    </row>
    <row r="45" spans="1:3">
      <c r="A45" t="s">
        <v>839</v>
      </c>
    </row>
    <row r="46" spans="1:3">
      <c r="A46" t="s">
        <v>840</v>
      </c>
    </row>
    <row r="48" spans="1:3">
      <c r="A48" s="133" t="s">
        <v>856</v>
      </c>
    </row>
    <row r="49" spans="1:1">
      <c r="A49" s="134" t="s">
        <v>101</v>
      </c>
    </row>
    <row r="50" spans="1:1">
      <c r="A50" s="134"/>
    </row>
    <row r="51" spans="1:1">
      <c r="A51" s="134"/>
    </row>
  </sheetData>
  <hyperlinks>
    <hyperlink ref="A3" location="TableOfContents!A1" display="Back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selection activeCell="G19" sqref="G19"/>
    </sheetView>
  </sheetViews>
  <sheetFormatPr defaultRowHeight="15"/>
  <cols>
    <col min="1" max="1" width="6.42578125" customWidth="1"/>
    <col min="2" max="2" width="42.28515625" customWidth="1"/>
    <col min="3" max="3" width="15" customWidth="1"/>
  </cols>
  <sheetData>
    <row r="1" spans="1:3" ht="15.75">
      <c r="A1" s="24" t="s">
        <v>841</v>
      </c>
    </row>
    <row r="3" spans="1:3" ht="18.75">
      <c r="A3" s="84" t="s">
        <v>252</v>
      </c>
      <c r="B3" s="85" t="s">
        <v>253</v>
      </c>
    </row>
    <row r="6" spans="1:3">
      <c r="C6" s="8" t="s">
        <v>846</v>
      </c>
    </row>
    <row r="7" spans="1:3">
      <c r="B7" s="4" t="s">
        <v>842</v>
      </c>
      <c r="C7" s="6">
        <v>102062</v>
      </c>
    </row>
    <row r="8" spans="1:3">
      <c r="B8" s="4" t="s">
        <v>843</v>
      </c>
      <c r="C8" s="6">
        <v>12420</v>
      </c>
    </row>
    <row r="9" spans="1:3">
      <c r="B9" s="4" t="s">
        <v>844</v>
      </c>
      <c r="C9" s="6">
        <v>5988</v>
      </c>
    </row>
    <row r="10" spans="1:3">
      <c r="B10" s="4" t="s">
        <v>845</v>
      </c>
      <c r="C10" s="6">
        <v>1365</v>
      </c>
    </row>
    <row r="15" spans="1:3">
      <c r="A15" t="s">
        <v>853</v>
      </c>
    </row>
  </sheetData>
  <hyperlinks>
    <hyperlink ref="A3" location="TableOfContents!A1" display="Back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selection activeCell="I12" sqref="I12"/>
    </sheetView>
  </sheetViews>
  <sheetFormatPr defaultRowHeight="15"/>
  <cols>
    <col min="1" max="1" width="6.42578125" customWidth="1"/>
    <col min="3" max="3" width="11.5703125" customWidth="1"/>
    <col min="4" max="4" width="10.85546875" customWidth="1"/>
    <col min="5" max="5" width="9.28515625" customWidth="1"/>
    <col min="6" max="6" width="8.42578125" customWidth="1"/>
    <col min="7" max="7" width="11.140625" customWidth="1"/>
  </cols>
  <sheetData>
    <row r="1" spans="1:7" ht="15.75">
      <c r="A1" s="24" t="s">
        <v>852</v>
      </c>
    </row>
    <row r="3" spans="1:7" ht="18.75">
      <c r="A3" s="84" t="s">
        <v>252</v>
      </c>
      <c r="B3" s="85" t="s">
        <v>253</v>
      </c>
    </row>
    <row r="6" spans="1:7" ht="30.75" customHeight="1">
      <c r="A6" s="4" t="s">
        <v>87</v>
      </c>
      <c r="B6" s="8" t="s">
        <v>847</v>
      </c>
      <c r="C6" s="8" t="s">
        <v>848</v>
      </c>
      <c r="D6" s="8" t="s">
        <v>849</v>
      </c>
      <c r="E6" s="8" t="s">
        <v>850</v>
      </c>
      <c r="F6" s="8" t="s">
        <v>379</v>
      </c>
      <c r="G6" s="226" t="s">
        <v>851</v>
      </c>
    </row>
    <row r="7" spans="1:7">
      <c r="A7">
        <v>1975</v>
      </c>
      <c r="B7" s="6">
        <v>11990</v>
      </c>
      <c r="C7" s="6">
        <v>644</v>
      </c>
      <c r="D7" s="6">
        <v>393</v>
      </c>
      <c r="E7" s="6">
        <v>1362</v>
      </c>
      <c r="F7" s="6">
        <v>14389</v>
      </c>
      <c r="G7" s="28">
        <v>4.4756411147404265E-2</v>
      </c>
    </row>
    <row r="8" spans="1:7">
      <c r="A8">
        <v>1980</v>
      </c>
      <c r="B8" s="6">
        <v>39931</v>
      </c>
      <c r="C8" s="6">
        <v>3706</v>
      </c>
      <c r="D8" s="6">
        <v>1226</v>
      </c>
      <c r="E8" s="6">
        <v>2232</v>
      </c>
      <c r="F8" s="6">
        <v>47095</v>
      </c>
      <c r="G8" s="28">
        <v>7.869200552075592E-2</v>
      </c>
    </row>
    <row r="9" spans="1:7">
      <c r="A9">
        <v>1985</v>
      </c>
      <c r="B9" s="6">
        <v>51584</v>
      </c>
      <c r="C9" s="6">
        <v>5559</v>
      </c>
      <c r="D9" s="6">
        <v>7572</v>
      </c>
      <c r="E9" s="6">
        <v>2824</v>
      </c>
      <c r="F9" s="6">
        <v>67539</v>
      </c>
      <c r="G9" s="28">
        <v>8.2307999822324882E-2</v>
      </c>
    </row>
    <row r="10" spans="1:7">
      <c r="A10">
        <v>1990</v>
      </c>
      <c r="B10" s="6">
        <v>20154</v>
      </c>
      <c r="C10" s="6">
        <v>15421</v>
      </c>
      <c r="D10" s="6">
        <v>1490</v>
      </c>
      <c r="E10" s="6">
        <v>1926</v>
      </c>
      <c r="F10" s="6">
        <v>38991</v>
      </c>
      <c r="G10" s="28">
        <v>0.39550152599317789</v>
      </c>
    </row>
    <row r="11" spans="1:7">
      <c r="A11">
        <v>1995</v>
      </c>
      <c r="B11" s="6">
        <v>35989</v>
      </c>
      <c r="C11" s="6">
        <v>11858</v>
      </c>
      <c r="D11" s="6">
        <v>1778</v>
      </c>
      <c r="E11" s="6">
        <v>1708</v>
      </c>
      <c r="F11" s="6">
        <v>51333</v>
      </c>
      <c r="G11" s="28">
        <v>0.23100150000974032</v>
      </c>
    </row>
    <row r="12" spans="1:7">
      <c r="A12">
        <v>2000</v>
      </c>
      <c r="B12" s="6">
        <v>93746</v>
      </c>
      <c r="C12" s="6">
        <v>26012</v>
      </c>
      <c r="D12" s="6">
        <v>3257</v>
      </c>
      <c r="E12" s="6">
        <v>1923</v>
      </c>
      <c r="F12" s="6">
        <v>124938</v>
      </c>
      <c r="G12" s="28">
        <v>0.20819926683635084</v>
      </c>
    </row>
    <row r="13" spans="1:7">
      <c r="A13">
        <v>2005</v>
      </c>
      <c r="B13" s="6">
        <v>66596</v>
      </c>
      <c r="C13" s="6">
        <v>22739</v>
      </c>
      <c r="D13" s="6">
        <v>2357</v>
      </c>
      <c r="E13" s="6">
        <v>2173</v>
      </c>
      <c r="F13" s="6">
        <v>93865</v>
      </c>
      <c r="G13" s="28">
        <v>0.242252170670644</v>
      </c>
    </row>
    <row r="14" spans="1:7">
      <c r="A14">
        <v>2010</v>
      </c>
      <c r="B14" s="6">
        <v>73879</v>
      </c>
      <c r="C14" s="6">
        <v>22215</v>
      </c>
      <c r="D14" s="6">
        <v>2726</v>
      </c>
      <c r="E14" s="6">
        <v>2591</v>
      </c>
      <c r="F14" s="6">
        <v>101411</v>
      </c>
      <c r="G14" s="28">
        <v>0.21905907643155081</v>
      </c>
    </row>
    <row r="17" spans="1:1">
      <c r="A17" s="15" t="s">
        <v>423</v>
      </c>
    </row>
    <row r="19" spans="1:1">
      <c r="A19" t="s">
        <v>854</v>
      </c>
    </row>
    <row r="21" spans="1:1">
      <c r="A21" s="4" t="s">
        <v>855</v>
      </c>
    </row>
  </sheetData>
  <hyperlinks>
    <hyperlink ref="A3" location="TableOfContents!A1" display="Back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D29"/>
  <sheetViews>
    <sheetView workbookViewId="0">
      <selection activeCell="F8" sqref="F8"/>
    </sheetView>
  </sheetViews>
  <sheetFormatPr defaultRowHeight="15"/>
  <cols>
    <col min="1" max="1" width="6.28515625" customWidth="1"/>
    <col min="2" max="4" width="13.140625" customWidth="1"/>
  </cols>
  <sheetData>
    <row r="1" spans="1:4" ht="15.75">
      <c r="A1" s="24" t="s">
        <v>857</v>
      </c>
    </row>
    <row r="3" spans="1:4" ht="18.75">
      <c r="A3" s="84" t="s">
        <v>252</v>
      </c>
      <c r="B3" s="85" t="s">
        <v>253</v>
      </c>
    </row>
    <row r="6" spans="1:4" ht="42" customHeight="1">
      <c r="A6" s="8" t="s">
        <v>87</v>
      </c>
      <c r="B6" s="226" t="s">
        <v>858</v>
      </c>
      <c r="C6" s="226" t="s">
        <v>859</v>
      </c>
      <c r="D6" s="226" t="s">
        <v>860</v>
      </c>
    </row>
    <row r="7" spans="1:4">
      <c r="A7">
        <v>1995</v>
      </c>
      <c r="B7" s="6">
        <v>77561</v>
      </c>
      <c r="C7" s="6">
        <v>51512</v>
      </c>
      <c r="D7" s="6">
        <v>47074</v>
      </c>
    </row>
    <row r="8" spans="1:4">
      <c r="A8">
        <v>1996</v>
      </c>
      <c r="B8" s="6">
        <v>99735</v>
      </c>
      <c r="C8" s="6">
        <v>57510</v>
      </c>
      <c r="D8" s="6">
        <v>89299</v>
      </c>
    </row>
    <row r="9" spans="1:4">
      <c r="A9">
        <v>1997</v>
      </c>
      <c r="B9" s="6">
        <v>112528</v>
      </c>
      <c r="C9" s="6">
        <v>89561</v>
      </c>
      <c r="D9" s="6">
        <v>112266</v>
      </c>
    </row>
    <row r="10" spans="1:4">
      <c r="A10">
        <v>1998</v>
      </c>
      <c r="B10" s="6">
        <v>110159</v>
      </c>
      <c r="C10" s="6">
        <v>101877</v>
      </c>
      <c r="D10" s="6">
        <v>120548</v>
      </c>
    </row>
    <row r="11" spans="1:4">
      <c r="A11">
        <v>1999</v>
      </c>
      <c r="B11" s="6">
        <v>115150</v>
      </c>
      <c r="C11" s="6">
        <v>91173</v>
      </c>
      <c r="D11" s="6">
        <v>144525</v>
      </c>
    </row>
    <row r="12" spans="1:4">
      <c r="A12">
        <v>2000</v>
      </c>
      <c r="B12" s="6">
        <v>106358</v>
      </c>
      <c r="C12" s="6">
        <v>125235</v>
      </c>
      <c r="D12" s="6">
        <v>127687</v>
      </c>
    </row>
    <row r="13" spans="1:4">
      <c r="A13">
        <v>2001</v>
      </c>
      <c r="B13" s="6">
        <v>78833</v>
      </c>
      <c r="C13" s="6">
        <v>110668</v>
      </c>
      <c r="D13" s="6">
        <v>95355</v>
      </c>
    </row>
    <row r="14" spans="1:4">
      <c r="A14">
        <v>2002</v>
      </c>
      <c r="B14" s="6">
        <v>83063</v>
      </c>
      <c r="C14" s="6">
        <v>115467</v>
      </c>
      <c r="D14" s="6">
        <v>59781</v>
      </c>
    </row>
    <row r="15" spans="1:4">
      <c r="A15">
        <v>2003</v>
      </c>
      <c r="B15" s="6">
        <v>92047</v>
      </c>
      <c r="C15" s="6">
        <v>100750</v>
      </c>
      <c r="D15" s="6">
        <v>51078</v>
      </c>
    </row>
    <row r="16" spans="1:4">
      <c r="A16">
        <v>2004</v>
      </c>
      <c r="B16" s="6">
        <v>92540</v>
      </c>
      <c r="C16" s="6">
        <v>97701</v>
      </c>
      <c r="D16" s="6">
        <v>45911</v>
      </c>
    </row>
    <row r="17" spans="1:4">
      <c r="A17">
        <v>2005</v>
      </c>
      <c r="B17" s="6">
        <v>89430</v>
      </c>
      <c r="C17" s="6">
        <v>94083</v>
      </c>
      <c r="D17" s="6">
        <v>41258</v>
      </c>
    </row>
    <row r="18" spans="1:4">
      <c r="A18" s="111">
        <v>2006</v>
      </c>
      <c r="B18" s="135">
        <v>94755</v>
      </c>
      <c r="C18" s="135">
        <v>93538</v>
      </c>
      <c r="D18" s="135">
        <v>44032</v>
      </c>
    </row>
    <row r="19" spans="1:4">
      <c r="A19" s="111">
        <v>2007</v>
      </c>
      <c r="B19" s="135">
        <v>96260</v>
      </c>
      <c r="C19" s="135">
        <v>87129</v>
      </c>
      <c r="D19" s="135">
        <v>53163</v>
      </c>
    </row>
    <row r="20" spans="1:4">
      <c r="A20" s="111">
        <v>2008</v>
      </c>
      <c r="B20" s="135">
        <v>93423</v>
      </c>
      <c r="C20" s="135">
        <v>83407</v>
      </c>
      <c r="D20" s="135">
        <v>62210</v>
      </c>
    </row>
    <row r="21" spans="1:4">
      <c r="A21" s="111">
        <v>2009</v>
      </c>
      <c r="B21" s="135">
        <v>106965</v>
      </c>
      <c r="C21" s="135">
        <v>89066</v>
      </c>
      <c r="D21" s="135">
        <v>80040</v>
      </c>
    </row>
    <row r="22" spans="1:4">
      <c r="A22" s="111">
        <v>2010</v>
      </c>
      <c r="B22" s="135">
        <v>128703</v>
      </c>
      <c r="C22" s="135">
        <v>102062</v>
      </c>
      <c r="D22" s="135">
        <v>106664</v>
      </c>
    </row>
    <row r="25" spans="1:4">
      <c r="A25" s="15" t="s">
        <v>106</v>
      </c>
    </row>
    <row r="27" spans="1:4">
      <c r="A27" t="s">
        <v>861</v>
      </c>
    </row>
    <row r="29" spans="1:4">
      <c r="A29" t="s">
        <v>862</v>
      </c>
    </row>
  </sheetData>
  <hyperlinks>
    <hyperlink ref="A3" location="TableOfContents!A1" display="Back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C37"/>
  <sheetViews>
    <sheetView topLeftCell="A4" workbookViewId="0">
      <selection activeCell="F15" sqref="F15"/>
    </sheetView>
  </sheetViews>
  <sheetFormatPr defaultRowHeight="15"/>
  <cols>
    <col min="1" max="1" width="6.42578125" customWidth="1"/>
    <col min="2" max="2" width="15.140625" customWidth="1"/>
    <col min="3" max="3" width="15.42578125" customWidth="1"/>
  </cols>
  <sheetData>
    <row r="1" spans="1:3" ht="15.75">
      <c r="A1" s="24" t="s">
        <v>863</v>
      </c>
    </row>
    <row r="3" spans="1:3" ht="18.75">
      <c r="A3" s="84" t="s">
        <v>252</v>
      </c>
      <c r="B3" s="85" t="s">
        <v>253</v>
      </c>
    </row>
    <row r="4" spans="1:3" ht="18.75">
      <c r="A4" s="84"/>
      <c r="B4" s="85"/>
    </row>
    <row r="6" spans="1:3" ht="46.5" customHeight="1">
      <c r="A6" s="184" t="s">
        <v>87</v>
      </c>
      <c r="B6" s="226" t="s">
        <v>864</v>
      </c>
      <c r="C6" s="226" t="s">
        <v>865</v>
      </c>
    </row>
    <row r="7" spans="1:3">
      <c r="A7" s="264">
        <v>1991</v>
      </c>
      <c r="B7" s="262">
        <v>94.7</v>
      </c>
      <c r="C7" s="262">
        <v>113.1</v>
      </c>
    </row>
    <row r="8" spans="1:3">
      <c r="A8" s="264">
        <v>1992</v>
      </c>
      <c r="B8" s="262">
        <v>107.5</v>
      </c>
      <c r="C8" s="262">
        <v>128.69999999999999</v>
      </c>
    </row>
    <row r="9" spans="1:3">
      <c r="A9" s="264">
        <v>1993</v>
      </c>
      <c r="B9" s="263">
        <v>96.8</v>
      </c>
      <c r="C9" s="263">
        <v>118.4</v>
      </c>
    </row>
    <row r="10" spans="1:3">
      <c r="A10" s="264">
        <v>1994</v>
      </c>
      <c r="B10" s="263">
        <v>95.7</v>
      </c>
      <c r="C10" s="263">
        <v>116.2</v>
      </c>
    </row>
    <row r="11" spans="1:3">
      <c r="A11" s="264">
        <v>1995</v>
      </c>
      <c r="B11" s="263">
        <v>93</v>
      </c>
      <c r="C11" s="263">
        <v>109.9</v>
      </c>
    </row>
    <row r="12" spans="1:3">
      <c r="A12" s="264">
        <v>1996</v>
      </c>
      <c r="B12" s="263">
        <v>84.7</v>
      </c>
      <c r="C12" s="263">
        <v>99.3</v>
      </c>
    </row>
    <row r="13" spans="1:3">
      <c r="A13" s="264">
        <v>1997</v>
      </c>
      <c r="B13" s="263">
        <v>93.3</v>
      </c>
      <c r="C13" s="263">
        <v>114.7</v>
      </c>
    </row>
    <row r="14" spans="1:3">
      <c r="A14" s="264">
        <v>1998</v>
      </c>
      <c r="B14" s="263">
        <v>97.1</v>
      </c>
      <c r="C14" s="263">
        <v>114.9</v>
      </c>
    </row>
    <row r="15" spans="1:3">
      <c r="A15" s="264">
        <v>1999</v>
      </c>
      <c r="B15" s="262">
        <v>101.9</v>
      </c>
      <c r="C15" s="262">
        <v>121.1</v>
      </c>
    </row>
    <row r="16" spans="1:3">
      <c r="A16" s="264">
        <v>2000</v>
      </c>
      <c r="B16" s="262">
        <v>104.7</v>
      </c>
      <c r="C16" s="262">
        <v>120</v>
      </c>
    </row>
    <row r="17" spans="1:3">
      <c r="A17" s="264">
        <v>2001</v>
      </c>
      <c r="B17" s="262">
        <v>114.3</v>
      </c>
      <c r="C17" s="262">
        <v>125.3</v>
      </c>
    </row>
    <row r="18" spans="1:3">
      <c r="A18" s="264">
        <v>2002</v>
      </c>
      <c r="B18" s="262">
        <v>114.5</v>
      </c>
      <c r="C18" s="262">
        <v>122.5</v>
      </c>
    </row>
    <row r="19" spans="1:3">
      <c r="A19" s="264">
        <v>2003</v>
      </c>
      <c r="B19" s="262">
        <v>111.3</v>
      </c>
      <c r="C19" s="262">
        <v>117.4</v>
      </c>
    </row>
    <row r="20" spans="1:3">
      <c r="A20" s="264">
        <v>2004</v>
      </c>
      <c r="B20" s="262">
        <v>116.3</v>
      </c>
      <c r="C20" s="262">
        <v>120.8</v>
      </c>
    </row>
    <row r="21" spans="1:3">
      <c r="A21" s="264">
        <v>2005</v>
      </c>
      <c r="B21" s="262">
        <v>121.5</v>
      </c>
      <c r="C21" s="262">
        <v>118.7</v>
      </c>
    </row>
    <row r="22" spans="1:3">
      <c r="A22" s="264">
        <v>2006</v>
      </c>
      <c r="B22" s="262">
        <v>119.9</v>
      </c>
      <c r="C22" s="262">
        <v>116.9</v>
      </c>
    </row>
    <row r="23" spans="1:3">
      <c r="A23" s="264">
        <v>2007</v>
      </c>
      <c r="B23" s="262">
        <v>113.1</v>
      </c>
      <c r="C23" s="262">
        <v>111.3</v>
      </c>
    </row>
    <row r="24" spans="1:3">
      <c r="A24" s="264">
        <v>2008</v>
      </c>
      <c r="B24" s="262">
        <v>108.6</v>
      </c>
      <c r="C24" s="262">
        <v>107.6</v>
      </c>
    </row>
    <row r="25" spans="1:3">
      <c r="A25" s="264">
        <v>2009</v>
      </c>
      <c r="B25" s="262">
        <v>106.6</v>
      </c>
      <c r="C25" s="262">
        <v>101.6</v>
      </c>
    </row>
    <row r="26" spans="1:3">
      <c r="A26" s="264">
        <v>2010</v>
      </c>
      <c r="B26" s="262">
        <v>117.5</v>
      </c>
      <c r="C26" s="262">
        <v>113</v>
      </c>
    </row>
    <row r="27" spans="1:3">
      <c r="A27" s="51"/>
    </row>
    <row r="29" spans="1:3">
      <c r="A29" s="15" t="s">
        <v>423</v>
      </c>
    </row>
    <row r="31" spans="1:3">
      <c r="A31" t="s">
        <v>871</v>
      </c>
    </row>
    <row r="33" spans="1:1">
      <c r="A33" s="51" t="s">
        <v>870</v>
      </c>
    </row>
    <row r="34" spans="1:1">
      <c r="A34" s="51" t="s">
        <v>866</v>
      </c>
    </row>
    <row r="35" spans="1:1">
      <c r="A35" s="51" t="s">
        <v>867</v>
      </c>
    </row>
    <row r="36" spans="1:1">
      <c r="A36" s="51" t="s">
        <v>868</v>
      </c>
    </row>
    <row r="37" spans="1:1">
      <c r="A37" s="99" t="s">
        <v>869</v>
      </c>
    </row>
  </sheetData>
  <hyperlinks>
    <hyperlink ref="A3" location="TableOfContents!A1" display="Back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B33"/>
  <sheetViews>
    <sheetView workbookViewId="0">
      <selection activeCell="F10" sqref="F10"/>
    </sheetView>
  </sheetViews>
  <sheetFormatPr defaultRowHeight="15"/>
  <cols>
    <col min="1" max="1" width="6.85546875" customWidth="1"/>
    <col min="2" max="2" width="19.42578125" customWidth="1"/>
  </cols>
  <sheetData>
    <row r="1" spans="1:2" ht="15.75">
      <c r="A1" s="24" t="s">
        <v>872</v>
      </c>
    </row>
    <row r="3" spans="1:2" ht="18.75">
      <c r="A3" s="84" t="s">
        <v>252</v>
      </c>
      <c r="B3" s="85" t="s">
        <v>253</v>
      </c>
    </row>
    <row r="6" spans="1:2" ht="32.25" customHeight="1">
      <c r="A6" s="47" t="s">
        <v>87</v>
      </c>
      <c r="B6" s="3" t="s">
        <v>873</v>
      </c>
    </row>
    <row r="7" spans="1:2">
      <c r="A7" s="136">
        <v>1989</v>
      </c>
      <c r="B7" s="106">
        <v>306</v>
      </c>
    </row>
    <row r="8" spans="1:2">
      <c r="A8" s="136">
        <v>1990</v>
      </c>
      <c r="B8" s="106">
        <v>385</v>
      </c>
    </row>
    <row r="9" spans="1:2">
      <c r="A9" s="136">
        <v>1991</v>
      </c>
      <c r="B9" s="106">
        <v>523</v>
      </c>
    </row>
    <row r="10" spans="1:2">
      <c r="A10" s="136">
        <v>1992</v>
      </c>
      <c r="B10" s="106">
        <v>577</v>
      </c>
    </row>
    <row r="11" spans="1:2">
      <c r="A11" s="136">
        <v>1993</v>
      </c>
      <c r="B11" s="106">
        <v>555</v>
      </c>
    </row>
    <row r="12" spans="1:2">
      <c r="A12" s="136">
        <v>1994</v>
      </c>
      <c r="B12" s="106">
        <v>554</v>
      </c>
    </row>
    <row r="13" spans="1:2">
      <c r="A13" s="136">
        <v>1995</v>
      </c>
      <c r="B13" s="106">
        <v>431</v>
      </c>
    </row>
    <row r="14" spans="1:2">
      <c r="A14" s="136">
        <v>1996</v>
      </c>
      <c r="B14" s="106">
        <v>510</v>
      </c>
    </row>
    <row r="15" spans="1:2">
      <c r="A15" s="136">
        <v>1997</v>
      </c>
      <c r="B15" s="106">
        <v>399</v>
      </c>
    </row>
    <row r="16" spans="1:2">
      <c r="A16" s="136">
        <v>1998</v>
      </c>
      <c r="B16" s="106">
        <v>416</v>
      </c>
    </row>
    <row r="17" spans="1:2">
      <c r="A17" s="136">
        <v>1999</v>
      </c>
      <c r="B17" s="106">
        <v>454</v>
      </c>
    </row>
    <row r="18" spans="1:2">
      <c r="A18" s="136">
        <v>2000</v>
      </c>
      <c r="B18" s="106">
        <v>535</v>
      </c>
    </row>
    <row r="19" spans="1:2">
      <c r="A19" s="136">
        <v>2001</v>
      </c>
      <c r="B19" s="106">
        <v>579</v>
      </c>
    </row>
    <row r="20" spans="1:2">
      <c r="A20" s="136">
        <v>2002</v>
      </c>
      <c r="B20" s="106">
        <v>593</v>
      </c>
    </row>
    <row r="21" spans="1:2">
      <c r="A21" s="136">
        <v>2003</v>
      </c>
      <c r="B21" s="106">
        <v>582</v>
      </c>
    </row>
    <row r="22" spans="1:2">
      <c r="A22" s="136">
        <v>2004</v>
      </c>
      <c r="B22" s="106">
        <v>625</v>
      </c>
    </row>
    <row r="23" spans="1:2">
      <c r="A23" s="136">
        <v>2005</v>
      </c>
      <c r="B23" s="106">
        <v>561</v>
      </c>
    </row>
    <row r="24" spans="1:2">
      <c r="A24" s="136">
        <v>2006</v>
      </c>
      <c r="B24" s="106">
        <v>555</v>
      </c>
    </row>
    <row r="25" spans="1:2">
      <c r="A25" s="136">
        <v>2007</v>
      </c>
      <c r="B25" s="106">
        <v>555</v>
      </c>
    </row>
    <row r="26" spans="1:2">
      <c r="A26" s="136">
        <v>2008</v>
      </c>
      <c r="B26" s="106">
        <v>557</v>
      </c>
    </row>
    <row r="27" spans="1:2">
      <c r="A27" s="136">
        <v>2009</v>
      </c>
      <c r="B27" s="106">
        <v>769</v>
      </c>
    </row>
    <row r="28" spans="1:2">
      <c r="A28" s="136">
        <v>2010</v>
      </c>
      <c r="B28" s="106">
        <v>842</v>
      </c>
    </row>
    <row r="31" spans="1:2">
      <c r="A31" s="15" t="s">
        <v>423</v>
      </c>
    </row>
    <row r="33" spans="1:1">
      <c r="A33" t="s">
        <v>871</v>
      </c>
    </row>
  </sheetData>
  <hyperlinks>
    <hyperlink ref="A3" location="TableOfContents!A1" display="Back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B36"/>
  <sheetViews>
    <sheetView workbookViewId="0">
      <selection activeCell="E8" sqref="E8"/>
    </sheetView>
  </sheetViews>
  <sheetFormatPr defaultRowHeight="15"/>
  <cols>
    <col min="1" max="1" width="6.28515625" customWidth="1"/>
    <col min="2" max="2" width="12.7109375" customWidth="1"/>
  </cols>
  <sheetData>
    <row r="1" spans="1:2" ht="15.75">
      <c r="A1" s="24" t="s">
        <v>874</v>
      </c>
    </row>
    <row r="3" spans="1:2" ht="18.75">
      <c r="A3" s="84" t="s">
        <v>252</v>
      </c>
      <c r="B3" s="85" t="s">
        <v>253</v>
      </c>
    </row>
    <row r="4" spans="1:2" ht="15.75" customHeight="1">
      <c r="A4" s="84"/>
      <c r="B4" s="85"/>
    </row>
    <row r="6" spans="1:2" ht="30">
      <c r="A6" s="47" t="s">
        <v>87</v>
      </c>
      <c r="B6" s="3" t="s">
        <v>875</v>
      </c>
    </row>
    <row r="7" spans="1:2">
      <c r="A7" s="26">
        <v>1990</v>
      </c>
      <c r="B7" s="26">
        <v>208</v>
      </c>
    </row>
    <row r="8" spans="1:2">
      <c r="A8" s="26">
        <v>1991</v>
      </c>
      <c r="B8" s="26">
        <v>221</v>
      </c>
    </row>
    <row r="9" spans="1:2">
      <c r="A9" s="26">
        <v>1992</v>
      </c>
      <c r="B9" s="26">
        <v>215</v>
      </c>
    </row>
    <row r="10" spans="1:2">
      <c r="A10" s="26">
        <v>1993</v>
      </c>
      <c r="B10" s="26">
        <v>233</v>
      </c>
    </row>
    <row r="11" spans="1:2">
      <c r="A11" s="26">
        <v>1994</v>
      </c>
      <c r="B11" s="26">
        <v>299</v>
      </c>
    </row>
    <row r="12" spans="1:2">
      <c r="A12" s="26">
        <v>1995</v>
      </c>
      <c r="B12" s="26">
        <v>343</v>
      </c>
    </row>
    <row r="13" spans="1:2">
      <c r="A13" s="26">
        <v>1996</v>
      </c>
      <c r="B13" s="26">
        <v>378</v>
      </c>
    </row>
    <row r="14" spans="1:2">
      <c r="A14" s="26">
        <v>1997</v>
      </c>
      <c r="B14" s="26">
        <v>386</v>
      </c>
    </row>
    <row r="15" spans="1:2">
      <c r="A15" s="26">
        <v>1998</v>
      </c>
      <c r="B15" s="26">
        <v>371</v>
      </c>
    </row>
    <row r="16" spans="1:2">
      <c r="A16" s="26">
        <v>1999</v>
      </c>
      <c r="B16" s="26">
        <v>314</v>
      </c>
    </row>
    <row r="17" spans="1:2">
      <c r="A17" s="26">
        <v>2000</v>
      </c>
      <c r="B17" s="26">
        <v>274</v>
      </c>
    </row>
    <row r="18" spans="1:2">
      <c r="A18" s="26">
        <v>2001</v>
      </c>
      <c r="B18" s="26">
        <v>307</v>
      </c>
    </row>
    <row r="19" spans="1:2">
      <c r="A19" s="26">
        <v>2002</v>
      </c>
      <c r="B19" s="26">
        <v>333</v>
      </c>
    </row>
    <row r="20" spans="1:2">
      <c r="A20" s="26">
        <v>2003</v>
      </c>
      <c r="B20" s="26">
        <v>343</v>
      </c>
    </row>
    <row r="21" spans="1:2">
      <c r="A21" s="26">
        <v>2004</v>
      </c>
      <c r="B21" s="26">
        <v>391</v>
      </c>
    </row>
    <row r="22" spans="1:2">
      <c r="A22" s="26">
        <v>2005</v>
      </c>
      <c r="B22" s="26">
        <v>415</v>
      </c>
    </row>
    <row r="23" spans="1:2">
      <c r="A23" s="26">
        <v>2006</v>
      </c>
      <c r="B23" s="26">
        <v>481</v>
      </c>
    </row>
    <row r="24" spans="1:2">
      <c r="A24" s="26">
        <v>2007</v>
      </c>
      <c r="B24" s="26">
        <v>512</v>
      </c>
    </row>
    <row r="25" spans="1:2">
      <c r="A25" s="26">
        <v>2008</v>
      </c>
      <c r="B25" s="26">
        <v>514</v>
      </c>
    </row>
    <row r="26" spans="1:2">
      <c r="A26" s="26">
        <v>2009</v>
      </c>
      <c r="B26" s="26">
        <v>491</v>
      </c>
    </row>
    <row r="27" spans="1:2">
      <c r="A27" s="26">
        <v>2010</v>
      </c>
      <c r="B27" s="137">
        <v>426</v>
      </c>
    </row>
    <row r="30" spans="1:2">
      <c r="A30" s="15" t="s">
        <v>423</v>
      </c>
    </row>
    <row r="32" spans="1:2">
      <c r="A32" t="s">
        <v>879</v>
      </c>
    </row>
    <row r="34" spans="1:1">
      <c r="A34" t="s">
        <v>876</v>
      </c>
    </row>
    <row r="35" spans="1:1">
      <c r="A35" t="s">
        <v>877</v>
      </c>
    </row>
    <row r="36" spans="1:1">
      <c r="A36" t="s">
        <v>878</v>
      </c>
    </row>
  </sheetData>
  <hyperlinks>
    <hyperlink ref="A3" location="TableOfContents!A1" display="Back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B36"/>
  <sheetViews>
    <sheetView workbookViewId="0">
      <selection activeCell="A3" sqref="A3:B3"/>
    </sheetView>
  </sheetViews>
  <sheetFormatPr defaultRowHeight="15"/>
  <cols>
    <col min="1" max="1" width="6.28515625" customWidth="1"/>
    <col min="2" max="2" width="15.85546875" customWidth="1"/>
  </cols>
  <sheetData>
    <row r="1" spans="1:2" ht="15.75">
      <c r="A1" s="24" t="s">
        <v>880</v>
      </c>
    </row>
    <row r="3" spans="1:2" ht="18.75">
      <c r="A3" s="84" t="s">
        <v>252</v>
      </c>
      <c r="B3" s="85" t="s">
        <v>253</v>
      </c>
    </row>
    <row r="6" spans="1:2" ht="30">
      <c r="A6" s="47" t="s">
        <v>87</v>
      </c>
      <c r="B6" s="3" t="s">
        <v>881</v>
      </c>
    </row>
    <row r="7" spans="1:2">
      <c r="A7" s="25">
        <v>1990</v>
      </c>
      <c r="B7" s="25">
        <v>172</v>
      </c>
    </row>
    <row r="8" spans="1:2">
      <c r="A8" s="25">
        <v>1991</v>
      </c>
      <c r="B8" s="25">
        <v>183</v>
      </c>
    </row>
    <row r="9" spans="1:2">
      <c r="A9" s="25">
        <v>1992</v>
      </c>
      <c r="B9" s="25">
        <v>218</v>
      </c>
    </row>
    <row r="10" spans="1:2">
      <c r="A10" s="25">
        <v>1993</v>
      </c>
      <c r="B10" s="25">
        <v>358</v>
      </c>
    </row>
    <row r="11" spans="1:2">
      <c r="A11" s="25">
        <v>1994</v>
      </c>
      <c r="B11" s="25">
        <v>480</v>
      </c>
    </row>
    <row r="12" spans="1:2">
      <c r="A12" s="25">
        <v>1995</v>
      </c>
      <c r="B12" s="25">
        <v>548</v>
      </c>
    </row>
    <row r="13" spans="1:2">
      <c r="A13" s="25">
        <v>1996</v>
      </c>
      <c r="B13" s="25">
        <v>503</v>
      </c>
    </row>
    <row r="14" spans="1:2">
      <c r="A14" s="25">
        <v>1997</v>
      </c>
      <c r="B14" s="25">
        <v>476</v>
      </c>
    </row>
    <row r="15" spans="1:2">
      <c r="A15" s="25">
        <v>1998</v>
      </c>
      <c r="B15" s="25">
        <v>373</v>
      </c>
    </row>
    <row r="16" spans="1:2">
      <c r="A16" s="25">
        <v>1999</v>
      </c>
      <c r="B16" s="25">
        <v>312</v>
      </c>
    </row>
    <row r="17" spans="1:2">
      <c r="A17" s="25">
        <v>2000</v>
      </c>
      <c r="B17" s="25">
        <v>347</v>
      </c>
    </row>
    <row r="18" spans="1:2">
      <c r="A18" s="25">
        <v>2001</v>
      </c>
      <c r="B18" s="25">
        <v>436</v>
      </c>
    </row>
    <row r="19" spans="1:2">
      <c r="A19" s="25">
        <v>2002</v>
      </c>
      <c r="B19" s="25">
        <v>501</v>
      </c>
    </row>
    <row r="20" spans="1:2">
      <c r="A20" s="25">
        <v>2003</v>
      </c>
      <c r="B20" s="25">
        <v>592</v>
      </c>
    </row>
    <row r="21" spans="1:2">
      <c r="A21" s="25">
        <v>2004</v>
      </c>
      <c r="B21" s="25">
        <v>664</v>
      </c>
    </row>
    <row r="22" spans="1:2">
      <c r="A22" s="25">
        <v>2005</v>
      </c>
      <c r="B22" s="25">
        <v>711</v>
      </c>
    </row>
    <row r="23" spans="1:2">
      <c r="A23" s="25">
        <v>2006</v>
      </c>
      <c r="B23" s="25">
        <v>716</v>
      </c>
    </row>
    <row r="24" spans="1:2">
      <c r="A24" s="25">
        <v>2007</v>
      </c>
      <c r="B24" s="25">
        <v>747</v>
      </c>
    </row>
    <row r="25" spans="1:2">
      <c r="A25" s="25">
        <v>2008</v>
      </c>
      <c r="B25" s="25">
        <v>761</v>
      </c>
    </row>
    <row r="26" spans="1:2">
      <c r="A26" s="25">
        <v>2009</v>
      </c>
      <c r="B26" s="25">
        <v>723</v>
      </c>
    </row>
    <row r="27" spans="1:2">
      <c r="A27" s="25">
        <v>2010</v>
      </c>
      <c r="B27" s="25">
        <v>705</v>
      </c>
    </row>
    <row r="30" spans="1:2">
      <c r="A30" s="15" t="s">
        <v>423</v>
      </c>
    </row>
    <row r="32" spans="1:2">
      <c r="A32" t="s">
        <v>879</v>
      </c>
    </row>
    <row r="34" spans="1:1">
      <c r="A34" t="s">
        <v>876</v>
      </c>
    </row>
    <row r="35" spans="1:1">
      <c r="A35" t="s">
        <v>877</v>
      </c>
    </row>
    <row r="36" spans="1:1">
      <c r="A36" t="s">
        <v>878</v>
      </c>
    </row>
  </sheetData>
  <hyperlinks>
    <hyperlink ref="A3" location="TableOfContents!A1" display="Back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B29"/>
  <sheetViews>
    <sheetView workbookViewId="0">
      <selection activeCell="A3" sqref="A3:B3"/>
    </sheetView>
  </sheetViews>
  <sheetFormatPr defaultRowHeight="15"/>
  <cols>
    <col min="1" max="1" width="6.28515625" customWidth="1"/>
    <col min="2" max="2" width="13.85546875" customWidth="1"/>
  </cols>
  <sheetData>
    <row r="1" spans="1:2" ht="15.75">
      <c r="A1" s="24" t="s">
        <v>882</v>
      </c>
    </row>
    <row r="3" spans="1:2" ht="18.75">
      <c r="A3" s="84" t="s">
        <v>252</v>
      </c>
      <c r="B3" s="85" t="s">
        <v>253</v>
      </c>
    </row>
    <row r="6" spans="1:2" ht="30">
      <c r="A6" s="47" t="s">
        <v>87</v>
      </c>
      <c r="B6" s="3" t="s">
        <v>883</v>
      </c>
    </row>
    <row r="7" spans="1:2">
      <c r="A7" s="26">
        <v>1993</v>
      </c>
      <c r="B7" s="138">
        <v>150</v>
      </c>
    </row>
    <row r="8" spans="1:2">
      <c r="A8" s="26">
        <v>1994</v>
      </c>
      <c r="B8" s="138">
        <v>126.04368520951962</v>
      </c>
    </row>
    <row r="9" spans="1:2">
      <c r="A9" s="26">
        <v>1995</v>
      </c>
      <c r="B9" s="138">
        <v>141</v>
      </c>
    </row>
    <row r="10" spans="1:2">
      <c r="A10" s="26">
        <v>1996</v>
      </c>
      <c r="B10" s="138">
        <v>250</v>
      </c>
    </row>
    <row r="11" spans="1:2">
      <c r="A11" s="26">
        <v>1997</v>
      </c>
      <c r="B11" s="138">
        <v>340</v>
      </c>
    </row>
    <row r="12" spans="1:2">
      <c r="A12" s="26">
        <v>1998</v>
      </c>
      <c r="B12" s="138">
        <v>417</v>
      </c>
    </row>
    <row r="13" spans="1:2">
      <c r="A13" s="26">
        <v>1999</v>
      </c>
      <c r="B13" s="138">
        <v>441</v>
      </c>
    </row>
    <row r="14" spans="1:2">
      <c r="A14" s="139">
        <v>2000</v>
      </c>
      <c r="B14" s="26">
        <v>495</v>
      </c>
    </row>
    <row r="15" spans="1:2">
      <c r="A15" s="139">
        <v>2001</v>
      </c>
      <c r="B15" s="26">
        <v>439</v>
      </c>
    </row>
    <row r="16" spans="1:2">
      <c r="A16" s="139">
        <v>2002</v>
      </c>
      <c r="B16" s="26">
        <v>404</v>
      </c>
    </row>
    <row r="17" spans="1:2">
      <c r="A17" s="139">
        <v>2003</v>
      </c>
      <c r="B17" s="26">
        <v>288</v>
      </c>
    </row>
    <row r="18" spans="1:2">
      <c r="A18" s="139">
        <v>2004</v>
      </c>
      <c r="B18" s="26">
        <v>247</v>
      </c>
    </row>
    <row r="19" spans="1:2">
      <c r="A19" s="139">
        <v>2005</v>
      </c>
      <c r="B19" s="26">
        <v>238</v>
      </c>
    </row>
    <row r="20" spans="1:2">
      <c r="A20" s="139">
        <v>2006</v>
      </c>
      <c r="B20" s="26">
        <v>201</v>
      </c>
    </row>
    <row r="21" spans="1:2">
      <c r="A21" s="139">
        <v>2007</v>
      </c>
      <c r="B21" s="26">
        <v>227</v>
      </c>
    </row>
    <row r="22" spans="1:2">
      <c r="A22" s="139">
        <v>2008</v>
      </c>
      <c r="B22" s="26">
        <v>238</v>
      </c>
    </row>
    <row r="23" spans="1:2">
      <c r="A23" s="139">
        <v>2009</v>
      </c>
      <c r="B23" s="26">
        <v>261</v>
      </c>
    </row>
    <row r="24" spans="1:2">
      <c r="A24" s="139">
        <v>2010</v>
      </c>
      <c r="B24" s="26">
        <v>345</v>
      </c>
    </row>
    <row r="27" spans="1:2">
      <c r="A27" s="15" t="s">
        <v>423</v>
      </c>
    </row>
    <row r="29" spans="1:2">
      <c r="A29" t="s">
        <v>884</v>
      </c>
    </row>
  </sheetData>
  <hyperlinks>
    <hyperlink ref="A3" location="TableOfContents!A1" display="Back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C30"/>
  <sheetViews>
    <sheetView workbookViewId="0">
      <selection activeCell="F15" sqref="F15"/>
    </sheetView>
  </sheetViews>
  <sheetFormatPr defaultRowHeight="15"/>
  <cols>
    <col min="1" max="1" width="6.42578125" customWidth="1"/>
    <col min="2" max="2" width="9.28515625" customWidth="1"/>
    <col min="3" max="3" width="10" customWidth="1"/>
  </cols>
  <sheetData>
    <row r="1" spans="1:3" ht="15.75">
      <c r="A1" s="24" t="s">
        <v>885</v>
      </c>
    </row>
    <row r="3" spans="1:3" ht="18.75">
      <c r="A3" s="84" t="s">
        <v>252</v>
      </c>
      <c r="B3" s="85" t="s">
        <v>253</v>
      </c>
    </row>
    <row r="6" spans="1:3">
      <c r="A6" s="8" t="s">
        <v>87</v>
      </c>
      <c r="B6" s="8" t="s">
        <v>886</v>
      </c>
      <c r="C6" s="8" t="s">
        <v>887</v>
      </c>
    </row>
    <row r="7" spans="1:3">
      <c r="A7">
        <v>1993</v>
      </c>
      <c r="B7" s="6">
        <v>7664</v>
      </c>
      <c r="C7" s="6">
        <v>3476</v>
      </c>
    </row>
    <row r="8" spans="1:3">
      <c r="A8">
        <v>1994</v>
      </c>
      <c r="B8" s="6">
        <v>6641</v>
      </c>
      <c r="C8" s="6">
        <v>3682</v>
      </c>
    </row>
    <row r="9" spans="1:3">
      <c r="A9">
        <v>1995</v>
      </c>
      <c r="B9" s="6">
        <v>5501</v>
      </c>
      <c r="C9" s="6">
        <v>3347</v>
      </c>
    </row>
    <row r="10" spans="1:3">
      <c r="A10">
        <v>1996</v>
      </c>
      <c r="B10" s="6">
        <v>5166</v>
      </c>
      <c r="C10" s="6">
        <v>3656</v>
      </c>
    </row>
    <row r="11" spans="1:3">
      <c r="A11">
        <v>1997</v>
      </c>
      <c r="B11" s="6">
        <v>7583</v>
      </c>
      <c r="C11" s="6">
        <v>5204</v>
      </c>
    </row>
    <row r="12" spans="1:3">
      <c r="A12">
        <v>1998</v>
      </c>
      <c r="B12" s="6">
        <v>7770</v>
      </c>
      <c r="C12" s="6">
        <v>5997</v>
      </c>
    </row>
    <row r="13" spans="1:3">
      <c r="A13">
        <v>1999</v>
      </c>
      <c r="B13" s="6">
        <v>7334</v>
      </c>
      <c r="C13" s="6">
        <v>5689</v>
      </c>
    </row>
    <row r="14" spans="1:3">
      <c r="A14">
        <v>2000</v>
      </c>
      <c r="B14" s="6">
        <v>8122</v>
      </c>
      <c r="C14" s="6">
        <v>6762</v>
      </c>
    </row>
    <row r="15" spans="1:3">
      <c r="A15">
        <v>2001</v>
      </c>
      <c r="B15" s="6">
        <v>8623</v>
      </c>
      <c r="C15" s="6">
        <v>7361</v>
      </c>
    </row>
    <row r="16" spans="1:3">
      <c r="A16">
        <v>2002</v>
      </c>
      <c r="B16" s="6">
        <v>8739</v>
      </c>
      <c r="C16" s="6">
        <v>8313</v>
      </c>
    </row>
    <row r="17" spans="1:3">
      <c r="A17">
        <v>2003</v>
      </c>
      <c r="B17" s="6">
        <v>7931</v>
      </c>
      <c r="C17" s="6">
        <v>7792</v>
      </c>
    </row>
    <row r="18" spans="1:3">
      <c r="A18">
        <v>2004</v>
      </c>
      <c r="B18" s="6">
        <v>7061</v>
      </c>
      <c r="C18" s="6">
        <v>7916</v>
      </c>
    </row>
    <row r="19" spans="1:3">
      <c r="A19">
        <v>2005</v>
      </c>
      <c r="B19" s="6">
        <v>7024</v>
      </c>
      <c r="C19" s="6">
        <v>7675</v>
      </c>
    </row>
    <row r="20" spans="1:3">
      <c r="A20">
        <v>2006</v>
      </c>
      <c r="B20" s="6">
        <v>6480</v>
      </c>
      <c r="C20" s="6">
        <v>6649</v>
      </c>
    </row>
    <row r="21" spans="1:3">
      <c r="A21">
        <v>2007</v>
      </c>
      <c r="B21" s="6">
        <v>6187</v>
      </c>
      <c r="C21" s="6">
        <v>6135</v>
      </c>
    </row>
    <row r="22" spans="1:3">
      <c r="A22">
        <v>2008</v>
      </c>
      <c r="B22" s="6">
        <v>6080</v>
      </c>
      <c r="C22" s="6">
        <v>6373</v>
      </c>
    </row>
    <row r="23" spans="1:3">
      <c r="A23">
        <v>2009</v>
      </c>
      <c r="B23" s="6">
        <v>6389</v>
      </c>
      <c r="C23" s="6">
        <v>6472</v>
      </c>
    </row>
    <row r="24" spans="1:3">
      <c r="A24">
        <v>2010</v>
      </c>
      <c r="B24" s="6">
        <v>6141</v>
      </c>
      <c r="C24" s="6">
        <v>7088</v>
      </c>
    </row>
    <row r="27" spans="1:3">
      <c r="A27" s="15" t="s">
        <v>423</v>
      </c>
    </row>
    <row r="29" spans="1:3">
      <c r="A29" t="s">
        <v>889</v>
      </c>
    </row>
    <row r="30" spans="1:3">
      <c r="A30" s="1" t="s">
        <v>888</v>
      </c>
    </row>
  </sheetData>
  <hyperlinks>
    <hyperlink ref="A3" location="TableOfContents!A1" display="Back"/>
    <hyperlink ref="A30" r:id="rId1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K31"/>
  <sheetViews>
    <sheetView workbookViewId="0">
      <selection activeCell="H2" sqref="H2"/>
    </sheetView>
  </sheetViews>
  <sheetFormatPr defaultRowHeight="15"/>
  <cols>
    <col min="1" max="1" width="6.28515625" customWidth="1"/>
    <col min="2" max="2" width="12.28515625" customWidth="1"/>
    <col min="3" max="3" width="10.28515625" customWidth="1"/>
    <col min="4" max="4" width="10" customWidth="1"/>
    <col min="8" max="8" width="6.7109375" customWidth="1"/>
    <col min="9" max="9" width="12.28515625" customWidth="1"/>
    <col min="10" max="10" width="9.85546875" customWidth="1"/>
    <col min="11" max="11" width="9.7109375" customWidth="1"/>
  </cols>
  <sheetData>
    <row r="1" spans="1:11" ht="15.75">
      <c r="A1" s="24" t="s">
        <v>890</v>
      </c>
    </row>
    <row r="3" spans="1:11" ht="18.75">
      <c r="A3" s="84" t="s">
        <v>252</v>
      </c>
      <c r="B3" s="85" t="s">
        <v>253</v>
      </c>
    </row>
    <row r="6" spans="1:11">
      <c r="A6" s="4" t="s">
        <v>891</v>
      </c>
      <c r="H6" s="4" t="s">
        <v>895</v>
      </c>
    </row>
    <row r="7" spans="1:11">
      <c r="A7" s="4"/>
    </row>
    <row r="8" spans="1:11">
      <c r="A8" s="8" t="s">
        <v>87</v>
      </c>
      <c r="B8" s="8" t="s">
        <v>892</v>
      </c>
      <c r="C8" s="8" t="s">
        <v>893</v>
      </c>
      <c r="D8" s="8" t="s">
        <v>894</v>
      </c>
      <c r="E8" s="8" t="s">
        <v>379</v>
      </c>
      <c r="F8" s="111"/>
      <c r="G8" s="111"/>
      <c r="H8" s="8" t="s">
        <v>87</v>
      </c>
      <c r="I8" s="8" t="s">
        <v>892</v>
      </c>
      <c r="J8" s="8" t="s">
        <v>893</v>
      </c>
      <c r="K8" s="8" t="s">
        <v>894</v>
      </c>
    </row>
    <row r="9" spans="1:11">
      <c r="A9">
        <v>1995</v>
      </c>
      <c r="B9" s="6">
        <v>6194</v>
      </c>
      <c r="C9" s="6">
        <v>673</v>
      </c>
      <c r="D9" s="6">
        <v>4066</v>
      </c>
      <c r="E9" s="6">
        <v>10933</v>
      </c>
      <c r="H9">
        <v>1995</v>
      </c>
      <c r="I9" s="28">
        <v>0.56654166285557483</v>
      </c>
      <c r="J9" s="28">
        <v>6.1556754779109116E-2</v>
      </c>
      <c r="K9" s="28">
        <v>0.37190158236531601</v>
      </c>
    </row>
    <row r="10" spans="1:11">
      <c r="A10">
        <v>1996</v>
      </c>
      <c r="B10" s="6">
        <v>5322</v>
      </c>
      <c r="C10" s="6">
        <v>598</v>
      </c>
      <c r="D10" s="6">
        <v>3542</v>
      </c>
      <c r="E10" s="6">
        <v>9462</v>
      </c>
      <c r="H10">
        <v>1996</v>
      </c>
      <c r="I10" s="28">
        <v>0.5624603677869372</v>
      </c>
      <c r="J10" s="28">
        <v>6.3200169097442402E-2</v>
      </c>
      <c r="K10" s="28">
        <v>0.37433946311562039</v>
      </c>
    </row>
    <row r="11" spans="1:11">
      <c r="A11">
        <v>1997</v>
      </c>
      <c r="B11" s="6">
        <v>4554</v>
      </c>
      <c r="C11" s="6">
        <v>539</v>
      </c>
      <c r="D11" s="6">
        <v>3712</v>
      </c>
      <c r="E11" s="6">
        <v>8805</v>
      </c>
      <c r="H11">
        <v>1997</v>
      </c>
      <c r="I11" s="28">
        <v>0.51720613287904604</v>
      </c>
      <c r="J11" s="28">
        <v>6.1215218625780804E-2</v>
      </c>
      <c r="K11" s="28">
        <v>0.42157864849517318</v>
      </c>
    </row>
    <row r="12" spans="1:11">
      <c r="A12">
        <v>1998</v>
      </c>
      <c r="B12" s="6">
        <v>5587</v>
      </c>
      <c r="C12" s="6">
        <v>645</v>
      </c>
      <c r="D12" s="6">
        <v>5309</v>
      </c>
      <c r="E12" s="6">
        <v>11541</v>
      </c>
      <c r="H12">
        <v>1998</v>
      </c>
      <c r="I12" s="28">
        <v>0.48410016463044797</v>
      </c>
      <c r="J12" s="28">
        <v>5.5887704704964909E-2</v>
      </c>
      <c r="K12" s="28">
        <v>0.46001213066458713</v>
      </c>
    </row>
    <row r="13" spans="1:11">
      <c r="A13">
        <v>1999</v>
      </c>
      <c r="B13" s="6">
        <v>5935</v>
      </c>
      <c r="C13" s="6">
        <v>791</v>
      </c>
      <c r="D13" s="6">
        <v>6144</v>
      </c>
      <c r="E13" s="6">
        <v>12870</v>
      </c>
      <c r="H13">
        <v>1999</v>
      </c>
      <c r="I13" s="28">
        <v>0.46114996114996115</v>
      </c>
      <c r="J13" s="28">
        <v>6.1460761460761459E-2</v>
      </c>
      <c r="K13" s="28">
        <v>0.47738927738927739</v>
      </c>
    </row>
    <row r="14" spans="1:11">
      <c r="A14">
        <v>2000</v>
      </c>
      <c r="B14" s="6">
        <v>5136</v>
      </c>
      <c r="C14" s="6">
        <v>716</v>
      </c>
      <c r="D14" s="6">
        <v>5718</v>
      </c>
      <c r="E14" s="6">
        <v>11570</v>
      </c>
      <c r="H14">
        <v>2000</v>
      </c>
      <c r="I14" s="28">
        <v>0.44390665514261018</v>
      </c>
      <c r="J14" s="28">
        <v>6.1884183232497836E-2</v>
      </c>
      <c r="K14" s="28">
        <v>0.49420916162489198</v>
      </c>
    </row>
    <row r="15" spans="1:11">
      <c r="A15">
        <v>2001</v>
      </c>
      <c r="B15" s="6">
        <v>3926</v>
      </c>
      <c r="C15" s="6">
        <v>700</v>
      </c>
      <c r="D15" s="6">
        <v>6670</v>
      </c>
      <c r="E15" s="6">
        <v>11296</v>
      </c>
      <c r="H15">
        <v>2001</v>
      </c>
      <c r="I15" s="28">
        <v>0.34755665722379603</v>
      </c>
      <c r="J15" s="28">
        <v>6.1968838526912179E-2</v>
      </c>
      <c r="K15" s="28">
        <v>0.59047450424929182</v>
      </c>
    </row>
    <row r="16" spans="1:11">
      <c r="A16">
        <v>2002</v>
      </c>
      <c r="B16" s="6">
        <v>6190</v>
      </c>
      <c r="C16" s="6">
        <v>839</v>
      </c>
      <c r="D16" s="6">
        <v>6878</v>
      </c>
      <c r="E16" s="6">
        <v>13907</v>
      </c>
      <c r="H16">
        <v>2002</v>
      </c>
      <c r="I16" s="28">
        <v>0.44509959013446465</v>
      </c>
      <c r="J16" s="28">
        <v>6.0329330552958943E-2</v>
      </c>
      <c r="K16" s="28">
        <v>0.49457107931257638</v>
      </c>
    </row>
    <row r="17" spans="1:11">
      <c r="A17">
        <v>2003</v>
      </c>
      <c r="B17" s="6">
        <v>5989</v>
      </c>
      <c r="C17" s="6">
        <v>713</v>
      </c>
      <c r="D17" s="6">
        <v>6748</v>
      </c>
      <c r="E17" s="6">
        <v>13450</v>
      </c>
      <c r="H17">
        <v>2003</v>
      </c>
      <c r="I17" s="28">
        <v>0.44527881040892192</v>
      </c>
      <c r="J17" s="28">
        <v>5.3011152416356878E-2</v>
      </c>
      <c r="K17" s="28">
        <v>0.50171003717472118</v>
      </c>
    </row>
    <row r="18" spans="1:11">
      <c r="A18">
        <v>2004</v>
      </c>
      <c r="B18" s="6">
        <v>7435</v>
      </c>
      <c r="C18" s="6">
        <v>891</v>
      </c>
      <c r="D18" s="6">
        <v>7095</v>
      </c>
      <c r="E18" s="6">
        <v>15421</v>
      </c>
      <c r="H18">
        <v>2004</v>
      </c>
      <c r="I18" s="28">
        <v>0.48213475131314443</v>
      </c>
      <c r="J18" s="28">
        <v>5.7778354192335124E-2</v>
      </c>
      <c r="K18" s="28">
        <v>0.46008689449452045</v>
      </c>
    </row>
    <row r="19" spans="1:11">
      <c r="A19">
        <v>2005</v>
      </c>
      <c r="B19" s="6">
        <v>6270</v>
      </c>
      <c r="C19" s="6">
        <v>632</v>
      </c>
      <c r="D19" s="6">
        <v>5665</v>
      </c>
      <c r="E19" s="6">
        <v>12567</v>
      </c>
      <c r="H19">
        <v>2005</v>
      </c>
      <c r="I19" s="28">
        <v>0.49892575793745525</v>
      </c>
      <c r="J19" s="28">
        <v>5.0290443224317659E-2</v>
      </c>
      <c r="K19" s="28">
        <v>0.45078379883822711</v>
      </c>
    </row>
    <row r="20" spans="1:11">
      <c r="A20">
        <v>2006</v>
      </c>
      <c r="B20" s="6">
        <v>6836</v>
      </c>
      <c r="C20" s="6">
        <v>705</v>
      </c>
      <c r="D20" s="6">
        <v>5981</v>
      </c>
      <c r="E20" s="6">
        <v>13522</v>
      </c>
      <c r="H20">
        <v>2006</v>
      </c>
      <c r="I20" s="28">
        <v>0.50554651678745743</v>
      </c>
      <c r="J20" s="28">
        <v>5.2137257802100281E-2</v>
      </c>
      <c r="K20" s="28">
        <v>0.44231622541044224</v>
      </c>
    </row>
    <row r="21" spans="1:11">
      <c r="A21">
        <v>2007</v>
      </c>
      <c r="B21" s="6">
        <v>5872</v>
      </c>
      <c r="C21" s="6">
        <v>639</v>
      </c>
      <c r="D21" s="6">
        <v>5427</v>
      </c>
      <c r="E21" s="6">
        <v>11938</v>
      </c>
      <c r="H21">
        <v>2007</v>
      </c>
      <c r="I21" s="28">
        <v>0.49187468587703131</v>
      </c>
      <c r="J21" s="28">
        <v>5.3526553861618364E-2</v>
      </c>
      <c r="K21" s="28">
        <v>0.45459876026135032</v>
      </c>
    </row>
    <row r="22" spans="1:11">
      <c r="A22">
        <v>2008</v>
      </c>
      <c r="B22" s="6">
        <v>5742</v>
      </c>
      <c r="C22" s="6">
        <v>593</v>
      </c>
      <c r="D22" s="6">
        <v>5637</v>
      </c>
      <c r="E22" s="6">
        <v>11972</v>
      </c>
      <c r="H22">
        <v>2008</v>
      </c>
      <c r="I22" s="28">
        <v>0.47961911125960577</v>
      </c>
      <c r="J22" s="28">
        <v>4.9532241897761446E-2</v>
      </c>
      <c r="K22" s="28">
        <v>0.47084864684263283</v>
      </c>
    </row>
    <row r="23" spans="1:11">
      <c r="A23">
        <v>2009</v>
      </c>
      <c r="B23" s="6">
        <v>5464</v>
      </c>
      <c r="C23" s="6">
        <v>415</v>
      </c>
      <c r="D23" s="6">
        <v>5331</v>
      </c>
      <c r="E23" s="6">
        <v>11210</v>
      </c>
      <c r="H23">
        <v>2009</v>
      </c>
      <c r="I23" s="28">
        <v>0.4874219446922391</v>
      </c>
      <c r="J23" s="28">
        <v>3.7020517395182875E-2</v>
      </c>
      <c r="K23" s="28">
        <v>0.47555753791257804</v>
      </c>
    </row>
    <row r="24" spans="1:11">
      <c r="A24">
        <v>2010</v>
      </c>
      <c r="B24" s="6">
        <v>6017</v>
      </c>
      <c r="C24" s="6">
        <v>447</v>
      </c>
      <c r="D24" s="6">
        <v>5718</v>
      </c>
      <c r="E24" s="6">
        <v>12182</v>
      </c>
      <c r="H24">
        <v>2010</v>
      </c>
      <c r="I24" s="28">
        <v>0.49392546379904778</v>
      </c>
      <c r="J24" s="28">
        <v>3.6693482186833035E-2</v>
      </c>
      <c r="K24" s="28">
        <v>0.46938105401411917</v>
      </c>
    </row>
    <row r="27" spans="1:11">
      <c r="A27" s="15" t="s">
        <v>423</v>
      </c>
    </row>
    <row r="29" spans="1:11">
      <c r="A29" t="s">
        <v>897</v>
      </c>
    </row>
    <row r="31" spans="1:11">
      <c r="A31" t="s">
        <v>896</v>
      </c>
    </row>
  </sheetData>
  <hyperlinks>
    <hyperlink ref="A3" location="TableOfContents!A1" display="Back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C28"/>
  <sheetViews>
    <sheetView workbookViewId="0">
      <selection activeCell="A3" sqref="A3"/>
    </sheetView>
  </sheetViews>
  <sheetFormatPr defaultRowHeight="15"/>
  <cols>
    <col min="1" max="1" width="6.28515625" customWidth="1"/>
    <col min="2" max="3" width="12.85546875" customWidth="1"/>
  </cols>
  <sheetData>
    <row r="1" spans="1:3" ht="15.75">
      <c r="A1" s="24" t="s">
        <v>898</v>
      </c>
    </row>
    <row r="3" spans="1:3" ht="18.75">
      <c r="A3" s="84" t="s">
        <v>252</v>
      </c>
      <c r="B3" s="85" t="s">
        <v>253</v>
      </c>
    </row>
    <row r="6" spans="1:3" ht="30">
      <c r="A6" s="8" t="s">
        <v>87</v>
      </c>
      <c r="B6" s="226" t="s">
        <v>899</v>
      </c>
      <c r="C6" s="226" t="s">
        <v>900</v>
      </c>
    </row>
    <row r="7" spans="1:3">
      <c r="A7">
        <v>1997</v>
      </c>
      <c r="B7">
        <v>699</v>
      </c>
      <c r="C7">
        <v>757</v>
      </c>
    </row>
    <row r="8" spans="1:3">
      <c r="A8">
        <v>1998</v>
      </c>
      <c r="B8">
        <v>862</v>
      </c>
      <c r="C8">
        <v>723</v>
      </c>
    </row>
    <row r="9" spans="1:3">
      <c r="A9">
        <v>1999</v>
      </c>
      <c r="B9">
        <v>904</v>
      </c>
      <c r="C9">
        <v>816</v>
      </c>
    </row>
    <row r="10" spans="1:3">
      <c r="A10">
        <v>2000</v>
      </c>
      <c r="B10">
        <v>845</v>
      </c>
      <c r="C10">
        <v>942</v>
      </c>
    </row>
    <row r="11" spans="1:3">
      <c r="A11">
        <v>2001</v>
      </c>
      <c r="B11">
        <v>710</v>
      </c>
      <c r="C11">
        <v>822</v>
      </c>
    </row>
    <row r="12" spans="1:3">
      <c r="A12">
        <v>2002</v>
      </c>
      <c r="B12">
        <v>777</v>
      </c>
      <c r="C12">
        <v>759</v>
      </c>
    </row>
    <row r="13" spans="1:3">
      <c r="A13">
        <v>2003</v>
      </c>
      <c r="B13">
        <v>714</v>
      </c>
      <c r="C13">
        <v>737</v>
      </c>
    </row>
    <row r="14" spans="1:3">
      <c r="A14">
        <v>2004</v>
      </c>
      <c r="B14">
        <v>800</v>
      </c>
      <c r="C14">
        <v>707</v>
      </c>
    </row>
    <row r="15" spans="1:3">
      <c r="A15">
        <v>2005</v>
      </c>
      <c r="B15">
        <v>621</v>
      </c>
      <c r="C15">
        <v>687</v>
      </c>
    </row>
    <row r="16" spans="1:3">
      <c r="A16">
        <v>2006</v>
      </c>
      <c r="B16">
        <v>602</v>
      </c>
      <c r="C16">
        <v>600</v>
      </c>
    </row>
    <row r="17" spans="1:3">
      <c r="A17">
        <v>2007</v>
      </c>
      <c r="B17">
        <v>624</v>
      </c>
      <c r="C17">
        <v>587</v>
      </c>
    </row>
    <row r="18" spans="1:3">
      <c r="A18">
        <v>2008</v>
      </c>
      <c r="B18">
        <v>556</v>
      </c>
      <c r="C18">
        <v>637</v>
      </c>
    </row>
    <row r="19" spans="1:3">
      <c r="A19">
        <v>2009</v>
      </c>
      <c r="B19">
        <v>606</v>
      </c>
      <c r="C19">
        <v>620</v>
      </c>
    </row>
    <row r="20" spans="1:3">
      <c r="A20">
        <v>2010</v>
      </c>
      <c r="B20">
        <v>556</v>
      </c>
      <c r="C20">
        <v>611</v>
      </c>
    </row>
    <row r="23" spans="1:3">
      <c r="A23" s="15" t="s">
        <v>423</v>
      </c>
    </row>
    <row r="25" spans="1:3">
      <c r="A25" t="s">
        <v>902</v>
      </c>
    </row>
    <row r="26" spans="1:3">
      <c r="A26" s="1" t="s">
        <v>901</v>
      </c>
    </row>
    <row r="27" spans="1:3">
      <c r="A27" s="1"/>
    </row>
    <row r="28" spans="1:3">
      <c r="A28" t="s">
        <v>903</v>
      </c>
    </row>
  </sheetData>
  <hyperlinks>
    <hyperlink ref="A3" location="TableOfContents!A1" display="Back"/>
    <hyperlink ref="A2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TableOfContents</vt:lpstr>
      <vt:lpstr>Chart 1</vt:lpstr>
      <vt:lpstr>Chart 2</vt:lpstr>
      <vt:lpstr>Chart 3</vt:lpstr>
      <vt:lpstr>Chart 4</vt:lpstr>
      <vt:lpstr>Chart 5</vt:lpstr>
      <vt:lpstr>Chart 6</vt:lpstr>
      <vt:lpstr>Chart 7</vt:lpstr>
      <vt:lpstr>Chart 8</vt:lpstr>
      <vt:lpstr>Chart 9</vt:lpstr>
      <vt:lpstr>Chart 10</vt:lpstr>
      <vt:lpstr>Chart 11</vt:lpstr>
      <vt:lpstr>Chart 12</vt:lpstr>
      <vt:lpstr>Chart 13</vt:lpstr>
      <vt:lpstr>Chart 14</vt:lpstr>
      <vt:lpstr>Chart 15</vt:lpstr>
      <vt:lpstr>Chart 16</vt:lpstr>
      <vt:lpstr>Chart 17</vt:lpstr>
      <vt:lpstr>Chart 18</vt:lpstr>
      <vt:lpstr>Chart 19</vt:lpstr>
      <vt:lpstr>Chart 20</vt:lpstr>
      <vt:lpstr>Chart 21</vt:lpstr>
      <vt:lpstr>Chart 22</vt:lpstr>
      <vt:lpstr>Chart 23</vt:lpstr>
      <vt:lpstr>Chart 24</vt:lpstr>
      <vt:lpstr>Chart 25</vt:lpstr>
      <vt:lpstr>Chart 26</vt:lpstr>
      <vt:lpstr>Chart 27</vt:lpstr>
      <vt:lpstr>Chart 28</vt:lpstr>
      <vt:lpstr>Chart 29</vt:lpstr>
      <vt:lpstr>Chart 30</vt:lpstr>
      <vt:lpstr>Chart 31</vt:lpstr>
      <vt:lpstr>Chart 32</vt:lpstr>
      <vt:lpstr>Chart 33</vt:lpstr>
      <vt:lpstr>Chart 34</vt:lpstr>
      <vt:lpstr>Chart 35</vt:lpstr>
      <vt:lpstr>Chart 36</vt:lpstr>
      <vt:lpstr>Chart 37</vt:lpstr>
      <vt:lpstr>Chart 38</vt:lpstr>
      <vt:lpstr>Chart 39</vt:lpstr>
      <vt:lpstr>Chart 40</vt:lpstr>
      <vt:lpstr>Chart 41</vt:lpstr>
      <vt:lpstr>Chart 42</vt:lpstr>
      <vt:lpstr>Chart 43</vt:lpstr>
      <vt:lpstr>Chart 44</vt:lpstr>
      <vt:lpstr>Chart 45</vt:lpstr>
      <vt:lpstr>Chart 46</vt:lpstr>
      <vt:lpstr>Chart 47</vt:lpstr>
      <vt:lpstr>Chart 48</vt:lpstr>
      <vt:lpstr>Chart 49</vt:lpstr>
      <vt:lpstr>Chart 50</vt:lpstr>
      <vt:lpstr>Chart 51</vt:lpstr>
      <vt:lpstr>Chart 52</vt:lpstr>
      <vt:lpstr>Chart 53</vt:lpstr>
      <vt:lpstr>Chart 54</vt:lpstr>
      <vt:lpstr>Chart 55</vt:lpstr>
      <vt:lpstr>Chart 56</vt:lpstr>
      <vt:lpstr>Chart 57</vt:lpstr>
      <vt:lpstr>Chart 58</vt:lpstr>
      <vt:lpstr>Chart 59</vt:lpstr>
      <vt:lpstr>Chart 60</vt:lpstr>
      <vt:lpstr>Chart 61</vt:lpstr>
      <vt:lpstr>Chart 62</vt:lpstr>
      <vt:lpstr>Chart 63</vt:lpstr>
      <vt:lpstr>Chart 64</vt:lpstr>
      <vt:lpstr>Chart 65</vt:lpstr>
      <vt:lpstr>Chart 66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jelder</dc:creator>
  <cp:lastModifiedBy>jelder</cp:lastModifiedBy>
  <dcterms:created xsi:type="dcterms:W3CDTF">2012-07-16T19:27:36Z</dcterms:created>
  <dcterms:modified xsi:type="dcterms:W3CDTF">2012-07-30T14:35:17Z</dcterms:modified>
</cp:coreProperties>
</file>