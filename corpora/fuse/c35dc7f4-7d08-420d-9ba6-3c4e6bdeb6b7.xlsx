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Cashflo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Col1">#REF!</definedName>
    <definedName name="_Col2">#REF!</definedName>
    <definedName name="A">#REF!</definedName>
    <definedName name="ActualRevenueUSDMTD">2</definedName>
    <definedName name="ActualRevenueUSDQTD">5</definedName>
    <definedName name="ActualRevenueUSDYTD">8</definedName>
    <definedName name="Adj">'[2]Revsum - trend'!#REF!</definedName>
    <definedName name="Adjustments">'[2]Revsum - trend'!#REF!</definedName>
    <definedName name="AdjustmentsQ">#REF!</definedName>
    <definedName name="Area">'[2]Revsum - trend'!#REF!</definedName>
    <definedName name="AreaQ">#REF!</definedName>
    <definedName name="AS2DocOpenMode" hidden="1">"AS2DocumentEdit"</definedName>
    <definedName name="AuditLI">#REF!</definedName>
    <definedName name="AuditSP">#REF!</definedName>
    <definedName name="BAKER">'[3]May 96'!#REF!</definedName>
    <definedName name="BAL">'[3]May 96'!#REF!</definedName>
    <definedName name="BalSheet" hidden="1">{"closed",#N/A,FALSE,"Consolidated Products - Budget";"expanded",#N/A,FALSE,"Consolidated Products - Budget"}</definedName>
    <definedName name="BS" hidden="1">{"closed",#N/A,FALSE,"Consolidated Products - Budget";"expanded",#N/A,FALSE,"Consolidated Products - Budget"}</definedName>
    <definedName name="BudgetRevenueUSDMTD">3</definedName>
    <definedName name="BudgetRevenueUSDQTD">6</definedName>
    <definedName name="BudgetRevenueUSDYTD">9</definedName>
    <definedName name="BusinessName">'[2]Revsum - trend'!#REF!</definedName>
    <definedName name="BusinessNameQ">#REF!</definedName>
    <definedName name="BusinessSummaryName">'[2]Revsum - trend'!#REF!</definedName>
    <definedName name="BusinessSummaryNameQ">#REF!</definedName>
    <definedName name="BusSysEA">MATCH("Business Systems Enterprise Agreements", Categories,0)</definedName>
    <definedName name="BusSysEALookup">OFFSET('[2]Revsum - trend'!#REF!,BusSysEA,1,BusSysEATotal-BusSysEA,1)</definedName>
    <definedName name="BusSysEATotal">MATCH("Business Systems Enterprise Agreements *", Categories,0)</definedName>
    <definedName name="carter">'[3]May 96'!#REF!</definedName>
    <definedName name="Cash" hidden="1">{"closed",#N/A,FALSE,"Consolidated Products - Budget";"expanded",#N/A,FALSE,"Consolidated Products - Budget"}</definedName>
    <definedName name="Categories">'[2]Revsum - trend'!#REF!</definedName>
    <definedName name="Channel">'[2]Revsum - trend'!#REF!</definedName>
    <definedName name="ChannelAggregate">'[2]Revsum - trend'!#REF!</definedName>
    <definedName name="ChannelAggregateQ">#REF!</definedName>
    <definedName name="ChannelQ">#REF!</definedName>
    <definedName name="Columns">'[4]Data Sheet'!$F$1:$F$65536,'[4]Data Sheet'!$H$1:$H$65536,'[4]Data Sheet'!$J$1:$J$65536,'[4]Data Sheet'!$L$1:$L$65536,'[4]Data Sheet'!#REF!,'[4]Data Sheet'!#REF!,'[4]Data Sheet'!#REF!,'[4]Data Sheet'!#REF!,'[4]Data Sheet'!#REF!,'[4]Data Sheet'!#REF!,'[4]Data Sheet'!#REF!,'[4]Data Sheet'!#REF!,'[4]Data Sheet'!#REF!,'[4]Data Sheet'!#REF!,'[4]Data Sheet'!#REF!,'[4]Data Sheet'!$N$1:$N$65536,'[4]Data Sheet'!$P$1:$P$65536,'[4]Data Sheet'!$R$1:$R$65536,'[4]Data Sheet'!$T$1:$T$65536,'[4]Data Sheet'!$V$1:$V$65536,'[4]Data Sheet'!$X$1:$X$65536,'[4]Data Sheet'!$Z$1:$Z$65536,'[4]Data Sheet'!$AB$1:$AB$65536,'[4]Data Sheet'!$AD$1:$AD$65536,'[4]Data Sheet'!$AF$1:$AF$65536,'[4]Data Sheet'!$AH$1:$AH$65536,'[4]Data Sheet'!$AJ$1:$AJ$65536,'[4]Data Sheet'!$AJ$1:$AJ$65536</definedName>
    <definedName name="ConstantDollars">'[2]Revsum - trend'!#REF!</definedName>
    <definedName name="CurrencyType">'[2]Revsum - trend'!#REF!</definedName>
    <definedName name="Divisions">OFFSET([0]!Categories,0,-1)</definedName>
    <definedName name="FiscalPeriod">'[2]Revsum - trend'!#REF!</definedName>
    <definedName name="FXVarianceMTD">4</definedName>
    <definedName name="FXVarianceQTD">7</definedName>
    <definedName name="FXVarianceYTD">10</definedName>
    <definedName name="FY00OthAvg">#REF!</definedName>
    <definedName name="FY00RegAvg">#REF!</definedName>
    <definedName name="FY01OthAvg">#REF!</definedName>
    <definedName name="FY01RegAvg">#REF!</definedName>
    <definedName name="gaudette">'[3]May 96'!#REF!</definedName>
    <definedName name="Greetings">MATCH("Grtgs WS, PictureIt, Other DAD", Categories,0)</definedName>
    <definedName name="GreetingsLookup">OFFSET('[2]Revsum - trend'!#REF!,Greetings,1,GreetingsTotal-Greetings,1)</definedName>
    <definedName name="GreetingsTotal">MATCH("Grtgs WS, PictureIt, Other DAD *", Categories,0)</definedName>
    <definedName name="hansen">'[3]May 96'!#REF!</definedName>
    <definedName name="hanson">'[3]May 96'!#REF!</definedName>
    <definedName name="heading">#REF!</definedName>
    <definedName name="INTEREST">'[3]May 96'!#REF!</definedName>
    <definedName name="JAW">'[3]May 96'!#REF!</definedName>
    <definedName name="JAWORSKI">'[3]May 96'!#REF!</definedName>
    <definedName name="JustifyColumn">'[4]Data Sheet'!#REF!</definedName>
    <definedName name="LastPivotRow">COUNTA([0]!SalesLocations)+ROW([0]!PTtop)-1</definedName>
    <definedName name="LI">#REF!</definedName>
    <definedName name="LOAN">'[3]May 96'!#REF!</definedName>
    <definedName name="LOAN.DAN">'[3]May 96'!#REF!</definedName>
    <definedName name="LOAN.FRANK">'[3]May 96'!#REF!</definedName>
    <definedName name="LOAN.HANSEN">'[3]May 96'!#REF!</definedName>
    <definedName name="LOAN.HANSON">'[3]May 96'!#REF!</definedName>
    <definedName name="macintosh">'[3]May 96'!#REF!</definedName>
    <definedName name="MBV" hidden="1">{"closed",#N/A,FALSE,"Consolidated Products - Budget";"expanded",#N/A,FALSE,"Consolidated Products - Budget"}</definedName>
    <definedName name="MITCHELL">'[3]May 96'!#REF!</definedName>
    <definedName name="mntrange">'[2]Revsum - trend'!#REF!</definedName>
    <definedName name="Months">{"January","February","March","April","May","June","July","August","September","October","November","December"}</definedName>
    <definedName name="MSBudgetAdjAmount">14</definedName>
    <definedName name="MSBudgetAmount">1</definedName>
    <definedName name="MSBudgetLicenses">7</definedName>
    <definedName name="MSSalesAdjAmount">4</definedName>
    <definedName name="MSSalesAmount">0</definedName>
    <definedName name="MSSalesLicenses">9</definedName>
    <definedName name="MSSalesScndryLicenses">10</definedName>
    <definedName name="MYHRVOLD">'[3]May 96'!#REF!</definedName>
    <definedName name="NumPTRows">#N/A</definedName>
    <definedName name="oki">'[3]May 96'!#REF!</definedName>
    <definedName name="OLDBAL">'[3]May 96'!#REF!</definedName>
    <definedName name="PAID.INT">'[3]May 96'!#REF!</definedName>
    <definedName name="PAID.PRN">'[3]May 96'!#REF!</definedName>
    <definedName name="PFamily">'[2]Revsum - trend'!#REF!</definedName>
    <definedName name="Pivot2" hidden="1">{"closed",#N/A,FALSE,"Consolidated Products - Budget";"expanded",#N/A,FALSE,"Consolidated Products - Budget"}</definedName>
    <definedName name="PivotRows">COUNT(OFFSET(PivotTop,1,2,250))</definedName>
    <definedName name="PivotTable5.doc" hidden="1">#REF!</definedName>
    <definedName name="PivotTable8.doc" hidden="1">#REF!</definedName>
    <definedName name="PivotTop">'[2]Revsum - trend'!#REF!</definedName>
    <definedName name="_xlnm.Print_Area" localSheetId="0">Cashflow!$A$1:$T$57</definedName>
    <definedName name="_xlnm.Print_Area">#REF!</definedName>
    <definedName name="_xlnm.Print_Titles">#REF!,#REF!</definedName>
    <definedName name="Product_Pricing">[5]Data!#REF!</definedName>
    <definedName name="PTtop">[6]BySub!$A$5</definedName>
    <definedName name="RecordType">'[2]Revsum - trend'!#REF!</definedName>
    <definedName name="RecordTypeQ">#REF!</definedName>
    <definedName name="Region">'[2]Revsum - trend'!#REF!</definedName>
    <definedName name="RegionQ">#REF!</definedName>
    <definedName name="REMALA">'[3]May 96'!#REF!</definedName>
    <definedName name="ROEMSel">#REF!</definedName>
    <definedName name="SalesLocation">'[2]Revsum - trend'!#REF!</definedName>
    <definedName name="SalesLocationQ">#REF!</definedName>
    <definedName name="SalesLocations">[0]!PTtop:'[6]BySub'!$A$97</definedName>
    <definedName name="SP">#REF!</definedName>
    <definedName name="SpaceBetweenColumns">'[4]Data Sheet'!$G$1:$G$65536,'[4]Data Sheet'!$I$1:$I$65536,'[4]Data Sheet'!$K$1:$K$65536,'[4]Data Sheet'!$M$1:$M$65536,'[4]Data Sheet'!#REF!,'[4]Data Sheet'!#REF!,'[4]Data Sheet'!#REF!,'[4]Data Sheet'!#REF!,'[4]Data Sheet'!#REF!,'[4]Data Sheet'!#REF!,'[4]Data Sheet'!#REF!,'[4]Data Sheet'!#REF!,'[4]Data Sheet'!#REF!,'[4]Data Sheet'!#REF!,'[4]Data Sheet'!#REF!,'[4]Data Sheet'!$O$1:$O$65536,'[4]Data Sheet'!$Q$1:$Q$65536,'[4]Data Sheet'!$S$1:$S$65536,'[4]Data Sheet'!$U$1:$U$65536,'[4]Data Sheet'!$W$1:$W$65536,'[4]Data Sheet'!$Y$1:$Y$65536,'[4]Data Sheet'!$AA$1:$AA$65536,'[4]Data Sheet'!$AC$1:$AC$65536,'[4]Data Sheet'!$AE$1:$AE$65536,'[4]Data Sheet'!$AE$1:$AE$65536,'[4]Data Sheet'!$AE$1:$AE$65536,'[4]Data Sheet'!$AG$1:$AG$65536,'[4]Data Sheet'!$AI$1:$AI$65536</definedName>
    <definedName name="StandAlone">"$B$12"</definedName>
    <definedName name="StandAloneStandard">MATCH("Standalone office apps - standard", Categories,0)</definedName>
    <definedName name="StandAloneStandardLookup">OFFSET('[2]Revsum - trend'!#REF!,StandAloneStandard,1,StandAloneStandardTotal-StandAloneStandard,1)</definedName>
    <definedName name="StandAloneStandardTotal">MATCH("Standalone Office Apps - Standard?*", Categories,0)</definedName>
    <definedName name="StandAloneUpgrade">MATCH("Standalone office apps - upgrade", Categories,0)</definedName>
    <definedName name="StandAloneUpgradeLookup">OFFSET('[2]Revsum - trend'!#REF!,StandAloneUpgrade,1,StandAloneUpgradeTotal-StandAloneUpgrade,1)</definedName>
    <definedName name="StandAloneUpgradeTotal">MATCH("Standalone Office Apps - Upgrade?*", Categories,0)</definedName>
    <definedName name="Subregion">'[2]Revsum - trend'!#REF!</definedName>
    <definedName name="SubregionQ">#REF!</definedName>
    <definedName name="SumCur">'[7]Query Criteria'!$B$24</definedName>
    <definedName name="summary" hidden="1">{"closed",#N/A,FALSE,"Consolidated Products - Budget";"expanded",#N/A,FALSE,"Consolidated Products - Budget"}</definedName>
    <definedName name="Trend">'[2]Revsum - trend'!#REF!</definedName>
    <definedName name="TrendKind">'[2]Revsum - trend'!#REF!</definedName>
    <definedName name="verba">'[3]May 96'!#REF!</definedName>
    <definedName name="View">'[2]Revsum - trend'!#REF!</definedName>
    <definedName name="WALTON">'[3]May 96'!#REF!</definedName>
    <definedName name="wrn.prodcon." hidden="1">{"closed",#N/A,FALSE,"Consolidated Products - Budget";"expanded",#N/A,FALSE,"Consolidated Products - Budget"}</definedName>
    <definedName name="XRefCopy1" hidden="1">#REF!</definedName>
    <definedName name="XRefCopy2" hidden="1">#REF!</definedName>
    <definedName name="XRefCopyRangeCount" hidden="1">2</definedName>
  </definedNames>
  <calcPr calcId="125725" fullCalcOnLoad="1"/>
</workbook>
</file>

<file path=xl/calcChain.xml><?xml version="1.0" encoding="utf-8"?>
<calcChain xmlns="http://schemas.openxmlformats.org/spreadsheetml/2006/main">
  <c r="S56" i="1"/>
  <c r="R56"/>
  <c r="T56" s="1"/>
  <c r="P56"/>
  <c r="O56"/>
  <c r="Q56" s="1"/>
  <c r="S55"/>
  <c r="R55"/>
  <c r="T55" s="1"/>
  <c r="P55"/>
  <c r="O55"/>
  <c r="Q55" s="1"/>
  <c r="S54"/>
  <c r="R54"/>
  <c r="T54" s="1"/>
  <c r="P54"/>
  <c r="O54"/>
  <c r="Q54" s="1"/>
  <c r="Q49"/>
  <c r="O49"/>
  <c r="T47"/>
  <c r="P45"/>
  <c r="O45"/>
  <c r="N45"/>
  <c r="M45"/>
  <c r="L45"/>
  <c r="K45"/>
  <c r="J45"/>
  <c r="I45"/>
  <c r="H45"/>
  <c r="T44"/>
  <c r="Q44"/>
  <c r="T43"/>
  <c r="Q43"/>
  <c r="T42"/>
  <c r="Q42"/>
  <c r="T41"/>
  <c r="Q41"/>
  <c r="T40"/>
  <c r="Q40"/>
  <c r="S39"/>
  <c r="S45" s="1"/>
  <c r="R39"/>
  <c r="R45" s="1"/>
  <c r="T38"/>
  <c r="Q38"/>
  <c r="Q45" s="1"/>
  <c r="S36"/>
  <c r="R36"/>
  <c r="P36"/>
  <c r="O36"/>
  <c r="T35"/>
  <c r="Q35"/>
  <c r="T34"/>
  <c r="Q34"/>
  <c r="T33"/>
  <c r="Q33"/>
  <c r="T32"/>
  <c r="Q32"/>
  <c r="T31"/>
  <c r="Q31"/>
  <c r="T30"/>
  <c r="T36" s="1"/>
  <c r="Q30"/>
  <c r="Q36" s="1"/>
  <c r="S28"/>
  <c r="S53" s="1"/>
  <c r="S57" s="1"/>
  <c r="R28"/>
  <c r="R53" s="1"/>
  <c r="P28"/>
  <c r="P53" s="1"/>
  <c r="P57" s="1"/>
  <c r="O28"/>
  <c r="O53" s="1"/>
  <c r="K28"/>
  <c r="J28"/>
  <c r="I28"/>
  <c r="H28"/>
  <c r="T27"/>
  <c r="Q27"/>
  <c r="L27"/>
  <c r="T26"/>
  <c r="Q26"/>
  <c r="L26"/>
  <c r="T25"/>
  <c r="Q25"/>
  <c r="L25"/>
  <c r="T24"/>
  <c r="Q24"/>
  <c r="L24"/>
  <c r="T23"/>
  <c r="Q23"/>
  <c r="L23"/>
  <c r="T22"/>
  <c r="Q22"/>
  <c r="L22"/>
  <c r="L28" s="1"/>
  <c r="T20"/>
  <c r="Q20"/>
  <c r="T19"/>
  <c r="Q19"/>
  <c r="T18"/>
  <c r="Q18"/>
  <c r="T17"/>
  <c r="Q17"/>
  <c r="T16"/>
  <c r="Q16"/>
  <c r="T15"/>
  <c r="Q15"/>
  <c r="T14"/>
  <c r="Q14"/>
  <c r="T13"/>
  <c r="Q13"/>
  <c r="T12"/>
  <c r="Q12"/>
  <c r="T9"/>
  <c r="T28" s="1"/>
  <c r="Q9"/>
  <c r="Q28" s="1"/>
  <c r="Q48" s="1"/>
  <c r="Q50" s="1"/>
  <c r="T49" l="1"/>
  <c r="R49"/>
  <c r="O57"/>
  <c r="Q53"/>
  <c r="Q57" s="1"/>
  <c r="R57"/>
  <c r="T53"/>
  <c r="T57" s="1"/>
  <c r="T39"/>
  <c r="T45" s="1"/>
  <c r="P48"/>
  <c r="R48"/>
  <c r="O48"/>
  <c r="O50" s="1"/>
  <c r="P49" s="1"/>
  <c r="S48"/>
  <c r="P50" l="1"/>
  <c r="R50"/>
  <c r="S49" s="1"/>
  <c r="S50" s="1"/>
  <c r="T48"/>
  <c r="T50" s="1"/>
</calcChain>
</file>

<file path=xl/sharedStrings.xml><?xml version="1.0" encoding="utf-8"?>
<sst xmlns="http://schemas.openxmlformats.org/spreadsheetml/2006/main" count="71" uniqueCount="54">
  <si>
    <t>Netflix, Inc.</t>
  </si>
  <si>
    <t>Consolidated Statements of Cash Flows</t>
  </si>
  <si>
    <t>(unaudited)</t>
  </si>
  <si>
    <t>(in thousands)</t>
  </si>
  <si>
    <t>Three Months Ended</t>
  </si>
  <si>
    <t>Twelve Months Ended</t>
  </si>
  <si>
    <t>Six Months Ended</t>
  </si>
  <si>
    <t>March 31,</t>
  </si>
  <si>
    <t>June 30,</t>
  </si>
  <si>
    <t>September 30,</t>
  </si>
  <si>
    <t>December 31,</t>
  </si>
  <si>
    <t>Cash flows from operating activities:</t>
  </si>
  <si>
    <t>Net income (loss)</t>
  </si>
  <si>
    <t>Adjustments to reconcile net income (loss) to net cash</t>
  </si>
  <si>
    <t>provided by operating activities:</t>
  </si>
  <si>
    <t>Additions to streaming content library</t>
  </si>
  <si>
    <t>Change in streaming content liabilities</t>
  </si>
  <si>
    <t>Amortization of streaming content library</t>
  </si>
  <si>
    <t>Amortization of DVD content library</t>
  </si>
  <si>
    <t>Depreciation and amortization of property, equipment and intangibles</t>
  </si>
  <si>
    <t>Stock-based compensation expense</t>
  </si>
  <si>
    <t>Excess tax benefits from stock-based compensation</t>
  </si>
  <si>
    <t>Other non-cash items</t>
  </si>
  <si>
    <t>Deferred taxes</t>
  </si>
  <si>
    <t>Changes in operating assets and liabilities:</t>
  </si>
  <si>
    <t>Prepaid content</t>
  </si>
  <si>
    <t>Other current assets</t>
  </si>
  <si>
    <t>Accounts payable</t>
  </si>
  <si>
    <t>Accrued expenses</t>
  </si>
  <si>
    <t>Deferred revenue</t>
  </si>
  <si>
    <t>Other non-current assets and liabilities</t>
  </si>
  <si>
    <t>Net cash provided by operating activities</t>
  </si>
  <si>
    <t>Cash flows from investing activities:</t>
  </si>
  <si>
    <t>Acquisitions of DVD content library</t>
  </si>
  <si>
    <t>Purchases of short-term investments</t>
  </si>
  <si>
    <t>Proceeds from sale of short-term investments</t>
  </si>
  <si>
    <t>Proceeds from maturities of short-term investments</t>
  </si>
  <si>
    <t>Purchases of property and equipment</t>
  </si>
  <si>
    <t>Other assets</t>
  </si>
  <si>
    <t>Net cash used in investing activities</t>
  </si>
  <si>
    <t>Cash flows from financing activities:</t>
  </si>
  <si>
    <t>Proceeds from issuance of common stock upon exercise of options</t>
  </si>
  <si>
    <t>Financing costs</t>
  </si>
  <si>
    <t>Repurchases of common stock</t>
  </si>
  <si>
    <t>Principal payments of lease financing obligations</t>
  </si>
  <si>
    <t>Proceeds from public offering of common stock, net of issuance costs</t>
  </si>
  <si>
    <t>Proceeds from issuance of debt, net of issuance costs</t>
  </si>
  <si>
    <t>Net cash provided by (used in) financing activities</t>
  </si>
  <si>
    <t>Effect of exchange rate changes on cash and cash equivalents</t>
  </si>
  <si>
    <t>Net increase (decrease) in cash and cash equivalents</t>
  </si>
  <si>
    <t>Cash and cash equivalents, beginning of period</t>
  </si>
  <si>
    <t xml:space="preserve"> Cash and cash equivalents, end of period</t>
  </si>
  <si>
    <t>Non-GAAP free cash flow reconciliation:</t>
  </si>
  <si>
    <t>Non-GAAP free cash flow</t>
  </si>
</sst>
</file>

<file path=xl/styles.xml><?xml version="1.0" encoding="utf-8"?>
<styleSheet xmlns="http://schemas.openxmlformats.org/spreadsheetml/2006/main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\ ;\(#,##0.0\)"/>
    <numFmt numFmtId="166" formatCode="&quot;$&quot;* #,###\ ;&quot;$&quot;* \(#,###\);&quot;$&quot;* \-\ "/>
    <numFmt numFmtId="167" formatCode="0.0%;[Red]\(0.0%\)"/>
    <numFmt numFmtId="168" formatCode="&quot;$&quot;* #,###.00\ ;&quot;$&quot;* \(#,###.00\);&quot;$&quot;* \-\ "/>
    <numFmt numFmtId="169" formatCode="* #,##0.00_);\(#,##0.00\)"/>
    <numFmt numFmtId="170" formatCode="&quot;$&quot;#,##0;\-&quot;$&quot;#,##0"/>
    <numFmt numFmtId="171" formatCode="#,##0;\-#,##0;&quot;-&quot;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\ ;\(#,##0.0\)"/>
    <numFmt numFmtId="178" formatCode="#,##0.00;\-#,##0.00;&quot;-&quot;"/>
    <numFmt numFmtId="179" formatCode="_._.* \(#,##0\)_%;_._.* #,##0_)_%;_._.* 0_)_%;_._.@_)_%"/>
    <numFmt numFmtId="180" formatCode="_._.&quot;$&quot;* \(#,##0\)_%;_._.&quot;$&quot;* #,##0_)_%;_._.&quot;$&quot;* 0_)_%;_._.@_)_%"/>
    <numFmt numFmtId="181" formatCode="&quot;$&quot;0.00_)"/>
    <numFmt numFmtId="182" formatCode="&quot;SFr.&quot;\ #,##0.00;&quot;SFr.&quot;\ \-#,##0.00"/>
    <numFmt numFmtId="183" formatCode="#,##0;\(#,##0\)"/>
    <numFmt numFmtId="184" formatCode="_([$€-2]* #,##0.00_);_([$€-2]* \(#,##0.00\);_([$€-2]* &quot;-&quot;??_)"/>
    <numFmt numFmtId="185" formatCode="&quot;$&quot;#,##0;[Red]\-&quot;$&quot;#,##0"/>
    <numFmt numFmtId="186" formatCode="&quot;$&quot;#,##0.00;[Red]\-&quot;$&quot;#,##0.00"/>
    <numFmt numFmtId="187" formatCode="#,##0.0_);\(#,##0.0\)"/>
    <numFmt numFmtId="188" formatCode="0%;\(0%\)"/>
    <numFmt numFmtId="189" formatCode="#,##0;[Red]\(#,##0\)"/>
    <numFmt numFmtId="190" formatCode="#,##0___);\(#,##0.00\)"/>
    <numFmt numFmtId="191" formatCode="#,##0&quot;%&quot;"/>
    <numFmt numFmtId="192" formatCode="#,##0_);[Red]\(#,##0\);&quot;-&quot;"/>
    <numFmt numFmtId="193" formatCode="*-"/>
    <numFmt numFmtId="194" formatCode="_-&quot;$&quot;* #,##0_-;\-&quot;$&quot;* #,##0_-;_-&quot;$&quot;* &quot;-&quot;_-;_-@_-"/>
    <numFmt numFmtId="195" formatCode="_-&quot;$&quot;* #,##0.00_-;\-&quot;$&quot;* #,##0.00_-;_-&quot;$&quot;* &quot;-&quot;??_-;_-@_-"/>
  </numFmts>
  <fonts count="38">
    <font>
      <sz val="10"/>
      <name val="Arial"/>
    </font>
    <font>
      <sz val="10"/>
      <name val="Helv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indexed="17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4"/>
      <name val="Arial"/>
      <family val="2"/>
    </font>
    <font>
      <sz val="10"/>
      <name val="Tms Rmn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6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169" fontId="14" fillId="0" borderId="0">
      <alignment horizontal="center"/>
    </xf>
    <xf numFmtId="37" fontId="15" fillId="0" borderId="0"/>
    <xf numFmtId="37" fontId="16" fillId="0" borderId="0"/>
    <xf numFmtId="170" fontId="17" fillId="0" borderId="4" applyAlignment="0" applyProtection="0"/>
    <xf numFmtId="171" fontId="18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1" fontId="1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9" fillId="0" borderId="0" applyFill="0" applyBorder="0" applyProtection="0">
      <alignment horizontal="center"/>
      <protection locked="0"/>
    </xf>
    <xf numFmtId="0" fontId="1" fillId="0" borderId="0"/>
    <xf numFmtId="177" fontId="1" fillId="0" borderId="3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Fill="0" applyBorder="0" applyAlignment="0" applyProtection="0">
      <protection locked="0"/>
    </xf>
    <xf numFmtId="178" fontId="5" fillId="0" borderId="0">
      <alignment horizontal="center"/>
    </xf>
    <xf numFmtId="179" fontId="22" fillId="0" borderId="0" applyFill="0" applyBorder="0" applyProtection="0"/>
    <xf numFmtId="180" fontId="23" fillId="0" borderId="0" applyFont="0" applyFill="0" applyBorder="0" applyAlignment="0" applyProtection="0"/>
    <xf numFmtId="181" fontId="24" fillId="0" borderId="5">
      <protection hidden="1"/>
    </xf>
    <xf numFmtId="17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" fontId="14" fillId="0" borderId="0"/>
    <xf numFmtId="14" fontId="25" fillId="0" borderId="0">
      <alignment horizontal="center"/>
    </xf>
    <xf numFmtId="14" fontId="18" fillId="0" borderId="0" applyFill="0" applyBorder="0" applyAlignment="0"/>
    <xf numFmtId="15" fontId="26" fillId="3" borderId="0" applyNumberFormat="0" applyFont="0" applyFill="0" applyBorder="0" applyAlignment="0">
      <alignment horizontal="center" wrapText="1"/>
    </xf>
    <xf numFmtId="0" fontId="18" fillId="0" borderId="6" applyNumberFormat="0" applyFill="0" applyBorder="0" applyAlignment="0" applyProtection="0"/>
    <xf numFmtId="182" fontId="1" fillId="0" borderId="0" applyFont="0" applyFill="0" applyBorder="0" applyAlignment="0" applyProtection="0"/>
    <xf numFmtId="183" fontId="23" fillId="0" borderId="0" applyFont="0" applyFill="0" applyBorder="0" applyAlignment="0" applyProtection="0"/>
    <xf numFmtId="171" fontId="27" fillId="0" borderId="0" applyFill="0" applyBorder="0" applyAlignment="0"/>
    <xf numFmtId="172" fontId="5" fillId="0" borderId="0" applyFill="0" applyBorder="0" applyAlignment="0"/>
    <xf numFmtId="171" fontId="27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81" fontId="24" fillId="0" borderId="5">
      <protection hidden="1"/>
    </xf>
    <xf numFmtId="184" fontId="5" fillId="0" borderId="0" applyFont="0" applyFill="0" applyBorder="0" applyAlignment="0" applyProtection="0"/>
    <xf numFmtId="38" fontId="28" fillId="3" borderId="0" applyNumberFormat="0" applyBorder="0" applyAlignment="0" applyProtection="0"/>
    <xf numFmtId="0" fontId="29" fillId="0" borderId="7" applyNumberFormat="0" applyAlignment="0" applyProtection="0">
      <alignment horizontal="left" vertical="center"/>
    </xf>
    <xf numFmtId="0" fontId="29" fillId="0" borderId="1">
      <alignment horizontal="left" vertical="center"/>
    </xf>
    <xf numFmtId="14" fontId="30" fillId="4" borderId="5">
      <alignment horizontal="center" vertical="center" wrapText="1"/>
    </xf>
    <xf numFmtId="0" fontId="19" fillId="0" borderId="0" applyFill="0" applyAlignment="0" applyProtection="0">
      <protection locked="0"/>
    </xf>
    <xf numFmtId="0" fontId="19" fillId="0" borderId="3" applyFill="0" applyAlignment="0" applyProtection="0">
      <protection locked="0"/>
    </xf>
    <xf numFmtId="10" fontId="28" fillId="5" borderId="6" applyNumberFormat="0" applyBorder="0" applyAlignment="0" applyProtection="0"/>
    <xf numFmtId="171" fontId="31" fillId="0" borderId="0" applyFill="0" applyBorder="0" applyAlignment="0"/>
    <xf numFmtId="172" fontId="5" fillId="0" borderId="0" applyFill="0" applyBorder="0" applyAlignment="0"/>
    <xf numFmtId="171" fontId="31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85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187" fontId="14" fillId="0" borderId="3"/>
    <xf numFmtId="165" fontId="1" fillId="0" borderId="0"/>
    <xf numFmtId="188" fontId="5" fillId="0" borderId="0"/>
    <xf numFmtId="189" fontId="18" fillId="6" borderId="0">
      <alignment horizontal="right"/>
    </xf>
    <xf numFmtId="0" fontId="33" fillId="6" borderId="8"/>
    <xf numFmtId="190" fontId="34" fillId="0" borderId="0"/>
    <xf numFmtId="191" fontId="24" fillId="0" borderId="0">
      <protection hidden="1"/>
    </xf>
    <xf numFmtId="175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87" fontId="14" fillId="0" borderId="0"/>
    <xf numFmtId="171" fontId="35" fillId="0" borderId="0" applyFill="0" applyBorder="0" applyAlignment="0"/>
    <xf numFmtId="172" fontId="5" fillId="0" borderId="0" applyFill="0" applyBorder="0" applyAlignment="0"/>
    <xf numFmtId="171" fontId="3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2" fillId="0" borderId="9"/>
    <xf numFmtId="49" fontId="18" fillId="0" borderId="0" applyFill="0" applyBorder="0" applyAlignment="0"/>
    <xf numFmtId="192" fontId="5" fillId="0" borderId="0" applyFill="0" applyBorder="0" applyAlignment="0"/>
    <xf numFmtId="193" fontId="5" fillId="0" borderId="0" applyFill="0" applyBorder="0" applyAlignment="0"/>
    <xf numFmtId="0" fontId="36" fillId="0" borderId="0" applyFill="0" applyBorder="0" applyProtection="0">
      <alignment horizontal="left" vertical="top"/>
    </xf>
    <xf numFmtId="40" fontId="37" fillId="0" borderId="0"/>
    <xf numFmtId="37" fontId="32" fillId="0" borderId="3"/>
    <xf numFmtId="37" fontId="32" fillId="0" borderId="1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5" fillId="0" borderId="0"/>
  </cellStyleXfs>
  <cellXfs count="53">
    <xf numFmtId="0" fontId="0" fillId="0" borderId="0" xfId="0"/>
    <xf numFmtId="0" fontId="2" fillId="0" borderId="0" xfId="3" applyNumberFormat="1" applyFont="1" applyFill="1" applyBorder="1"/>
    <xf numFmtId="0" fontId="3" fillId="0" borderId="0" xfId="3" applyNumberFormat="1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3" fillId="0" borderId="0" xfId="0" applyFont="1" applyFill="1" applyBorder="1"/>
    <xf numFmtId="164" fontId="6" fillId="0" borderId="0" xfId="1" applyNumberFormat="1" applyFont="1" applyFill="1" applyBorder="1"/>
    <xf numFmtId="164" fontId="4" fillId="0" borderId="0" xfId="1" applyNumberFormat="1" applyFont="1" applyFill="1" applyBorder="1"/>
    <xf numFmtId="0" fontId="4" fillId="0" borderId="0" xfId="3" applyNumberFormat="1" applyFont="1" applyFill="1" applyBorder="1"/>
    <xf numFmtId="0" fontId="4" fillId="0" borderId="0" xfId="3" applyFont="1" applyFill="1" applyBorder="1"/>
    <xf numFmtId="0" fontId="7" fillId="0" borderId="0" xfId="3" applyNumberFormat="1" applyFont="1" applyFill="1" applyBorder="1" applyAlignment="1">
      <alignment horizontal="center"/>
    </xf>
    <xf numFmtId="165" fontId="7" fillId="2" borderId="0" xfId="3" applyNumberFormat="1" applyFont="1" applyFill="1" applyBorder="1" applyAlignment="1">
      <alignment horizontal="center"/>
    </xf>
    <xf numFmtId="0" fontId="7" fillId="0" borderId="0" xfId="3" applyNumberFormat="1" applyFont="1" applyFill="1" applyBorder="1" applyAlignment="1"/>
    <xf numFmtId="164" fontId="8" fillId="0" borderId="0" xfId="1" applyNumberFormat="1" applyFont="1" applyFill="1" applyBorder="1"/>
    <xf numFmtId="165" fontId="3" fillId="0" borderId="0" xfId="3" applyNumberFormat="1" applyFont="1" applyFill="1" applyBorder="1" applyAlignment="1">
      <alignment horizontal="center"/>
    </xf>
    <xf numFmtId="165" fontId="3" fillId="2" borderId="0" xfId="3" applyNumberFormat="1" applyFont="1" applyFill="1" applyBorder="1" applyAlignment="1">
      <alignment horizontal="center"/>
    </xf>
    <xf numFmtId="0" fontId="7" fillId="0" borderId="0" xfId="3" applyNumberFormat="1" applyFont="1" applyFill="1" applyBorder="1" applyAlignment="1">
      <alignment horizontal="center"/>
    </xf>
    <xf numFmtId="0" fontId="7" fillId="2" borderId="0" xfId="3" applyNumberFormat="1" applyFont="1" applyFill="1" applyBorder="1" applyAlignment="1">
      <alignment horizontal="center"/>
    </xf>
    <xf numFmtId="164" fontId="3" fillId="0" borderId="0" xfId="1" applyNumberFormat="1" applyFont="1" applyFill="1" applyBorder="1"/>
    <xf numFmtId="0" fontId="3" fillId="0" borderId="0" xfId="4" applyFont="1" applyFill="1" applyBorder="1"/>
    <xf numFmtId="0" fontId="4" fillId="0" borderId="0" xfId="4" applyFont="1" applyFill="1" applyBorder="1"/>
    <xf numFmtId="0" fontId="3" fillId="2" borderId="0" xfId="0" applyFont="1" applyFill="1" applyBorder="1"/>
    <xf numFmtId="166" fontId="4" fillId="0" borderId="0" xfId="1" applyNumberFormat="1" applyFont="1" applyFill="1" applyBorder="1"/>
    <xf numFmtId="166" fontId="3" fillId="2" borderId="0" xfId="1" applyNumberFormat="1" applyFont="1" applyFill="1" applyBorder="1"/>
    <xf numFmtId="166" fontId="4" fillId="0" borderId="0" xfId="1" applyNumberFormat="1" applyFont="1" applyFill="1"/>
    <xf numFmtId="164" fontId="3" fillId="2" borderId="0" xfId="1" applyNumberFormat="1" applyFont="1" applyFill="1" applyBorder="1"/>
    <xf numFmtId="164" fontId="4" fillId="0" borderId="0" xfId="1" applyNumberFormat="1" applyFont="1" applyFill="1"/>
    <xf numFmtId="164" fontId="4" fillId="0" borderId="1" xfId="1" applyNumberFormat="1" applyFont="1" applyFill="1" applyBorder="1"/>
    <xf numFmtId="164" fontId="3" fillId="2" borderId="1" xfId="1" applyNumberFormat="1" applyFont="1" applyFill="1" applyBorder="1"/>
    <xf numFmtId="166" fontId="4" fillId="0" borderId="0" xfId="0" applyNumberFormat="1" applyFont="1" applyFill="1"/>
    <xf numFmtId="164" fontId="9" fillId="0" borderId="0" xfId="1" applyNumberFormat="1" applyFont="1" applyFill="1" applyBorder="1"/>
    <xf numFmtId="164" fontId="4" fillId="0" borderId="0" xfId="0" applyNumberFormat="1" applyFont="1" applyFill="1"/>
    <xf numFmtId="166" fontId="6" fillId="0" borderId="0" xfId="1" applyNumberFormat="1" applyFont="1" applyFill="1" applyBorder="1"/>
    <xf numFmtId="166" fontId="4" fillId="0" borderId="0" xfId="4" applyNumberFormat="1" applyFont="1" applyFill="1" applyBorder="1"/>
    <xf numFmtId="166" fontId="4" fillId="0" borderId="2" xfId="1" applyNumberFormat="1" applyFont="1" applyFill="1" applyBorder="1"/>
    <xf numFmtId="166" fontId="3" fillId="2" borderId="2" xfId="1" applyNumberFormat="1" applyFont="1" applyFill="1" applyBorder="1"/>
    <xf numFmtId="167" fontId="10" fillId="0" borderId="0" xfId="2" applyNumberFormat="1" applyFont="1" applyFill="1" applyBorder="1"/>
    <xf numFmtId="167" fontId="3" fillId="0" borderId="0" xfId="3" applyNumberFormat="1" applyFont="1" applyFill="1" applyBorder="1"/>
    <xf numFmtId="0" fontId="3" fillId="2" borderId="0" xfId="4" applyFont="1" applyFill="1" applyBorder="1"/>
    <xf numFmtId="167" fontId="11" fillId="0" borderId="0" xfId="3" applyNumberFormat="1" applyFont="1" applyFill="1" applyBorder="1"/>
    <xf numFmtId="168" fontId="4" fillId="0" borderId="0" xfId="4" applyNumberFormat="1" applyFont="1" applyFill="1" applyBorder="1"/>
    <xf numFmtId="37" fontId="3" fillId="2" borderId="0" xfId="1" applyNumberFormat="1" applyFont="1" applyFill="1" applyBorder="1"/>
    <xf numFmtId="166" fontId="12" fillId="0" borderId="0" xfId="1" applyNumberFormat="1" applyFont="1" applyFill="1" applyBorder="1"/>
    <xf numFmtId="37" fontId="3" fillId="2" borderId="3" xfId="1" applyNumberFormat="1" applyFont="1" applyFill="1" applyBorder="1"/>
    <xf numFmtId="164" fontId="12" fillId="0" borderId="0" xfId="1" applyNumberFormat="1" applyFont="1" applyFill="1" applyBorder="1"/>
    <xf numFmtId="0" fontId="3" fillId="0" borderId="0" xfId="3" applyFont="1" applyFill="1" applyBorder="1"/>
    <xf numFmtId="166" fontId="4" fillId="0" borderId="2" xfId="4" applyNumberFormat="1" applyFont="1" applyFill="1" applyBorder="1"/>
    <xf numFmtId="166" fontId="3" fillId="2" borderId="2" xfId="4" applyNumberFormat="1" applyFont="1" applyFill="1" applyBorder="1"/>
    <xf numFmtId="166" fontId="3" fillId="0" borderId="0" xfId="4" applyNumberFormat="1" applyFont="1" applyFill="1" applyBorder="1"/>
    <xf numFmtId="167" fontId="11" fillId="0" borderId="0" xfId="2" applyNumberFormat="1" applyFont="1" applyFill="1" applyBorder="1"/>
    <xf numFmtId="166" fontId="3" fillId="0" borderId="0" xfId="1" applyNumberFormat="1" applyFont="1" applyFill="1" applyBorder="1"/>
    <xf numFmtId="164" fontId="13" fillId="0" borderId="0" xfId="1" applyNumberFormat="1" applyFont="1" applyFill="1" applyBorder="1"/>
    <xf numFmtId="166" fontId="9" fillId="0" borderId="0" xfId="1" applyNumberFormat="1" applyFont="1" applyFill="1" applyBorder="1"/>
  </cellXfs>
  <cellStyles count="86">
    <cellStyle name="6-0" xfId="5"/>
    <cellStyle name="Bold12" xfId="6"/>
    <cellStyle name="BoldItal12" xfId="7"/>
    <cellStyle name="Border" xfId="8"/>
    <cellStyle name="Calc Currency (0)" xfId="9"/>
    <cellStyle name="Calc Currency (2)" xfId="10"/>
    <cellStyle name="Calc Percent (0)" xfId="11"/>
    <cellStyle name="Calc Percent (1)" xfId="12"/>
    <cellStyle name="Calc Percent (2)" xfId="13"/>
    <cellStyle name="Calc Units (0)" xfId="14"/>
    <cellStyle name="Calc Units (1)" xfId="15"/>
    <cellStyle name="Calc Units (2)" xfId="16"/>
    <cellStyle name="Centered Heading" xfId="17"/>
    <cellStyle name="columns" xfId="18"/>
    <cellStyle name="Comma" xfId="1" builtinId="3"/>
    <cellStyle name="comma (0)" xfId="19"/>
    <cellStyle name="Comma [00]" xfId="20"/>
    <cellStyle name="Comma Acctg" xfId="21"/>
    <cellStyle name="Comma0" xfId="22"/>
    <cellStyle name="Company Name" xfId="23"/>
    <cellStyle name="Contracts" xfId="24"/>
    <cellStyle name="CR Comma" xfId="25"/>
    <cellStyle name="CR Currency" xfId="26"/>
    <cellStyle name="curr" xfId="27"/>
    <cellStyle name="Currency [00]" xfId="28"/>
    <cellStyle name="Currency Acctg" xfId="29"/>
    <cellStyle name="Currency0" xfId="30"/>
    <cellStyle name="Data" xfId="31"/>
    <cellStyle name="Date" xfId="32"/>
    <cellStyle name="Date Short" xfId="33"/>
    <cellStyle name="DateJoel" xfId="34"/>
    <cellStyle name="debbie" xfId="35"/>
    <cellStyle name="Dezimal [0]_laroux" xfId="36"/>
    <cellStyle name="Dezimal_laroux" xfId="37"/>
    <cellStyle name="Enter Currency (0)" xfId="38"/>
    <cellStyle name="Enter Currency (2)" xfId="39"/>
    <cellStyle name="Enter Units (0)" xfId="40"/>
    <cellStyle name="Enter Units (1)" xfId="41"/>
    <cellStyle name="Enter Units (2)" xfId="42"/>
    <cellStyle name="eps" xfId="43"/>
    <cellStyle name="Euro" xfId="44"/>
    <cellStyle name="Grey" xfId="45"/>
    <cellStyle name="Header1" xfId="46"/>
    <cellStyle name="Header2" xfId="47"/>
    <cellStyle name="Heading" xfId="48"/>
    <cellStyle name="Heading No Underline" xfId="49"/>
    <cellStyle name="Heading With Underline" xfId="50"/>
    <cellStyle name="Input [yellow]" xfId="51"/>
    <cellStyle name="Link Currency (0)" xfId="52"/>
    <cellStyle name="Link Currency (2)" xfId="53"/>
    <cellStyle name="Link Units (0)" xfId="54"/>
    <cellStyle name="Link Units (1)" xfId="55"/>
    <cellStyle name="Link Units (2)" xfId="56"/>
    <cellStyle name="Milliers [0]_laroux" xfId="57"/>
    <cellStyle name="Milliers_laroux" xfId="58"/>
    <cellStyle name="negativ" xfId="59"/>
    <cellStyle name="nodollars" xfId="60"/>
    <cellStyle name="Normal" xfId="0" builtinId="0"/>
    <cellStyle name="Normal - Style1" xfId="61"/>
    <cellStyle name="Normal_BalanceSheets" xfId="4"/>
    <cellStyle name="Normal_Income Statements" xfId="3"/>
    <cellStyle name="OUTPUT AMOUNTS" xfId="62"/>
    <cellStyle name="OUTPUT LINE ITEMS" xfId="63"/>
    <cellStyle name="over" xfId="64"/>
    <cellStyle name="Percent" xfId="2" builtinId="5"/>
    <cellStyle name="percent (0)" xfId="65"/>
    <cellStyle name="Percent [0]" xfId="66"/>
    <cellStyle name="Percent [00]" xfId="67"/>
    <cellStyle name="Percent [2]" xfId="68"/>
    <cellStyle name="posit" xfId="69"/>
    <cellStyle name="PrePop Currency (0)" xfId="70"/>
    <cellStyle name="PrePop Currency (2)" xfId="71"/>
    <cellStyle name="PrePop Units (0)" xfId="72"/>
    <cellStyle name="PrePop Units (1)" xfId="73"/>
    <cellStyle name="PrePop Units (2)" xfId="74"/>
    <cellStyle name="SingleTopDoubleBott" xfId="75"/>
    <cellStyle name="Text Indent A" xfId="76"/>
    <cellStyle name="Text Indent B" xfId="77"/>
    <cellStyle name="Text Indent C" xfId="78"/>
    <cellStyle name="Tickmark" xfId="79"/>
    <cellStyle name="TimStyle" xfId="80"/>
    <cellStyle name="Underline" xfId="81"/>
    <cellStyle name="UnderlineDouble" xfId="82"/>
    <cellStyle name="Währung [0]_RESULTS" xfId="83"/>
    <cellStyle name="Währung_RESULTS" xfId="84"/>
    <cellStyle name="표준_BINV" xfId="8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comanj/Desktop/Q2_12_Website%20F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itgcfs06\mercury\WINNT\Profiles\krishi\LOCALS~1\Temp\Johncon%20BLT%20(11-2-0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htyducks\Finance\Corp%20Finance\Stock\FY01\FY97\CSPIC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\Coletteh\files\ER%20boo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ghthawk\orglic1\Mickr\Reporting\WWDashboard\WW%20Org%20Lic%20Scoreboard-AUG%20mung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rldwide\MSFin\Flash\FLAS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wl\budget\WebPage\01plan\Financial%20Summaries\Revenue%20Summary%20(finsum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  <sheetName val="Income Statement"/>
      <sheetName val="Cashflow"/>
      <sheetName val="Segment Informatio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Market Cap"/>
      <sheetName val="Mkt cap data"/>
      <sheetName val="Comp summary"/>
      <sheetName val="Growth summary"/>
      <sheetName val="MS"/>
      <sheetName val="Oracle"/>
      <sheetName val="Sun"/>
      <sheetName val="AOL"/>
      <sheetName val="IBM"/>
      <sheetName val="Yahoo"/>
      <sheetName val="October"/>
      <sheetName val="Revsum - trend"/>
      <sheetName val="AugP&amp;L"/>
      <sheetName val="Implied Sept"/>
      <sheetName val="Sheet1"/>
      <sheetName val="October allocated"/>
      <sheetName val="Oct revsum"/>
      <sheetName val="Annuity alloc"/>
      <sheetName val="FY01"/>
      <sheetName val="Comm by area"/>
      <sheetName val="End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une 96"/>
      <sheetName val="May 96"/>
      <sheetName val="CS Adj"/>
      <sheetName val="Apr 96"/>
      <sheetName val="Mar 96"/>
      <sheetName val="Feb 96 "/>
      <sheetName val="Jan 96 "/>
      <sheetName val="Dec 96"/>
      <sheetName val="Nov 96"/>
      <sheetName val="Oct 96"/>
      <sheetName val="Sept 96"/>
      <sheetName val="Aug 96"/>
      <sheetName val="July 96"/>
      <sheetName val="June 95"/>
      <sheetName val="#REF"/>
      <sheetName val="AcqIS"/>
      <sheetName val="AcqBSCF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 Comparable"/>
      <sheetName val="Revenue Comp"/>
      <sheetName val="Income St Sequential"/>
      <sheetName val="Pro forma"/>
      <sheetName val="Data Sheet"/>
      <sheetName val="Source Formulas"/>
      <sheetName val="GAAP Summary"/>
      <sheetName val="Comp Qtrs W-O 1 time items"/>
      <sheetName val="A"/>
    </sheetNames>
    <sheetDataSet>
      <sheetData sheetId="0"/>
      <sheetData sheetId="1"/>
      <sheetData sheetId="2"/>
      <sheetData sheetId="3"/>
      <sheetData sheetId="4" refreshError="1">
        <row r="5">
          <cell r="F5" t="str">
            <v>Actuals - Penultimate-1 Fiscal Year</v>
          </cell>
          <cell r="J5" t="str">
            <v>Actuals - Penultimate Fiscal Year</v>
          </cell>
          <cell r="N5" t="str">
            <v>Actuals - Prior Fiscal Year</v>
          </cell>
          <cell r="R5" t="str">
            <v>Actuals - Current Fiscal Year</v>
          </cell>
        </row>
        <row r="6">
          <cell r="J6">
            <v>1</v>
          </cell>
          <cell r="K6">
            <v>2</v>
          </cell>
          <cell r="L6">
            <v>3</v>
          </cell>
          <cell r="M6">
            <v>4</v>
          </cell>
          <cell r="N6">
            <v>5</v>
          </cell>
          <cell r="O6">
            <v>6</v>
          </cell>
          <cell r="P6">
            <v>7</v>
          </cell>
          <cell r="Q6">
            <v>8</v>
          </cell>
          <cell r="R6">
            <v>9</v>
          </cell>
          <cell r="S6">
            <v>10</v>
          </cell>
          <cell r="T6">
            <v>11</v>
          </cell>
          <cell r="U6">
            <v>12</v>
          </cell>
        </row>
        <row r="7">
          <cell r="F7" t="str">
            <v>Q99-1</v>
          </cell>
          <cell r="G7" t="str">
            <v>Q99-2</v>
          </cell>
          <cell r="H7" t="str">
            <v>Q99-3</v>
          </cell>
          <cell r="I7" t="str">
            <v>Q99-4</v>
          </cell>
          <cell r="J7" t="str">
            <v>Q00-1</v>
          </cell>
          <cell r="K7" t="str">
            <v>Q00-2</v>
          </cell>
          <cell r="L7" t="str">
            <v>Q00-3</v>
          </cell>
          <cell r="M7" t="str">
            <v>Q00-4</v>
          </cell>
          <cell r="N7" t="str">
            <v>Q01-1</v>
          </cell>
          <cell r="O7" t="str">
            <v>Q01-2</v>
          </cell>
          <cell r="P7" t="str">
            <v>Q01-3</v>
          </cell>
          <cell r="Q7" t="str">
            <v>Q01-4</v>
          </cell>
          <cell r="R7">
            <v>37164</v>
          </cell>
          <cell r="S7">
            <v>37256</v>
          </cell>
          <cell r="T7">
            <v>37346</v>
          </cell>
          <cell r="U7">
            <v>37437</v>
          </cell>
        </row>
        <row r="9">
          <cell r="F9">
            <v>4193</v>
          </cell>
          <cell r="G9">
            <v>5195</v>
          </cell>
          <cell r="H9">
            <v>4595</v>
          </cell>
          <cell r="I9">
            <v>5764</v>
          </cell>
          <cell r="J9">
            <v>5384</v>
          </cell>
          <cell r="K9">
            <v>6112</v>
          </cell>
          <cell r="L9">
            <v>5656</v>
          </cell>
          <cell r="M9">
            <v>5804</v>
          </cell>
          <cell r="N9">
            <v>5766</v>
          </cell>
          <cell r="O9">
            <v>6550</v>
          </cell>
          <cell r="P9">
            <v>6403</v>
          </cell>
          <cell r="Q9">
            <v>6577</v>
          </cell>
          <cell r="R9">
            <v>6126</v>
          </cell>
          <cell r="S9">
            <v>7741</v>
          </cell>
          <cell r="T9">
            <v>7245</v>
          </cell>
        </row>
        <row r="10">
          <cell r="F10">
            <v>649</v>
          </cell>
          <cell r="G10">
            <v>788</v>
          </cell>
          <cell r="H10">
            <v>708</v>
          </cell>
          <cell r="I10">
            <v>669</v>
          </cell>
          <cell r="J10">
            <v>712</v>
          </cell>
          <cell r="K10">
            <v>756</v>
          </cell>
          <cell r="L10">
            <v>752</v>
          </cell>
          <cell r="M10">
            <v>782</v>
          </cell>
          <cell r="N10">
            <v>825</v>
          </cell>
          <cell r="O10">
            <v>864</v>
          </cell>
          <cell r="P10">
            <v>899</v>
          </cell>
          <cell r="Q10">
            <v>867</v>
          </cell>
          <cell r="R10">
            <v>884</v>
          </cell>
          <cell r="S10">
            <v>1544</v>
          </cell>
          <cell r="T10">
            <v>1395</v>
          </cell>
        </row>
        <row r="11">
          <cell r="F11">
            <v>3544</v>
          </cell>
          <cell r="G11">
            <v>4407</v>
          </cell>
          <cell r="H11">
            <v>3887</v>
          </cell>
          <cell r="I11">
            <v>5095</v>
          </cell>
          <cell r="J11">
            <v>4672</v>
          </cell>
          <cell r="K11">
            <v>5356</v>
          </cell>
          <cell r="L11">
            <v>4904</v>
          </cell>
          <cell r="M11">
            <v>5022</v>
          </cell>
          <cell r="N11">
            <v>4941</v>
          </cell>
          <cell r="O11">
            <v>5686</v>
          </cell>
          <cell r="P11">
            <v>5504</v>
          </cell>
          <cell r="Q11">
            <v>5710</v>
          </cell>
          <cell r="R11">
            <v>5242</v>
          </cell>
          <cell r="S11">
            <v>6197</v>
          </cell>
          <cell r="T11">
            <v>5850</v>
          </cell>
          <cell r="U11">
            <v>0</v>
          </cell>
        </row>
        <row r="12">
          <cell r="F12">
            <v>0.15478177915573574</v>
          </cell>
          <cell r="G12">
            <v>0.15168431183830605</v>
          </cell>
          <cell r="H12">
            <v>0.15408052230685529</v>
          </cell>
          <cell r="I12">
            <v>0.11606523247744621</v>
          </cell>
          <cell r="J12">
            <v>0.13224368499257058</v>
          </cell>
          <cell r="K12">
            <v>0.12369109947643979</v>
          </cell>
          <cell r="L12">
            <v>0.13295615275813297</v>
          </cell>
          <cell r="M12">
            <v>0.13473466574776016</v>
          </cell>
          <cell r="N12">
            <v>0.14308012486992716</v>
          </cell>
          <cell r="O12">
            <v>0.13190839694656489</v>
          </cell>
          <cell r="P12">
            <v>0.14040293612369201</v>
          </cell>
          <cell r="Q12">
            <v>0.13182301961380569</v>
          </cell>
          <cell r="R12">
            <v>0.14430297094351943</v>
          </cell>
          <cell r="S12">
            <v>0.19945743443999484</v>
          </cell>
        </row>
        <row r="13">
          <cell r="F13">
            <v>651</v>
          </cell>
          <cell r="G13">
            <v>715</v>
          </cell>
          <cell r="H13">
            <v>664</v>
          </cell>
          <cell r="I13">
            <v>940</v>
          </cell>
          <cell r="J13">
            <v>813</v>
          </cell>
          <cell r="K13">
            <v>898</v>
          </cell>
          <cell r="L13">
            <v>974</v>
          </cell>
          <cell r="M13">
            <v>1087</v>
          </cell>
          <cell r="N13">
            <v>956</v>
          </cell>
          <cell r="O13">
            <v>990</v>
          </cell>
          <cell r="P13">
            <v>1069</v>
          </cell>
          <cell r="Q13">
            <v>1364</v>
          </cell>
          <cell r="R13">
            <v>1013</v>
          </cell>
          <cell r="S13">
            <v>1044</v>
          </cell>
          <cell r="T13">
            <v>1066</v>
          </cell>
        </row>
        <row r="15">
          <cell r="F15">
            <v>685</v>
          </cell>
          <cell r="G15">
            <v>798</v>
          </cell>
          <cell r="H15">
            <v>842</v>
          </cell>
          <cell r="I15">
            <v>913</v>
          </cell>
          <cell r="J15">
            <v>922</v>
          </cell>
          <cell r="K15">
            <v>1013</v>
          </cell>
          <cell r="L15">
            <v>1010</v>
          </cell>
          <cell r="M15">
            <v>1181</v>
          </cell>
          <cell r="N15">
            <v>1038</v>
          </cell>
          <cell r="O15">
            <v>1290</v>
          </cell>
          <cell r="P15">
            <v>1198</v>
          </cell>
          <cell r="Q15">
            <v>1359</v>
          </cell>
          <cell r="R15">
            <v>1145</v>
          </cell>
          <cell r="S15">
            <v>1479</v>
          </cell>
          <cell r="T15">
            <v>1240</v>
          </cell>
        </row>
        <row r="16">
          <cell r="F16">
            <v>101</v>
          </cell>
          <cell r="G16">
            <v>154</v>
          </cell>
          <cell r="H16">
            <v>152</v>
          </cell>
          <cell r="I16">
            <v>308</v>
          </cell>
          <cell r="J16">
            <v>148</v>
          </cell>
          <cell r="K16">
            <v>514</v>
          </cell>
          <cell r="L16">
            <v>185</v>
          </cell>
          <cell r="M16">
            <v>203</v>
          </cell>
          <cell r="N16">
            <v>170</v>
          </cell>
          <cell r="O16">
            <v>212</v>
          </cell>
          <cell r="P16">
            <v>239</v>
          </cell>
          <cell r="Q16">
            <v>236</v>
          </cell>
          <cell r="R16">
            <v>187</v>
          </cell>
          <cell r="S16">
            <v>833</v>
          </cell>
          <cell r="T16">
            <v>246</v>
          </cell>
        </row>
        <row r="17">
          <cell r="F17">
            <v>1437</v>
          </cell>
          <cell r="G17">
            <v>1667</v>
          </cell>
          <cell r="H17">
            <v>1658</v>
          </cell>
          <cell r="I17">
            <v>2161</v>
          </cell>
          <cell r="J17">
            <v>1883</v>
          </cell>
          <cell r="K17">
            <v>2425</v>
          </cell>
          <cell r="L17">
            <v>2169</v>
          </cell>
          <cell r="M17">
            <v>2471</v>
          </cell>
          <cell r="N17">
            <v>2164</v>
          </cell>
          <cell r="O17">
            <v>2492</v>
          </cell>
          <cell r="P17">
            <v>2506</v>
          </cell>
          <cell r="Q17">
            <v>2959</v>
          </cell>
          <cell r="R17">
            <v>2345</v>
          </cell>
          <cell r="S17">
            <v>3356</v>
          </cell>
          <cell r="T17">
            <v>2552</v>
          </cell>
          <cell r="U17">
            <v>0</v>
          </cell>
        </row>
        <row r="18">
          <cell r="F18">
            <v>2107</v>
          </cell>
          <cell r="G18">
            <v>2740</v>
          </cell>
          <cell r="H18">
            <v>2229</v>
          </cell>
          <cell r="I18">
            <v>2934</v>
          </cell>
          <cell r="J18">
            <v>2789</v>
          </cell>
          <cell r="K18">
            <v>2931</v>
          </cell>
          <cell r="L18">
            <v>2735</v>
          </cell>
          <cell r="M18">
            <v>2551</v>
          </cell>
          <cell r="N18">
            <v>2777</v>
          </cell>
          <cell r="O18">
            <v>3194</v>
          </cell>
          <cell r="P18">
            <v>2998</v>
          </cell>
          <cell r="Q18">
            <v>2751</v>
          </cell>
          <cell r="R18">
            <v>2897</v>
          </cell>
          <cell r="S18">
            <v>2841</v>
          </cell>
          <cell r="T18">
            <v>3298</v>
          </cell>
          <cell r="U18">
            <v>0</v>
          </cell>
        </row>
        <row r="19">
          <cell r="F19">
            <v>261</v>
          </cell>
          <cell r="G19">
            <v>337</v>
          </cell>
          <cell r="H19">
            <v>711</v>
          </cell>
          <cell r="I19">
            <v>482</v>
          </cell>
          <cell r="J19">
            <v>394</v>
          </cell>
          <cell r="K19">
            <v>770</v>
          </cell>
          <cell r="L19">
            <v>882</v>
          </cell>
          <cell r="M19">
            <v>1124</v>
          </cell>
          <cell r="N19">
            <v>1127</v>
          </cell>
          <cell r="O19">
            <v>751</v>
          </cell>
          <cell r="P19">
            <v>706</v>
          </cell>
          <cell r="Q19">
            <v>-2620</v>
          </cell>
          <cell r="R19">
            <v>-980</v>
          </cell>
          <cell r="S19">
            <v>553</v>
          </cell>
          <cell r="T19">
            <v>739</v>
          </cell>
        </row>
        <row r="20">
          <cell r="F20">
            <v>160</v>
          </cell>
          <cell r="J20">
            <v>156</v>
          </cell>
        </row>
        <row r="21">
          <cell r="F21">
            <v>-25</v>
          </cell>
          <cell r="G21">
            <v>-26</v>
          </cell>
          <cell r="H21">
            <v>9</v>
          </cell>
          <cell r="I21">
            <v>-28</v>
          </cell>
          <cell r="J21">
            <v>-19</v>
          </cell>
          <cell r="K21">
            <v>-10</v>
          </cell>
          <cell r="L21">
            <v>-4</v>
          </cell>
          <cell r="M21">
            <v>-24</v>
          </cell>
          <cell r="N21">
            <v>-52</v>
          </cell>
          <cell r="O21">
            <v>-28</v>
          </cell>
          <cell r="P21">
            <v>-46</v>
          </cell>
          <cell r="Q21">
            <v>-33</v>
          </cell>
          <cell r="R21">
            <v>-30</v>
          </cell>
          <cell r="S21">
            <v>-37</v>
          </cell>
          <cell r="T21">
            <v>-11</v>
          </cell>
        </row>
        <row r="22">
          <cell r="F22">
            <v>2503</v>
          </cell>
          <cell r="G22">
            <v>3051</v>
          </cell>
          <cell r="H22">
            <v>2949</v>
          </cell>
          <cell r="I22">
            <v>3388</v>
          </cell>
          <cell r="J22">
            <v>3320</v>
          </cell>
          <cell r="K22">
            <v>3691</v>
          </cell>
          <cell r="L22">
            <v>3613</v>
          </cell>
          <cell r="M22">
            <v>3651</v>
          </cell>
          <cell r="N22">
            <v>3852</v>
          </cell>
          <cell r="O22">
            <v>3917</v>
          </cell>
          <cell r="P22">
            <v>3658</v>
          </cell>
          <cell r="Q22">
            <v>98</v>
          </cell>
          <cell r="R22">
            <v>1887</v>
          </cell>
          <cell r="S22">
            <v>3357</v>
          </cell>
          <cell r="T22">
            <v>4026</v>
          </cell>
          <cell r="U22">
            <v>0</v>
          </cell>
        </row>
        <row r="23">
          <cell r="F23">
            <v>820.05</v>
          </cell>
          <cell r="G23">
            <v>1067.8499999999999</v>
          </cell>
          <cell r="H23">
            <v>1032.1499999999999</v>
          </cell>
          <cell r="I23">
            <v>1185.8</v>
          </cell>
          <cell r="J23">
            <v>1128.8000000000002</v>
          </cell>
          <cell r="K23">
            <v>1254.94</v>
          </cell>
          <cell r="L23">
            <v>1228.42</v>
          </cell>
          <cell r="M23">
            <v>1241.8399999999999</v>
          </cell>
          <cell r="N23">
            <v>1271.1600000000001</v>
          </cell>
          <cell r="O23">
            <v>1293</v>
          </cell>
          <cell r="P23">
            <v>1207</v>
          </cell>
          <cell r="Q23">
            <v>32</v>
          </cell>
          <cell r="R23">
            <v>604</v>
          </cell>
          <cell r="S23">
            <v>1074</v>
          </cell>
          <cell r="T23">
            <v>1288</v>
          </cell>
          <cell r="U23">
            <v>0</v>
          </cell>
        </row>
        <row r="24">
          <cell r="F24">
            <v>1682.95</v>
          </cell>
          <cell r="G24">
            <v>1983.15</v>
          </cell>
          <cell r="H24">
            <v>1916.8500000000001</v>
          </cell>
          <cell r="I24">
            <v>2202.1999999999998</v>
          </cell>
          <cell r="J24">
            <v>2191.1999999999998</v>
          </cell>
          <cell r="K24">
            <v>2436.06</v>
          </cell>
          <cell r="L24">
            <v>2384.58</v>
          </cell>
          <cell r="M24">
            <v>2409.16</v>
          </cell>
          <cell r="N24">
            <v>2580.84</v>
          </cell>
          <cell r="O24">
            <v>2624</v>
          </cell>
          <cell r="P24">
            <v>2451</v>
          </cell>
          <cell r="Q24">
            <v>66</v>
          </cell>
          <cell r="R24">
            <v>1283</v>
          </cell>
          <cell r="S24">
            <v>2283</v>
          </cell>
          <cell r="T24">
            <v>2738</v>
          </cell>
          <cell r="U24">
            <v>0</v>
          </cell>
        </row>
        <row r="25">
          <cell r="N25">
            <v>-375</v>
          </cell>
        </row>
        <row r="26">
          <cell r="F26">
            <v>1682.95</v>
          </cell>
          <cell r="G26">
            <v>1983.15</v>
          </cell>
          <cell r="H26">
            <v>1916.8500000000001</v>
          </cell>
          <cell r="I26">
            <v>2202.1999999999998</v>
          </cell>
          <cell r="J26">
            <v>2191.1999999999998</v>
          </cell>
          <cell r="K26">
            <v>2436.06</v>
          </cell>
          <cell r="L26">
            <v>2384.58</v>
          </cell>
          <cell r="M26">
            <v>2409.16</v>
          </cell>
          <cell r="N26">
            <v>2205.84</v>
          </cell>
          <cell r="O26">
            <v>2624</v>
          </cell>
          <cell r="P26">
            <v>2451</v>
          </cell>
          <cell r="Q26">
            <v>66</v>
          </cell>
          <cell r="R26">
            <v>1283</v>
          </cell>
          <cell r="S26">
            <v>2283</v>
          </cell>
          <cell r="T26">
            <v>2738</v>
          </cell>
          <cell r="U26">
            <v>0</v>
          </cell>
        </row>
        <row r="27">
          <cell r="F27">
            <v>7</v>
          </cell>
          <cell r="G27">
            <v>7</v>
          </cell>
          <cell r="H27">
            <v>7</v>
          </cell>
          <cell r="I27">
            <v>7</v>
          </cell>
          <cell r="J27">
            <v>7</v>
          </cell>
          <cell r="K27">
            <v>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F28">
            <v>1675.95</v>
          </cell>
          <cell r="G28">
            <v>1976.15</v>
          </cell>
          <cell r="H28">
            <v>1909.8500000000001</v>
          </cell>
          <cell r="I28">
            <v>2195.1999999999998</v>
          </cell>
          <cell r="J28">
            <v>2184.1999999999998</v>
          </cell>
          <cell r="K28">
            <v>2430.06</v>
          </cell>
          <cell r="L28">
            <v>2384.58</v>
          </cell>
          <cell r="M28">
            <v>2409.16</v>
          </cell>
          <cell r="N28">
            <v>2205.84</v>
          </cell>
          <cell r="O28">
            <v>2624</v>
          </cell>
          <cell r="P28">
            <v>2451</v>
          </cell>
          <cell r="Q28">
            <v>66</v>
          </cell>
          <cell r="R28">
            <v>1283</v>
          </cell>
          <cell r="S28">
            <v>2283</v>
          </cell>
          <cell r="T28">
            <v>2738</v>
          </cell>
          <cell r="U28">
            <v>0</v>
          </cell>
        </row>
        <row r="29">
          <cell r="F29">
            <v>4958</v>
          </cell>
          <cell r="G29">
            <v>4998</v>
          </cell>
          <cell r="H29">
            <v>5055</v>
          </cell>
          <cell r="I29">
            <v>5100</v>
          </cell>
          <cell r="J29">
            <v>5129</v>
          </cell>
          <cell r="K29">
            <v>5163</v>
          </cell>
          <cell r="L29">
            <v>5209</v>
          </cell>
          <cell r="M29">
            <v>5250</v>
          </cell>
          <cell r="N29">
            <v>5299</v>
          </cell>
          <cell r="O29">
            <v>5330</v>
          </cell>
          <cell r="P29">
            <v>5336</v>
          </cell>
          <cell r="Q29">
            <v>5381</v>
          </cell>
          <cell r="R29">
            <v>5398</v>
          </cell>
          <cell r="S29">
            <v>5395</v>
          </cell>
          <cell r="T29">
            <v>5415</v>
          </cell>
        </row>
        <row r="30">
          <cell r="F30">
            <v>5435</v>
          </cell>
          <cell r="G30">
            <v>5460</v>
          </cell>
          <cell r="H30">
            <v>5512</v>
          </cell>
          <cell r="I30">
            <v>5521</v>
          </cell>
          <cell r="J30">
            <v>5527</v>
          </cell>
          <cell r="K30">
            <v>5538</v>
          </cell>
          <cell r="L30">
            <v>5543</v>
          </cell>
          <cell r="M30">
            <v>5537</v>
          </cell>
          <cell r="N30">
            <v>5557</v>
          </cell>
          <cell r="O30">
            <v>5570</v>
          </cell>
          <cell r="P30">
            <v>5563</v>
          </cell>
          <cell r="Q30">
            <v>5592</v>
          </cell>
          <cell r="R30">
            <v>5567</v>
          </cell>
          <cell r="S30">
            <v>5556</v>
          </cell>
          <cell r="T30">
            <v>5564</v>
          </cell>
        </row>
        <row r="31">
          <cell r="F31">
            <v>0.33944130697862041</v>
          </cell>
          <cell r="G31">
            <v>0.39678871548619449</v>
          </cell>
          <cell r="H31">
            <v>0.37919881305637987</v>
          </cell>
          <cell r="I31">
            <v>0.4318039215686274</v>
          </cell>
          <cell r="J31">
            <v>0.42721778124390714</v>
          </cell>
          <cell r="K31">
            <v>0.47183033120278906</v>
          </cell>
          <cell r="L31">
            <v>0.45778076406220003</v>
          </cell>
          <cell r="M31">
            <v>0.45888761904761904</v>
          </cell>
          <cell r="N31">
            <v>0.48704283827137196</v>
          </cell>
          <cell r="O31">
            <v>0.49230769230769234</v>
          </cell>
          <cell r="P31">
            <v>0.45933283358320842</v>
          </cell>
          <cell r="Q31">
            <v>1.226537818249396E-2</v>
          </cell>
          <cell r="R31">
            <v>0.23768062245276028</v>
          </cell>
          <cell r="S31">
            <v>0.42316960148285448</v>
          </cell>
          <cell r="T31">
            <v>0.50563250230840262</v>
          </cell>
          <cell r="U31" t="e">
            <v>#DIV/0!</v>
          </cell>
        </row>
        <row r="32">
          <cell r="F32">
            <v>0.30836246550137997</v>
          </cell>
          <cell r="G32">
            <v>0.36193223443223443</v>
          </cell>
          <cell r="H32">
            <v>0.34648947750362846</v>
          </cell>
          <cell r="I32">
            <v>0.3976091287810179</v>
          </cell>
          <cell r="J32">
            <v>0.39518726252940106</v>
          </cell>
          <cell r="K32">
            <v>0.43879739978331528</v>
          </cell>
          <cell r="L32">
            <v>0.430196644416381</v>
          </cell>
          <cell r="M32">
            <v>0.43510204081632653</v>
          </cell>
          <cell r="N32">
            <v>0.46443044808349832</v>
          </cell>
          <cell r="O32">
            <v>0.47109515260323159</v>
          </cell>
          <cell r="P32">
            <v>0.44058960992270357</v>
          </cell>
          <cell r="Q32">
            <v>1.1802575107296138E-2</v>
          </cell>
          <cell r="R32">
            <v>0.23046524160229925</v>
          </cell>
          <cell r="S32">
            <v>0.41090712742980562</v>
          </cell>
          <cell r="T32">
            <v>0.49209202012940328</v>
          </cell>
          <cell r="U32" t="e">
            <v>#DIV/0!</v>
          </cell>
        </row>
        <row r="33">
          <cell r="F33">
            <v>0.3380294473578056</v>
          </cell>
          <cell r="G33">
            <v>0.39538815526210486</v>
          </cell>
          <cell r="H33">
            <v>0.37781404549950548</v>
          </cell>
          <cell r="I33">
            <v>0.43043137254901959</v>
          </cell>
          <cell r="J33">
            <v>0.4258529927861181</v>
          </cell>
          <cell r="K33">
            <v>0.47066821615339915</v>
          </cell>
          <cell r="L33">
            <v>0.45778076406220003</v>
          </cell>
          <cell r="M33">
            <v>0.45888761904761904</v>
          </cell>
          <cell r="N33">
            <v>0.41627476882430647</v>
          </cell>
          <cell r="O33">
            <v>0.49230769230769234</v>
          </cell>
          <cell r="P33">
            <v>0.45933283358320842</v>
          </cell>
          <cell r="Q33">
            <v>1.226537818249396E-2</v>
          </cell>
          <cell r="R33">
            <v>0.23768062245276028</v>
          </cell>
          <cell r="S33">
            <v>0.42316960148285448</v>
          </cell>
          <cell r="T33">
            <v>0.50563250230840262</v>
          </cell>
          <cell r="U33">
            <v>0</v>
          </cell>
        </row>
        <row r="34">
          <cell r="F34">
            <v>0.30965041398344068</v>
          </cell>
          <cell r="G34">
            <v>0.36321428571428571</v>
          </cell>
          <cell r="H34">
            <v>0.34775943396226416</v>
          </cell>
          <cell r="I34">
            <v>0.39887701503350836</v>
          </cell>
          <cell r="J34">
            <v>0.396453772390085</v>
          </cell>
          <cell r="K34">
            <v>0.43988082340195017</v>
          </cell>
          <cell r="L34">
            <v>0.430196644416381</v>
          </cell>
          <cell r="M34">
            <v>0.43510204081632653</v>
          </cell>
          <cell r="N34">
            <v>0.39694799352168436</v>
          </cell>
          <cell r="O34">
            <v>0.47109515260323159</v>
          </cell>
          <cell r="P34">
            <v>0.44058960992270357</v>
          </cell>
          <cell r="Q34">
            <v>1.1802575107296138E-2</v>
          </cell>
          <cell r="R34">
            <v>0.23046524160229925</v>
          </cell>
          <cell r="S34">
            <v>0.41090712742980562</v>
          </cell>
          <cell r="T34">
            <v>0.49209202012940328</v>
          </cell>
          <cell r="U34" t="e">
            <v>#DIV/0!</v>
          </cell>
        </row>
        <row r="38">
          <cell r="F38">
            <v>1608</v>
          </cell>
          <cell r="G38">
            <v>1755</v>
          </cell>
          <cell r="H38">
            <v>1528</v>
          </cell>
          <cell r="I38">
            <v>2358</v>
          </cell>
          <cell r="J38">
            <v>1868</v>
          </cell>
          <cell r="K38">
            <v>2207</v>
          </cell>
          <cell r="L38">
            <v>2018</v>
          </cell>
          <cell r="M38">
            <v>2234</v>
          </cell>
          <cell r="N38">
            <v>2154</v>
          </cell>
          <cell r="O38">
            <v>2334</v>
          </cell>
          <cell r="P38">
            <v>2371</v>
          </cell>
          <cell r="Q38">
            <v>2656</v>
          </cell>
          <cell r="R38">
            <v>2433.2252640706042</v>
          </cell>
          <cell r="S38">
            <v>3235</v>
          </cell>
          <cell r="T38">
            <v>2756</v>
          </cell>
        </row>
        <row r="39">
          <cell r="F39">
            <v>894</v>
          </cell>
          <cell r="G39">
            <v>1254</v>
          </cell>
          <cell r="H39">
            <v>981</v>
          </cell>
          <cell r="I39">
            <v>1198</v>
          </cell>
          <cell r="J39">
            <v>1183</v>
          </cell>
          <cell r="K39">
            <v>1427</v>
          </cell>
          <cell r="L39">
            <v>1259</v>
          </cell>
          <cell r="M39">
            <v>1151</v>
          </cell>
          <cell r="N39">
            <v>1085</v>
          </cell>
          <cell r="O39">
            <v>1430</v>
          </cell>
          <cell r="P39">
            <v>1204</v>
          </cell>
          <cell r="Q39">
            <v>1145</v>
          </cell>
          <cell r="R39">
            <v>1104.8028679412828</v>
          </cell>
          <cell r="S39">
            <v>1416</v>
          </cell>
          <cell r="T39">
            <v>1385</v>
          </cell>
        </row>
        <row r="40">
          <cell r="F40">
            <v>325</v>
          </cell>
          <cell r="G40">
            <v>389</v>
          </cell>
          <cell r="H40">
            <v>492</v>
          </cell>
          <cell r="I40">
            <v>570</v>
          </cell>
          <cell r="J40">
            <v>593</v>
          </cell>
          <cell r="K40">
            <v>606</v>
          </cell>
          <cell r="L40">
            <v>709</v>
          </cell>
          <cell r="M40">
            <v>689</v>
          </cell>
          <cell r="N40">
            <v>708</v>
          </cell>
          <cell r="O40">
            <v>737</v>
          </cell>
          <cell r="P40">
            <v>836</v>
          </cell>
          <cell r="Q40">
            <v>777</v>
          </cell>
          <cell r="R40">
            <v>604.0938756929944</v>
          </cell>
          <cell r="S40">
            <v>705</v>
          </cell>
          <cell r="T40">
            <v>818</v>
          </cell>
        </row>
        <row r="41">
          <cell r="F41">
            <v>1366</v>
          </cell>
          <cell r="G41">
            <v>1797</v>
          </cell>
          <cell r="H41">
            <v>1594</v>
          </cell>
          <cell r="I41">
            <v>1638</v>
          </cell>
          <cell r="J41">
            <v>1740</v>
          </cell>
          <cell r="K41">
            <v>1872</v>
          </cell>
          <cell r="L41">
            <v>1670</v>
          </cell>
          <cell r="M41">
            <v>1730</v>
          </cell>
          <cell r="N41">
            <v>1819</v>
          </cell>
          <cell r="O41">
            <v>2049</v>
          </cell>
          <cell r="P41">
            <v>1992</v>
          </cell>
          <cell r="Q41">
            <v>1999</v>
          </cell>
          <cell r="R41">
            <v>1984.3675963395417</v>
          </cell>
          <cell r="S41">
            <v>2385</v>
          </cell>
          <cell r="T41">
            <v>2286</v>
          </cell>
        </row>
        <row r="42">
          <cell r="F42">
            <v>4193</v>
          </cell>
          <cell r="G42">
            <v>5195</v>
          </cell>
          <cell r="H42">
            <v>4595</v>
          </cell>
          <cell r="I42">
            <v>5764</v>
          </cell>
          <cell r="J42">
            <v>5384</v>
          </cell>
          <cell r="K42">
            <v>6112</v>
          </cell>
          <cell r="L42">
            <v>5656</v>
          </cell>
          <cell r="M42">
            <v>5804</v>
          </cell>
          <cell r="N42">
            <v>5766</v>
          </cell>
          <cell r="O42">
            <v>6550</v>
          </cell>
          <cell r="P42">
            <v>6403</v>
          </cell>
          <cell r="Q42">
            <v>6577</v>
          </cell>
          <cell r="R42">
            <v>6126.4896040444228</v>
          </cell>
          <cell r="S42">
            <v>7741</v>
          </cell>
          <cell r="T42">
            <v>7245</v>
          </cell>
          <cell r="U42">
            <v>0</v>
          </cell>
        </row>
        <row r="45">
          <cell r="F45">
            <v>1560</v>
          </cell>
          <cell r="G45">
            <v>1957</v>
          </cell>
          <cell r="H45">
            <v>1660</v>
          </cell>
          <cell r="I45">
            <v>2598</v>
          </cell>
          <cell r="J45">
            <v>2213</v>
          </cell>
          <cell r="K45">
            <v>2531</v>
          </cell>
          <cell r="L45">
            <v>2263</v>
          </cell>
          <cell r="M45">
            <v>2289</v>
          </cell>
          <cell r="N45">
            <v>2139</v>
          </cell>
          <cell r="O45">
            <v>2485</v>
          </cell>
          <cell r="P45">
            <v>2412</v>
          </cell>
          <cell r="Q45">
            <v>2507</v>
          </cell>
          <cell r="R45">
            <v>2191.6529290182516</v>
          </cell>
          <cell r="S45">
            <v>2449</v>
          </cell>
          <cell r="T45">
            <v>2436</v>
          </cell>
        </row>
        <row r="46">
          <cell r="F46">
            <v>1583</v>
          </cell>
          <cell r="G46">
            <v>1886</v>
          </cell>
          <cell r="H46">
            <v>1582</v>
          </cell>
          <cell r="I46">
            <v>1686</v>
          </cell>
          <cell r="J46">
            <v>1667</v>
          </cell>
          <cell r="K46">
            <v>1829</v>
          </cell>
          <cell r="L46">
            <v>1765</v>
          </cell>
          <cell r="M46">
            <v>1757</v>
          </cell>
          <cell r="N46">
            <v>1883</v>
          </cell>
          <cell r="O46">
            <v>2063</v>
          </cell>
          <cell r="P46">
            <v>2052</v>
          </cell>
          <cell r="Q46">
            <v>2043</v>
          </cell>
          <cell r="R46">
            <v>2017.4589009393314</v>
          </cell>
          <cell r="S46">
            <v>2554</v>
          </cell>
          <cell r="T46">
            <v>2285</v>
          </cell>
        </row>
        <row r="47">
          <cell r="F47">
            <v>3143</v>
          </cell>
          <cell r="G47">
            <v>3843</v>
          </cell>
          <cell r="H47">
            <v>3242</v>
          </cell>
          <cell r="I47">
            <v>4284</v>
          </cell>
          <cell r="J47">
            <v>3880</v>
          </cell>
          <cell r="K47">
            <v>4360</v>
          </cell>
          <cell r="L47">
            <v>4028</v>
          </cell>
          <cell r="M47">
            <v>4046</v>
          </cell>
          <cell r="N47">
            <v>4022</v>
          </cell>
          <cell r="O47">
            <v>4548</v>
          </cell>
          <cell r="P47">
            <v>4464</v>
          </cell>
          <cell r="Q47">
            <v>4550</v>
          </cell>
          <cell r="R47">
            <v>4209.1118299575828</v>
          </cell>
          <cell r="S47">
            <v>5003</v>
          </cell>
          <cell r="T47">
            <v>4721</v>
          </cell>
        </row>
        <row r="48">
          <cell r="F48">
            <v>641</v>
          </cell>
          <cell r="G48">
            <v>780</v>
          </cell>
          <cell r="H48">
            <v>930</v>
          </cell>
          <cell r="I48">
            <v>983</v>
          </cell>
          <cell r="J48">
            <v>949</v>
          </cell>
          <cell r="K48">
            <v>1028</v>
          </cell>
          <cell r="L48">
            <v>1028</v>
          </cell>
          <cell r="M48">
            <v>1076</v>
          </cell>
          <cell r="N48">
            <v>1037</v>
          </cell>
          <cell r="O48">
            <v>1244</v>
          </cell>
          <cell r="P48">
            <v>1254</v>
          </cell>
          <cell r="Q48">
            <v>1294</v>
          </cell>
          <cell r="R48">
            <v>1192.52554816424</v>
          </cell>
          <cell r="S48">
            <v>1288</v>
          </cell>
          <cell r="T48">
            <v>1276</v>
          </cell>
        </row>
        <row r="49">
          <cell r="F49">
            <v>3784</v>
          </cell>
          <cell r="G49">
            <v>4623</v>
          </cell>
          <cell r="H49">
            <v>4172</v>
          </cell>
          <cell r="I49">
            <v>5267</v>
          </cell>
          <cell r="J49">
            <v>4829</v>
          </cell>
          <cell r="K49">
            <v>5388</v>
          </cell>
          <cell r="L49">
            <v>5056</v>
          </cell>
          <cell r="M49">
            <v>5122</v>
          </cell>
          <cell r="N49">
            <v>5059</v>
          </cell>
          <cell r="O49">
            <v>5792</v>
          </cell>
          <cell r="P49">
            <v>5718</v>
          </cell>
          <cell r="Q49">
            <v>5844</v>
          </cell>
          <cell r="R49">
            <v>5401.6373781218226</v>
          </cell>
          <cell r="S49">
            <v>6291</v>
          </cell>
          <cell r="T49">
            <v>5997</v>
          </cell>
        </row>
        <row r="50">
          <cell r="F50">
            <v>232</v>
          </cell>
          <cell r="G50">
            <v>357</v>
          </cell>
          <cell r="H50">
            <v>302</v>
          </cell>
          <cell r="I50">
            <v>296</v>
          </cell>
          <cell r="J50">
            <v>366</v>
          </cell>
          <cell r="K50">
            <v>464</v>
          </cell>
          <cell r="L50">
            <v>378</v>
          </cell>
          <cell r="M50">
            <v>418</v>
          </cell>
          <cell r="N50">
            <v>479</v>
          </cell>
          <cell r="O50">
            <v>506</v>
          </cell>
          <cell r="P50">
            <v>460</v>
          </cell>
          <cell r="Q50">
            <v>509</v>
          </cell>
          <cell r="R50">
            <v>500.78435682509996</v>
          </cell>
          <cell r="S50">
            <v>1197</v>
          </cell>
          <cell r="T50">
            <v>1066</v>
          </cell>
        </row>
        <row r="51">
          <cell r="F51">
            <v>9</v>
          </cell>
          <cell r="G51">
            <v>12</v>
          </cell>
          <cell r="H51">
            <v>15</v>
          </cell>
          <cell r="I51">
            <v>26</v>
          </cell>
          <cell r="J51">
            <v>18</v>
          </cell>
          <cell r="K51">
            <v>30</v>
          </cell>
          <cell r="L51">
            <v>46</v>
          </cell>
          <cell r="M51">
            <v>88</v>
          </cell>
          <cell r="N51">
            <v>63</v>
          </cell>
          <cell r="O51">
            <v>64</v>
          </cell>
          <cell r="P51">
            <v>76</v>
          </cell>
          <cell r="Q51">
            <v>96</v>
          </cell>
          <cell r="R51">
            <v>94.048726380700003</v>
          </cell>
          <cell r="S51">
            <v>90</v>
          </cell>
          <cell r="T51">
            <v>45</v>
          </cell>
        </row>
        <row r="52">
          <cell r="F52">
            <v>168</v>
          </cell>
          <cell r="G52">
            <v>203</v>
          </cell>
          <cell r="H52">
            <v>106</v>
          </cell>
          <cell r="I52">
            <v>175</v>
          </cell>
          <cell r="J52">
            <v>171</v>
          </cell>
          <cell r="K52">
            <v>230</v>
          </cell>
          <cell r="L52">
            <v>176</v>
          </cell>
          <cell r="M52">
            <v>176</v>
          </cell>
          <cell r="N52">
            <v>165</v>
          </cell>
          <cell r="O52">
            <v>188</v>
          </cell>
          <cell r="P52">
            <v>149</v>
          </cell>
          <cell r="Q52">
            <v>128</v>
          </cell>
          <cell r="R52">
            <v>129.01914271679999</v>
          </cell>
          <cell r="S52">
            <v>163</v>
          </cell>
          <cell r="T52">
            <v>137</v>
          </cell>
        </row>
        <row r="53">
          <cell r="F53">
            <v>4193</v>
          </cell>
          <cell r="G53">
            <v>5195</v>
          </cell>
          <cell r="H53">
            <v>4595</v>
          </cell>
          <cell r="I53">
            <v>5764</v>
          </cell>
          <cell r="J53">
            <v>5384</v>
          </cell>
          <cell r="K53">
            <v>6112</v>
          </cell>
          <cell r="L53">
            <v>5656</v>
          </cell>
          <cell r="M53">
            <v>5804</v>
          </cell>
          <cell r="N53">
            <v>5766</v>
          </cell>
          <cell r="O53">
            <v>6550</v>
          </cell>
          <cell r="P53">
            <v>6403</v>
          </cell>
          <cell r="Q53">
            <v>6577</v>
          </cell>
          <cell r="R53">
            <v>6126.4896040444228</v>
          </cell>
          <cell r="S53">
            <v>7741</v>
          </cell>
          <cell r="T53">
            <v>7245</v>
          </cell>
          <cell r="U53">
            <v>0</v>
          </cell>
        </row>
        <row r="56">
          <cell r="F56">
            <v>543</v>
          </cell>
          <cell r="G56">
            <v>532</v>
          </cell>
          <cell r="H56">
            <v>508</v>
          </cell>
          <cell r="I56">
            <v>678</v>
          </cell>
          <cell r="J56">
            <v>627</v>
          </cell>
          <cell r="K56">
            <v>690</v>
          </cell>
          <cell r="L56">
            <v>763</v>
          </cell>
          <cell r="M56">
            <v>836</v>
          </cell>
          <cell r="N56">
            <v>705</v>
          </cell>
          <cell r="O56">
            <v>638</v>
          </cell>
          <cell r="P56">
            <v>762</v>
          </cell>
          <cell r="Q56">
            <v>1197</v>
          </cell>
          <cell r="R56">
            <v>949</v>
          </cell>
          <cell r="S56">
            <v>956</v>
          </cell>
          <cell r="V56" t="str">
            <v>Q01-2: CG CoGS reclass - 76m; Other headcount %40m lower than prior year; Infrastructure flat with Q00-2</v>
          </cell>
        </row>
        <row r="57">
          <cell r="F57">
            <v>108</v>
          </cell>
          <cell r="G57">
            <v>183</v>
          </cell>
          <cell r="H57">
            <v>156</v>
          </cell>
          <cell r="I57">
            <v>262</v>
          </cell>
          <cell r="J57">
            <v>186</v>
          </cell>
          <cell r="K57">
            <v>208</v>
          </cell>
          <cell r="L57">
            <v>211</v>
          </cell>
          <cell r="M57">
            <v>251</v>
          </cell>
          <cell r="N57">
            <v>251</v>
          </cell>
          <cell r="O57">
            <v>268</v>
          </cell>
          <cell r="P57">
            <v>296</v>
          </cell>
          <cell r="Q57">
            <v>167</v>
          </cell>
          <cell r="R57">
            <v>63</v>
          </cell>
          <cell r="S57">
            <v>88</v>
          </cell>
          <cell r="V57" t="str">
            <v>Q01-2:  External loc down 23% from Q00-2</v>
          </cell>
        </row>
        <row r="58">
          <cell r="F58">
            <v>651</v>
          </cell>
          <cell r="G58">
            <v>715</v>
          </cell>
          <cell r="H58">
            <v>664</v>
          </cell>
          <cell r="I58">
            <v>940</v>
          </cell>
          <cell r="J58">
            <v>813</v>
          </cell>
          <cell r="K58">
            <v>898</v>
          </cell>
          <cell r="L58">
            <v>974</v>
          </cell>
          <cell r="M58">
            <v>1087</v>
          </cell>
          <cell r="N58">
            <v>956</v>
          </cell>
          <cell r="O58">
            <v>906</v>
          </cell>
          <cell r="P58">
            <v>1058</v>
          </cell>
          <cell r="Q58">
            <v>1364</v>
          </cell>
          <cell r="R58">
            <v>1012</v>
          </cell>
          <cell r="S58">
            <v>1044</v>
          </cell>
          <cell r="T58">
            <v>1058</v>
          </cell>
        </row>
        <row r="61">
          <cell r="F61">
            <v>311</v>
          </cell>
          <cell r="G61">
            <v>319</v>
          </cell>
          <cell r="H61">
            <v>451</v>
          </cell>
          <cell r="I61">
            <v>497</v>
          </cell>
          <cell r="J61">
            <v>375</v>
          </cell>
          <cell r="K61">
            <v>374</v>
          </cell>
          <cell r="L61">
            <v>378</v>
          </cell>
          <cell r="M61">
            <v>622</v>
          </cell>
          <cell r="N61">
            <v>508</v>
          </cell>
          <cell r="O61">
            <v>670</v>
          </cell>
          <cell r="P61">
            <v>578</v>
          </cell>
          <cell r="R61">
            <v>508</v>
          </cell>
          <cell r="S61">
            <v>670</v>
          </cell>
          <cell r="T61">
            <v>578</v>
          </cell>
        </row>
        <row r="63">
          <cell r="F63">
            <v>360</v>
          </cell>
          <cell r="G63">
            <v>440</v>
          </cell>
          <cell r="H63">
            <v>356</v>
          </cell>
          <cell r="I63">
            <v>415</v>
          </cell>
          <cell r="J63">
            <v>541</v>
          </cell>
          <cell r="K63">
            <v>630</v>
          </cell>
          <cell r="L63">
            <v>567</v>
          </cell>
          <cell r="M63">
            <v>577</v>
          </cell>
          <cell r="N63">
            <v>626</v>
          </cell>
          <cell r="O63">
            <v>752</v>
          </cell>
          <cell r="P63">
            <v>683</v>
          </cell>
          <cell r="R63">
            <v>626</v>
          </cell>
          <cell r="S63">
            <v>752</v>
          </cell>
          <cell r="T63">
            <v>683</v>
          </cell>
        </row>
        <row r="64">
          <cell r="F64">
            <v>6</v>
          </cell>
          <cell r="G64">
            <v>30</v>
          </cell>
          <cell r="H64">
            <v>29</v>
          </cell>
          <cell r="I64">
            <v>15</v>
          </cell>
          <cell r="J64">
            <v>1</v>
          </cell>
          <cell r="K64">
            <v>2</v>
          </cell>
          <cell r="L64">
            <v>9</v>
          </cell>
          <cell r="M64">
            <v>28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F65">
            <v>150</v>
          </cell>
          <cell r="G65">
            <v>155</v>
          </cell>
          <cell r="H65">
            <v>153</v>
          </cell>
          <cell r="I65">
            <v>187</v>
          </cell>
          <cell r="J65">
            <v>160</v>
          </cell>
          <cell r="K65">
            <v>184</v>
          </cell>
          <cell r="L65">
            <v>190</v>
          </cell>
          <cell r="M65">
            <v>219</v>
          </cell>
          <cell r="N65">
            <v>239</v>
          </cell>
          <cell r="O65">
            <v>253</v>
          </cell>
          <cell r="P65">
            <v>254</v>
          </cell>
          <cell r="R65">
            <v>239</v>
          </cell>
          <cell r="S65">
            <v>253</v>
          </cell>
          <cell r="T65">
            <v>254</v>
          </cell>
        </row>
        <row r="66">
          <cell r="F66">
            <v>827</v>
          </cell>
          <cell r="G66">
            <v>944</v>
          </cell>
          <cell r="H66">
            <v>989</v>
          </cell>
          <cell r="I66">
            <v>1114</v>
          </cell>
          <cell r="J66">
            <v>1077</v>
          </cell>
          <cell r="K66">
            <v>1190</v>
          </cell>
          <cell r="L66">
            <v>1144</v>
          </cell>
          <cell r="M66">
            <v>1446</v>
          </cell>
          <cell r="N66">
            <v>1373</v>
          </cell>
          <cell r="O66">
            <v>1675</v>
          </cell>
          <cell r="P66">
            <v>1515</v>
          </cell>
          <cell r="R66">
            <v>1373</v>
          </cell>
          <cell r="S66">
            <v>1675</v>
          </cell>
          <cell r="T66">
            <v>1515</v>
          </cell>
        </row>
        <row r="67">
          <cell r="F67">
            <v>-150</v>
          </cell>
          <cell r="G67">
            <v>-155</v>
          </cell>
          <cell r="H67">
            <v>-153</v>
          </cell>
          <cell r="I67">
            <v>-187</v>
          </cell>
          <cell r="J67">
            <v>-160</v>
          </cell>
          <cell r="K67">
            <v>-184</v>
          </cell>
          <cell r="L67">
            <v>-190</v>
          </cell>
          <cell r="M67">
            <v>-219</v>
          </cell>
          <cell r="N67">
            <v>-239</v>
          </cell>
          <cell r="O67">
            <v>-253</v>
          </cell>
          <cell r="P67">
            <v>-254</v>
          </cell>
          <cell r="R67">
            <v>-239</v>
          </cell>
          <cell r="S67">
            <v>-253</v>
          </cell>
          <cell r="T67">
            <v>-254</v>
          </cell>
        </row>
        <row r="68">
          <cell r="F68">
            <v>-3</v>
          </cell>
          <cell r="G68">
            <v>5</v>
          </cell>
          <cell r="H68">
            <v>-4</v>
          </cell>
          <cell r="I68">
            <v>-13</v>
          </cell>
          <cell r="J68">
            <v>-12</v>
          </cell>
          <cell r="K68">
            <v>-9</v>
          </cell>
          <cell r="L68">
            <v>27</v>
          </cell>
          <cell r="M68">
            <v>-29</v>
          </cell>
          <cell r="N68">
            <v>-96</v>
          </cell>
          <cell r="O68">
            <v>-79</v>
          </cell>
          <cell r="P68">
            <v>-86</v>
          </cell>
          <cell r="R68">
            <v>-96</v>
          </cell>
          <cell r="S68">
            <v>-79</v>
          </cell>
          <cell r="T68">
            <v>-86</v>
          </cell>
        </row>
        <row r="69">
          <cell r="F69">
            <v>11</v>
          </cell>
          <cell r="G69">
            <v>4</v>
          </cell>
          <cell r="H69">
            <v>10</v>
          </cell>
          <cell r="I69">
            <v>-1</v>
          </cell>
          <cell r="J69">
            <v>17</v>
          </cell>
          <cell r="K69">
            <v>16</v>
          </cell>
          <cell r="L69">
            <v>29</v>
          </cell>
          <cell r="M69">
            <v>-17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>
            <v>685</v>
          </cell>
          <cell r="G70">
            <v>798</v>
          </cell>
          <cell r="H70">
            <v>842</v>
          </cell>
          <cell r="I70">
            <v>913</v>
          </cell>
          <cell r="J70">
            <v>922</v>
          </cell>
          <cell r="K70">
            <v>1013</v>
          </cell>
          <cell r="L70">
            <v>1010</v>
          </cell>
          <cell r="M70">
            <v>1181</v>
          </cell>
          <cell r="N70">
            <v>1038</v>
          </cell>
          <cell r="O70">
            <v>1343</v>
          </cell>
          <cell r="P70">
            <v>1175</v>
          </cell>
          <cell r="R70">
            <v>1038</v>
          </cell>
          <cell r="S70">
            <v>1343</v>
          </cell>
          <cell r="T70">
            <v>1175</v>
          </cell>
        </row>
        <row r="72">
          <cell r="F72">
            <v>325</v>
          </cell>
          <cell r="G72">
            <v>358</v>
          </cell>
          <cell r="H72">
            <v>486</v>
          </cell>
          <cell r="I72">
            <v>498</v>
          </cell>
          <cell r="J72">
            <v>381</v>
          </cell>
          <cell r="K72">
            <v>383</v>
          </cell>
          <cell r="L72">
            <v>443</v>
          </cell>
          <cell r="M72">
            <v>604</v>
          </cell>
          <cell r="N72">
            <v>412</v>
          </cell>
          <cell r="O72">
            <v>591</v>
          </cell>
          <cell r="P72">
            <v>492</v>
          </cell>
          <cell r="Q72">
            <v>465037750.80999988</v>
          </cell>
          <cell r="R72">
            <v>513409245.25999999</v>
          </cell>
          <cell r="S72">
            <v>712035481.99999988</v>
          </cell>
        </row>
        <row r="73">
          <cell r="F73">
            <v>360</v>
          </cell>
          <cell r="G73">
            <v>440</v>
          </cell>
          <cell r="H73">
            <v>356</v>
          </cell>
          <cell r="I73">
            <v>415</v>
          </cell>
          <cell r="J73">
            <v>541</v>
          </cell>
          <cell r="K73">
            <v>630</v>
          </cell>
          <cell r="L73">
            <v>567</v>
          </cell>
          <cell r="M73">
            <v>577</v>
          </cell>
          <cell r="N73">
            <v>626</v>
          </cell>
          <cell r="O73">
            <v>752</v>
          </cell>
          <cell r="P73">
            <v>683</v>
          </cell>
          <cell r="Q73">
            <v>895288390.87710011</v>
          </cell>
          <cell r="R73">
            <v>631917540.59000051</v>
          </cell>
          <cell r="S73">
            <v>767462858.73999977</v>
          </cell>
        </row>
        <row r="74">
          <cell r="F74">
            <v>685</v>
          </cell>
          <cell r="G74">
            <v>798</v>
          </cell>
          <cell r="H74">
            <v>842</v>
          </cell>
          <cell r="I74">
            <v>913</v>
          </cell>
          <cell r="J74">
            <v>922</v>
          </cell>
          <cell r="K74">
            <v>1013</v>
          </cell>
          <cell r="L74">
            <v>1010</v>
          </cell>
          <cell r="M74">
            <v>1181</v>
          </cell>
          <cell r="N74">
            <v>1038</v>
          </cell>
          <cell r="O74">
            <v>1343</v>
          </cell>
          <cell r="P74">
            <v>1175</v>
          </cell>
          <cell r="Q74">
            <v>1360326141.6870999</v>
          </cell>
          <cell r="R74">
            <v>1145326785.8500004</v>
          </cell>
          <cell r="S74">
            <v>1479498340.7399998</v>
          </cell>
          <cell r="T74">
            <v>1175</v>
          </cell>
        </row>
        <row r="77">
          <cell r="F77">
            <v>3953</v>
          </cell>
          <cell r="G77">
            <v>4938</v>
          </cell>
          <cell r="H77">
            <v>4331</v>
          </cell>
          <cell r="I77">
            <v>5463</v>
          </cell>
          <cell r="J77">
            <v>5106</v>
          </cell>
          <cell r="K77">
            <v>5851</v>
          </cell>
          <cell r="L77">
            <v>5364</v>
          </cell>
          <cell r="M77">
            <v>5505</v>
          </cell>
          <cell r="N77">
            <v>5454</v>
          </cell>
          <cell r="O77">
            <v>6234</v>
          </cell>
          <cell r="P77">
            <v>6052</v>
          </cell>
          <cell r="Q77">
            <v>6173</v>
          </cell>
          <cell r="R77">
            <v>5711</v>
          </cell>
          <cell r="S77">
            <v>7281</v>
          </cell>
        </row>
        <row r="78">
          <cell r="F78">
            <v>51</v>
          </cell>
          <cell r="G78">
            <v>52</v>
          </cell>
          <cell r="H78">
            <v>57</v>
          </cell>
          <cell r="I78">
            <v>62</v>
          </cell>
          <cell r="J78">
            <v>65</v>
          </cell>
          <cell r="K78">
            <v>69</v>
          </cell>
          <cell r="L78">
            <v>76</v>
          </cell>
          <cell r="M78">
            <v>76</v>
          </cell>
          <cell r="N78">
            <v>80</v>
          </cell>
          <cell r="O78">
            <v>87</v>
          </cell>
          <cell r="P78">
            <v>91</v>
          </cell>
          <cell r="Q78">
            <v>97</v>
          </cell>
          <cell r="R78">
            <v>96</v>
          </cell>
          <cell r="S78">
            <v>107</v>
          </cell>
        </row>
        <row r="79">
          <cell r="F79">
            <v>77</v>
          </cell>
          <cell r="G79">
            <v>83</v>
          </cell>
          <cell r="H79">
            <v>92</v>
          </cell>
          <cell r="I79">
            <v>100</v>
          </cell>
          <cell r="J79">
            <v>97</v>
          </cell>
          <cell r="K79">
            <v>85</v>
          </cell>
          <cell r="L79">
            <v>80</v>
          </cell>
          <cell r="M79">
            <v>99</v>
          </cell>
          <cell r="N79">
            <v>123</v>
          </cell>
          <cell r="O79">
            <v>89</v>
          </cell>
          <cell r="P79">
            <v>130</v>
          </cell>
          <cell r="Q79">
            <v>154</v>
          </cell>
          <cell r="R79">
            <v>177</v>
          </cell>
          <cell r="S79">
            <v>180</v>
          </cell>
        </row>
        <row r="80">
          <cell r="F80">
            <v>75</v>
          </cell>
          <cell r="G80">
            <v>86</v>
          </cell>
          <cell r="H80">
            <v>78</v>
          </cell>
          <cell r="I80">
            <v>92</v>
          </cell>
          <cell r="J80">
            <v>73</v>
          </cell>
          <cell r="K80">
            <v>82</v>
          </cell>
          <cell r="L80">
            <v>86</v>
          </cell>
          <cell r="M80">
            <v>94</v>
          </cell>
          <cell r="N80">
            <v>95</v>
          </cell>
          <cell r="O80">
            <v>119</v>
          </cell>
          <cell r="P80">
            <v>133</v>
          </cell>
          <cell r="Q80">
            <v>133</v>
          </cell>
          <cell r="R80">
            <v>117</v>
          </cell>
          <cell r="S80">
            <v>147</v>
          </cell>
        </row>
        <row r="81">
          <cell r="F81">
            <v>37</v>
          </cell>
          <cell r="G81">
            <v>36</v>
          </cell>
          <cell r="H81">
            <v>37</v>
          </cell>
          <cell r="I81">
            <v>47</v>
          </cell>
          <cell r="J81">
            <v>43</v>
          </cell>
          <cell r="K81">
            <v>25</v>
          </cell>
          <cell r="L81">
            <v>50</v>
          </cell>
          <cell r="M81">
            <v>30</v>
          </cell>
          <cell r="N81">
            <v>48</v>
          </cell>
          <cell r="O81">
            <v>55</v>
          </cell>
          <cell r="P81">
            <v>50</v>
          </cell>
          <cell r="Q81">
            <v>20</v>
          </cell>
          <cell r="R81">
            <v>25</v>
          </cell>
          <cell r="S81">
            <v>26</v>
          </cell>
        </row>
        <row r="82">
          <cell r="F82">
            <v>4193</v>
          </cell>
          <cell r="G82">
            <v>5195</v>
          </cell>
          <cell r="H82">
            <v>4595</v>
          </cell>
          <cell r="I82">
            <v>5764</v>
          </cell>
          <cell r="J82">
            <v>5384</v>
          </cell>
          <cell r="K82">
            <v>6112</v>
          </cell>
          <cell r="L82">
            <v>5656</v>
          </cell>
          <cell r="M82">
            <v>5804</v>
          </cell>
          <cell r="N82">
            <v>5800</v>
          </cell>
          <cell r="O82">
            <v>6584</v>
          </cell>
          <cell r="P82">
            <v>6456</v>
          </cell>
          <cell r="Q82">
            <v>6577</v>
          </cell>
          <cell r="R82">
            <v>6126</v>
          </cell>
          <cell r="S82">
            <v>7741</v>
          </cell>
          <cell r="T82">
            <v>6456</v>
          </cell>
        </row>
        <row r="85">
          <cell r="F85">
            <v>307</v>
          </cell>
          <cell r="G85">
            <v>433</v>
          </cell>
          <cell r="H85">
            <v>350</v>
          </cell>
          <cell r="I85">
            <v>229</v>
          </cell>
          <cell r="J85">
            <v>333</v>
          </cell>
          <cell r="K85">
            <v>353</v>
          </cell>
          <cell r="L85">
            <v>343</v>
          </cell>
          <cell r="M85">
            <v>320</v>
          </cell>
          <cell r="N85">
            <v>428</v>
          </cell>
          <cell r="O85">
            <v>454</v>
          </cell>
          <cell r="P85">
            <v>507</v>
          </cell>
          <cell r="Q85">
            <v>455</v>
          </cell>
          <cell r="R85">
            <v>353</v>
          </cell>
          <cell r="S85">
            <v>456</v>
          </cell>
        </row>
        <row r="86">
          <cell r="F86">
            <v>201</v>
          </cell>
          <cell r="G86">
            <v>207</v>
          </cell>
          <cell r="H86">
            <v>210</v>
          </cell>
          <cell r="I86">
            <v>249</v>
          </cell>
          <cell r="J86">
            <v>225</v>
          </cell>
          <cell r="K86">
            <v>253</v>
          </cell>
          <cell r="L86">
            <v>266</v>
          </cell>
          <cell r="M86">
            <v>295</v>
          </cell>
          <cell r="N86">
            <v>239</v>
          </cell>
          <cell r="O86">
            <v>253</v>
          </cell>
          <cell r="P86">
            <v>254</v>
          </cell>
          <cell r="Q86">
            <v>248</v>
          </cell>
          <cell r="R86">
            <v>260</v>
          </cell>
          <cell r="S86">
            <v>187</v>
          </cell>
        </row>
        <row r="87">
          <cell r="F87">
            <v>37</v>
          </cell>
          <cell r="G87">
            <v>35</v>
          </cell>
          <cell r="H87">
            <v>39</v>
          </cell>
          <cell r="I87">
            <v>38</v>
          </cell>
          <cell r="J87">
            <v>43</v>
          </cell>
          <cell r="K87">
            <v>50</v>
          </cell>
          <cell r="L87">
            <v>63</v>
          </cell>
          <cell r="M87">
            <v>31</v>
          </cell>
          <cell r="N87">
            <v>78</v>
          </cell>
          <cell r="O87">
            <v>88</v>
          </cell>
          <cell r="P87">
            <v>103</v>
          </cell>
          <cell r="Q87">
            <v>117</v>
          </cell>
          <cell r="R87">
            <v>118</v>
          </cell>
          <cell r="S87">
            <v>125</v>
          </cell>
        </row>
        <row r="88">
          <cell r="F88">
            <v>78</v>
          </cell>
          <cell r="G88">
            <v>81</v>
          </cell>
          <cell r="H88">
            <v>82</v>
          </cell>
          <cell r="I88">
            <v>105</v>
          </cell>
          <cell r="J88">
            <v>85</v>
          </cell>
          <cell r="K88">
            <v>91</v>
          </cell>
          <cell r="L88">
            <v>59</v>
          </cell>
          <cell r="M88">
            <v>123</v>
          </cell>
          <cell r="N88">
            <v>96</v>
          </cell>
          <cell r="O88">
            <v>79</v>
          </cell>
          <cell r="P88">
            <v>86</v>
          </cell>
          <cell r="Q88">
            <v>89</v>
          </cell>
          <cell r="R88">
            <v>138</v>
          </cell>
          <cell r="S88">
            <v>113</v>
          </cell>
        </row>
        <row r="89">
          <cell r="F89">
            <v>26</v>
          </cell>
          <cell r="G89">
            <v>32</v>
          </cell>
          <cell r="H89">
            <v>27</v>
          </cell>
          <cell r="I89">
            <v>48</v>
          </cell>
          <cell r="J89">
            <v>26</v>
          </cell>
          <cell r="K89">
            <v>9</v>
          </cell>
          <cell r="L89">
            <v>21</v>
          </cell>
          <cell r="M89">
            <v>13</v>
          </cell>
          <cell r="N89">
            <v>18</v>
          </cell>
          <cell r="O89">
            <v>24</v>
          </cell>
          <cell r="P89">
            <v>25</v>
          </cell>
          <cell r="Q89">
            <v>25</v>
          </cell>
          <cell r="R89">
            <v>15</v>
          </cell>
          <cell r="S89">
            <v>16</v>
          </cell>
        </row>
        <row r="90">
          <cell r="F90">
            <v>649</v>
          </cell>
          <cell r="G90">
            <v>788</v>
          </cell>
          <cell r="H90">
            <v>708</v>
          </cell>
          <cell r="I90">
            <v>669</v>
          </cell>
          <cell r="J90">
            <v>712</v>
          </cell>
          <cell r="K90">
            <v>756</v>
          </cell>
          <cell r="L90">
            <v>752</v>
          </cell>
          <cell r="M90">
            <v>782</v>
          </cell>
          <cell r="N90">
            <v>859</v>
          </cell>
          <cell r="O90">
            <v>898</v>
          </cell>
          <cell r="P90">
            <v>975</v>
          </cell>
          <cell r="Q90">
            <v>934</v>
          </cell>
          <cell r="R90">
            <v>884</v>
          </cell>
          <cell r="S90">
            <v>897</v>
          </cell>
          <cell r="T90">
            <v>975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WW Scoreboard pg 1"/>
      <sheetName val="WW Scoreboard pg 2"/>
      <sheetName val="Data"/>
      <sheetName val="Stock Price History look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odPrintPivots"/>
      <sheetName val="dlgPivotTables"/>
      <sheetName val="dlgPageFields"/>
      <sheetName val="dlgPivotItems"/>
      <sheetName val="dlgPrint"/>
      <sheetName val="Dialog1"/>
      <sheetName val="Consolidated"/>
      <sheetName val="RevSum"/>
      <sheetName val="Info"/>
      <sheetName val="BySub"/>
      <sheetName val="03-020 Pass-through Entit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Query Criteria"/>
      <sheetName val="Criteria Data Sheet"/>
      <sheetName val="RevSum Scrub"/>
      <sheetName val="RevSum Consolidated"/>
      <sheetName val="Version"/>
      <sheetName val="Pharma Proj P&amp;L"/>
    </sheetNames>
    <sheetDataSet>
      <sheetData sheetId="0"/>
      <sheetData sheetId="1" refreshError="1">
        <row r="24">
          <cell r="B24" t="str">
            <v>USD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761"/>
  <sheetViews>
    <sheetView tabSelected="1" view="pageBreakPreview" topLeftCell="I1" zoomScaleNormal="100" zoomScaleSheetLayoutView="100" workbookViewId="0">
      <selection activeCell="Q64" sqref="Q64"/>
    </sheetView>
  </sheetViews>
  <sheetFormatPr defaultColWidth="1.42578125" defaultRowHeight="12.75" outlineLevelCol="1"/>
  <cols>
    <col min="1" max="5" width="1.42578125" style="4" customWidth="1"/>
    <col min="6" max="6" width="1.28515625" style="4" customWidth="1"/>
    <col min="7" max="7" width="55.140625" style="4" customWidth="1"/>
    <col min="8" max="8" width="9.85546875" style="4" bestFit="1" customWidth="1" outlineLevel="1"/>
    <col min="9" max="9" width="9.5703125" style="4" bestFit="1" customWidth="1" outlineLevel="1"/>
    <col min="10" max="10" width="13.5703125" style="4" bestFit="1" customWidth="1" outlineLevel="1"/>
    <col min="11" max="11" width="12.7109375" style="4" bestFit="1" customWidth="1" outlineLevel="1"/>
    <col min="12" max="12" width="18.5703125" style="5" bestFit="1" customWidth="1"/>
    <col min="13" max="14" width="9.85546875" style="4" bestFit="1" customWidth="1"/>
    <col min="15" max="15" width="12.7109375" style="4" bestFit="1" customWidth="1"/>
    <col min="16" max="16" width="12.7109375" style="4" bestFit="1" customWidth="1" outlineLevel="1"/>
    <col min="17" max="17" width="18.5703125" style="5" bestFit="1" customWidth="1"/>
    <col min="18" max="19" width="18.7109375" style="4" bestFit="1" customWidth="1" outlineLevel="1"/>
    <col min="20" max="20" width="18.5703125" style="5" bestFit="1" customWidth="1"/>
    <col min="21" max="237" width="9.140625" style="4" customWidth="1"/>
    <col min="238" max="16384" width="1.42578125" style="4"/>
  </cols>
  <sheetData>
    <row r="1" spans="1:21" ht="15.75">
      <c r="A1" s="1" t="s">
        <v>0</v>
      </c>
      <c r="B1" s="2"/>
      <c r="C1" s="2"/>
      <c r="D1" s="2"/>
      <c r="E1" s="2"/>
      <c r="F1" s="2"/>
      <c r="G1" s="3"/>
    </row>
    <row r="2" spans="1:21" ht="15.75">
      <c r="A2" s="1" t="s">
        <v>1</v>
      </c>
      <c r="B2" s="2"/>
      <c r="C2" s="2"/>
      <c r="D2" s="2"/>
      <c r="E2" s="2"/>
      <c r="F2" s="2"/>
      <c r="G2" s="3"/>
    </row>
    <row r="3" spans="1:21">
      <c r="A3" s="6" t="s">
        <v>2</v>
      </c>
      <c r="B3" s="2"/>
      <c r="C3" s="2"/>
      <c r="D3" s="2"/>
      <c r="E3" s="2"/>
      <c r="F3" s="2"/>
      <c r="G3" s="3"/>
    </row>
    <row r="4" spans="1:21">
      <c r="A4" s="7" t="s">
        <v>3</v>
      </c>
      <c r="B4" s="8"/>
      <c r="C4" s="8"/>
      <c r="D4" s="8"/>
      <c r="E4" s="9"/>
      <c r="F4" s="9"/>
      <c r="G4" s="3"/>
    </row>
    <row r="5" spans="1:21" ht="12.75" customHeight="1">
      <c r="A5" s="7"/>
      <c r="B5" s="8"/>
      <c r="C5" s="8"/>
      <c r="D5" s="8"/>
      <c r="E5" s="9"/>
      <c r="F5" s="9"/>
      <c r="G5" s="3"/>
      <c r="H5" s="10" t="s">
        <v>4</v>
      </c>
      <c r="I5" s="10"/>
      <c r="J5" s="10"/>
      <c r="K5" s="10"/>
      <c r="L5" s="11" t="s">
        <v>5</v>
      </c>
      <c r="M5" s="10" t="s">
        <v>4</v>
      </c>
      <c r="N5" s="10"/>
      <c r="O5" s="10"/>
      <c r="P5" s="10"/>
      <c r="Q5" s="11" t="s">
        <v>5</v>
      </c>
      <c r="R5" s="10" t="s">
        <v>4</v>
      </c>
      <c r="S5" s="10"/>
      <c r="T5" s="11" t="s">
        <v>6</v>
      </c>
      <c r="U5" s="12"/>
    </row>
    <row r="6" spans="1:21">
      <c r="A6" s="13"/>
      <c r="B6" s="9"/>
      <c r="C6" s="9"/>
      <c r="D6" s="9"/>
      <c r="E6" s="9"/>
      <c r="F6" s="9"/>
      <c r="G6" s="3"/>
      <c r="H6" s="14" t="s">
        <v>7</v>
      </c>
      <c r="I6" s="14" t="s">
        <v>8</v>
      </c>
      <c r="J6" s="14" t="s">
        <v>9</v>
      </c>
      <c r="K6" s="14" t="s">
        <v>10</v>
      </c>
      <c r="L6" s="15" t="s">
        <v>10</v>
      </c>
      <c r="M6" s="14" t="s">
        <v>7</v>
      </c>
      <c r="N6" s="14" t="s">
        <v>8</v>
      </c>
      <c r="O6" s="14" t="s">
        <v>9</v>
      </c>
      <c r="P6" s="14" t="s">
        <v>10</v>
      </c>
      <c r="Q6" s="15" t="s">
        <v>10</v>
      </c>
      <c r="R6" s="14" t="s">
        <v>7</v>
      </c>
      <c r="S6" s="14" t="s">
        <v>8</v>
      </c>
      <c r="T6" s="15" t="s">
        <v>8</v>
      </c>
    </row>
    <row r="7" spans="1:21">
      <c r="A7" s="13"/>
      <c r="B7" s="9"/>
      <c r="C7" s="9"/>
      <c r="D7" s="9"/>
      <c r="E7" s="9"/>
      <c r="F7" s="9"/>
      <c r="G7" s="3"/>
      <c r="H7" s="16">
        <v>2010</v>
      </c>
      <c r="I7" s="16">
        <v>2010</v>
      </c>
      <c r="J7" s="16">
        <v>2010</v>
      </c>
      <c r="K7" s="16">
        <v>2010</v>
      </c>
      <c r="L7" s="17">
        <v>2010</v>
      </c>
      <c r="M7" s="16">
        <v>2011</v>
      </c>
      <c r="N7" s="16">
        <v>2011</v>
      </c>
      <c r="O7" s="16">
        <v>2011</v>
      </c>
      <c r="P7" s="16">
        <v>2011</v>
      </c>
      <c r="Q7" s="17">
        <v>2011</v>
      </c>
      <c r="R7" s="16">
        <v>2012</v>
      </c>
      <c r="S7" s="16">
        <v>2012</v>
      </c>
      <c r="T7" s="17">
        <v>2012</v>
      </c>
    </row>
    <row r="8" spans="1:21">
      <c r="A8" s="18" t="s">
        <v>11</v>
      </c>
      <c r="B8" s="19"/>
      <c r="C8" s="19"/>
      <c r="D8" s="19"/>
      <c r="E8" s="20"/>
      <c r="F8" s="20"/>
      <c r="G8" s="3"/>
      <c r="L8" s="21"/>
      <c r="Q8" s="21"/>
      <c r="T8" s="21"/>
    </row>
    <row r="9" spans="1:21">
      <c r="A9" s="6"/>
      <c r="B9" s="20" t="s">
        <v>12</v>
      </c>
      <c r="C9" s="20"/>
      <c r="D9" s="20"/>
      <c r="E9" s="20"/>
      <c r="F9" s="20"/>
      <c r="G9" s="3"/>
      <c r="H9" s="22">
        <v>32272</v>
      </c>
      <c r="I9" s="22">
        <v>43519</v>
      </c>
      <c r="J9" s="22">
        <v>37967</v>
      </c>
      <c r="K9" s="22">
        <v>47095</v>
      </c>
      <c r="L9" s="23">
        <v>160853</v>
      </c>
      <c r="M9" s="22">
        <v>60233</v>
      </c>
      <c r="N9" s="22">
        <v>68214</v>
      </c>
      <c r="O9" s="22">
        <v>62460</v>
      </c>
      <c r="P9" s="22">
        <v>35219</v>
      </c>
      <c r="Q9" s="23">
        <f>SUM(M9:P9)</f>
        <v>226126</v>
      </c>
      <c r="R9" s="24">
        <v>-4584</v>
      </c>
      <c r="S9" s="24">
        <v>6164</v>
      </c>
      <c r="T9" s="23">
        <f>SUM(R9:S9)</f>
        <v>1580</v>
      </c>
    </row>
    <row r="10" spans="1:21">
      <c r="A10" s="13"/>
      <c r="B10" s="20" t="s">
        <v>13</v>
      </c>
      <c r="C10" s="20"/>
      <c r="D10" s="20"/>
      <c r="E10" s="20"/>
      <c r="F10" s="20"/>
      <c r="G10" s="3"/>
      <c r="L10" s="25"/>
      <c r="Q10" s="25"/>
      <c r="R10" s="26"/>
      <c r="S10" s="26"/>
      <c r="T10" s="25"/>
    </row>
    <row r="11" spans="1:21">
      <c r="A11" s="13"/>
      <c r="B11" s="20"/>
      <c r="C11" s="20" t="s">
        <v>14</v>
      </c>
      <c r="D11" s="20"/>
      <c r="E11" s="20"/>
      <c r="F11" s="20"/>
      <c r="G11" s="3"/>
      <c r="L11" s="25"/>
      <c r="Q11" s="25"/>
      <c r="R11" s="26"/>
      <c r="S11" s="26"/>
      <c r="T11" s="25"/>
    </row>
    <row r="12" spans="1:21">
      <c r="A12" s="13"/>
      <c r="B12" s="20"/>
      <c r="C12" s="20"/>
      <c r="D12" s="20" t="s">
        <v>15</v>
      </c>
      <c r="E12" s="20"/>
      <c r="F12" s="20"/>
      <c r="G12" s="3"/>
      <c r="H12" s="7">
        <v>-50475</v>
      </c>
      <c r="I12" s="7">
        <v>-66157</v>
      </c>
      <c r="J12" s="7">
        <v>-115149</v>
      </c>
      <c r="K12" s="7">
        <v>-174429</v>
      </c>
      <c r="L12" s="25">
        <v>-406210</v>
      </c>
      <c r="M12" s="7">
        <v>-192307</v>
      </c>
      <c r="N12" s="7">
        <v>-612595</v>
      </c>
      <c r="O12" s="7">
        <v>-539285</v>
      </c>
      <c r="P12" s="7">
        <v>-976545</v>
      </c>
      <c r="Q12" s="25">
        <f>SUM(M12:P12)</f>
        <v>-2320732</v>
      </c>
      <c r="R12" s="26">
        <v>-764893</v>
      </c>
      <c r="S12" s="26">
        <v>-374252</v>
      </c>
      <c r="T12" s="25">
        <f t="shared" ref="T12:T20" si="0">SUM(R12:S12)</f>
        <v>-1139145</v>
      </c>
    </row>
    <row r="13" spans="1:21">
      <c r="A13" s="13"/>
      <c r="B13" s="20"/>
      <c r="C13" s="20"/>
      <c r="D13" s="20" t="s">
        <v>16</v>
      </c>
      <c r="E13" s="20"/>
      <c r="F13" s="20"/>
      <c r="G13" s="3"/>
      <c r="H13" s="7">
        <v>12384</v>
      </c>
      <c r="I13" s="7">
        <v>19807</v>
      </c>
      <c r="J13" s="7">
        <v>55905</v>
      </c>
      <c r="K13" s="7">
        <v>80135</v>
      </c>
      <c r="L13" s="25">
        <v>168231</v>
      </c>
      <c r="M13" s="7">
        <v>84048</v>
      </c>
      <c r="N13" s="7">
        <v>422080</v>
      </c>
      <c r="O13" s="7">
        <v>313781</v>
      </c>
      <c r="P13" s="7">
        <v>644046</v>
      </c>
      <c r="Q13" s="25">
        <f t="shared" ref="Q13:Q27" si="1">SUM(M13:P13)</f>
        <v>1463955</v>
      </c>
      <c r="R13" s="26">
        <v>397553</v>
      </c>
      <c r="S13" s="26">
        <v>-39947</v>
      </c>
      <c r="T13" s="25">
        <f t="shared" si="0"/>
        <v>357606</v>
      </c>
    </row>
    <row r="14" spans="1:21">
      <c r="A14" s="13"/>
      <c r="B14" s="20"/>
      <c r="C14" s="20"/>
      <c r="D14" s="20" t="s">
        <v>17</v>
      </c>
      <c r="E14" s="20"/>
      <c r="F14" s="20"/>
      <c r="G14" s="3"/>
      <c r="H14" s="7">
        <v>18679</v>
      </c>
      <c r="I14" s="26">
        <v>29844</v>
      </c>
      <c r="J14" s="7">
        <v>44568</v>
      </c>
      <c r="K14" s="7">
        <v>65009</v>
      </c>
      <c r="L14" s="25">
        <v>158100</v>
      </c>
      <c r="M14" s="26">
        <v>85937</v>
      </c>
      <c r="N14" s="7">
        <v>144466</v>
      </c>
      <c r="O14" s="7">
        <v>187446</v>
      </c>
      <c r="P14" s="7">
        <v>281279</v>
      </c>
      <c r="Q14" s="25">
        <f t="shared" si="1"/>
        <v>699128</v>
      </c>
      <c r="R14" s="26">
        <v>339736</v>
      </c>
      <c r="S14" s="26">
        <v>375997</v>
      </c>
      <c r="T14" s="25">
        <f t="shared" si="0"/>
        <v>715733</v>
      </c>
    </row>
    <row r="15" spans="1:21">
      <c r="A15" s="13"/>
      <c r="B15" s="20"/>
      <c r="C15" s="20"/>
      <c r="D15" s="20" t="s">
        <v>18</v>
      </c>
      <c r="E15" s="20"/>
      <c r="F15" s="20"/>
      <c r="G15" s="3"/>
      <c r="H15" s="7">
        <v>43613</v>
      </c>
      <c r="I15" s="26">
        <v>35299</v>
      </c>
      <c r="J15" s="7">
        <v>32578</v>
      </c>
      <c r="K15" s="7">
        <v>31006</v>
      </c>
      <c r="L15" s="25">
        <v>142496</v>
      </c>
      <c r="M15" s="26">
        <v>26990</v>
      </c>
      <c r="N15" s="7">
        <v>24000</v>
      </c>
      <c r="O15" s="7">
        <v>23000</v>
      </c>
      <c r="P15" s="7">
        <v>22754</v>
      </c>
      <c r="Q15" s="25">
        <f t="shared" si="1"/>
        <v>96744</v>
      </c>
      <c r="R15" s="26">
        <v>20046</v>
      </c>
      <c r="S15" s="26">
        <v>16304</v>
      </c>
      <c r="T15" s="25">
        <f t="shared" si="0"/>
        <v>36350</v>
      </c>
    </row>
    <row r="16" spans="1:21">
      <c r="A16" s="13"/>
      <c r="B16" s="20"/>
      <c r="C16" s="20"/>
      <c r="D16" s="20" t="s">
        <v>19</v>
      </c>
      <c r="E16" s="20"/>
      <c r="F16" s="20"/>
      <c r="G16" s="3"/>
      <c r="H16" s="7">
        <v>10859</v>
      </c>
      <c r="I16" s="7">
        <v>9309</v>
      </c>
      <c r="J16" s="7">
        <v>8678</v>
      </c>
      <c r="K16" s="7">
        <v>9253</v>
      </c>
      <c r="L16" s="25">
        <v>38099</v>
      </c>
      <c r="M16" s="7">
        <v>9826</v>
      </c>
      <c r="N16" s="7">
        <v>10182</v>
      </c>
      <c r="O16" s="7">
        <v>11913</v>
      </c>
      <c r="P16" s="7">
        <v>11826</v>
      </c>
      <c r="Q16" s="25">
        <f t="shared" si="1"/>
        <v>43747</v>
      </c>
      <c r="R16" s="26">
        <v>11331</v>
      </c>
      <c r="S16" s="26">
        <v>11047</v>
      </c>
      <c r="T16" s="25">
        <f t="shared" si="0"/>
        <v>22378</v>
      </c>
    </row>
    <row r="17" spans="1:32">
      <c r="A17" s="7"/>
      <c r="B17" s="20"/>
      <c r="C17" s="20"/>
      <c r="D17" s="20" t="s">
        <v>20</v>
      </c>
      <c r="E17" s="20"/>
      <c r="F17" s="20"/>
      <c r="G17" s="3"/>
      <c r="H17" s="7">
        <v>5502</v>
      </c>
      <c r="I17" s="7">
        <v>6928</v>
      </c>
      <c r="J17" s="7">
        <v>7296</v>
      </c>
      <c r="K17" s="7">
        <v>8270</v>
      </c>
      <c r="L17" s="25">
        <v>27996</v>
      </c>
      <c r="M17" s="7">
        <v>12264</v>
      </c>
      <c r="N17" s="7">
        <v>15536</v>
      </c>
      <c r="O17" s="7">
        <v>15705</v>
      </c>
      <c r="P17" s="7">
        <v>18077</v>
      </c>
      <c r="Q17" s="25">
        <f t="shared" si="1"/>
        <v>61582</v>
      </c>
      <c r="R17" s="26">
        <v>19332</v>
      </c>
      <c r="S17" s="26">
        <v>18450</v>
      </c>
      <c r="T17" s="25">
        <f t="shared" si="0"/>
        <v>37782</v>
      </c>
    </row>
    <row r="18" spans="1:32">
      <c r="A18" s="7"/>
      <c r="B18" s="20"/>
      <c r="C18" s="20"/>
      <c r="D18" s="20" t="s">
        <v>21</v>
      </c>
      <c r="E18" s="20"/>
      <c r="F18" s="20"/>
      <c r="G18" s="3"/>
      <c r="H18" s="7">
        <v>-7424</v>
      </c>
      <c r="I18" s="7">
        <v>-11182</v>
      </c>
      <c r="J18" s="7">
        <v>-16093</v>
      </c>
      <c r="K18" s="7">
        <v>-27515</v>
      </c>
      <c r="L18" s="25">
        <v>-62214</v>
      </c>
      <c r="M18" s="7">
        <v>-15654</v>
      </c>
      <c r="N18" s="7">
        <v>-17868</v>
      </c>
      <c r="O18" s="7">
        <v>-11761</v>
      </c>
      <c r="P18" s="7">
        <v>-501</v>
      </c>
      <c r="Q18" s="25">
        <f t="shared" si="1"/>
        <v>-45784</v>
      </c>
      <c r="R18" s="26">
        <v>-3755</v>
      </c>
      <c r="S18" s="26">
        <v>-307</v>
      </c>
      <c r="T18" s="25">
        <f t="shared" si="0"/>
        <v>-4062</v>
      </c>
    </row>
    <row r="19" spans="1:32">
      <c r="A19" s="6"/>
      <c r="B19" s="20"/>
      <c r="C19" s="20"/>
      <c r="D19" s="20" t="s">
        <v>22</v>
      </c>
      <c r="E19" s="20"/>
      <c r="F19" s="20"/>
      <c r="G19" s="3"/>
      <c r="H19" s="7">
        <v>-3160</v>
      </c>
      <c r="I19" s="7">
        <v>-2900</v>
      </c>
      <c r="J19" s="7">
        <v>-1754</v>
      </c>
      <c r="K19" s="7">
        <v>-1314</v>
      </c>
      <c r="L19" s="25">
        <v>-9128</v>
      </c>
      <c r="M19" s="7">
        <v>-925</v>
      </c>
      <c r="N19" s="7">
        <v>-802</v>
      </c>
      <c r="O19" s="7">
        <v>-1745</v>
      </c>
      <c r="P19" s="7">
        <v>-578</v>
      </c>
      <c r="Q19" s="25">
        <f t="shared" si="1"/>
        <v>-4050</v>
      </c>
      <c r="R19" s="26">
        <v>-1519</v>
      </c>
      <c r="S19" s="26">
        <v>-1579</v>
      </c>
      <c r="T19" s="25">
        <f t="shared" si="0"/>
        <v>-3098</v>
      </c>
    </row>
    <row r="20" spans="1:32">
      <c r="A20" s="6"/>
      <c r="B20" s="20"/>
      <c r="C20" s="20"/>
      <c r="D20" s="20" t="s">
        <v>23</v>
      </c>
      <c r="E20" s="20"/>
      <c r="F20" s="20"/>
      <c r="G20" s="3"/>
      <c r="H20" s="7">
        <v>-2761</v>
      </c>
      <c r="I20" s="7">
        <v>-3394</v>
      </c>
      <c r="J20" s="7">
        <v>3194</v>
      </c>
      <c r="K20" s="7">
        <v>1999</v>
      </c>
      <c r="L20" s="25">
        <v>-962</v>
      </c>
      <c r="M20" s="7">
        <v>-4982</v>
      </c>
      <c r="N20" s="7">
        <v>-3927</v>
      </c>
      <c r="O20" s="7">
        <v>-5281</v>
      </c>
      <c r="P20" s="7">
        <v>-4407</v>
      </c>
      <c r="Q20" s="25">
        <f t="shared" si="1"/>
        <v>-18597</v>
      </c>
      <c r="R20" s="26">
        <v>-10843</v>
      </c>
      <c r="S20" s="26">
        <v>0</v>
      </c>
      <c r="T20" s="25">
        <f t="shared" si="0"/>
        <v>-10843</v>
      </c>
    </row>
    <row r="21" spans="1:32">
      <c r="A21" s="7"/>
      <c r="B21" s="20"/>
      <c r="C21" s="20"/>
      <c r="D21" s="20" t="s">
        <v>24</v>
      </c>
      <c r="E21" s="20"/>
      <c r="F21" s="20"/>
      <c r="G21" s="3"/>
      <c r="L21" s="25"/>
      <c r="P21" s="7"/>
      <c r="Q21" s="25"/>
      <c r="R21" s="26"/>
      <c r="S21" s="26"/>
      <c r="T21" s="25"/>
    </row>
    <row r="22" spans="1:32">
      <c r="A22" s="13"/>
      <c r="B22" s="20"/>
      <c r="C22" s="20"/>
      <c r="D22" s="20"/>
      <c r="E22" s="20" t="s">
        <v>25</v>
      </c>
      <c r="F22" s="20"/>
      <c r="G22" s="3"/>
      <c r="H22" s="7">
        <v>-4963</v>
      </c>
      <c r="I22" s="7">
        <v>-2133</v>
      </c>
      <c r="J22" s="7">
        <v>-25485</v>
      </c>
      <c r="K22" s="7">
        <v>-2895</v>
      </c>
      <c r="L22" s="25">
        <f t="shared" ref="L22:L27" si="2">SUM(H22:K22)</f>
        <v>-35476</v>
      </c>
      <c r="M22" s="7">
        <v>-12380</v>
      </c>
      <c r="N22" s="7">
        <v>14787</v>
      </c>
      <c r="O22" s="7">
        <v>-17335</v>
      </c>
      <c r="P22" s="7">
        <v>21139</v>
      </c>
      <c r="Q22" s="25">
        <f t="shared" si="1"/>
        <v>6211</v>
      </c>
      <c r="R22" s="26">
        <v>2994</v>
      </c>
      <c r="S22" s="26">
        <v>4503</v>
      </c>
      <c r="T22" s="25">
        <f t="shared" ref="T22:T27" si="3">SUM(R22:S22)</f>
        <v>7497</v>
      </c>
    </row>
    <row r="23" spans="1:32">
      <c r="A23" s="13"/>
      <c r="B23" s="20"/>
      <c r="C23" s="20"/>
      <c r="D23" s="20"/>
      <c r="E23" s="20" t="s">
        <v>26</v>
      </c>
      <c r="F23" s="20"/>
      <c r="G23" s="3"/>
      <c r="H23" s="7">
        <v>548</v>
      </c>
      <c r="I23" s="7">
        <v>-9211</v>
      </c>
      <c r="J23" s="7">
        <v>-3374</v>
      </c>
      <c r="K23" s="7">
        <v>-5990</v>
      </c>
      <c r="L23" s="25">
        <f t="shared" si="2"/>
        <v>-18027</v>
      </c>
      <c r="M23" s="7">
        <v>9498</v>
      </c>
      <c r="N23" s="7">
        <v>4015</v>
      </c>
      <c r="O23" s="7">
        <v>-8578</v>
      </c>
      <c r="P23" s="7">
        <v>-9710</v>
      </c>
      <c r="Q23" s="25">
        <f t="shared" si="1"/>
        <v>-4775</v>
      </c>
      <c r="R23" s="26">
        <v>11741</v>
      </c>
      <c r="S23" s="26">
        <v>-8077</v>
      </c>
      <c r="T23" s="25">
        <f t="shared" si="3"/>
        <v>3664</v>
      </c>
    </row>
    <row r="24" spans="1:32">
      <c r="A24" s="7"/>
      <c r="B24" s="20"/>
      <c r="C24" s="20"/>
      <c r="D24" s="20"/>
      <c r="E24" s="20" t="s">
        <v>27</v>
      </c>
      <c r="F24" s="20"/>
      <c r="G24" s="3"/>
      <c r="H24" s="7">
        <v>9429</v>
      </c>
      <c r="I24" s="7">
        <v>1413</v>
      </c>
      <c r="J24" s="7">
        <v>-8500</v>
      </c>
      <c r="K24" s="7">
        <v>16872</v>
      </c>
      <c r="L24" s="25">
        <f t="shared" si="2"/>
        <v>19214</v>
      </c>
      <c r="M24" s="7">
        <v>15232</v>
      </c>
      <c r="N24" s="7">
        <v>-4231</v>
      </c>
      <c r="O24" s="7">
        <v>-7052</v>
      </c>
      <c r="P24" s="7">
        <v>20019</v>
      </c>
      <c r="Q24" s="25">
        <f t="shared" si="1"/>
        <v>23968</v>
      </c>
      <c r="R24" s="26">
        <v>-1756</v>
      </c>
      <c r="S24" s="26">
        <v>601</v>
      </c>
      <c r="T24" s="25">
        <f t="shared" si="3"/>
        <v>-1155</v>
      </c>
    </row>
    <row r="25" spans="1:32">
      <c r="A25" s="7"/>
      <c r="B25" s="20"/>
      <c r="C25" s="20"/>
      <c r="D25" s="20"/>
      <c r="E25" s="20" t="s">
        <v>28</v>
      </c>
      <c r="F25" s="20"/>
      <c r="G25" s="3"/>
      <c r="H25" s="7">
        <v>12342</v>
      </c>
      <c r="I25" s="7">
        <v>6035</v>
      </c>
      <c r="J25" s="7">
        <v>20294</v>
      </c>
      <c r="K25" s="7">
        <v>27027</v>
      </c>
      <c r="L25" s="25">
        <f t="shared" si="2"/>
        <v>65698</v>
      </c>
      <c r="M25" s="7">
        <v>20293</v>
      </c>
      <c r="N25" s="7">
        <v>15459</v>
      </c>
      <c r="O25" s="7">
        <v>23489</v>
      </c>
      <c r="P25" s="7">
        <v>6319</v>
      </c>
      <c r="Q25" s="25">
        <f t="shared" si="1"/>
        <v>65560</v>
      </c>
      <c r="R25" s="26">
        <v>1783</v>
      </c>
      <c r="S25" s="26">
        <v>6854</v>
      </c>
      <c r="T25" s="25">
        <f t="shared" si="3"/>
        <v>8637</v>
      </c>
    </row>
    <row r="26" spans="1:32">
      <c r="A26" s="13"/>
      <c r="B26" s="20"/>
      <c r="C26" s="20"/>
      <c r="D26" s="20"/>
      <c r="E26" s="20" t="s">
        <v>29</v>
      </c>
      <c r="F26" s="20"/>
      <c r="G26" s="3"/>
      <c r="H26" s="7">
        <v>12</v>
      </c>
      <c r="I26" s="7">
        <v>1310</v>
      </c>
      <c r="J26" s="7">
        <v>1567</v>
      </c>
      <c r="K26" s="7">
        <v>24197</v>
      </c>
      <c r="L26" s="25">
        <f t="shared" si="2"/>
        <v>27086</v>
      </c>
      <c r="M26" s="7">
        <v>15862</v>
      </c>
      <c r="N26" s="7">
        <v>3892</v>
      </c>
      <c r="O26" s="7">
        <v>13992</v>
      </c>
      <c r="P26" s="7">
        <v>-12133</v>
      </c>
      <c r="Q26" s="25">
        <f t="shared" si="1"/>
        <v>21613</v>
      </c>
      <c r="R26" s="26">
        <v>1806</v>
      </c>
      <c r="S26" s="26">
        <v>2188</v>
      </c>
      <c r="T26" s="25">
        <f t="shared" si="3"/>
        <v>3994</v>
      </c>
    </row>
    <row r="27" spans="1:32">
      <c r="A27" s="7"/>
      <c r="B27" s="20"/>
      <c r="C27" s="20"/>
      <c r="D27" s="20"/>
      <c r="E27" s="20" t="s">
        <v>30</v>
      </c>
      <c r="F27" s="20"/>
      <c r="G27" s="3"/>
      <c r="H27" s="7">
        <v>348</v>
      </c>
      <c r="I27" s="7">
        <v>1765</v>
      </c>
      <c r="J27" s="7">
        <v>535</v>
      </c>
      <c r="K27" s="7">
        <v>-2003</v>
      </c>
      <c r="L27" s="25">
        <f t="shared" si="2"/>
        <v>645</v>
      </c>
      <c r="M27" s="7">
        <v>2388</v>
      </c>
      <c r="N27" s="7">
        <v>3184</v>
      </c>
      <c r="O27" s="7">
        <v>-11218</v>
      </c>
      <c r="P27" s="7">
        <v>8662</v>
      </c>
      <c r="Q27" s="25">
        <f t="shared" si="1"/>
        <v>3016</v>
      </c>
      <c r="R27" s="26">
        <v>137</v>
      </c>
      <c r="S27" s="26">
        <v>1746</v>
      </c>
      <c r="T27" s="25">
        <f t="shared" si="3"/>
        <v>1883</v>
      </c>
    </row>
    <row r="28" spans="1:32">
      <c r="A28" s="6"/>
      <c r="B28" s="20"/>
      <c r="C28" s="20"/>
      <c r="D28" s="20"/>
      <c r="E28" s="20"/>
      <c r="F28" s="20"/>
      <c r="G28" s="20" t="s">
        <v>31</v>
      </c>
      <c r="H28" s="27">
        <f>SUM(H9:H27)</f>
        <v>77205</v>
      </c>
      <c r="I28" s="27">
        <f>SUM(I9:I27)</f>
        <v>60252</v>
      </c>
      <c r="J28" s="27">
        <f>SUM(J9:J27)</f>
        <v>42227</v>
      </c>
      <c r="K28" s="27">
        <f>SUM(K9:K27)</f>
        <v>96717</v>
      </c>
      <c r="L28" s="28">
        <f>SUM(L9:L27)</f>
        <v>276401</v>
      </c>
      <c r="M28" s="27">
        <v>116323</v>
      </c>
      <c r="N28" s="27">
        <v>86392</v>
      </c>
      <c r="O28" s="27">
        <f t="shared" ref="O28:T28" si="4">SUM(O9:O27)</f>
        <v>49531</v>
      </c>
      <c r="P28" s="27">
        <f t="shared" si="4"/>
        <v>65466</v>
      </c>
      <c r="Q28" s="28">
        <f t="shared" si="4"/>
        <v>317712</v>
      </c>
      <c r="R28" s="27">
        <f t="shared" si="4"/>
        <v>19109</v>
      </c>
      <c r="S28" s="27">
        <f t="shared" si="4"/>
        <v>19692</v>
      </c>
      <c r="T28" s="28">
        <f t="shared" si="4"/>
        <v>38801</v>
      </c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spans="1:32">
      <c r="A29" s="30" t="s">
        <v>32</v>
      </c>
      <c r="B29" s="19"/>
      <c r="C29" s="20"/>
      <c r="D29" s="20"/>
      <c r="E29" s="20"/>
      <c r="F29" s="20"/>
      <c r="G29" s="3"/>
      <c r="L29" s="25"/>
      <c r="Q29" s="25"/>
      <c r="T29" s="25"/>
    </row>
    <row r="30" spans="1:32">
      <c r="A30" s="13"/>
      <c r="B30" s="20" t="s">
        <v>33</v>
      </c>
      <c r="C30" s="20"/>
      <c r="D30" s="20"/>
      <c r="E30" s="20"/>
      <c r="F30" s="20"/>
      <c r="G30" s="3"/>
      <c r="H30" s="7">
        <v>-36902</v>
      </c>
      <c r="I30" s="7">
        <v>-24191</v>
      </c>
      <c r="J30" s="7">
        <v>-29900</v>
      </c>
      <c r="K30" s="7">
        <v>-32908</v>
      </c>
      <c r="L30" s="25">
        <v>-123901</v>
      </c>
      <c r="M30" s="7">
        <v>-22119</v>
      </c>
      <c r="N30" s="7">
        <v>-19065</v>
      </c>
      <c r="O30" s="7">
        <v>-20826</v>
      </c>
      <c r="P30" s="7">
        <v>-23144</v>
      </c>
      <c r="Q30" s="25">
        <f t="shared" ref="Q30:Q35" si="5">SUM(M30:P30)</f>
        <v>-85154</v>
      </c>
      <c r="R30" s="26">
        <v>-13528</v>
      </c>
      <c r="S30" s="26">
        <v>-8012</v>
      </c>
      <c r="T30" s="25">
        <f t="shared" ref="T30:T35" si="6">SUM(R30:S30)</f>
        <v>-21540</v>
      </c>
    </row>
    <row r="31" spans="1:32">
      <c r="A31" s="7"/>
      <c r="B31" s="20" t="s">
        <v>34</v>
      </c>
      <c r="C31" s="20"/>
      <c r="D31" s="20"/>
      <c r="E31" s="20"/>
      <c r="F31" s="20"/>
      <c r="G31" s="3"/>
      <c r="H31" s="7">
        <v>-35995</v>
      </c>
      <c r="I31" s="7">
        <v>-21795</v>
      </c>
      <c r="J31" s="7">
        <v>-15379</v>
      </c>
      <c r="K31" s="7">
        <v>-34193</v>
      </c>
      <c r="L31" s="25">
        <v>-107362</v>
      </c>
      <c r="M31" s="7">
        <v>-52266</v>
      </c>
      <c r="N31" s="7">
        <v>-40597</v>
      </c>
      <c r="O31" s="7">
        <v>-7673</v>
      </c>
      <c r="P31" s="7">
        <v>-123214</v>
      </c>
      <c r="Q31" s="25">
        <f t="shared" si="5"/>
        <v>-223750</v>
      </c>
      <c r="R31" s="26">
        <v>-299467</v>
      </c>
      <c r="S31" s="26">
        <v>-63303</v>
      </c>
      <c r="T31" s="25">
        <f t="shared" si="6"/>
        <v>-362770</v>
      </c>
    </row>
    <row r="32" spans="1:32">
      <c r="A32" s="7"/>
      <c r="B32" s="20" t="s">
        <v>35</v>
      </c>
      <c r="C32" s="20"/>
      <c r="D32" s="20"/>
      <c r="E32" s="20"/>
      <c r="F32" s="20"/>
      <c r="G32" s="3"/>
      <c r="H32" s="7">
        <v>30770</v>
      </c>
      <c r="I32" s="7">
        <v>32055</v>
      </c>
      <c r="J32" s="7">
        <v>42238</v>
      </c>
      <c r="K32" s="7">
        <v>15794</v>
      </c>
      <c r="L32" s="25">
        <v>120857</v>
      </c>
      <c r="M32" s="7">
        <v>14961</v>
      </c>
      <c r="N32" s="7">
        <v>16510</v>
      </c>
      <c r="O32" s="7">
        <v>37</v>
      </c>
      <c r="P32" s="7">
        <v>19485</v>
      </c>
      <c r="Q32" s="25">
        <f t="shared" si="5"/>
        <v>50993</v>
      </c>
      <c r="R32" s="26">
        <v>172335</v>
      </c>
      <c r="S32" s="26">
        <v>48173</v>
      </c>
      <c r="T32" s="25">
        <f t="shared" si="6"/>
        <v>220508</v>
      </c>
    </row>
    <row r="33" spans="1:32">
      <c r="A33" s="7"/>
      <c r="B33" s="20" t="s">
        <v>36</v>
      </c>
      <c r="C33" s="20"/>
      <c r="D33" s="20"/>
      <c r="E33" s="20"/>
      <c r="F33" s="20"/>
      <c r="G33" s="3"/>
      <c r="H33" s="7">
        <v>4013</v>
      </c>
      <c r="I33" s="7">
        <v>4310</v>
      </c>
      <c r="J33" s="7">
        <v>1995</v>
      </c>
      <c r="K33" s="7">
        <v>5500</v>
      </c>
      <c r="L33" s="25">
        <v>15818</v>
      </c>
      <c r="M33" s="7">
        <v>650</v>
      </c>
      <c r="N33" s="7">
        <v>15985</v>
      </c>
      <c r="O33" s="7">
        <v>1805</v>
      </c>
      <c r="P33" s="7">
        <v>19665</v>
      </c>
      <c r="Q33" s="25">
        <f t="shared" si="5"/>
        <v>38105</v>
      </c>
      <c r="R33" s="26">
        <v>8275</v>
      </c>
      <c r="S33" s="26">
        <v>12715</v>
      </c>
      <c r="T33" s="25">
        <f t="shared" si="6"/>
        <v>20990</v>
      </c>
    </row>
    <row r="34" spans="1:32">
      <c r="A34" s="13"/>
      <c r="B34" s="20" t="s">
        <v>37</v>
      </c>
      <c r="C34" s="20"/>
      <c r="D34" s="20"/>
      <c r="E34" s="20"/>
      <c r="F34" s="20"/>
      <c r="G34" s="3"/>
      <c r="H34" s="7">
        <v>-6393</v>
      </c>
      <c r="I34" s="7">
        <v>-5671</v>
      </c>
      <c r="J34" s="7">
        <v>-7342</v>
      </c>
      <c r="K34" s="7">
        <v>-14431</v>
      </c>
      <c r="L34" s="25">
        <v>-33837</v>
      </c>
      <c r="M34" s="7">
        <v>-16320</v>
      </c>
      <c r="N34" s="7">
        <v>-8626</v>
      </c>
      <c r="O34" s="7">
        <v>-14080</v>
      </c>
      <c r="P34" s="7">
        <v>-10656</v>
      </c>
      <c r="Q34" s="25">
        <f t="shared" si="5"/>
        <v>-49682</v>
      </c>
      <c r="R34" s="26">
        <v>-4766</v>
      </c>
      <c r="S34" s="26">
        <v>-3644</v>
      </c>
      <c r="T34" s="25">
        <f t="shared" si="6"/>
        <v>-8410</v>
      </c>
    </row>
    <row r="35" spans="1:32">
      <c r="A35" s="13"/>
      <c r="B35" s="20" t="s">
        <v>38</v>
      </c>
      <c r="C35" s="20"/>
      <c r="D35" s="20"/>
      <c r="E35" s="20"/>
      <c r="F35" s="20"/>
      <c r="G35" s="3"/>
      <c r="H35" s="7">
        <v>3682</v>
      </c>
      <c r="I35" s="7">
        <v>3825</v>
      </c>
      <c r="J35" s="7">
        <v>2782</v>
      </c>
      <c r="K35" s="7">
        <v>2055</v>
      </c>
      <c r="L35" s="25">
        <v>12344</v>
      </c>
      <c r="M35" s="7">
        <v>1419</v>
      </c>
      <c r="N35" s="7">
        <v>844</v>
      </c>
      <c r="O35" s="7">
        <v>-844</v>
      </c>
      <c r="P35" s="7">
        <v>2255</v>
      </c>
      <c r="Q35" s="25">
        <f t="shared" si="5"/>
        <v>3674</v>
      </c>
      <c r="R35" s="26">
        <v>1334</v>
      </c>
      <c r="S35" s="26">
        <v>3132</v>
      </c>
      <c r="T35" s="25">
        <f t="shared" si="6"/>
        <v>4466</v>
      </c>
    </row>
    <row r="36" spans="1:32">
      <c r="A36" s="7"/>
      <c r="B36" s="20"/>
      <c r="C36" s="20"/>
      <c r="D36" s="20"/>
      <c r="E36" s="20"/>
      <c r="F36" s="20"/>
      <c r="G36" s="20" t="s">
        <v>39</v>
      </c>
      <c r="H36" s="27">
        <v>-40825</v>
      </c>
      <c r="I36" s="27">
        <v>-11467</v>
      </c>
      <c r="J36" s="27">
        <v>-5606</v>
      </c>
      <c r="K36" s="27">
        <v>-58183</v>
      </c>
      <c r="L36" s="28">
        <v>-116081</v>
      </c>
      <c r="M36" s="27">
        <v>-73675</v>
      </c>
      <c r="N36" s="27">
        <v>-34949</v>
      </c>
      <c r="O36" s="27">
        <f t="shared" ref="O36:T36" si="7">SUM(O30:O35)</f>
        <v>-41581</v>
      </c>
      <c r="P36" s="27">
        <f t="shared" si="7"/>
        <v>-115609</v>
      </c>
      <c r="Q36" s="28">
        <f t="shared" si="7"/>
        <v>-265814</v>
      </c>
      <c r="R36" s="27">
        <f t="shared" si="7"/>
        <v>-135817</v>
      </c>
      <c r="S36" s="27">
        <f t="shared" si="7"/>
        <v>-10939</v>
      </c>
      <c r="T36" s="28">
        <f t="shared" si="7"/>
        <v>-146756</v>
      </c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>
      <c r="A37" s="30" t="s">
        <v>40</v>
      </c>
      <c r="B37" s="20"/>
      <c r="C37" s="20"/>
      <c r="D37" s="20"/>
      <c r="E37" s="20"/>
      <c r="F37" s="20"/>
      <c r="G37" s="3"/>
      <c r="L37" s="25"/>
      <c r="Q37" s="25"/>
      <c r="T37" s="25"/>
    </row>
    <row r="38" spans="1:32">
      <c r="A38" s="6"/>
      <c r="B38" s="20" t="s">
        <v>41</v>
      </c>
      <c r="C38" s="20"/>
      <c r="D38" s="20"/>
      <c r="E38" s="20"/>
      <c r="F38" s="20"/>
      <c r="G38" s="3"/>
      <c r="H38" s="7">
        <v>9918</v>
      </c>
      <c r="I38" s="7">
        <v>13109</v>
      </c>
      <c r="J38" s="7">
        <v>10927</v>
      </c>
      <c r="K38" s="7">
        <v>15822</v>
      </c>
      <c r="L38" s="25">
        <v>49776</v>
      </c>
      <c r="M38" s="7">
        <v>6762</v>
      </c>
      <c r="N38" s="7">
        <v>7418</v>
      </c>
      <c r="O38" s="7">
        <v>4409</v>
      </c>
      <c r="P38" s="7">
        <v>1025</v>
      </c>
      <c r="Q38" s="25">
        <f>SUM(M38:P38)</f>
        <v>19614</v>
      </c>
      <c r="R38" s="26">
        <v>1224</v>
      </c>
      <c r="S38" s="26">
        <v>524</v>
      </c>
      <c r="T38" s="25">
        <f t="shared" ref="T38:T44" si="8">SUM(R38:S38)</f>
        <v>1748</v>
      </c>
    </row>
    <row r="39" spans="1:32">
      <c r="A39" s="6"/>
      <c r="B39" s="20" t="s">
        <v>42</v>
      </c>
      <c r="C39" s="20"/>
      <c r="D39" s="20"/>
      <c r="E39" s="20"/>
      <c r="F39" s="20"/>
      <c r="G39" s="3"/>
      <c r="H39" s="7">
        <v>0</v>
      </c>
      <c r="I39" s="7">
        <v>0</v>
      </c>
      <c r="J39" s="7">
        <v>0</v>
      </c>
      <c r="K39" s="7">
        <v>0</v>
      </c>
      <c r="L39" s="25">
        <v>0</v>
      </c>
      <c r="M39" s="7">
        <v>0</v>
      </c>
      <c r="N39" s="7">
        <v>0</v>
      </c>
      <c r="O39" s="7">
        <v>0</v>
      </c>
      <c r="P39" s="7">
        <v>0</v>
      </c>
      <c r="Q39" s="25">
        <v>0</v>
      </c>
      <c r="R39" s="26">
        <f>-224-164</f>
        <v>-388</v>
      </c>
      <c r="S39" s="26">
        <f>-240-131</f>
        <v>-371</v>
      </c>
      <c r="T39" s="25">
        <f t="shared" si="8"/>
        <v>-759</v>
      </c>
    </row>
    <row r="40" spans="1:32">
      <c r="A40" s="32"/>
      <c r="B40" s="20" t="s">
        <v>43</v>
      </c>
      <c r="C40" s="20"/>
      <c r="D40" s="20"/>
      <c r="E40" s="20"/>
      <c r="F40" s="20"/>
      <c r="G40" s="3"/>
      <c r="H40" s="7">
        <v>-107724</v>
      </c>
      <c r="I40" s="7">
        <v>-45145</v>
      </c>
      <c r="J40" s="7">
        <v>-57390</v>
      </c>
      <c r="K40" s="7">
        <v>0</v>
      </c>
      <c r="L40" s="25">
        <v>-210259</v>
      </c>
      <c r="M40" s="7">
        <v>-108643</v>
      </c>
      <c r="N40" s="7">
        <v>-51421</v>
      </c>
      <c r="O40" s="7">
        <v>-39602</v>
      </c>
      <c r="P40" s="7">
        <v>0</v>
      </c>
      <c r="Q40" s="25">
        <f>SUM(M40:P40)</f>
        <v>-199666</v>
      </c>
      <c r="R40" s="26">
        <v>0</v>
      </c>
      <c r="S40" s="26">
        <v>0</v>
      </c>
      <c r="T40" s="25">
        <f t="shared" si="8"/>
        <v>0</v>
      </c>
    </row>
    <row r="41" spans="1:32">
      <c r="A41" s="6"/>
      <c r="B41" s="20" t="s">
        <v>21</v>
      </c>
      <c r="C41" s="20"/>
      <c r="D41" s="20"/>
      <c r="E41" s="20"/>
      <c r="F41" s="20"/>
      <c r="G41" s="3"/>
      <c r="H41" s="7">
        <v>7424</v>
      </c>
      <c r="I41" s="7">
        <v>11182</v>
      </c>
      <c r="J41" s="7">
        <v>16093</v>
      </c>
      <c r="K41" s="7">
        <v>27515</v>
      </c>
      <c r="L41" s="25">
        <v>62214</v>
      </c>
      <c r="M41" s="7">
        <v>15654</v>
      </c>
      <c r="N41" s="7">
        <v>17868</v>
      </c>
      <c r="O41" s="7">
        <v>11761</v>
      </c>
      <c r="P41" s="7">
        <v>501</v>
      </c>
      <c r="Q41" s="25">
        <f>SUM(M41:P41)</f>
        <v>45784</v>
      </c>
      <c r="R41" s="26">
        <v>3755</v>
      </c>
      <c r="S41" s="26">
        <v>307</v>
      </c>
      <c r="T41" s="25">
        <f t="shared" si="8"/>
        <v>4062</v>
      </c>
    </row>
    <row r="42" spans="1:32">
      <c r="A42" s="30"/>
      <c r="B42" s="20" t="s">
        <v>44</v>
      </c>
      <c r="C42" s="20"/>
      <c r="D42" s="20"/>
      <c r="E42" s="20"/>
      <c r="F42" s="20"/>
      <c r="G42" s="3"/>
      <c r="H42" s="7">
        <v>-361</v>
      </c>
      <c r="I42" s="7">
        <v>-465</v>
      </c>
      <c r="J42" s="7">
        <v>-470</v>
      </c>
      <c r="K42" s="7">
        <v>-480</v>
      </c>
      <c r="L42" s="25">
        <v>-1776</v>
      </c>
      <c r="M42" s="7">
        <v>-501</v>
      </c>
      <c r="N42" s="7">
        <v>-520</v>
      </c>
      <c r="O42" s="7">
        <v>-526</v>
      </c>
      <c r="P42" s="7">
        <v>-536</v>
      </c>
      <c r="Q42" s="25">
        <f>SUM(M42:P42)</f>
        <v>-2083</v>
      </c>
      <c r="R42" s="26">
        <v>-559</v>
      </c>
      <c r="S42" s="26">
        <v>-577</v>
      </c>
      <c r="T42" s="25">
        <f t="shared" si="8"/>
        <v>-1136</v>
      </c>
    </row>
    <row r="43" spans="1:32">
      <c r="A43" s="6"/>
      <c r="B43" s="20" t="s">
        <v>45</v>
      </c>
      <c r="C43" s="20"/>
      <c r="D43" s="20"/>
      <c r="E43" s="20"/>
      <c r="F43" s="20"/>
      <c r="G43" s="3"/>
      <c r="H43" s="7">
        <v>0</v>
      </c>
      <c r="I43" s="7">
        <v>0</v>
      </c>
      <c r="J43" s="7">
        <v>0</v>
      </c>
      <c r="K43" s="7">
        <v>0</v>
      </c>
      <c r="L43" s="25">
        <v>0</v>
      </c>
      <c r="M43" s="7">
        <v>0</v>
      </c>
      <c r="N43" s="7">
        <v>0</v>
      </c>
      <c r="O43" s="7">
        <v>0</v>
      </c>
      <c r="P43" s="7">
        <v>199947</v>
      </c>
      <c r="Q43" s="25">
        <f>SUM(M43:P43)</f>
        <v>199947</v>
      </c>
      <c r="R43" s="26">
        <v>0</v>
      </c>
      <c r="S43" s="26">
        <v>0</v>
      </c>
      <c r="T43" s="25">
        <f t="shared" si="8"/>
        <v>0</v>
      </c>
    </row>
    <row r="44" spans="1:32">
      <c r="A44" s="6"/>
      <c r="B44" s="20" t="s">
        <v>46</v>
      </c>
      <c r="C44" s="20"/>
      <c r="D44" s="20"/>
      <c r="E44" s="20"/>
      <c r="F44" s="20"/>
      <c r="G44" s="3"/>
      <c r="H44" s="7">
        <v>0</v>
      </c>
      <c r="I44" s="7">
        <v>0</v>
      </c>
      <c r="J44" s="7">
        <v>0</v>
      </c>
      <c r="K44" s="7">
        <v>0</v>
      </c>
      <c r="L44" s="25">
        <v>0</v>
      </c>
      <c r="M44" s="7">
        <v>0</v>
      </c>
      <c r="N44" s="7">
        <v>0</v>
      </c>
      <c r="O44" s="7">
        <v>0</v>
      </c>
      <c r="P44" s="7">
        <v>198060</v>
      </c>
      <c r="Q44" s="25">
        <f>SUM(M44:P44)</f>
        <v>198060</v>
      </c>
      <c r="R44" s="26">
        <v>0</v>
      </c>
      <c r="S44" s="26">
        <v>0</v>
      </c>
      <c r="T44" s="25">
        <f t="shared" si="8"/>
        <v>0</v>
      </c>
    </row>
    <row r="45" spans="1:32">
      <c r="A45" s="6"/>
      <c r="B45" s="20"/>
      <c r="C45" s="20"/>
      <c r="D45" s="20"/>
      <c r="E45" s="20"/>
      <c r="F45" s="20"/>
      <c r="G45" s="20" t="s">
        <v>47</v>
      </c>
      <c r="H45" s="27">
        <f t="shared" ref="H45:R45" si="9">SUM(H38:H44)</f>
        <v>-90743</v>
      </c>
      <c r="I45" s="27">
        <f t="shared" si="9"/>
        <v>-21319</v>
      </c>
      <c r="J45" s="27">
        <f t="shared" si="9"/>
        <v>-30840</v>
      </c>
      <c r="K45" s="27">
        <f t="shared" si="9"/>
        <v>42857</v>
      </c>
      <c r="L45" s="28">
        <f t="shared" si="9"/>
        <v>-100045</v>
      </c>
      <c r="M45" s="27">
        <f t="shared" si="9"/>
        <v>-86728</v>
      </c>
      <c r="N45" s="27">
        <f t="shared" si="9"/>
        <v>-26655</v>
      </c>
      <c r="O45" s="27">
        <f t="shared" si="9"/>
        <v>-23958</v>
      </c>
      <c r="P45" s="27">
        <f t="shared" si="9"/>
        <v>398997</v>
      </c>
      <c r="Q45" s="28">
        <f t="shared" si="9"/>
        <v>261656</v>
      </c>
      <c r="R45" s="27">
        <f t="shared" si="9"/>
        <v>4032</v>
      </c>
      <c r="S45" s="27">
        <f>SUM(S38:S44)</f>
        <v>-117</v>
      </c>
      <c r="T45" s="28">
        <f>SUM(T38:T44)</f>
        <v>3915</v>
      </c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>
      <c r="A46" s="6"/>
      <c r="B46" s="20"/>
      <c r="C46" s="20"/>
      <c r="D46" s="20"/>
      <c r="E46" s="20"/>
      <c r="F46" s="20"/>
      <c r="G46" s="20"/>
      <c r="H46" s="7"/>
      <c r="I46" s="7"/>
      <c r="J46" s="7"/>
      <c r="K46" s="7"/>
      <c r="L46" s="25"/>
      <c r="M46" s="7"/>
      <c r="N46" s="7"/>
      <c r="O46" s="7"/>
      <c r="P46" s="7"/>
      <c r="Q46" s="25"/>
      <c r="R46" s="7"/>
      <c r="S46" s="7"/>
      <c r="T46" s="25"/>
    </row>
    <row r="47" spans="1:32">
      <c r="A47" s="6" t="s">
        <v>48</v>
      </c>
      <c r="B47" s="20"/>
      <c r="C47" s="20"/>
      <c r="D47" s="20"/>
      <c r="E47" s="20"/>
      <c r="F47" s="20"/>
      <c r="G47" s="20"/>
      <c r="H47" s="7">
        <v>0</v>
      </c>
      <c r="I47" s="7">
        <v>0</v>
      </c>
      <c r="J47" s="7">
        <v>0</v>
      </c>
      <c r="K47" s="7">
        <v>0</v>
      </c>
      <c r="L47" s="25">
        <v>0</v>
      </c>
      <c r="M47" s="7">
        <v>0</v>
      </c>
      <c r="N47" s="7">
        <v>0</v>
      </c>
      <c r="O47" s="7">
        <v>0</v>
      </c>
      <c r="P47" s="7">
        <v>0</v>
      </c>
      <c r="Q47" s="25">
        <v>0</v>
      </c>
      <c r="R47" s="7">
        <v>615</v>
      </c>
      <c r="S47" s="7">
        <v>-2377</v>
      </c>
      <c r="T47" s="25">
        <f>SUM(R47:S47)</f>
        <v>-1762</v>
      </c>
    </row>
    <row r="48" spans="1:32">
      <c r="A48" s="6" t="s">
        <v>49</v>
      </c>
      <c r="B48" s="20"/>
      <c r="C48" s="20"/>
      <c r="D48" s="20"/>
      <c r="E48" s="20"/>
      <c r="F48" s="20"/>
      <c r="G48" s="3"/>
      <c r="H48" s="7">
        <v>-54363</v>
      </c>
      <c r="I48" s="7">
        <v>27466</v>
      </c>
      <c r="J48" s="7">
        <v>5781</v>
      </c>
      <c r="K48" s="7">
        <v>81391</v>
      </c>
      <c r="L48" s="25">
        <v>60275</v>
      </c>
      <c r="M48" s="7">
        <v>-44080</v>
      </c>
      <c r="N48" s="7">
        <v>24788</v>
      </c>
      <c r="O48" s="7">
        <f>O28+O36+O45</f>
        <v>-16008</v>
      </c>
      <c r="P48" s="7">
        <f>P28+P36+P45</f>
        <v>348854</v>
      </c>
      <c r="Q48" s="25">
        <f>Q28+Q36+Q45</f>
        <v>313554</v>
      </c>
      <c r="R48" s="7">
        <f>R28+R36+R45+R47</f>
        <v>-112061</v>
      </c>
      <c r="S48" s="7">
        <f>S28+S36+S45+S47</f>
        <v>6259</v>
      </c>
      <c r="T48" s="25">
        <f>SUM(R48:S48)</f>
        <v>-105802</v>
      </c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>
      <c r="A49" s="6" t="s">
        <v>50</v>
      </c>
      <c r="B49" s="20"/>
      <c r="C49" s="20"/>
      <c r="D49" s="20"/>
      <c r="E49" s="20"/>
      <c r="F49" s="20"/>
      <c r="G49" s="3"/>
      <c r="H49" s="7">
        <v>134224</v>
      </c>
      <c r="I49" s="7">
        <v>79861</v>
      </c>
      <c r="J49" s="7">
        <v>107327</v>
      </c>
      <c r="K49" s="7">
        <v>113108</v>
      </c>
      <c r="L49" s="25">
        <v>134224</v>
      </c>
      <c r="M49" s="7">
        <v>194499</v>
      </c>
      <c r="N49" s="7">
        <v>150419</v>
      </c>
      <c r="O49" s="7">
        <f>N50</f>
        <v>175207</v>
      </c>
      <c r="P49" s="7">
        <f>O50</f>
        <v>159199</v>
      </c>
      <c r="Q49" s="25">
        <f>L50</f>
        <v>194499</v>
      </c>
      <c r="R49" s="7">
        <f>Q50</f>
        <v>508053</v>
      </c>
      <c r="S49" s="7">
        <f>R50</f>
        <v>395992</v>
      </c>
      <c r="T49" s="25">
        <f>Q50</f>
        <v>508053</v>
      </c>
    </row>
    <row r="50" spans="1:32" ht="13.5" thickBot="1">
      <c r="A50" s="33" t="s">
        <v>51</v>
      </c>
      <c r="B50" s="20"/>
      <c r="C50" s="20"/>
      <c r="D50" s="20"/>
      <c r="E50" s="20"/>
      <c r="F50" s="20"/>
      <c r="G50" s="3"/>
      <c r="H50" s="34">
        <v>79861</v>
      </c>
      <c r="I50" s="34">
        <v>107327</v>
      </c>
      <c r="J50" s="34">
        <v>113108</v>
      </c>
      <c r="K50" s="34">
        <v>194499</v>
      </c>
      <c r="L50" s="35">
        <v>194499</v>
      </c>
      <c r="M50" s="34">
        <v>150419</v>
      </c>
      <c r="N50" s="34">
        <v>175207</v>
      </c>
      <c r="O50" s="34">
        <f t="shared" ref="O50:T50" si="10">SUM(O48:O49)</f>
        <v>159199</v>
      </c>
      <c r="P50" s="34">
        <f t="shared" si="10"/>
        <v>508053</v>
      </c>
      <c r="Q50" s="35">
        <f t="shared" si="10"/>
        <v>508053</v>
      </c>
      <c r="R50" s="34">
        <f t="shared" si="10"/>
        <v>395992</v>
      </c>
      <c r="S50" s="34">
        <f t="shared" si="10"/>
        <v>402251</v>
      </c>
      <c r="T50" s="35">
        <f t="shared" si="10"/>
        <v>402251</v>
      </c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>
      <c r="A51" s="36"/>
      <c r="B51" s="20"/>
      <c r="C51" s="20"/>
      <c r="D51" s="20"/>
      <c r="E51" s="20"/>
      <c r="F51" s="20"/>
      <c r="G51" s="3"/>
      <c r="L51" s="25"/>
      <c r="Q51" s="25"/>
      <c r="T51" s="25"/>
    </row>
    <row r="52" spans="1:32">
      <c r="A52" s="37" t="s">
        <v>52</v>
      </c>
      <c r="B52" s="9"/>
      <c r="C52" s="9"/>
      <c r="D52" s="20"/>
      <c r="E52" s="20"/>
      <c r="F52" s="20"/>
      <c r="G52" s="3"/>
      <c r="L52" s="38"/>
      <c r="Q52" s="38"/>
      <c r="T52" s="38"/>
    </row>
    <row r="53" spans="1:32">
      <c r="A53" s="39"/>
      <c r="B53" s="20" t="s">
        <v>31</v>
      </c>
      <c r="C53" s="9"/>
      <c r="D53" s="20"/>
      <c r="E53" s="20"/>
      <c r="F53" s="20"/>
      <c r="G53" s="3"/>
      <c r="H53" s="22">
        <v>77205</v>
      </c>
      <c r="I53" s="22">
        <v>60252</v>
      </c>
      <c r="J53" s="22">
        <v>42227</v>
      </c>
      <c r="K53" s="22">
        <v>96717</v>
      </c>
      <c r="L53" s="23">
        <v>276401</v>
      </c>
      <c r="M53" s="22">
        <v>116323</v>
      </c>
      <c r="N53" s="22">
        <v>86392</v>
      </c>
      <c r="O53" s="22">
        <f>O28</f>
        <v>49531</v>
      </c>
      <c r="P53" s="22">
        <f>P28</f>
        <v>65466</v>
      </c>
      <c r="Q53" s="23">
        <f>SUM(M53:P53)</f>
        <v>317712</v>
      </c>
      <c r="R53" s="22">
        <f>R28</f>
        <v>19109</v>
      </c>
      <c r="S53" s="22">
        <f>S28</f>
        <v>19692</v>
      </c>
      <c r="T53" s="23">
        <f>SUM(R53:S53)</f>
        <v>38801</v>
      </c>
    </row>
    <row r="54" spans="1:32">
      <c r="A54" s="40"/>
      <c r="B54" s="20" t="s">
        <v>33</v>
      </c>
      <c r="C54" s="20"/>
      <c r="D54" s="20"/>
      <c r="E54" s="20"/>
      <c r="F54" s="20"/>
      <c r="G54" s="3"/>
      <c r="H54" s="7">
        <v>-36902</v>
      </c>
      <c r="I54" s="7">
        <v>-24191</v>
      </c>
      <c r="J54" s="7">
        <v>-29900</v>
      </c>
      <c r="K54" s="7">
        <v>-32908</v>
      </c>
      <c r="L54" s="41">
        <v>-123901</v>
      </c>
      <c r="M54" s="7">
        <v>-22119</v>
      </c>
      <c r="N54" s="7">
        <v>-19065</v>
      </c>
      <c r="O54" s="7">
        <f>O30</f>
        <v>-20826</v>
      </c>
      <c r="P54" s="7">
        <f>P30</f>
        <v>-23144</v>
      </c>
      <c r="Q54" s="41">
        <f>SUM(M54:P54)</f>
        <v>-85154</v>
      </c>
      <c r="R54" s="7">
        <f>R30</f>
        <v>-13528</v>
      </c>
      <c r="S54" s="7">
        <f>S30</f>
        <v>-8012</v>
      </c>
      <c r="T54" s="41">
        <f>SUM(R54:S54)</f>
        <v>-21540</v>
      </c>
    </row>
    <row r="55" spans="1:32">
      <c r="A55" s="40"/>
      <c r="B55" s="20" t="s">
        <v>37</v>
      </c>
      <c r="C55" s="20"/>
      <c r="D55" s="20"/>
      <c r="E55" s="20"/>
      <c r="F55" s="20"/>
      <c r="G55" s="3"/>
      <c r="H55" s="7">
        <v>-6393</v>
      </c>
      <c r="I55" s="7">
        <v>-5671</v>
      </c>
      <c r="J55" s="7">
        <v>-7342</v>
      </c>
      <c r="K55" s="7">
        <v>-14431</v>
      </c>
      <c r="L55" s="41">
        <v>-33837</v>
      </c>
      <c r="M55" s="7">
        <v>-16320</v>
      </c>
      <c r="N55" s="7">
        <v>-8626</v>
      </c>
      <c r="O55" s="7">
        <f>O34</f>
        <v>-14080</v>
      </c>
      <c r="P55" s="7">
        <f>P34</f>
        <v>-10656</v>
      </c>
      <c r="Q55" s="41">
        <f>SUM(M55:P55)</f>
        <v>-49682</v>
      </c>
      <c r="R55" s="7">
        <f>R34</f>
        <v>-4766</v>
      </c>
      <c r="S55" s="7">
        <f>S34</f>
        <v>-3644</v>
      </c>
      <c r="T55" s="41">
        <f>SUM(R55:S55)</f>
        <v>-8410</v>
      </c>
    </row>
    <row r="56" spans="1:32">
      <c r="A56" s="42"/>
      <c r="B56" s="20" t="s">
        <v>38</v>
      </c>
      <c r="C56" s="20"/>
      <c r="D56" s="20"/>
      <c r="E56" s="20"/>
      <c r="F56" s="20"/>
      <c r="G56" s="3"/>
      <c r="H56" s="7">
        <v>3682</v>
      </c>
      <c r="I56" s="7">
        <v>3825</v>
      </c>
      <c r="J56" s="7">
        <v>2782</v>
      </c>
      <c r="K56" s="7">
        <v>2055</v>
      </c>
      <c r="L56" s="41">
        <v>12344</v>
      </c>
      <c r="M56" s="7">
        <v>1419</v>
      </c>
      <c r="N56" s="7">
        <v>844</v>
      </c>
      <c r="O56" s="7">
        <f>O35</f>
        <v>-844</v>
      </c>
      <c r="P56" s="7">
        <f>P35</f>
        <v>2255</v>
      </c>
      <c r="Q56" s="41">
        <f>SUM(M56:P56)</f>
        <v>3674</v>
      </c>
      <c r="R56" s="7">
        <f>R35</f>
        <v>1334</v>
      </c>
      <c r="S56" s="7">
        <f>S35</f>
        <v>3132</v>
      </c>
      <c r="T56" s="43">
        <f>SUM(R56:S56)</f>
        <v>4466</v>
      </c>
    </row>
    <row r="57" spans="1:32" ht="13.5" thickBot="1">
      <c r="A57" s="44"/>
      <c r="B57" s="45" t="s">
        <v>53</v>
      </c>
      <c r="C57" s="19"/>
      <c r="D57" s="19"/>
      <c r="E57" s="19"/>
      <c r="F57" s="19"/>
      <c r="G57" s="3"/>
      <c r="H57" s="46">
        <v>37592</v>
      </c>
      <c r="I57" s="46">
        <v>34215</v>
      </c>
      <c r="J57" s="46">
        <v>7767</v>
      </c>
      <c r="K57" s="46">
        <v>51433</v>
      </c>
      <c r="L57" s="47">
        <v>131007</v>
      </c>
      <c r="M57" s="46">
        <v>79303</v>
      </c>
      <c r="N57" s="46">
        <v>59545</v>
      </c>
      <c r="O57" s="46">
        <f t="shared" ref="O57:T57" si="11">SUM(O53:O56)</f>
        <v>13781</v>
      </c>
      <c r="P57" s="46">
        <f t="shared" si="11"/>
        <v>33921</v>
      </c>
      <c r="Q57" s="47">
        <f t="shared" si="11"/>
        <v>186550</v>
      </c>
      <c r="R57" s="46">
        <f t="shared" si="11"/>
        <v>2149</v>
      </c>
      <c r="S57" s="46">
        <f t="shared" si="11"/>
        <v>11168</v>
      </c>
      <c r="T57" s="47">
        <f t="shared" si="11"/>
        <v>13317</v>
      </c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spans="1:32">
      <c r="L58" s="18"/>
      <c r="Q58" s="18"/>
      <c r="T58" s="18"/>
    </row>
    <row r="59" spans="1:32">
      <c r="L59" s="18"/>
      <c r="Q59" s="18"/>
      <c r="T59" s="18"/>
    </row>
    <row r="60" spans="1:32">
      <c r="L60" s="18"/>
      <c r="Q60" s="18"/>
      <c r="T60" s="18"/>
    </row>
    <row r="61" spans="1:32">
      <c r="L61" s="18"/>
      <c r="Q61" s="18"/>
      <c r="T61" s="18"/>
    </row>
    <row r="62" spans="1:32">
      <c r="L62" s="48"/>
      <c r="Q62" s="48"/>
      <c r="T62" s="48"/>
    </row>
    <row r="63" spans="1:32">
      <c r="L63" s="49"/>
      <c r="Q63" s="49"/>
      <c r="T63" s="49"/>
    </row>
    <row r="64" spans="1:32">
      <c r="L64" s="50"/>
      <c r="Q64" s="50"/>
      <c r="T64" s="50"/>
    </row>
    <row r="65" spans="12:20">
      <c r="L65" s="18"/>
      <c r="Q65" s="18"/>
      <c r="T65" s="18"/>
    </row>
    <row r="66" spans="12:20">
      <c r="L66" s="18"/>
      <c r="Q66" s="18"/>
      <c r="T66" s="18"/>
    </row>
    <row r="67" spans="12:20">
      <c r="L67" s="18"/>
      <c r="Q67" s="18"/>
      <c r="T67" s="18"/>
    </row>
    <row r="68" spans="12:20">
      <c r="L68" s="18"/>
      <c r="Q68" s="18"/>
      <c r="T68" s="18"/>
    </row>
    <row r="69" spans="12:20">
      <c r="L69" s="18"/>
      <c r="Q69" s="18"/>
      <c r="T69" s="18"/>
    </row>
    <row r="70" spans="12:20">
      <c r="L70" s="18"/>
      <c r="Q70" s="18"/>
      <c r="T70" s="18"/>
    </row>
    <row r="71" spans="12:20">
      <c r="L71" s="18"/>
      <c r="Q71" s="18"/>
      <c r="T71" s="18"/>
    </row>
    <row r="72" spans="12:20">
      <c r="L72" s="18"/>
      <c r="Q72" s="18"/>
      <c r="T72" s="18"/>
    </row>
    <row r="73" spans="12:20">
      <c r="L73" s="18"/>
      <c r="Q73" s="18"/>
      <c r="T73" s="18"/>
    </row>
    <row r="74" spans="12:20">
      <c r="L74" s="18"/>
      <c r="Q74" s="18"/>
      <c r="T74" s="18"/>
    </row>
    <row r="75" spans="12:20">
      <c r="L75" s="18"/>
      <c r="Q75" s="18"/>
      <c r="T75" s="18"/>
    </row>
    <row r="76" spans="12:20">
      <c r="L76" s="18"/>
      <c r="Q76" s="18"/>
      <c r="T76" s="18"/>
    </row>
    <row r="77" spans="12:20">
      <c r="L77" s="18"/>
      <c r="Q77" s="18"/>
      <c r="T77" s="18"/>
    </row>
    <row r="78" spans="12:20">
      <c r="L78" s="18"/>
      <c r="Q78" s="18"/>
      <c r="T78" s="18"/>
    </row>
    <row r="79" spans="12:20">
      <c r="L79" s="18"/>
      <c r="Q79" s="18"/>
      <c r="T79" s="18"/>
    </row>
    <row r="80" spans="12:20">
      <c r="L80" s="18"/>
      <c r="Q80" s="18"/>
      <c r="T80" s="18"/>
    </row>
    <row r="81" spans="12:20">
      <c r="L81" s="18"/>
      <c r="Q81" s="18"/>
      <c r="T81" s="18"/>
    </row>
    <row r="82" spans="12:20">
      <c r="L82" s="18"/>
      <c r="Q82" s="18"/>
      <c r="T82" s="18"/>
    </row>
    <row r="83" spans="12:20">
      <c r="L83" s="18"/>
      <c r="Q83" s="18"/>
      <c r="T83" s="18"/>
    </row>
    <row r="84" spans="12:20">
      <c r="L84" s="18"/>
      <c r="Q84" s="18"/>
      <c r="T84" s="18"/>
    </row>
    <row r="85" spans="12:20">
      <c r="L85" s="18"/>
      <c r="Q85" s="18"/>
      <c r="T85" s="18"/>
    </row>
    <row r="86" spans="12:20">
      <c r="L86" s="18"/>
      <c r="Q86" s="18"/>
      <c r="T86" s="18"/>
    </row>
    <row r="87" spans="12:20">
      <c r="L87" s="18"/>
      <c r="Q87" s="18"/>
      <c r="T87" s="18"/>
    </row>
    <row r="88" spans="12:20">
      <c r="L88" s="18"/>
      <c r="Q88" s="18"/>
      <c r="T88" s="18"/>
    </row>
    <row r="89" spans="12:20">
      <c r="L89" s="18"/>
      <c r="Q89" s="18"/>
      <c r="T89" s="18"/>
    </row>
    <row r="90" spans="12:20">
      <c r="L90" s="18"/>
      <c r="Q90" s="18"/>
      <c r="T90" s="18"/>
    </row>
    <row r="91" spans="12:20">
      <c r="L91" s="18"/>
      <c r="Q91" s="18"/>
      <c r="T91" s="18"/>
    </row>
    <row r="92" spans="12:20">
      <c r="L92" s="18"/>
      <c r="Q92" s="18"/>
      <c r="T92" s="18"/>
    </row>
    <row r="93" spans="12:20">
      <c r="L93" s="18"/>
      <c r="Q93" s="18"/>
      <c r="T93" s="18"/>
    </row>
    <row r="94" spans="12:20">
      <c r="L94" s="18"/>
      <c r="Q94" s="18"/>
      <c r="T94" s="18"/>
    </row>
    <row r="95" spans="12:20">
      <c r="L95" s="18"/>
      <c r="Q95" s="18"/>
      <c r="T95" s="18"/>
    </row>
    <row r="96" spans="12:20">
      <c r="L96" s="18"/>
      <c r="Q96" s="18"/>
      <c r="T96" s="18"/>
    </row>
    <row r="97" spans="12:20">
      <c r="L97" s="18"/>
      <c r="Q97" s="18"/>
      <c r="T97" s="18"/>
    </row>
    <row r="98" spans="12:20">
      <c r="L98" s="18"/>
      <c r="Q98" s="18"/>
      <c r="T98" s="18"/>
    </row>
    <row r="99" spans="12:20">
      <c r="L99" s="18"/>
      <c r="Q99" s="18"/>
      <c r="T99" s="18"/>
    </row>
    <row r="100" spans="12:20">
      <c r="L100" s="18"/>
      <c r="Q100" s="18"/>
      <c r="T100" s="18"/>
    </row>
    <row r="101" spans="12:20">
      <c r="L101" s="18"/>
      <c r="Q101" s="18"/>
      <c r="T101" s="18"/>
    </row>
    <row r="102" spans="12:20">
      <c r="L102" s="18"/>
      <c r="Q102" s="18"/>
      <c r="T102" s="18"/>
    </row>
    <row r="103" spans="12:20">
      <c r="L103" s="18"/>
      <c r="Q103" s="18"/>
      <c r="T103" s="18"/>
    </row>
    <row r="104" spans="12:20">
      <c r="L104" s="18"/>
      <c r="Q104" s="18"/>
      <c r="T104" s="18"/>
    </row>
    <row r="105" spans="12:20">
      <c r="L105" s="50"/>
      <c r="Q105" s="50"/>
      <c r="T105" s="50"/>
    </row>
    <row r="106" spans="12:20">
      <c r="L106" s="18"/>
      <c r="Q106" s="18"/>
      <c r="T106" s="18"/>
    </row>
    <row r="107" spans="12:20">
      <c r="L107" s="19"/>
      <c r="Q107" s="19"/>
      <c r="T107" s="19"/>
    </row>
    <row r="108" spans="12:20">
      <c r="L108" s="50"/>
      <c r="Q108" s="50"/>
      <c r="T108" s="50"/>
    </row>
    <row r="109" spans="12:20">
      <c r="L109" s="18"/>
      <c r="Q109" s="18"/>
      <c r="T109" s="18"/>
    </row>
    <row r="110" spans="12:20">
      <c r="L110" s="18"/>
      <c r="Q110" s="18"/>
      <c r="T110" s="18"/>
    </row>
    <row r="111" spans="12:20">
      <c r="L111" s="18"/>
      <c r="Q111" s="18"/>
      <c r="T111" s="18"/>
    </row>
    <row r="112" spans="12:20">
      <c r="L112" s="18"/>
      <c r="Q112" s="18"/>
      <c r="T112" s="18"/>
    </row>
    <row r="113" spans="12:20">
      <c r="L113" s="48"/>
      <c r="Q113" s="48"/>
      <c r="T113" s="48"/>
    </row>
    <row r="114" spans="12:20">
      <c r="L114" s="49"/>
      <c r="Q114" s="49"/>
      <c r="T114" s="49"/>
    </row>
    <row r="115" spans="12:20">
      <c r="L115" s="50"/>
      <c r="Q115" s="50"/>
      <c r="T115" s="50"/>
    </row>
    <row r="116" spans="12:20">
      <c r="L116" s="18"/>
      <c r="Q116" s="18"/>
      <c r="T116" s="18"/>
    </row>
    <row r="117" spans="12:20">
      <c r="L117" s="18"/>
      <c r="Q117" s="18"/>
      <c r="T117" s="18"/>
    </row>
    <row r="118" spans="12:20">
      <c r="L118" s="18"/>
      <c r="Q118" s="18"/>
      <c r="T118" s="18"/>
    </row>
    <row r="119" spans="12:20">
      <c r="L119" s="18"/>
      <c r="Q119" s="18"/>
      <c r="T119" s="18"/>
    </row>
    <row r="120" spans="12:20">
      <c r="L120" s="18"/>
      <c r="Q120" s="18"/>
      <c r="T120" s="18"/>
    </row>
    <row r="121" spans="12:20">
      <c r="L121" s="18"/>
      <c r="Q121" s="18"/>
      <c r="T121" s="18"/>
    </row>
    <row r="122" spans="12:20">
      <c r="L122" s="18"/>
      <c r="Q122" s="18"/>
      <c r="T122" s="18"/>
    </row>
    <row r="123" spans="12:20">
      <c r="L123" s="18"/>
      <c r="Q123" s="18"/>
      <c r="T123" s="18"/>
    </row>
    <row r="124" spans="12:20">
      <c r="L124" s="18"/>
      <c r="Q124" s="18"/>
      <c r="T124" s="18"/>
    </row>
    <row r="125" spans="12:20">
      <c r="L125" s="18"/>
      <c r="Q125" s="18"/>
      <c r="T125" s="18"/>
    </row>
    <row r="126" spans="12:20">
      <c r="L126" s="18"/>
      <c r="Q126" s="18"/>
      <c r="T126" s="18"/>
    </row>
    <row r="127" spans="12:20">
      <c r="L127" s="18"/>
      <c r="Q127" s="18"/>
      <c r="T127" s="18"/>
    </row>
    <row r="128" spans="12:20">
      <c r="L128" s="18"/>
      <c r="Q128" s="18"/>
      <c r="T128" s="18"/>
    </row>
    <row r="129" spans="12:20">
      <c r="L129" s="18"/>
      <c r="Q129" s="18"/>
      <c r="T129" s="18"/>
    </row>
    <row r="130" spans="12:20">
      <c r="L130" s="18"/>
      <c r="Q130" s="18"/>
      <c r="T130" s="18"/>
    </row>
    <row r="131" spans="12:20">
      <c r="L131" s="18"/>
      <c r="Q131" s="18"/>
      <c r="T131" s="18"/>
    </row>
    <row r="132" spans="12:20">
      <c r="L132" s="18"/>
      <c r="Q132" s="18"/>
      <c r="T132" s="18"/>
    </row>
    <row r="133" spans="12:20">
      <c r="L133" s="18"/>
      <c r="Q133" s="18"/>
      <c r="T133" s="18"/>
    </row>
    <row r="134" spans="12:20">
      <c r="L134" s="18"/>
      <c r="Q134" s="18"/>
      <c r="T134" s="18"/>
    </row>
    <row r="135" spans="12:20">
      <c r="L135" s="18"/>
      <c r="Q135" s="18"/>
      <c r="T135" s="18"/>
    </row>
    <row r="136" spans="12:20">
      <c r="L136" s="18"/>
      <c r="Q136" s="18"/>
      <c r="T136" s="18"/>
    </row>
    <row r="137" spans="12:20">
      <c r="L137" s="18"/>
      <c r="Q137" s="18"/>
      <c r="T137" s="18"/>
    </row>
    <row r="138" spans="12:20">
      <c r="L138" s="18"/>
      <c r="Q138" s="18"/>
      <c r="T138" s="18"/>
    </row>
    <row r="139" spans="12:20">
      <c r="L139" s="18"/>
      <c r="Q139" s="18"/>
      <c r="T139" s="18"/>
    </row>
    <row r="140" spans="12:20">
      <c r="L140" s="18"/>
      <c r="Q140" s="18"/>
      <c r="T140" s="18"/>
    </row>
    <row r="141" spans="12:20">
      <c r="L141" s="18"/>
      <c r="Q141" s="18"/>
      <c r="T141" s="18"/>
    </row>
    <row r="142" spans="12:20">
      <c r="L142" s="18"/>
      <c r="Q142" s="18"/>
      <c r="T142" s="18"/>
    </row>
    <row r="143" spans="12:20">
      <c r="L143" s="18"/>
      <c r="Q143" s="18"/>
      <c r="T143" s="18"/>
    </row>
    <row r="144" spans="12:20">
      <c r="L144" s="18"/>
      <c r="Q144" s="18"/>
      <c r="T144" s="18"/>
    </row>
    <row r="145" spans="12:20">
      <c r="L145" s="18"/>
      <c r="Q145" s="18"/>
      <c r="T145" s="18"/>
    </row>
    <row r="146" spans="12:20">
      <c r="L146" s="18"/>
      <c r="Q146" s="18"/>
      <c r="T146" s="18"/>
    </row>
    <row r="147" spans="12:20">
      <c r="L147" s="18"/>
      <c r="Q147" s="18"/>
      <c r="T147" s="18"/>
    </row>
    <row r="148" spans="12:20">
      <c r="L148" s="18"/>
      <c r="Q148" s="18"/>
      <c r="T148" s="18"/>
    </row>
    <row r="149" spans="12:20">
      <c r="L149" s="18"/>
      <c r="Q149" s="18"/>
      <c r="T149" s="18"/>
    </row>
    <row r="150" spans="12:20">
      <c r="L150" s="18"/>
      <c r="Q150" s="18"/>
      <c r="T150" s="18"/>
    </row>
    <row r="151" spans="12:20">
      <c r="L151" s="18"/>
      <c r="Q151" s="18"/>
      <c r="T151" s="18"/>
    </row>
    <row r="152" spans="12:20">
      <c r="L152" s="18"/>
      <c r="Q152" s="18"/>
      <c r="T152" s="18"/>
    </row>
    <row r="153" spans="12:20">
      <c r="L153" s="18"/>
      <c r="Q153" s="18"/>
      <c r="T153" s="18"/>
    </row>
    <row r="154" spans="12:20">
      <c r="L154" s="18"/>
      <c r="Q154" s="18"/>
      <c r="T154" s="18"/>
    </row>
    <row r="155" spans="12:20">
      <c r="L155" s="18"/>
      <c r="Q155" s="18"/>
      <c r="T155" s="18"/>
    </row>
    <row r="156" spans="12:20">
      <c r="L156" s="50"/>
      <c r="Q156" s="50"/>
      <c r="T156" s="50"/>
    </row>
    <row r="157" spans="12:20">
      <c r="L157" s="18"/>
      <c r="Q157" s="18"/>
      <c r="T157" s="18"/>
    </row>
    <row r="158" spans="12:20">
      <c r="L158" s="19"/>
      <c r="Q158" s="19"/>
      <c r="T158" s="19"/>
    </row>
    <row r="159" spans="12:20">
      <c r="L159" s="50"/>
      <c r="Q159" s="50"/>
      <c r="T159" s="50"/>
    </row>
    <row r="160" spans="12:20">
      <c r="L160" s="18"/>
      <c r="Q160" s="18"/>
      <c r="T160" s="18"/>
    </row>
    <row r="161" spans="12:20">
      <c r="L161" s="18"/>
      <c r="Q161" s="18"/>
      <c r="T161" s="18"/>
    </row>
    <row r="162" spans="12:20">
      <c r="L162" s="18"/>
      <c r="Q162" s="18"/>
      <c r="T162" s="18"/>
    </row>
    <row r="163" spans="12:20">
      <c r="L163" s="18"/>
      <c r="Q163" s="18"/>
      <c r="T163" s="18"/>
    </row>
    <row r="164" spans="12:20">
      <c r="L164" s="48"/>
      <c r="Q164" s="48"/>
      <c r="T164" s="48"/>
    </row>
    <row r="165" spans="12:20">
      <c r="L165" s="49"/>
      <c r="Q165" s="49"/>
      <c r="T165" s="49"/>
    </row>
    <row r="166" spans="12:20">
      <c r="L166" s="50"/>
      <c r="Q166" s="50"/>
      <c r="T166" s="50"/>
    </row>
    <row r="167" spans="12:20">
      <c r="L167" s="18"/>
      <c r="Q167" s="18"/>
      <c r="T167" s="18"/>
    </row>
    <row r="168" spans="12:20">
      <c r="L168" s="18"/>
      <c r="Q168" s="18"/>
      <c r="T168" s="18"/>
    </row>
    <row r="169" spans="12:20">
      <c r="L169" s="18"/>
      <c r="Q169" s="18"/>
      <c r="T169" s="18"/>
    </row>
    <row r="170" spans="12:20">
      <c r="L170" s="18"/>
      <c r="Q170" s="18"/>
      <c r="T170" s="18"/>
    </row>
    <row r="171" spans="12:20">
      <c r="L171" s="18"/>
      <c r="Q171" s="18"/>
      <c r="T171" s="18"/>
    </row>
    <row r="172" spans="12:20">
      <c r="L172" s="18"/>
      <c r="Q172" s="18"/>
      <c r="T172" s="18"/>
    </row>
    <row r="173" spans="12:20">
      <c r="L173" s="18"/>
      <c r="Q173" s="18"/>
      <c r="T173" s="18"/>
    </row>
    <row r="174" spans="12:20">
      <c r="L174" s="18"/>
      <c r="Q174" s="18"/>
      <c r="T174" s="18"/>
    </row>
    <row r="175" spans="12:20">
      <c r="L175" s="18"/>
      <c r="Q175" s="18"/>
      <c r="T175" s="18"/>
    </row>
    <row r="176" spans="12:20">
      <c r="L176" s="18"/>
      <c r="Q176" s="18"/>
      <c r="T176" s="18"/>
    </row>
    <row r="177" spans="12:20">
      <c r="L177" s="18"/>
      <c r="Q177" s="18"/>
      <c r="T177" s="18"/>
    </row>
    <row r="178" spans="12:20">
      <c r="L178" s="18"/>
      <c r="Q178" s="18"/>
      <c r="T178" s="18"/>
    </row>
    <row r="179" spans="12:20">
      <c r="L179" s="18"/>
      <c r="Q179" s="18"/>
      <c r="T179" s="18"/>
    </row>
    <row r="180" spans="12:20">
      <c r="L180" s="18"/>
      <c r="Q180" s="18"/>
      <c r="T180" s="18"/>
    </row>
    <row r="181" spans="12:20">
      <c r="L181" s="18"/>
      <c r="Q181" s="18"/>
      <c r="T181" s="18"/>
    </row>
    <row r="182" spans="12:20">
      <c r="L182" s="18"/>
      <c r="Q182" s="18"/>
      <c r="T182" s="18"/>
    </row>
    <row r="183" spans="12:20">
      <c r="L183" s="18"/>
      <c r="Q183" s="18"/>
      <c r="T183" s="18"/>
    </row>
    <row r="184" spans="12:20">
      <c r="L184" s="18"/>
      <c r="Q184" s="18"/>
      <c r="T184" s="18"/>
    </row>
    <row r="185" spans="12:20">
      <c r="L185" s="18"/>
      <c r="Q185" s="18"/>
      <c r="T185" s="18"/>
    </row>
    <row r="186" spans="12:20">
      <c r="L186" s="18"/>
      <c r="Q186" s="18"/>
      <c r="T186" s="18"/>
    </row>
    <row r="187" spans="12:20">
      <c r="L187" s="18"/>
      <c r="Q187" s="18"/>
      <c r="T187" s="18"/>
    </row>
    <row r="188" spans="12:20">
      <c r="L188" s="18"/>
      <c r="Q188" s="18"/>
      <c r="T188" s="18"/>
    </row>
    <row r="189" spans="12:20">
      <c r="L189" s="18"/>
      <c r="Q189" s="18"/>
      <c r="T189" s="18"/>
    </row>
    <row r="190" spans="12:20">
      <c r="L190" s="18"/>
      <c r="Q190" s="18"/>
      <c r="T190" s="18"/>
    </row>
    <row r="191" spans="12:20">
      <c r="L191" s="18"/>
      <c r="Q191" s="18"/>
      <c r="T191" s="18"/>
    </row>
    <row r="192" spans="12:20">
      <c r="L192" s="18"/>
      <c r="Q192" s="18"/>
      <c r="T192" s="18"/>
    </row>
    <row r="193" spans="12:20">
      <c r="L193" s="18"/>
      <c r="Q193" s="18"/>
      <c r="T193" s="18"/>
    </row>
    <row r="194" spans="12:20">
      <c r="L194" s="18"/>
      <c r="Q194" s="18"/>
      <c r="T194" s="18"/>
    </row>
    <row r="195" spans="12:20">
      <c r="L195" s="18"/>
      <c r="Q195" s="18"/>
      <c r="T195" s="18"/>
    </row>
    <row r="196" spans="12:20">
      <c r="L196" s="18"/>
      <c r="Q196" s="18"/>
      <c r="T196" s="18"/>
    </row>
    <row r="197" spans="12:20">
      <c r="L197" s="18"/>
      <c r="Q197" s="18"/>
      <c r="T197" s="18"/>
    </row>
    <row r="198" spans="12:20">
      <c r="L198" s="18"/>
      <c r="Q198" s="18"/>
      <c r="T198" s="18"/>
    </row>
    <row r="199" spans="12:20">
      <c r="L199" s="18"/>
      <c r="Q199" s="18"/>
      <c r="T199" s="18"/>
    </row>
    <row r="200" spans="12:20">
      <c r="L200" s="18"/>
      <c r="Q200" s="18"/>
      <c r="T200" s="18"/>
    </row>
    <row r="201" spans="12:20">
      <c r="L201" s="18"/>
      <c r="Q201" s="18"/>
      <c r="T201" s="18"/>
    </row>
    <row r="202" spans="12:20">
      <c r="L202" s="18"/>
      <c r="Q202" s="18"/>
      <c r="T202" s="18"/>
    </row>
    <row r="203" spans="12:20">
      <c r="L203" s="18"/>
      <c r="Q203" s="18"/>
      <c r="T203" s="18"/>
    </row>
    <row r="204" spans="12:20">
      <c r="L204" s="18"/>
      <c r="Q204" s="18"/>
      <c r="T204" s="18"/>
    </row>
    <row r="205" spans="12:20">
      <c r="L205" s="18"/>
      <c r="Q205" s="18"/>
      <c r="T205" s="18"/>
    </row>
    <row r="206" spans="12:20">
      <c r="L206" s="18"/>
      <c r="Q206" s="18"/>
      <c r="T206" s="18"/>
    </row>
    <row r="207" spans="12:20">
      <c r="L207" s="50"/>
      <c r="Q207" s="50"/>
      <c r="T207" s="50"/>
    </row>
    <row r="208" spans="12:20">
      <c r="L208" s="18"/>
      <c r="Q208" s="18"/>
      <c r="T208" s="18"/>
    </row>
    <row r="209" spans="12:20">
      <c r="L209" s="19"/>
      <c r="Q209" s="19"/>
      <c r="T209" s="19"/>
    </row>
    <row r="210" spans="12:20">
      <c r="L210" s="50"/>
      <c r="Q210" s="50"/>
      <c r="T210" s="50"/>
    </row>
    <row r="211" spans="12:20">
      <c r="L211" s="18"/>
      <c r="Q211" s="18"/>
      <c r="T211" s="18"/>
    </row>
    <row r="212" spans="12:20">
      <c r="L212" s="18"/>
      <c r="Q212" s="18"/>
      <c r="T212" s="18"/>
    </row>
    <row r="213" spans="12:20">
      <c r="L213" s="18"/>
      <c r="Q213" s="18"/>
      <c r="T213" s="18"/>
    </row>
    <row r="214" spans="12:20">
      <c r="L214" s="18"/>
      <c r="Q214" s="18"/>
      <c r="T214" s="18"/>
    </row>
    <row r="215" spans="12:20">
      <c r="L215" s="48"/>
      <c r="Q215" s="48"/>
      <c r="T215" s="48"/>
    </row>
    <row r="216" spans="12:20">
      <c r="L216" s="49"/>
      <c r="Q216" s="49"/>
      <c r="T216" s="49"/>
    </row>
    <row r="217" spans="12:20">
      <c r="L217" s="50"/>
      <c r="Q217" s="50"/>
      <c r="T217" s="50"/>
    </row>
    <row r="218" spans="12:20">
      <c r="L218" s="18"/>
      <c r="Q218" s="18"/>
      <c r="T218" s="18"/>
    </row>
    <row r="219" spans="12:20">
      <c r="L219" s="18"/>
      <c r="Q219" s="18"/>
      <c r="T219" s="18"/>
    </row>
    <row r="220" spans="12:20">
      <c r="L220" s="18"/>
      <c r="Q220" s="18"/>
      <c r="T220" s="18"/>
    </row>
    <row r="221" spans="12:20">
      <c r="L221" s="18"/>
      <c r="Q221" s="18"/>
      <c r="T221" s="18"/>
    </row>
    <row r="222" spans="12:20">
      <c r="L222" s="18"/>
      <c r="Q222" s="18"/>
      <c r="T222" s="18"/>
    </row>
    <row r="223" spans="12:20">
      <c r="L223" s="18"/>
      <c r="Q223" s="18"/>
      <c r="T223" s="18"/>
    </row>
    <row r="224" spans="12:20">
      <c r="L224" s="18"/>
      <c r="Q224" s="18"/>
      <c r="T224" s="18"/>
    </row>
    <row r="225" spans="12:20">
      <c r="L225" s="18"/>
      <c r="Q225" s="18"/>
      <c r="T225" s="18"/>
    </row>
    <row r="226" spans="12:20">
      <c r="L226" s="18"/>
      <c r="Q226" s="18"/>
      <c r="T226" s="18"/>
    </row>
    <row r="227" spans="12:20">
      <c r="L227" s="18"/>
      <c r="Q227" s="18"/>
      <c r="T227" s="18"/>
    </row>
    <row r="228" spans="12:20">
      <c r="L228" s="18"/>
      <c r="Q228" s="18"/>
      <c r="T228" s="18"/>
    </row>
    <row r="229" spans="12:20">
      <c r="L229" s="18"/>
      <c r="Q229" s="18"/>
      <c r="T229" s="18"/>
    </row>
    <row r="230" spans="12:20">
      <c r="L230" s="18"/>
      <c r="Q230" s="18"/>
      <c r="T230" s="18"/>
    </row>
    <row r="231" spans="12:20">
      <c r="L231" s="18"/>
      <c r="Q231" s="18"/>
      <c r="T231" s="18"/>
    </row>
    <row r="232" spans="12:20">
      <c r="L232" s="18"/>
      <c r="Q232" s="18"/>
      <c r="T232" s="18"/>
    </row>
    <row r="233" spans="12:20">
      <c r="L233" s="18"/>
      <c r="Q233" s="18"/>
      <c r="T233" s="18"/>
    </row>
    <row r="234" spans="12:20">
      <c r="L234" s="18"/>
      <c r="Q234" s="18"/>
      <c r="T234" s="18"/>
    </row>
    <row r="235" spans="12:20">
      <c r="L235" s="18"/>
      <c r="Q235" s="18"/>
      <c r="T235" s="18"/>
    </row>
    <row r="236" spans="12:20">
      <c r="L236" s="18"/>
      <c r="Q236" s="18"/>
      <c r="T236" s="18"/>
    </row>
    <row r="237" spans="12:20">
      <c r="L237" s="18"/>
      <c r="Q237" s="18"/>
      <c r="T237" s="18"/>
    </row>
    <row r="238" spans="12:20">
      <c r="L238" s="18"/>
      <c r="Q238" s="18"/>
      <c r="T238" s="18"/>
    </row>
    <row r="239" spans="12:20">
      <c r="L239" s="18"/>
      <c r="Q239" s="18"/>
      <c r="T239" s="18"/>
    </row>
    <row r="240" spans="12:20">
      <c r="L240" s="18"/>
      <c r="Q240" s="18"/>
      <c r="T240" s="18"/>
    </row>
    <row r="241" spans="12:20">
      <c r="L241" s="18"/>
      <c r="Q241" s="18"/>
      <c r="T241" s="18"/>
    </row>
    <row r="242" spans="12:20">
      <c r="L242" s="18"/>
      <c r="Q242" s="18"/>
      <c r="T242" s="18"/>
    </row>
    <row r="243" spans="12:20">
      <c r="L243" s="18"/>
      <c r="Q243" s="18"/>
      <c r="T243" s="18"/>
    </row>
    <row r="244" spans="12:20">
      <c r="L244" s="18"/>
      <c r="Q244" s="18"/>
      <c r="T244" s="18"/>
    </row>
    <row r="245" spans="12:20">
      <c r="L245" s="18"/>
      <c r="Q245" s="18"/>
      <c r="T245" s="18"/>
    </row>
    <row r="246" spans="12:20">
      <c r="L246" s="18"/>
      <c r="Q246" s="18"/>
      <c r="T246" s="18"/>
    </row>
    <row r="247" spans="12:20">
      <c r="L247" s="18"/>
      <c r="Q247" s="18"/>
      <c r="T247" s="18"/>
    </row>
    <row r="248" spans="12:20">
      <c r="L248" s="18"/>
      <c r="Q248" s="18"/>
      <c r="T248" s="18"/>
    </row>
    <row r="249" spans="12:20">
      <c r="L249" s="18"/>
      <c r="Q249" s="18"/>
      <c r="T249" s="18"/>
    </row>
    <row r="250" spans="12:20">
      <c r="L250" s="18"/>
      <c r="Q250" s="18"/>
      <c r="T250" s="18"/>
    </row>
    <row r="251" spans="12:20">
      <c r="L251" s="18"/>
      <c r="Q251" s="18"/>
      <c r="T251" s="18"/>
    </row>
    <row r="252" spans="12:20">
      <c r="L252" s="18"/>
      <c r="Q252" s="18"/>
      <c r="T252" s="18"/>
    </row>
    <row r="253" spans="12:20">
      <c r="L253" s="18"/>
      <c r="Q253" s="18"/>
      <c r="T253" s="18"/>
    </row>
    <row r="254" spans="12:20">
      <c r="L254" s="18"/>
      <c r="Q254" s="18"/>
      <c r="T254" s="18"/>
    </row>
    <row r="255" spans="12:20">
      <c r="L255" s="18"/>
      <c r="Q255" s="18"/>
      <c r="T255" s="18"/>
    </row>
    <row r="256" spans="12:20">
      <c r="L256" s="18"/>
      <c r="Q256" s="18"/>
      <c r="T256" s="18"/>
    </row>
    <row r="257" spans="12:20">
      <c r="L257" s="18"/>
      <c r="Q257" s="18"/>
      <c r="T257" s="18"/>
    </row>
    <row r="258" spans="12:20">
      <c r="L258" s="50"/>
      <c r="Q258" s="50"/>
      <c r="T258" s="50"/>
    </row>
    <row r="259" spans="12:20">
      <c r="L259" s="18"/>
      <c r="Q259" s="18"/>
      <c r="T259" s="18"/>
    </row>
    <row r="260" spans="12:20">
      <c r="L260" s="19"/>
      <c r="Q260" s="19"/>
      <c r="T260" s="19"/>
    </row>
    <row r="261" spans="12:20">
      <c r="L261" s="50"/>
      <c r="Q261" s="50"/>
      <c r="T261" s="50"/>
    </row>
    <row r="262" spans="12:20">
      <c r="L262" s="18"/>
      <c r="Q262" s="18"/>
      <c r="T262" s="18"/>
    </row>
    <row r="263" spans="12:20">
      <c r="L263" s="18"/>
      <c r="Q263" s="18"/>
      <c r="T263" s="18"/>
    </row>
    <row r="264" spans="12:20">
      <c r="L264" s="18"/>
      <c r="Q264" s="18"/>
      <c r="T264" s="18"/>
    </row>
    <row r="265" spans="12:20">
      <c r="L265" s="18"/>
      <c r="Q265" s="18"/>
      <c r="T265" s="18"/>
    </row>
    <row r="266" spans="12:20">
      <c r="L266" s="48"/>
      <c r="Q266" s="48"/>
      <c r="T266" s="48"/>
    </row>
    <row r="267" spans="12:20">
      <c r="L267" s="49"/>
      <c r="Q267" s="49"/>
      <c r="T267" s="49"/>
    </row>
    <row r="268" spans="12:20">
      <c r="L268" s="50"/>
      <c r="Q268" s="50"/>
      <c r="T268" s="50"/>
    </row>
    <row r="269" spans="12:20">
      <c r="L269" s="18"/>
      <c r="Q269" s="18"/>
      <c r="T269" s="18"/>
    </row>
    <row r="270" spans="12:20">
      <c r="L270" s="18"/>
      <c r="Q270" s="18"/>
      <c r="T270" s="18"/>
    </row>
    <row r="271" spans="12:20">
      <c r="L271" s="18"/>
      <c r="Q271" s="18"/>
      <c r="T271" s="18"/>
    </row>
    <row r="272" spans="12:20">
      <c r="L272" s="18"/>
      <c r="Q272" s="18"/>
      <c r="T272" s="18"/>
    </row>
    <row r="273" spans="12:20">
      <c r="L273" s="18"/>
      <c r="Q273" s="18"/>
      <c r="T273" s="18"/>
    </row>
    <row r="274" spans="12:20">
      <c r="L274" s="18"/>
      <c r="Q274" s="18"/>
      <c r="T274" s="18"/>
    </row>
    <row r="275" spans="12:20">
      <c r="L275" s="18"/>
      <c r="Q275" s="18"/>
      <c r="T275" s="18"/>
    </row>
    <row r="276" spans="12:20">
      <c r="L276" s="18"/>
      <c r="Q276" s="18"/>
      <c r="T276" s="18"/>
    </row>
    <row r="277" spans="12:20">
      <c r="L277" s="18"/>
      <c r="Q277" s="18"/>
      <c r="T277" s="18"/>
    </row>
    <row r="278" spans="12:20">
      <c r="L278" s="18"/>
      <c r="Q278" s="18"/>
      <c r="T278" s="18"/>
    </row>
    <row r="279" spans="12:20">
      <c r="L279" s="18"/>
      <c r="Q279" s="18"/>
      <c r="T279" s="18"/>
    </row>
    <row r="280" spans="12:20">
      <c r="L280" s="18"/>
      <c r="Q280" s="18"/>
      <c r="T280" s="18"/>
    </row>
    <row r="281" spans="12:20">
      <c r="L281" s="18"/>
      <c r="Q281" s="18"/>
      <c r="T281" s="18"/>
    </row>
    <row r="282" spans="12:20">
      <c r="L282" s="18"/>
      <c r="Q282" s="18"/>
      <c r="T282" s="18"/>
    </row>
    <row r="283" spans="12:20">
      <c r="L283" s="18"/>
      <c r="Q283" s="18"/>
      <c r="T283" s="18"/>
    </row>
    <row r="284" spans="12:20">
      <c r="L284" s="18"/>
      <c r="Q284" s="18"/>
      <c r="T284" s="18"/>
    </row>
    <row r="285" spans="12:20">
      <c r="L285" s="18"/>
      <c r="Q285" s="18"/>
      <c r="T285" s="18"/>
    </row>
    <row r="286" spans="12:20">
      <c r="L286" s="18"/>
      <c r="Q286" s="18"/>
      <c r="T286" s="18"/>
    </row>
    <row r="287" spans="12:20">
      <c r="L287" s="18"/>
      <c r="Q287" s="18"/>
      <c r="T287" s="18"/>
    </row>
    <row r="288" spans="12:20">
      <c r="L288" s="18"/>
      <c r="Q288" s="18"/>
      <c r="T288" s="18"/>
    </row>
    <row r="289" spans="12:20">
      <c r="L289" s="18"/>
      <c r="Q289" s="18"/>
      <c r="T289" s="18"/>
    </row>
    <row r="290" spans="12:20">
      <c r="L290" s="18"/>
      <c r="Q290" s="18"/>
      <c r="T290" s="18"/>
    </row>
    <row r="291" spans="12:20">
      <c r="L291" s="18"/>
      <c r="Q291" s="18"/>
      <c r="T291" s="18"/>
    </row>
    <row r="292" spans="12:20">
      <c r="L292" s="18"/>
      <c r="Q292" s="18"/>
      <c r="T292" s="18"/>
    </row>
    <row r="293" spans="12:20">
      <c r="L293" s="18"/>
      <c r="Q293" s="18"/>
      <c r="T293" s="18"/>
    </row>
    <row r="294" spans="12:20">
      <c r="L294" s="18"/>
      <c r="Q294" s="18"/>
      <c r="T294" s="18"/>
    </row>
    <row r="295" spans="12:20">
      <c r="L295" s="18"/>
      <c r="Q295" s="18"/>
      <c r="T295" s="18"/>
    </row>
    <row r="296" spans="12:20">
      <c r="L296" s="18"/>
      <c r="Q296" s="18"/>
      <c r="T296" s="18"/>
    </row>
    <row r="297" spans="12:20">
      <c r="L297" s="18"/>
      <c r="Q297" s="18"/>
      <c r="T297" s="18"/>
    </row>
    <row r="298" spans="12:20">
      <c r="L298" s="18"/>
      <c r="Q298" s="18"/>
      <c r="T298" s="18"/>
    </row>
    <row r="299" spans="12:20">
      <c r="L299" s="18"/>
      <c r="Q299" s="18"/>
      <c r="T299" s="18"/>
    </row>
    <row r="300" spans="12:20">
      <c r="L300" s="18"/>
      <c r="Q300" s="18"/>
      <c r="T300" s="18"/>
    </row>
    <row r="301" spans="12:20">
      <c r="L301" s="18"/>
      <c r="Q301" s="18"/>
      <c r="T301" s="18"/>
    </row>
    <row r="302" spans="12:20">
      <c r="L302" s="18"/>
      <c r="Q302" s="18"/>
      <c r="T302" s="18"/>
    </row>
    <row r="303" spans="12:20">
      <c r="L303" s="18"/>
      <c r="Q303" s="18"/>
      <c r="T303" s="18"/>
    </row>
    <row r="304" spans="12:20">
      <c r="L304" s="18"/>
      <c r="Q304" s="18"/>
      <c r="T304" s="18"/>
    </row>
    <row r="305" spans="12:20">
      <c r="L305" s="18"/>
      <c r="Q305" s="18"/>
      <c r="T305" s="18"/>
    </row>
    <row r="306" spans="12:20">
      <c r="L306" s="18"/>
      <c r="Q306" s="18"/>
      <c r="T306" s="18"/>
    </row>
    <row r="307" spans="12:20">
      <c r="L307" s="18"/>
      <c r="Q307" s="18"/>
      <c r="T307" s="18"/>
    </row>
    <row r="308" spans="12:20">
      <c r="L308" s="18"/>
      <c r="Q308" s="18"/>
      <c r="T308" s="18"/>
    </row>
    <row r="309" spans="12:20">
      <c r="L309" s="50"/>
      <c r="Q309" s="50"/>
      <c r="T309" s="50"/>
    </row>
    <row r="310" spans="12:20">
      <c r="L310" s="18"/>
      <c r="Q310" s="18"/>
      <c r="T310" s="18"/>
    </row>
    <row r="311" spans="12:20">
      <c r="L311" s="19"/>
      <c r="Q311" s="19"/>
      <c r="T311" s="19"/>
    </row>
    <row r="312" spans="12:20">
      <c r="L312" s="50"/>
      <c r="Q312" s="50"/>
      <c r="T312" s="50"/>
    </row>
    <row r="313" spans="12:20">
      <c r="L313" s="18"/>
      <c r="Q313" s="18"/>
      <c r="T313" s="18"/>
    </row>
    <row r="314" spans="12:20">
      <c r="L314" s="18"/>
      <c r="Q314" s="18"/>
      <c r="T314" s="18"/>
    </row>
    <row r="315" spans="12:20">
      <c r="L315" s="18"/>
      <c r="Q315" s="18"/>
      <c r="T315" s="18"/>
    </row>
    <row r="316" spans="12:20">
      <c r="L316" s="18"/>
      <c r="Q316" s="18"/>
      <c r="T316" s="18"/>
    </row>
    <row r="317" spans="12:20">
      <c r="L317" s="48"/>
      <c r="Q317" s="48"/>
      <c r="T317" s="48"/>
    </row>
    <row r="318" spans="12:20">
      <c r="L318" s="49"/>
      <c r="Q318" s="49"/>
      <c r="T318" s="49"/>
    </row>
    <row r="319" spans="12:20">
      <c r="L319" s="50"/>
      <c r="Q319" s="50"/>
      <c r="T319" s="50"/>
    </row>
    <row r="320" spans="12:20">
      <c r="L320" s="18"/>
      <c r="Q320" s="18"/>
      <c r="T320" s="18"/>
    </row>
    <row r="321" spans="12:20">
      <c r="L321" s="18"/>
      <c r="Q321" s="18"/>
      <c r="T321" s="18"/>
    </row>
    <row r="322" spans="12:20">
      <c r="L322" s="18"/>
      <c r="Q322" s="18"/>
      <c r="T322" s="18"/>
    </row>
    <row r="323" spans="12:20">
      <c r="L323" s="18"/>
      <c r="Q323" s="18"/>
      <c r="T323" s="18"/>
    </row>
    <row r="324" spans="12:20">
      <c r="L324" s="18"/>
      <c r="Q324" s="18"/>
      <c r="T324" s="18"/>
    </row>
    <row r="325" spans="12:20">
      <c r="L325" s="18"/>
      <c r="Q325" s="18"/>
      <c r="T325" s="18"/>
    </row>
    <row r="326" spans="12:20">
      <c r="L326" s="18"/>
      <c r="Q326" s="18"/>
      <c r="T326" s="18"/>
    </row>
    <row r="327" spans="12:20">
      <c r="L327" s="18"/>
      <c r="Q327" s="18"/>
      <c r="T327" s="18"/>
    </row>
    <row r="328" spans="12:20">
      <c r="L328" s="18"/>
      <c r="Q328" s="18"/>
      <c r="T328" s="18"/>
    </row>
    <row r="329" spans="12:20">
      <c r="L329" s="18"/>
      <c r="Q329" s="18"/>
      <c r="T329" s="18"/>
    </row>
    <row r="330" spans="12:20">
      <c r="L330" s="18"/>
      <c r="Q330" s="18"/>
      <c r="T330" s="18"/>
    </row>
    <row r="331" spans="12:20">
      <c r="L331" s="18"/>
      <c r="Q331" s="18"/>
      <c r="T331" s="18"/>
    </row>
    <row r="332" spans="12:20">
      <c r="L332" s="18"/>
      <c r="Q332" s="18"/>
      <c r="T332" s="18"/>
    </row>
    <row r="333" spans="12:20">
      <c r="L333" s="18"/>
      <c r="Q333" s="18"/>
      <c r="T333" s="18"/>
    </row>
    <row r="334" spans="12:20">
      <c r="L334" s="18"/>
      <c r="Q334" s="18"/>
      <c r="T334" s="18"/>
    </row>
    <row r="335" spans="12:20">
      <c r="L335" s="18"/>
      <c r="Q335" s="18"/>
      <c r="T335" s="18"/>
    </row>
    <row r="336" spans="12:20">
      <c r="L336" s="18"/>
      <c r="Q336" s="18"/>
      <c r="T336" s="18"/>
    </row>
    <row r="337" spans="12:20">
      <c r="L337" s="18"/>
      <c r="Q337" s="18"/>
      <c r="T337" s="18"/>
    </row>
    <row r="338" spans="12:20">
      <c r="L338" s="18"/>
      <c r="Q338" s="18"/>
      <c r="T338" s="18"/>
    </row>
    <row r="339" spans="12:20">
      <c r="L339" s="18"/>
      <c r="Q339" s="18"/>
      <c r="T339" s="18"/>
    </row>
    <row r="340" spans="12:20">
      <c r="L340" s="18"/>
      <c r="Q340" s="18"/>
      <c r="T340" s="18"/>
    </row>
    <row r="341" spans="12:20">
      <c r="L341" s="18"/>
      <c r="Q341" s="18"/>
      <c r="T341" s="18"/>
    </row>
    <row r="342" spans="12:20">
      <c r="L342" s="18"/>
      <c r="Q342" s="18"/>
      <c r="T342" s="18"/>
    </row>
    <row r="343" spans="12:20">
      <c r="L343" s="18"/>
      <c r="Q343" s="18"/>
      <c r="T343" s="18"/>
    </row>
    <row r="344" spans="12:20">
      <c r="L344" s="18"/>
      <c r="Q344" s="18"/>
      <c r="T344" s="18"/>
    </row>
    <row r="345" spans="12:20">
      <c r="L345" s="18"/>
      <c r="Q345" s="18"/>
      <c r="T345" s="18"/>
    </row>
    <row r="346" spans="12:20">
      <c r="L346" s="18"/>
      <c r="Q346" s="18"/>
      <c r="T346" s="18"/>
    </row>
    <row r="347" spans="12:20">
      <c r="L347" s="18"/>
      <c r="Q347" s="18"/>
      <c r="T347" s="18"/>
    </row>
    <row r="348" spans="12:20">
      <c r="L348" s="18"/>
      <c r="Q348" s="18"/>
      <c r="T348" s="18"/>
    </row>
    <row r="349" spans="12:20">
      <c r="L349" s="18"/>
      <c r="Q349" s="18"/>
      <c r="T349" s="18"/>
    </row>
    <row r="350" spans="12:20">
      <c r="L350" s="18"/>
      <c r="Q350" s="18"/>
      <c r="T350" s="18"/>
    </row>
    <row r="351" spans="12:20">
      <c r="L351" s="18"/>
      <c r="Q351" s="18"/>
      <c r="T351" s="18"/>
    </row>
    <row r="352" spans="12:20">
      <c r="L352" s="18"/>
      <c r="Q352" s="18"/>
      <c r="T352" s="18"/>
    </row>
    <row r="353" spans="12:20">
      <c r="L353" s="18"/>
      <c r="Q353" s="18"/>
      <c r="T353" s="18"/>
    </row>
    <row r="354" spans="12:20">
      <c r="L354" s="18"/>
      <c r="Q354" s="18"/>
      <c r="T354" s="18"/>
    </row>
    <row r="355" spans="12:20">
      <c r="L355" s="18"/>
      <c r="Q355" s="18"/>
      <c r="T355" s="18"/>
    </row>
    <row r="356" spans="12:20">
      <c r="L356" s="18"/>
      <c r="Q356" s="18"/>
      <c r="T356" s="18"/>
    </row>
    <row r="357" spans="12:20">
      <c r="L357" s="18"/>
      <c r="Q357" s="18"/>
      <c r="T357" s="18"/>
    </row>
    <row r="358" spans="12:20">
      <c r="L358" s="18"/>
      <c r="Q358" s="18"/>
      <c r="T358" s="18"/>
    </row>
    <row r="359" spans="12:20">
      <c r="L359" s="18"/>
      <c r="Q359" s="18"/>
      <c r="T359" s="18"/>
    </row>
    <row r="360" spans="12:20">
      <c r="L360" s="50"/>
      <c r="Q360" s="50"/>
      <c r="T360" s="50"/>
    </row>
    <row r="361" spans="12:20">
      <c r="L361" s="18"/>
      <c r="Q361" s="18"/>
      <c r="T361" s="18"/>
    </row>
    <row r="362" spans="12:20">
      <c r="L362" s="19"/>
      <c r="Q362" s="19"/>
      <c r="T362" s="19"/>
    </row>
    <row r="363" spans="12:20">
      <c r="L363" s="50"/>
      <c r="Q363" s="50"/>
      <c r="T363" s="50"/>
    </row>
    <row r="364" spans="12:20">
      <c r="L364" s="18"/>
      <c r="Q364" s="18"/>
      <c r="T364" s="18"/>
    </row>
    <row r="365" spans="12:20">
      <c r="L365" s="18"/>
      <c r="Q365" s="18"/>
      <c r="T365" s="18"/>
    </row>
    <row r="366" spans="12:20">
      <c r="L366" s="18"/>
      <c r="Q366" s="18"/>
      <c r="T366" s="18"/>
    </row>
    <row r="367" spans="12:20">
      <c r="L367" s="18"/>
      <c r="Q367" s="18"/>
      <c r="T367" s="18"/>
    </row>
    <row r="368" spans="12:20">
      <c r="L368" s="48"/>
      <c r="Q368" s="48"/>
      <c r="T368" s="48"/>
    </row>
    <row r="369" spans="12:20">
      <c r="L369" s="49"/>
      <c r="Q369" s="49"/>
      <c r="T369" s="49"/>
    </row>
    <row r="370" spans="12:20">
      <c r="L370" s="50"/>
      <c r="Q370" s="50"/>
      <c r="T370" s="50"/>
    </row>
    <row r="371" spans="12:20">
      <c r="L371" s="18"/>
      <c r="Q371" s="18"/>
      <c r="T371" s="18"/>
    </row>
    <row r="372" spans="12:20">
      <c r="L372" s="18"/>
      <c r="Q372" s="18"/>
      <c r="T372" s="18"/>
    </row>
    <row r="373" spans="12:20">
      <c r="L373" s="18"/>
      <c r="Q373" s="18"/>
      <c r="T373" s="18"/>
    </row>
    <row r="374" spans="12:20">
      <c r="L374" s="18"/>
      <c r="Q374" s="18"/>
      <c r="T374" s="18"/>
    </row>
    <row r="375" spans="12:20">
      <c r="L375" s="18"/>
      <c r="Q375" s="18"/>
      <c r="T375" s="18"/>
    </row>
    <row r="376" spans="12:20">
      <c r="L376" s="18"/>
      <c r="Q376" s="18"/>
      <c r="T376" s="18"/>
    </row>
    <row r="377" spans="12:20">
      <c r="L377" s="18"/>
      <c r="Q377" s="18"/>
      <c r="T377" s="18"/>
    </row>
    <row r="378" spans="12:20">
      <c r="L378" s="18"/>
      <c r="Q378" s="18"/>
      <c r="T378" s="18"/>
    </row>
    <row r="379" spans="12:20">
      <c r="L379" s="18"/>
      <c r="Q379" s="18"/>
      <c r="T379" s="18"/>
    </row>
    <row r="380" spans="12:20">
      <c r="L380" s="18"/>
      <c r="Q380" s="18"/>
      <c r="T380" s="18"/>
    </row>
    <row r="381" spans="12:20">
      <c r="L381" s="18"/>
      <c r="Q381" s="18"/>
      <c r="T381" s="18"/>
    </row>
    <row r="382" spans="12:20">
      <c r="L382" s="18"/>
      <c r="Q382" s="18"/>
      <c r="T382" s="18"/>
    </row>
    <row r="383" spans="12:20">
      <c r="L383" s="18"/>
      <c r="Q383" s="18"/>
      <c r="T383" s="18"/>
    </row>
    <row r="384" spans="12:20">
      <c r="L384" s="18"/>
      <c r="Q384" s="18"/>
      <c r="T384" s="18"/>
    </row>
    <row r="385" spans="12:20">
      <c r="L385" s="18"/>
      <c r="Q385" s="18"/>
      <c r="T385" s="18"/>
    </row>
    <row r="386" spans="12:20">
      <c r="L386" s="18"/>
      <c r="Q386" s="18"/>
      <c r="T386" s="18"/>
    </row>
    <row r="387" spans="12:20">
      <c r="L387" s="18"/>
      <c r="Q387" s="18"/>
      <c r="T387" s="18"/>
    </row>
    <row r="388" spans="12:20">
      <c r="L388" s="18"/>
      <c r="Q388" s="18"/>
      <c r="T388" s="18"/>
    </row>
    <row r="389" spans="12:20">
      <c r="L389" s="18"/>
      <c r="Q389" s="18"/>
      <c r="T389" s="18"/>
    </row>
    <row r="390" spans="12:20">
      <c r="L390" s="18"/>
      <c r="Q390" s="18"/>
      <c r="T390" s="18"/>
    </row>
    <row r="391" spans="12:20">
      <c r="L391" s="18"/>
      <c r="Q391" s="18"/>
      <c r="T391" s="18"/>
    </row>
    <row r="392" spans="12:20">
      <c r="L392" s="18"/>
      <c r="Q392" s="18"/>
      <c r="T392" s="18"/>
    </row>
    <row r="393" spans="12:20">
      <c r="L393" s="18"/>
      <c r="Q393" s="18"/>
      <c r="T393" s="18"/>
    </row>
    <row r="394" spans="12:20">
      <c r="L394" s="18"/>
      <c r="Q394" s="18"/>
      <c r="T394" s="18"/>
    </row>
    <row r="395" spans="12:20">
      <c r="L395" s="18"/>
      <c r="Q395" s="18"/>
      <c r="T395" s="18"/>
    </row>
    <row r="396" spans="12:20">
      <c r="L396" s="18"/>
      <c r="Q396" s="18"/>
      <c r="T396" s="18"/>
    </row>
    <row r="397" spans="12:20">
      <c r="L397" s="18"/>
      <c r="Q397" s="18"/>
      <c r="T397" s="18"/>
    </row>
    <row r="398" spans="12:20">
      <c r="L398" s="18"/>
      <c r="Q398" s="18"/>
      <c r="T398" s="18"/>
    </row>
    <row r="399" spans="12:20">
      <c r="L399" s="18"/>
      <c r="Q399" s="18"/>
      <c r="T399" s="18"/>
    </row>
    <row r="400" spans="12:20">
      <c r="L400" s="18"/>
      <c r="Q400" s="18"/>
      <c r="T400" s="18"/>
    </row>
    <row r="401" spans="12:20">
      <c r="L401" s="18"/>
      <c r="Q401" s="18"/>
      <c r="T401" s="18"/>
    </row>
    <row r="402" spans="12:20">
      <c r="L402" s="18"/>
      <c r="Q402" s="18"/>
      <c r="T402" s="18"/>
    </row>
    <row r="403" spans="12:20">
      <c r="L403" s="18"/>
      <c r="Q403" s="18"/>
      <c r="T403" s="18"/>
    </row>
    <row r="404" spans="12:20">
      <c r="L404" s="18"/>
      <c r="Q404" s="18"/>
      <c r="T404" s="18"/>
    </row>
    <row r="405" spans="12:20">
      <c r="L405" s="18"/>
      <c r="Q405" s="18"/>
      <c r="T405" s="18"/>
    </row>
    <row r="406" spans="12:20">
      <c r="L406" s="18"/>
      <c r="Q406" s="18"/>
      <c r="T406" s="18"/>
    </row>
    <row r="407" spans="12:20">
      <c r="L407" s="18"/>
      <c r="Q407" s="18"/>
      <c r="T407" s="18"/>
    </row>
    <row r="408" spans="12:20">
      <c r="L408" s="18"/>
      <c r="Q408" s="18"/>
      <c r="T408" s="18"/>
    </row>
    <row r="409" spans="12:20">
      <c r="L409" s="18"/>
      <c r="Q409" s="18"/>
      <c r="T409" s="18"/>
    </row>
    <row r="410" spans="12:20">
      <c r="L410" s="18"/>
      <c r="Q410" s="18"/>
      <c r="T410" s="18"/>
    </row>
    <row r="411" spans="12:20">
      <c r="L411" s="50"/>
      <c r="Q411" s="50"/>
      <c r="T411" s="50"/>
    </row>
    <row r="412" spans="12:20">
      <c r="L412" s="18"/>
      <c r="Q412" s="18"/>
      <c r="T412" s="18"/>
    </row>
    <row r="413" spans="12:20">
      <c r="L413" s="19"/>
      <c r="Q413" s="19"/>
      <c r="T413" s="19"/>
    </row>
    <row r="414" spans="12:20">
      <c r="L414" s="50"/>
      <c r="Q414" s="50"/>
      <c r="T414" s="50"/>
    </row>
    <row r="415" spans="12:20">
      <c r="L415" s="18"/>
      <c r="Q415" s="18"/>
      <c r="T415" s="18"/>
    </row>
    <row r="416" spans="12:20">
      <c r="L416" s="18"/>
      <c r="Q416" s="18"/>
      <c r="T416" s="18"/>
    </row>
    <row r="417" spans="12:20">
      <c r="L417" s="18"/>
      <c r="Q417" s="18"/>
      <c r="T417" s="18"/>
    </row>
    <row r="418" spans="12:20">
      <c r="L418" s="18"/>
      <c r="Q418" s="18"/>
      <c r="T418" s="18"/>
    </row>
    <row r="419" spans="12:20">
      <c r="L419" s="48"/>
      <c r="Q419" s="48"/>
      <c r="T419" s="48"/>
    </row>
    <row r="420" spans="12:20">
      <c r="L420" s="49"/>
      <c r="Q420" s="49"/>
      <c r="T420" s="49"/>
    </row>
    <row r="421" spans="12:20">
      <c r="L421" s="50"/>
      <c r="Q421" s="50"/>
      <c r="T421" s="50"/>
    </row>
    <row r="422" spans="12:20">
      <c r="L422" s="18"/>
      <c r="Q422" s="18"/>
      <c r="T422" s="18"/>
    </row>
    <row r="423" spans="12:20">
      <c r="L423" s="18"/>
      <c r="Q423" s="18"/>
      <c r="T423" s="18"/>
    </row>
    <row r="424" spans="12:20">
      <c r="L424" s="18"/>
      <c r="Q424" s="18"/>
      <c r="T424" s="18"/>
    </row>
    <row r="425" spans="12:20">
      <c r="L425" s="18"/>
      <c r="Q425" s="18"/>
      <c r="T425" s="18"/>
    </row>
    <row r="426" spans="12:20">
      <c r="L426" s="18"/>
      <c r="Q426" s="18"/>
      <c r="T426" s="18"/>
    </row>
    <row r="427" spans="12:20">
      <c r="L427" s="18"/>
      <c r="Q427" s="18"/>
      <c r="T427" s="18"/>
    </row>
    <row r="428" spans="12:20">
      <c r="L428" s="18"/>
      <c r="Q428" s="18"/>
      <c r="T428" s="18"/>
    </row>
    <row r="429" spans="12:20">
      <c r="L429" s="18"/>
      <c r="Q429" s="18"/>
      <c r="T429" s="18"/>
    </row>
    <row r="430" spans="12:20">
      <c r="L430" s="18"/>
      <c r="Q430" s="18"/>
      <c r="T430" s="18"/>
    </row>
    <row r="431" spans="12:20">
      <c r="L431" s="18"/>
      <c r="Q431" s="18"/>
      <c r="T431" s="18"/>
    </row>
    <row r="432" spans="12:20">
      <c r="L432" s="18"/>
      <c r="Q432" s="18"/>
      <c r="T432" s="18"/>
    </row>
    <row r="433" spans="12:20">
      <c r="L433" s="18"/>
      <c r="Q433" s="18"/>
      <c r="T433" s="18"/>
    </row>
    <row r="434" spans="12:20">
      <c r="L434" s="18"/>
      <c r="Q434" s="18"/>
      <c r="T434" s="18"/>
    </row>
    <row r="435" spans="12:20">
      <c r="L435" s="18"/>
      <c r="Q435" s="18"/>
      <c r="T435" s="18"/>
    </row>
    <row r="436" spans="12:20">
      <c r="L436" s="18"/>
      <c r="Q436" s="18"/>
      <c r="T436" s="18"/>
    </row>
    <row r="437" spans="12:20">
      <c r="L437" s="18"/>
      <c r="Q437" s="18"/>
      <c r="T437" s="18"/>
    </row>
    <row r="438" spans="12:20">
      <c r="L438" s="18"/>
      <c r="Q438" s="18"/>
      <c r="T438" s="18"/>
    </row>
    <row r="439" spans="12:20">
      <c r="L439" s="18"/>
      <c r="Q439" s="18"/>
      <c r="T439" s="18"/>
    </row>
    <row r="440" spans="12:20">
      <c r="L440" s="18"/>
      <c r="Q440" s="18"/>
      <c r="T440" s="18"/>
    </row>
    <row r="441" spans="12:20">
      <c r="L441" s="30"/>
      <c r="Q441" s="30"/>
      <c r="T441" s="30"/>
    </row>
    <row r="442" spans="12:20">
      <c r="L442" s="30"/>
      <c r="Q442" s="30"/>
      <c r="T442" s="30"/>
    </row>
    <row r="443" spans="12:20">
      <c r="L443" s="18"/>
      <c r="Q443" s="18"/>
      <c r="T443" s="18"/>
    </row>
    <row r="444" spans="12:20">
      <c r="L444" s="51"/>
      <c r="Q444" s="51"/>
      <c r="T444" s="51"/>
    </row>
    <row r="445" spans="12:20">
      <c r="L445" s="18"/>
      <c r="Q445" s="18"/>
      <c r="T445" s="18"/>
    </row>
    <row r="446" spans="12:20">
      <c r="L446" s="18"/>
      <c r="Q446" s="18"/>
      <c r="T446" s="18"/>
    </row>
    <row r="447" spans="12:20">
      <c r="L447" s="51"/>
      <c r="Q447" s="51"/>
      <c r="T447" s="51"/>
    </row>
    <row r="448" spans="12:20">
      <c r="L448" s="18"/>
      <c r="Q448" s="18"/>
      <c r="T448" s="18"/>
    </row>
    <row r="449" spans="12:20">
      <c r="L449" s="30"/>
      <c r="Q449" s="30"/>
      <c r="T449" s="30"/>
    </row>
    <row r="450" spans="12:20">
      <c r="L450" s="30"/>
      <c r="Q450" s="30"/>
      <c r="T450" s="30"/>
    </row>
    <row r="451" spans="12:20">
      <c r="L451" s="18"/>
      <c r="Q451" s="18"/>
      <c r="T451" s="18"/>
    </row>
    <row r="452" spans="12:20">
      <c r="L452" s="18"/>
      <c r="Q452" s="18"/>
      <c r="T452" s="18"/>
    </row>
    <row r="453" spans="12:20">
      <c r="L453" s="51"/>
      <c r="Q453" s="51"/>
      <c r="T453" s="51"/>
    </row>
    <row r="454" spans="12:20">
      <c r="L454" s="51"/>
      <c r="Q454" s="51"/>
      <c r="T454" s="51"/>
    </row>
    <row r="455" spans="12:20">
      <c r="L455" s="51"/>
      <c r="Q455" s="51"/>
      <c r="T455" s="51"/>
    </row>
    <row r="456" spans="12:20">
      <c r="L456" s="51"/>
      <c r="Q456" s="51"/>
      <c r="T456" s="51"/>
    </row>
    <row r="457" spans="12:20">
      <c r="L457" s="18"/>
      <c r="Q457" s="18"/>
      <c r="T457" s="18"/>
    </row>
    <row r="458" spans="12:20">
      <c r="L458" s="30"/>
      <c r="Q458" s="30"/>
      <c r="T458" s="30"/>
    </row>
    <row r="459" spans="12:20">
      <c r="L459" s="51"/>
      <c r="Q459" s="51"/>
      <c r="T459" s="51"/>
    </row>
    <row r="460" spans="12:20">
      <c r="L460" s="30"/>
      <c r="Q460" s="30"/>
      <c r="T460" s="30"/>
    </row>
    <row r="461" spans="12:20">
      <c r="L461" s="30"/>
      <c r="Q461" s="30"/>
      <c r="T461" s="30"/>
    </row>
    <row r="462" spans="12:20">
      <c r="L462" s="52"/>
      <c r="Q462" s="52"/>
      <c r="T462" s="52"/>
    </row>
    <row r="463" spans="12:20">
      <c r="L463" s="30"/>
      <c r="Q463" s="30"/>
      <c r="T463" s="30"/>
    </row>
    <row r="464" spans="12:20">
      <c r="L464" s="19"/>
      <c r="Q464" s="19"/>
      <c r="T464" s="19"/>
    </row>
    <row r="465" spans="12:20">
      <c r="L465" s="52"/>
      <c r="Q465" s="52"/>
      <c r="T465" s="52"/>
    </row>
    <row r="466" spans="12:20">
      <c r="L466" s="30"/>
      <c r="Q466" s="30"/>
      <c r="T466" s="30"/>
    </row>
    <row r="467" spans="12:20">
      <c r="L467" s="30"/>
      <c r="Q467" s="30"/>
      <c r="T467" s="30"/>
    </row>
    <row r="468" spans="12:20">
      <c r="L468" s="30"/>
      <c r="Q468" s="30"/>
      <c r="T468" s="30"/>
    </row>
    <row r="469" spans="12:20">
      <c r="L469" s="30"/>
      <c r="Q469" s="30"/>
      <c r="T469" s="30"/>
    </row>
    <row r="470" spans="12:20">
      <c r="L470" s="48"/>
      <c r="Q470" s="48"/>
      <c r="T470" s="48"/>
    </row>
    <row r="471" spans="12:20">
      <c r="L471" s="36"/>
      <c r="Q471" s="36"/>
      <c r="T471" s="36"/>
    </row>
    <row r="472" spans="12:20">
      <c r="L472" s="52"/>
      <c r="Q472" s="52"/>
      <c r="T472" s="52"/>
    </row>
    <row r="473" spans="12:20">
      <c r="L473" s="30"/>
      <c r="Q473" s="30"/>
      <c r="T473" s="30"/>
    </row>
    <row r="474" spans="12:20">
      <c r="L474" s="30"/>
      <c r="Q474" s="30"/>
      <c r="T474" s="30"/>
    </row>
    <row r="475" spans="12:20">
      <c r="L475" s="51"/>
      <c r="Q475" s="51"/>
      <c r="T475" s="51"/>
    </row>
    <row r="476" spans="12:20">
      <c r="L476" s="51"/>
      <c r="Q476" s="51"/>
      <c r="T476" s="51"/>
    </row>
    <row r="477" spans="12:20">
      <c r="L477" s="51"/>
      <c r="Q477" s="51"/>
      <c r="T477" s="51"/>
    </row>
    <row r="478" spans="12:20">
      <c r="L478" s="30"/>
      <c r="Q478" s="30"/>
      <c r="T478" s="30"/>
    </row>
    <row r="479" spans="12:20">
      <c r="L479" s="51"/>
      <c r="Q479" s="51"/>
      <c r="T479" s="51"/>
    </row>
    <row r="480" spans="12:20">
      <c r="L480" s="30"/>
      <c r="Q480" s="30"/>
      <c r="T480" s="30"/>
    </row>
    <row r="481" spans="12:20">
      <c r="L481" s="51"/>
      <c r="Q481" s="51"/>
      <c r="T481" s="51"/>
    </row>
    <row r="482" spans="12:20">
      <c r="L482" s="51"/>
      <c r="Q482" s="51"/>
      <c r="T482" s="51"/>
    </row>
    <row r="483" spans="12:20">
      <c r="L483" s="51"/>
      <c r="Q483" s="51"/>
      <c r="T483" s="51"/>
    </row>
    <row r="484" spans="12:20">
      <c r="L484" s="51"/>
      <c r="Q484" s="51"/>
      <c r="T484" s="51"/>
    </row>
    <row r="485" spans="12:20">
      <c r="L485" s="51"/>
      <c r="Q485" s="51"/>
      <c r="T485" s="51"/>
    </row>
    <row r="486" spans="12:20">
      <c r="L486" s="51"/>
      <c r="Q486" s="51"/>
      <c r="T486" s="51"/>
    </row>
    <row r="487" spans="12:20">
      <c r="L487" s="18"/>
      <c r="Q487" s="18"/>
      <c r="T487" s="18"/>
    </row>
    <row r="488" spans="12:20">
      <c r="L488" s="18"/>
      <c r="Q488" s="18"/>
      <c r="T488" s="18"/>
    </row>
    <row r="489" spans="12:20">
      <c r="L489" s="18"/>
      <c r="Q489" s="18"/>
      <c r="T489" s="18"/>
    </row>
    <row r="490" spans="12:20">
      <c r="L490" s="18"/>
      <c r="Q490" s="18"/>
      <c r="T490" s="18"/>
    </row>
    <row r="491" spans="12:20">
      <c r="L491" s="18"/>
      <c r="Q491" s="18"/>
      <c r="T491" s="18"/>
    </row>
    <row r="492" spans="12:20">
      <c r="L492" s="30"/>
      <c r="Q492" s="30"/>
      <c r="T492" s="30"/>
    </row>
    <row r="493" spans="12:20">
      <c r="L493" s="30"/>
      <c r="Q493" s="30"/>
      <c r="T493" s="30"/>
    </row>
    <row r="494" spans="12:20">
      <c r="L494" s="18"/>
      <c r="Q494" s="18"/>
      <c r="T494" s="18"/>
    </row>
    <row r="495" spans="12:20">
      <c r="L495" s="51"/>
      <c r="Q495" s="51"/>
      <c r="T495" s="51"/>
    </row>
    <row r="496" spans="12:20">
      <c r="L496" s="18"/>
      <c r="Q496" s="18"/>
      <c r="T496" s="18"/>
    </row>
    <row r="497" spans="12:20">
      <c r="L497" s="18"/>
      <c r="Q497" s="18"/>
      <c r="T497" s="18"/>
    </row>
    <row r="498" spans="12:20">
      <c r="L498" s="51"/>
      <c r="Q498" s="51"/>
      <c r="T498" s="51"/>
    </row>
    <row r="499" spans="12:20">
      <c r="L499" s="18"/>
      <c r="Q499" s="18"/>
      <c r="T499" s="18"/>
    </row>
    <row r="500" spans="12:20">
      <c r="L500" s="30"/>
      <c r="Q500" s="30"/>
      <c r="T500" s="30"/>
    </row>
    <row r="501" spans="12:20">
      <c r="L501" s="30"/>
      <c r="Q501" s="30"/>
      <c r="T501" s="30"/>
    </row>
    <row r="502" spans="12:20">
      <c r="L502" s="18"/>
      <c r="Q502" s="18"/>
      <c r="T502" s="18"/>
    </row>
    <row r="503" spans="12:20">
      <c r="L503" s="18"/>
      <c r="Q503" s="18"/>
      <c r="T503" s="18"/>
    </row>
    <row r="504" spans="12:20">
      <c r="L504" s="51"/>
      <c r="Q504" s="51"/>
      <c r="T504" s="51"/>
    </row>
    <row r="505" spans="12:20">
      <c r="L505" s="51"/>
      <c r="Q505" s="51"/>
      <c r="T505" s="51"/>
    </row>
    <row r="506" spans="12:20">
      <c r="L506" s="51"/>
      <c r="Q506" s="51"/>
      <c r="T506" s="51"/>
    </row>
    <row r="507" spans="12:20">
      <c r="L507" s="51"/>
      <c r="Q507" s="51"/>
      <c r="T507" s="51"/>
    </row>
    <row r="508" spans="12:20">
      <c r="L508" s="18"/>
      <c r="Q508" s="18"/>
      <c r="T508" s="18"/>
    </row>
    <row r="509" spans="12:20">
      <c r="L509" s="30"/>
      <c r="Q509" s="30"/>
      <c r="T509" s="30"/>
    </row>
    <row r="510" spans="12:20">
      <c r="L510" s="51"/>
      <c r="Q510" s="51"/>
      <c r="T510" s="51"/>
    </row>
    <row r="511" spans="12:20">
      <c r="L511" s="30"/>
      <c r="Q511" s="30"/>
      <c r="T511" s="30"/>
    </row>
    <row r="512" spans="12:20">
      <c r="L512" s="30"/>
      <c r="Q512" s="30"/>
      <c r="T512" s="30"/>
    </row>
    <row r="513" spans="12:20">
      <c r="L513" s="52"/>
      <c r="Q513" s="52"/>
      <c r="T513" s="52"/>
    </row>
    <row r="514" spans="12:20">
      <c r="L514" s="30"/>
      <c r="Q514" s="30"/>
      <c r="T514" s="30"/>
    </row>
    <row r="515" spans="12:20">
      <c r="L515" s="19"/>
      <c r="Q515" s="19"/>
      <c r="T515" s="19"/>
    </row>
    <row r="516" spans="12:20">
      <c r="L516" s="52"/>
      <c r="Q516" s="52"/>
      <c r="T516" s="52"/>
    </row>
    <row r="517" spans="12:20">
      <c r="L517" s="30"/>
      <c r="Q517" s="30"/>
      <c r="T517" s="30"/>
    </row>
    <row r="518" spans="12:20">
      <c r="L518" s="30"/>
      <c r="Q518" s="30"/>
      <c r="T518" s="30"/>
    </row>
    <row r="519" spans="12:20">
      <c r="L519" s="30"/>
      <c r="Q519" s="30"/>
      <c r="T519" s="30"/>
    </row>
    <row r="520" spans="12:20">
      <c r="L520" s="30"/>
      <c r="Q520" s="30"/>
      <c r="T520" s="30"/>
    </row>
    <row r="521" spans="12:20">
      <c r="L521" s="48"/>
      <c r="Q521" s="48"/>
      <c r="T521" s="48"/>
    </row>
    <row r="522" spans="12:20">
      <c r="L522" s="36"/>
      <c r="Q522" s="36"/>
      <c r="T522" s="36"/>
    </row>
    <row r="523" spans="12:20">
      <c r="L523" s="52"/>
      <c r="Q523" s="52"/>
      <c r="T523" s="52"/>
    </row>
    <row r="524" spans="12:20">
      <c r="L524" s="30"/>
      <c r="Q524" s="30"/>
      <c r="T524" s="30"/>
    </row>
    <row r="525" spans="12:20">
      <c r="L525" s="30"/>
      <c r="Q525" s="30"/>
      <c r="T525" s="30"/>
    </row>
    <row r="526" spans="12:20">
      <c r="L526" s="51"/>
      <c r="Q526" s="51"/>
      <c r="T526" s="51"/>
    </row>
    <row r="527" spans="12:20">
      <c r="L527" s="51"/>
      <c r="Q527" s="51"/>
      <c r="T527" s="51"/>
    </row>
    <row r="528" spans="12:20">
      <c r="L528" s="51"/>
      <c r="Q528" s="51"/>
      <c r="T528" s="51"/>
    </row>
    <row r="529" spans="12:20">
      <c r="L529" s="30"/>
      <c r="Q529" s="30"/>
      <c r="T529" s="30"/>
    </row>
    <row r="530" spans="12:20">
      <c r="L530" s="51"/>
      <c r="Q530" s="51"/>
      <c r="T530" s="51"/>
    </row>
    <row r="531" spans="12:20">
      <c r="L531" s="30"/>
      <c r="Q531" s="30"/>
      <c r="T531" s="30"/>
    </row>
    <row r="532" spans="12:20">
      <c r="L532" s="51"/>
      <c r="Q532" s="51"/>
      <c r="T532" s="51"/>
    </row>
    <row r="533" spans="12:20">
      <c r="L533" s="51"/>
      <c r="Q533" s="51"/>
      <c r="T533" s="51"/>
    </row>
    <row r="534" spans="12:20">
      <c r="L534" s="51"/>
      <c r="Q534" s="51"/>
      <c r="T534" s="51"/>
    </row>
    <row r="535" spans="12:20">
      <c r="L535" s="51"/>
      <c r="Q535" s="51"/>
      <c r="T535" s="51"/>
    </row>
    <row r="536" spans="12:20">
      <c r="L536" s="51"/>
      <c r="Q536" s="51"/>
      <c r="T536" s="51"/>
    </row>
    <row r="537" spans="12:20">
      <c r="L537" s="51"/>
      <c r="Q537" s="51"/>
      <c r="T537" s="51"/>
    </row>
    <row r="538" spans="12:20">
      <c r="L538" s="18"/>
      <c r="Q538" s="18"/>
      <c r="T538" s="18"/>
    </row>
    <row r="539" spans="12:20">
      <c r="L539" s="18"/>
      <c r="Q539" s="18"/>
      <c r="T539" s="18"/>
    </row>
    <row r="540" spans="12:20">
      <c r="L540" s="18"/>
      <c r="Q540" s="18"/>
      <c r="T540" s="18"/>
    </row>
    <row r="541" spans="12:20">
      <c r="L541" s="18"/>
      <c r="Q541" s="18"/>
      <c r="T541" s="18"/>
    </row>
    <row r="542" spans="12:20">
      <c r="L542" s="18"/>
      <c r="Q542" s="18"/>
      <c r="T542" s="18"/>
    </row>
    <row r="543" spans="12:20">
      <c r="L543" s="30"/>
      <c r="Q543" s="30"/>
      <c r="T543" s="30"/>
    </row>
    <row r="544" spans="12:20">
      <c r="L544" s="30"/>
      <c r="Q544" s="30"/>
      <c r="T544" s="30"/>
    </row>
    <row r="545" spans="12:20">
      <c r="L545" s="18"/>
      <c r="Q545" s="18"/>
      <c r="T545" s="18"/>
    </row>
    <row r="546" spans="12:20">
      <c r="L546" s="51"/>
      <c r="Q546" s="51"/>
      <c r="T546" s="51"/>
    </row>
    <row r="547" spans="12:20">
      <c r="L547" s="18"/>
      <c r="Q547" s="18"/>
      <c r="T547" s="18"/>
    </row>
    <row r="548" spans="12:20">
      <c r="L548" s="18"/>
      <c r="Q548" s="18"/>
      <c r="T548" s="18"/>
    </row>
    <row r="549" spans="12:20">
      <c r="L549" s="51"/>
      <c r="Q549" s="51"/>
      <c r="T549" s="51"/>
    </row>
    <row r="550" spans="12:20">
      <c r="L550" s="18"/>
      <c r="Q550" s="18"/>
      <c r="T550" s="18"/>
    </row>
    <row r="551" spans="12:20">
      <c r="L551" s="30"/>
      <c r="Q551" s="30"/>
      <c r="T551" s="30"/>
    </row>
    <row r="552" spans="12:20">
      <c r="L552" s="30"/>
      <c r="Q552" s="30"/>
      <c r="T552" s="30"/>
    </row>
    <row r="553" spans="12:20">
      <c r="L553" s="18"/>
      <c r="Q553" s="18"/>
      <c r="T553" s="18"/>
    </row>
    <row r="554" spans="12:20">
      <c r="L554" s="18"/>
      <c r="Q554" s="18"/>
      <c r="T554" s="18"/>
    </row>
    <row r="555" spans="12:20">
      <c r="L555" s="51"/>
      <c r="Q555" s="51"/>
      <c r="T555" s="51"/>
    </row>
    <row r="556" spans="12:20">
      <c r="L556" s="51"/>
      <c r="Q556" s="51"/>
      <c r="T556" s="51"/>
    </row>
    <row r="557" spans="12:20">
      <c r="L557" s="51"/>
      <c r="Q557" s="51"/>
      <c r="T557" s="51"/>
    </row>
    <row r="558" spans="12:20">
      <c r="L558" s="51"/>
      <c r="Q558" s="51"/>
      <c r="T558" s="51"/>
    </row>
    <row r="559" spans="12:20">
      <c r="L559" s="18"/>
      <c r="Q559" s="18"/>
      <c r="T559" s="18"/>
    </row>
    <row r="560" spans="12:20">
      <c r="L560" s="30"/>
      <c r="Q560" s="30"/>
      <c r="T560" s="30"/>
    </row>
    <row r="561" spans="12:20">
      <c r="L561" s="51"/>
      <c r="Q561" s="51"/>
      <c r="T561" s="51"/>
    </row>
    <row r="562" spans="12:20">
      <c r="L562" s="30"/>
      <c r="Q562" s="30"/>
      <c r="T562" s="30"/>
    </row>
    <row r="563" spans="12:20">
      <c r="L563" s="30"/>
      <c r="Q563" s="30"/>
      <c r="T563" s="30"/>
    </row>
    <row r="564" spans="12:20">
      <c r="L564" s="52"/>
      <c r="Q564" s="52"/>
      <c r="T564" s="52"/>
    </row>
    <row r="565" spans="12:20">
      <c r="L565" s="30"/>
      <c r="Q565" s="30"/>
      <c r="T565" s="30"/>
    </row>
    <row r="566" spans="12:20">
      <c r="L566" s="19"/>
      <c r="Q566" s="19"/>
      <c r="T566" s="19"/>
    </row>
    <row r="567" spans="12:20">
      <c r="L567" s="52"/>
      <c r="Q567" s="52"/>
      <c r="T567" s="52"/>
    </row>
    <row r="568" spans="12:20">
      <c r="L568" s="30"/>
      <c r="Q568" s="30"/>
      <c r="T568" s="30"/>
    </row>
    <row r="569" spans="12:20">
      <c r="L569" s="30"/>
      <c r="Q569" s="30"/>
      <c r="T569" s="30"/>
    </row>
    <row r="570" spans="12:20">
      <c r="L570" s="30"/>
      <c r="Q570" s="30"/>
      <c r="T570" s="30"/>
    </row>
    <row r="571" spans="12:20">
      <c r="L571" s="30"/>
      <c r="Q571" s="30"/>
      <c r="T571" s="30"/>
    </row>
    <row r="572" spans="12:20">
      <c r="L572" s="48"/>
      <c r="Q572" s="48"/>
      <c r="T572" s="48"/>
    </row>
    <row r="573" spans="12:20">
      <c r="L573" s="36"/>
      <c r="Q573" s="36"/>
      <c r="T573" s="36"/>
    </row>
    <row r="574" spans="12:20">
      <c r="L574" s="52"/>
      <c r="Q574" s="52"/>
      <c r="T574" s="52"/>
    </row>
    <row r="575" spans="12:20">
      <c r="L575" s="30"/>
      <c r="Q575" s="30"/>
      <c r="T575" s="30"/>
    </row>
    <row r="576" spans="12:20">
      <c r="L576" s="30"/>
      <c r="Q576" s="30"/>
      <c r="T576" s="30"/>
    </row>
    <row r="577" spans="12:20">
      <c r="L577" s="51"/>
      <c r="Q577" s="51"/>
      <c r="T577" s="51"/>
    </row>
    <row r="578" spans="12:20">
      <c r="L578" s="51"/>
      <c r="Q578" s="51"/>
      <c r="T578" s="51"/>
    </row>
    <row r="579" spans="12:20">
      <c r="L579" s="51"/>
      <c r="Q579" s="51"/>
      <c r="T579" s="51"/>
    </row>
    <row r="580" spans="12:20">
      <c r="L580" s="30"/>
      <c r="Q580" s="30"/>
      <c r="T580" s="30"/>
    </row>
    <row r="581" spans="12:20">
      <c r="L581" s="51"/>
      <c r="Q581" s="51"/>
      <c r="T581" s="51"/>
    </row>
    <row r="582" spans="12:20">
      <c r="L582" s="30"/>
      <c r="Q582" s="30"/>
      <c r="T582" s="30"/>
    </row>
    <row r="583" spans="12:20">
      <c r="L583" s="51"/>
      <c r="Q583" s="51"/>
      <c r="T583" s="51"/>
    </row>
    <row r="584" spans="12:20">
      <c r="L584" s="51"/>
      <c r="Q584" s="51"/>
      <c r="T584" s="51"/>
    </row>
    <row r="585" spans="12:20">
      <c r="L585" s="51"/>
      <c r="Q585" s="51"/>
      <c r="T585" s="51"/>
    </row>
    <row r="586" spans="12:20">
      <c r="L586" s="51"/>
      <c r="Q586" s="51"/>
      <c r="T586" s="51"/>
    </row>
    <row r="587" spans="12:20">
      <c r="L587" s="51"/>
      <c r="Q587" s="51"/>
      <c r="T587" s="51"/>
    </row>
    <row r="588" spans="12:20">
      <c r="L588" s="51"/>
      <c r="Q588" s="51"/>
      <c r="T588" s="51"/>
    </row>
    <row r="589" spans="12:20">
      <c r="L589" s="18"/>
      <c r="Q589" s="18"/>
      <c r="T589" s="18"/>
    </row>
    <row r="590" spans="12:20">
      <c r="L590" s="18"/>
      <c r="Q590" s="18"/>
      <c r="T590" s="18"/>
    </row>
    <row r="591" spans="12:20">
      <c r="L591" s="18"/>
      <c r="Q591" s="18"/>
      <c r="T591" s="18"/>
    </row>
    <row r="592" spans="12:20">
      <c r="L592" s="18"/>
      <c r="Q592" s="18"/>
      <c r="T592" s="18"/>
    </row>
    <row r="593" spans="12:20">
      <c r="L593" s="18"/>
      <c r="Q593" s="18"/>
      <c r="T593" s="18"/>
    </row>
    <row r="594" spans="12:20">
      <c r="L594" s="30"/>
      <c r="Q594" s="30"/>
      <c r="T594" s="30"/>
    </row>
    <row r="595" spans="12:20">
      <c r="L595" s="30"/>
      <c r="Q595" s="30"/>
      <c r="T595" s="30"/>
    </row>
    <row r="596" spans="12:20">
      <c r="L596" s="18"/>
      <c r="Q596" s="18"/>
      <c r="T596" s="18"/>
    </row>
    <row r="597" spans="12:20">
      <c r="L597" s="51"/>
      <c r="Q597" s="51"/>
      <c r="T597" s="51"/>
    </row>
    <row r="598" spans="12:20">
      <c r="L598" s="18"/>
      <c r="Q598" s="18"/>
      <c r="T598" s="18"/>
    </row>
    <row r="599" spans="12:20">
      <c r="L599" s="18"/>
      <c r="Q599" s="18"/>
      <c r="T599" s="18"/>
    </row>
    <row r="600" spans="12:20">
      <c r="L600" s="51"/>
      <c r="Q600" s="51"/>
      <c r="T600" s="51"/>
    </row>
    <row r="601" spans="12:20">
      <c r="L601" s="18"/>
      <c r="Q601" s="18"/>
      <c r="T601" s="18"/>
    </row>
    <row r="602" spans="12:20">
      <c r="L602" s="30"/>
      <c r="Q602" s="30"/>
      <c r="T602" s="30"/>
    </row>
    <row r="603" spans="12:20">
      <c r="L603" s="30"/>
      <c r="Q603" s="30"/>
      <c r="T603" s="30"/>
    </row>
    <row r="604" spans="12:20">
      <c r="L604" s="18"/>
      <c r="Q604" s="18"/>
      <c r="T604" s="18"/>
    </row>
    <row r="605" spans="12:20">
      <c r="L605" s="18"/>
      <c r="Q605" s="18"/>
      <c r="T605" s="18"/>
    </row>
    <row r="606" spans="12:20">
      <c r="L606" s="51"/>
      <c r="Q606" s="51"/>
      <c r="T606" s="51"/>
    </row>
    <row r="607" spans="12:20">
      <c r="L607" s="51"/>
      <c r="Q607" s="51"/>
      <c r="T607" s="51"/>
    </row>
    <row r="608" spans="12:20">
      <c r="L608" s="51"/>
      <c r="Q608" s="51"/>
      <c r="T608" s="51"/>
    </row>
    <row r="609" spans="12:20">
      <c r="L609" s="51"/>
      <c r="Q609" s="51"/>
      <c r="T609" s="51"/>
    </row>
    <row r="610" spans="12:20">
      <c r="L610" s="18"/>
      <c r="Q610" s="18"/>
      <c r="T610" s="18"/>
    </row>
    <row r="611" spans="12:20">
      <c r="L611" s="30"/>
      <c r="Q611" s="30"/>
      <c r="T611" s="30"/>
    </row>
    <row r="612" spans="12:20">
      <c r="L612" s="51"/>
      <c r="Q612" s="51"/>
      <c r="T612" s="51"/>
    </row>
    <row r="613" spans="12:20">
      <c r="L613" s="30"/>
      <c r="Q613" s="30"/>
      <c r="T613" s="30"/>
    </row>
    <row r="614" spans="12:20">
      <c r="L614" s="30"/>
      <c r="Q614" s="30"/>
      <c r="T614" s="30"/>
    </row>
    <row r="615" spans="12:20">
      <c r="L615" s="52"/>
      <c r="Q615" s="52"/>
      <c r="T615" s="52"/>
    </row>
    <row r="616" spans="12:20">
      <c r="L616" s="30"/>
      <c r="Q616" s="30"/>
      <c r="T616" s="30"/>
    </row>
    <row r="617" spans="12:20">
      <c r="L617" s="19"/>
      <c r="Q617" s="19"/>
      <c r="T617" s="19"/>
    </row>
    <row r="618" spans="12:20">
      <c r="L618" s="52"/>
      <c r="Q618" s="52"/>
      <c r="T618" s="52"/>
    </row>
    <row r="619" spans="12:20">
      <c r="L619" s="30"/>
      <c r="Q619" s="30"/>
      <c r="T619" s="30"/>
    </row>
    <row r="620" spans="12:20">
      <c r="L620" s="30"/>
      <c r="Q620" s="30"/>
      <c r="T620" s="30"/>
    </row>
    <row r="621" spans="12:20">
      <c r="L621" s="30"/>
      <c r="Q621" s="30"/>
      <c r="T621" s="30"/>
    </row>
    <row r="622" spans="12:20">
      <c r="L622" s="30"/>
      <c r="Q622" s="30"/>
      <c r="T622" s="30"/>
    </row>
    <row r="623" spans="12:20">
      <c r="L623" s="48"/>
      <c r="Q623" s="48"/>
      <c r="T623" s="48"/>
    </row>
    <row r="624" spans="12:20">
      <c r="L624" s="36"/>
      <c r="Q624" s="36"/>
      <c r="T624" s="36"/>
    </row>
    <row r="625" spans="12:20">
      <c r="L625" s="52"/>
      <c r="Q625" s="52"/>
      <c r="T625" s="52"/>
    </row>
    <row r="626" spans="12:20">
      <c r="L626" s="30"/>
      <c r="Q626" s="30"/>
      <c r="T626" s="30"/>
    </row>
    <row r="627" spans="12:20">
      <c r="L627" s="30"/>
      <c r="Q627" s="30"/>
      <c r="T627" s="30"/>
    </row>
    <row r="628" spans="12:20">
      <c r="L628" s="51"/>
      <c r="Q628" s="51"/>
      <c r="T628" s="51"/>
    </row>
    <row r="629" spans="12:20">
      <c r="L629" s="51"/>
      <c r="Q629" s="51"/>
      <c r="T629" s="51"/>
    </row>
    <row r="630" spans="12:20">
      <c r="L630" s="51"/>
      <c r="Q630" s="51"/>
      <c r="T630" s="51"/>
    </row>
    <row r="631" spans="12:20">
      <c r="L631" s="30"/>
      <c r="Q631" s="30"/>
      <c r="T631" s="30"/>
    </row>
    <row r="632" spans="12:20">
      <c r="L632" s="51"/>
      <c r="Q632" s="51"/>
      <c r="T632" s="51"/>
    </row>
    <row r="633" spans="12:20">
      <c r="L633" s="30"/>
      <c r="Q633" s="30"/>
      <c r="T633" s="30"/>
    </row>
    <row r="634" spans="12:20">
      <c r="L634" s="51"/>
      <c r="Q634" s="51"/>
      <c r="T634" s="51"/>
    </row>
    <row r="635" spans="12:20">
      <c r="L635" s="51"/>
      <c r="Q635" s="51"/>
      <c r="T635" s="51"/>
    </row>
    <row r="636" spans="12:20">
      <c r="L636" s="51"/>
      <c r="Q636" s="51"/>
      <c r="T636" s="51"/>
    </row>
    <row r="637" spans="12:20">
      <c r="L637" s="51"/>
      <c r="Q637" s="51"/>
      <c r="T637" s="51"/>
    </row>
    <row r="638" spans="12:20">
      <c r="L638" s="51"/>
      <c r="Q638" s="51"/>
      <c r="T638" s="51"/>
    </row>
    <row r="639" spans="12:20">
      <c r="L639" s="51"/>
      <c r="Q639" s="51"/>
      <c r="T639" s="51"/>
    </row>
    <row r="640" spans="12:20">
      <c r="L640" s="18"/>
      <c r="Q640" s="18"/>
      <c r="T640" s="18"/>
    </row>
    <row r="641" spans="12:20">
      <c r="L641" s="18"/>
      <c r="Q641" s="18"/>
      <c r="T641" s="18"/>
    </row>
    <row r="642" spans="12:20">
      <c r="L642" s="18"/>
      <c r="Q642" s="18"/>
      <c r="T642" s="18"/>
    </row>
    <row r="643" spans="12:20">
      <c r="L643" s="18"/>
      <c r="Q643" s="18"/>
      <c r="T643" s="18"/>
    </row>
    <row r="644" spans="12:20">
      <c r="L644" s="18"/>
      <c r="Q644" s="18"/>
      <c r="T644" s="18"/>
    </row>
    <row r="645" spans="12:20">
      <c r="L645" s="30"/>
      <c r="Q645" s="30"/>
      <c r="T645" s="30"/>
    </row>
    <row r="646" spans="12:20">
      <c r="L646" s="30"/>
      <c r="Q646" s="30"/>
      <c r="T646" s="30"/>
    </row>
    <row r="647" spans="12:20">
      <c r="L647" s="18"/>
      <c r="Q647" s="18"/>
      <c r="T647" s="18"/>
    </row>
    <row r="648" spans="12:20">
      <c r="L648" s="51"/>
      <c r="Q648" s="51"/>
      <c r="T648" s="51"/>
    </row>
    <row r="649" spans="12:20">
      <c r="L649" s="18"/>
      <c r="Q649" s="18"/>
      <c r="T649" s="18"/>
    </row>
    <row r="650" spans="12:20">
      <c r="L650" s="18"/>
      <c r="Q650" s="18"/>
      <c r="T650" s="18"/>
    </row>
    <row r="651" spans="12:20">
      <c r="L651" s="51"/>
      <c r="Q651" s="51"/>
      <c r="T651" s="51"/>
    </row>
    <row r="652" spans="12:20">
      <c r="L652" s="18"/>
      <c r="Q652" s="18"/>
      <c r="T652" s="18"/>
    </row>
    <row r="653" spans="12:20">
      <c r="L653" s="30"/>
      <c r="Q653" s="30"/>
      <c r="T653" s="30"/>
    </row>
    <row r="654" spans="12:20">
      <c r="L654" s="30"/>
      <c r="Q654" s="30"/>
      <c r="T654" s="30"/>
    </row>
    <row r="655" spans="12:20">
      <c r="L655" s="18"/>
      <c r="Q655" s="18"/>
      <c r="T655" s="18"/>
    </row>
    <row r="656" spans="12:20">
      <c r="L656" s="18"/>
      <c r="Q656" s="18"/>
      <c r="T656" s="18"/>
    </row>
    <row r="657" spans="12:20">
      <c r="L657" s="51"/>
      <c r="Q657" s="51"/>
      <c r="T657" s="51"/>
    </row>
    <row r="658" spans="12:20">
      <c r="L658" s="51"/>
      <c r="Q658" s="51"/>
      <c r="T658" s="51"/>
    </row>
    <row r="659" spans="12:20">
      <c r="L659" s="51"/>
      <c r="Q659" s="51"/>
      <c r="T659" s="51"/>
    </row>
    <row r="660" spans="12:20">
      <c r="L660" s="51"/>
      <c r="Q660" s="51"/>
      <c r="T660" s="51"/>
    </row>
    <row r="661" spans="12:20">
      <c r="L661" s="18"/>
      <c r="Q661" s="18"/>
      <c r="T661" s="18"/>
    </row>
    <row r="662" spans="12:20">
      <c r="L662" s="30"/>
      <c r="Q662" s="30"/>
      <c r="T662" s="30"/>
    </row>
    <row r="663" spans="12:20">
      <c r="L663" s="51"/>
      <c r="Q663" s="51"/>
      <c r="T663" s="51"/>
    </row>
    <row r="664" spans="12:20">
      <c r="L664" s="30"/>
      <c r="Q664" s="30"/>
      <c r="T664" s="30"/>
    </row>
    <row r="665" spans="12:20">
      <c r="L665" s="30"/>
      <c r="Q665" s="30"/>
      <c r="T665" s="30"/>
    </row>
    <row r="666" spans="12:20">
      <c r="L666" s="52"/>
      <c r="Q666" s="52"/>
      <c r="T666" s="52"/>
    </row>
    <row r="667" spans="12:20">
      <c r="L667" s="30"/>
      <c r="Q667" s="30"/>
      <c r="T667" s="30"/>
    </row>
    <row r="668" spans="12:20">
      <c r="L668" s="19"/>
      <c r="Q668" s="19"/>
      <c r="T668" s="19"/>
    </row>
    <row r="669" spans="12:20">
      <c r="L669" s="52"/>
      <c r="Q669" s="52"/>
      <c r="T669" s="52"/>
    </row>
    <row r="670" spans="12:20">
      <c r="L670" s="30"/>
      <c r="Q670" s="30"/>
      <c r="T670" s="30"/>
    </row>
    <row r="671" spans="12:20">
      <c r="L671" s="30"/>
      <c r="Q671" s="30"/>
      <c r="T671" s="30"/>
    </row>
    <row r="672" spans="12:20">
      <c r="L672" s="30"/>
      <c r="Q672" s="30"/>
      <c r="T672" s="30"/>
    </row>
    <row r="673" spans="12:20">
      <c r="L673" s="30"/>
      <c r="Q673" s="30"/>
      <c r="T673" s="30"/>
    </row>
    <row r="674" spans="12:20">
      <c r="L674" s="48"/>
      <c r="Q674" s="48"/>
      <c r="T674" s="48"/>
    </row>
    <row r="675" spans="12:20">
      <c r="L675" s="36"/>
      <c r="Q675" s="36"/>
      <c r="T675" s="36"/>
    </row>
    <row r="676" spans="12:20">
      <c r="L676" s="52"/>
      <c r="Q676" s="52"/>
      <c r="T676" s="52"/>
    </row>
    <row r="677" spans="12:20">
      <c r="L677" s="30"/>
      <c r="Q677" s="30"/>
      <c r="T677" s="30"/>
    </row>
    <row r="678" spans="12:20">
      <c r="L678" s="30"/>
      <c r="Q678" s="30"/>
      <c r="T678" s="30"/>
    </row>
    <row r="679" spans="12:20">
      <c r="L679" s="51"/>
      <c r="Q679" s="51"/>
      <c r="T679" s="51"/>
    </row>
    <row r="680" spans="12:20">
      <c r="L680" s="51"/>
      <c r="Q680" s="51"/>
      <c r="T680" s="51"/>
    </row>
    <row r="681" spans="12:20">
      <c r="L681" s="51"/>
      <c r="Q681" s="51"/>
      <c r="T681" s="51"/>
    </row>
    <row r="682" spans="12:20">
      <c r="L682" s="30"/>
      <c r="Q682" s="30"/>
      <c r="T682" s="30"/>
    </row>
    <row r="683" spans="12:20">
      <c r="L683" s="51"/>
      <c r="Q683" s="51"/>
      <c r="T683" s="51"/>
    </row>
    <row r="684" spans="12:20">
      <c r="L684" s="30"/>
      <c r="Q684" s="30"/>
      <c r="T684" s="30"/>
    </row>
    <row r="685" spans="12:20">
      <c r="L685" s="51"/>
      <c r="Q685" s="51"/>
      <c r="T685" s="51"/>
    </row>
    <row r="686" spans="12:20">
      <c r="L686" s="51"/>
      <c r="Q686" s="51"/>
      <c r="T686" s="51"/>
    </row>
    <row r="687" spans="12:20">
      <c r="L687" s="51"/>
      <c r="Q687" s="51"/>
      <c r="T687" s="51"/>
    </row>
    <row r="688" spans="12:20">
      <c r="L688" s="51"/>
      <c r="Q688" s="51"/>
      <c r="T688" s="51"/>
    </row>
    <row r="689" spans="12:20">
      <c r="L689" s="51"/>
      <c r="Q689" s="51"/>
      <c r="T689" s="51"/>
    </row>
    <row r="690" spans="12:20">
      <c r="L690" s="51"/>
      <c r="Q690" s="51"/>
      <c r="T690" s="51"/>
    </row>
    <row r="691" spans="12:20">
      <c r="L691" s="18"/>
      <c r="Q691" s="18"/>
      <c r="T691" s="18"/>
    </row>
    <row r="692" spans="12:20">
      <c r="L692" s="18"/>
      <c r="Q692" s="18"/>
      <c r="T692" s="18"/>
    </row>
    <row r="693" spans="12:20">
      <c r="L693" s="18"/>
      <c r="Q693" s="18"/>
      <c r="T693" s="18"/>
    </row>
    <row r="694" spans="12:20">
      <c r="L694" s="18"/>
      <c r="Q694" s="18"/>
      <c r="T694" s="18"/>
    </row>
    <row r="695" spans="12:20">
      <c r="L695" s="18"/>
      <c r="Q695" s="18"/>
      <c r="T695" s="18"/>
    </row>
    <row r="696" spans="12:20">
      <c r="L696" s="30"/>
      <c r="Q696" s="30"/>
      <c r="T696" s="30"/>
    </row>
    <row r="697" spans="12:20">
      <c r="L697" s="30"/>
      <c r="Q697" s="30"/>
      <c r="T697" s="30"/>
    </row>
    <row r="698" spans="12:20">
      <c r="L698" s="18"/>
      <c r="Q698" s="18"/>
      <c r="T698" s="18"/>
    </row>
    <row r="699" spans="12:20">
      <c r="L699" s="51"/>
      <c r="Q699" s="51"/>
      <c r="T699" s="51"/>
    </row>
    <row r="700" spans="12:20">
      <c r="L700" s="18"/>
      <c r="Q700" s="18"/>
      <c r="T700" s="18"/>
    </row>
    <row r="701" spans="12:20">
      <c r="L701" s="18"/>
      <c r="Q701" s="18"/>
      <c r="T701" s="18"/>
    </row>
    <row r="702" spans="12:20">
      <c r="L702" s="51"/>
      <c r="Q702" s="51"/>
      <c r="T702" s="51"/>
    </row>
    <row r="703" spans="12:20">
      <c r="L703" s="18"/>
      <c r="Q703" s="18"/>
      <c r="T703" s="18"/>
    </row>
    <row r="704" spans="12:20">
      <c r="L704" s="30"/>
      <c r="Q704" s="30"/>
      <c r="T704" s="30"/>
    </row>
    <row r="705" spans="12:20">
      <c r="L705" s="30"/>
      <c r="Q705" s="30"/>
      <c r="T705" s="30"/>
    </row>
    <row r="706" spans="12:20">
      <c r="L706" s="18"/>
      <c r="Q706" s="18"/>
      <c r="T706" s="18"/>
    </row>
    <row r="707" spans="12:20">
      <c r="L707" s="18"/>
      <c r="Q707" s="18"/>
      <c r="T707" s="18"/>
    </row>
    <row r="708" spans="12:20">
      <c r="L708" s="51"/>
      <c r="Q708" s="51"/>
      <c r="T708" s="51"/>
    </row>
    <row r="709" spans="12:20">
      <c r="L709" s="51"/>
      <c r="Q709" s="51"/>
      <c r="T709" s="51"/>
    </row>
    <row r="710" spans="12:20">
      <c r="L710" s="51"/>
      <c r="Q710" s="51"/>
      <c r="T710" s="51"/>
    </row>
    <row r="711" spans="12:20">
      <c r="L711" s="51"/>
      <c r="Q711" s="51"/>
      <c r="T711" s="51"/>
    </row>
    <row r="712" spans="12:20">
      <c r="L712" s="18"/>
      <c r="Q712" s="18"/>
      <c r="T712" s="18"/>
    </row>
    <row r="713" spans="12:20">
      <c r="L713" s="30"/>
      <c r="Q713" s="30"/>
      <c r="T713" s="30"/>
    </row>
    <row r="714" spans="12:20">
      <c r="L714" s="51"/>
      <c r="Q714" s="51"/>
      <c r="T714" s="51"/>
    </row>
    <row r="715" spans="12:20">
      <c r="L715" s="30"/>
      <c r="Q715" s="30"/>
      <c r="T715" s="30"/>
    </row>
    <row r="716" spans="12:20">
      <c r="L716" s="30"/>
      <c r="Q716" s="30"/>
      <c r="T716" s="30"/>
    </row>
    <row r="717" spans="12:20">
      <c r="L717" s="52"/>
      <c r="Q717" s="52"/>
      <c r="T717" s="52"/>
    </row>
    <row r="718" spans="12:20">
      <c r="L718" s="30"/>
      <c r="Q718" s="30"/>
      <c r="T718" s="30"/>
    </row>
    <row r="719" spans="12:20">
      <c r="L719" s="19"/>
      <c r="Q719" s="19"/>
      <c r="T719" s="19"/>
    </row>
    <row r="720" spans="12:20">
      <c r="L720" s="52"/>
      <c r="Q720" s="52"/>
      <c r="T720" s="52"/>
    </row>
    <row r="721" spans="12:20">
      <c r="L721" s="30"/>
      <c r="Q721" s="30"/>
      <c r="T721" s="30"/>
    </row>
    <row r="722" spans="12:20">
      <c r="L722" s="30"/>
      <c r="Q722" s="30"/>
      <c r="T722" s="30"/>
    </row>
    <row r="723" spans="12:20">
      <c r="L723" s="30"/>
      <c r="Q723" s="30"/>
      <c r="T723" s="30"/>
    </row>
    <row r="724" spans="12:20">
      <c r="L724" s="30"/>
      <c r="Q724" s="30"/>
      <c r="T724" s="30"/>
    </row>
    <row r="725" spans="12:20">
      <c r="L725" s="48"/>
      <c r="Q725" s="48"/>
      <c r="T725" s="48"/>
    </row>
    <row r="726" spans="12:20">
      <c r="L726" s="36"/>
      <c r="Q726" s="36"/>
      <c r="T726" s="36"/>
    </row>
    <row r="727" spans="12:20">
      <c r="L727" s="52"/>
      <c r="Q727" s="52"/>
      <c r="T727" s="52"/>
    </row>
    <row r="728" spans="12:20">
      <c r="L728" s="30"/>
      <c r="Q728" s="30"/>
      <c r="T728" s="30"/>
    </row>
    <row r="729" spans="12:20">
      <c r="L729" s="30"/>
      <c r="Q729" s="30"/>
      <c r="T729" s="30"/>
    </row>
    <row r="730" spans="12:20">
      <c r="L730" s="51"/>
      <c r="Q730" s="51"/>
      <c r="T730" s="51"/>
    </row>
    <row r="731" spans="12:20">
      <c r="L731" s="51"/>
      <c r="Q731" s="51"/>
      <c r="T731" s="51"/>
    </row>
    <row r="732" spans="12:20">
      <c r="L732" s="51"/>
      <c r="Q732" s="51"/>
      <c r="T732" s="51"/>
    </row>
    <row r="733" spans="12:20">
      <c r="L733" s="30"/>
      <c r="Q733" s="30"/>
      <c r="T733" s="30"/>
    </row>
    <row r="734" spans="12:20">
      <c r="L734" s="51"/>
      <c r="Q734" s="51"/>
      <c r="T734" s="51"/>
    </row>
    <row r="735" spans="12:20">
      <c r="L735" s="30"/>
      <c r="Q735" s="30"/>
      <c r="T735" s="30"/>
    </row>
    <row r="736" spans="12:20">
      <c r="L736" s="51"/>
      <c r="Q736" s="51"/>
      <c r="T736" s="51"/>
    </row>
    <row r="737" spans="12:20">
      <c r="L737" s="51"/>
      <c r="Q737" s="51"/>
      <c r="T737" s="51"/>
    </row>
    <row r="738" spans="12:20">
      <c r="L738" s="51"/>
      <c r="Q738" s="51"/>
      <c r="T738" s="51"/>
    </row>
    <row r="739" spans="12:20">
      <c r="L739" s="51"/>
      <c r="Q739" s="51"/>
      <c r="T739" s="51"/>
    </row>
    <row r="740" spans="12:20">
      <c r="L740" s="51"/>
      <c r="Q740" s="51"/>
      <c r="T740" s="51"/>
    </row>
    <row r="741" spans="12:20">
      <c r="L741" s="51"/>
      <c r="Q741" s="51"/>
      <c r="T741" s="51"/>
    </row>
    <row r="742" spans="12:20">
      <c r="L742" s="18"/>
      <c r="Q742" s="18"/>
      <c r="T742" s="18"/>
    </row>
    <row r="743" spans="12:20">
      <c r="L743" s="18"/>
      <c r="Q743" s="18"/>
      <c r="T743" s="18"/>
    </row>
    <row r="744" spans="12:20">
      <c r="L744" s="18"/>
      <c r="Q744" s="18"/>
      <c r="T744" s="18"/>
    </row>
    <row r="745" spans="12:20">
      <c r="L745" s="18"/>
      <c r="Q745" s="18"/>
      <c r="T745" s="18"/>
    </row>
    <row r="746" spans="12:20">
      <c r="L746" s="18"/>
      <c r="Q746" s="18"/>
      <c r="T746" s="18"/>
    </row>
    <row r="747" spans="12:20">
      <c r="L747" s="30"/>
      <c r="Q747" s="30"/>
      <c r="T747" s="30"/>
    </row>
    <row r="748" spans="12:20">
      <c r="L748" s="30"/>
      <c r="Q748" s="30"/>
      <c r="T748" s="30"/>
    </row>
    <row r="749" spans="12:20">
      <c r="L749" s="18"/>
      <c r="Q749" s="18"/>
      <c r="T749" s="18"/>
    </row>
    <row r="750" spans="12:20">
      <c r="L750" s="51"/>
      <c r="Q750" s="51"/>
      <c r="T750" s="51"/>
    </row>
    <row r="751" spans="12:20">
      <c r="L751" s="18"/>
      <c r="Q751" s="18"/>
      <c r="T751" s="18"/>
    </row>
    <row r="752" spans="12:20">
      <c r="L752" s="18"/>
      <c r="Q752" s="18"/>
      <c r="T752" s="18"/>
    </row>
    <row r="753" spans="12:20">
      <c r="L753" s="51"/>
      <c r="Q753" s="51"/>
      <c r="T753" s="51"/>
    </row>
    <row r="754" spans="12:20">
      <c r="L754" s="18"/>
      <c r="Q754" s="18"/>
      <c r="T754" s="18"/>
    </row>
    <row r="755" spans="12:20">
      <c r="L755" s="30"/>
      <c r="Q755" s="30"/>
      <c r="T755" s="30"/>
    </row>
    <row r="756" spans="12:20">
      <c r="L756" s="30"/>
      <c r="Q756" s="30"/>
      <c r="T756" s="30"/>
    </row>
    <row r="757" spans="12:20">
      <c r="L757" s="18"/>
      <c r="Q757" s="18"/>
      <c r="T757" s="18"/>
    </row>
    <row r="758" spans="12:20">
      <c r="L758" s="18"/>
      <c r="Q758" s="18"/>
      <c r="T758" s="18"/>
    </row>
    <row r="759" spans="12:20">
      <c r="L759" s="51"/>
      <c r="Q759" s="51"/>
      <c r="T759" s="51"/>
    </row>
    <row r="760" spans="12:20">
      <c r="L760" s="51"/>
      <c r="Q760" s="51"/>
      <c r="T760" s="51"/>
    </row>
    <row r="761" spans="12:20">
      <c r="L761" s="51"/>
      <c r="Q761" s="51"/>
      <c r="T761" s="51"/>
    </row>
  </sheetData>
  <mergeCells count="3">
    <mergeCell ref="H5:K5"/>
    <mergeCell ref="M5:P5"/>
    <mergeCell ref="R5:S5"/>
  </mergeCells>
  <pageMargins left="0.33" right="0.36" top="0.28000000000000003" bottom="0.75" header="0.17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Cashflow</vt:lpstr>
      <vt:lpstr>Cashflow!Print_Area</vt:lpstr>
    </vt:vector>
  </TitlesOfParts>
  <Company>The Nasdaq OMX Group,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citadmin</dc:creator>
  <cp:lastModifiedBy>citadmin</cp:lastModifiedBy>
  <dcterms:created xsi:type="dcterms:W3CDTF">2012-07-24T17:49:24Z</dcterms:created>
  <dcterms:modified xsi:type="dcterms:W3CDTF">2012-07-24T17:49:59Z</dcterms:modified>
</cp:coreProperties>
</file>