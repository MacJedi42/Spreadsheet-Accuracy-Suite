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925" yWindow="180" windowWidth="5400" windowHeight="11205" activeTab="1"/>
  </bookViews>
  <sheets>
    <sheet name="Sources" sheetId="1" r:id="rId1"/>
    <sheet name="Uses of Funds" sheetId="2" r:id="rId2"/>
    <sheet name="Income" sheetId="3" r:id="rId3"/>
    <sheet name="Expenses" sheetId="5" r:id="rId4"/>
    <sheet name="Utility Allowance" sheetId="10" r:id="rId5"/>
    <sheet name="Comm Income" sheetId="27" r:id="rId6"/>
    <sheet name="Com Expense" sheetId="28" r:id="rId7"/>
    <sheet name="Pro forma Summary" sheetId="30" r:id="rId8"/>
    <sheet name="Project Summary" sheetId="31" r:id="rId9"/>
    <sheet name="LIHTC Calculation" sheetId="6" r:id="rId10"/>
    <sheet name="Income with OAHTC" sheetId="4" r:id="rId11"/>
    <sheet name="OAHTC Calculation" sheetId="7" r:id="rId12"/>
    <sheet name="LIHTCRents 12" sheetId="8" r:id="rId13"/>
    <sheet name="LIHTCIncomes12" sheetId="24" r:id="rId14"/>
    <sheet name="HOME Rents 11" sheetId="23" r:id="rId15"/>
    <sheet name="HOMEIncomes11" sheetId="33" r:id="rId16"/>
  </sheets>
  <definedNames>
    <definedName name="_xlnm.Print_Area" localSheetId="6">'Com Expense'!$A$3:$AG$66</definedName>
    <definedName name="_xlnm.Print_Area" localSheetId="5">'Comm Income'!$A$1:$AK$26</definedName>
    <definedName name="_xlnm.Print_Area" localSheetId="3">Expenses!$A$3:$AH$124</definedName>
    <definedName name="_xlnm.Print_Area" localSheetId="14">'HOME Rents 11'!$A$1:$I$132</definedName>
    <definedName name="_xlnm.Print_Area" localSheetId="2">Income!$A$1:$AQ$48</definedName>
    <definedName name="_xlnm.Print_Area" localSheetId="10">'Income with OAHTC'!$A$1:$AQ$53</definedName>
    <definedName name="_xlnm.Print_Area" localSheetId="9">'LIHTC Calculation'!$A$1:$F$65</definedName>
    <definedName name="_xlnm.Print_Area" localSheetId="13">LIHTCIncomes12!$A$1:$J$207</definedName>
    <definedName name="_xlnm.Print_Area" localSheetId="11">'OAHTC Calculation'!$A$1:$I$51</definedName>
    <definedName name="_xlnm.Print_Area" localSheetId="7">'Pro forma Summary'!$A$1:$E$101</definedName>
    <definedName name="_xlnm.Print_Area" localSheetId="8">'Project Summary'!$A$1:$C$40</definedName>
    <definedName name="_xlnm.Print_Area" localSheetId="0">Sources!$A$1:$H$74</definedName>
    <definedName name="_xlnm.Print_Area" localSheetId="1">'Uses of Funds'!$A$1:$U$140</definedName>
    <definedName name="_xlnm.Print_Titles" localSheetId="6">'Com Expense'!$A:$C,'Com Expense'!$3:$10</definedName>
    <definedName name="_xlnm.Print_Titles" localSheetId="5">'Comm Income'!$A:$E,'Comm Income'!$1:$8</definedName>
    <definedName name="_xlnm.Print_Titles" localSheetId="3">Expenses!$A:$C,Expenses!$3:$10</definedName>
    <definedName name="_xlnm.Print_Titles" localSheetId="2">Income!$A:$F,Income!$1:$9</definedName>
    <definedName name="_xlnm.Print_Titles" localSheetId="10">'Income with OAHTC'!$A:$F,'Income with OAHTC'!$1:$9</definedName>
    <definedName name="_xlnm.Print_Titles" localSheetId="1">'Uses of Funds'!$A:$B,'Uses of Funds'!$1:$15</definedName>
    <definedName name="Rents">'LIHTCRents 12'!$A$19:$AP$54</definedName>
  </definedNames>
  <calcPr calcId="125725"/>
</workbook>
</file>

<file path=xl/calcChain.xml><?xml version="1.0" encoding="utf-8"?>
<calcChain xmlns="http://schemas.openxmlformats.org/spreadsheetml/2006/main">
  <c r="C11" i="2"/>
  <c r="B14" i="31"/>
  <c r="D63" i="1"/>
  <c r="C63"/>
  <c r="E48"/>
  <c r="D48"/>
  <c r="C48"/>
  <c r="E32"/>
  <c r="C32"/>
  <c r="D32"/>
  <c r="B36" i="31"/>
  <c r="D107" i="5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B46" i="30"/>
  <c r="A54" i="3"/>
  <c r="A53"/>
  <c r="A52"/>
  <c r="A51"/>
  <c r="A50"/>
  <c r="A49"/>
  <c r="N54"/>
  <c r="O54" s="1"/>
  <c r="P54" s="1"/>
  <c r="Q54" s="1"/>
  <c r="R54" s="1"/>
  <c r="S54" s="1"/>
  <c r="T54" s="1"/>
  <c r="U54" s="1"/>
  <c r="V54" s="1"/>
  <c r="W54" s="1"/>
  <c r="X54" s="1"/>
  <c r="Y54" s="1"/>
  <c r="Z54" s="1"/>
  <c r="AA54" s="1"/>
  <c r="AB54" s="1"/>
  <c r="AC54" s="1"/>
  <c r="AD54" s="1"/>
  <c r="AE54" s="1"/>
  <c r="AF54" s="1"/>
  <c r="AG54" s="1"/>
  <c r="AH54" s="1"/>
  <c r="AI54" s="1"/>
  <c r="AJ54" s="1"/>
  <c r="AK54" s="1"/>
  <c r="AL54" s="1"/>
  <c r="AM54" s="1"/>
  <c r="AN54" s="1"/>
  <c r="AO54" s="1"/>
  <c r="AP54" s="1"/>
  <c r="AQ54" s="1"/>
  <c r="N53"/>
  <c r="O53" s="1"/>
  <c r="P53" s="1"/>
  <c r="Q53" s="1"/>
  <c r="R53" s="1"/>
  <c r="S53" s="1"/>
  <c r="T53" s="1"/>
  <c r="U53" s="1"/>
  <c r="V53" s="1"/>
  <c r="W53" s="1"/>
  <c r="X53" s="1"/>
  <c r="Y53" s="1"/>
  <c r="Z53" s="1"/>
  <c r="AA53" s="1"/>
  <c r="AB53" s="1"/>
  <c r="AC53" s="1"/>
  <c r="AD53" s="1"/>
  <c r="AE53" s="1"/>
  <c r="AF53" s="1"/>
  <c r="AG53" s="1"/>
  <c r="AH53" s="1"/>
  <c r="AI53" s="1"/>
  <c r="AJ53" s="1"/>
  <c r="AK53" s="1"/>
  <c r="AL53" s="1"/>
  <c r="AM53" s="1"/>
  <c r="AN53" s="1"/>
  <c r="AO53" s="1"/>
  <c r="AP53" s="1"/>
  <c r="AQ53" s="1"/>
  <c r="N52"/>
  <c r="O52" s="1"/>
  <c r="P52" s="1"/>
  <c r="Q52" s="1"/>
  <c r="R52" s="1"/>
  <c r="S52" s="1"/>
  <c r="T52" s="1"/>
  <c r="U52" s="1"/>
  <c r="V52" s="1"/>
  <c r="W52" s="1"/>
  <c r="X52" s="1"/>
  <c r="Y52" s="1"/>
  <c r="Z52" s="1"/>
  <c r="AA52" s="1"/>
  <c r="AB52" s="1"/>
  <c r="AC52" s="1"/>
  <c r="AD52" s="1"/>
  <c r="AE52" s="1"/>
  <c r="AF52" s="1"/>
  <c r="AG52" s="1"/>
  <c r="AH52" s="1"/>
  <c r="AI52" s="1"/>
  <c r="AJ52" s="1"/>
  <c r="AK52" s="1"/>
  <c r="AL52" s="1"/>
  <c r="AM52" s="1"/>
  <c r="AN52" s="1"/>
  <c r="AO52" s="1"/>
  <c r="AP52" s="1"/>
  <c r="AQ52" s="1"/>
  <c r="N51"/>
  <c r="N50"/>
  <c r="O50" s="1"/>
  <c r="P50" s="1"/>
  <c r="Q50" s="1"/>
  <c r="R50" s="1"/>
  <c r="S50" s="1"/>
  <c r="T50" s="1"/>
  <c r="U50" s="1"/>
  <c r="V50" s="1"/>
  <c r="W50" s="1"/>
  <c r="X50" s="1"/>
  <c r="Y50" s="1"/>
  <c r="Z50" s="1"/>
  <c r="AA50" s="1"/>
  <c r="AB50" s="1"/>
  <c r="AC50" s="1"/>
  <c r="AD50" s="1"/>
  <c r="AE50" s="1"/>
  <c r="AF50" s="1"/>
  <c r="AG50" s="1"/>
  <c r="AH50" s="1"/>
  <c r="AI50" s="1"/>
  <c r="AJ50" s="1"/>
  <c r="AK50" s="1"/>
  <c r="AL50" s="1"/>
  <c r="AM50" s="1"/>
  <c r="AN50" s="1"/>
  <c r="AO50" s="1"/>
  <c r="AP50" s="1"/>
  <c r="AQ50" s="1"/>
  <c r="N49"/>
  <c r="O49" s="1"/>
  <c r="P49" s="1"/>
  <c r="Q49" s="1"/>
  <c r="R49" s="1"/>
  <c r="S49" s="1"/>
  <c r="T49" s="1"/>
  <c r="U49" s="1"/>
  <c r="V49" s="1"/>
  <c r="W49" s="1"/>
  <c r="X49" s="1"/>
  <c r="Y49" s="1"/>
  <c r="Z49" s="1"/>
  <c r="AA49" s="1"/>
  <c r="AB49" s="1"/>
  <c r="AC49" s="1"/>
  <c r="AD49" s="1"/>
  <c r="AE49" s="1"/>
  <c r="AF49" s="1"/>
  <c r="AG49" s="1"/>
  <c r="AH49" s="1"/>
  <c r="AI49" s="1"/>
  <c r="AJ49" s="1"/>
  <c r="AK49" s="1"/>
  <c r="AL49" s="1"/>
  <c r="AM49" s="1"/>
  <c r="AN49" s="1"/>
  <c r="AO49" s="1"/>
  <c r="AP49" s="1"/>
  <c r="AQ49" s="1"/>
  <c r="N48"/>
  <c r="O48" s="1"/>
  <c r="O51"/>
  <c r="P51" s="1"/>
  <c r="Q51" s="1"/>
  <c r="R51" s="1"/>
  <c r="S51" s="1"/>
  <c r="T51" s="1"/>
  <c r="U51" s="1"/>
  <c r="V51" s="1"/>
  <c r="W51" s="1"/>
  <c r="X51" s="1"/>
  <c r="Y51" s="1"/>
  <c r="Z51" s="1"/>
  <c r="AA51" s="1"/>
  <c r="AB51" s="1"/>
  <c r="AC51" s="1"/>
  <c r="AD51" s="1"/>
  <c r="AE51" s="1"/>
  <c r="AF51" s="1"/>
  <c r="AG51" s="1"/>
  <c r="AH51" s="1"/>
  <c r="AI51" s="1"/>
  <c r="AJ51" s="1"/>
  <c r="AK51" s="1"/>
  <c r="AL51" s="1"/>
  <c r="AM51" s="1"/>
  <c r="AN51" s="1"/>
  <c r="AO51" s="1"/>
  <c r="AP51" s="1"/>
  <c r="AQ51" s="1"/>
  <c r="N36"/>
  <c r="O34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AH34" s="1"/>
  <c r="AI34" s="1"/>
  <c r="AJ34" s="1"/>
  <c r="AK34" s="1"/>
  <c r="AL34" s="1"/>
  <c r="AM34" s="1"/>
  <c r="AN34" s="1"/>
  <c r="AO34" s="1"/>
  <c r="AP34" s="1"/>
  <c r="AQ34" s="1"/>
  <c r="O33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AH33" s="1"/>
  <c r="AI33" s="1"/>
  <c r="AJ33" s="1"/>
  <c r="AK33" s="1"/>
  <c r="AL33" s="1"/>
  <c r="AM33" s="1"/>
  <c r="AN33" s="1"/>
  <c r="AO33" s="1"/>
  <c r="AP33" s="1"/>
  <c r="AQ33" s="1"/>
  <c r="O32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AH32" s="1"/>
  <c r="AI32" s="1"/>
  <c r="AJ32" s="1"/>
  <c r="AK32" s="1"/>
  <c r="AL32" s="1"/>
  <c r="AM32" s="1"/>
  <c r="AN32" s="1"/>
  <c r="AO32" s="1"/>
  <c r="AP32" s="1"/>
  <c r="AQ32" s="1"/>
  <c r="O31"/>
  <c r="P31" s="1"/>
  <c r="Q31" s="1"/>
  <c r="R31" s="1"/>
  <c r="S31" s="1"/>
  <c r="T31" s="1"/>
  <c r="U31" s="1"/>
  <c r="V31" s="1"/>
  <c r="W31" s="1"/>
  <c r="X31" s="1"/>
  <c r="Y31" s="1"/>
  <c r="Z31" s="1"/>
  <c r="AA31" s="1"/>
  <c r="AB31" s="1"/>
  <c r="AC31" s="1"/>
  <c r="AD31" s="1"/>
  <c r="AE31" s="1"/>
  <c r="AF31" s="1"/>
  <c r="AG31" s="1"/>
  <c r="AH31" s="1"/>
  <c r="AI31" s="1"/>
  <c r="AJ31" s="1"/>
  <c r="AK31" s="1"/>
  <c r="AL31" s="1"/>
  <c r="AM31" s="1"/>
  <c r="AN31" s="1"/>
  <c r="AO31" s="1"/>
  <c r="AP31" s="1"/>
  <c r="AQ31" s="1"/>
  <c r="O30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AH30" s="1"/>
  <c r="AI30" s="1"/>
  <c r="AJ30" s="1"/>
  <c r="AK30" s="1"/>
  <c r="AL30" s="1"/>
  <c r="AM30" s="1"/>
  <c r="AN30" s="1"/>
  <c r="AO30" s="1"/>
  <c r="AP30" s="1"/>
  <c r="AQ30" s="1"/>
  <c r="O29"/>
  <c r="F61" i="5"/>
  <c r="G61" s="1"/>
  <c r="H61" s="1"/>
  <c r="I61" s="1"/>
  <c r="J61" s="1"/>
  <c r="K61" s="1"/>
  <c r="L61" s="1"/>
  <c r="M61" s="1"/>
  <c r="N61" s="1"/>
  <c r="O61" s="1"/>
  <c r="P61" s="1"/>
  <c r="Q61" s="1"/>
  <c r="R61" s="1"/>
  <c r="S61" s="1"/>
  <c r="T61" s="1"/>
  <c r="U61" s="1"/>
  <c r="V61" s="1"/>
  <c r="W61" s="1"/>
  <c r="X61" s="1"/>
  <c r="Y61" s="1"/>
  <c r="Z61" s="1"/>
  <c r="AA61" s="1"/>
  <c r="AB61" s="1"/>
  <c r="AC61" s="1"/>
  <c r="AD61" s="1"/>
  <c r="AE61" s="1"/>
  <c r="AF61" s="1"/>
  <c r="AG61" s="1"/>
  <c r="AH61" s="1"/>
  <c r="F59"/>
  <c r="G59" s="1"/>
  <c r="F57"/>
  <c r="G57" s="1"/>
  <c r="H57" s="1"/>
  <c r="I57" s="1"/>
  <c r="J57" s="1"/>
  <c r="K57" s="1"/>
  <c r="L57" s="1"/>
  <c r="M57" s="1"/>
  <c r="N57" s="1"/>
  <c r="O57" s="1"/>
  <c r="P57" s="1"/>
  <c r="Q57" s="1"/>
  <c r="R57" s="1"/>
  <c r="S57" s="1"/>
  <c r="T57" s="1"/>
  <c r="U57" s="1"/>
  <c r="V57" s="1"/>
  <c r="W57" s="1"/>
  <c r="X57" s="1"/>
  <c r="Y57" s="1"/>
  <c r="Z57" s="1"/>
  <c r="AA57" s="1"/>
  <c r="AB57" s="1"/>
  <c r="AC57" s="1"/>
  <c r="AD57" s="1"/>
  <c r="AE57" s="1"/>
  <c r="AF57" s="1"/>
  <c r="AG57" s="1"/>
  <c r="AH57" s="1"/>
  <c r="F55"/>
  <c r="G55" s="1"/>
  <c r="H55" s="1"/>
  <c r="I55" s="1"/>
  <c r="J55" s="1"/>
  <c r="K55" s="1"/>
  <c r="L55" s="1"/>
  <c r="M55" s="1"/>
  <c r="N55" s="1"/>
  <c r="O55" s="1"/>
  <c r="P55" s="1"/>
  <c r="Q55" s="1"/>
  <c r="R55" s="1"/>
  <c r="S55" s="1"/>
  <c r="T55" s="1"/>
  <c r="U55" s="1"/>
  <c r="V55" s="1"/>
  <c r="W55" s="1"/>
  <c r="X55" s="1"/>
  <c r="Y55" s="1"/>
  <c r="Z55" s="1"/>
  <c r="AA55" s="1"/>
  <c r="AB55" s="1"/>
  <c r="AC55" s="1"/>
  <c r="AD55" s="1"/>
  <c r="AE55" s="1"/>
  <c r="AF55" s="1"/>
  <c r="AG55" s="1"/>
  <c r="AH55" s="1"/>
  <c r="F53"/>
  <c r="G53" s="1"/>
  <c r="H53" s="1"/>
  <c r="I53" s="1"/>
  <c r="J53" s="1"/>
  <c r="K53" s="1"/>
  <c r="L53" s="1"/>
  <c r="M53" s="1"/>
  <c r="N53" s="1"/>
  <c r="O53" s="1"/>
  <c r="P53" s="1"/>
  <c r="Q53" s="1"/>
  <c r="R53" s="1"/>
  <c r="S53" s="1"/>
  <c r="T53" s="1"/>
  <c r="U53" s="1"/>
  <c r="V53" s="1"/>
  <c r="W53" s="1"/>
  <c r="X53" s="1"/>
  <c r="Y53" s="1"/>
  <c r="Z53" s="1"/>
  <c r="AA53" s="1"/>
  <c r="AB53" s="1"/>
  <c r="AC53" s="1"/>
  <c r="AD53" s="1"/>
  <c r="AE53" s="1"/>
  <c r="AF53" s="1"/>
  <c r="AG53" s="1"/>
  <c r="AH53" s="1"/>
  <c r="F51"/>
  <c r="G51" s="1"/>
  <c r="H51" s="1"/>
  <c r="I51" s="1"/>
  <c r="J51" s="1"/>
  <c r="K51" s="1"/>
  <c r="L51" s="1"/>
  <c r="M51" s="1"/>
  <c r="N51" s="1"/>
  <c r="O51" s="1"/>
  <c r="P51" s="1"/>
  <c r="Q51" s="1"/>
  <c r="R51" s="1"/>
  <c r="S51" s="1"/>
  <c r="T51" s="1"/>
  <c r="U51" s="1"/>
  <c r="V51" s="1"/>
  <c r="W51" s="1"/>
  <c r="X51" s="1"/>
  <c r="Y51" s="1"/>
  <c r="Z51" s="1"/>
  <c r="AA51" s="1"/>
  <c r="AB51" s="1"/>
  <c r="AC51" s="1"/>
  <c r="AD51" s="1"/>
  <c r="AE51" s="1"/>
  <c r="AF51" s="1"/>
  <c r="AG51" s="1"/>
  <c r="AH51" s="1"/>
  <c r="F49"/>
  <c r="G49" s="1"/>
  <c r="H49" s="1"/>
  <c r="I49" s="1"/>
  <c r="J49" s="1"/>
  <c r="K49" s="1"/>
  <c r="L49" s="1"/>
  <c r="M49" s="1"/>
  <c r="N49" s="1"/>
  <c r="O49" s="1"/>
  <c r="P49" s="1"/>
  <c r="Q49" s="1"/>
  <c r="R49" s="1"/>
  <c r="S49" s="1"/>
  <c r="T49" s="1"/>
  <c r="U49" s="1"/>
  <c r="V49" s="1"/>
  <c r="W49" s="1"/>
  <c r="X49" s="1"/>
  <c r="Y49" s="1"/>
  <c r="Z49" s="1"/>
  <c r="AA49" s="1"/>
  <c r="AB49" s="1"/>
  <c r="AC49" s="1"/>
  <c r="AD49" s="1"/>
  <c r="AE49" s="1"/>
  <c r="AF49" s="1"/>
  <c r="AG49" s="1"/>
  <c r="AH49" s="1"/>
  <c r="F47"/>
  <c r="G47" s="1"/>
  <c r="H47" s="1"/>
  <c r="I47" s="1"/>
  <c r="J47" s="1"/>
  <c r="K47" s="1"/>
  <c r="L47" s="1"/>
  <c r="M47" s="1"/>
  <c r="N47" s="1"/>
  <c r="O47" s="1"/>
  <c r="P47" s="1"/>
  <c r="Q47" s="1"/>
  <c r="R47" s="1"/>
  <c r="S47" s="1"/>
  <c r="T47" s="1"/>
  <c r="U47" s="1"/>
  <c r="V47" s="1"/>
  <c r="W47" s="1"/>
  <c r="X47" s="1"/>
  <c r="Y47" s="1"/>
  <c r="Z47" s="1"/>
  <c r="AA47" s="1"/>
  <c r="AB47" s="1"/>
  <c r="AC47" s="1"/>
  <c r="AD47" s="1"/>
  <c r="AE47" s="1"/>
  <c r="AF47" s="1"/>
  <c r="AG47" s="1"/>
  <c r="AH47" s="1"/>
  <c r="F45"/>
  <c r="G45" s="1"/>
  <c r="H45" s="1"/>
  <c r="I45" s="1"/>
  <c r="J45" s="1"/>
  <c r="K45" s="1"/>
  <c r="L45" s="1"/>
  <c r="M45" s="1"/>
  <c r="N45" s="1"/>
  <c r="O45" s="1"/>
  <c r="P45" s="1"/>
  <c r="Q45" s="1"/>
  <c r="R45" s="1"/>
  <c r="S45" s="1"/>
  <c r="T45" s="1"/>
  <c r="U45" s="1"/>
  <c r="V45" s="1"/>
  <c r="W45" s="1"/>
  <c r="X45" s="1"/>
  <c r="Y45" s="1"/>
  <c r="Z45" s="1"/>
  <c r="AA45" s="1"/>
  <c r="AB45" s="1"/>
  <c r="AC45" s="1"/>
  <c r="AD45" s="1"/>
  <c r="AE45" s="1"/>
  <c r="AF45" s="1"/>
  <c r="AG45" s="1"/>
  <c r="AH45" s="1"/>
  <c r="F44"/>
  <c r="G44" s="1"/>
  <c r="H44" s="1"/>
  <c r="I44" s="1"/>
  <c r="J44" s="1"/>
  <c r="K44" s="1"/>
  <c r="L44" s="1"/>
  <c r="M44" s="1"/>
  <c r="N44" s="1"/>
  <c r="O44" s="1"/>
  <c r="P44" s="1"/>
  <c r="Q44" s="1"/>
  <c r="R44" s="1"/>
  <c r="S44" s="1"/>
  <c r="T44" s="1"/>
  <c r="U44" s="1"/>
  <c r="V44" s="1"/>
  <c r="W44" s="1"/>
  <c r="X44" s="1"/>
  <c r="Y44" s="1"/>
  <c r="Z44" s="1"/>
  <c r="AA44" s="1"/>
  <c r="AB44" s="1"/>
  <c r="AC44" s="1"/>
  <c r="AD44" s="1"/>
  <c r="AE44" s="1"/>
  <c r="AF44" s="1"/>
  <c r="AG44" s="1"/>
  <c r="AH44" s="1"/>
  <c r="F43"/>
  <c r="G43" s="1"/>
  <c r="H43" s="1"/>
  <c r="I43" s="1"/>
  <c r="J43" s="1"/>
  <c r="K43" s="1"/>
  <c r="L43" s="1"/>
  <c r="M43" s="1"/>
  <c r="N43" s="1"/>
  <c r="O43" s="1"/>
  <c r="P43" s="1"/>
  <c r="Q43" s="1"/>
  <c r="R43" s="1"/>
  <c r="S43" s="1"/>
  <c r="T43" s="1"/>
  <c r="U43" s="1"/>
  <c r="V43" s="1"/>
  <c r="W43" s="1"/>
  <c r="X43" s="1"/>
  <c r="Y43" s="1"/>
  <c r="Z43" s="1"/>
  <c r="AA43" s="1"/>
  <c r="AB43" s="1"/>
  <c r="AC43" s="1"/>
  <c r="AD43" s="1"/>
  <c r="AE43" s="1"/>
  <c r="AF43" s="1"/>
  <c r="AG43" s="1"/>
  <c r="AH43" s="1"/>
  <c r="F42"/>
  <c r="G42" s="1"/>
  <c r="H42" s="1"/>
  <c r="I42" s="1"/>
  <c r="J42" s="1"/>
  <c r="K42" s="1"/>
  <c r="L42" s="1"/>
  <c r="M42" s="1"/>
  <c r="N42" s="1"/>
  <c r="O42" s="1"/>
  <c r="P42" s="1"/>
  <c r="Q42" s="1"/>
  <c r="R42" s="1"/>
  <c r="S42" s="1"/>
  <c r="T42" s="1"/>
  <c r="U42" s="1"/>
  <c r="V42" s="1"/>
  <c r="W42" s="1"/>
  <c r="X42" s="1"/>
  <c r="Y42" s="1"/>
  <c r="Z42" s="1"/>
  <c r="AA42" s="1"/>
  <c r="AB42" s="1"/>
  <c r="AC42" s="1"/>
  <c r="AD42" s="1"/>
  <c r="AE42" s="1"/>
  <c r="AF42" s="1"/>
  <c r="AG42" s="1"/>
  <c r="AH42" s="1"/>
  <c r="F41"/>
  <c r="G41" s="1"/>
  <c r="H41" s="1"/>
  <c r="I41" s="1"/>
  <c r="J41" s="1"/>
  <c r="K41" s="1"/>
  <c r="L41" s="1"/>
  <c r="M41" s="1"/>
  <c r="N41" s="1"/>
  <c r="O41" s="1"/>
  <c r="P41" s="1"/>
  <c r="Q41" s="1"/>
  <c r="R41" s="1"/>
  <c r="S41" s="1"/>
  <c r="T41" s="1"/>
  <c r="U41" s="1"/>
  <c r="V41" s="1"/>
  <c r="W41" s="1"/>
  <c r="X41" s="1"/>
  <c r="Y41" s="1"/>
  <c r="Z41" s="1"/>
  <c r="AA41" s="1"/>
  <c r="AB41" s="1"/>
  <c r="AC41" s="1"/>
  <c r="AD41" s="1"/>
  <c r="AE41" s="1"/>
  <c r="AF41" s="1"/>
  <c r="AG41" s="1"/>
  <c r="AH41" s="1"/>
  <c r="F38"/>
  <c r="G38" s="1"/>
  <c r="H38" s="1"/>
  <c r="I38" s="1"/>
  <c r="J38" s="1"/>
  <c r="K38" s="1"/>
  <c r="L38" s="1"/>
  <c r="M38" s="1"/>
  <c r="N38" s="1"/>
  <c r="O38" s="1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AH38" s="1"/>
  <c r="F36"/>
  <c r="G36" s="1"/>
  <c r="H36" s="1"/>
  <c r="I36" s="1"/>
  <c r="J36" s="1"/>
  <c r="K36" s="1"/>
  <c r="L36" s="1"/>
  <c r="M36" s="1"/>
  <c r="N36" s="1"/>
  <c r="O36" s="1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AH36" s="1"/>
  <c r="F34"/>
  <c r="G34" s="1"/>
  <c r="H34" s="1"/>
  <c r="I34" s="1"/>
  <c r="J34" s="1"/>
  <c r="K34" s="1"/>
  <c r="L34" s="1"/>
  <c r="M34" s="1"/>
  <c r="N34" s="1"/>
  <c r="O34" s="1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AH34" s="1"/>
  <c r="F33"/>
  <c r="G33" s="1"/>
  <c r="H33" s="1"/>
  <c r="I33" s="1"/>
  <c r="J33" s="1"/>
  <c r="K33" s="1"/>
  <c r="L33" s="1"/>
  <c r="M33" s="1"/>
  <c r="N33" s="1"/>
  <c r="O33" s="1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AH33" s="1"/>
  <c r="F30"/>
  <c r="G30" s="1"/>
  <c r="H30" s="1"/>
  <c r="I30" s="1"/>
  <c r="J30" s="1"/>
  <c r="K30" s="1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AH30" s="1"/>
  <c r="F29"/>
  <c r="G29" s="1"/>
  <c r="H29" s="1"/>
  <c r="I29" s="1"/>
  <c r="J29" s="1"/>
  <c r="K29" s="1"/>
  <c r="L29" s="1"/>
  <c r="M29" s="1"/>
  <c r="N29" s="1"/>
  <c r="O29" s="1"/>
  <c r="P29" s="1"/>
  <c r="Q29" s="1"/>
  <c r="R29" s="1"/>
  <c r="S29" s="1"/>
  <c r="T29" s="1"/>
  <c r="U29" s="1"/>
  <c r="V29" s="1"/>
  <c r="W29" s="1"/>
  <c r="X29" s="1"/>
  <c r="Y29" s="1"/>
  <c r="Z29" s="1"/>
  <c r="AA29" s="1"/>
  <c r="AB29" s="1"/>
  <c r="AC29" s="1"/>
  <c r="AD29" s="1"/>
  <c r="AE29" s="1"/>
  <c r="AF29" s="1"/>
  <c r="AG29" s="1"/>
  <c r="AH29" s="1"/>
  <c r="F26"/>
  <c r="G26" s="1"/>
  <c r="H26" s="1"/>
  <c r="I26" s="1"/>
  <c r="J26" s="1"/>
  <c r="K26" s="1"/>
  <c r="L26" s="1"/>
  <c r="M26" s="1"/>
  <c r="N26" s="1"/>
  <c r="O26" s="1"/>
  <c r="P26" s="1"/>
  <c r="Q26" s="1"/>
  <c r="R26" s="1"/>
  <c r="S26" s="1"/>
  <c r="T26" s="1"/>
  <c r="U26" s="1"/>
  <c r="V26" s="1"/>
  <c r="W26" s="1"/>
  <c r="X26" s="1"/>
  <c r="Y26" s="1"/>
  <c r="Z26" s="1"/>
  <c r="AA26" s="1"/>
  <c r="AB26" s="1"/>
  <c r="AC26" s="1"/>
  <c r="AD26" s="1"/>
  <c r="AE26" s="1"/>
  <c r="AF26" s="1"/>
  <c r="AG26" s="1"/>
  <c r="AH26" s="1"/>
  <c r="F24"/>
  <c r="G24" s="1"/>
  <c r="H24" s="1"/>
  <c r="I24" s="1"/>
  <c r="J24" s="1"/>
  <c r="K24" s="1"/>
  <c r="L24" s="1"/>
  <c r="M24" s="1"/>
  <c r="N24" s="1"/>
  <c r="O24" s="1"/>
  <c r="P24" s="1"/>
  <c r="Q24" s="1"/>
  <c r="R24" s="1"/>
  <c r="S24" s="1"/>
  <c r="T24" s="1"/>
  <c r="U24" s="1"/>
  <c r="V24" s="1"/>
  <c r="W24" s="1"/>
  <c r="X24" s="1"/>
  <c r="Y24" s="1"/>
  <c r="Z24" s="1"/>
  <c r="AA24" s="1"/>
  <c r="AB24" s="1"/>
  <c r="AC24" s="1"/>
  <c r="AD24" s="1"/>
  <c r="AE24" s="1"/>
  <c r="AF24" s="1"/>
  <c r="AG24" s="1"/>
  <c r="AH24" s="1"/>
  <c r="F22"/>
  <c r="G22" s="1"/>
  <c r="H22" s="1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F20"/>
  <c r="G20" s="1"/>
  <c r="H20" s="1"/>
  <c r="I20" s="1"/>
  <c r="J20" s="1"/>
  <c r="K20" s="1"/>
  <c r="L20" s="1"/>
  <c r="M20" s="1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F18"/>
  <c r="G18" s="1"/>
  <c r="H18" s="1"/>
  <c r="I18" s="1"/>
  <c r="J18" s="1"/>
  <c r="K18" s="1"/>
  <c r="L18" s="1"/>
  <c r="M18" s="1"/>
  <c r="N18" s="1"/>
  <c r="O18" s="1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F16"/>
  <c r="G16" s="1"/>
  <c r="H16" s="1"/>
  <c r="I16" s="1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F14"/>
  <c r="G14" s="1"/>
  <c r="H14" s="1"/>
  <c r="I14" s="1"/>
  <c r="J14" s="1"/>
  <c r="K14" s="1"/>
  <c r="L14" s="1"/>
  <c r="M14" s="1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F13"/>
  <c r="G13" s="1"/>
  <c r="H13" s="1"/>
  <c r="I13" s="1"/>
  <c r="J13" s="1"/>
  <c r="K13" s="1"/>
  <c r="L13" s="1"/>
  <c r="M13" s="1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F12"/>
  <c r="G12" s="1"/>
  <c r="H12" s="1"/>
  <c r="I12" s="1"/>
  <c r="J12" s="1"/>
  <c r="K12" s="1"/>
  <c r="L12" s="1"/>
  <c r="M12" s="1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F52" i="6"/>
  <c r="J202" i="33"/>
  <c r="I202"/>
  <c r="H202"/>
  <c r="G202"/>
  <c r="F202"/>
  <c r="E202"/>
  <c r="D202"/>
  <c r="C202"/>
  <c r="J200"/>
  <c r="I200"/>
  <c r="H200"/>
  <c r="G200"/>
  <c r="F200"/>
  <c r="E200"/>
  <c r="D200"/>
  <c r="C200"/>
  <c r="J196"/>
  <c r="I196"/>
  <c r="H196"/>
  <c r="G196"/>
  <c r="F196"/>
  <c r="E196"/>
  <c r="D196"/>
  <c r="C196"/>
  <c r="J194"/>
  <c r="I194"/>
  <c r="H194"/>
  <c r="G194"/>
  <c r="F194"/>
  <c r="E194"/>
  <c r="D194"/>
  <c r="C194"/>
  <c r="J190"/>
  <c r="I190"/>
  <c r="H190"/>
  <c r="G190"/>
  <c r="F190"/>
  <c r="E190"/>
  <c r="D190"/>
  <c r="C190"/>
  <c r="J188"/>
  <c r="I188"/>
  <c r="H188"/>
  <c r="G188"/>
  <c r="F188"/>
  <c r="E188"/>
  <c r="D188"/>
  <c r="C188"/>
  <c r="J184"/>
  <c r="I184"/>
  <c r="H184"/>
  <c r="G184"/>
  <c r="F184"/>
  <c r="E184"/>
  <c r="D184"/>
  <c r="C184"/>
  <c r="J182"/>
  <c r="I182"/>
  <c r="H182"/>
  <c r="G182"/>
  <c r="F182"/>
  <c r="E182"/>
  <c r="D182"/>
  <c r="C182"/>
  <c r="J178"/>
  <c r="I178"/>
  <c r="H178"/>
  <c r="G178"/>
  <c r="F178"/>
  <c r="E178"/>
  <c r="D178"/>
  <c r="C178"/>
  <c r="J176"/>
  <c r="I176"/>
  <c r="H176"/>
  <c r="G176"/>
  <c r="F176"/>
  <c r="E176"/>
  <c r="D176"/>
  <c r="C176"/>
  <c r="J172"/>
  <c r="I172"/>
  <c r="H172"/>
  <c r="G172"/>
  <c r="F172"/>
  <c r="E172"/>
  <c r="D172"/>
  <c r="C172"/>
  <c r="J170"/>
  <c r="I170"/>
  <c r="H170"/>
  <c r="G170"/>
  <c r="F170"/>
  <c r="E170"/>
  <c r="D170"/>
  <c r="C170"/>
  <c r="J166"/>
  <c r="I166"/>
  <c r="H166"/>
  <c r="G166"/>
  <c r="F166"/>
  <c r="E166"/>
  <c r="D166"/>
  <c r="C166"/>
  <c r="J164"/>
  <c r="I164"/>
  <c r="H164"/>
  <c r="G164"/>
  <c r="F164"/>
  <c r="E164"/>
  <c r="D164"/>
  <c r="C164"/>
  <c r="J160"/>
  <c r="I160"/>
  <c r="H160"/>
  <c r="G160"/>
  <c r="F160"/>
  <c r="E160"/>
  <c r="D160"/>
  <c r="C160"/>
  <c r="J158"/>
  <c r="I158"/>
  <c r="H158"/>
  <c r="G158"/>
  <c r="F158"/>
  <c r="E158"/>
  <c r="D158"/>
  <c r="C158"/>
  <c r="J151"/>
  <c r="I151"/>
  <c r="H151"/>
  <c r="G151"/>
  <c r="F151"/>
  <c r="E151"/>
  <c r="D151"/>
  <c r="C151"/>
  <c r="J149"/>
  <c r="I149"/>
  <c r="H149"/>
  <c r="G149"/>
  <c r="F149"/>
  <c r="E149"/>
  <c r="D149"/>
  <c r="C149"/>
  <c r="J145"/>
  <c r="I145"/>
  <c r="H145"/>
  <c r="G145"/>
  <c r="F145"/>
  <c r="E145"/>
  <c r="D145"/>
  <c r="C145"/>
  <c r="J143"/>
  <c r="I143"/>
  <c r="H143"/>
  <c r="G143"/>
  <c r="F143"/>
  <c r="E143"/>
  <c r="D143"/>
  <c r="C143"/>
  <c r="J139"/>
  <c r="I139"/>
  <c r="H139"/>
  <c r="G139"/>
  <c r="F139"/>
  <c r="E139"/>
  <c r="D139"/>
  <c r="C139"/>
  <c r="J137"/>
  <c r="I137"/>
  <c r="H137"/>
  <c r="G137"/>
  <c r="F137"/>
  <c r="E137"/>
  <c r="D137"/>
  <c r="C137"/>
  <c r="J133"/>
  <c r="I133"/>
  <c r="H133"/>
  <c r="G133"/>
  <c r="F133"/>
  <c r="E133"/>
  <c r="D133"/>
  <c r="C133"/>
  <c r="J131"/>
  <c r="I131"/>
  <c r="H131"/>
  <c r="G131"/>
  <c r="F131"/>
  <c r="E131"/>
  <c r="D131"/>
  <c r="C131"/>
  <c r="J127"/>
  <c r="I127"/>
  <c r="H127"/>
  <c r="G127"/>
  <c r="F127"/>
  <c r="E127"/>
  <c r="D127"/>
  <c r="C127"/>
  <c r="J125"/>
  <c r="I125"/>
  <c r="H125"/>
  <c r="G125"/>
  <c r="F125"/>
  <c r="E125"/>
  <c r="D125"/>
  <c r="C125"/>
  <c r="J121"/>
  <c r="I121"/>
  <c r="H121"/>
  <c r="G121"/>
  <c r="F121"/>
  <c r="E121"/>
  <c r="D121"/>
  <c r="C121"/>
  <c r="J119"/>
  <c r="I119"/>
  <c r="H119"/>
  <c r="G119"/>
  <c r="F119"/>
  <c r="E119"/>
  <c r="D119"/>
  <c r="C119"/>
  <c r="J115"/>
  <c r="I115"/>
  <c r="H115"/>
  <c r="G115"/>
  <c r="F115"/>
  <c r="E115"/>
  <c r="D115"/>
  <c r="C115"/>
  <c r="J113"/>
  <c r="I113"/>
  <c r="H113"/>
  <c r="G113"/>
  <c r="F113"/>
  <c r="E113"/>
  <c r="D113"/>
  <c r="C113"/>
  <c r="J109"/>
  <c r="I109"/>
  <c r="H109"/>
  <c r="G109"/>
  <c r="F109"/>
  <c r="E109"/>
  <c r="D109"/>
  <c r="C109"/>
  <c r="J107"/>
  <c r="I107"/>
  <c r="H107"/>
  <c r="G107"/>
  <c r="F107"/>
  <c r="E107"/>
  <c r="D107"/>
  <c r="C107"/>
  <c r="J100"/>
  <c r="I100"/>
  <c r="H100"/>
  <c r="G100"/>
  <c r="F100"/>
  <c r="E100"/>
  <c r="D100"/>
  <c r="C100"/>
  <c r="J98"/>
  <c r="I98"/>
  <c r="H98"/>
  <c r="G98"/>
  <c r="F98"/>
  <c r="E98"/>
  <c r="D98"/>
  <c r="C98"/>
  <c r="J94"/>
  <c r="I94"/>
  <c r="H94"/>
  <c r="G94"/>
  <c r="F94"/>
  <c r="E94"/>
  <c r="D94"/>
  <c r="C94"/>
  <c r="J92"/>
  <c r="I92"/>
  <c r="H92"/>
  <c r="G92"/>
  <c r="F92"/>
  <c r="E92"/>
  <c r="D92"/>
  <c r="C92"/>
  <c r="J88"/>
  <c r="I88"/>
  <c r="H88"/>
  <c r="G88"/>
  <c r="F88"/>
  <c r="E88"/>
  <c r="D88"/>
  <c r="C88"/>
  <c r="J86"/>
  <c r="I86"/>
  <c r="H86"/>
  <c r="G86"/>
  <c r="F86"/>
  <c r="E86"/>
  <c r="D86"/>
  <c r="C86"/>
  <c r="J82"/>
  <c r="I82"/>
  <c r="H82"/>
  <c r="G82"/>
  <c r="F82"/>
  <c r="E82"/>
  <c r="D82"/>
  <c r="C82"/>
  <c r="J80"/>
  <c r="I80"/>
  <c r="H80"/>
  <c r="G80"/>
  <c r="F80"/>
  <c r="E80"/>
  <c r="D80"/>
  <c r="C80"/>
  <c r="J76"/>
  <c r="I76"/>
  <c r="H76"/>
  <c r="G76"/>
  <c r="F76"/>
  <c r="E76"/>
  <c r="D76"/>
  <c r="C76"/>
  <c r="J74"/>
  <c r="I74"/>
  <c r="H74"/>
  <c r="G74"/>
  <c r="F74"/>
  <c r="E74"/>
  <c r="D74"/>
  <c r="C74"/>
  <c r="J70"/>
  <c r="I70"/>
  <c r="H70"/>
  <c r="G70"/>
  <c r="F70"/>
  <c r="E70"/>
  <c r="D70"/>
  <c r="C70"/>
  <c r="J68"/>
  <c r="I68"/>
  <c r="H68"/>
  <c r="G68"/>
  <c r="F68"/>
  <c r="E68"/>
  <c r="D68"/>
  <c r="C68"/>
  <c r="J64"/>
  <c r="I64"/>
  <c r="H64"/>
  <c r="G64"/>
  <c r="F64"/>
  <c r="E64"/>
  <c r="D64"/>
  <c r="C64"/>
  <c r="J62"/>
  <c r="I62"/>
  <c r="H62"/>
  <c r="G62"/>
  <c r="F62"/>
  <c r="E62"/>
  <c r="D62"/>
  <c r="C62"/>
  <c r="J58"/>
  <c r="I58"/>
  <c r="H58"/>
  <c r="G58"/>
  <c r="F58"/>
  <c r="E58"/>
  <c r="D58"/>
  <c r="C58"/>
  <c r="J56"/>
  <c r="I56"/>
  <c r="H56"/>
  <c r="G56"/>
  <c r="F56"/>
  <c r="E56"/>
  <c r="D56"/>
  <c r="C56"/>
  <c r="J50"/>
  <c r="I50"/>
  <c r="H50"/>
  <c r="G50"/>
  <c r="F50"/>
  <c r="E50"/>
  <c r="D50"/>
  <c r="C50"/>
  <c r="J48"/>
  <c r="I48"/>
  <c r="H48"/>
  <c r="G48"/>
  <c r="F48"/>
  <c r="E48"/>
  <c r="D48"/>
  <c r="C48"/>
  <c r="J44"/>
  <c r="I44"/>
  <c r="H44"/>
  <c r="G44"/>
  <c r="F44"/>
  <c r="E44"/>
  <c r="D44"/>
  <c r="C44"/>
  <c r="J42"/>
  <c r="I42"/>
  <c r="H42"/>
  <c r="G42"/>
  <c r="F42"/>
  <c r="E42"/>
  <c r="D42"/>
  <c r="C42"/>
  <c r="J38"/>
  <c r="I38"/>
  <c r="H38"/>
  <c r="G38"/>
  <c r="F38"/>
  <c r="E38"/>
  <c r="D38"/>
  <c r="C38"/>
  <c r="J36"/>
  <c r="I36"/>
  <c r="H36"/>
  <c r="G36"/>
  <c r="F36"/>
  <c r="E36"/>
  <c r="D36"/>
  <c r="C36"/>
  <c r="J32"/>
  <c r="I32"/>
  <c r="H32"/>
  <c r="G32"/>
  <c r="F32"/>
  <c r="E32"/>
  <c r="D32"/>
  <c r="C32"/>
  <c r="J30"/>
  <c r="I30"/>
  <c r="H30"/>
  <c r="G30"/>
  <c r="F30"/>
  <c r="E30"/>
  <c r="D30"/>
  <c r="C30"/>
  <c r="J26"/>
  <c r="I26"/>
  <c r="H26"/>
  <c r="G26"/>
  <c r="F26"/>
  <c r="E26"/>
  <c r="D26"/>
  <c r="C26"/>
  <c r="J24"/>
  <c r="I24"/>
  <c r="H24"/>
  <c r="G24"/>
  <c r="F24"/>
  <c r="E24"/>
  <c r="D24"/>
  <c r="C24"/>
  <c r="J20"/>
  <c r="I20"/>
  <c r="H20"/>
  <c r="G20"/>
  <c r="F20"/>
  <c r="E20"/>
  <c r="D20"/>
  <c r="C20"/>
  <c r="J18"/>
  <c r="I18"/>
  <c r="H18"/>
  <c r="G18"/>
  <c r="F18"/>
  <c r="E18"/>
  <c r="D18"/>
  <c r="C18"/>
  <c r="J14"/>
  <c r="I14"/>
  <c r="H14"/>
  <c r="G14"/>
  <c r="F14"/>
  <c r="E14"/>
  <c r="D14"/>
  <c r="C14"/>
  <c r="J12"/>
  <c r="I12"/>
  <c r="H12"/>
  <c r="G12"/>
  <c r="F12"/>
  <c r="E12"/>
  <c r="D12"/>
  <c r="C12"/>
  <c r="J206" i="24"/>
  <c r="I206"/>
  <c r="H206"/>
  <c r="G206"/>
  <c r="F206"/>
  <c r="E206"/>
  <c r="D206"/>
  <c r="C206"/>
  <c r="J205"/>
  <c r="I205"/>
  <c r="H205"/>
  <c r="G205"/>
  <c r="F205"/>
  <c r="E205"/>
  <c r="D205"/>
  <c r="C205"/>
  <c r="J203"/>
  <c r="I203"/>
  <c r="H203"/>
  <c r="G203"/>
  <c r="F203"/>
  <c r="E203"/>
  <c r="D203"/>
  <c r="C203"/>
  <c r="J202"/>
  <c r="I202"/>
  <c r="H202"/>
  <c r="G202"/>
  <c r="F202"/>
  <c r="E202"/>
  <c r="D202"/>
  <c r="C202"/>
  <c r="J200"/>
  <c r="I200"/>
  <c r="H200"/>
  <c r="G200"/>
  <c r="F200"/>
  <c r="E200"/>
  <c r="D200"/>
  <c r="C200"/>
  <c r="J199"/>
  <c r="I199"/>
  <c r="H199"/>
  <c r="G199"/>
  <c r="F199"/>
  <c r="E199"/>
  <c r="D199"/>
  <c r="C199"/>
  <c r="J197"/>
  <c r="I197"/>
  <c r="H197"/>
  <c r="G197"/>
  <c r="F197"/>
  <c r="E197"/>
  <c r="D197"/>
  <c r="C197"/>
  <c r="J196"/>
  <c r="I196"/>
  <c r="H196"/>
  <c r="G196"/>
  <c r="F196"/>
  <c r="E196"/>
  <c r="D196"/>
  <c r="C196"/>
  <c r="J194"/>
  <c r="I194"/>
  <c r="H194"/>
  <c r="G194"/>
  <c r="F194"/>
  <c r="E194"/>
  <c r="D194"/>
  <c r="C194"/>
  <c r="J193"/>
  <c r="I193"/>
  <c r="H193"/>
  <c r="G193"/>
  <c r="F193"/>
  <c r="E193"/>
  <c r="D193"/>
  <c r="C193"/>
  <c r="J191"/>
  <c r="I191"/>
  <c r="H191"/>
  <c r="G191"/>
  <c r="F191"/>
  <c r="E191"/>
  <c r="D191"/>
  <c r="C191"/>
  <c r="J190"/>
  <c r="I190"/>
  <c r="H190"/>
  <c r="G190"/>
  <c r="F190"/>
  <c r="E190"/>
  <c r="D190"/>
  <c r="C190"/>
  <c r="J188"/>
  <c r="I188"/>
  <c r="H188"/>
  <c r="G188"/>
  <c r="F188"/>
  <c r="E188"/>
  <c r="D188"/>
  <c r="C188"/>
  <c r="J187"/>
  <c r="I187"/>
  <c r="H187"/>
  <c r="G187"/>
  <c r="F187"/>
  <c r="E187"/>
  <c r="D187"/>
  <c r="C187"/>
  <c r="J185"/>
  <c r="I185"/>
  <c r="H185"/>
  <c r="G185"/>
  <c r="F185"/>
  <c r="E185"/>
  <c r="D185"/>
  <c r="C185"/>
  <c r="J184"/>
  <c r="I184"/>
  <c r="H184"/>
  <c r="G184"/>
  <c r="F184"/>
  <c r="E184"/>
  <c r="D184"/>
  <c r="C184"/>
  <c r="J182"/>
  <c r="I182"/>
  <c r="H182"/>
  <c r="G182"/>
  <c r="F182"/>
  <c r="E182"/>
  <c r="D182"/>
  <c r="C182"/>
  <c r="J181"/>
  <c r="I181"/>
  <c r="H181"/>
  <c r="G181"/>
  <c r="F181"/>
  <c r="E181"/>
  <c r="D181"/>
  <c r="C181"/>
  <c r="J179"/>
  <c r="I179"/>
  <c r="H179"/>
  <c r="G179"/>
  <c r="F179"/>
  <c r="E179"/>
  <c r="D179"/>
  <c r="C179"/>
  <c r="J178"/>
  <c r="I178"/>
  <c r="H178"/>
  <c r="G178"/>
  <c r="F178"/>
  <c r="E178"/>
  <c r="D178"/>
  <c r="C178"/>
  <c r="J176"/>
  <c r="I176"/>
  <c r="H176"/>
  <c r="G176"/>
  <c r="F176"/>
  <c r="E176"/>
  <c r="D176"/>
  <c r="C176"/>
  <c r="J175"/>
  <c r="I175"/>
  <c r="H175"/>
  <c r="G175"/>
  <c r="F175"/>
  <c r="E175"/>
  <c r="D175"/>
  <c r="C175"/>
  <c r="J173"/>
  <c r="I173"/>
  <c r="H173"/>
  <c r="G173"/>
  <c r="F173"/>
  <c r="E173"/>
  <c r="D173"/>
  <c r="C173"/>
  <c r="J172"/>
  <c r="I172"/>
  <c r="H172"/>
  <c r="G172"/>
  <c r="F172"/>
  <c r="E172"/>
  <c r="D172"/>
  <c r="C172"/>
  <c r="J168"/>
  <c r="I168"/>
  <c r="H168"/>
  <c r="G168"/>
  <c r="F168"/>
  <c r="E168"/>
  <c r="D168"/>
  <c r="C168"/>
  <c r="J167"/>
  <c r="I167"/>
  <c r="H167"/>
  <c r="G167"/>
  <c r="F167"/>
  <c r="E167"/>
  <c r="D167"/>
  <c r="C167"/>
  <c r="J165"/>
  <c r="I165"/>
  <c r="H165"/>
  <c r="G165"/>
  <c r="F165"/>
  <c r="E165"/>
  <c r="D165"/>
  <c r="C165"/>
  <c r="J164"/>
  <c r="I164"/>
  <c r="H164"/>
  <c r="G164"/>
  <c r="F164"/>
  <c r="E164"/>
  <c r="D164"/>
  <c r="C164"/>
  <c r="J162"/>
  <c r="I162"/>
  <c r="H162"/>
  <c r="G162"/>
  <c r="F162"/>
  <c r="E162"/>
  <c r="D162"/>
  <c r="C162"/>
  <c r="J161"/>
  <c r="I161"/>
  <c r="H161"/>
  <c r="G161"/>
  <c r="F161"/>
  <c r="E161"/>
  <c r="D161"/>
  <c r="C161"/>
  <c r="J159"/>
  <c r="I159"/>
  <c r="H159"/>
  <c r="G159"/>
  <c r="F159"/>
  <c r="E159"/>
  <c r="D159"/>
  <c r="C159"/>
  <c r="J158"/>
  <c r="I158"/>
  <c r="H158"/>
  <c r="G158"/>
  <c r="F158"/>
  <c r="E158"/>
  <c r="D158"/>
  <c r="C158"/>
  <c r="J156"/>
  <c r="I156"/>
  <c r="H156"/>
  <c r="G156"/>
  <c r="F156"/>
  <c r="E156"/>
  <c r="D156"/>
  <c r="C156"/>
  <c r="J155"/>
  <c r="I155"/>
  <c r="H155"/>
  <c r="G155"/>
  <c r="F155"/>
  <c r="E155"/>
  <c r="D155"/>
  <c r="C155"/>
  <c r="J153"/>
  <c r="I153"/>
  <c r="H153"/>
  <c r="G153"/>
  <c r="F153"/>
  <c r="E153"/>
  <c r="D153"/>
  <c r="C153"/>
  <c r="J152"/>
  <c r="I152"/>
  <c r="H152"/>
  <c r="G152"/>
  <c r="F152"/>
  <c r="E152"/>
  <c r="D152"/>
  <c r="C152"/>
  <c r="J150"/>
  <c r="I150"/>
  <c r="H150"/>
  <c r="G150"/>
  <c r="F150"/>
  <c r="E150"/>
  <c r="D150"/>
  <c r="C150"/>
  <c r="J149"/>
  <c r="I149"/>
  <c r="H149"/>
  <c r="G149"/>
  <c r="F149"/>
  <c r="E149"/>
  <c r="D149"/>
  <c r="C149"/>
  <c r="J147"/>
  <c r="I147"/>
  <c r="H147"/>
  <c r="G147"/>
  <c r="F147"/>
  <c r="E147"/>
  <c r="D147"/>
  <c r="C147"/>
  <c r="J146"/>
  <c r="I146"/>
  <c r="H146"/>
  <c r="G146"/>
  <c r="F146"/>
  <c r="E146"/>
  <c r="D146"/>
  <c r="C146"/>
  <c r="J144"/>
  <c r="I144"/>
  <c r="H144"/>
  <c r="G144"/>
  <c r="F144"/>
  <c r="E144"/>
  <c r="D144"/>
  <c r="C144"/>
  <c r="J143"/>
  <c r="I143"/>
  <c r="H143"/>
  <c r="G143"/>
  <c r="F143"/>
  <c r="E143"/>
  <c r="D143"/>
  <c r="C143"/>
  <c r="J141"/>
  <c r="I141"/>
  <c r="H141"/>
  <c r="G141"/>
  <c r="F141"/>
  <c r="E141"/>
  <c r="D141"/>
  <c r="C141"/>
  <c r="J140"/>
  <c r="I140"/>
  <c r="H140"/>
  <c r="G140"/>
  <c r="F140"/>
  <c r="E140"/>
  <c r="D140"/>
  <c r="C140"/>
  <c r="J138"/>
  <c r="I138"/>
  <c r="H138"/>
  <c r="G138"/>
  <c r="F138"/>
  <c r="E138"/>
  <c r="D138"/>
  <c r="C138"/>
  <c r="J137"/>
  <c r="I137"/>
  <c r="H137"/>
  <c r="G137"/>
  <c r="F137"/>
  <c r="E137"/>
  <c r="D137"/>
  <c r="C137"/>
  <c r="J135"/>
  <c r="I135"/>
  <c r="H135"/>
  <c r="G135"/>
  <c r="F135"/>
  <c r="E135"/>
  <c r="D135"/>
  <c r="C135"/>
  <c r="J134"/>
  <c r="I134"/>
  <c r="H134"/>
  <c r="G134"/>
  <c r="F134"/>
  <c r="E134"/>
  <c r="D134"/>
  <c r="C134"/>
  <c r="J132"/>
  <c r="I132"/>
  <c r="H132"/>
  <c r="G132"/>
  <c r="F132"/>
  <c r="E132"/>
  <c r="D132"/>
  <c r="C132"/>
  <c r="J131"/>
  <c r="I131"/>
  <c r="H131"/>
  <c r="G131"/>
  <c r="F131"/>
  <c r="E131"/>
  <c r="D131"/>
  <c r="C131"/>
  <c r="J129"/>
  <c r="I129"/>
  <c r="H129"/>
  <c r="G129"/>
  <c r="F129"/>
  <c r="E129"/>
  <c r="D129"/>
  <c r="C129"/>
  <c r="J128"/>
  <c r="I128"/>
  <c r="H128"/>
  <c r="G128"/>
  <c r="F128"/>
  <c r="E128"/>
  <c r="D128"/>
  <c r="C128"/>
  <c r="J126"/>
  <c r="I126"/>
  <c r="H126"/>
  <c r="G126"/>
  <c r="F126"/>
  <c r="E126"/>
  <c r="D126"/>
  <c r="C126"/>
  <c r="J125"/>
  <c r="I125"/>
  <c r="H125"/>
  <c r="G125"/>
  <c r="F125"/>
  <c r="E125"/>
  <c r="D125"/>
  <c r="C125"/>
  <c r="J123"/>
  <c r="I123"/>
  <c r="H123"/>
  <c r="G123"/>
  <c r="F123"/>
  <c r="E123"/>
  <c r="D123"/>
  <c r="C123"/>
  <c r="J122"/>
  <c r="I122"/>
  <c r="H122"/>
  <c r="G122"/>
  <c r="F122"/>
  <c r="E122"/>
  <c r="D122"/>
  <c r="C122"/>
  <c r="J120"/>
  <c r="I120"/>
  <c r="H120"/>
  <c r="G120"/>
  <c r="F120"/>
  <c r="E120"/>
  <c r="D120"/>
  <c r="C120"/>
  <c r="J119"/>
  <c r="I119"/>
  <c r="H119"/>
  <c r="G119"/>
  <c r="F119"/>
  <c r="E119"/>
  <c r="D119"/>
  <c r="C119"/>
  <c r="J117"/>
  <c r="I117"/>
  <c r="H117"/>
  <c r="G117"/>
  <c r="F117"/>
  <c r="E117"/>
  <c r="D117"/>
  <c r="C117"/>
  <c r="J116"/>
  <c r="I116"/>
  <c r="H116"/>
  <c r="G116"/>
  <c r="F116"/>
  <c r="E116"/>
  <c r="D116"/>
  <c r="C116"/>
  <c r="J112"/>
  <c r="I112"/>
  <c r="H112"/>
  <c r="G112"/>
  <c r="F112"/>
  <c r="E112"/>
  <c r="D112"/>
  <c r="C112"/>
  <c r="J111"/>
  <c r="I111"/>
  <c r="H111"/>
  <c r="G111"/>
  <c r="F111"/>
  <c r="E111"/>
  <c r="D111"/>
  <c r="C111"/>
  <c r="J109"/>
  <c r="I109"/>
  <c r="H109"/>
  <c r="G109"/>
  <c r="F109"/>
  <c r="E109"/>
  <c r="D109"/>
  <c r="C109"/>
  <c r="J108"/>
  <c r="I108"/>
  <c r="H108"/>
  <c r="G108"/>
  <c r="F108"/>
  <c r="E108"/>
  <c r="D108"/>
  <c r="C108"/>
  <c r="J106"/>
  <c r="I106"/>
  <c r="H106"/>
  <c r="G106"/>
  <c r="F106"/>
  <c r="E106"/>
  <c r="D106"/>
  <c r="C106"/>
  <c r="J105"/>
  <c r="I105"/>
  <c r="H105"/>
  <c r="G105"/>
  <c r="F105"/>
  <c r="E105"/>
  <c r="D105"/>
  <c r="C105"/>
  <c r="J103"/>
  <c r="I103"/>
  <c r="H103"/>
  <c r="G103"/>
  <c r="F103"/>
  <c r="E103"/>
  <c r="D103"/>
  <c r="C103"/>
  <c r="J102"/>
  <c r="I102"/>
  <c r="H102"/>
  <c r="G102"/>
  <c r="F102"/>
  <c r="E102"/>
  <c r="D102"/>
  <c r="C102"/>
  <c r="J100"/>
  <c r="I100"/>
  <c r="H100"/>
  <c r="G100"/>
  <c r="F100"/>
  <c r="E100"/>
  <c r="D100"/>
  <c r="C100"/>
  <c r="J99"/>
  <c r="I99"/>
  <c r="H99"/>
  <c r="G99"/>
  <c r="F99"/>
  <c r="E99"/>
  <c r="D99"/>
  <c r="C99"/>
  <c r="J97"/>
  <c r="I97"/>
  <c r="H97"/>
  <c r="G97"/>
  <c r="F97"/>
  <c r="E97"/>
  <c r="D97"/>
  <c r="C97"/>
  <c r="J96"/>
  <c r="I96"/>
  <c r="H96"/>
  <c r="G96"/>
  <c r="F96"/>
  <c r="E96"/>
  <c r="D96"/>
  <c r="C96"/>
  <c r="J94"/>
  <c r="I94"/>
  <c r="H94"/>
  <c r="G94"/>
  <c r="F94"/>
  <c r="E94"/>
  <c r="D94"/>
  <c r="C94"/>
  <c r="J93"/>
  <c r="I93"/>
  <c r="H93"/>
  <c r="G93"/>
  <c r="F93"/>
  <c r="E93"/>
  <c r="D93"/>
  <c r="C93"/>
  <c r="J91"/>
  <c r="I91"/>
  <c r="H91"/>
  <c r="G91"/>
  <c r="F91"/>
  <c r="E91"/>
  <c r="D91"/>
  <c r="C91"/>
  <c r="J90"/>
  <c r="I90"/>
  <c r="H90"/>
  <c r="G90"/>
  <c r="F90"/>
  <c r="E90"/>
  <c r="D90"/>
  <c r="C90"/>
  <c r="J88"/>
  <c r="I88"/>
  <c r="H88"/>
  <c r="G88"/>
  <c r="F88"/>
  <c r="E88"/>
  <c r="D88"/>
  <c r="C88"/>
  <c r="J87"/>
  <c r="I87"/>
  <c r="H87"/>
  <c r="G87"/>
  <c r="F87"/>
  <c r="E87"/>
  <c r="D87"/>
  <c r="C87"/>
  <c r="J85"/>
  <c r="I85"/>
  <c r="H85"/>
  <c r="G85"/>
  <c r="F85"/>
  <c r="E85"/>
  <c r="D85"/>
  <c r="C85"/>
  <c r="J84"/>
  <c r="I84"/>
  <c r="H84"/>
  <c r="G84"/>
  <c r="F84"/>
  <c r="E84"/>
  <c r="D84"/>
  <c r="C84"/>
  <c r="J82"/>
  <c r="I82"/>
  <c r="H82"/>
  <c r="G82"/>
  <c r="F82"/>
  <c r="E82"/>
  <c r="D82"/>
  <c r="C82"/>
  <c r="J81"/>
  <c r="I81"/>
  <c r="H81"/>
  <c r="G81"/>
  <c r="F81"/>
  <c r="E81"/>
  <c r="D81"/>
  <c r="C81"/>
  <c r="J79"/>
  <c r="I79"/>
  <c r="H79"/>
  <c r="G79"/>
  <c r="F79"/>
  <c r="E79"/>
  <c r="D79"/>
  <c r="C79"/>
  <c r="J78"/>
  <c r="I78"/>
  <c r="H78"/>
  <c r="G78"/>
  <c r="F78"/>
  <c r="E78"/>
  <c r="D78"/>
  <c r="C78"/>
  <c r="J76"/>
  <c r="I76"/>
  <c r="H76"/>
  <c r="G76"/>
  <c r="F76"/>
  <c r="E76"/>
  <c r="D76"/>
  <c r="C76"/>
  <c r="J75"/>
  <c r="I75"/>
  <c r="H75"/>
  <c r="G75"/>
  <c r="F75"/>
  <c r="E75"/>
  <c r="D75"/>
  <c r="C75"/>
  <c r="J73"/>
  <c r="I73"/>
  <c r="H73"/>
  <c r="G73"/>
  <c r="F73"/>
  <c r="E73"/>
  <c r="D73"/>
  <c r="C73"/>
  <c r="J72"/>
  <c r="I72"/>
  <c r="H72"/>
  <c r="G72"/>
  <c r="F72"/>
  <c r="E72"/>
  <c r="D72"/>
  <c r="C72"/>
  <c r="J70"/>
  <c r="I70"/>
  <c r="H70"/>
  <c r="G70"/>
  <c r="F70"/>
  <c r="E70"/>
  <c r="D70"/>
  <c r="C70"/>
  <c r="J69"/>
  <c r="I69"/>
  <c r="H69"/>
  <c r="G69"/>
  <c r="F69"/>
  <c r="E69"/>
  <c r="D69"/>
  <c r="C69"/>
  <c r="J67"/>
  <c r="I67"/>
  <c r="H67"/>
  <c r="G67"/>
  <c r="F67"/>
  <c r="E67"/>
  <c r="D67"/>
  <c r="C67"/>
  <c r="J66"/>
  <c r="I66"/>
  <c r="H66"/>
  <c r="G66"/>
  <c r="F66"/>
  <c r="E66"/>
  <c r="D66"/>
  <c r="C66"/>
  <c r="J64"/>
  <c r="I64"/>
  <c r="H64"/>
  <c r="G64"/>
  <c r="F64"/>
  <c r="E64"/>
  <c r="D64"/>
  <c r="C64"/>
  <c r="J63"/>
  <c r="I63"/>
  <c r="H63"/>
  <c r="G63"/>
  <c r="F63"/>
  <c r="E63"/>
  <c r="D63"/>
  <c r="C63"/>
  <c r="J61"/>
  <c r="I61"/>
  <c r="H61"/>
  <c r="G61"/>
  <c r="F61"/>
  <c r="E61"/>
  <c r="D61"/>
  <c r="C61"/>
  <c r="J60"/>
  <c r="I60"/>
  <c r="H60"/>
  <c r="G60"/>
  <c r="F60"/>
  <c r="E60"/>
  <c r="D60"/>
  <c r="C60"/>
  <c r="J56"/>
  <c r="I56"/>
  <c r="H56"/>
  <c r="G56"/>
  <c r="F56"/>
  <c r="E56"/>
  <c r="D56"/>
  <c r="C56"/>
  <c r="J55"/>
  <c r="I55"/>
  <c r="H55"/>
  <c r="G55"/>
  <c r="F55"/>
  <c r="E55"/>
  <c r="D55"/>
  <c r="C55"/>
  <c r="J53"/>
  <c r="I53"/>
  <c r="H53"/>
  <c r="G53"/>
  <c r="F53"/>
  <c r="E53"/>
  <c r="D53"/>
  <c r="C53"/>
  <c r="J52"/>
  <c r="I52"/>
  <c r="H52"/>
  <c r="G52"/>
  <c r="F52"/>
  <c r="E52"/>
  <c r="D52"/>
  <c r="C52"/>
  <c r="J50"/>
  <c r="I50"/>
  <c r="H50"/>
  <c r="G50"/>
  <c r="F50"/>
  <c r="E50"/>
  <c r="D50"/>
  <c r="C50"/>
  <c r="J49"/>
  <c r="I49"/>
  <c r="H49"/>
  <c r="G49"/>
  <c r="F49"/>
  <c r="E49"/>
  <c r="D49"/>
  <c r="C49"/>
  <c r="J47"/>
  <c r="I47"/>
  <c r="H47"/>
  <c r="G47"/>
  <c r="F47"/>
  <c r="E47"/>
  <c r="D47"/>
  <c r="C47"/>
  <c r="J46"/>
  <c r="I46"/>
  <c r="H46"/>
  <c r="G46"/>
  <c r="F46"/>
  <c r="E46"/>
  <c r="D46"/>
  <c r="C46"/>
  <c r="J44"/>
  <c r="I44"/>
  <c r="H44"/>
  <c r="G44"/>
  <c r="F44"/>
  <c r="E44"/>
  <c r="D44"/>
  <c r="C44"/>
  <c r="J43"/>
  <c r="I43"/>
  <c r="H43"/>
  <c r="G43"/>
  <c r="F43"/>
  <c r="E43"/>
  <c r="D43"/>
  <c r="C43"/>
  <c r="J41"/>
  <c r="I41"/>
  <c r="H41"/>
  <c r="G41"/>
  <c r="F41"/>
  <c r="E41"/>
  <c r="D41"/>
  <c r="C41"/>
  <c r="J40"/>
  <c r="I40"/>
  <c r="H40"/>
  <c r="G40"/>
  <c r="F40"/>
  <c r="E40"/>
  <c r="D40"/>
  <c r="C40"/>
  <c r="J38"/>
  <c r="I38"/>
  <c r="H38"/>
  <c r="G38"/>
  <c r="F38"/>
  <c r="E38"/>
  <c r="D38"/>
  <c r="C38"/>
  <c r="J37"/>
  <c r="I37"/>
  <c r="H37"/>
  <c r="G37"/>
  <c r="F37"/>
  <c r="E37"/>
  <c r="D37"/>
  <c r="C37"/>
  <c r="J35"/>
  <c r="I35"/>
  <c r="H35"/>
  <c r="G35"/>
  <c r="F35"/>
  <c r="E35"/>
  <c r="D35"/>
  <c r="C35"/>
  <c r="J34"/>
  <c r="I34"/>
  <c r="H34"/>
  <c r="G34"/>
  <c r="F34"/>
  <c r="E34"/>
  <c r="D34"/>
  <c r="C34"/>
  <c r="J32"/>
  <c r="I32"/>
  <c r="H32"/>
  <c r="G32"/>
  <c r="F32"/>
  <c r="E32"/>
  <c r="D32"/>
  <c r="C32"/>
  <c r="J31"/>
  <c r="I31"/>
  <c r="H31"/>
  <c r="G31"/>
  <c r="F31"/>
  <c r="E31"/>
  <c r="D31"/>
  <c r="C31"/>
  <c r="J29"/>
  <c r="I29"/>
  <c r="H29"/>
  <c r="G29"/>
  <c r="F29"/>
  <c r="E29"/>
  <c r="D29"/>
  <c r="C29"/>
  <c r="J28"/>
  <c r="I28"/>
  <c r="H28"/>
  <c r="G28"/>
  <c r="F28"/>
  <c r="E28"/>
  <c r="D28"/>
  <c r="C28"/>
  <c r="J26"/>
  <c r="I26"/>
  <c r="H26"/>
  <c r="G26"/>
  <c r="F26"/>
  <c r="E26"/>
  <c r="D26"/>
  <c r="C26"/>
  <c r="J25"/>
  <c r="I25"/>
  <c r="H25"/>
  <c r="G25"/>
  <c r="F25"/>
  <c r="E25"/>
  <c r="D25"/>
  <c r="C25"/>
  <c r="J23"/>
  <c r="I23"/>
  <c r="H23"/>
  <c r="G23"/>
  <c r="F23"/>
  <c r="E23"/>
  <c r="D23"/>
  <c r="C23"/>
  <c r="J22"/>
  <c r="I22"/>
  <c r="H22"/>
  <c r="G22"/>
  <c r="F22"/>
  <c r="E22"/>
  <c r="D22"/>
  <c r="C22"/>
  <c r="J20"/>
  <c r="I20"/>
  <c r="H20"/>
  <c r="G20"/>
  <c r="F20"/>
  <c r="E20"/>
  <c r="D20"/>
  <c r="C20"/>
  <c r="J19"/>
  <c r="I19"/>
  <c r="H19"/>
  <c r="G19"/>
  <c r="F19"/>
  <c r="E19"/>
  <c r="D19"/>
  <c r="C19"/>
  <c r="J17"/>
  <c r="I17"/>
  <c r="H17"/>
  <c r="G17"/>
  <c r="F17"/>
  <c r="E17"/>
  <c r="D17"/>
  <c r="C17"/>
  <c r="J16"/>
  <c r="I16"/>
  <c r="H16"/>
  <c r="G16"/>
  <c r="F16"/>
  <c r="E16"/>
  <c r="D16"/>
  <c r="C16"/>
  <c r="B5" i="7"/>
  <c r="F4" i="4"/>
  <c r="C5" i="6"/>
  <c r="B5" i="31"/>
  <c r="E3" i="30"/>
  <c r="C7" i="28"/>
  <c r="E4" i="27"/>
  <c r="F3" i="10"/>
  <c r="C7" i="5"/>
  <c r="F4" i="3"/>
  <c r="I2" i="2"/>
  <c r="N128"/>
  <c r="N25"/>
  <c r="N50"/>
  <c r="N130"/>
  <c r="N133" s="1"/>
  <c r="I128"/>
  <c r="I130" s="1"/>
  <c r="I25"/>
  <c r="I50"/>
  <c r="E128"/>
  <c r="E25"/>
  <c r="E50"/>
  <c r="B23" i="31" s="1"/>
  <c r="T80" i="2"/>
  <c r="Q80"/>
  <c r="P80"/>
  <c r="O80"/>
  <c r="L80"/>
  <c r="K80"/>
  <c r="J80"/>
  <c r="G80"/>
  <c r="F80"/>
  <c r="C80"/>
  <c r="Q120"/>
  <c r="P120"/>
  <c r="O120"/>
  <c r="L120"/>
  <c r="K120"/>
  <c r="J120"/>
  <c r="G120"/>
  <c r="F120"/>
  <c r="C120"/>
  <c r="T64"/>
  <c r="Q64"/>
  <c r="P64"/>
  <c r="O64"/>
  <c r="L64"/>
  <c r="K64"/>
  <c r="J64"/>
  <c r="G64"/>
  <c r="F64"/>
  <c r="C64"/>
  <c r="E61" i="1"/>
  <c r="E55"/>
  <c r="E40"/>
  <c r="E24"/>
  <c r="D61"/>
  <c r="D55"/>
  <c r="D40"/>
  <c r="D24"/>
  <c r="D15"/>
  <c r="C61"/>
  <c r="B16" i="31" s="1"/>
  <c r="C55" i="1"/>
  <c r="B15" i="31" s="1"/>
  <c r="C40" i="1"/>
  <c r="B13" i="31" s="1"/>
  <c r="B12"/>
  <c r="C24" i="1"/>
  <c r="B11" i="31" s="1"/>
  <c r="C15" i="1"/>
  <c r="E64" i="5"/>
  <c r="E118" s="1"/>
  <c r="N44" i="4"/>
  <c r="C33" i="31" s="1"/>
  <c r="J10" i="4"/>
  <c r="N10" s="1"/>
  <c r="C93" i="5"/>
  <c r="D10" i="7"/>
  <c r="A93" i="5"/>
  <c r="D11" i="7"/>
  <c r="B93" i="5"/>
  <c r="E96"/>
  <c r="J10" i="3"/>
  <c r="N10" s="1"/>
  <c r="O10" s="1"/>
  <c r="P10" s="1"/>
  <c r="Q10" s="1"/>
  <c r="B6" i="31"/>
  <c r="E108" i="5"/>
  <c r="E90"/>
  <c r="E110" s="1"/>
  <c r="B39" i="31" s="1"/>
  <c r="B37"/>
  <c r="A19"/>
  <c r="B24"/>
  <c r="B22"/>
  <c r="B3"/>
  <c r="T32" i="2"/>
  <c r="T29"/>
  <c r="T30"/>
  <c r="T50" s="1"/>
  <c r="T31"/>
  <c r="T34"/>
  <c r="T35"/>
  <c r="T36"/>
  <c r="T37"/>
  <c r="T38"/>
  <c r="T39"/>
  <c r="T40"/>
  <c r="T41"/>
  <c r="T42"/>
  <c r="T43"/>
  <c r="T44"/>
  <c r="T45"/>
  <c r="T46"/>
  <c r="T47"/>
  <c r="T48"/>
  <c r="T65"/>
  <c r="T53"/>
  <c r="T54"/>
  <c r="T55"/>
  <c r="T56"/>
  <c r="T57"/>
  <c r="T58"/>
  <c r="T59"/>
  <c r="T60"/>
  <c r="T61"/>
  <c r="T63"/>
  <c r="T66"/>
  <c r="T69"/>
  <c r="T70"/>
  <c r="T71"/>
  <c r="T72"/>
  <c r="T73"/>
  <c r="T74"/>
  <c r="T75"/>
  <c r="T76"/>
  <c r="T77"/>
  <c r="T78"/>
  <c r="T79"/>
  <c r="T81"/>
  <c r="T84"/>
  <c r="T85"/>
  <c r="T86"/>
  <c r="T87"/>
  <c r="T88"/>
  <c r="T89"/>
  <c r="T90"/>
  <c r="T93"/>
  <c r="T94"/>
  <c r="T95"/>
  <c r="T102"/>
  <c r="T103"/>
  <c r="T104"/>
  <c r="T113"/>
  <c r="T115"/>
  <c r="T116"/>
  <c r="T121"/>
  <c r="T122"/>
  <c r="T125"/>
  <c r="T126"/>
  <c r="T21"/>
  <c r="T19"/>
  <c r="T20"/>
  <c r="T22"/>
  <c r="T23"/>
  <c r="C18"/>
  <c r="C21"/>
  <c r="C19"/>
  <c r="C20"/>
  <c r="C25" s="1"/>
  <c r="C22"/>
  <c r="C23"/>
  <c r="C32"/>
  <c r="C28"/>
  <c r="C29"/>
  <c r="C50" s="1"/>
  <c r="C30"/>
  <c r="C31"/>
  <c r="C33"/>
  <c r="C34"/>
  <c r="C35"/>
  <c r="C36"/>
  <c r="C37"/>
  <c r="C38"/>
  <c r="C39"/>
  <c r="C40"/>
  <c r="C41"/>
  <c r="C42"/>
  <c r="C43"/>
  <c r="C44"/>
  <c r="C45"/>
  <c r="C46"/>
  <c r="C47"/>
  <c r="C48"/>
  <c r="C65"/>
  <c r="C53"/>
  <c r="C54"/>
  <c r="C128" s="1"/>
  <c r="C130" s="1"/>
  <c r="C55"/>
  <c r="C56"/>
  <c r="C57"/>
  <c r="C58"/>
  <c r="C59"/>
  <c r="C60"/>
  <c r="C61"/>
  <c r="C62"/>
  <c r="C63"/>
  <c r="C66"/>
  <c r="C69"/>
  <c r="C70"/>
  <c r="C71"/>
  <c r="C72"/>
  <c r="C73"/>
  <c r="C74"/>
  <c r="C75"/>
  <c r="C76"/>
  <c r="C77"/>
  <c r="C78"/>
  <c r="C79"/>
  <c r="C81"/>
  <c r="C84"/>
  <c r="C85"/>
  <c r="C86"/>
  <c r="C87"/>
  <c r="C88"/>
  <c r="C89"/>
  <c r="C90"/>
  <c r="C93"/>
  <c r="C94"/>
  <c r="C95"/>
  <c r="C98"/>
  <c r="C99"/>
  <c r="C102"/>
  <c r="C103"/>
  <c r="C104"/>
  <c r="C107"/>
  <c r="C108"/>
  <c r="C109"/>
  <c r="C110"/>
  <c r="C113"/>
  <c r="C114"/>
  <c r="C115"/>
  <c r="C116"/>
  <c r="C119"/>
  <c r="C121"/>
  <c r="C122"/>
  <c r="C123"/>
  <c r="C124"/>
  <c r="C125"/>
  <c r="C126"/>
  <c r="L25" i="3"/>
  <c r="D57" i="5" s="1"/>
  <c r="B67" i="30" s="1"/>
  <c r="B101" s="1"/>
  <c r="B33"/>
  <c r="B37"/>
  <c r="B38"/>
  <c r="B41"/>
  <c r="B27"/>
  <c r="B15"/>
  <c r="F5" i="4"/>
  <c r="E23" s="1"/>
  <c r="E20"/>
  <c r="E16"/>
  <c r="E12"/>
  <c r="E23" i="3"/>
  <c r="E22"/>
  <c r="E21"/>
  <c r="E20"/>
  <c r="E19"/>
  <c r="E18"/>
  <c r="E17"/>
  <c r="E16"/>
  <c r="E15"/>
  <c r="E14"/>
  <c r="E13"/>
  <c r="E12"/>
  <c r="E11"/>
  <c r="E10"/>
  <c r="I11" i="27"/>
  <c r="J11"/>
  <c r="K11" s="1"/>
  <c r="L11" s="1"/>
  <c r="M11" s="1"/>
  <c r="I12"/>
  <c r="J12" s="1"/>
  <c r="K12" s="1"/>
  <c r="L12" s="1"/>
  <c r="M12" s="1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I13"/>
  <c r="J13"/>
  <c r="K13" s="1"/>
  <c r="L13" s="1"/>
  <c r="M13" s="1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I14"/>
  <c r="J14" s="1"/>
  <c r="K14" s="1"/>
  <c r="L14" s="1"/>
  <c r="M14" s="1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I15"/>
  <c r="J15"/>
  <c r="K15" s="1"/>
  <c r="L15" s="1"/>
  <c r="M15" s="1"/>
  <c r="N15" s="1"/>
  <c r="O15" s="1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I16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I17"/>
  <c r="J17"/>
  <c r="K17" s="1"/>
  <c r="L17" s="1"/>
  <c r="M17" s="1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R130" i="2"/>
  <c r="R128"/>
  <c r="R126"/>
  <c r="R125"/>
  <c r="R124"/>
  <c r="R123"/>
  <c r="R122"/>
  <c r="R121"/>
  <c r="R119"/>
  <c r="R116"/>
  <c r="R115"/>
  <c r="R114"/>
  <c r="R113"/>
  <c r="R110"/>
  <c r="R109"/>
  <c r="R108"/>
  <c r="R107"/>
  <c r="R104"/>
  <c r="R103"/>
  <c r="R102"/>
  <c r="R99"/>
  <c r="R98"/>
  <c r="R95"/>
  <c r="R94"/>
  <c r="R93"/>
  <c r="R90"/>
  <c r="R89"/>
  <c r="R88"/>
  <c r="R87"/>
  <c r="R86"/>
  <c r="R85"/>
  <c r="R84"/>
  <c r="R81"/>
  <c r="R79"/>
  <c r="R78"/>
  <c r="R77"/>
  <c r="R76"/>
  <c r="R75"/>
  <c r="R74"/>
  <c r="R73"/>
  <c r="R72"/>
  <c r="R71"/>
  <c r="R70"/>
  <c r="R69"/>
  <c r="R66"/>
  <c r="R65"/>
  <c r="R63"/>
  <c r="R62"/>
  <c r="R61"/>
  <c r="R60"/>
  <c r="R59"/>
  <c r="R58"/>
  <c r="R57"/>
  <c r="R56"/>
  <c r="R55"/>
  <c r="R54"/>
  <c r="R53"/>
  <c r="R50"/>
  <c r="R48"/>
  <c r="R47"/>
  <c r="R46"/>
  <c r="R45"/>
  <c r="R44"/>
  <c r="R43"/>
  <c r="R42"/>
  <c r="R41"/>
  <c r="R40"/>
  <c r="R39"/>
  <c r="R38"/>
  <c r="R37"/>
  <c r="R36"/>
  <c r="R35"/>
  <c r="R34"/>
  <c r="R33"/>
  <c r="R32"/>
  <c r="R31"/>
  <c r="R30"/>
  <c r="R29"/>
  <c r="R28"/>
  <c r="R25"/>
  <c r="R23"/>
  <c r="R22"/>
  <c r="R21"/>
  <c r="R20"/>
  <c r="R19"/>
  <c r="R18"/>
  <c r="Q130"/>
  <c r="Q128"/>
  <c r="Q126"/>
  <c r="Q125"/>
  <c r="Q124"/>
  <c r="Q123"/>
  <c r="Q122"/>
  <c r="Q119"/>
  <c r="Q121"/>
  <c r="Q116"/>
  <c r="Q115"/>
  <c r="Q114"/>
  <c r="Q113"/>
  <c r="Q110"/>
  <c r="Q109"/>
  <c r="Q108"/>
  <c r="Q107"/>
  <c r="Q104"/>
  <c r="Q103"/>
  <c r="Q102"/>
  <c r="Q99"/>
  <c r="Q98"/>
  <c r="Q95"/>
  <c r="Q94"/>
  <c r="Q93"/>
  <c r="Q90"/>
  <c r="Q89"/>
  <c r="Q88"/>
  <c r="Q86"/>
  <c r="Q87"/>
  <c r="Q85"/>
  <c r="Q84"/>
  <c r="Q81"/>
  <c r="Q79"/>
  <c r="Q78"/>
  <c r="Q77"/>
  <c r="Q76"/>
  <c r="Q75"/>
  <c r="Q74"/>
  <c r="Q72"/>
  <c r="Q73"/>
  <c r="Q71"/>
  <c r="Q70"/>
  <c r="Q69"/>
  <c r="Q66"/>
  <c r="Q65"/>
  <c r="Q63"/>
  <c r="Q62"/>
  <c r="Q61"/>
  <c r="Q60"/>
  <c r="Q59"/>
  <c r="Q58"/>
  <c r="Q57"/>
  <c r="Q56"/>
  <c r="Q55"/>
  <c r="Q54"/>
  <c r="Q53"/>
  <c r="Q50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5"/>
  <c r="Q23"/>
  <c r="Q22"/>
  <c r="Q21"/>
  <c r="Q20"/>
  <c r="Q19"/>
  <c r="Q18"/>
  <c r="L128"/>
  <c r="L126"/>
  <c r="L125"/>
  <c r="L124"/>
  <c r="L123"/>
  <c r="L122"/>
  <c r="L121"/>
  <c r="L119"/>
  <c r="L116"/>
  <c r="L115"/>
  <c r="L114"/>
  <c r="L113"/>
  <c r="L110"/>
  <c r="L109"/>
  <c r="L108"/>
  <c r="L107"/>
  <c r="L104"/>
  <c r="L103"/>
  <c r="L102"/>
  <c r="L99"/>
  <c r="L98"/>
  <c r="L95"/>
  <c r="L94"/>
  <c r="L93"/>
  <c r="L90"/>
  <c r="L89"/>
  <c r="L88"/>
  <c r="L87"/>
  <c r="L86"/>
  <c r="L85"/>
  <c r="L84"/>
  <c r="L81"/>
  <c r="L79"/>
  <c r="L78"/>
  <c r="L77"/>
  <c r="L76"/>
  <c r="L75"/>
  <c r="L74"/>
  <c r="L73"/>
  <c r="L72"/>
  <c r="L71"/>
  <c r="L70"/>
  <c r="L69"/>
  <c r="L66"/>
  <c r="L65"/>
  <c r="L63"/>
  <c r="L62"/>
  <c r="L61"/>
  <c r="L59"/>
  <c r="L60"/>
  <c r="L58"/>
  <c r="L57"/>
  <c r="L56"/>
  <c r="L55"/>
  <c r="L54"/>
  <c r="L53"/>
  <c r="L50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P31"/>
  <c r="O31"/>
  <c r="K31"/>
  <c r="J31"/>
  <c r="L25"/>
  <c r="L23"/>
  <c r="L22"/>
  <c r="L21"/>
  <c r="L20"/>
  <c r="L19"/>
  <c r="L18"/>
  <c r="G128"/>
  <c r="G126"/>
  <c r="G125"/>
  <c r="G124"/>
  <c r="G123"/>
  <c r="G122"/>
  <c r="G121"/>
  <c r="G119"/>
  <c r="G116"/>
  <c r="G115"/>
  <c r="G114"/>
  <c r="G113"/>
  <c r="G110"/>
  <c r="G109"/>
  <c r="G108"/>
  <c r="G107"/>
  <c r="G104"/>
  <c r="G103"/>
  <c r="G102"/>
  <c r="G99"/>
  <c r="G98"/>
  <c r="G95"/>
  <c r="G94"/>
  <c r="G93"/>
  <c r="G90"/>
  <c r="G89"/>
  <c r="G88"/>
  <c r="G87"/>
  <c r="G86"/>
  <c r="G85"/>
  <c r="G84"/>
  <c r="G81"/>
  <c r="G79"/>
  <c r="G78"/>
  <c r="G77"/>
  <c r="G76"/>
  <c r="G75"/>
  <c r="G74"/>
  <c r="G73"/>
  <c r="G72"/>
  <c r="G71"/>
  <c r="G70"/>
  <c r="G69"/>
  <c r="G66"/>
  <c r="G65"/>
  <c r="G63"/>
  <c r="G62"/>
  <c r="G61"/>
  <c r="G60"/>
  <c r="G59"/>
  <c r="G58"/>
  <c r="G57"/>
  <c r="G55"/>
  <c r="G54"/>
  <c r="G56"/>
  <c r="G53"/>
  <c r="G50"/>
  <c r="G48"/>
  <c r="G47"/>
  <c r="G46"/>
  <c r="G45"/>
  <c r="G44"/>
  <c r="G43"/>
  <c r="G42"/>
  <c r="G41"/>
  <c r="G40"/>
  <c r="G39"/>
  <c r="G38"/>
  <c r="G37"/>
  <c r="G36"/>
  <c r="G35"/>
  <c r="G34"/>
  <c r="G31"/>
  <c r="F31"/>
  <c r="G33"/>
  <c r="G32"/>
  <c r="G30"/>
  <c r="G29"/>
  <c r="G28"/>
  <c r="G25"/>
  <c r="G23"/>
  <c r="G22"/>
  <c r="G21"/>
  <c r="G20"/>
  <c r="G19"/>
  <c r="B30" i="30"/>
  <c r="B25"/>
  <c r="B22"/>
  <c r="B21"/>
  <c r="C21" s="1"/>
  <c r="B20"/>
  <c r="B16"/>
  <c r="C30" s="1"/>
  <c r="B93" s="1"/>
  <c r="B14"/>
  <c r="J11" i="4"/>
  <c r="N11" s="1"/>
  <c r="J12"/>
  <c r="N12" s="1"/>
  <c r="J13"/>
  <c r="N13" s="1"/>
  <c r="J14"/>
  <c r="N14" s="1"/>
  <c r="J15"/>
  <c r="N15" s="1"/>
  <c r="J11" i="3"/>
  <c r="N11" s="1"/>
  <c r="O11" s="1"/>
  <c r="P11" s="1"/>
  <c r="Q11" s="1"/>
  <c r="R11" s="1"/>
  <c r="S11" s="1"/>
  <c r="T11" s="1"/>
  <c r="U11" s="1"/>
  <c r="V11" s="1"/>
  <c r="W11" s="1"/>
  <c r="X11" s="1"/>
  <c r="Y11" s="1"/>
  <c r="Z11" s="1"/>
  <c r="AA11" s="1"/>
  <c r="AB11" s="1"/>
  <c r="AC11" s="1"/>
  <c r="AD11" s="1"/>
  <c r="AE11" s="1"/>
  <c r="AF11" s="1"/>
  <c r="AG11" s="1"/>
  <c r="AH11" s="1"/>
  <c r="AI11" s="1"/>
  <c r="AJ11" s="1"/>
  <c r="AK11" s="1"/>
  <c r="AL11" s="1"/>
  <c r="AM11" s="1"/>
  <c r="AN11" s="1"/>
  <c r="AO11" s="1"/>
  <c r="AP11" s="1"/>
  <c r="AQ11" s="1"/>
  <c r="J12"/>
  <c r="N12" s="1"/>
  <c r="O12" s="1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AL12" s="1"/>
  <c r="AM12" s="1"/>
  <c r="AN12" s="1"/>
  <c r="AO12" s="1"/>
  <c r="AP12" s="1"/>
  <c r="AQ12" s="1"/>
  <c r="J13"/>
  <c r="N13" s="1"/>
  <c r="O13" s="1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AL13" s="1"/>
  <c r="AM13" s="1"/>
  <c r="AN13" s="1"/>
  <c r="AO13" s="1"/>
  <c r="AP13" s="1"/>
  <c r="AQ13" s="1"/>
  <c r="J14"/>
  <c r="N14" s="1"/>
  <c r="O14" s="1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AL14" s="1"/>
  <c r="AM14" s="1"/>
  <c r="AN14" s="1"/>
  <c r="AO14" s="1"/>
  <c r="AP14" s="1"/>
  <c r="AQ14" s="1"/>
  <c r="J15"/>
  <c r="N15" s="1"/>
  <c r="O15" s="1"/>
  <c r="J16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AL16" s="1"/>
  <c r="AM16" s="1"/>
  <c r="AN16" s="1"/>
  <c r="AO16" s="1"/>
  <c r="AP16" s="1"/>
  <c r="AQ16" s="1"/>
  <c r="J17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AL17" s="1"/>
  <c r="AM17" s="1"/>
  <c r="AN17" s="1"/>
  <c r="AO17" s="1"/>
  <c r="AP17" s="1"/>
  <c r="AQ17" s="1"/>
  <c r="J18"/>
  <c r="N18" s="1"/>
  <c r="O18" s="1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AI18" s="1"/>
  <c r="AJ18" s="1"/>
  <c r="AK18" s="1"/>
  <c r="AL18" s="1"/>
  <c r="AM18" s="1"/>
  <c r="AN18" s="1"/>
  <c r="AO18" s="1"/>
  <c r="AP18" s="1"/>
  <c r="AQ18" s="1"/>
  <c r="J19"/>
  <c r="N19" s="1"/>
  <c r="O19" s="1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AH19" s="1"/>
  <c r="AI19" s="1"/>
  <c r="AJ19" s="1"/>
  <c r="AK19" s="1"/>
  <c r="AL19" s="1"/>
  <c r="AM19" s="1"/>
  <c r="AN19" s="1"/>
  <c r="AO19" s="1"/>
  <c r="AP19" s="1"/>
  <c r="AQ19" s="1"/>
  <c r="J20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AI20" s="1"/>
  <c r="AJ20" s="1"/>
  <c r="AK20" s="1"/>
  <c r="AL20" s="1"/>
  <c r="AM20" s="1"/>
  <c r="AN20" s="1"/>
  <c r="AO20" s="1"/>
  <c r="AP20" s="1"/>
  <c r="AQ20" s="1"/>
  <c r="J21"/>
  <c r="N21" s="1"/>
  <c r="O21" s="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AH21" s="1"/>
  <c r="AI21" s="1"/>
  <c r="AJ21" s="1"/>
  <c r="AK21" s="1"/>
  <c r="AL21" s="1"/>
  <c r="AM21" s="1"/>
  <c r="AN21" s="1"/>
  <c r="AO21" s="1"/>
  <c r="AP21" s="1"/>
  <c r="AQ21" s="1"/>
  <c r="J22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AI22" s="1"/>
  <c r="AJ22" s="1"/>
  <c r="AK22" s="1"/>
  <c r="AL22" s="1"/>
  <c r="AM22" s="1"/>
  <c r="AN22" s="1"/>
  <c r="AO22" s="1"/>
  <c r="AP22" s="1"/>
  <c r="AQ22" s="1"/>
  <c r="J23"/>
  <c r="N23" s="1"/>
  <c r="O23" s="1"/>
  <c r="P23" s="1"/>
  <c r="Q23" s="1"/>
  <c r="R23" s="1"/>
  <c r="S23" s="1"/>
  <c r="T23" s="1"/>
  <c r="U23" s="1"/>
  <c r="V23" s="1"/>
  <c r="W23" s="1"/>
  <c r="X23" s="1"/>
  <c r="Y23" s="1"/>
  <c r="Z23" s="1"/>
  <c r="AA23" s="1"/>
  <c r="AB23" s="1"/>
  <c r="AC23" s="1"/>
  <c r="AD23" s="1"/>
  <c r="AE23" s="1"/>
  <c r="AF23" s="1"/>
  <c r="AG23" s="1"/>
  <c r="AH23" s="1"/>
  <c r="AI23" s="1"/>
  <c r="AJ23" s="1"/>
  <c r="AK23" s="1"/>
  <c r="AL23" s="1"/>
  <c r="AM23" s="1"/>
  <c r="AN23" s="1"/>
  <c r="AO23" s="1"/>
  <c r="AP23" s="1"/>
  <c r="AQ23" s="1"/>
  <c r="D9" i="7"/>
  <c r="C32" s="1"/>
  <c r="D12"/>
  <c r="B73" i="30"/>
  <c r="E102" i="5"/>
  <c r="E103"/>
  <c r="E104"/>
  <c r="E99"/>
  <c r="B10" i="30"/>
  <c r="B9"/>
  <c r="B8"/>
  <c r="E14"/>
  <c r="B7"/>
  <c r="B5"/>
  <c r="D15" s="1"/>
  <c r="B3"/>
  <c r="P47" i="2"/>
  <c r="O47"/>
  <c r="K47"/>
  <c r="J47"/>
  <c r="F47"/>
  <c r="P46"/>
  <c r="O46"/>
  <c r="K46"/>
  <c r="J46"/>
  <c r="F46"/>
  <c r="P45"/>
  <c r="O45"/>
  <c r="K45"/>
  <c r="J45"/>
  <c r="F45"/>
  <c r="P37"/>
  <c r="O37"/>
  <c r="K37"/>
  <c r="J37"/>
  <c r="F37"/>
  <c r="C20" i="30"/>
  <c r="C22"/>
  <c r="C25"/>
  <c r="B91" s="1"/>
  <c r="D47" i="28"/>
  <c r="H19" i="27"/>
  <c r="H21" s="1"/>
  <c r="G18" i="2"/>
  <c r="C2"/>
  <c r="D54" i="6"/>
  <c r="D58"/>
  <c r="E54"/>
  <c r="E58"/>
  <c r="E62" s="1"/>
  <c r="G62" i="1"/>
  <c r="D50" i="2"/>
  <c r="E70" i="1"/>
  <c r="F18" i="2"/>
  <c r="J18"/>
  <c r="K18"/>
  <c r="O18"/>
  <c r="P18"/>
  <c r="F19"/>
  <c r="J19"/>
  <c r="K19"/>
  <c r="O19"/>
  <c r="P19"/>
  <c r="F20"/>
  <c r="J20"/>
  <c r="K20"/>
  <c r="O20"/>
  <c r="P20"/>
  <c r="F21"/>
  <c r="J21"/>
  <c r="K21"/>
  <c r="O21"/>
  <c r="P21"/>
  <c r="F22"/>
  <c r="J22"/>
  <c r="K22"/>
  <c r="O22"/>
  <c r="P22"/>
  <c r="F23"/>
  <c r="J23"/>
  <c r="K23"/>
  <c r="O23"/>
  <c r="P23"/>
  <c r="D25"/>
  <c r="F25"/>
  <c r="J25"/>
  <c r="K25"/>
  <c r="O25"/>
  <c r="P25"/>
  <c r="U25"/>
  <c r="F28"/>
  <c r="J28"/>
  <c r="K28"/>
  <c r="O28"/>
  <c r="P28"/>
  <c r="F29"/>
  <c r="J29"/>
  <c r="K29"/>
  <c r="O29"/>
  <c r="P29"/>
  <c r="F30"/>
  <c r="J30"/>
  <c r="K30"/>
  <c r="O30"/>
  <c r="P30"/>
  <c r="F32"/>
  <c r="J32"/>
  <c r="K32"/>
  <c r="O32"/>
  <c r="P32"/>
  <c r="F33"/>
  <c r="J33"/>
  <c r="K33"/>
  <c r="O33"/>
  <c r="P33"/>
  <c r="F34"/>
  <c r="J34"/>
  <c r="K34"/>
  <c r="O34"/>
  <c r="P34"/>
  <c r="F35"/>
  <c r="J35"/>
  <c r="K35"/>
  <c r="O35"/>
  <c r="P35"/>
  <c r="F36"/>
  <c r="J36"/>
  <c r="K36"/>
  <c r="O36"/>
  <c r="P36"/>
  <c r="F38"/>
  <c r="J38"/>
  <c r="K38"/>
  <c r="O38"/>
  <c r="P38"/>
  <c r="F39"/>
  <c r="J39"/>
  <c r="K39"/>
  <c r="O39"/>
  <c r="P39"/>
  <c r="F40"/>
  <c r="J40"/>
  <c r="K40"/>
  <c r="O40"/>
  <c r="P40"/>
  <c r="F41"/>
  <c r="J41"/>
  <c r="K41"/>
  <c r="O41"/>
  <c r="P41"/>
  <c r="F42"/>
  <c r="J42"/>
  <c r="K42"/>
  <c r="O42"/>
  <c r="P42"/>
  <c r="F43"/>
  <c r="J43"/>
  <c r="K43"/>
  <c r="O43"/>
  <c r="P43"/>
  <c r="F44"/>
  <c r="J44"/>
  <c r="K44"/>
  <c r="O44"/>
  <c r="P44"/>
  <c r="F48"/>
  <c r="J48"/>
  <c r="K48"/>
  <c r="O48"/>
  <c r="P48"/>
  <c r="F50"/>
  <c r="J50"/>
  <c r="K50"/>
  <c r="O50"/>
  <c r="P50"/>
  <c r="U50"/>
  <c r="F53"/>
  <c r="J53"/>
  <c r="K53"/>
  <c r="O53"/>
  <c r="P53"/>
  <c r="F54"/>
  <c r="J54"/>
  <c r="K54"/>
  <c r="O54"/>
  <c r="P54"/>
  <c r="F55"/>
  <c r="J55"/>
  <c r="K55"/>
  <c r="O55"/>
  <c r="P55"/>
  <c r="F56"/>
  <c r="J56"/>
  <c r="K56"/>
  <c r="O56"/>
  <c r="P56"/>
  <c r="F57"/>
  <c r="J57"/>
  <c r="K57"/>
  <c r="O57"/>
  <c r="P57"/>
  <c r="F58"/>
  <c r="J58"/>
  <c r="K58"/>
  <c r="O58"/>
  <c r="P58"/>
  <c r="F59"/>
  <c r="J59"/>
  <c r="K59"/>
  <c r="O59"/>
  <c r="P59"/>
  <c r="F60"/>
  <c r="J60"/>
  <c r="K60"/>
  <c r="O60"/>
  <c r="P60"/>
  <c r="F61"/>
  <c r="J61"/>
  <c r="K61"/>
  <c r="O61"/>
  <c r="P61"/>
  <c r="F62"/>
  <c r="J62"/>
  <c r="K62"/>
  <c r="O62"/>
  <c r="P62"/>
  <c r="F63"/>
  <c r="J63"/>
  <c r="K63"/>
  <c r="O63"/>
  <c r="P63"/>
  <c r="F65"/>
  <c r="J65"/>
  <c r="K65"/>
  <c r="O65"/>
  <c r="P65"/>
  <c r="F66"/>
  <c r="J66"/>
  <c r="K66"/>
  <c r="O66"/>
  <c r="P66"/>
  <c r="F69"/>
  <c r="J69"/>
  <c r="K69"/>
  <c r="O69"/>
  <c r="P69"/>
  <c r="F70"/>
  <c r="J70"/>
  <c r="K70"/>
  <c r="O70"/>
  <c r="P70"/>
  <c r="F71"/>
  <c r="J71"/>
  <c r="K71"/>
  <c r="O71"/>
  <c r="P71"/>
  <c r="F72"/>
  <c r="J72"/>
  <c r="K72"/>
  <c r="O72"/>
  <c r="P72"/>
  <c r="F73"/>
  <c r="J73"/>
  <c r="K73"/>
  <c r="O73"/>
  <c r="P73"/>
  <c r="F74"/>
  <c r="J74"/>
  <c r="K74"/>
  <c r="O74"/>
  <c r="P74"/>
  <c r="F75"/>
  <c r="J75"/>
  <c r="K75"/>
  <c r="O75"/>
  <c r="P75"/>
  <c r="F76"/>
  <c r="J76"/>
  <c r="K76"/>
  <c r="O76"/>
  <c r="P76"/>
  <c r="F77"/>
  <c r="J77"/>
  <c r="K77"/>
  <c r="O77"/>
  <c r="P77"/>
  <c r="F78"/>
  <c r="J78"/>
  <c r="K78"/>
  <c r="O78"/>
  <c r="P78"/>
  <c r="F79"/>
  <c r="J79"/>
  <c r="K79"/>
  <c r="O79"/>
  <c r="P79"/>
  <c r="F81"/>
  <c r="J81"/>
  <c r="K81"/>
  <c r="O81"/>
  <c r="P81"/>
  <c r="F84"/>
  <c r="J84"/>
  <c r="K84"/>
  <c r="O84"/>
  <c r="P84"/>
  <c r="F85"/>
  <c r="J85"/>
  <c r="K85"/>
  <c r="O85"/>
  <c r="P85"/>
  <c r="F86"/>
  <c r="J86"/>
  <c r="K86"/>
  <c r="O86"/>
  <c r="P86"/>
  <c r="F87"/>
  <c r="J87"/>
  <c r="K87"/>
  <c r="O87"/>
  <c r="P87"/>
  <c r="F88"/>
  <c r="J88"/>
  <c r="K88"/>
  <c r="O88"/>
  <c r="P88"/>
  <c r="F89"/>
  <c r="J89"/>
  <c r="K89"/>
  <c r="O89"/>
  <c r="P89"/>
  <c r="F90"/>
  <c r="J90"/>
  <c r="K90"/>
  <c r="O90"/>
  <c r="P90"/>
  <c r="F93"/>
  <c r="J93"/>
  <c r="K93"/>
  <c r="O93"/>
  <c r="P93"/>
  <c r="F94"/>
  <c r="J94"/>
  <c r="K94"/>
  <c r="O94"/>
  <c r="P94"/>
  <c r="F95"/>
  <c r="J95"/>
  <c r="K95"/>
  <c r="O95"/>
  <c r="P95"/>
  <c r="F98"/>
  <c r="J98"/>
  <c r="K98"/>
  <c r="O98"/>
  <c r="P98"/>
  <c r="F99"/>
  <c r="J99"/>
  <c r="K99"/>
  <c r="O99"/>
  <c r="P99"/>
  <c r="F102"/>
  <c r="J102"/>
  <c r="K102"/>
  <c r="O102"/>
  <c r="P102"/>
  <c r="F103"/>
  <c r="J103"/>
  <c r="K103"/>
  <c r="O103"/>
  <c r="P103"/>
  <c r="F104"/>
  <c r="J104"/>
  <c r="K104"/>
  <c r="O104"/>
  <c r="P104"/>
  <c r="F107"/>
  <c r="J107"/>
  <c r="K107"/>
  <c r="O107"/>
  <c r="P107"/>
  <c r="F108"/>
  <c r="J108"/>
  <c r="K108"/>
  <c r="O108"/>
  <c r="P108"/>
  <c r="F109"/>
  <c r="J109"/>
  <c r="K109"/>
  <c r="O109"/>
  <c r="P109"/>
  <c r="F110"/>
  <c r="J110"/>
  <c r="K110"/>
  <c r="O110"/>
  <c r="P110"/>
  <c r="F113"/>
  <c r="J113"/>
  <c r="K113"/>
  <c r="O113"/>
  <c r="P113"/>
  <c r="F114"/>
  <c r="J114"/>
  <c r="K114"/>
  <c r="O114"/>
  <c r="P114"/>
  <c r="F115"/>
  <c r="J115"/>
  <c r="K115"/>
  <c r="O115"/>
  <c r="P115"/>
  <c r="F116"/>
  <c r="J116"/>
  <c r="K116"/>
  <c r="O116"/>
  <c r="P116"/>
  <c r="F119"/>
  <c r="J119"/>
  <c r="K119"/>
  <c r="O119"/>
  <c r="P119"/>
  <c r="F121"/>
  <c r="J121"/>
  <c r="K121"/>
  <c r="O121"/>
  <c r="P121"/>
  <c r="F122"/>
  <c r="J122"/>
  <c r="K122"/>
  <c r="O122"/>
  <c r="P122"/>
  <c r="F123"/>
  <c r="J123"/>
  <c r="K123"/>
  <c r="O123"/>
  <c r="P123"/>
  <c r="F124"/>
  <c r="J124"/>
  <c r="K124"/>
  <c r="O124"/>
  <c r="P124"/>
  <c r="F125"/>
  <c r="J125"/>
  <c r="K125"/>
  <c r="O125"/>
  <c r="P125"/>
  <c r="F126"/>
  <c r="J126"/>
  <c r="K126"/>
  <c r="O126"/>
  <c r="P126"/>
  <c r="D128"/>
  <c r="F128"/>
  <c r="J128"/>
  <c r="K128"/>
  <c r="O128"/>
  <c r="P128"/>
  <c r="U128"/>
  <c r="U130" s="1"/>
  <c r="T137" s="1"/>
  <c r="D130"/>
  <c r="P130"/>
  <c r="E3" i="3"/>
  <c r="E3" i="27"/>
  <c r="C5" i="28"/>
  <c r="E11"/>
  <c r="F11" s="1"/>
  <c r="G11" s="1"/>
  <c r="H11" s="1"/>
  <c r="I11" s="1"/>
  <c r="E14"/>
  <c r="F14"/>
  <c r="G14" s="1"/>
  <c r="H14" s="1"/>
  <c r="E15"/>
  <c r="F15" s="1"/>
  <c r="G15" s="1"/>
  <c r="E16"/>
  <c r="F16"/>
  <c r="G16" s="1"/>
  <c r="H16" s="1"/>
  <c r="I16" s="1"/>
  <c r="J16" s="1"/>
  <c r="K16" s="1"/>
  <c r="L16" s="1"/>
  <c r="M16" s="1"/>
  <c r="N16" s="1"/>
  <c r="O16" s="1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E17"/>
  <c r="F17" s="1"/>
  <c r="G17" s="1"/>
  <c r="H17" s="1"/>
  <c r="I17" s="1"/>
  <c r="J17" s="1"/>
  <c r="K17" s="1"/>
  <c r="L17" s="1"/>
  <c r="M17" s="1"/>
  <c r="N17" s="1"/>
  <c r="O17" s="1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E19"/>
  <c r="F19"/>
  <c r="G19" s="1"/>
  <c r="H19" s="1"/>
  <c r="I19" s="1"/>
  <c r="J19" s="1"/>
  <c r="K19" s="1"/>
  <c r="L19" s="1"/>
  <c r="M19" s="1"/>
  <c r="N19" s="1"/>
  <c r="O19" s="1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E20"/>
  <c r="F20" s="1"/>
  <c r="G20" s="1"/>
  <c r="H20" s="1"/>
  <c r="I20" s="1"/>
  <c r="J20" s="1"/>
  <c r="K20" s="1"/>
  <c r="L20" s="1"/>
  <c r="M20" s="1"/>
  <c r="N20" s="1"/>
  <c r="O20" s="1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E21"/>
  <c r="F21"/>
  <c r="E22"/>
  <c r="F22"/>
  <c r="G22" s="1"/>
  <c r="H22"/>
  <c r="I22" s="1"/>
  <c r="J22" s="1"/>
  <c r="K22" s="1"/>
  <c r="L22" s="1"/>
  <c r="M22" s="1"/>
  <c r="N22" s="1"/>
  <c r="O22" s="1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E25"/>
  <c r="F25" s="1"/>
  <c r="G25"/>
  <c r="H25" s="1"/>
  <c r="I25" s="1"/>
  <c r="J25" s="1"/>
  <c r="K25" s="1"/>
  <c r="L25" s="1"/>
  <c r="M25" s="1"/>
  <c r="N25" s="1"/>
  <c r="O25" s="1"/>
  <c r="P25" s="1"/>
  <c r="Q25" s="1"/>
  <c r="R25" s="1"/>
  <c r="S25" s="1"/>
  <c r="T25" s="1"/>
  <c r="U25" s="1"/>
  <c r="V25" s="1"/>
  <c r="W25" s="1"/>
  <c r="X25" s="1"/>
  <c r="Y25" s="1"/>
  <c r="Z25" s="1"/>
  <c r="AA25" s="1"/>
  <c r="AB25" s="1"/>
  <c r="AC25" s="1"/>
  <c r="AD25" s="1"/>
  <c r="AE25" s="1"/>
  <c r="AF25" s="1"/>
  <c r="AG25" s="1"/>
  <c r="E26"/>
  <c r="F26" s="1"/>
  <c r="E29"/>
  <c r="F29"/>
  <c r="G29" s="1"/>
  <c r="H29" s="1"/>
  <c r="I29" s="1"/>
  <c r="J29" s="1"/>
  <c r="K29" s="1"/>
  <c r="L29" s="1"/>
  <c r="M29" s="1"/>
  <c r="N29" s="1"/>
  <c r="O29" s="1"/>
  <c r="P29" s="1"/>
  <c r="Q29" s="1"/>
  <c r="R29" s="1"/>
  <c r="S29" s="1"/>
  <c r="T29" s="1"/>
  <c r="U29" s="1"/>
  <c r="V29" s="1"/>
  <c r="W29" s="1"/>
  <c r="X29" s="1"/>
  <c r="Y29" s="1"/>
  <c r="Z29" s="1"/>
  <c r="AA29" s="1"/>
  <c r="AB29" s="1"/>
  <c r="AC29" s="1"/>
  <c r="AD29" s="1"/>
  <c r="AE29" s="1"/>
  <c r="AF29" s="1"/>
  <c r="AG29" s="1"/>
  <c r="E30"/>
  <c r="F30" s="1"/>
  <c r="G30" s="1"/>
  <c r="H30" s="1"/>
  <c r="I30" s="1"/>
  <c r="J30" s="1"/>
  <c r="K30" s="1"/>
  <c r="L30" s="1"/>
  <c r="M30" s="1"/>
  <c r="N30" s="1"/>
  <c r="O30" s="1"/>
  <c r="P30" s="1"/>
  <c r="Q30" s="1"/>
  <c r="R30" s="1"/>
  <c r="S30" s="1"/>
  <c r="T30" s="1"/>
  <c r="U30" s="1"/>
  <c r="V30" s="1"/>
  <c r="W30" s="1"/>
  <c r="X30" s="1"/>
  <c r="Y30" s="1"/>
  <c r="Z30" s="1"/>
  <c r="AA30" s="1"/>
  <c r="AB30" s="1"/>
  <c r="AC30" s="1"/>
  <c r="AD30" s="1"/>
  <c r="AE30" s="1"/>
  <c r="AF30" s="1"/>
  <c r="AG30" s="1"/>
  <c r="E32"/>
  <c r="F32"/>
  <c r="G32" s="1"/>
  <c r="H32" s="1"/>
  <c r="I32" s="1"/>
  <c r="J32" s="1"/>
  <c r="K32" s="1"/>
  <c r="L32" s="1"/>
  <c r="M32" s="1"/>
  <c r="N32" s="1"/>
  <c r="O32" s="1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E33"/>
  <c r="F33" s="1"/>
  <c r="G33" s="1"/>
  <c r="H33" s="1"/>
  <c r="I33" s="1"/>
  <c r="J33" s="1"/>
  <c r="K33" s="1"/>
  <c r="L33" s="1"/>
  <c r="M33" s="1"/>
  <c r="N33" s="1"/>
  <c r="O33" s="1"/>
  <c r="P33" s="1"/>
  <c r="Q33" s="1"/>
  <c r="R33" s="1"/>
  <c r="S33" s="1"/>
  <c r="T33" s="1"/>
  <c r="U33" s="1"/>
  <c r="V33" s="1"/>
  <c r="W33" s="1"/>
  <c r="X33" s="1"/>
  <c r="Y33" s="1"/>
  <c r="Z33" s="1"/>
  <c r="AA33" s="1"/>
  <c r="AB33" s="1"/>
  <c r="AC33" s="1"/>
  <c r="AD33" s="1"/>
  <c r="AE33" s="1"/>
  <c r="AF33" s="1"/>
  <c r="AG33" s="1"/>
  <c r="E34"/>
  <c r="F34"/>
  <c r="G34" s="1"/>
  <c r="H34" s="1"/>
  <c r="I34" s="1"/>
  <c r="J34" s="1"/>
  <c r="K34" s="1"/>
  <c r="L34" s="1"/>
  <c r="M34" s="1"/>
  <c r="N34" s="1"/>
  <c r="O34" s="1"/>
  <c r="P34" s="1"/>
  <c r="Q34" s="1"/>
  <c r="R34" s="1"/>
  <c r="S34" s="1"/>
  <c r="T34" s="1"/>
  <c r="U34" s="1"/>
  <c r="V34" s="1"/>
  <c r="W34" s="1"/>
  <c r="X34" s="1"/>
  <c r="Y34" s="1"/>
  <c r="Z34" s="1"/>
  <c r="AA34" s="1"/>
  <c r="AB34" s="1"/>
  <c r="AC34" s="1"/>
  <c r="AD34" s="1"/>
  <c r="AE34" s="1"/>
  <c r="AF34" s="1"/>
  <c r="AG34" s="1"/>
  <c r="E35"/>
  <c r="F35" s="1"/>
  <c r="G35" s="1"/>
  <c r="H35" s="1"/>
  <c r="I35" s="1"/>
  <c r="J35" s="1"/>
  <c r="K35" s="1"/>
  <c r="L35" s="1"/>
  <c r="M35" s="1"/>
  <c r="N35" s="1"/>
  <c r="O35" s="1"/>
  <c r="P35" s="1"/>
  <c r="Q35" s="1"/>
  <c r="R35" s="1"/>
  <c r="S35" s="1"/>
  <c r="T35" s="1"/>
  <c r="U35" s="1"/>
  <c r="V35" s="1"/>
  <c r="W35" s="1"/>
  <c r="X35" s="1"/>
  <c r="Y35" s="1"/>
  <c r="Z35" s="1"/>
  <c r="AA35" s="1"/>
  <c r="AB35" s="1"/>
  <c r="AC35" s="1"/>
  <c r="AD35" s="1"/>
  <c r="AE35" s="1"/>
  <c r="AF35" s="1"/>
  <c r="AG35" s="1"/>
  <c r="E36"/>
  <c r="F36"/>
  <c r="G36" s="1"/>
  <c r="H36" s="1"/>
  <c r="I36" s="1"/>
  <c r="J36" s="1"/>
  <c r="K36" s="1"/>
  <c r="L36" s="1"/>
  <c r="M36" s="1"/>
  <c r="N36" s="1"/>
  <c r="O36" s="1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E37"/>
  <c r="F37" s="1"/>
  <c r="G37" s="1"/>
  <c r="H37" s="1"/>
  <c r="I37" s="1"/>
  <c r="J37" s="1"/>
  <c r="K37" s="1"/>
  <c r="L37" s="1"/>
  <c r="M37" s="1"/>
  <c r="N37" s="1"/>
  <c r="O37" s="1"/>
  <c r="P37" s="1"/>
  <c r="Q37" s="1"/>
  <c r="R37" s="1"/>
  <c r="S37" s="1"/>
  <c r="T37" s="1"/>
  <c r="U37" s="1"/>
  <c r="V37" s="1"/>
  <c r="W37" s="1"/>
  <c r="X37" s="1"/>
  <c r="Y37" s="1"/>
  <c r="Z37" s="1"/>
  <c r="AA37" s="1"/>
  <c r="AB37" s="1"/>
  <c r="AC37" s="1"/>
  <c r="AD37" s="1"/>
  <c r="AE37" s="1"/>
  <c r="AF37" s="1"/>
  <c r="AG37" s="1"/>
  <c r="E38"/>
  <c r="F38"/>
  <c r="G38" s="1"/>
  <c r="H38" s="1"/>
  <c r="I38" s="1"/>
  <c r="J38" s="1"/>
  <c r="K38" s="1"/>
  <c r="L38" s="1"/>
  <c r="M38" s="1"/>
  <c r="N38" s="1"/>
  <c r="O38" s="1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E39"/>
  <c r="F39" s="1"/>
  <c r="G39" s="1"/>
  <c r="H39" s="1"/>
  <c r="I39" s="1"/>
  <c r="J39" s="1"/>
  <c r="K39" s="1"/>
  <c r="L39" s="1"/>
  <c r="M39" s="1"/>
  <c r="N39" s="1"/>
  <c r="O39" s="1"/>
  <c r="P39" s="1"/>
  <c r="Q39" s="1"/>
  <c r="R39" s="1"/>
  <c r="S39" s="1"/>
  <c r="T39" s="1"/>
  <c r="U39" s="1"/>
  <c r="V39" s="1"/>
  <c r="W39" s="1"/>
  <c r="X39" s="1"/>
  <c r="Y39" s="1"/>
  <c r="Z39" s="1"/>
  <c r="AA39" s="1"/>
  <c r="AB39" s="1"/>
  <c r="AC39" s="1"/>
  <c r="AD39" s="1"/>
  <c r="AE39" s="1"/>
  <c r="AF39" s="1"/>
  <c r="AG39" s="1"/>
  <c r="D41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D60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J16" i="4"/>
  <c r="N16" s="1"/>
  <c r="J17"/>
  <c r="N17" s="1"/>
  <c r="J18"/>
  <c r="N18" s="1"/>
  <c r="J19"/>
  <c r="N19" s="1"/>
  <c r="J20"/>
  <c r="N20" s="1"/>
  <c r="J21"/>
  <c r="N21" s="1"/>
  <c r="J22"/>
  <c r="N22" s="1"/>
  <c r="J23"/>
  <c r="N23" s="1"/>
  <c r="L25"/>
  <c r="M6"/>
  <c r="O41" s="1"/>
  <c r="P41" s="1"/>
  <c r="Q41" s="1"/>
  <c r="R41" s="1"/>
  <c r="S41" s="1"/>
  <c r="T41" s="1"/>
  <c r="U41" s="1"/>
  <c r="V41" s="1"/>
  <c r="W41" s="1"/>
  <c r="X41" s="1"/>
  <c r="Y41" s="1"/>
  <c r="Z41" s="1"/>
  <c r="AA41" s="1"/>
  <c r="AB41" s="1"/>
  <c r="AC41" s="1"/>
  <c r="AD41" s="1"/>
  <c r="AE41" s="1"/>
  <c r="AF41" s="1"/>
  <c r="AG41" s="1"/>
  <c r="AH41" s="1"/>
  <c r="AI41" s="1"/>
  <c r="AJ41" s="1"/>
  <c r="AK41" s="1"/>
  <c r="AL41" s="1"/>
  <c r="AM41" s="1"/>
  <c r="AN41" s="1"/>
  <c r="AO41" s="1"/>
  <c r="AP41" s="1"/>
  <c r="AQ41" s="1"/>
  <c r="O31"/>
  <c r="P31" s="1"/>
  <c r="Q31" s="1"/>
  <c r="R31" s="1"/>
  <c r="S31" s="1"/>
  <c r="T31" s="1"/>
  <c r="U31" s="1"/>
  <c r="V31" s="1"/>
  <c r="W31" s="1"/>
  <c r="X31" s="1"/>
  <c r="Y31" s="1"/>
  <c r="Z31" s="1"/>
  <c r="AA31" s="1"/>
  <c r="AB31" s="1"/>
  <c r="AC31" s="1"/>
  <c r="AD31" s="1"/>
  <c r="AE31" s="1"/>
  <c r="AF31" s="1"/>
  <c r="AG31" s="1"/>
  <c r="AH31" s="1"/>
  <c r="AI31" s="1"/>
  <c r="AJ31" s="1"/>
  <c r="AK31" s="1"/>
  <c r="AL31" s="1"/>
  <c r="AM31" s="1"/>
  <c r="AN31" s="1"/>
  <c r="AO31" s="1"/>
  <c r="AP31" s="1"/>
  <c r="AQ31" s="1"/>
  <c r="C5" i="5"/>
  <c r="D90"/>
  <c r="D110" s="1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F93"/>
  <c r="F120" s="1"/>
  <c r="G93"/>
  <c r="H93"/>
  <c r="H120" s="1"/>
  <c r="I93"/>
  <c r="J93"/>
  <c r="J120" s="1"/>
  <c r="K93"/>
  <c r="L93"/>
  <c r="L120" s="1"/>
  <c r="M93"/>
  <c r="N93"/>
  <c r="N120" s="1"/>
  <c r="O93"/>
  <c r="P93"/>
  <c r="P120" s="1"/>
  <c r="Q93"/>
  <c r="R93"/>
  <c r="R120" s="1"/>
  <c r="S93"/>
  <c r="T93"/>
  <c r="T120" s="1"/>
  <c r="U93"/>
  <c r="V93"/>
  <c r="V120" s="1"/>
  <c r="W93"/>
  <c r="X93"/>
  <c r="X120" s="1"/>
  <c r="Y93"/>
  <c r="Z93"/>
  <c r="Z120" s="1"/>
  <c r="AA93"/>
  <c r="AB93"/>
  <c r="AB120" s="1"/>
  <c r="AC93"/>
  <c r="AD93"/>
  <c r="AD120" s="1"/>
  <c r="AE93"/>
  <c r="AF93"/>
  <c r="AF120" s="1"/>
  <c r="AG93"/>
  <c r="AH93"/>
  <c r="AH120" s="1"/>
  <c r="D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D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D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D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D104"/>
  <c r="F104"/>
  <c r="G104"/>
  <c r="H104"/>
  <c r="I104"/>
  <c r="J104"/>
  <c r="K104"/>
  <c r="L104"/>
  <c r="M104"/>
  <c r="N104"/>
  <c r="O104"/>
  <c r="P104"/>
  <c r="P111" s="1"/>
  <c r="Q104"/>
  <c r="R104"/>
  <c r="S104"/>
  <c r="T104"/>
  <c r="T111" s="1"/>
  <c r="U104"/>
  <c r="V104"/>
  <c r="W104"/>
  <c r="X104"/>
  <c r="X111" s="1"/>
  <c r="Y104"/>
  <c r="Z104"/>
  <c r="AA104"/>
  <c r="AB104"/>
  <c r="AB111" s="1"/>
  <c r="AC104"/>
  <c r="AD104"/>
  <c r="AE104"/>
  <c r="AF104"/>
  <c r="AF111" s="1"/>
  <c r="AG104"/>
  <c r="AH104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F111"/>
  <c r="H111"/>
  <c r="J111"/>
  <c r="L111"/>
  <c r="N111"/>
  <c r="R111"/>
  <c r="V111"/>
  <c r="Z111"/>
  <c r="AD111"/>
  <c r="AH111"/>
  <c r="G120"/>
  <c r="I120"/>
  <c r="K120"/>
  <c r="M120"/>
  <c r="O120"/>
  <c r="Q120"/>
  <c r="S120"/>
  <c r="U120"/>
  <c r="W120"/>
  <c r="Y120"/>
  <c r="AA120"/>
  <c r="AC120"/>
  <c r="AE120"/>
  <c r="AG120"/>
  <c r="G121"/>
  <c r="I121"/>
  <c r="K121"/>
  <c r="M121"/>
  <c r="O121"/>
  <c r="Q121"/>
  <c r="S121"/>
  <c r="U121"/>
  <c r="W121"/>
  <c r="Y121"/>
  <c r="AA121"/>
  <c r="AC121"/>
  <c r="AE121"/>
  <c r="AG121"/>
  <c r="C3" i="10"/>
  <c r="E16"/>
  <c r="F16"/>
  <c r="G16"/>
  <c r="H16"/>
  <c r="I16"/>
  <c r="C4" i="6"/>
  <c r="E3" i="4"/>
  <c r="B4" i="7"/>
  <c r="F13"/>
  <c r="E29"/>
  <c r="C31"/>
  <c r="B32"/>
  <c r="E32"/>
  <c r="D86"/>
  <c r="D87"/>
  <c r="D88"/>
  <c r="D89"/>
  <c r="G21" i="28"/>
  <c r="H21"/>
  <c r="I21" s="1"/>
  <c r="J21" s="1"/>
  <c r="K21" s="1"/>
  <c r="L21" s="1"/>
  <c r="M21" s="1"/>
  <c r="N21" s="1"/>
  <c r="O21" s="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J11"/>
  <c r="O30" i="4"/>
  <c r="P30" s="1"/>
  <c r="O12"/>
  <c r="P12" s="1"/>
  <c r="Q12" s="1"/>
  <c r="R12" s="1"/>
  <c r="S12" s="1"/>
  <c r="T12" s="1"/>
  <c r="U12" s="1"/>
  <c r="V12" s="1"/>
  <c r="W12" s="1"/>
  <c r="X12" s="1"/>
  <c r="Y12" s="1"/>
  <c r="Z12" s="1"/>
  <c r="AA12" s="1"/>
  <c r="AB12" s="1"/>
  <c r="AC12" s="1"/>
  <c r="AD12" s="1"/>
  <c r="AE12" s="1"/>
  <c r="AF12" s="1"/>
  <c r="AG12" s="1"/>
  <c r="AH12" s="1"/>
  <c r="AI12" s="1"/>
  <c r="AJ12" s="1"/>
  <c r="AK12" s="1"/>
  <c r="AL12" s="1"/>
  <c r="AM12" s="1"/>
  <c r="AN12" s="1"/>
  <c r="AO12" s="1"/>
  <c r="AP12" s="1"/>
  <c r="AQ12" s="1"/>
  <c r="E41" i="28"/>
  <c r="E60"/>
  <c r="R10" i="3"/>
  <c r="P15"/>
  <c r="Q15" s="1"/>
  <c r="B75" i="30"/>
  <c r="E75" s="1"/>
  <c r="D14"/>
  <c r="D20"/>
  <c r="D37"/>
  <c r="C8"/>
  <c r="E15"/>
  <c r="B88" s="1"/>
  <c r="E21"/>
  <c r="E33"/>
  <c r="A33" i="7"/>
  <c r="D13"/>
  <c r="G32" s="1"/>
  <c r="H32" s="1"/>
  <c r="I32" s="1"/>
  <c r="D32"/>
  <c r="F32" s="1"/>
  <c r="N11" i="27"/>
  <c r="O11" s="1"/>
  <c r="M19"/>
  <c r="I19"/>
  <c r="I21" s="1"/>
  <c r="J19"/>
  <c r="K19"/>
  <c r="K21" s="1"/>
  <c r="K23" s="1"/>
  <c r="G59" i="28" s="1"/>
  <c r="L19" i="27"/>
  <c r="T128" i="2"/>
  <c r="M64"/>
  <c r="M80"/>
  <c r="M120"/>
  <c r="T25"/>
  <c r="N25" i="3"/>
  <c r="B32" i="31" s="1"/>
  <c r="R64" i="2"/>
  <c r="R80"/>
  <c r="R120"/>
  <c r="N19" i="27"/>
  <c r="N21" s="1"/>
  <c r="L21"/>
  <c r="L23" s="1"/>
  <c r="H59" i="28" s="1"/>
  <c r="J21" i="27"/>
  <c r="J23" s="1"/>
  <c r="F59" i="28" s="1"/>
  <c r="M21" i="27"/>
  <c r="M23" s="1"/>
  <c r="I59" i="28" s="1"/>
  <c r="D33" i="7"/>
  <c r="C33"/>
  <c r="F33"/>
  <c r="G33"/>
  <c r="H33"/>
  <c r="I33"/>
  <c r="A34"/>
  <c r="E33"/>
  <c r="B33"/>
  <c r="D75" i="30"/>
  <c r="K11" i="28"/>
  <c r="L11" s="1"/>
  <c r="M11" s="1"/>
  <c r="C34" i="7"/>
  <c r="F34"/>
  <c r="H34"/>
  <c r="E34"/>
  <c r="A35"/>
  <c r="D35"/>
  <c r="G35"/>
  <c r="I35"/>
  <c r="C35"/>
  <c r="B35"/>
  <c r="D62" i="6"/>
  <c r="F58"/>
  <c r="E130" i="2"/>
  <c r="F35" i="7"/>
  <c r="H35"/>
  <c r="A36"/>
  <c r="E35"/>
  <c r="D34"/>
  <c r="G34"/>
  <c r="I34"/>
  <c r="B34"/>
  <c r="T130" i="2"/>
  <c r="C10" i="30"/>
  <c r="C7"/>
  <c r="B17"/>
  <c r="D25" i="6"/>
  <c r="E37" i="30"/>
  <c r="E30"/>
  <c r="E22"/>
  <c r="D21"/>
  <c r="E20"/>
  <c r="E16"/>
  <c r="B60"/>
  <c r="B64"/>
  <c r="F62" i="6"/>
  <c r="E9" i="1"/>
  <c r="E15" s="1"/>
  <c r="E63" s="1"/>
  <c r="C133" i="2"/>
  <c r="G130"/>
  <c r="H47"/>
  <c r="H46"/>
  <c r="H45"/>
  <c r="H37"/>
  <c r="H25"/>
  <c r="H53"/>
  <c r="H54"/>
  <c r="H55"/>
  <c r="H56"/>
  <c r="H57"/>
  <c r="H58"/>
  <c r="H59"/>
  <c r="H60"/>
  <c r="H61"/>
  <c r="H62"/>
  <c r="H63"/>
  <c r="H65"/>
  <c r="H66"/>
  <c r="H69"/>
  <c r="H70"/>
  <c r="H71"/>
  <c r="H72"/>
  <c r="H73"/>
  <c r="H74"/>
  <c r="H75"/>
  <c r="H76"/>
  <c r="H77"/>
  <c r="H78"/>
  <c r="H79"/>
  <c r="H81"/>
  <c r="H84"/>
  <c r="H85"/>
  <c r="H86"/>
  <c r="H87"/>
  <c r="H88"/>
  <c r="H89"/>
  <c r="H90"/>
  <c r="H93"/>
  <c r="H94"/>
  <c r="H95"/>
  <c r="H98"/>
  <c r="H99"/>
  <c r="H102"/>
  <c r="H103"/>
  <c r="H104"/>
  <c r="H107"/>
  <c r="H108"/>
  <c r="H109"/>
  <c r="H110"/>
  <c r="H113"/>
  <c r="H114"/>
  <c r="H115"/>
  <c r="H116"/>
  <c r="H119"/>
  <c r="H121"/>
  <c r="H122"/>
  <c r="H123"/>
  <c r="H124"/>
  <c r="H125"/>
  <c r="H126"/>
  <c r="F130"/>
  <c r="J130"/>
  <c r="T138"/>
  <c r="T139"/>
  <c r="H64"/>
  <c r="H120"/>
  <c r="H31"/>
  <c r="E25" i="6"/>
  <c r="H18" i="2"/>
  <c r="H19"/>
  <c r="H20"/>
  <c r="H21"/>
  <c r="H22"/>
  <c r="H23"/>
  <c r="H28"/>
  <c r="H29"/>
  <c r="H30"/>
  <c r="H32"/>
  <c r="H33"/>
  <c r="H34"/>
  <c r="H35"/>
  <c r="H36"/>
  <c r="H38"/>
  <c r="H39"/>
  <c r="H40"/>
  <c r="H41"/>
  <c r="H42"/>
  <c r="H43"/>
  <c r="H44"/>
  <c r="H48"/>
  <c r="H50"/>
  <c r="H128"/>
  <c r="H130"/>
  <c r="H80"/>
  <c r="B26" i="31"/>
  <c r="C15" i="30"/>
  <c r="E27" i="6"/>
  <c r="C77" i="30" s="1"/>
  <c r="B77"/>
  <c r="D27" i="6"/>
  <c r="D38" s="1"/>
  <c r="D42" s="1"/>
  <c r="D46" s="1"/>
  <c r="C36" i="7"/>
  <c r="F36"/>
  <c r="H36"/>
  <c r="E36"/>
  <c r="A37"/>
  <c r="D37" s="1"/>
  <c r="D36"/>
  <c r="I36"/>
  <c r="G36"/>
  <c r="B36"/>
  <c r="G37"/>
  <c r="A38"/>
  <c r="G38" s="1"/>
  <c r="F37"/>
  <c r="H37"/>
  <c r="D38"/>
  <c r="I38"/>
  <c r="F38"/>
  <c r="C38"/>
  <c r="A39"/>
  <c r="H39" s="1"/>
  <c r="F39"/>
  <c r="A40"/>
  <c r="F40" s="1"/>
  <c r="D39"/>
  <c r="B39"/>
  <c r="C39"/>
  <c r="H40"/>
  <c r="B40"/>
  <c r="E40"/>
  <c r="I40"/>
  <c r="E73" i="30" l="1"/>
  <c r="D93" i="5"/>
  <c r="D121" s="1"/>
  <c r="C9" i="30"/>
  <c r="E38" i="6"/>
  <c r="E42" s="1"/>
  <c r="E46" s="1"/>
  <c r="E50" s="1"/>
  <c r="E25" i="30"/>
  <c r="E38"/>
  <c r="D33"/>
  <c r="D41"/>
  <c r="E41"/>
  <c r="D120" i="5"/>
  <c r="O23" i="4"/>
  <c r="P23" s="1"/>
  <c r="Q23" s="1"/>
  <c r="R23" s="1"/>
  <c r="S23" s="1"/>
  <c r="T23" s="1"/>
  <c r="U23" s="1"/>
  <c r="V23" s="1"/>
  <c r="W23" s="1"/>
  <c r="X23" s="1"/>
  <c r="Y23" s="1"/>
  <c r="Z23" s="1"/>
  <c r="AA23" s="1"/>
  <c r="AB23" s="1"/>
  <c r="AC23" s="1"/>
  <c r="AD23" s="1"/>
  <c r="AE23" s="1"/>
  <c r="AF23" s="1"/>
  <c r="AG23" s="1"/>
  <c r="AH23" s="1"/>
  <c r="AI23" s="1"/>
  <c r="AJ23" s="1"/>
  <c r="AK23" s="1"/>
  <c r="AL23" s="1"/>
  <c r="AM23" s="1"/>
  <c r="AN23" s="1"/>
  <c r="AO23" s="1"/>
  <c r="AP23" s="1"/>
  <c r="AQ23" s="1"/>
  <c r="O21"/>
  <c r="P21" s="1"/>
  <c r="Q21" s="1"/>
  <c r="R21" s="1"/>
  <c r="S21" s="1"/>
  <c r="T21" s="1"/>
  <c r="U21" s="1"/>
  <c r="V21" s="1"/>
  <c r="W21" s="1"/>
  <c r="X21" s="1"/>
  <c r="Y21" s="1"/>
  <c r="Z21" s="1"/>
  <c r="AA21" s="1"/>
  <c r="AB21" s="1"/>
  <c r="AC21" s="1"/>
  <c r="AD21" s="1"/>
  <c r="AE21" s="1"/>
  <c r="AF21" s="1"/>
  <c r="AG21" s="1"/>
  <c r="AH21" s="1"/>
  <c r="AI21" s="1"/>
  <c r="AJ21" s="1"/>
  <c r="AK21" s="1"/>
  <c r="AL21" s="1"/>
  <c r="AM21" s="1"/>
  <c r="AN21" s="1"/>
  <c r="AO21" s="1"/>
  <c r="AP21" s="1"/>
  <c r="AQ21" s="1"/>
  <c r="C17" i="30"/>
  <c r="D17"/>
  <c r="D25"/>
  <c r="D73"/>
  <c r="B40"/>
  <c r="D38"/>
  <c r="D30"/>
  <c r="D22"/>
  <c r="D16"/>
  <c r="O14" i="4"/>
  <c r="P14" s="1"/>
  <c r="Q14" s="1"/>
  <c r="R14" s="1"/>
  <c r="S14" s="1"/>
  <c r="T14" s="1"/>
  <c r="U14" s="1"/>
  <c r="V14" s="1"/>
  <c r="W14" s="1"/>
  <c r="X14" s="1"/>
  <c r="Y14" s="1"/>
  <c r="Z14" s="1"/>
  <c r="AA14" s="1"/>
  <c r="AB14" s="1"/>
  <c r="AC14" s="1"/>
  <c r="AD14" s="1"/>
  <c r="AE14" s="1"/>
  <c r="AF14" s="1"/>
  <c r="AG14" s="1"/>
  <c r="AH14" s="1"/>
  <c r="AI14" s="1"/>
  <c r="AJ14" s="1"/>
  <c r="AK14" s="1"/>
  <c r="AL14" s="1"/>
  <c r="AM14" s="1"/>
  <c r="AN14" s="1"/>
  <c r="AO14" s="1"/>
  <c r="AP14" s="1"/>
  <c r="AQ14" s="1"/>
  <c r="O32"/>
  <c r="P32" s="1"/>
  <c r="Q32" s="1"/>
  <c r="R32" s="1"/>
  <c r="S32" s="1"/>
  <c r="T32" s="1"/>
  <c r="U32" s="1"/>
  <c r="V32" s="1"/>
  <c r="W32" s="1"/>
  <c r="X32" s="1"/>
  <c r="Y32" s="1"/>
  <c r="Z32" s="1"/>
  <c r="AA32" s="1"/>
  <c r="AB32" s="1"/>
  <c r="AC32" s="1"/>
  <c r="AD32" s="1"/>
  <c r="AE32" s="1"/>
  <c r="AF32" s="1"/>
  <c r="AG32" s="1"/>
  <c r="AH32" s="1"/>
  <c r="AI32" s="1"/>
  <c r="AJ32" s="1"/>
  <c r="AK32" s="1"/>
  <c r="AL32" s="1"/>
  <c r="AM32" s="1"/>
  <c r="AN32" s="1"/>
  <c r="AO32" s="1"/>
  <c r="AP32" s="1"/>
  <c r="AQ32" s="1"/>
  <c r="AH121" i="5"/>
  <c r="AF121"/>
  <c r="AD121"/>
  <c r="AB121"/>
  <c r="Z121"/>
  <c r="X121"/>
  <c r="V121"/>
  <c r="T121"/>
  <c r="R121"/>
  <c r="P121"/>
  <c r="N121"/>
  <c r="L121"/>
  <c r="J121"/>
  <c r="H121"/>
  <c r="F121"/>
  <c r="O29" i="4"/>
  <c r="P29" s="1"/>
  <c r="Q29" s="1"/>
  <c r="R29" s="1"/>
  <c r="S29" s="1"/>
  <c r="T29" s="1"/>
  <c r="U29" s="1"/>
  <c r="V29" s="1"/>
  <c r="B23" i="30"/>
  <c r="E10" i="4"/>
  <c r="E14"/>
  <c r="E18"/>
  <c r="E22"/>
  <c r="N25"/>
  <c r="O16"/>
  <c r="P16" s="1"/>
  <c r="Q16" s="1"/>
  <c r="R16" s="1"/>
  <c r="S16" s="1"/>
  <c r="T16" s="1"/>
  <c r="U16" s="1"/>
  <c r="V16" s="1"/>
  <c r="W16" s="1"/>
  <c r="X16" s="1"/>
  <c r="Y16" s="1"/>
  <c r="Z16" s="1"/>
  <c r="AA16" s="1"/>
  <c r="AB16" s="1"/>
  <c r="AC16" s="1"/>
  <c r="AD16" s="1"/>
  <c r="AE16" s="1"/>
  <c r="AF16" s="1"/>
  <c r="AG16" s="1"/>
  <c r="AH16" s="1"/>
  <c r="AI16" s="1"/>
  <c r="AJ16" s="1"/>
  <c r="AK16" s="1"/>
  <c r="AL16" s="1"/>
  <c r="AM16" s="1"/>
  <c r="AN16" s="1"/>
  <c r="AO16" s="1"/>
  <c r="AP16" s="1"/>
  <c r="AQ16" s="1"/>
  <c r="O37"/>
  <c r="P37" s="1"/>
  <c r="Q37" s="1"/>
  <c r="R37" s="1"/>
  <c r="S37" s="1"/>
  <c r="T37" s="1"/>
  <c r="U37" s="1"/>
  <c r="V37" s="1"/>
  <c r="W37" s="1"/>
  <c r="X37" s="1"/>
  <c r="Y37" s="1"/>
  <c r="Z37" s="1"/>
  <c r="AA37" s="1"/>
  <c r="AB37" s="1"/>
  <c r="AC37" s="1"/>
  <c r="AD37" s="1"/>
  <c r="AE37" s="1"/>
  <c r="AF37" s="1"/>
  <c r="AG37" s="1"/>
  <c r="AH37" s="1"/>
  <c r="AI37" s="1"/>
  <c r="AJ37" s="1"/>
  <c r="AK37" s="1"/>
  <c r="AL37" s="1"/>
  <c r="AM37" s="1"/>
  <c r="AN37" s="1"/>
  <c r="AO37" s="1"/>
  <c r="AP37" s="1"/>
  <c r="AQ37" s="1"/>
  <c r="O40"/>
  <c r="P40" s="1"/>
  <c r="Q40" s="1"/>
  <c r="R40" s="1"/>
  <c r="S40" s="1"/>
  <c r="T40" s="1"/>
  <c r="U40" s="1"/>
  <c r="V40" s="1"/>
  <c r="W40" s="1"/>
  <c r="X40" s="1"/>
  <c r="Y40" s="1"/>
  <c r="Z40" s="1"/>
  <c r="AA40" s="1"/>
  <c r="AB40" s="1"/>
  <c r="AC40" s="1"/>
  <c r="AD40" s="1"/>
  <c r="AE40" s="1"/>
  <c r="AF40" s="1"/>
  <c r="AG40" s="1"/>
  <c r="AH40" s="1"/>
  <c r="AI40" s="1"/>
  <c r="AJ40" s="1"/>
  <c r="AK40" s="1"/>
  <c r="AL40" s="1"/>
  <c r="AM40" s="1"/>
  <c r="AN40" s="1"/>
  <c r="AO40" s="1"/>
  <c r="AP40" s="1"/>
  <c r="AQ40" s="1"/>
  <c r="O20"/>
  <c r="P20" s="1"/>
  <c r="Q20" s="1"/>
  <c r="R20" s="1"/>
  <c r="S20" s="1"/>
  <c r="T20" s="1"/>
  <c r="U20" s="1"/>
  <c r="V20" s="1"/>
  <c r="W20" s="1"/>
  <c r="X20" s="1"/>
  <c r="Y20" s="1"/>
  <c r="Z20" s="1"/>
  <c r="AA20" s="1"/>
  <c r="AB20" s="1"/>
  <c r="AC20" s="1"/>
  <c r="AD20" s="1"/>
  <c r="AE20" s="1"/>
  <c r="AF20" s="1"/>
  <c r="AG20" s="1"/>
  <c r="AH20" s="1"/>
  <c r="AI20" s="1"/>
  <c r="AJ20" s="1"/>
  <c r="AK20" s="1"/>
  <c r="AL20" s="1"/>
  <c r="AM20" s="1"/>
  <c r="AN20" s="1"/>
  <c r="AO20" s="1"/>
  <c r="AP20" s="1"/>
  <c r="AQ20" s="1"/>
  <c r="O36"/>
  <c r="P36" s="1"/>
  <c r="Q36" s="1"/>
  <c r="R36" s="1"/>
  <c r="S36" s="1"/>
  <c r="T36" s="1"/>
  <c r="U36" s="1"/>
  <c r="V36" s="1"/>
  <c r="W36" s="1"/>
  <c r="X36" s="1"/>
  <c r="Y36" s="1"/>
  <c r="Z36" s="1"/>
  <c r="AA36" s="1"/>
  <c r="AB36" s="1"/>
  <c r="AC36" s="1"/>
  <c r="AD36" s="1"/>
  <c r="AE36" s="1"/>
  <c r="AF36" s="1"/>
  <c r="AG36" s="1"/>
  <c r="AH36" s="1"/>
  <c r="AI36" s="1"/>
  <c r="AJ36" s="1"/>
  <c r="AK36" s="1"/>
  <c r="AL36" s="1"/>
  <c r="AM36" s="1"/>
  <c r="AN36" s="1"/>
  <c r="AO36" s="1"/>
  <c r="AP36" s="1"/>
  <c r="AQ36" s="1"/>
  <c r="O38"/>
  <c r="P38" s="1"/>
  <c r="Q38" s="1"/>
  <c r="R38" s="1"/>
  <c r="S38" s="1"/>
  <c r="T38" s="1"/>
  <c r="U38" s="1"/>
  <c r="V38" s="1"/>
  <c r="W38" s="1"/>
  <c r="X38" s="1"/>
  <c r="Y38" s="1"/>
  <c r="Z38" s="1"/>
  <c r="AA38" s="1"/>
  <c r="AB38" s="1"/>
  <c r="AC38" s="1"/>
  <c r="AD38" s="1"/>
  <c r="AE38" s="1"/>
  <c r="AF38" s="1"/>
  <c r="AG38" s="1"/>
  <c r="AH38" s="1"/>
  <c r="AI38" s="1"/>
  <c r="AJ38" s="1"/>
  <c r="AK38" s="1"/>
  <c r="AL38" s="1"/>
  <c r="AM38" s="1"/>
  <c r="AN38" s="1"/>
  <c r="AO38" s="1"/>
  <c r="AP38" s="1"/>
  <c r="AQ38" s="1"/>
  <c r="O39"/>
  <c r="P39" s="1"/>
  <c r="Q39" s="1"/>
  <c r="R39" s="1"/>
  <c r="S39" s="1"/>
  <c r="T39" s="1"/>
  <c r="U39" s="1"/>
  <c r="V39" s="1"/>
  <c r="W39" s="1"/>
  <c r="X39" s="1"/>
  <c r="Y39" s="1"/>
  <c r="Z39" s="1"/>
  <c r="AA39" s="1"/>
  <c r="AB39" s="1"/>
  <c r="AC39" s="1"/>
  <c r="AD39" s="1"/>
  <c r="AE39" s="1"/>
  <c r="AF39" s="1"/>
  <c r="AG39" s="1"/>
  <c r="AH39" s="1"/>
  <c r="AI39" s="1"/>
  <c r="AJ39" s="1"/>
  <c r="AK39" s="1"/>
  <c r="AL39" s="1"/>
  <c r="AM39" s="1"/>
  <c r="AN39" s="1"/>
  <c r="AO39" s="1"/>
  <c r="AP39" s="1"/>
  <c r="AQ39" s="1"/>
  <c r="O17"/>
  <c r="P17" s="1"/>
  <c r="Q17" s="1"/>
  <c r="R17" s="1"/>
  <c r="S17" s="1"/>
  <c r="T17" s="1"/>
  <c r="U17" s="1"/>
  <c r="V17" s="1"/>
  <c r="W17" s="1"/>
  <c r="X17" s="1"/>
  <c r="Y17" s="1"/>
  <c r="Z17" s="1"/>
  <c r="AA17" s="1"/>
  <c r="AB17" s="1"/>
  <c r="AC17" s="1"/>
  <c r="AD17" s="1"/>
  <c r="AE17" s="1"/>
  <c r="AF17" s="1"/>
  <c r="AG17" s="1"/>
  <c r="AH17" s="1"/>
  <c r="AI17" s="1"/>
  <c r="AJ17" s="1"/>
  <c r="AK17" s="1"/>
  <c r="AL17" s="1"/>
  <c r="AM17" s="1"/>
  <c r="AN17" s="1"/>
  <c r="AO17" s="1"/>
  <c r="AP17" s="1"/>
  <c r="AQ17" s="1"/>
  <c r="D77" i="30"/>
  <c r="C40"/>
  <c r="B94" s="1"/>
  <c r="E17"/>
  <c r="C16"/>
  <c r="B89" s="1"/>
  <c r="C14"/>
  <c r="C27"/>
  <c r="B92" s="1"/>
  <c r="E111" i="5"/>
  <c r="N11" i="28"/>
  <c r="G26"/>
  <c r="H26" s="1"/>
  <c r="I26" s="1"/>
  <c r="J26" s="1"/>
  <c r="K26" s="1"/>
  <c r="L26" s="1"/>
  <c r="M26" s="1"/>
  <c r="N26" s="1"/>
  <c r="O26" s="1"/>
  <c r="P26" s="1"/>
  <c r="Q26" s="1"/>
  <c r="R26" s="1"/>
  <c r="S26" s="1"/>
  <c r="T26" s="1"/>
  <c r="U26" s="1"/>
  <c r="V26" s="1"/>
  <c r="W26" s="1"/>
  <c r="X26" s="1"/>
  <c r="Y26" s="1"/>
  <c r="Z26" s="1"/>
  <c r="AA26" s="1"/>
  <c r="AB26" s="1"/>
  <c r="AC26" s="1"/>
  <c r="AD26" s="1"/>
  <c r="AE26" s="1"/>
  <c r="AF26" s="1"/>
  <c r="AG26" s="1"/>
  <c r="F41"/>
  <c r="F60" s="1"/>
  <c r="H15"/>
  <c r="I15" s="1"/>
  <c r="J15" s="1"/>
  <c r="K15" s="1"/>
  <c r="L15" s="1"/>
  <c r="M15" s="1"/>
  <c r="N15" s="1"/>
  <c r="O15" s="1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G41"/>
  <c r="G60" s="1"/>
  <c r="O19" i="27"/>
  <c r="P11"/>
  <c r="I14" i="28"/>
  <c r="H41"/>
  <c r="H60" s="1"/>
  <c r="H61" s="1"/>
  <c r="A41" i="7"/>
  <c r="C40"/>
  <c r="G40"/>
  <c r="D40"/>
  <c r="G39"/>
  <c r="I39"/>
  <c r="E39"/>
  <c r="H38"/>
  <c r="E38"/>
  <c r="B38"/>
  <c r="E37"/>
  <c r="C37"/>
  <c r="B37"/>
  <c r="I37"/>
  <c r="F61" i="28"/>
  <c r="G61"/>
  <c r="I23" i="27"/>
  <c r="E59" i="28" s="1"/>
  <c r="E61" s="1"/>
  <c r="N23" i="27"/>
  <c r="J59" i="28" s="1"/>
  <c r="O19" i="4"/>
  <c r="P19" s="1"/>
  <c r="Q19" s="1"/>
  <c r="R19" s="1"/>
  <c r="S19" s="1"/>
  <c r="T19" s="1"/>
  <c r="U19" s="1"/>
  <c r="V19" s="1"/>
  <c r="W19" s="1"/>
  <c r="X19" s="1"/>
  <c r="Y19" s="1"/>
  <c r="Z19" s="1"/>
  <c r="AA19" s="1"/>
  <c r="AB19" s="1"/>
  <c r="AC19" s="1"/>
  <c r="AD19" s="1"/>
  <c r="AE19" s="1"/>
  <c r="AF19" s="1"/>
  <c r="AG19" s="1"/>
  <c r="AH19" s="1"/>
  <c r="AI19" s="1"/>
  <c r="AJ19" s="1"/>
  <c r="AK19" s="1"/>
  <c r="AL19" s="1"/>
  <c r="AM19" s="1"/>
  <c r="AN19" s="1"/>
  <c r="AO19" s="1"/>
  <c r="AP19" s="1"/>
  <c r="AQ19" s="1"/>
  <c r="O15"/>
  <c r="P15" s="1"/>
  <c r="Q15" s="1"/>
  <c r="R15" s="1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AL15" s="1"/>
  <c r="AM15" s="1"/>
  <c r="AN15" s="1"/>
  <c r="AO15" s="1"/>
  <c r="AP15" s="1"/>
  <c r="AQ15" s="1"/>
  <c r="M130" i="2"/>
  <c r="M126"/>
  <c r="M124"/>
  <c r="M122"/>
  <c r="M119"/>
  <c r="M115"/>
  <c r="M113"/>
  <c r="M109"/>
  <c r="M107"/>
  <c r="M103"/>
  <c r="M99"/>
  <c r="M95"/>
  <c r="M93"/>
  <c r="M89"/>
  <c r="M87"/>
  <c r="M85"/>
  <c r="M81"/>
  <c r="M78"/>
  <c r="M76"/>
  <c r="M74"/>
  <c r="M72"/>
  <c r="M70"/>
  <c r="M66"/>
  <c r="M63"/>
  <c r="M61"/>
  <c r="M59"/>
  <c r="M57"/>
  <c r="M55"/>
  <c r="M53"/>
  <c r="M48"/>
  <c r="M46"/>
  <c r="M44"/>
  <c r="M42"/>
  <c r="M40"/>
  <c r="M38"/>
  <c r="M36"/>
  <c r="M34"/>
  <c r="M32"/>
  <c r="M30"/>
  <c r="M28"/>
  <c r="M23"/>
  <c r="M21"/>
  <c r="M19"/>
  <c r="L130"/>
  <c r="O130"/>
  <c r="I133"/>
  <c r="M128"/>
  <c r="M125"/>
  <c r="M123"/>
  <c r="M121"/>
  <c r="M116"/>
  <c r="M114"/>
  <c r="M110"/>
  <c r="M108"/>
  <c r="M104"/>
  <c r="M102"/>
  <c r="M98"/>
  <c r="M94"/>
  <c r="M90"/>
  <c r="M88"/>
  <c r="M86"/>
  <c r="M84"/>
  <c r="M79"/>
  <c r="M77"/>
  <c r="M75"/>
  <c r="M73"/>
  <c r="M71"/>
  <c r="M69"/>
  <c r="M65"/>
  <c r="M62"/>
  <c r="M60"/>
  <c r="M58"/>
  <c r="M56"/>
  <c r="M54"/>
  <c r="M50"/>
  <c r="M47"/>
  <c r="M45"/>
  <c r="M43"/>
  <c r="M41"/>
  <c r="M39"/>
  <c r="M37"/>
  <c r="M35"/>
  <c r="M33"/>
  <c r="M31"/>
  <c r="M29"/>
  <c r="M25"/>
  <c r="M22"/>
  <c r="M20"/>
  <c r="M18"/>
  <c r="K130"/>
  <c r="H23" i="27"/>
  <c r="D59" i="28" s="1"/>
  <c r="D61" s="1"/>
  <c r="E11" i="4"/>
  <c r="E13"/>
  <c r="E15"/>
  <c r="E17"/>
  <c r="E19"/>
  <c r="E21"/>
  <c r="D26" i="5"/>
  <c r="F65" i="28"/>
  <c r="F64"/>
  <c r="F66"/>
  <c r="C38" i="30"/>
  <c r="C33"/>
  <c r="AG111" i="5"/>
  <c r="AE111"/>
  <c r="AC111"/>
  <c r="AA111"/>
  <c r="Y111"/>
  <c r="W111"/>
  <c r="U111"/>
  <c r="S111"/>
  <c r="Q111"/>
  <c r="O111"/>
  <c r="M111"/>
  <c r="K111"/>
  <c r="I111"/>
  <c r="G111"/>
  <c r="P25" i="3"/>
  <c r="P48"/>
  <c r="Q48" s="1"/>
  <c r="R48" s="1"/>
  <c r="S48" s="1"/>
  <c r="T48" s="1"/>
  <c r="U48" s="1"/>
  <c r="V48" s="1"/>
  <c r="W48" s="1"/>
  <c r="X48" s="1"/>
  <c r="Y48" s="1"/>
  <c r="Z48" s="1"/>
  <c r="AA48" s="1"/>
  <c r="AB48" s="1"/>
  <c r="AC48" s="1"/>
  <c r="AD48" s="1"/>
  <c r="AE48" s="1"/>
  <c r="AF48" s="1"/>
  <c r="AG48" s="1"/>
  <c r="AH48" s="1"/>
  <c r="AI48" s="1"/>
  <c r="AJ48" s="1"/>
  <c r="AK48" s="1"/>
  <c r="AL48" s="1"/>
  <c r="AM48" s="1"/>
  <c r="AN48" s="1"/>
  <c r="AO48" s="1"/>
  <c r="AP48" s="1"/>
  <c r="AQ48" s="1"/>
  <c r="O56"/>
  <c r="O58" s="1"/>
  <c r="N56"/>
  <c r="N58" s="1"/>
  <c r="N38"/>
  <c r="O36"/>
  <c r="N40"/>
  <c r="B33" i="31" s="1"/>
  <c r="P29" i="3"/>
  <c r="O13" i="4"/>
  <c r="P13" s="1"/>
  <c r="Q13" s="1"/>
  <c r="R13" s="1"/>
  <c r="S13" s="1"/>
  <c r="T13" s="1"/>
  <c r="U13" s="1"/>
  <c r="V13" s="1"/>
  <c r="W13" s="1"/>
  <c r="X13" s="1"/>
  <c r="Y13" s="1"/>
  <c r="Z13" s="1"/>
  <c r="AA13" s="1"/>
  <c r="AB13" s="1"/>
  <c r="AC13" s="1"/>
  <c r="AD13" s="1"/>
  <c r="AE13" s="1"/>
  <c r="AF13" s="1"/>
  <c r="AG13" s="1"/>
  <c r="AH13" s="1"/>
  <c r="AI13" s="1"/>
  <c r="AJ13" s="1"/>
  <c r="AK13" s="1"/>
  <c r="AL13" s="1"/>
  <c r="AM13" s="1"/>
  <c r="AN13" s="1"/>
  <c r="AO13" s="1"/>
  <c r="AP13" s="1"/>
  <c r="AQ13" s="1"/>
  <c r="P56" i="3"/>
  <c r="P58" s="1"/>
  <c r="N60"/>
  <c r="R15"/>
  <c r="S15" s="1"/>
  <c r="T15" s="1"/>
  <c r="U15" s="1"/>
  <c r="V15" s="1"/>
  <c r="W15" s="1"/>
  <c r="X15" s="1"/>
  <c r="Y15" s="1"/>
  <c r="Z15" s="1"/>
  <c r="AA15" s="1"/>
  <c r="AB15" s="1"/>
  <c r="AC15" s="1"/>
  <c r="AD15" s="1"/>
  <c r="AE15" s="1"/>
  <c r="AF15" s="1"/>
  <c r="AG15" s="1"/>
  <c r="AH15" s="1"/>
  <c r="AI15" s="1"/>
  <c r="AJ15" s="1"/>
  <c r="AK15" s="1"/>
  <c r="AL15" s="1"/>
  <c r="AM15" s="1"/>
  <c r="AN15" s="1"/>
  <c r="AO15" s="1"/>
  <c r="AP15" s="1"/>
  <c r="AQ15" s="1"/>
  <c r="Q25"/>
  <c r="S10"/>
  <c r="O44" i="4"/>
  <c r="E22" i="7"/>
  <c r="D22"/>
  <c r="O25" i="3"/>
  <c r="D13" i="5"/>
  <c r="D16"/>
  <c r="D20"/>
  <c r="D24"/>
  <c r="D30"/>
  <c r="D34"/>
  <c r="D38"/>
  <c r="D42"/>
  <c r="D44"/>
  <c r="D47"/>
  <c r="D51"/>
  <c r="D55"/>
  <c r="D61"/>
  <c r="B61" i="30" s="1"/>
  <c r="B62" s="1"/>
  <c r="D12" i="5"/>
  <c r="D14"/>
  <c r="D18"/>
  <c r="D22"/>
  <c r="D29"/>
  <c r="D33"/>
  <c r="D36"/>
  <c r="D41"/>
  <c r="D43"/>
  <c r="D45"/>
  <c r="D64" s="1"/>
  <c r="D49"/>
  <c r="D53"/>
  <c r="E109"/>
  <c r="E113" s="1"/>
  <c r="B40" i="31" s="1"/>
  <c r="O11" i="4"/>
  <c r="P11" s="1"/>
  <c r="Q11" s="1"/>
  <c r="R11" s="1"/>
  <c r="S11" s="1"/>
  <c r="T11" s="1"/>
  <c r="U11" s="1"/>
  <c r="V11" s="1"/>
  <c r="W11" s="1"/>
  <c r="X11" s="1"/>
  <c r="Y11" s="1"/>
  <c r="Z11" s="1"/>
  <c r="AA11" s="1"/>
  <c r="AB11" s="1"/>
  <c r="AC11" s="1"/>
  <c r="AD11" s="1"/>
  <c r="AE11" s="1"/>
  <c r="AF11" s="1"/>
  <c r="AG11" s="1"/>
  <c r="AH11" s="1"/>
  <c r="AI11" s="1"/>
  <c r="AJ11" s="1"/>
  <c r="AK11" s="1"/>
  <c r="AL11" s="1"/>
  <c r="AM11" s="1"/>
  <c r="AN11" s="1"/>
  <c r="AO11" s="1"/>
  <c r="AP11" s="1"/>
  <c r="AQ11" s="1"/>
  <c r="Q30"/>
  <c r="P44"/>
  <c r="D50" i="6"/>
  <c r="B74" i="30" s="1"/>
  <c r="B72"/>
  <c r="B10" i="31"/>
  <c r="B18" s="1"/>
  <c r="C65" i="1"/>
  <c r="W29" i="4"/>
  <c r="O22"/>
  <c r="P22" s="1"/>
  <c r="Q22" s="1"/>
  <c r="R22" s="1"/>
  <c r="S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AG22" s="1"/>
  <c r="AH22" s="1"/>
  <c r="AI22" s="1"/>
  <c r="AJ22" s="1"/>
  <c r="AK22" s="1"/>
  <c r="AL22" s="1"/>
  <c r="AM22" s="1"/>
  <c r="AN22" s="1"/>
  <c r="AO22" s="1"/>
  <c r="AP22" s="1"/>
  <c r="AQ22" s="1"/>
  <c r="O18"/>
  <c r="P18" s="1"/>
  <c r="Q18" s="1"/>
  <c r="R18" s="1"/>
  <c r="S18" s="1"/>
  <c r="T18" s="1"/>
  <c r="U18" s="1"/>
  <c r="V18" s="1"/>
  <c r="W18" s="1"/>
  <c r="X18" s="1"/>
  <c r="Y18" s="1"/>
  <c r="Z18" s="1"/>
  <c r="AA18" s="1"/>
  <c r="AB18" s="1"/>
  <c r="AC18" s="1"/>
  <c r="AD18" s="1"/>
  <c r="AE18" s="1"/>
  <c r="AF18" s="1"/>
  <c r="AG18" s="1"/>
  <c r="AH18" s="1"/>
  <c r="AI18" s="1"/>
  <c r="AJ18" s="1"/>
  <c r="AK18" s="1"/>
  <c r="AL18" s="1"/>
  <c r="AM18" s="1"/>
  <c r="AN18" s="1"/>
  <c r="AO18" s="1"/>
  <c r="AP18" s="1"/>
  <c r="AQ18" s="1"/>
  <c r="C61" i="30"/>
  <c r="O10" i="4"/>
  <c r="E93" i="5"/>
  <c r="E121" s="1"/>
  <c r="H59"/>
  <c r="G64"/>
  <c r="E114"/>
  <c r="C64" i="30"/>
  <c r="F64" i="5"/>
  <c r="C37" i="31"/>
  <c r="C60" i="30"/>
  <c r="D108" i="5"/>
  <c r="D109" s="1"/>
  <c r="B38" i="31"/>
  <c r="D111" i="5"/>
  <c r="C23" i="30" l="1"/>
  <c r="B90" s="1"/>
  <c r="D23"/>
  <c r="E23"/>
  <c r="B65"/>
  <c r="D55"/>
  <c r="B55"/>
  <c r="B54"/>
  <c r="D54"/>
  <c r="B39"/>
  <c r="E40"/>
  <c r="B42"/>
  <c r="D40"/>
  <c r="B35"/>
  <c r="C37"/>
  <c r="C41"/>
  <c r="N46" i="4"/>
  <c r="C32" i="31"/>
  <c r="E112" i="5"/>
  <c r="B49" i="30" s="1"/>
  <c r="O60" i="3"/>
  <c r="H65" i="28"/>
  <c r="H64"/>
  <c r="H66"/>
  <c r="P19" i="27"/>
  <c r="Q11"/>
  <c r="D66" i="28"/>
  <c r="D64"/>
  <c r="D65"/>
  <c r="E65"/>
  <c r="E66"/>
  <c r="E64"/>
  <c r="G66"/>
  <c r="G65"/>
  <c r="G64"/>
  <c r="F41" i="7"/>
  <c r="A42"/>
  <c r="G41"/>
  <c r="C41"/>
  <c r="D41"/>
  <c r="H41"/>
  <c r="B41"/>
  <c r="E41"/>
  <c r="I41"/>
  <c r="J14" i="28"/>
  <c r="I41"/>
  <c r="I60" s="1"/>
  <c r="I61" s="1"/>
  <c r="O21" i="27"/>
  <c r="O23"/>
  <c r="K59" i="28" s="1"/>
  <c r="O11"/>
  <c r="R25" i="3"/>
  <c r="O38"/>
  <c r="O40" s="1"/>
  <c r="O42" s="1"/>
  <c r="O44" s="1"/>
  <c r="P36"/>
  <c r="P38" s="1"/>
  <c r="Q29"/>
  <c r="N42"/>
  <c r="N62" s="1"/>
  <c r="E120" i="5"/>
  <c r="C39" i="31" s="1"/>
  <c r="P60" i="3"/>
  <c r="Q56"/>
  <c r="Q58" s="1"/>
  <c r="C83" i="30"/>
  <c r="B34" i="31"/>
  <c r="N44" i="3"/>
  <c r="B35" i="31" s="1"/>
  <c r="T10" i="3"/>
  <c r="S25"/>
  <c r="B66" i="30"/>
  <c r="B53"/>
  <c r="C53" s="1"/>
  <c r="D53"/>
  <c r="D118" i="5"/>
  <c r="B83" i="30"/>
  <c r="C67"/>
  <c r="E46"/>
  <c r="D46"/>
  <c r="C65"/>
  <c r="E74"/>
  <c r="D74"/>
  <c r="C132" i="2"/>
  <c r="C66" i="1"/>
  <c r="D72" i="30"/>
  <c r="E72"/>
  <c r="Q44" i="4"/>
  <c r="R30"/>
  <c r="P10"/>
  <c r="O25"/>
  <c r="O46" s="1"/>
  <c r="X29"/>
  <c r="G108" i="5"/>
  <c r="G118"/>
  <c r="F118"/>
  <c r="F108"/>
  <c r="I59"/>
  <c r="H64"/>
  <c r="D114"/>
  <c r="D112"/>
  <c r="D113"/>
  <c r="C62" i="30"/>
  <c r="B99"/>
  <c r="B34" l="1"/>
  <c r="C35"/>
  <c r="D42"/>
  <c r="E42"/>
  <c r="C42"/>
  <c r="B95" s="1"/>
  <c r="D39"/>
  <c r="E39"/>
  <c r="C39"/>
  <c r="C54"/>
  <c r="E54"/>
  <c r="C55"/>
  <c r="E55"/>
  <c r="N48" i="4"/>
  <c r="C35" i="31" s="1"/>
  <c r="C34"/>
  <c r="N50" i="4"/>
  <c r="C49" i="30"/>
  <c r="B96" s="1"/>
  <c r="D49"/>
  <c r="E49"/>
  <c r="F109" i="5"/>
  <c r="F114" s="1"/>
  <c r="I64" i="28"/>
  <c r="I65"/>
  <c r="I66"/>
  <c r="R11" i="27"/>
  <c r="Q19"/>
  <c r="P11" i="28"/>
  <c r="K14"/>
  <c r="J41"/>
  <c r="J60" s="1"/>
  <c r="J61" s="1"/>
  <c r="G42" i="7"/>
  <c r="E42"/>
  <c r="A43"/>
  <c r="H42"/>
  <c r="D42"/>
  <c r="I42"/>
  <c r="F42"/>
  <c r="C42"/>
  <c r="B42"/>
  <c r="P21" i="27"/>
  <c r="P23" s="1"/>
  <c r="L59" i="28" s="1"/>
  <c r="O62" i="3"/>
  <c r="P40"/>
  <c r="P42" s="1"/>
  <c r="P44" s="1"/>
  <c r="Q36"/>
  <c r="Q38" s="1"/>
  <c r="R29"/>
  <c r="Q60"/>
  <c r="R56"/>
  <c r="R58" s="1"/>
  <c r="D83" i="30"/>
  <c r="E83"/>
  <c r="B100"/>
  <c r="C66"/>
  <c r="U10" i="3"/>
  <c r="T25"/>
  <c r="B56" i="30"/>
  <c r="C56" s="1"/>
  <c r="E53"/>
  <c r="G109" i="5"/>
  <c r="Q10" i="4"/>
  <c r="P25"/>
  <c r="P46" s="1"/>
  <c r="Y29"/>
  <c r="O48"/>
  <c r="O50" s="1"/>
  <c r="F117" i="5" s="1"/>
  <c r="F119" s="1"/>
  <c r="S30" i="4"/>
  <c r="R44"/>
  <c r="H108" i="5"/>
  <c r="H118"/>
  <c r="J59"/>
  <c r="I64"/>
  <c r="C34" i="30" l="1"/>
  <c r="D34"/>
  <c r="E34"/>
  <c r="F112" i="5"/>
  <c r="C36" i="31"/>
  <c r="D117" i="5"/>
  <c r="D119" s="1"/>
  <c r="E117"/>
  <c r="E119" s="1"/>
  <c r="B47" i="30"/>
  <c r="F113" i="5"/>
  <c r="J64" i="28"/>
  <c r="J65"/>
  <c r="J66"/>
  <c r="Q11"/>
  <c r="R19" i="27"/>
  <c r="S11"/>
  <c r="F43" i="7"/>
  <c r="H43"/>
  <c r="C43"/>
  <c r="B43"/>
  <c r="I43"/>
  <c r="D43"/>
  <c r="E43"/>
  <c r="G43"/>
  <c r="A44"/>
  <c r="L14" i="28"/>
  <c r="K41"/>
  <c r="K60" s="1"/>
  <c r="K61" s="1"/>
  <c r="Q21" i="27"/>
  <c r="Q23"/>
  <c r="M59" i="28" s="1"/>
  <c r="P62" i="3"/>
  <c r="G114" i="5"/>
  <c r="G112"/>
  <c r="Q40" i="3"/>
  <c r="Q42" s="1"/>
  <c r="Q44" s="1"/>
  <c r="R36"/>
  <c r="R38" s="1"/>
  <c r="S29"/>
  <c r="S56"/>
  <c r="S58" s="1"/>
  <c r="R60"/>
  <c r="V10"/>
  <c r="U25"/>
  <c r="D56" i="30"/>
  <c r="B98" s="1"/>
  <c r="E56"/>
  <c r="G113" i="5"/>
  <c r="H109"/>
  <c r="F123"/>
  <c r="F122"/>
  <c r="F124"/>
  <c r="Z29" i="4"/>
  <c r="R10"/>
  <c r="Q25"/>
  <c r="Q46" s="1"/>
  <c r="T30"/>
  <c r="S44"/>
  <c r="P48"/>
  <c r="P50" s="1"/>
  <c r="G117" i="5" s="1"/>
  <c r="G119" s="1"/>
  <c r="I118"/>
  <c r="I108"/>
  <c r="K59"/>
  <c r="J64"/>
  <c r="C38" i="31" l="1"/>
  <c r="E124" i="5"/>
  <c r="E122"/>
  <c r="B50" i="30" s="1"/>
  <c r="E123" i="5"/>
  <c r="C40" i="31" s="1"/>
  <c r="D65" i="30"/>
  <c r="D62"/>
  <c r="E47"/>
  <c r="D64"/>
  <c r="D60"/>
  <c r="D66"/>
  <c r="D67"/>
  <c r="D47"/>
  <c r="D61"/>
  <c r="D123" i="5"/>
  <c r="D122"/>
  <c r="D124"/>
  <c r="M14" i="28"/>
  <c r="L41"/>
  <c r="L60" s="1"/>
  <c r="L61" s="1"/>
  <c r="T11" i="27"/>
  <c r="S19"/>
  <c r="R11" i="28"/>
  <c r="K64"/>
  <c r="K66"/>
  <c r="K65"/>
  <c r="D44" i="7"/>
  <c r="H44"/>
  <c r="B44"/>
  <c r="G44"/>
  <c r="E44"/>
  <c r="F44"/>
  <c r="A45"/>
  <c r="C44"/>
  <c r="I44"/>
  <c r="R21" i="27"/>
  <c r="R23"/>
  <c r="N59" i="28" s="1"/>
  <c r="Q62" i="3"/>
  <c r="H112" i="5"/>
  <c r="H113"/>
  <c r="R40" i="3"/>
  <c r="R42" s="1"/>
  <c r="S36"/>
  <c r="S38" s="1"/>
  <c r="T29"/>
  <c r="S60"/>
  <c r="T56"/>
  <c r="T58" s="1"/>
  <c r="W10"/>
  <c r="V25"/>
  <c r="H114" i="5"/>
  <c r="I109"/>
  <c r="G122"/>
  <c r="G123"/>
  <c r="G124"/>
  <c r="Q48" i="4"/>
  <c r="Q50" s="1"/>
  <c r="H117" i="5" s="1"/>
  <c r="H119" s="1"/>
  <c r="AA29" i="4"/>
  <c r="U30"/>
  <c r="T44"/>
  <c r="R25"/>
  <c r="R46" s="1"/>
  <c r="S10"/>
  <c r="L59" i="5"/>
  <c r="K64"/>
  <c r="J108"/>
  <c r="J118"/>
  <c r="D50" i="30" l="1"/>
  <c r="C50"/>
  <c r="B97" s="1"/>
  <c r="E50"/>
  <c r="U11" i="27"/>
  <c r="T19"/>
  <c r="N14" i="28"/>
  <c r="M41"/>
  <c r="M60" s="1"/>
  <c r="M61" s="1"/>
  <c r="C45" i="7"/>
  <c r="G45"/>
  <c r="B45"/>
  <c r="F45"/>
  <c r="E45"/>
  <c r="D45"/>
  <c r="I45"/>
  <c r="A46"/>
  <c r="H45"/>
  <c r="S11" i="28"/>
  <c r="S21" i="27"/>
  <c r="S23" s="1"/>
  <c r="O59" i="28" s="1"/>
  <c r="L66"/>
  <c r="L64"/>
  <c r="L65"/>
  <c r="R44" i="3"/>
  <c r="R62"/>
  <c r="S40"/>
  <c r="S42" s="1"/>
  <c r="T36"/>
  <c r="T38" s="1"/>
  <c r="U29"/>
  <c r="U56"/>
  <c r="U58" s="1"/>
  <c r="T60"/>
  <c r="I113" i="5"/>
  <c r="I114"/>
  <c r="X10" i="3"/>
  <c r="W25"/>
  <c r="J109" i="5"/>
  <c r="I112"/>
  <c r="R48" i="4"/>
  <c r="R50" s="1"/>
  <c r="I117" i="5" s="1"/>
  <c r="I119" s="1"/>
  <c r="V30" i="4"/>
  <c r="U44"/>
  <c r="AB29"/>
  <c r="H122" i="5"/>
  <c r="H123"/>
  <c r="H124"/>
  <c r="T10" i="4"/>
  <c r="S25"/>
  <c r="S46" s="1"/>
  <c r="K108" i="5"/>
  <c r="K118"/>
  <c r="M59"/>
  <c r="L64"/>
  <c r="O14" i="28" l="1"/>
  <c r="N41"/>
  <c r="N60" s="1"/>
  <c r="N61" s="1"/>
  <c r="V11" i="27"/>
  <c r="U19"/>
  <c r="T11" i="28"/>
  <c r="G46" i="7"/>
  <c r="E46"/>
  <c r="F46"/>
  <c r="A47"/>
  <c r="C46"/>
  <c r="I46"/>
  <c r="D46"/>
  <c r="H46"/>
  <c r="B46"/>
  <c r="M65" i="28"/>
  <c r="M66"/>
  <c r="M64"/>
  <c r="T23" i="27"/>
  <c r="P59" i="28" s="1"/>
  <c r="T21" i="27"/>
  <c r="S44" i="3"/>
  <c r="S62"/>
  <c r="T40"/>
  <c r="T42" s="1"/>
  <c r="T44" s="1"/>
  <c r="U36"/>
  <c r="U38" s="1"/>
  <c r="V29"/>
  <c r="U60"/>
  <c r="V56"/>
  <c r="V58" s="1"/>
  <c r="J114" i="5"/>
  <c r="J113"/>
  <c r="Y10" i="3"/>
  <c r="X25"/>
  <c r="J112" i="5"/>
  <c r="K109"/>
  <c r="I123"/>
  <c r="I124"/>
  <c r="I122"/>
  <c r="T25" i="4"/>
  <c r="T46" s="1"/>
  <c r="U10"/>
  <c r="AC29"/>
  <c r="W30"/>
  <c r="V44"/>
  <c r="S48"/>
  <c r="S50" s="1"/>
  <c r="J117" i="5" s="1"/>
  <c r="J119" s="1"/>
  <c r="L108"/>
  <c r="L118"/>
  <c r="N59"/>
  <c r="M64"/>
  <c r="D47" i="7" l="1"/>
  <c r="I47"/>
  <c r="A48"/>
  <c r="H47"/>
  <c r="C47"/>
  <c r="G47"/>
  <c r="B47"/>
  <c r="F47"/>
  <c r="E47"/>
  <c r="U11" i="28"/>
  <c r="U21" i="27"/>
  <c r="U23" s="1"/>
  <c r="Q59" i="28" s="1"/>
  <c r="N64"/>
  <c r="N66"/>
  <c r="N65"/>
  <c r="W11" i="27"/>
  <c r="V19"/>
  <c r="P14" i="28"/>
  <c r="O41"/>
  <c r="O60" s="1"/>
  <c r="O61" s="1"/>
  <c r="T62" i="3"/>
  <c r="U40"/>
  <c r="U42" s="1"/>
  <c r="V36"/>
  <c r="V38" s="1"/>
  <c r="W29"/>
  <c r="W56"/>
  <c r="W58" s="1"/>
  <c r="V60"/>
  <c r="Z10"/>
  <c r="Y25"/>
  <c r="K112" i="5"/>
  <c r="K114"/>
  <c r="K113"/>
  <c r="L109"/>
  <c r="J122"/>
  <c r="J123"/>
  <c r="J124"/>
  <c r="AD29" i="4"/>
  <c r="V10"/>
  <c r="U25"/>
  <c r="U46" s="1"/>
  <c r="X30"/>
  <c r="W44"/>
  <c r="T48"/>
  <c r="T50" s="1"/>
  <c r="K117" i="5" s="1"/>
  <c r="K119" s="1"/>
  <c r="O59"/>
  <c r="N64"/>
  <c r="M118"/>
  <c r="M108"/>
  <c r="Q14" i="28" l="1"/>
  <c r="P41"/>
  <c r="P60" s="1"/>
  <c r="P61" s="1"/>
  <c r="X11" i="27"/>
  <c r="W19"/>
  <c r="D48" i="7"/>
  <c r="H48"/>
  <c r="B48"/>
  <c r="G48"/>
  <c r="E48"/>
  <c r="F48"/>
  <c r="A49"/>
  <c r="C48"/>
  <c r="I48"/>
  <c r="O66" i="28"/>
  <c r="O64"/>
  <c r="O65"/>
  <c r="V21" i="27"/>
  <c r="V23"/>
  <c r="R59" i="28" s="1"/>
  <c r="V11"/>
  <c r="U44" i="3"/>
  <c r="U62"/>
  <c r="V40"/>
  <c r="V42" s="1"/>
  <c r="V44" s="1"/>
  <c r="W36"/>
  <c r="W38" s="1"/>
  <c r="X29"/>
  <c r="W60"/>
  <c r="X56"/>
  <c r="X58" s="1"/>
  <c r="AA10"/>
  <c r="Z25"/>
  <c r="L114" i="5"/>
  <c r="L112"/>
  <c r="L113"/>
  <c r="M109"/>
  <c r="K124"/>
  <c r="K122"/>
  <c r="K123"/>
  <c r="U48" i="4"/>
  <c r="U50" s="1"/>
  <c r="L117" i="5" s="1"/>
  <c r="L119" s="1"/>
  <c r="Y30" i="4"/>
  <c r="X44"/>
  <c r="W10"/>
  <c r="V25"/>
  <c r="V46" s="1"/>
  <c r="AE29"/>
  <c r="N118" i="5"/>
  <c r="N108"/>
  <c r="P59"/>
  <c r="O64"/>
  <c r="W21" i="27" l="1"/>
  <c r="W23"/>
  <c r="S59" i="28" s="1"/>
  <c r="P66"/>
  <c r="P65"/>
  <c r="P64"/>
  <c r="W11"/>
  <c r="C49" i="7"/>
  <c r="G49"/>
  <c r="B49"/>
  <c r="F49"/>
  <c r="E49"/>
  <c r="H49"/>
  <c r="D49"/>
  <c r="I49"/>
  <c r="A50"/>
  <c r="Y11" i="27"/>
  <c r="X19"/>
  <c r="R14" i="28"/>
  <c r="Q41"/>
  <c r="Q60" s="1"/>
  <c r="Q61" s="1"/>
  <c r="V62" i="3"/>
  <c r="W40"/>
  <c r="W42" s="1"/>
  <c r="W44" s="1"/>
  <c r="X36"/>
  <c r="X38" s="1"/>
  <c r="Y29"/>
  <c r="Y56"/>
  <c r="Y58" s="1"/>
  <c r="X60"/>
  <c r="AA25"/>
  <c r="AB10"/>
  <c r="M114" i="5"/>
  <c r="M112"/>
  <c r="M113"/>
  <c r="N109"/>
  <c r="L124"/>
  <c r="L123"/>
  <c r="L122"/>
  <c r="AF29" i="4"/>
  <c r="V48"/>
  <c r="V50" s="1"/>
  <c r="M117" i="5" s="1"/>
  <c r="M119" s="1"/>
  <c r="W25" i="4"/>
  <c r="W46" s="1"/>
  <c r="X10"/>
  <c r="Z30"/>
  <c r="Y44"/>
  <c r="O108" i="5"/>
  <c r="O118"/>
  <c r="Q59"/>
  <c r="P64"/>
  <c r="Q64" i="28" l="1"/>
  <c r="Q65"/>
  <c r="Q66"/>
  <c r="X21" i="27"/>
  <c r="X23" s="1"/>
  <c r="T59" i="28" s="1"/>
  <c r="C50" i="7"/>
  <c r="I50"/>
  <c r="D50"/>
  <c r="H50"/>
  <c r="B50"/>
  <c r="E50"/>
  <c r="F50"/>
  <c r="G50"/>
  <c r="A51"/>
  <c r="S14" i="28"/>
  <c r="R41"/>
  <c r="R60" s="1"/>
  <c r="R61" s="1"/>
  <c r="Y19" i="27"/>
  <c r="Z11"/>
  <c r="X11" i="28"/>
  <c r="W62" i="3"/>
  <c r="X40"/>
  <c r="X42" s="1"/>
  <c r="X44" s="1"/>
  <c r="Y36"/>
  <c r="Y38" s="1"/>
  <c r="Z29"/>
  <c r="Y60"/>
  <c r="Z56"/>
  <c r="Z58" s="1"/>
  <c r="AB25"/>
  <c r="AC10"/>
  <c r="N113" i="5"/>
  <c r="N112"/>
  <c r="N114"/>
  <c r="O109"/>
  <c r="Y10" i="4"/>
  <c r="X25"/>
  <c r="X46" s="1"/>
  <c r="M122" i="5"/>
  <c r="M123"/>
  <c r="M124"/>
  <c r="AA30" i="4"/>
  <c r="Z44"/>
  <c r="W48"/>
  <c r="W50" s="1"/>
  <c r="N117" i="5" s="1"/>
  <c r="N119" s="1"/>
  <c r="AG29" i="4"/>
  <c r="R59" i="5"/>
  <c r="Q64"/>
  <c r="P118"/>
  <c r="P108"/>
  <c r="Y21" i="27" l="1"/>
  <c r="Y23"/>
  <c r="U59" i="28" s="1"/>
  <c r="T14"/>
  <c r="S41"/>
  <c r="S60" s="1"/>
  <c r="S61" s="1"/>
  <c r="Y11"/>
  <c r="AA11" i="27"/>
  <c r="Z19"/>
  <c r="R65" i="28"/>
  <c r="R64"/>
  <c r="R66"/>
  <c r="D51" i="7"/>
  <c r="I51"/>
  <c r="D15" s="1"/>
  <c r="D17" s="1"/>
  <c r="C51"/>
  <c r="H51"/>
  <c r="G51"/>
  <c r="B51"/>
  <c r="F51"/>
  <c r="E51"/>
  <c r="X62" i="3"/>
  <c r="Y40"/>
  <c r="Y42" s="1"/>
  <c r="Y44" s="1"/>
  <c r="Z36"/>
  <c r="Z38" s="1"/>
  <c r="AA29"/>
  <c r="AA56"/>
  <c r="AA58" s="1"/>
  <c r="Z60"/>
  <c r="AD10"/>
  <c r="AC25"/>
  <c r="O114" i="5"/>
  <c r="O113"/>
  <c r="O112"/>
  <c r="P109"/>
  <c r="N124"/>
  <c r="N123"/>
  <c r="N122"/>
  <c r="Y25" i="4"/>
  <c r="Y46" s="1"/>
  <c r="Z10"/>
  <c r="AH29"/>
  <c r="AB30"/>
  <c r="AA44"/>
  <c r="X48"/>
  <c r="X50" s="1"/>
  <c r="O117" i="5" s="1"/>
  <c r="O119" s="1"/>
  <c r="S59"/>
  <c r="R64"/>
  <c r="Q108"/>
  <c r="Q118"/>
  <c r="Z21" i="27" l="1"/>
  <c r="Z23" s="1"/>
  <c r="V59" i="28" s="1"/>
  <c r="S66"/>
  <c r="S64"/>
  <c r="S65"/>
  <c r="D18" i="7"/>
  <c r="E21" s="1"/>
  <c r="C82" i="30"/>
  <c r="C84" s="1"/>
  <c r="D21" i="7"/>
  <c r="D23" s="1"/>
  <c r="AB11" i="27"/>
  <c r="AA19"/>
  <c r="Z11" i="28"/>
  <c r="U14"/>
  <c r="T41"/>
  <c r="T60" s="1"/>
  <c r="T61" s="1"/>
  <c r="Y62" i="3"/>
  <c r="Z40"/>
  <c r="Z42" s="1"/>
  <c r="Z44" s="1"/>
  <c r="AA36"/>
  <c r="AA38" s="1"/>
  <c r="AB29"/>
  <c r="AA60"/>
  <c r="AB56"/>
  <c r="AB58" s="1"/>
  <c r="AE10"/>
  <c r="AD25"/>
  <c r="P113" i="5"/>
  <c r="P112"/>
  <c r="P114"/>
  <c r="Q109"/>
  <c r="O122"/>
  <c r="O124"/>
  <c r="O123"/>
  <c r="AC30" i="4"/>
  <c r="AB44"/>
  <c r="Y48"/>
  <c r="Y50" s="1"/>
  <c r="P117" i="5" s="1"/>
  <c r="P119" s="1"/>
  <c r="AI29" i="4"/>
  <c r="AA10"/>
  <c r="Z25"/>
  <c r="Z46" s="1"/>
  <c r="R118" i="5"/>
  <c r="R108"/>
  <c r="T59"/>
  <c r="S64"/>
  <c r="T66" i="28" l="1"/>
  <c r="T64"/>
  <c r="T65"/>
  <c r="AA21" i="27"/>
  <c r="AA23"/>
  <c r="W59" i="28" s="1"/>
  <c r="B82" i="30"/>
  <c r="E23" i="7"/>
  <c r="V14" i="28"/>
  <c r="U41"/>
  <c r="U60" s="1"/>
  <c r="U61" s="1"/>
  <c r="AA11"/>
  <c r="AC11" i="27"/>
  <c r="AB19"/>
  <c r="Z62" i="3"/>
  <c r="AA40"/>
  <c r="AA42" s="1"/>
  <c r="AA44" s="1"/>
  <c r="AB36"/>
  <c r="AB38" s="1"/>
  <c r="AC29"/>
  <c r="AC56"/>
  <c r="AC58" s="1"/>
  <c r="AB60"/>
  <c r="AF10"/>
  <c r="AE25"/>
  <c r="Q114" i="5"/>
  <c r="Q112"/>
  <c r="Q113"/>
  <c r="R109"/>
  <c r="Z48" i="4"/>
  <c r="Z50" s="1"/>
  <c r="Q117" i="5" s="1"/>
  <c r="Q119" s="1"/>
  <c r="AB10" i="4"/>
  <c r="AA25"/>
  <c r="AA46" s="1"/>
  <c r="AJ29"/>
  <c r="P123" i="5"/>
  <c r="P124"/>
  <c r="P122"/>
  <c r="AD30" i="4"/>
  <c r="AC44"/>
  <c r="U59" i="5"/>
  <c r="T64"/>
  <c r="S108"/>
  <c r="S118"/>
  <c r="AD11" i="27" l="1"/>
  <c r="AC19"/>
  <c r="W14" i="28"/>
  <c r="V41"/>
  <c r="V60" s="1"/>
  <c r="V61" s="1"/>
  <c r="E82" i="30"/>
  <c r="E84" s="1"/>
  <c r="D82"/>
  <c r="D84" s="1"/>
  <c r="B84"/>
  <c r="AB21" i="27"/>
  <c r="AB23" s="1"/>
  <c r="X59" i="28" s="1"/>
  <c r="AB11"/>
  <c r="U65"/>
  <c r="U64"/>
  <c r="U66"/>
  <c r="AA62" i="3"/>
  <c r="AB40"/>
  <c r="AB42" s="1"/>
  <c r="AB44" s="1"/>
  <c r="AC36"/>
  <c r="AC38" s="1"/>
  <c r="AD29"/>
  <c r="AC60"/>
  <c r="AD56"/>
  <c r="AD58" s="1"/>
  <c r="R114" i="5"/>
  <c r="R112"/>
  <c r="R113"/>
  <c r="AG10" i="3"/>
  <c r="AF25"/>
  <c r="S109" i="5"/>
  <c r="Q124"/>
  <c r="Q123"/>
  <c r="Q122"/>
  <c r="AC10" i="4"/>
  <c r="AB25"/>
  <c r="AB46" s="1"/>
  <c r="AE30"/>
  <c r="AD44"/>
  <c r="AK29"/>
  <c r="AA48"/>
  <c r="AA50" s="1"/>
  <c r="R117" i="5" s="1"/>
  <c r="R119" s="1"/>
  <c r="V59"/>
  <c r="U64"/>
  <c r="T108"/>
  <c r="T118"/>
  <c r="X14" i="28" l="1"/>
  <c r="W41"/>
  <c r="W60" s="1"/>
  <c r="W61" s="1"/>
  <c r="AD19" i="27"/>
  <c r="AE11"/>
  <c r="AC11" i="28"/>
  <c r="V64"/>
  <c r="V65"/>
  <c r="V66"/>
  <c r="AC23" i="27"/>
  <c r="Y59" i="28" s="1"/>
  <c r="AC21" i="27"/>
  <c r="AB62" i="3"/>
  <c r="AC40"/>
  <c r="AC42" s="1"/>
  <c r="AC44" s="1"/>
  <c r="AD36"/>
  <c r="AD38" s="1"/>
  <c r="AE29"/>
  <c r="AE56"/>
  <c r="AE58" s="1"/>
  <c r="AD60"/>
  <c r="AG25"/>
  <c r="AH10"/>
  <c r="S114" i="5"/>
  <c r="S112"/>
  <c r="S113"/>
  <c r="T109"/>
  <c r="AL29" i="4"/>
  <c r="AF30"/>
  <c r="AE44"/>
  <c r="AB48"/>
  <c r="AB50" s="1"/>
  <c r="S117" i="5" s="1"/>
  <c r="S119" s="1"/>
  <c r="R122"/>
  <c r="R123"/>
  <c r="R124"/>
  <c r="AD10" i="4"/>
  <c r="AC25"/>
  <c r="AC46" s="1"/>
  <c r="U118" i="5"/>
  <c r="U108"/>
  <c r="W59"/>
  <c r="V64"/>
  <c r="AD11" i="28" l="1"/>
  <c r="AE19" i="27"/>
  <c r="AF11"/>
  <c r="W64" i="28"/>
  <c r="W65"/>
  <c r="W66"/>
  <c r="AD21" i="27"/>
  <c r="AD23"/>
  <c r="Z59" i="28" s="1"/>
  <c r="Y14"/>
  <c r="X41"/>
  <c r="X60" s="1"/>
  <c r="X61" s="1"/>
  <c r="AC62" i="3"/>
  <c r="AD40"/>
  <c r="AD42" s="1"/>
  <c r="AD44" s="1"/>
  <c r="AE36"/>
  <c r="AE38" s="1"/>
  <c r="AF29"/>
  <c r="AE60"/>
  <c r="AF56"/>
  <c r="AF58" s="1"/>
  <c r="AI10"/>
  <c r="AH25"/>
  <c r="T112" i="5"/>
  <c r="T114"/>
  <c r="T113"/>
  <c r="U109"/>
  <c r="AC48" i="4"/>
  <c r="AC50" s="1"/>
  <c r="T117" i="5" s="1"/>
  <c r="T119" s="1"/>
  <c r="AG30" i="4"/>
  <c r="AF44"/>
  <c r="AM29"/>
  <c r="AE10"/>
  <c r="AD25"/>
  <c r="AD46" s="1"/>
  <c r="S122" i="5"/>
  <c r="S124"/>
  <c r="S123"/>
  <c r="X59"/>
  <c r="W64"/>
  <c r="V108"/>
  <c r="V118"/>
  <c r="Z14" i="28" l="1"/>
  <c r="Y41"/>
  <c r="Y60" s="1"/>
  <c r="Y61" s="1"/>
  <c r="AE21" i="27"/>
  <c r="AE23"/>
  <c r="AA59" i="28" s="1"/>
  <c r="AE11"/>
  <c r="X64"/>
  <c r="X65"/>
  <c r="X66"/>
  <c r="AG11" i="27"/>
  <c r="AF19"/>
  <c r="AD62" i="3"/>
  <c r="AE40"/>
  <c r="AE42" s="1"/>
  <c r="AE44" s="1"/>
  <c r="AF36"/>
  <c r="AF38" s="1"/>
  <c r="AG29"/>
  <c r="AG56"/>
  <c r="AG58" s="1"/>
  <c r="AF60"/>
  <c r="AJ10"/>
  <c r="AI25"/>
  <c r="U112" i="5"/>
  <c r="U113"/>
  <c r="U114"/>
  <c r="V109"/>
  <c r="T124"/>
  <c r="T122"/>
  <c r="T123"/>
  <c r="AE25" i="4"/>
  <c r="AE46" s="1"/>
  <c r="AF10"/>
  <c r="AH30"/>
  <c r="AG44"/>
  <c r="AD48"/>
  <c r="AD50" s="1"/>
  <c r="U117" i="5" s="1"/>
  <c r="U119" s="1"/>
  <c r="AN29" i="4"/>
  <c r="Y59" i="5"/>
  <c r="X64"/>
  <c r="W118"/>
  <c r="W108"/>
  <c r="AF21" i="27" l="1"/>
  <c r="AF23" s="1"/>
  <c r="AB59" i="28" s="1"/>
  <c r="AF11"/>
  <c r="AA14"/>
  <c r="Z41"/>
  <c r="Z60" s="1"/>
  <c r="Z61" s="1"/>
  <c r="AH11" i="27"/>
  <c r="AG19"/>
  <c r="Y66" i="28"/>
  <c r="Y65"/>
  <c r="Y64"/>
  <c r="AE62" i="3"/>
  <c r="AF40"/>
  <c r="AF42" s="1"/>
  <c r="AF44" s="1"/>
  <c r="AG36"/>
  <c r="AG38" s="1"/>
  <c r="AH29"/>
  <c r="AG60"/>
  <c r="AH56"/>
  <c r="AH58" s="1"/>
  <c r="AJ25"/>
  <c r="AK10"/>
  <c r="V112" i="5"/>
  <c r="V113"/>
  <c r="V114"/>
  <c r="W109"/>
  <c r="U122"/>
  <c r="U124"/>
  <c r="U123"/>
  <c r="AO29" i="4"/>
  <c r="AF25"/>
  <c r="AF46" s="1"/>
  <c r="AG10"/>
  <c r="AI30"/>
  <c r="AH44"/>
  <c r="AE48"/>
  <c r="AE50" s="1"/>
  <c r="V117" i="5" s="1"/>
  <c r="V119" s="1"/>
  <c r="X108"/>
  <c r="X118"/>
  <c r="Z59"/>
  <c r="Y64"/>
  <c r="AH19" i="27" l="1"/>
  <c r="AI11"/>
  <c r="AB14" i="28"/>
  <c r="AA41"/>
  <c r="AA60" s="1"/>
  <c r="AA61" s="1"/>
  <c r="AG21" i="27"/>
  <c r="AG23"/>
  <c r="AC59" i="28" s="1"/>
  <c r="Z64"/>
  <c r="Z65"/>
  <c r="Z66"/>
  <c r="AG11"/>
  <c r="AF62" i="3"/>
  <c r="AG40"/>
  <c r="AG42" s="1"/>
  <c r="AG44" s="1"/>
  <c r="AH36"/>
  <c r="AH38" s="1"/>
  <c r="AI29"/>
  <c r="AI56"/>
  <c r="AI58" s="1"/>
  <c r="AH60"/>
  <c r="AL10"/>
  <c r="AK25"/>
  <c r="W112" i="5"/>
  <c r="W113"/>
  <c r="W114"/>
  <c r="X109"/>
  <c r="V122"/>
  <c r="V123"/>
  <c r="V124"/>
  <c r="AJ30" i="4"/>
  <c r="AI44"/>
  <c r="AH10"/>
  <c r="AG25"/>
  <c r="AG46" s="1"/>
  <c r="AP29"/>
  <c r="AF48"/>
  <c r="AF50" s="1"/>
  <c r="W117" i="5" s="1"/>
  <c r="W119" s="1"/>
  <c r="AA59"/>
  <c r="Z64"/>
  <c r="Y118"/>
  <c r="Y108"/>
  <c r="AA64" i="28" l="1"/>
  <c r="AA65"/>
  <c r="AA66"/>
  <c r="AJ11" i="27"/>
  <c r="AI19"/>
  <c r="AC14" i="28"/>
  <c r="AB41"/>
  <c r="AB60" s="1"/>
  <c r="AB61" s="1"/>
  <c r="AH21" i="27"/>
  <c r="AH23"/>
  <c r="AD59" i="28" s="1"/>
  <c r="AG62" i="3"/>
  <c r="AH40"/>
  <c r="AH42" s="1"/>
  <c r="AH44" s="1"/>
  <c r="AI36"/>
  <c r="AI38" s="1"/>
  <c r="AJ29"/>
  <c r="AI60"/>
  <c r="AJ56"/>
  <c r="AJ58" s="1"/>
  <c r="X112" i="5"/>
  <c r="X113"/>
  <c r="X114"/>
  <c r="AM10" i="3"/>
  <c r="AL25"/>
  <c r="Y109" i="5"/>
  <c r="W123"/>
  <c r="W122"/>
  <c r="W124"/>
  <c r="AG48" i="4"/>
  <c r="AG50" s="1"/>
  <c r="X117" i="5" s="1"/>
  <c r="X119" s="1"/>
  <c r="AQ29" i="4"/>
  <c r="AI10"/>
  <c r="AH25"/>
  <c r="AH46" s="1"/>
  <c r="AK30"/>
  <c r="AJ44"/>
  <c r="AB59" i="5"/>
  <c r="AA64"/>
  <c r="Z118"/>
  <c r="Z108"/>
  <c r="AB64" i="28" l="1"/>
  <c r="AB65"/>
  <c r="AB66"/>
  <c r="AI21" i="27"/>
  <c r="AI23" s="1"/>
  <c r="AE59" i="28" s="1"/>
  <c r="AD14"/>
  <c r="AC41"/>
  <c r="AC60" s="1"/>
  <c r="AC61" s="1"/>
  <c r="AK11" i="27"/>
  <c r="AK19" s="1"/>
  <c r="AJ19"/>
  <c r="AH62" i="3"/>
  <c r="AI62"/>
  <c r="AI40"/>
  <c r="AI42" s="1"/>
  <c r="AI44" s="1"/>
  <c r="AJ36"/>
  <c r="AJ38" s="1"/>
  <c r="AK29"/>
  <c r="AK56"/>
  <c r="AK58" s="1"/>
  <c r="AJ60"/>
  <c r="Y113" i="5"/>
  <c r="Y114"/>
  <c r="AM25" i="3"/>
  <c r="AN10"/>
  <c r="Y112" i="5"/>
  <c r="Z109"/>
  <c r="X122"/>
  <c r="X124"/>
  <c r="X123"/>
  <c r="AH48" i="4"/>
  <c r="AH50" s="1"/>
  <c r="Y117" i="5" s="1"/>
  <c r="Y119" s="1"/>
  <c r="AL30" i="4"/>
  <c r="AK44"/>
  <c r="AJ10"/>
  <c r="AI25"/>
  <c r="AI46" s="1"/>
  <c r="AA108" i="5"/>
  <c r="AA118"/>
  <c r="AC59"/>
  <c r="AB64"/>
  <c r="AK21" i="27" l="1"/>
  <c r="AK23"/>
  <c r="AG59" i="28" s="1"/>
  <c r="AE14"/>
  <c r="AD41"/>
  <c r="AD60" s="1"/>
  <c r="AD61" s="1"/>
  <c r="AJ21" i="27"/>
  <c r="AJ23" s="1"/>
  <c r="AF59" i="28" s="1"/>
  <c r="AC64"/>
  <c r="AC66"/>
  <c r="AC65"/>
  <c r="Z114" i="5"/>
  <c r="Z112"/>
  <c r="Z113"/>
  <c r="AJ40" i="3"/>
  <c r="AJ42" s="1"/>
  <c r="AJ44" s="1"/>
  <c r="AK36"/>
  <c r="AK38" s="1"/>
  <c r="AL29"/>
  <c r="AK60"/>
  <c r="AL56"/>
  <c r="AL58" s="1"/>
  <c r="AO10"/>
  <c r="AN25"/>
  <c r="AA109" i="5"/>
  <c r="Y122"/>
  <c r="Y123"/>
  <c r="Y124"/>
  <c r="AK10" i="4"/>
  <c r="AJ25"/>
  <c r="AJ46" s="1"/>
  <c r="AM30"/>
  <c r="AL44"/>
  <c r="AI48"/>
  <c r="AI50" s="1"/>
  <c r="Z117" i="5" s="1"/>
  <c r="Z119" s="1"/>
  <c r="AD59"/>
  <c r="AC64"/>
  <c r="AB118"/>
  <c r="AB108"/>
  <c r="AD65" i="28" l="1"/>
  <c r="AD66"/>
  <c r="AD64"/>
  <c r="AF14"/>
  <c r="AE41"/>
  <c r="AE60" s="1"/>
  <c r="AE61" s="1"/>
  <c r="AJ62" i="3"/>
  <c r="AB109" i="5"/>
  <c r="AB112" s="1"/>
  <c r="AK40" i="3"/>
  <c r="AK42" s="1"/>
  <c r="AK44" s="1"/>
  <c r="AL36"/>
  <c r="AL38" s="1"/>
  <c r="AM29"/>
  <c r="AM56"/>
  <c r="AM58" s="1"/>
  <c r="AL60"/>
  <c r="AA113" i="5"/>
  <c r="AA112"/>
  <c r="AO25" i="3"/>
  <c r="AP10"/>
  <c r="AA114" i="5"/>
  <c r="Z122"/>
  <c r="Z123"/>
  <c r="Z124"/>
  <c r="AJ48" i="4"/>
  <c r="AJ50" s="1"/>
  <c r="AA117" i="5" s="1"/>
  <c r="AA119" s="1"/>
  <c r="AN30" i="4"/>
  <c r="AM44"/>
  <c r="AL10"/>
  <c r="AK25"/>
  <c r="AK46" s="1"/>
  <c r="AE59" i="5"/>
  <c r="AD64"/>
  <c r="AC118"/>
  <c r="AC108"/>
  <c r="AC109" s="1"/>
  <c r="AB114" l="1"/>
  <c r="AE64" i="28"/>
  <c r="AE65"/>
  <c r="AE66"/>
  <c r="AG14"/>
  <c r="AG41" s="1"/>
  <c r="AG60" s="1"/>
  <c r="AG61" s="1"/>
  <c r="AF41"/>
  <c r="AF60" s="1"/>
  <c r="AF61" s="1"/>
  <c r="AB113" i="5"/>
  <c r="AK62" i="3"/>
  <c r="AL40"/>
  <c r="AL42" s="1"/>
  <c r="AL44" s="1"/>
  <c r="AM36"/>
  <c r="AM38" s="1"/>
  <c r="AN29"/>
  <c r="AM60"/>
  <c r="AN56"/>
  <c r="AN58" s="1"/>
  <c r="AQ10"/>
  <c r="AQ25" s="1"/>
  <c r="AP25"/>
  <c r="AK48" i="4"/>
  <c r="AK50" s="1"/>
  <c r="AB117" i="5" s="1"/>
  <c r="AB119" s="1"/>
  <c r="AA124"/>
  <c r="AA122"/>
  <c r="AA123"/>
  <c r="AM10" i="4"/>
  <c r="AL25"/>
  <c r="AL46" s="1"/>
  <c r="AO30"/>
  <c r="AN44"/>
  <c r="AD118" i="5"/>
  <c r="AD108"/>
  <c r="AD109" s="1"/>
  <c r="AC113"/>
  <c r="AC114"/>
  <c r="AC112"/>
  <c r="AF59"/>
  <c r="AE64"/>
  <c r="AF65" i="28" l="1"/>
  <c r="AF64"/>
  <c r="AF66"/>
  <c r="AG65"/>
  <c r="AG66"/>
  <c r="AG64"/>
  <c r="AL62" i="3"/>
  <c r="AM40"/>
  <c r="AM42" s="1"/>
  <c r="AM44" s="1"/>
  <c r="AN36"/>
  <c r="AN38" s="1"/>
  <c r="AO29"/>
  <c r="AO56"/>
  <c r="AO58" s="1"/>
  <c r="AN60"/>
  <c r="AB122" i="5"/>
  <c r="AB124"/>
  <c r="AB123"/>
  <c r="AL48" i="4"/>
  <c r="AL50" s="1"/>
  <c r="AC117" i="5" s="1"/>
  <c r="AC119" s="1"/>
  <c r="AP30" i="4"/>
  <c r="AO44"/>
  <c r="AN10"/>
  <c r="AM25"/>
  <c r="AM46" s="1"/>
  <c r="AG59" i="5"/>
  <c r="AF64"/>
  <c r="AD112"/>
  <c r="AD114"/>
  <c r="AD113"/>
  <c r="AE108"/>
  <c r="AE118"/>
  <c r="AM62" i="3" l="1"/>
  <c r="AN40"/>
  <c r="AN42" s="1"/>
  <c r="AN44" s="1"/>
  <c r="AE109" i="5" s="1"/>
  <c r="AO36" i="3"/>
  <c r="AO38" s="1"/>
  <c r="AP29"/>
  <c r="AO60"/>
  <c r="AQ56"/>
  <c r="AQ58" s="1"/>
  <c r="AP56"/>
  <c r="AP58" s="1"/>
  <c r="AC122" i="5"/>
  <c r="AC123"/>
  <c r="AC124"/>
  <c r="AM48" i="4"/>
  <c r="AM50" s="1"/>
  <c r="AD117" i="5" s="1"/>
  <c r="AD119" s="1"/>
  <c r="AN25" i="4"/>
  <c r="AN46" s="1"/>
  <c r="AO10"/>
  <c r="AQ30"/>
  <c r="AQ44" s="1"/>
  <c r="AP44"/>
  <c r="AH59" i="5"/>
  <c r="AH64" s="1"/>
  <c r="AG64"/>
  <c r="AF118"/>
  <c r="AF108"/>
  <c r="AE112" l="1"/>
  <c r="AE113"/>
  <c r="AN62" i="3"/>
  <c r="AE114" i="5"/>
  <c r="AO40" i="3"/>
  <c r="AO42" s="1"/>
  <c r="AO44" s="1"/>
  <c r="AF109" i="5" s="1"/>
  <c r="AP36" i="3"/>
  <c r="AP38" s="1"/>
  <c r="AQ29"/>
  <c r="AQ36" s="1"/>
  <c r="AQ38" s="1"/>
  <c r="AQ60"/>
  <c r="AP60"/>
  <c r="AD124" i="5"/>
  <c r="AD122"/>
  <c r="AD123"/>
  <c r="AN48" i="4"/>
  <c r="AN50" s="1"/>
  <c r="AE117" i="5" s="1"/>
  <c r="AE119" s="1"/>
  <c r="AP10" i="4"/>
  <c r="AO25"/>
  <c r="AO46" s="1"/>
  <c r="AG108" i="5"/>
  <c r="AG109" s="1"/>
  <c r="AG118"/>
  <c r="AH108"/>
  <c r="AH109" s="1"/>
  <c r="AH118"/>
  <c r="AO62" i="3" l="1"/>
  <c r="AF114" i="5"/>
  <c r="AF112"/>
  <c r="AF113"/>
  <c r="AP40" i="3"/>
  <c r="AP42" s="1"/>
  <c r="AP44" s="1"/>
  <c r="AQ40"/>
  <c r="AQ42" s="1"/>
  <c r="AQ44" s="1"/>
  <c r="AE123" i="5"/>
  <c r="AE122"/>
  <c r="AE124"/>
  <c r="AQ10" i="4"/>
  <c r="AQ25" s="1"/>
  <c r="AQ46" s="1"/>
  <c r="AP25"/>
  <c r="AP46" s="1"/>
  <c r="AO48"/>
  <c r="AO50" s="1"/>
  <c r="AF117" i="5" s="1"/>
  <c r="AF119" s="1"/>
  <c r="AH112"/>
  <c r="AH114"/>
  <c r="AH113"/>
  <c r="AG114"/>
  <c r="AG113"/>
  <c r="AG112"/>
  <c r="AQ62" i="3" l="1"/>
  <c r="AP62"/>
  <c r="AP48" i="4"/>
  <c r="AP50" s="1"/>
  <c r="AG117" i="5" s="1"/>
  <c r="AG119" s="1"/>
  <c r="AF122"/>
  <c r="AF123"/>
  <c r="AF124"/>
  <c r="AQ48" i="4"/>
  <c r="AQ50" s="1"/>
  <c r="AH117" i="5" s="1"/>
  <c r="AH119" s="1"/>
  <c r="AG123" l="1"/>
  <c r="AG122"/>
  <c r="AG124"/>
  <c r="AH124"/>
  <c r="AH122"/>
  <c r="AH123"/>
</calcChain>
</file>

<file path=xl/comments1.xml><?xml version="1.0" encoding="utf-8"?>
<comments xmlns="http://schemas.openxmlformats.org/spreadsheetml/2006/main">
  <authors>
    <author>mrobbins</author>
    <author>Jack Duncan</author>
    <author>jduncan</author>
    <author>Susan Bailey</author>
  </authors>
  <commentList>
    <comment ref="B3" authorId="0">
      <text>
        <r>
          <rPr>
            <sz val="10"/>
            <color indexed="81"/>
            <rFont val="Tahoma"/>
            <family val="2"/>
          </rPr>
          <t>Insert Project Name here. It will be carried forward in a link to other pro forma pages.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" authorId="0">
      <text>
        <r>
          <rPr>
            <b/>
            <sz val="10"/>
            <color indexed="81"/>
            <rFont val="Tahoma"/>
            <family val="2"/>
          </rPr>
          <t>Application or subsequent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" authorId="1">
      <text>
        <r>
          <rPr>
            <b/>
            <sz val="8"/>
            <color indexed="81"/>
            <rFont val="Tahoma"/>
            <family val="2"/>
          </rPr>
          <t xml:space="preserve">If there is a commercial component to the project, columns G &amp; H will need to be unhidden. To unhide, highlight columns F &amp; I then right mouse click and pick unhide.     
</t>
        </r>
      </text>
    </comment>
    <comment ref="E9" authorId="0">
      <text>
        <r>
          <rPr>
            <b/>
            <sz val="10"/>
            <color indexed="81"/>
            <rFont val="Tahoma"/>
            <family val="2"/>
          </rPr>
          <t>Contents linked forward from LIHTC Calculation page when completed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5" authorId="2">
      <text>
        <r>
          <rPr>
            <b/>
            <sz val="8"/>
            <color indexed="81"/>
            <rFont val="Tahoma"/>
            <family val="2"/>
          </rPr>
          <t>I</t>
        </r>
        <r>
          <rPr>
            <b/>
            <sz val="10"/>
            <color indexed="81"/>
            <rFont val="Arial"/>
            <family val="2"/>
          </rPr>
          <t>nsert name of permanent lender</t>
        </r>
      </text>
    </comment>
    <comment ref="A45" authorId="2">
      <text>
        <r>
          <rPr>
            <b/>
            <sz val="8"/>
            <color indexed="81"/>
            <rFont val="Tahoma"/>
            <family val="2"/>
          </rPr>
          <t>I</t>
        </r>
        <r>
          <rPr>
            <b/>
            <sz val="10"/>
            <color indexed="81"/>
            <rFont val="Arial"/>
            <family val="2"/>
          </rPr>
          <t>nsert name of permanent lender</t>
        </r>
      </text>
    </comment>
    <comment ref="A51" authorId="1">
      <text>
        <r>
          <rPr>
            <b/>
            <sz val="8"/>
            <color indexed="81"/>
            <rFont val="Tahoma"/>
            <family val="2"/>
          </rPr>
          <t>Do not overwrite this cell as it links to other pages</t>
        </r>
      </text>
    </comment>
    <comment ref="A52" authorId="1">
      <text>
        <r>
          <rPr>
            <b/>
            <sz val="8"/>
            <color indexed="81"/>
            <rFont val="Tahoma"/>
            <family val="2"/>
          </rPr>
          <t xml:space="preserve">Do not overwrite this cell as it links to other pages
</t>
        </r>
      </text>
    </comment>
    <comment ref="E70" authorId="0">
      <text>
        <r>
          <rPr>
            <b/>
            <sz val="8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Tahoma"/>
            <family val="2"/>
          </rPr>
          <t>Contents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71" authorId="3">
      <text>
        <r>
          <rPr>
            <b/>
            <sz val="8"/>
            <color indexed="81"/>
            <rFont val="Tahoma"/>
            <family val="2"/>
          </rPr>
          <t>Enter loan amount</t>
        </r>
      </text>
    </comment>
    <comment ref="E72" authorId="3">
      <text>
        <r>
          <rPr>
            <b/>
            <sz val="8"/>
            <color indexed="81"/>
            <rFont val="Tahoma"/>
            <family val="2"/>
          </rPr>
          <t>Enter loan amount</t>
        </r>
      </text>
    </comment>
    <comment ref="E73" authorId="3">
      <text>
        <r>
          <rPr>
            <b/>
            <sz val="8"/>
            <color indexed="81"/>
            <rFont val="Tahoma"/>
            <family val="2"/>
          </rPr>
          <t>Enter subsidy amount</t>
        </r>
      </text>
    </comment>
  </commentList>
</comments>
</file>

<file path=xl/comments2.xml><?xml version="1.0" encoding="utf-8"?>
<comments xmlns="http://schemas.openxmlformats.org/spreadsheetml/2006/main">
  <authors>
    <author>mrobbins</author>
    <author>Jack Duncan</author>
    <author>jduncan</author>
    <author>sbeddow</author>
  </authors>
  <commentList>
    <comment ref="I2" authorId="0">
      <text>
        <r>
          <rPr>
            <b/>
            <sz val="10"/>
            <color indexed="81"/>
            <rFont val="Tahoma"/>
            <family val="2"/>
          </rPr>
          <t>Application or subsequent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" authorId="1">
      <text>
        <r>
          <rPr>
            <b/>
            <sz val="8"/>
            <color indexed="81"/>
            <rFont val="Tahoma"/>
            <family val="2"/>
          </rPr>
          <t>Mark the cell with a X if this is an Acq/Rehab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2">
      <text>
        <r>
          <rPr>
            <b/>
            <sz val="10"/>
            <color indexed="81"/>
            <rFont val="Tahoma"/>
            <family val="2"/>
          </rPr>
          <t>20/50 or 40/60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 xml:space="preserve">If there is a commercial component to the project, column D will need to be unhidden. To unhide, highlight columns C &amp; E then right mouse click and pick unhide.     
</t>
        </r>
      </text>
    </comment>
    <comment ref="S14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HOME/CDBG may only fund lease-up reserves, not replacement or operating reserves</t>
        </r>
      </text>
    </comment>
    <comment ref="T18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0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HOME funds cannot pay for delinquent taxes or fees
</t>
        </r>
      </text>
    </comment>
    <comment ref="A27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If using TIF funds, at least 52% of TIF funding must pay for hard costs</t>
        </r>
      </text>
    </comment>
    <comment ref="B28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off-site work</t>
        </r>
      </text>
    </comment>
    <comment ref="T28" authorId="0">
      <text>
        <r>
          <rPr>
            <b/>
            <sz val="10"/>
            <color indexed="81"/>
            <rFont val="Tahoma"/>
            <family val="2"/>
          </rPr>
          <t xml:space="preserve">Some off-site costs may be included in basis.
</t>
        </r>
      </text>
    </comment>
    <comment ref="T29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0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1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2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3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34" authorId="0">
      <text>
        <r>
          <rPr>
            <b/>
            <sz val="10"/>
            <color indexed="81"/>
            <rFont val="Tahoma"/>
            <family val="2"/>
          </rPr>
          <t xml:space="preserve">Can't be in basis if there is </t>
        </r>
        <r>
          <rPr>
            <b/>
            <u/>
            <sz val="10"/>
            <color indexed="81"/>
            <rFont val="Tahoma"/>
            <family val="2"/>
          </rPr>
          <t>any</t>
        </r>
        <r>
          <rPr>
            <b/>
            <sz val="10"/>
            <color indexed="81"/>
            <rFont val="Tahoma"/>
            <family val="2"/>
          </rPr>
          <t xml:space="preserve"> charge for use...
</t>
        </r>
      </text>
    </comment>
    <comment ref="T36" authorId="0">
      <text>
        <r>
          <rPr>
            <b/>
            <sz val="10"/>
            <color indexed="81"/>
            <rFont val="Tahoma"/>
            <family val="2"/>
          </rPr>
          <t xml:space="preserve">OK in basis even if a coin-op
</t>
        </r>
      </text>
    </comment>
    <comment ref="T37" authorId="0">
      <text>
        <r>
          <rPr>
            <b/>
            <sz val="10"/>
            <color indexed="81"/>
            <rFont val="Tahoma"/>
            <family val="2"/>
          </rPr>
          <t xml:space="preserve">OK in basis even if a coin-op
</t>
        </r>
      </text>
    </comment>
    <comment ref="T62" authorId="0">
      <text>
        <r>
          <rPr>
            <b/>
            <sz val="10"/>
            <color indexed="81"/>
            <rFont val="Tahoma"/>
            <family val="2"/>
          </rPr>
          <t xml:space="preserve">Never allowed in basis
</t>
        </r>
      </text>
    </comment>
    <comment ref="T72" authorId="0">
      <text>
        <r>
          <rPr>
            <b/>
            <sz val="10"/>
            <color indexed="81"/>
            <rFont val="Tahoma"/>
            <family val="2"/>
          </rPr>
          <t xml:space="preserve">Legal fees associated with syndication generally not allowed in basis
</t>
        </r>
      </text>
    </comment>
    <comment ref="T98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99" authorId="0">
      <text>
        <r>
          <rPr>
            <b/>
            <sz val="10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7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8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09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10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14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19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can pay for up to 18 months</t>
        </r>
      </text>
    </comment>
    <comment ref="T119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0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this</t>
        </r>
      </text>
    </comment>
    <comment ref="T120" authorId="0">
      <text>
        <r>
          <rPr>
            <b/>
            <sz val="8"/>
            <color indexed="81"/>
            <rFont val="Tahoma"/>
            <family val="2"/>
          </rPr>
          <t>Never allowed in basis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23" authorId="3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Federal funds may not pay for this
</t>
        </r>
      </text>
    </comment>
    <comment ref="T123" authorId="0">
      <text>
        <r>
          <rPr>
            <b/>
            <sz val="8"/>
            <color indexed="81"/>
            <rFont val="Tahoma"/>
            <family val="2"/>
          </rPr>
          <t xml:space="preserve">Never allowed in basis.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T124" authorId="0">
      <text>
        <r>
          <rPr>
            <b/>
            <sz val="8"/>
            <color indexed="81"/>
            <rFont val="Tahoma"/>
            <family val="2"/>
          </rPr>
          <t xml:space="preserve">Never allowed in basis.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mrobbins</author>
  </authors>
  <commentList>
    <comment ref="F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10"/>
            <color indexed="81"/>
            <rFont val="Tahoma"/>
            <family val="2"/>
          </rPr>
          <t>County must be filled in for formulas to work</t>
        </r>
        <r>
          <rPr>
            <b/>
            <sz val="8"/>
            <color indexed="81"/>
            <rFont val="Tahoma"/>
            <family val="2"/>
          </rPr>
          <t>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" authorId="0">
      <text>
        <r>
          <rPr>
            <b/>
            <sz val="10"/>
            <color indexed="81"/>
            <rFont val="Tahoma"/>
            <family val="2"/>
          </rPr>
          <t>Enter unit size. Use 0 for Studio, 1 for 1 bedroom and SRO for a SRO unit. Continue same below</t>
        </r>
      </text>
    </comment>
    <comment ref="C10" authorId="0">
      <text>
        <r>
          <rPr>
            <b/>
            <sz val="10"/>
            <color indexed="81"/>
            <rFont val="Tahoma"/>
            <family val="2"/>
          </rPr>
          <t>E.G.    .5 or 1.0  or 1.5 or 2.0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0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8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mrobbins</author>
    <author>sbeddow</author>
  </authors>
  <commentList>
    <comment ref="C7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9" authorId="0">
      <text>
        <r>
          <rPr>
            <b/>
            <sz val="10"/>
            <color indexed="81"/>
            <rFont val="Tahoma"/>
            <family val="2"/>
          </rPr>
          <t xml:space="preserve">Enter annual expense for </t>
        </r>
        <r>
          <rPr>
            <b/>
            <u/>
            <sz val="10"/>
            <color indexed="81"/>
            <rFont val="Tahoma"/>
            <family val="2"/>
          </rPr>
          <t xml:space="preserve">ALL </t>
        </r>
        <r>
          <rPr>
            <b/>
            <sz val="10"/>
            <color indexed="81"/>
            <rFont val="Tahoma"/>
            <family val="2"/>
          </rPr>
          <t>units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9" authorId="1">
      <text>
        <r>
          <rPr>
            <b/>
            <sz val="9"/>
            <color indexed="81"/>
            <rFont val="Tahoma"/>
            <family val="2"/>
          </rPr>
          <t>sbeddow:</t>
        </r>
        <r>
          <rPr>
            <sz val="9"/>
            <color indexed="81"/>
            <rFont val="Tahoma"/>
            <family val="2"/>
          </rPr>
          <t xml:space="preserve">
Use the Commercial Expense Tab for Application Process, Enter this rolled up number for Streamlined Compliance Reporting
</t>
        </r>
      </text>
    </comment>
    <comment ref="A90" authorId="0">
      <text>
        <r>
          <rPr>
            <b/>
            <sz val="10"/>
            <color indexed="81"/>
            <rFont val="Tahoma"/>
            <family val="2"/>
          </rPr>
          <t xml:space="preserve">Full lender interest rate </t>
        </r>
        <r>
          <rPr>
            <b/>
            <u/>
            <sz val="10"/>
            <color indexed="81"/>
            <rFont val="Tahoma"/>
            <family val="2"/>
          </rPr>
          <t xml:space="preserve">before </t>
        </r>
        <r>
          <rPr>
            <b/>
            <sz val="10"/>
            <color indexed="81"/>
            <rFont val="Tahoma"/>
            <family val="2"/>
          </rPr>
          <t xml:space="preserve"> any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0" authorId="0">
      <text>
        <r>
          <rPr>
            <b/>
            <sz val="10"/>
            <color indexed="81"/>
            <rFont val="Tahoma"/>
            <family val="2"/>
          </rPr>
          <t>Term of permanent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0" authorId="0">
      <text>
        <r>
          <rPr>
            <b/>
            <sz val="10"/>
            <color indexed="81"/>
            <rFont val="Tahoma"/>
            <family val="2"/>
          </rPr>
          <t>Permanent 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3" authorId="0">
      <text>
        <r>
          <rPr>
            <b/>
            <sz val="10"/>
            <color indexed="81"/>
            <rFont val="Tahoma"/>
            <family val="2"/>
          </rPr>
          <t>Contents will be linked forward upon completion of OAHTC rent calculation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3" authorId="0">
      <text>
        <r>
          <rPr>
            <b/>
            <sz val="10"/>
            <color indexed="81"/>
            <rFont val="Tahoma"/>
            <family val="2"/>
          </rPr>
          <t>Contents will be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3" authorId="0">
      <text>
        <r>
          <rPr>
            <b/>
            <sz val="10"/>
            <color indexed="81"/>
            <rFont val="Tahoma"/>
            <family val="2"/>
          </rPr>
          <t>Contents will be linked forward from OAHTC rent calculation page when completed.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6" authorId="0">
      <text>
        <r>
          <rPr>
            <b/>
            <sz val="10"/>
            <color indexed="81"/>
            <rFont val="Tahoma"/>
            <family val="2"/>
          </rPr>
          <t>Interest rate before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6" authorId="0">
      <text>
        <r>
          <rPr>
            <b/>
            <sz val="10"/>
            <color indexed="81"/>
            <rFont val="Tahoma"/>
            <family val="2"/>
          </rPr>
          <t>Term of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6" authorId="0">
      <text>
        <r>
          <rPr>
            <b/>
            <sz val="10"/>
            <color indexed="81"/>
            <rFont val="Tahoma"/>
            <family val="2"/>
          </rPr>
          <t xml:space="preserve">Full loan amount minus OAHTC portion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99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99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9" authorId="0">
      <text>
        <r>
          <rPr>
            <b/>
            <sz val="10"/>
            <color indexed="81"/>
            <rFont val="Tahoma"/>
            <family val="2"/>
          </rPr>
          <t>Amount deferred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2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2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2" authorId="0">
      <text>
        <r>
          <rPr>
            <b/>
            <sz val="10"/>
            <color indexed="81"/>
            <rFont val="Tahoma"/>
            <family val="2"/>
          </rPr>
          <t>Loan amount</t>
        </r>
      </text>
    </comment>
    <comment ref="A103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3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3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4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04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04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mrobbins</author>
  </authors>
  <commentList>
    <comment ref="F3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10"/>
            <color indexed="81"/>
            <rFont val="Tahoma"/>
            <family val="2"/>
          </rPr>
          <t>Place "X" in appropriate cells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" authorId="0">
      <text>
        <r>
          <rPr>
            <b/>
            <sz val="10"/>
            <color indexed="81"/>
            <rFont val="Tahoma"/>
            <family val="2"/>
          </rPr>
          <t>Place "X" in appropriate cells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0">
      <text>
        <r>
          <rPr>
            <b/>
            <sz val="10"/>
            <color indexed="81"/>
            <rFont val="Tahoma"/>
            <family val="2"/>
          </rPr>
          <t>Fill in amounts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10"/>
            <color indexed="81"/>
            <rFont val="Tahoma"/>
            <family val="2"/>
          </rPr>
          <t>Name of H.A.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2" authorId="0">
      <text>
        <r>
          <rPr>
            <b/>
            <sz val="10"/>
            <color indexed="81"/>
            <rFont val="Tahoma"/>
            <family val="2"/>
          </rPr>
          <t>Name of Utility Co.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mrobbins</author>
  </authors>
  <commentList>
    <comment ref="E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mrobbins</author>
  </authors>
  <commentList>
    <comment ref="C7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9" authorId="0">
      <text>
        <r>
          <rPr>
            <b/>
            <sz val="10"/>
            <color indexed="81"/>
            <rFont val="Tahoma"/>
            <family val="2"/>
          </rPr>
          <t xml:space="preserve">Enter annual expense for </t>
        </r>
        <r>
          <rPr>
            <b/>
            <u/>
            <sz val="10"/>
            <color indexed="81"/>
            <rFont val="Tahoma"/>
            <family val="2"/>
          </rPr>
          <t xml:space="preserve">ALL </t>
        </r>
        <r>
          <rPr>
            <b/>
            <sz val="10"/>
            <color indexed="81"/>
            <rFont val="Tahoma"/>
            <family val="2"/>
          </rPr>
          <t>units below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47" authorId="0">
      <text>
        <r>
          <rPr>
            <b/>
            <sz val="10"/>
            <color indexed="81"/>
            <rFont val="Tahoma"/>
            <family val="2"/>
          </rPr>
          <t xml:space="preserve">Full lender interest rate </t>
        </r>
        <r>
          <rPr>
            <b/>
            <u/>
            <sz val="10"/>
            <color indexed="81"/>
            <rFont val="Tahoma"/>
            <family val="2"/>
          </rPr>
          <t xml:space="preserve">before </t>
        </r>
        <r>
          <rPr>
            <b/>
            <sz val="10"/>
            <color indexed="81"/>
            <rFont val="Tahoma"/>
            <family val="2"/>
          </rPr>
          <t xml:space="preserve"> any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7" authorId="0">
      <text>
        <r>
          <rPr>
            <b/>
            <sz val="10"/>
            <color indexed="81"/>
            <rFont val="Tahoma"/>
            <family val="2"/>
          </rPr>
          <t>Term of permanent loan in years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7" authorId="0">
      <text>
        <r>
          <rPr>
            <b/>
            <sz val="10"/>
            <color indexed="81"/>
            <rFont val="Tahoma"/>
            <family val="2"/>
          </rPr>
          <t>Permanent 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0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0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0" authorId="0">
      <text>
        <r>
          <rPr>
            <b/>
            <sz val="10"/>
            <color indexed="81"/>
            <rFont val="Tahoma"/>
            <family val="2"/>
          </rPr>
          <t>Amount deferred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4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4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4" authorId="0">
      <text>
        <r>
          <rPr>
            <b/>
            <sz val="10"/>
            <color indexed="81"/>
            <rFont val="Tahoma"/>
            <family val="2"/>
          </rPr>
          <t>Loan amount</t>
        </r>
      </text>
    </comment>
    <comment ref="A55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5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5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6" authorId="0">
      <text>
        <r>
          <rPr>
            <b/>
            <sz val="10"/>
            <color indexed="81"/>
            <rFont val="Tahoma"/>
            <family val="2"/>
          </rPr>
          <t>Interest rate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56" authorId="0">
      <text>
        <r>
          <rPr>
            <b/>
            <sz val="10"/>
            <color indexed="81"/>
            <rFont val="Tahoma"/>
            <family val="2"/>
          </rPr>
          <t>Length of term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6" authorId="0">
      <text>
        <r>
          <rPr>
            <b/>
            <sz val="10"/>
            <color indexed="81"/>
            <rFont val="Tahoma"/>
            <family val="2"/>
          </rPr>
          <t>Loan amount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mrobbins</author>
  </authors>
  <commentList>
    <comment ref="B10" authorId="0">
      <text>
        <r>
          <rPr>
            <b/>
            <sz val="10"/>
            <color indexed="81"/>
            <rFont val="Tahoma"/>
            <family val="2"/>
          </rPr>
          <t>Will be linked forward from other pages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mrobbins</author>
  </authors>
  <commentList>
    <comment ref="B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mrobbins</author>
  </authors>
  <commentList>
    <comment ref="C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1" authorId="0">
      <text>
        <r>
          <rPr>
            <b/>
            <sz val="10"/>
            <color indexed="81"/>
            <rFont val="Tahoma"/>
            <family val="2"/>
          </rPr>
          <t>Yes or No…...mark with an X and see instructions below.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1" authorId="0">
      <text>
        <r>
          <rPr>
            <b/>
            <sz val="10"/>
            <color indexed="81"/>
            <rFont val="Tahoma"/>
            <family val="2"/>
          </rPr>
          <t>Yes or No…... mark with an X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3" authorId="0">
      <text>
        <r>
          <rPr>
            <b/>
            <sz val="10"/>
            <color indexed="81"/>
            <rFont val="Tahoma"/>
            <family val="2"/>
          </rPr>
          <t>If claiming 130% for QCT</t>
        </r>
      </text>
    </comment>
    <comment ref="C14" authorId="0">
      <text>
        <r>
          <rPr>
            <b/>
            <sz val="10"/>
            <color indexed="81"/>
            <rFont val="Tahoma"/>
            <family val="2"/>
          </rPr>
          <t>If claiming 130% for DDA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56" authorId="0">
      <text>
        <r>
          <rPr>
            <b/>
            <sz val="10"/>
            <color indexed="81"/>
            <rFont val="Tahoma"/>
            <family val="2"/>
          </rPr>
          <t xml:space="preserve">Enter yield out to 4 decimal places if needed.
</t>
        </r>
      </text>
    </comment>
    <comment ref="E56" authorId="0">
      <text>
        <r>
          <rPr>
            <b/>
            <sz val="10"/>
            <color indexed="81"/>
            <rFont val="Tahoma"/>
            <family val="2"/>
          </rPr>
          <t>Enter yield out to 4 decimal places if needed.</t>
        </r>
      </text>
    </comment>
    <comment ref="D60" authorId="0">
      <text>
        <r>
          <rPr>
            <b/>
            <sz val="10"/>
            <color indexed="81"/>
            <rFont val="Tahoma"/>
            <family val="2"/>
          </rPr>
          <t>From table on Tax Credit Sale Information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60" authorId="0">
      <text>
        <r>
          <rPr>
            <b/>
            <sz val="10"/>
            <color indexed="81"/>
            <rFont val="Tahoma"/>
            <family val="2"/>
          </rPr>
          <t>From table on Tax Credit Sale Information page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mrobbins</author>
  </authors>
  <commentList>
    <comment ref="BB3" authorId="0">
      <text>
        <r>
          <rPr>
            <sz val="8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C6" authorId="0">
      <text>
        <r>
          <rPr>
            <b/>
            <sz val="8"/>
            <color indexed="81"/>
            <rFont val="Tahoma"/>
            <family val="2"/>
          </rPr>
          <t>Y</t>
        </r>
        <r>
          <rPr>
            <sz val="8"/>
            <color indexed="81"/>
            <rFont val="Tahoma"/>
            <family val="2"/>
          </rPr>
          <t>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0" authorId="0">
      <text>
        <r>
          <rPr>
            <b/>
            <sz val="10"/>
            <color indexed="81"/>
            <rFont val="Tahoma"/>
            <family val="2"/>
          </rPr>
          <t>Enter unit size. Use 0 for Studio, 1 for 1 bedroom and SRO for a SRO unit. Continue same below</t>
        </r>
      </text>
    </comment>
    <comment ref="E48" authorId="0">
      <text>
        <r>
          <rPr>
            <b/>
            <sz val="10"/>
            <color indexed="81"/>
            <rFont val="Tahoma"/>
            <family val="2"/>
          </rPr>
          <t>You may change this, but you must justify it in the narrative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S48" authorId="0">
      <text>
        <r>
          <rPr>
            <sz val="8"/>
            <color indexed="81"/>
            <rFont val="Tahoma"/>
            <family val="2"/>
          </rPr>
          <t>Carried over from previous page.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mrobbins</author>
    <author>Jack Duncan</author>
  </authors>
  <commentList>
    <comment ref="B5" authorId="0">
      <text>
        <r>
          <rPr>
            <b/>
            <sz val="10"/>
            <color indexed="81"/>
            <rFont val="Tahoma"/>
            <family val="2"/>
          </rPr>
          <t>Application or revision date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" authorId="0">
      <text>
        <r>
          <rPr>
            <b/>
            <sz val="10"/>
            <color indexed="81"/>
            <rFont val="Tahoma"/>
            <family val="2"/>
          </rPr>
          <t>Lender interest rate before OAHTC reduction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4" authorId="0">
      <text>
        <r>
          <rPr>
            <b/>
            <sz val="10"/>
            <color indexed="81"/>
            <rFont val="Tahoma"/>
            <family val="2"/>
          </rPr>
          <t>Could be 4% or less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1">
      <text>
        <r>
          <rPr>
            <b/>
            <sz val="8"/>
            <color indexed="81"/>
            <rFont val="Tahoma"/>
            <family val="2"/>
          </rPr>
          <t>Enter number of units using OAHTC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If a positive number, then pass through is sufficient.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<sst xmlns="http://schemas.openxmlformats.org/spreadsheetml/2006/main" count="1233" uniqueCount="663">
  <si>
    <t>Less Debt Service:</t>
  </si>
  <si>
    <t>Rate</t>
  </si>
  <si>
    <t>Term (Years)</t>
  </si>
  <si>
    <t>Loan Amount</t>
  </si>
  <si>
    <t>HARNEY</t>
  </si>
  <si>
    <t>HOOD RIVER</t>
  </si>
  <si>
    <t>JACKSON</t>
  </si>
  <si>
    <t>JEFFERSON</t>
  </si>
  <si>
    <t>JOSEPHINE</t>
  </si>
  <si>
    <t>KLAMATH</t>
  </si>
  <si>
    <t>LAKE</t>
  </si>
  <si>
    <t>LANE</t>
  </si>
  <si>
    <t>LINCOLN</t>
  </si>
  <si>
    <t>LINN</t>
  </si>
  <si>
    <t>MALHEUR</t>
  </si>
  <si>
    <t>MORROW</t>
  </si>
  <si>
    <t>MULTNOMAH</t>
  </si>
  <si>
    <t>POLK</t>
  </si>
  <si>
    <t>SHERMAN</t>
  </si>
  <si>
    <t>TILLAMOOK</t>
  </si>
  <si>
    <t>UMATILLA</t>
  </si>
  <si>
    <t>UNION</t>
  </si>
  <si>
    <t>(Note: Total Fund Sources must match "Total Project Cost" from Uses of Funding page.)</t>
  </si>
  <si>
    <t>Construction Costs Subtotal:</t>
  </si>
  <si>
    <t>Development Costs Subtotal:</t>
  </si>
  <si>
    <t>Acquisition Costs Subtotal:</t>
  </si>
  <si>
    <t>Use applicable column (30%, 70% or both) for data entry</t>
  </si>
  <si>
    <t xml:space="preserve">Less portion of federal grant used to finance qualifying developments        </t>
  </si>
  <si>
    <t>WALLOWA</t>
  </si>
  <si>
    <t>WASCO</t>
  </si>
  <si>
    <t>WASHINGTON</t>
  </si>
  <si>
    <t>WHEELER</t>
  </si>
  <si>
    <t>YAMHILL</t>
  </si>
  <si>
    <t>1 Pers</t>
  </si>
  <si>
    <t>2 Pers</t>
  </si>
  <si>
    <t>3 Pers</t>
  </si>
  <si>
    <t>4 Pers</t>
  </si>
  <si>
    <t>5 Pers</t>
  </si>
  <si>
    <t>6 Pers</t>
  </si>
  <si>
    <t xml:space="preserve">      Improvements</t>
  </si>
  <si>
    <t>Liens and Other Taxes</t>
  </si>
  <si>
    <t>Closing/Recording</t>
  </si>
  <si>
    <t>Other:</t>
  </si>
  <si>
    <t>Development Costs</t>
  </si>
  <si>
    <t>Land Use Approvals</t>
  </si>
  <si>
    <t>Building Permits/Fees</t>
  </si>
  <si>
    <t>System Development Charges</t>
  </si>
  <si>
    <t>Market Study</t>
  </si>
  <si>
    <t>Environmental Report</t>
  </si>
  <si>
    <t>Soils Report (Geotechnical)</t>
  </si>
  <si>
    <t>MARION</t>
  </si>
  <si>
    <t>Annual Inflation Rate Factor:</t>
  </si>
  <si>
    <t>Net Tax Credit Investor Proceeds</t>
  </si>
  <si>
    <t>CALCULATION OF TAX CREDIT</t>
  </si>
  <si>
    <t>HOUSING OPERATING BUDGET - EXPENSES</t>
  </si>
  <si>
    <t>OAHTC RENT REDUCTION CALCULATION</t>
  </si>
  <si>
    <t>USES OF FUNDING</t>
  </si>
  <si>
    <t xml:space="preserve">   Columbia</t>
  </si>
  <si>
    <t xml:space="preserve">   Multnomah</t>
  </si>
  <si>
    <t xml:space="preserve">   Washington</t>
  </si>
  <si>
    <t xml:space="preserve">   &amp; Yamhill</t>
  </si>
  <si>
    <t>Marion &amp; Polk</t>
  </si>
  <si>
    <t>Baker</t>
  </si>
  <si>
    <t>Clatsop</t>
  </si>
  <si>
    <t>Coos</t>
  </si>
  <si>
    <t>Crook</t>
  </si>
  <si>
    <t>Curry</t>
  </si>
  <si>
    <t>Deschutes</t>
  </si>
  <si>
    <t>Oregon Affordable Housing Tax Credit (OAHTC)</t>
  </si>
  <si>
    <t>(loan amount)</t>
  </si>
  <si>
    <t>Effective Gross Income:</t>
  </si>
  <si>
    <t>Less Vacancy Rate</t>
  </si>
  <si>
    <t>Tax credits are calculated on an annual basis. The total tax credit receive is equal to 10 times the annual credit</t>
  </si>
  <si>
    <t>Cash Flow Per Year</t>
  </si>
  <si>
    <t>Yes</t>
  </si>
  <si>
    <t>No</t>
  </si>
  <si>
    <t>Total Project Costs</t>
  </si>
  <si>
    <t>Total Eligible Basis</t>
  </si>
  <si>
    <t>Multiplied by the applicable fraction</t>
  </si>
  <si>
    <t>CREDIT</t>
  </si>
  <si>
    <t>Lead Based Paint Report</t>
  </si>
  <si>
    <t>Asbestos Report</t>
  </si>
  <si>
    <t>Gross Monthly Rent Per Unit</t>
  </si>
  <si>
    <t>Tenant Paid Utility Allow</t>
  </si>
  <si>
    <t>Net Monthly Rent Per Unit</t>
  </si>
  <si>
    <t>Number of Units</t>
  </si>
  <si>
    <t>0 BDR</t>
  </si>
  <si>
    <t>-</t>
  </si>
  <si>
    <t>=</t>
  </si>
  <si>
    <t>X 12</t>
  </si>
  <si>
    <t xml:space="preserve"> SUB-TOTALS</t>
  </si>
  <si>
    <t>Service Revenue:</t>
  </si>
  <si>
    <t>Medicaid-Resident Services (Averaged)</t>
  </si>
  <si>
    <t>Private-Resident Services (Averaged)</t>
  </si>
  <si>
    <t>Other Revenue:</t>
  </si>
  <si>
    <t>Laundry</t>
  </si>
  <si>
    <t>Property Management:</t>
  </si>
  <si>
    <t xml:space="preserve">On-site             </t>
  </si>
  <si>
    <t>Contracted (Off-Site)</t>
  </si>
  <si>
    <t>Total Qualified Basis</t>
  </si>
  <si>
    <t>Total Amount Of Tax Credit Allowable</t>
  </si>
  <si>
    <t>Total Amount Of Tax Credit Requested</t>
  </si>
  <si>
    <t>Total Tax Credits for 10 Years</t>
  </si>
  <si>
    <t>Tax Credit Yield</t>
  </si>
  <si>
    <t>Tax Credit Equity</t>
  </si>
  <si>
    <t>PAYMENTS COMPUTED ANNUALLY</t>
  </si>
  <si>
    <t xml:space="preserve">  WITH OAHTC</t>
  </si>
  <si>
    <t>W/O OAHTC</t>
  </si>
  <si>
    <t>LOAN AMOUNT:</t>
  </si>
  <si>
    <t>INTEREST RATE:</t>
  </si>
  <si>
    <t>NUMBER OF YEARS TO AMORTIZE:</t>
  </si>
  <si>
    <t>NUMBER OF YEARS TAX CREDITS TAKEN:</t>
  </si>
  <si>
    <t>Required OAHTC Annual Pass Through</t>
  </si>
  <si>
    <t>DOUGLAS</t>
  </si>
  <si>
    <t>GILLIAM</t>
  </si>
  <si>
    <t>GRANT</t>
  </si>
  <si>
    <t>General Conditions</t>
  </si>
  <si>
    <t>General Fees</t>
  </si>
  <si>
    <t>Payroll Taxes</t>
  </si>
  <si>
    <t>HOUSING OPERATING BUDGET  - INCOME WITH OAHTC</t>
  </si>
  <si>
    <t xml:space="preserve">Less land; amortized and other ineligible costs *               </t>
  </si>
  <si>
    <t>Actual OAHTC Annual Pass Through</t>
  </si>
  <si>
    <t>Amount over/under required pass through</t>
  </si>
  <si>
    <t>Total Debt Service</t>
  </si>
  <si>
    <t>Primary Debt Coverage Ratio</t>
  </si>
  <si>
    <t>Total Debt Coverage Ratio</t>
  </si>
  <si>
    <t xml:space="preserve">HOME Match (check)    </t>
  </si>
  <si>
    <t>Committed</t>
  </si>
  <si>
    <t>Conditional</t>
  </si>
  <si>
    <t>Unit Type</t>
  </si>
  <si>
    <t xml:space="preserve">Median Income %   </t>
  </si>
  <si>
    <t>Net Operating Income:</t>
  </si>
  <si>
    <t xml:space="preserve">Less nonqualifying costs or units of higher quality  </t>
  </si>
  <si>
    <t xml:space="preserve">Less Section 48 Rehabilitation Tax Credit  </t>
  </si>
  <si>
    <t xml:space="preserve">Less Historic Tax Credit (Rresidential Portion Only)  </t>
  </si>
  <si>
    <t>INTEREST RATE REDUCTION:</t>
  </si>
  <si>
    <t>UTILITY ALLOWANCE INFORMATION</t>
  </si>
  <si>
    <t>Interest</t>
  </si>
  <si>
    <t>Construction Period</t>
  </si>
  <si>
    <t xml:space="preserve">Other: </t>
  </si>
  <si>
    <t>Reserves/Contingency</t>
  </si>
  <si>
    <t>Tenant Relocation</t>
  </si>
  <si>
    <t>Construction Costs</t>
  </si>
  <si>
    <t>On-site Work</t>
  </si>
  <si>
    <t>Hazardous Materials Abatement</t>
  </si>
  <si>
    <t>Residential Building</t>
  </si>
  <si>
    <t xml:space="preserve"> SUB-TOTAL OTHER REVENUE</t>
  </si>
  <si>
    <t>Lighting</t>
  </si>
  <si>
    <t>Air Conditioning</t>
  </si>
  <si>
    <t>Cooking</t>
  </si>
  <si>
    <t>Hot Water</t>
  </si>
  <si>
    <t>Water</t>
  </si>
  <si>
    <t>Sewer</t>
  </si>
  <si>
    <t>Trash Removal</t>
  </si>
  <si>
    <t>TOTAL UTILITY ALLOWANCE</t>
  </si>
  <si>
    <r>
      <t>Source of Utility Allowance Calculation</t>
    </r>
    <r>
      <rPr>
        <sz val="10"/>
        <rFont val="Arial"/>
        <family val="2"/>
      </rPr>
      <t>: (Attach a Copy)</t>
    </r>
  </si>
  <si>
    <t>Local Housing Authority</t>
  </si>
  <si>
    <t>Utility Company</t>
  </si>
  <si>
    <t>Other</t>
  </si>
  <si>
    <t>Note:  Projects that provide care services (e.g., Assisted Living Facilities) need to delineate the service levels and</t>
  </si>
  <si>
    <t>anticipated revenue as well as the basic monthly rents on a separate page.</t>
  </si>
  <si>
    <t>Annual Operating Expenses</t>
  </si>
  <si>
    <t>Survey</t>
  </si>
  <si>
    <t>Insurance</t>
  </si>
  <si>
    <t>Architectural</t>
  </si>
  <si>
    <t>Engineering</t>
  </si>
  <si>
    <t>Legal/Accounting</t>
  </si>
  <si>
    <t>Cost Certification</t>
  </si>
  <si>
    <t>Appraisals</t>
  </si>
  <si>
    <t>Lender Title Insurance</t>
  </si>
  <si>
    <t>Tax Credit Fees</t>
  </si>
  <si>
    <t>Developer Fee</t>
  </si>
  <si>
    <t>Consultant Fee</t>
  </si>
  <si>
    <t>Lock Rate Fee</t>
  </si>
  <si>
    <t>Anticipated or Firm Commitment Date</t>
  </si>
  <si>
    <t>Contractor Profit</t>
  </si>
  <si>
    <t>Contingency</t>
  </si>
  <si>
    <t>TOTAL PROJECT COST</t>
  </si>
  <si>
    <t>Developers Fee Percentage</t>
  </si>
  <si>
    <t>FOR LIHTC PROJECTS</t>
  </si>
  <si>
    <t>Divided by Total Project Costs</t>
  </si>
  <si>
    <t xml:space="preserve">SOURCES OF FUNDING </t>
  </si>
  <si>
    <t>Enter QCT number</t>
  </si>
  <si>
    <t>Enter DDA area</t>
  </si>
  <si>
    <t>OREGON HOUSING AND COMMUNITY SERVICES</t>
  </si>
  <si>
    <t>Consult tax advisor to assure your management plan's compliance with program</t>
  </si>
  <si>
    <t>MSA / County</t>
  </si>
  <si>
    <t>% MFI</t>
  </si>
  <si>
    <t>7 Pers</t>
  </si>
  <si>
    <t>8 Pers</t>
  </si>
  <si>
    <t>Benton</t>
  </si>
  <si>
    <t>Douglas</t>
  </si>
  <si>
    <t>Gilliam</t>
  </si>
  <si>
    <t>Grant</t>
  </si>
  <si>
    <t>Harney</t>
  </si>
  <si>
    <t>Hood River</t>
  </si>
  <si>
    <t>Jefferson</t>
  </si>
  <si>
    <t>30% Net Present Value</t>
  </si>
  <si>
    <t>(Place X under "Yes" if applicable)</t>
  </si>
  <si>
    <t xml:space="preserve">                                       </t>
  </si>
  <si>
    <t xml:space="preserve">          </t>
  </si>
  <si>
    <t>SUBTOTALS</t>
  </si>
  <si>
    <t>TOTAL FUND SOURCES</t>
  </si>
  <si>
    <t>70% Net Present Value</t>
  </si>
  <si>
    <t>Both 30% &amp; 70%</t>
  </si>
  <si>
    <t>Indicate whether your project is qualified for:</t>
  </si>
  <si>
    <t>Qualified Census Tract (QCT) or Difficult to Develop Area (DDA) ?</t>
  </si>
  <si>
    <t>Adjusted Eligible Basis</t>
  </si>
  <si>
    <t>MONTHLY PAYMENT AMOUNT:</t>
  </si>
  <si>
    <t>TOTAL TAX CREDIT ALLOWED:</t>
  </si>
  <si>
    <t>NUMBER OF UNITS:</t>
  </si>
  <si>
    <t>RENT REDUCTION UNIT/MONTH:</t>
  </si>
  <si>
    <t>ANNUAL RENT PASS THROUGH:</t>
  </si>
  <si>
    <t xml:space="preserve">LOAN AMORTIZATION </t>
  </si>
  <si>
    <t>MAXIMUM ANNUAL TAX CREDIT</t>
  </si>
  <si>
    <t>ENDING</t>
  </si>
  <si>
    <t>PRINCIPAL</t>
  </si>
  <si>
    <t>AVERAGE</t>
  </si>
  <si>
    <t>Project Name:</t>
  </si>
  <si>
    <t>BALANCE</t>
  </si>
  <si>
    <t>REDUCTION</t>
  </si>
  <si>
    <t>OHCS GRANTS &amp; EQUITY</t>
  </si>
  <si>
    <t>OHCS LOANS</t>
  </si>
  <si>
    <t>OTHER:</t>
  </si>
  <si>
    <t>Extension Fees</t>
  </si>
  <si>
    <t>Marketing/Advertising</t>
  </si>
  <si>
    <t>TAX</t>
  </si>
  <si>
    <t>YEAR</t>
  </si>
  <si>
    <t>INTEREST</t>
  </si>
  <si>
    <t>Using 1 person for 0 bedroom and 1.5 persons per bedroom for 1-4 bedroom units</t>
  </si>
  <si>
    <t>Deduct utility allowances from these rents to get gross allowable rents</t>
  </si>
  <si>
    <t>Professional Services:</t>
  </si>
  <si>
    <t>Resident Services</t>
  </si>
  <si>
    <t xml:space="preserve">Legal             </t>
  </si>
  <si>
    <t>Accounting</t>
  </si>
  <si>
    <t>Office &amp; Administration</t>
  </si>
  <si>
    <t>Advertising/Marketing &amp; Promotion</t>
  </si>
  <si>
    <t>Taxes(non-real estate)</t>
  </si>
  <si>
    <t>Real Estate Taxes</t>
  </si>
  <si>
    <t xml:space="preserve">                            </t>
  </si>
  <si>
    <t>BAKER</t>
  </si>
  <si>
    <t>BENTON</t>
  </si>
  <si>
    <t>CLACKAMAS</t>
  </si>
  <si>
    <t>CLATSOP</t>
  </si>
  <si>
    <t>COLUMBIA</t>
  </si>
  <si>
    <t>COOS</t>
  </si>
  <si>
    <t>CROOK</t>
  </si>
  <si>
    <t>CURRY</t>
  </si>
  <si>
    <t>DESCHUTES</t>
  </si>
  <si>
    <t>60% MEDIAN INCOME RENTS</t>
  </si>
  <si>
    <t>COUNTY</t>
  </si>
  <si>
    <t>1 BDR</t>
  </si>
  <si>
    <t>2 BDR</t>
  </si>
  <si>
    <t>3 BDR</t>
  </si>
  <si>
    <t>4 BDR</t>
  </si>
  <si>
    <t>Commercial Space/Building</t>
  </si>
  <si>
    <t>FF&amp;E (Common Area Furnishings)</t>
  </si>
  <si>
    <t>* If total ineligible costs does not equal total costs less reasonable basis from Uses of Funding form, explain here.</t>
  </si>
  <si>
    <t xml:space="preserve">Less amounts of nonqualified nonrecourse financing </t>
  </si>
  <si>
    <t>ANNUAL Residential Income:</t>
  </si>
  <si>
    <t>IRS Setaside</t>
  </si>
  <si>
    <t>Equals the percent of estimated cost expended by Carryover Date</t>
  </si>
  <si>
    <t>Total of the amount to be expended by Carryover Date</t>
  </si>
  <si>
    <t>Estimated Gross Expended by Carryover Date</t>
  </si>
  <si>
    <t xml:space="preserve">(B)        Carryover Application </t>
  </si>
  <si>
    <t>UTILITIES</t>
  </si>
  <si>
    <t>TYPE OF UTILITY   (Gas, elec., Oil,etc.)</t>
  </si>
  <si>
    <t>OWNER PAYS</t>
  </si>
  <si>
    <t>TENANT PAYS</t>
  </si>
  <si>
    <t>0 BDRM</t>
  </si>
  <si>
    <t>1 BDRM</t>
  </si>
  <si>
    <t>2 BDRM</t>
  </si>
  <si>
    <t>3 BDRM</t>
  </si>
  <si>
    <t>4 BDRM</t>
  </si>
  <si>
    <t>Heating</t>
  </si>
  <si>
    <t>Primary Debt Service</t>
  </si>
  <si>
    <t>Deferred Developer Fee</t>
  </si>
  <si>
    <t>Construction Costs:</t>
  </si>
  <si>
    <t xml:space="preserve">If allowances are calculated by other methods, attach the appropriate schedule and include </t>
  </si>
  <si>
    <t>unit rents, number of bedrooms, and allowances</t>
  </si>
  <si>
    <t>Annual per Unit</t>
  </si>
  <si>
    <t xml:space="preserve">Insurance         </t>
  </si>
  <si>
    <t>Laundry Facilities</t>
  </si>
  <si>
    <t>Landscaping</t>
  </si>
  <si>
    <t>Contractor Overhead</t>
  </si>
  <si>
    <t xml:space="preserve">Cost of Bond Issuance </t>
  </si>
  <si>
    <t>Lane</t>
  </si>
  <si>
    <t>Jackson</t>
  </si>
  <si>
    <t>Clackamas</t>
  </si>
  <si>
    <t>Josephine</t>
  </si>
  <si>
    <t>Klamath</t>
  </si>
  <si>
    <t>Lake</t>
  </si>
  <si>
    <t>Lincoln</t>
  </si>
  <si>
    <t>Linn</t>
  </si>
  <si>
    <t>Malheur</t>
  </si>
  <si>
    <t>Morrow</t>
  </si>
  <si>
    <t>Sherman</t>
  </si>
  <si>
    <t>Tillamook</t>
  </si>
  <si>
    <t>Umatilla</t>
  </si>
  <si>
    <t>Union</t>
  </si>
  <si>
    <t>Wallowa</t>
  </si>
  <si>
    <t>Wasco</t>
  </si>
  <si>
    <t>Wheeler</t>
  </si>
  <si>
    <t>Deposit to Replacement Reserves</t>
  </si>
  <si>
    <t>Funding Source</t>
  </si>
  <si>
    <t>APPLICANT  CONTRIBUTIONS</t>
  </si>
  <si>
    <t>Unit Size</t>
  </si>
  <si>
    <t>Square Feet</t>
  </si>
  <si>
    <t>Bdr</t>
  </si>
  <si>
    <t>County:</t>
  </si>
  <si>
    <t>Predevelopment Loan</t>
  </si>
  <si>
    <t>Off-site Work</t>
  </si>
  <si>
    <t>Lender Inspection Fees</t>
  </si>
  <si>
    <t>Loan Closing Fees</t>
  </si>
  <si>
    <t>Lender Legal Fees</t>
  </si>
  <si>
    <t>Number of Units:</t>
  </si>
  <si>
    <t>Common Areas:</t>
  </si>
  <si>
    <t>These two columns are for</t>
  </si>
  <si>
    <t>Commercial/other</t>
  </si>
  <si>
    <t xml:space="preserve">LIHTC APPLICANTS ONLY </t>
  </si>
  <si>
    <t>Total Square Footage:</t>
  </si>
  <si>
    <t>Acquisition Costs</t>
  </si>
  <si>
    <t>Purchase Price:</t>
  </si>
  <si>
    <t xml:space="preserve">      Land</t>
  </si>
  <si>
    <t>45% MEDIAN INCOME RENTS</t>
  </si>
  <si>
    <t>50% MEDIAN INCOME RENTS</t>
  </si>
  <si>
    <t>Bond Cost Certification</t>
  </si>
  <si>
    <t>Bond Issuance Fees</t>
  </si>
  <si>
    <t>Commercial</t>
  </si>
  <si>
    <t>Total</t>
  </si>
  <si>
    <t>(C)                   Final Application</t>
  </si>
  <si>
    <t>% Diff (B/A)</t>
  </si>
  <si>
    <t>% Diff (C/B)</t>
  </si>
  <si>
    <t>Cost per Unit</t>
  </si>
  <si>
    <t>Cost per Square Foot</t>
  </si>
  <si>
    <t>Cost as % of Total</t>
  </si>
  <si>
    <t>Utilities:(common areas)</t>
  </si>
  <si>
    <t xml:space="preserve">Gas/Oil        </t>
  </si>
  <si>
    <t xml:space="preserve">Electric         </t>
  </si>
  <si>
    <t>Water &amp; Sewer</t>
  </si>
  <si>
    <t>Garbage Removal</t>
  </si>
  <si>
    <t>Repairs</t>
  </si>
  <si>
    <t xml:space="preserve">                                   </t>
  </si>
  <si>
    <t>General Maintenance</t>
  </si>
  <si>
    <t>Landscape Maintenance</t>
  </si>
  <si>
    <t>Replacement Reserve</t>
  </si>
  <si>
    <t>Total Annual Operating Expenses:</t>
  </si>
  <si>
    <r>
      <t xml:space="preserve">(Change to 130% if high cost or qualified census tract) </t>
    </r>
    <r>
      <rPr>
        <sz val="10"/>
        <color indexed="12"/>
        <rFont val="Arial"/>
        <family val="2"/>
      </rPr>
      <t xml:space="preserve"> </t>
    </r>
  </si>
  <si>
    <t xml:space="preserve">Perm. Loan Fee </t>
  </si>
  <si>
    <t>Total Annual Income</t>
  </si>
  <si>
    <t>WITHOUT OAHTC</t>
  </si>
  <si>
    <t>WITH OAHTC</t>
  </si>
  <si>
    <t>Bridge Loan Legal</t>
  </si>
  <si>
    <t>Bridge Loan Trustee</t>
  </si>
  <si>
    <t>Affordable rents are defined as 30% of income, including tenant paid utilities</t>
  </si>
  <si>
    <t>30% MEDIAN INCOME RENTS</t>
  </si>
  <si>
    <t>35% MEDIAN INCOME RENTS</t>
  </si>
  <si>
    <t>40% MEDIAN INCOME RENTS</t>
  </si>
  <si>
    <t>Tax Credit Cost Certification</t>
  </si>
  <si>
    <t>Tax Credit Legal/Advisor Fee</t>
  </si>
  <si>
    <t>55% MEDIAN INCOME RENTS</t>
  </si>
  <si>
    <t>Negative Arbitrage (1.50%)</t>
  </si>
  <si>
    <t>Bridge Loan Underwriting</t>
  </si>
  <si>
    <t>Construction Loan Costs/Fees</t>
  </si>
  <si>
    <t>Bridge Loan Fees</t>
  </si>
  <si>
    <t>Loan Fees</t>
  </si>
  <si>
    <t>SPD Architectural Review Fee</t>
  </si>
  <si>
    <t>Special Inspections/Testing</t>
  </si>
  <si>
    <t>Permanent Loan Fees</t>
  </si>
  <si>
    <t>Perm. Loan Closing Fees</t>
  </si>
  <si>
    <t>Tax Credit Fee</t>
  </si>
  <si>
    <t>Development Costs:</t>
  </si>
  <si>
    <t>% of MFI</t>
  </si>
  <si>
    <t>Internet Wiring &amp; Equipment</t>
  </si>
  <si>
    <t>Date:</t>
  </si>
  <si>
    <t>Surplus or Gap</t>
  </si>
  <si>
    <t>Percentage of Limited Partnership proceeds</t>
  </si>
  <si>
    <t xml:space="preserve">Eligible Basis                                 </t>
  </si>
  <si>
    <t>Reasonably Expected Basis</t>
  </si>
  <si>
    <t># of Baths</t>
  </si>
  <si>
    <t xml:space="preserve"> Gross Income:</t>
  </si>
  <si>
    <t>Gross Income:</t>
  </si>
  <si>
    <t>Permanent loan</t>
  </si>
  <si>
    <t>Portion of perm loan w/o OAHTC (if applicable)</t>
  </si>
  <si>
    <t>OAHTC Permanent loan</t>
  </si>
  <si>
    <t xml:space="preserve">Tentative </t>
  </si>
  <si>
    <t>COMMERCIAL OPERATING BUDGET  - INCOME</t>
  </si>
  <si>
    <t>ANNUAL Commercial Income:</t>
  </si>
  <si>
    <t>Commercial Income:</t>
  </si>
  <si>
    <t>TOTAL COMMERCIAL REVENUE</t>
  </si>
  <si>
    <t xml:space="preserve">Turnover           </t>
  </si>
  <si>
    <t>COMMERCIAL OPERATING BUDGET - EXPENSES</t>
  </si>
  <si>
    <t>RESIDENTIAL</t>
  </si>
  <si>
    <t>COMMERCIAL</t>
  </si>
  <si>
    <t xml:space="preserve"> (A)           Original Application </t>
  </si>
  <si>
    <t>Amortized Debt (HOME Loan, , Partnership Loans,etc.) &amp; Cashflow Loans</t>
  </si>
  <si>
    <t xml:space="preserve">Common Use Facilities                 </t>
  </si>
  <si>
    <t>Elevator</t>
  </si>
  <si>
    <t>Performance Bond</t>
  </si>
  <si>
    <t>Storage/Garages</t>
  </si>
  <si>
    <t>Property Taxes (Constr Period)</t>
  </si>
  <si>
    <t>Construction Bridge Loan</t>
  </si>
  <si>
    <t>ANNUAL Operating Expenses</t>
  </si>
  <si>
    <t>Pro Forma Summary</t>
  </si>
  <si>
    <t xml:space="preserve">Square Footage:          </t>
  </si>
  <si>
    <t>% of Total Sq. Foot</t>
  </si>
  <si>
    <t xml:space="preserve">    Residential:</t>
  </si>
  <si>
    <t xml:space="preserve">    Common Areas:</t>
  </si>
  <si>
    <t xml:space="preserve">    Commercial/Other:</t>
  </si>
  <si>
    <t>Total Residential Project Cost:</t>
  </si>
  <si>
    <t>Total in Dollars</t>
  </si>
  <si>
    <t>Percent of Total Project Costs</t>
  </si>
  <si>
    <t>Total Cost Per Unit</t>
  </si>
  <si>
    <t>Total Cost Per Sq. Foot</t>
  </si>
  <si>
    <t>Acquisition Costs:</t>
  </si>
  <si>
    <t>Total Project Costs :</t>
  </si>
  <si>
    <t>Construction:</t>
  </si>
  <si>
    <t>Percent of Construction</t>
  </si>
  <si>
    <t>Per Unit</t>
  </si>
  <si>
    <t>Per Sq. Foot</t>
  </si>
  <si>
    <t>Builder General Conditions</t>
  </si>
  <si>
    <t>Builder Overhead</t>
  </si>
  <si>
    <t>Builder Profit</t>
  </si>
  <si>
    <t>Total Builder GC/O/P</t>
  </si>
  <si>
    <t>Construction Contingency</t>
  </si>
  <si>
    <t>Architect's Fee</t>
  </si>
  <si>
    <t>Development Cost:</t>
  </si>
  <si>
    <t>Percent of Development</t>
  </si>
  <si>
    <t>Development Contingency</t>
  </si>
  <si>
    <t>5 % Max for Acquisition:</t>
  </si>
  <si>
    <t>Max New Const/Rehab:</t>
  </si>
  <si>
    <t>15% Max Developer Fee:</t>
  </si>
  <si>
    <t xml:space="preserve"> Developer Fee:</t>
  </si>
  <si>
    <t>Total Developer Fee</t>
  </si>
  <si>
    <t>Total Deferred Fee</t>
  </si>
  <si>
    <t>Total Cash Developer Fee:</t>
  </si>
  <si>
    <t>Operating Income &amp; Expense:</t>
  </si>
  <si>
    <t>Income:</t>
  </si>
  <si>
    <t>Percent of EGI</t>
  </si>
  <si>
    <t>EGI without OAHTC</t>
  </si>
  <si>
    <t>EGI with OAHTC</t>
  </si>
  <si>
    <t>Cash Flow without OAHTC</t>
  </si>
  <si>
    <t>Cash Flow with OAHTC</t>
  </si>
  <si>
    <t>Expenses:</t>
  </si>
  <si>
    <t>Total Op Expenses/Unit</t>
  </si>
  <si>
    <t>Less property tax</t>
  </si>
  <si>
    <t>Less resident services</t>
  </si>
  <si>
    <t>Net Op Exp/Unit</t>
  </si>
  <si>
    <t>On Site Mgmt Fee/Unit</t>
  </si>
  <si>
    <t>Off Site Mgmt Fee/Unit</t>
  </si>
  <si>
    <t>Total Mgmt Fee/Unit</t>
  </si>
  <si>
    <t>Repairs/Unit</t>
  </si>
  <si>
    <t>Maintenance/Unit</t>
  </si>
  <si>
    <t>Total Repairs and Maint/Unit</t>
  </si>
  <si>
    <t>LIHTC:</t>
  </si>
  <si>
    <t>Total Qualified Basis:</t>
  </si>
  <si>
    <t>Total Amount Of Credit Requested:</t>
  </si>
  <si>
    <t>Total Amount of Credit Allowable:</t>
  </si>
  <si>
    <t>Net Tax Credit Investor Proceeds:</t>
  </si>
  <si>
    <t>Uses Page</t>
  </si>
  <si>
    <t>Tax Credit Calc Page</t>
  </si>
  <si>
    <t xml:space="preserve">Difference </t>
  </si>
  <si>
    <t>LIHTC Ineligible Costs</t>
  </si>
  <si>
    <t>OAHTC:</t>
  </si>
  <si>
    <t>Annual Per Unit</t>
  </si>
  <si>
    <t>Annual Passthrough:</t>
  </si>
  <si>
    <t>Actual Passthrough:</t>
  </si>
  <si>
    <t>Over/Under:</t>
  </si>
  <si>
    <t>Snapshot:</t>
  </si>
  <si>
    <t>Construction Costs/Sq Ft:</t>
  </si>
  <si>
    <t>Development Costs % of Project Costs:</t>
  </si>
  <si>
    <t>Construction Contigency %:</t>
  </si>
  <si>
    <t>Development Contingency %:</t>
  </si>
  <si>
    <t>Net Op Exp/Unit:</t>
  </si>
  <si>
    <t>Total Mgmt Fee/Unit:</t>
  </si>
  <si>
    <t>Total Repairs and Maint/Unit:</t>
  </si>
  <si>
    <r>
      <t>Minimum Required Non-Profit Share of Developer Fee: (</t>
    </r>
    <r>
      <rPr>
        <b/>
        <sz val="10"/>
        <rFont val="Arial"/>
        <family val="2"/>
      </rPr>
      <t>If Applicable</t>
    </r>
    <r>
      <rPr>
        <sz val="10"/>
        <rFont val="Arial"/>
        <family val="2"/>
      </rPr>
      <t>)</t>
    </r>
  </si>
  <si>
    <r>
      <t xml:space="preserve">Multiplied by the applicable percentage       </t>
    </r>
    <r>
      <rPr>
        <sz val="10"/>
        <color indexed="10"/>
        <rFont val="Arial"/>
        <family val="2"/>
      </rPr>
      <t>(Month/Year used?   0/0</t>
    </r>
    <r>
      <rPr>
        <sz val="10"/>
        <rFont val="Arial"/>
        <family val="2"/>
      </rPr>
      <t>)</t>
    </r>
  </si>
  <si>
    <t>Acq/Rehab</t>
  </si>
  <si>
    <t>Demolition</t>
  </si>
  <si>
    <t>Amortized Debt (HOME Loan, Partnership Loans, etc.) &amp; Cashflow Loans</t>
  </si>
  <si>
    <t>Replacement Reserve:</t>
  </si>
  <si>
    <t>Percent EGI w/o OAHTC</t>
  </si>
  <si>
    <t>Percent EGI w OAHTC</t>
  </si>
  <si>
    <t>Architect Fee %:</t>
  </si>
  <si>
    <t>Total Cash Developers Fee %:</t>
  </si>
  <si>
    <t>Total Builder GC/O&amp;P %:</t>
  </si>
  <si>
    <t>Cash Flow without OAHTC %:</t>
  </si>
  <si>
    <t>Cash Flow with OAHTC %:</t>
  </si>
  <si>
    <t>5 BDR</t>
  </si>
  <si>
    <t>Total Developer Fee %:</t>
  </si>
  <si>
    <t>PROJECT SUMMARY</t>
  </si>
  <si>
    <t>Construction/Rehab</t>
  </si>
  <si>
    <t>Rental Income</t>
  </si>
  <si>
    <t>Other Income</t>
  </si>
  <si>
    <t>Gross Potential Income</t>
  </si>
  <si>
    <t>Less Vacancy</t>
  </si>
  <si>
    <t>Effective Gross Income</t>
  </si>
  <si>
    <t xml:space="preserve">Net Operating Income </t>
  </si>
  <si>
    <t>Annual Debt Service</t>
  </si>
  <si>
    <t>Without OAHTC</t>
  </si>
  <si>
    <t>With OAHTC</t>
  </si>
  <si>
    <t>Primary Debt Coverage</t>
  </si>
  <si>
    <t>SOURCES</t>
  </si>
  <si>
    <t>USES</t>
  </si>
  <si>
    <t>FIRST YEAR INCOME &amp; EXPENSES</t>
  </si>
  <si>
    <t>County</t>
  </si>
  <si>
    <t>TOTAL FUNDING SOURCE</t>
  </si>
  <si>
    <t>If mixed use project, see comment</t>
  </si>
  <si>
    <t>Total OHCS Grants &amp; Equity</t>
  </si>
  <si>
    <t>Total OHCS Loans</t>
  </si>
  <si>
    <t>Total Applicant Contribution</t>
  </si>
  <si>
    <t>Total Other Funds</t>
  </si>
  <si>
    <t>OHCS Grants &amp; Equity</t>
  </si>
  <si>
    <t>OHCS Loans</t>
  </si>
  <si>
    <t>Other Funds</t>
  </si>
  <si>
    <t>Builder's Risk Insurance</t>
  </si>
  <si>
    <t>Based on HUD's published Section 8 (and Multifamily Tax Subsidy) income limits</t>
  </si>
  <si>
    <t>Income limits by county (or non-PMSA average if greater)</t>
  </si>
  <si>
    <t>Based on HUD's published Multifamily Tax Subsidy Income Limits</t>
  </si>
  <si>
    <t>HOME PROGRAM RENTS</t>
  </si>
  <si>
    <t>Studio</t>
  </si>
  <si>
    <t>1 Bdrm</t>
  </si>
  <si>
    <t>2 Bdrm</t>
  </si>
  <si>
    <t>3 Bdrm</t>
  </si>
  <si>
    <t>4 Bdrm</t>
  </si>
  <si>
    <t>5 Bdrm</t>
  </si>
  <si>
    <t>6 Bdrm</t>
  </si>
  <si>
    <t>Bend</t>
  </si>
  <si>
    <t>FMR</t>
  </si>
  <si>
    <t>LOW</t>
  </si>
  <si>
    <t>HIGH</t>
  </si>
  <si>
    <t>Corvallis</t>
  </si>
  <si>
    <t>Eugene-Springfield</t>
  </si>
  <si>
    <t>Medford-Ashland</t>
  </si>
  <si>
    <t>Portland-Vancouver</t>
  </si>
  <si>
    <t>Clackamas, Columbia,</t>
  </si>
  <si>
    <t>Multnomah, Washington</t>
  </si>
  <si>
    <t>Yamhill</t>
  </si>
  <si>
    <t>Salem</t>
  </si>
  <si>
    <t>Marion, Polk</t>
  </si>
  <si>
    <t>http://eligibility.sc.egov.usda.gov/eligibility/welcomeAction.do?pageAction=sfp&amp;NavKey=property@12</t>
  </si>
  <si>
    <t>If your project is located in a rural area as defined by USDA RHS*, you qualify to use</t>
  </si>
  <si>
    <t>national non-metropolitan income limits, available at OHCS website**.</t>
  </si>
  <si>
    <t>*USDA RHS:</t>
  </si>
  <si>
    <t>**OHCS:</t>
  </si>
  <si>
    <t>If your project is located in a rural area as defined by USDA RHS*, you qualify to use national non-metropolitan income limits, available at OHCS website**.</t>
  </si>
  <si>
    <t>Rents based on:</t>
  </si>
  <si>
    <t xml:space="preserve">Actual Multifamily Tax Subsidy Incomes or </t>
  </si>
  <si>
    <t>National Non-Metropolitan Income Limits</t>
  </si>
  <si>
    <t>LIHTC Rents based on:</t>
  </si>
  <si>
    <t>GHAP construction bridge loan</t>
  </si>
  <si>
    <t>GHAP capitol needs assessment short term loan</t>
  </si>
  <si>
    <t>GHAP operating subsidy</t>
  </si>
  <si>
    <t xml:space="preserve">     LIHTC Equity</t>
  </si>
  <si>
    <t xml:space="preserve">     Trust Fund</t>
  </si>
  <si>
    <t xml:space="preserve">     LI Weatherization Program</t>
  </si>
  <si>
    <t xml:space="preserve">     HELP</t>
  </si>
  <si>
    <t xml:space="preserve">     Tax Exempt Bonds</t>
  </si>
  <si>
    <t xml:space="preserve">     ORR</t>
  </si>
  <si>
    <t xml:space="preserve">     Cash</t>
  </si>
  <si>
    <t xml:space="preserve">     Deferred Development Fee</t>
  </si>
  <si>
    <t xml:space="preserve">     Cashflow During Rehab</t>
  </si>
  <si>
    <t>OHCS Fees</t>
  </si>
  <si>
    <t>Operating Reserve</t>
  </si>
  <si>
    <t>Lease Up</t>
  </si>
  <si>
    <t xml:space="preserve">     Permanent Loan (bank name)</t>
  </si>
  <si>
    <t xml:space="preserve">     Effective Gross Income:</t>
  </si>
  <si>
    <t xml:space="preserve">     Total Annual Operating Expenses:</t>
  </si>
  <si>
    <t xml:space="preserve">     Net Operating Income:</t>
  </si>
  <si>
    <t xml:space="preserve">     Primary Debt Service</t>
  </si>
  <si>
    <t xml:space="preserve">     Total Debt Service</t>
  </si>
  <si>
    <t xml:space="preserve">     Primary Debt Coverage Ratio</t>
  </si>
  <si>
    <t xml:space="preserve">     Total Debt Coverage Ratio</t>
  </si>
  <si>
    <t xml:space="preserve">          Cash Flow Per Year:</t>
  </si>
  <si>
    <t xml:space="preserve">     Total Debt Service:</t>
  </si>
  <si>
    <t xml:space="preserve">     Primary Debt Coverage Ratio:</t>
  </si>
  <si>
    <t xml:space="preserve">     Total Debt Coverage Ratio:</t>
  </si>
  <si>
    <t>for the LIHTC PROGRAM</t>
  </si>
  <si>
    <t>for the HOME Investment Partnership Program</t>
  </si>
  <si>
    <t>Based on HUD's published Section 8 income limits</t>
  </si>
  <si>
    <t>Section 8 income limits by county (or non-PMSA average if greater)</t>
  </si>
  <si>
    <t>Other OHCS non-equity sources:</t>
  </si>
  <si>
    <t>3rd Party Constr Inspection Fee</t>
  </si>
  <si>
    <t>OHCS Constr. Analyst review</t>
  </si>
  <si>
    <t xml:space="preserve">     Preservation</t>
  </si>
  <si>
    <t>2012 INCOME LIMITS</t>
  </si>
  <si>
    <t xml:space="preserve">Median incomes by county (effective: December 1, 2011) </t>
  </si>
  <si>
    <t>http://eligibility.sc.egov.usda.gov/eligibility/welcomeAction.do?NavKey=home@1</t>
  </si>
  <si>
    <t>http://www.ohcs.oregon.gov/OHCS/HPM_income_rent_limits_2012.shtml</t>
  </si>
  <si>
    <t>2012 RENTS FOR LIHTC &amp; BOND FINANCING</t>
  </si>
  <si>
    <t>Low-income rents by county or MSA as of December 1, 2011</t>
  </si>
  <si>
    <t>2011 INCOME LIMITS</t>
  </si>
  <si>
    <t xml:space="preserve">Median incomes by county (effective: May 31, 2011) </t>
  </si>
  <si>
    <t xml:space="preserve">On-site     </t>
  </si>
  <si>
    <t xml:space="preserve">On-site (resident mgr/other adm unit)          </t>
  </si>
  <si>
    <t>Professional Services - Legal/Audit/Accounting</t>
  </si>
  <si>
    <t>Residential Bad Debt</t>
  </si>
  <si>
    <t>Commercial Bad Debt</t>
  </si>
  <si>
    <t>Security</t>
  </si>
  <si>
    <t>Repairs:</t>
  </si>
  <si>
    <t>Repairs &amp; Maint performed under contract</t>
  </si>
  <si>
    <t>Repairs &amp; Maint performed by property mgmt staff</t>
  </si>
  <si>
    <t xml:space="preserve">Unit Turnover:          </t>
  </si>
  <si>
    <t>Turnover performed under contract</t>
  </si>
  <si>
    <t>Turnover performed by property mgmt staff</t>
  </si>
  <si>
    <t>Utilities:</t>
  </si>
  <si>
    <t>Natural Gas</t>
  </si>
  <si>
    <t>Other Utilities:</t>
  </si>
  <si>
    <t>Compliance Monitoring Fees</t>
  </si>
  <si>
    <t>Asset Management Fees</t>
  </si>
  <si>
    <t>Gross Replacement Reserve Deposits</t>
  </si>
  <si>
    <t>Parking</t>
  </si>
  <si>
    <t>Utility Reimbursements</t>
  </si>
  <si>
    <t>Miscellaneous Fees</t>
  </si>
  <si>
    <t>Service Income</t>
  </si>
  <si>
    <t>Effective Gross Income (Residential):</t>
  </si>
  <si>
    <t>Effective Gross Income (Commercial):</t>
  </si>
  <si>
    <t>COMBINED HOUSING/COMMERCIAL OPERATING BUDGET  - INCOME</t>
  </si>
  <si>
    <t>Effective Gross Income (Total Project):</t>
  </si>
  <si>
    <t>ANNUAL Commercial Income (Enter on Comm Income Tab, uses escalator on this tab):</t>
  </si>
  <si>
    <t>Commercial:</t>
  </si>
  <si>
    <t>Must Pay Debt (Complete for Annual Reporting):</t>
  </si>
  <si>
    <t>Lender:</t>
  </si>
  <si>
    <t>First Position Loan Principal</t>
  </si>
  <si>
    <t>First Position Loan Interest</t>
  </si>
  <si>
    <t>Subordinate Loan Principal</t>
  </si>
  <si>
    <t>Subordinate Loan Interest</t>
  </si>
  <si>
    <t>Other Hard Debt Principal</t>
  </si>
  <si>
    <t xml:space="preserve">Other Hard Debt Interest </t>
  </si>
  <si>
    <t>Total Must Pay Debt</t>
  </si>
  <si>
    <t>Recipient:</t>
  </si>
  <si>
    <t>Priority Payment 1</t>
  </si>
  <si>
    <t>Priority Payment 2</t>
  </si>
  <si>
    <t>Priority Payment 3</t>
  </si>
  <si>
    <t>Priority Payment 4</t>
  </si>
  <si>
    <t>Priority Payment 5</t>
  </si>
  <si>
    <t>Priority Payment 6</t>
  </si>
  <si>
    <t>Cash Flow Based Pmts (Priority Order):</t>
  </si>
  <si>
    <t>Debt Service:</t>
  </si>
  <si>
    <t>Commercial Expense (See Comment):</t>
  </si>
  <si>
    <t>use purple line items for streamlined compliance reporting only</t>
  </si>
  <si>
    <t>Contingency Escrow Account (3%)</t>
  </si>
  <si>
    <t>Applicant Contributions</t>
  </si>
  <si>
    <t>Acquisition</t>
  </si>
  <si>
    <t>FY 2012 Fair Market and HOME Rents as of February 9, 2012 for Portland MSA ONLY</t>
  </si>
  <si>
    <t>(All MSA's 2011 rents)</t>
  </si>
  <si>
    <t>OTHER ____________________</t>
  </si>
  <si>
    <t>PHB SOURCES</t>
  </si>
  <si>
    <t>Tax Increment Financing</t>
  </si>
  <si>
    <t>HOME</t>
  </si>
  <si>
    <t>Total PHB</t>
  </si>
  <si>
    <t>OTHER LOANS</t>
  </si>
  <si>
    <t>Total OTHER Loans</t>
  </si>
  <si>
    <t>SDC Waivers</t>
  </si>
  <si>
    <t>Tax Exemptions</t>
  </si>
  <si>
    <t>OTHER GRANTS</t>
  </si>
  <si>
    <t>Total OTHER Grants</t>
  </si>
  <si>
    <t>PHB Sources</t>
  </si>
  <si>
    <t>Other Loans</t>
  </si>
  <si>
    <t>Other Grants</t>
  </si>
  <si>
    <t>Gross Residential Square Footage:</t>
  </si>
  <si>
    <t>Net Residential Square Footage (for info only, not used in calcs)</t>
  </si>
</sst>
</file>

<file path=xl/styles.xml><?xml version="1.0" encoding="utf-8"?>
<styleSheet xmlns="http://schemas.openxmlformats.org/spreadsheetml/2006/main">
  <numFmts count="11">
    <numFmt numFmtId="5" formatCode="&quot;$&quot;#,##0_);\(&quot;$&quot;#,##0\)"/>
    <numFmt numFmtId="7" formatCode="&quot;$&quot;#,##0.00_);\(&quot;$&quot;#,##0.00\)"/>
    <numFmt numFmtId="164" formatCode="0.000%"/>
    <numFmt numFmtId="165" formatCode="0.0%"/>
    <numFmt numFmtId="166" formatCode="0;\-0;;@"/>
    <numFmt numFmtId="167" formatCode="mm/dd/yy"/>
    <numFmt numFmtId="168" formatCode="0_);\(0\)"/>
    <numFmt numFmtId="169" formatCode="#,##0.0_);\(#,##0.0\)"/>
    <numFmt numFmtId="170" formatCode="#,##0.0000_);\(#,##0.0000\)"/>
    <numFmt numFmtId="171" formatCode="[$-409]mmmm\-yy;@"/>
    <numFmt numFmtId="172" formatCode="mm/dd/yy;@"/>
  </numFmts>
  <fonts count="45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81"/>
      <name val="Arial"/>
      <family val="2"/>
    </font>
    <font>
      <b/>
      <u/>
      <sz val="10"/>
      <color indexed="81"/>
      <name val="Tahoma"/>
      <family val="2"/>
    </font>
    <font>
      <i/>
      <sz val="10"/>
      <color indexed="12"/>
      <name val="Arial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indexed="81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6"/>
      <color indexed="10"/>
      <name val="Arial"/>
      <family val="2"/>
    </font>
    <font>
      <b/>
      <sz val="14"/>
      <color indexed="10"/>
      <name val="Arial"/>
      <family val="2"/>
    </font>
    <font>
      <sz val="11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lightDown">
        <fgColor indexed="22"/>
        <bgColor indexed="9"/>
      </patternFill>
    </fill>
    <fill>
      <patternFill patternType="darkDown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indexed="26"/>
        <bgColor indexed="15"/>
      </patternFill>
    </fill>
    <fill>
      <patternFill patternType="solid">
        <fgColor indexed="9"/>
        <bgColor indexed="9"/>
      </patternFill>
    </fill>
    <fill>
      <patternFill patternType="solid">
        <fgColor indexed="8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42"/>
        <bgColor indexed="9"/>
      </patternFill>
    </fill>
    <fill>
      <patternFill patternType="solid">
        <fgColor indexed="26"/>
        <bgColor indexed="24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24"/>
      </patternFill>
    </fill>
    <fill>
      <patternFill patternType="solid">
        <fgColor indexed="27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top"/>
    </xf>
    <xf numFmtId="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7" fontId="9" fillId="0" borderId="0" applyFont="0" applyFill="0" applyBorder="0" applyAlignment="0" applyProtection="0"/>
    <xf numFmtId="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10" fontId="9" fillId="0" borderId="0" applyFont="0" applyFill="0" applyBorder="0" applyAlignment="0" applyProtection="0"/>
    <xf numFmtId="0" fontId="9" fillId="0" borderId="1" applyNumberFormat="0" applyFont="0" applyFill="0" applyAlignment="0" applyProtection="0"/>
  </cellStyleXfs>
  <cellXfs count="636">
    <xf numFmtId="0" fontId="0" fillId="0" borderId="0" xfId="0" applyAlignment="1"/>
    <xf numFmtId="5" fontId="0" fillId="0" borderId="0" xfId="4" applyFont="1"/>
    <xf numFmtId="0" fontId="0" fillId="0" borderId="0" xfId="0" applyAlignment="1">
      <alignment horizontal="right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0" fillId="0" borderId="0" xfId="0" applyAlignment="1">
      <alignment wrapText="1"/>
    </xf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0" xfId="2" applyFont="1"/>
    <xf numFmtId="0" fontId="0" fillId="2" borderId="0" xfId="0" applyFill="1" applyAlignment="1"/>
    <xf numFmtId="3" fontId="0" fillId="0" borderId="0" xfId="2" applyFo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5" fontId="0" fillId="0" borderId="0" xfId="0" applyNumberFormat="1" applyAlignment="1"/>
    <xf numFmtId="0" fontId="0" fillId="0" borderId="0" xfId="0" applyFill="1" applyAlignment="1"/>
    <xf numFmtId="164" fontId="0" fillId="0" borderId="0" xfId="0" applyNumberFormat="1" applyAlignment="1"/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right"/>
    </xf>
    <xf numFmtId="3" fontId="0" fillId="0" borderId="0" xfId="0" applyNumberFormat="1" applyAlignment="1"/>
    <xf numFmtId="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 applyProtection="1">
      <alignment horizontal="centerContinuous"/>
      <protection locked="0"/>
    </xf>
    <xf numFmtId="0" fontId="0" fillId="0" borderId="0" xfId="0" applyAlignment="1" applyProtection="1">
      <protection locked="0"/>
    </xf>
    <xf numFmtId="3" fontId="0" fillId="0" borderId="0" xfId="2" applyFont="1" applyBorder="1" applyProtection="1">
      <protection locked="0"/>
    </xf>
    <xf numFmtId="5" fontId="0" fillId="0" borderId="0" xfId="4" applyFont="1" applyProtection="1"/>
    <xf numFmtId="10" fontId="0" fillId="0" borderId="0" xfId="11" applyFont="1" applyProtection="1"/>
    <xf numFmtId="5" fontId="0" fillId="0" borderId="0" xfId="4" applyFont="1" applyProtection="1">
      <protection locked="0"/>
    </xf>
    <xf numFmtId="10" fontId="0" fillId="0" borderId="0" xfId="0" applyNumberFormat="1" applyAlignment="1"/>
    <xf numFmtId="3" fontId="0" fillId="0" borderId="0" xfId="0" applyNumberFormat="1" applyAlignment="1">
      <alignment horizontal="centerContinuous"/>
    </xf>
    <xf numFmtId="3" fontId="0" fillId="0" borderId="0" xfId="0" applyNumberFormat="1" applyAlignment="1">
      <alignment horizontal="center"/>
    </xf>
    <xf numFmtId="3" fontId="0" fillId="0" borderId="0" xfId="2" applyFont="1" applyProtection="1"/>
    <xf numFmtId="0" fontId="0" fillId="0" borderId="0" xfId="0" applyAlignment="1" applyProtection="1">
      <alignment horizontal="center"/>
      <protection locked="0"/>
    </xf>
    <xf numFmtId="5" fontId="3" fillId="0" borderId="0" xfId="4" applyFont="1"/>
    <xf numFmtId="0" fontId="3" fillId="0" borderId="0" xfId="0" applyFont="1" applyAlignment="1">
      <alignment horizontal="right"/>
    </xf>
    <xf numFmtId="5" fontId="3" fillId="0" borderId="0" xfId="4" applyFont="1" applyBorder="1" applyProtection="1"/>
    <xf numFmtId="0" fontId="3" fillId="0" borderId="0" xfId="0" applyFont="1" applyAlignment="1">
      <alignment horizontal="center"/>
    </xf>
    <xf numFmtId="5" fontId="3" fillId="0" borderId="0" xfId="4" applyFont="1" applyProtection="1"/>
    <xf numFmtId="9" fontId="3" fillId="0" borderId="0" xfId="0" applyNumberFormat="1" applyFont="1" applyAlignment="1">
      <alignment horizontal="center"/>
    </xf>
    <xf numFmtId="3" fontId="3" fillId="0" borderId="0" xfId="2" applyFont="1"/>
    <xf numFmtId="9" fontId="0" fillId="0" borderId="0" xfId="0" applyNumberFormat="1" applyAlignment="1"/>
    <xf numFmtId="0" fontId="0" fillId="3" borderId="0" xfId="0" applyFill="1" applyAlignment="1"/>
    <xf numFmtId="3" fontId="0" fillId="0" borderId="0" xfId="0" applyNumberFormat="1" applyAlignment="1" applyProtection="1">
      <alignment horizontal="centerContinuous"/>
      <protection locked="0"/>
    </xf>
    <xf numFmtId="3" fontId="8" fillId="0" borderId="0" xfId="2" applyFont="1"/>
    <xf numFmtId="10" fontId="8" fillId="3" borderId="0" xfId="11" applyFont="1" applyFill="1" applyProtection="1">
      <protection locked="0"/>
    </xf>
    <xf numFmtId="10" fontId="0" fillId="3" borderId="0" xfId="11" applyFont="1" applyFill="1" applyProtection="1">
      <protection locked="0"/>
    </xf>
    <xf numFmtId="3" fontId="0" fillId="3" borderId="0" xfId="2" applyFont="1" applyFill="1" applyProtection="1">
      <protection locked="0"/>
    </xf>
    <xf numFmtId="3" fontId="8" fillId="3" borderId="0" xfId="2" applyFont="1" applyFill="1" applyProtection="1">
      <protection locked="0"/>
    </xf>
    <xf numFmtId="10" fontId="3" fillId="3" borderId="0" xfId="11" applyFont="1" applyFill="1" applyProtection="1">
      <protection locked="0"/>
    </xf>
    <xf numFmtId="3" fontId="8" fillId="0" borderId="0" xfId="2" applyFont="1" applyProtection="1"/>
    <xf numFmtId="166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6" fontId="0" fillId="0" borderId="0" xfId="0" applyNumberFormat="1" applyAlignment="1"/>
    <xf numFmtId="166" fontId="3" fillId="0" borderId="0" xfId="4" applyNumberFormat="1" applyFont="1"/>
    <xf numFmtId="166" fontId="3" fillId="0" borderId="0" xfId="2" applyNumberFormat="1" applyFont="1"/>
    <xf numFmtId="166" fontId="3" fillId="0" borderId="0" xfId="0" applyNumberFormat="1" applyFont="1" applyAlignment="1"/>
    <xf numFmtId="3" fontId="0" fillId="0" borderId="0" xfId="2" applyNumberFormat="1" applyFont="1" applyFill="1"/>
    <xf numFmtId="3" fontId="6" fillId="0" borderId="0" xfId="0" applyNumberFormat="1" applyFont="1" applyAlignment="1">
      <alignment horizontal="center"/>
    </xf>
    <xf numFmtId="37" fontId="3" fillId="0" borderId="0" xfId="4" applyNumberFormat="1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167" fontId="0" fillId="0" borderId="0" xfId="2" applyNumberFormat="1" applyFont="1" applyBorder="1" applyProtection="1">
      <protection locked="0"/>
    </xf>
    <xf numFmtId="14" fontId="0" fillId="0" borderId="0" xfId="0" applyNumberFormat="1" applyAlignment="1" applyProtection="1"/>
    <xf numFmtId="14" fontId="0" fillId="0" borderId="0" xfId="0" applyNumberFormat="1" applyAlignment="1" applyProtection="1">
      <alignment horizontal="center"/>
    </xf>
    <xf numFmtId="14" fontId="0" fillId="0" borderId="0" xfId="0" applyNumberFormat="1" applyAlignment="1" applyProtection="1">
      <alignment horizontal="left"/>
    </xf>
    <xf numFmtId="0" fontId="0" fillId="0" borderId="0" xfId="0" applyAlignment="1" applyProtection="1"/>
    <xf numFmtId="0" fontId="3" fillId="0" borderId="0" xfId="0" applyFont="1" applyAlignment="1" applyProtection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/>
    <xf numFmtId="0" fontId="0" fillId="0" borderId="0" xfId="0" applyAlignment="1">
      <alignment horizontal="left"/>
    </xf>
    <xf numFmtId="37" fontId="0" fillId="0" borderId="0" xfId="0" applyNumberFormat="1" applyAlignment="1"/>
    <xf numFmtId="0" fontId="3" fillId="0" borderId="0" xfId="0" applyFont="1" applyFill="1" applyAlignment="1"/>
    <xf numFmtId="0" fontId="0" fillId="0" borderId="0" xfId="0" applyFill="1" applyAlignment="1" applyProtection="1">
      <protection locked="0"/>
    </xf>
    <xf numFmtId="0" fontId="0" fillId="0" borderId="0" xfId="0" applyFill="1" applyAlignment="1">
      <alignment horizontal="centerContinuous"/>
    </xf>
    <xf numFmtId="3" fontId="0" fillId="0" borderId="0" xfId="2" applyFont="1" applyFill="1" applyBorder="1" applyProtection="1">
      <protection locked="0"/>
    </xf>
    <xf numFmtId="3" fontId="0" fillId="0" borderId="0" xfId="2" applyFont="1" applyBorder="1" applyAlignment="1" applyProtection="1">
      <alignment horizontal="right"/>
      <protection locked="0"/>
    </xf>
    <xf numFmtId="37" fontId="0" fillId="0" borderId="0" xfId="4" applyNumberFormat="1" applyFont="1"/>
    <xf numFmtId="3" fontId="0" fillId="0" borderId="0" xfId="2" applyFont="1" applyFill="1" applyProtection="1">
      <protection locked="0"/>
    </xf>
    <xf numFmtId="37" fontId="0" fillId="0" borderId="0" xfId="2" applyNumberFormat="1" applyFont="1"/>
    <xf numFmtId="37" fontId="0" fillId="0" borderId="0" xfId="0" applyNumberFormat="1" applyAlignment="1" applyProtection="1">
      <protection locked="0"/>
    </xf>
    <xf numFmtId="37" fontId="3" fillId="0" borderId="0" xfId="2" applyNumberFormat="1" applyFont="1"/>
    <xf numFmtId="0" fontId="9" fillId="0" borderId="0" xfId="0" applyFont="1" applyAlignment="1"/>
    <xf numFmtId="3" fontId="3" fillId="0" borderId="0" xfId="2" applyFont="1" applyFill="1"/>
    <xf numFmtId="3" fontId="0" fillId="0" borderId="0" xfId="2" applyFont="1" applyFill="1"/>
    <xf numFmtId="0" fontId="11" fillId="0" borderId="0" xfId="0" applyFont="1" applyAlignment="1" applyProtection="1">
      <protection locked="0"/>
    </xf>
    <xf numFmtId="0" fontId="11" fillId="0" borderId="0" xfId="0" applyFont="1" applyAlignment="1"/>
    <xf numFmtId="3" fontId="0" fillId="4" borderId="0" xfId="2" applyFont="1" applyFill="1" applyProtection="1">
      <protection locked="0"/>
    </xf>
    <xf numFmtId="167" fontId="0" fillId="5" borderId="0" xfId="0" applyNumberFormat="1" applyFill="1" applyAlignment="1" applyProtection="1">
      <protection locked="0"/>
    </xf>
    <xf numFmtId="0" fontId="3" fillId="6" borderId="0" xfId="0" applyFont="1" applyFill="1" applyAlignment="1" applyProtection="1">
      <protection locked="0"/>
    </xf>
    <xf numFmtId="10" fontId="3" fillId="4" borderId="0" xfId="11" applyFont="1" applyFill="1" applyProtection="1">
      <protection locked="0"/>
    </xf>
    <xf numFmtId="0" fontId="0" fillId="4" borderId="0" xfId="0" applyFill="1" applyAlignment="1" applyProtection="1">
      <protection locked="0"/>
    </xf>
    <xf numFmtId="3" fontId="0" fillId="4" borderId="0" xfId="2" applyNumberFormat="1" applyFont="1" applyFill="1" applyProtection="1">
      <protection locked="0"/>
    </xf>
    <xf numFmtId="3" fontId="0" fillId="4" borderId="0" xfId="0" applyNumberFormat="1" applyFill="1" applyAlignment="1" applyProtection="1">
      <protection locked="0"/>
    </xf>
    <xf numFmtId="37" fontId="0" fillId="4" borderId="0" xfId="2" applyNumberFormat="1" applyFont="1" applyFill="1" applyProtection="1">
      <protection locked="0"/>
    </xf>
    <xf numFmtId="37" fontId="0" fillId="5" borderId="0" xfId="0" applyNumberFormat="1" applyFill="1" applyAlignment="1" applyProtection="1">
      <protection locked="0"/>
    </xf>
    <xf numFmtId="5" fontId="0" fillId="4" borderId="0" xfId="4" applyFont="1" applyFill="1" applyProtection="1">
      <protection locked="0"/>
    </xf>
    <xf numFmtId="0" fontId="0" fillId="5" borderId="0" xfId="0" applyFill="1" applyAlignment="1" applyProtection="1">
      <protection locked="0"/>
    </xf>
    <xf numFmtId="3" fontId="0" fillId="5" borderId="0" xfId="2" applyFont="1" applyFill="1" applyProtection="1">
      <protection locked="0"/>
    </xf>
    <xf numFmtId="10" fontId="0" fillId="4" borderId="0" xfId="11" applyFont="1" applyFill="1" applyProtection="1">
      <protection locked="0"/>
    </xf>
    <xf numFmtId="37" fontId="0" fillId="7" borderId="0" xfId="0" applyNumberFormat="1" applyFill="1" applyAlignment="1" applyProtection="1">
      <protection locked="0"/>
    </xf>
    <xf numFmtId="3" fontId="0" fillId="7" borderId="0" xfId="2" applyFont="1" applyFill="1" applyProtection="1">
      <protection locked="0"/>
    </xf>
    <xf numFmtId="9" fontId="3" fillId="4" borderId="0" xfId="11" applyNumberFormat="1" applyFont="1" applyFill="1" applyProtection="1">
      <protection locked="0"/>
    </xf>
    <xf numFmtId="167" fontId="0" fillId="4" borderId="0" xfId="0" applyNumberFormat="1" applyFill="1" applyAlignment="1" applyProtection="1">
      <alignment horizontal="left"/>
      <protection locked="0"/>
    </xf>
    <xf numFmtId="0" fontId="3" fillId="8" borderId="0" xfId="0" applyFont="1" applyFill="1" applyAlignment="1" applyProtection="1">
      <alignment horizontal="center"/>
      <protection locked="0"/>
    </xf>
    <xf numFmtId="37" fontId="0" fillId="8" borderId="0" xfId="2" applyNumberFormat="1" applyFont="1" applyFill="1" applyProtection="1">
      <protection locked="0"/>
    </xf>
    <xf numFmtId="10" fontId="0" fillId="8" borderId="0" xfId="11" applyFont="1" applyFill="1" applyProtection="1">
      <protection locked="0"/>
    </xf>
    <xf numFmtId="5" fontId="3" fillId="8" borderId="0" xfId="4" applyFont="1" applyFill="1" applyProtection="1">
      <protection locked="0"/>
    </xf>
    <xf numFmtId="10" fontId="0" fillId="5" borderId="0" xfId="2" applyNumberFormat="1" applyFont="1" applyFill="1" applyProtection="1">
      <protection locked="0"/>
    </xf>
    <xf numFmtId="0" fontId="3" fillId="0" borderId="0" xfId="0" applyFont="1" applyFill="1" applyAlignment="1" applyProtection="1">
      <alignment horizontal="center"/>
      <protection locked="0"/>
    </xf>
    <xf numFmtId="167" fontId="0" fillId="4" borderId="0" xfId="0" applyNumberFormat="1" applyFill="1" applyAlignment="1" applyProtection="1">
      <protection locked="0"/>
    </xf>
    <xf numFmtId="5" fontId="0" fillId="8" borderId="0" xfId="0" applyNumberFormat="1" applyFill="1" applyAlignment="1" applyProtection="1">
      <protection locked="0"/>
    </xf>
    <xf numFmtId="164" fontId="0" fillId="8" borderId="0" xfId="0" applyNumberFormat="1" applyFill="1" applyAlignment="1" applyProtection="1">
      <protection locked="0"/>
    </xf>
    <xf numFmtId="0" fontId="0" fillId="8" borderId="0" xfId="0" applyFill="1" applyAlignment="1" applyProtection="1">
      <protection locked="0"/>
    </xf>
    <xf numFmtId="10" fontId="0" fillId="8" borderId="0" xfId="0" applyNumberFormat="1" applyFill="1" applyAlignment="1" applyProtection="1">
      <protection locked="0"/>
    </xf>
    <xf numFmtId="3" fontId="0" fillId="9" borderId="0" xfId="11" applyNumberFormat="1" applyFont="1" applyFill="1" applyProtection="1"/>
    <xf numFmtId="37" fontId="0" fillId="0" borderId="0" xfId="2" applyNumberFormat="1" applyFont="1" applyProtection="1"/>
    <xf numFmtId="37" fontId="0" fillId="0" borderId="0" xfId="0" applyNumberFormat="1" applyAlignment="1" applyProtection="1"/>
    <xf numFmtId="37" fontId="3" fillId="0" borderId="0" xfId="4" applyNumberFormat="1" applyFont="1" applyProtection="1"/>
    <xf numFmtId="168" fontId="0" fillId="0" borderId="0" xfId="0" applyNumberFormat="1" applyAlignment="1" applyProtection="1"/>
    <xf numFmtId="37" fontId="0" fillId="0" borderId="0" xfId="4" applyNumberFormat="1" applyFont="1" applyProtection="1"/>
    <xf numFmtId="3" fontId="0" fillId="0" borderId="0" xfId="11" applyNumberFormat="1" applyFont="1" applyFill="1" applyProtection="1"/>
    <xf numFmtId="0" fontId="11" fillId="5" borderId="0" xfId="0" applyFont="1" applyFill="1" applyAlignment="1" applyProtection="1">
      <alignment horizontal="center"/>
      <protection locked="0"/>
    </xf>
    <xf numFmtId="9" fontId="0" fillId="8" borderId="0" xfId="11" applyNumberFormat="1" applyFont="1" applyFill="1" applyProtection="1">
      <protection locked="0"/>
    </xf>
    <xf numFmtId="9" fontId="0" fillId="5" borderId="0" xfId="2" applyNumberFormat="1" applyFont="1" applyFill="1" applyProtection="1">
      <protection locked="0"/>
    </xf>
    <xf numFmtId="9" fontId="0" fillId="0" borderId="0" xfId="2" applyNumberFormat="1" applyFont="1" applyFill="1" applyProtection="1">
      <protection locked="0"/>
    </xf>
    <xf numFmtId="5" fontId="0" fillId="10" borderId="0" xfId="4" applyFont="1" applyFill="1" applyProtection="1">
      <protection locked="0"/>
    </xf>
    <xf numFmtId="5" fontId="0" fillId="0" borderId="0" xfId="4" applyFont="1" applyFill="1" applyProtection="1">
      <protection locked="0"/>
    </xf>
    <xf numFmtId="0" fontId="17" fillId="2" borderId="0" xfId="0" applyFont="1" applyFill="1" applyAlignment="1"/>
    <xf numFmtId="0" fontId="16" fillId="0" borderId="0" xfId="0" applyFont="1" applyAlignment="1">
      <alignment horizontal="centerContinuous"/>
    </xf>
    <xf numFmtId="37" fontId="0" fillId="4" borderId="0" xfId="0" applyNumberFormat="1" applyFill="1" applyAlignment="1" applyProtection="1">
      <protection locked="0"/>
    </xf>
    <xf numFmtId="10" fontId="3" fillId="0" borderId="0" xfId="11" applyFont="1" applyFill="1" applyProtection="1"/>
    <xf numFmtId="0" fontId="0" fillId="0" borderId="0" xfId="0" applyBorder="1" applyAlignment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Continuous"/>
    </xf>
    <xf numFmtId="0" fontId="3" fillId="0" borderId="0" xfId="0" applyFont="1" applyBorder="1" applyAlignment="1"/>
    <xf numFmtId="0" fontId="0" fillId="0" borderId="0" xfId="0" applyFill="1" applyBorder="1" applyAlignment="1" applyProtection="1"/>
    <xf numFmtId="0" fontId="0" fillId="0" borderId="0" xfId="0" applyFill="1" applyAlignment="1" applyProtection="1"/>
    <xf numFmtId="0" fontId="0" fillId="0" borderId="0" xfId="0" applyFill="1" applyBorder="1">
      <alignment vertical="top"/>
    </xf>
    <xf numFmtId="0" fontId="0" fillId="0" borderId="0" xfId="0" applyFill="1" applyBorder="1" applyAlignment="1">
      <alignment horizontal="left"/>
    </xf>
    <xf numFmtId="10" fontId="0" fillId="0" borderId="0" xfId="11" applyFont="1"/>
    <xf numFmtId="0" fontId="0" fillId="0" borderId="0" xfId="0" applyFill="1" applyBorder="1" applyAlignment="1" applyProtection="1">
      <alignment horizontal="left"/>
      <protection locked="0"/>
    </xf>
    <xf numFmtId="0" fontId="0" fillId="0" borderId="0" xfId="0" applyBorder="1" applyProtection="1">
      <alignment vertical="top"/>
      <protection locked="0"/>
    </xf>
    <xf numFmtId="0" fontId="0" fillId="0" borderId="0" xfId="0" applyBorder="1" applyAlignment="1" applyProtection="1"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4" fillId="0" borderId="0" xfId="0" applyFont="1" applyBorder="1" applyAlignment="1"/>
    <xf numFmtId="0" fontId="3" fillId="0" borderId="0" xfId="0" applyFont="1" applyBorder="1" applyAlignment="1">
      <alignment horizontal="right"/>
    </xf>
    <xf numFmtId="0" fontId="5" fillId="0" borderId="0" xfId="0" applyFont="1" applyBorder="1" applyAlignment="1"/>
    <xf numFmtId="0" fontId="9" fillId="0" borderId="2" xfId="0" applyFont="1" applyBorder="1">
      <alignment vertical="top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centerContinuous"/>
    </xf>
    <xf numFmtId="14" fontId="0" fillId="0" borderId="0" xfId="0" applyNumberFormat="1" applyAlignment="1">
      <alignment horizontal="center" wrapText="1"/>
    </xf>
    <xf numFmtId="37" fontId="0" fillId="0" borderId="0" xfId="0" applyNumberFormat="1" applyFill="1" applyAlignment="1"/>
    <xf numFmtId="3" fontId="0" fillId="0" borderId="0" xfId="2" applyFont="1" applyFill="1" applyProtection="1"/>
    <xf numFmtId="165" fontId="0" fillId="0" borderId="0" xfId="0" applyNumberFormat="1" applyAlignment="1"/>
    <xf numFmtId="3" fontId="11" fillId="0" borderId="0" xfId="2" applyFont="1" applyAlignment="1">
      <alignment horizontal="center" vertical="top"/>
    </xf>
    <xf numFmtId="0" fontId="0" fillId="0" borderId="0" xfId="0" applyAlignment="1">
      <alignment horizontal="center" vertical="top"/>
    </xf>
    <xf numFmtId="168" fontId="11" fillId="0" borderId="0" xfId="0" applyNumberFormat="1" applyFont="1" applyAlignment="1" applyProtection="1">
      <alignment horizontal="center"/>
    </xf>
    <xf numFmtId="37" fontId="0" fillId="0" borderId="0" xfId="2" applyNumberFormat="1" applyFont="1" applyFill="1" applyProtection="1">
      <protection locked="0"/>
    </xf>
    <xf numFmtId="5" fontId="3" fillId="0" borderId="0" xfId="4" applyFont="1" applyFill="1" applyProtection="1"/>
    <xf numFmtId="0" fontId="0" fillId="0" borderId="3" xfId="0" applyBorder="1" applyAlignment="1"/>
    <xf numFmtId="0" fontId="11" fillId="0" borderId="0" xfId="0" applyFont="1" applyBorder="1" applyAlignment="1">
      <alignment horizontal="center" vertical="top"/>
    </xf>
    <xf numFmtId="39" fontId="0" fillId="0" borderId="0" xfId="0" applyNumberFormat="1" applyFill="1" applyAlignment="1"/>
    <xf numFmtId="165" fontId="0" fillId="0" borderId="0" xfId="0" applyNumberFormat="1" applyFill="1" applyAlignment="1"/>
    <xf numFmtId="37" fontId="0" fillId="11" borderId="0" xfId="2" applyNumberFormat="1" applyFont="1" applyFill="1" applyProtection="1">
      <protection locked="0"/>
    </xf>
    <xf numFmtId="37" fontId="0" fillId="0" borderId="0" xfId="4" applyNumberFormat="1" applyFont="1" applyFill="1" applyProtection="1">
      <protection locked="0"/>
    </xf>
    <xf numFmtId="37" fontId="3" fillId="0" borderId="0" xfId="4" applyNumberFormat="1" applyFont="1" applyFill="1" applyProtection="1"/>
    <xf numFmtId="37" fontId="0" fillId="11" borderId="0" xfId="0" applyNumberFormat="1" applyFill="1" applyAlignment="1" applyProtection="1">
      <protection locked="0"/>
    </xf>
    <xf numFmtId="37" fontId="0" fillId="12" borderId="0" xfId="2" applyNumberFormat="1" applyFont="1" applyFill="1" applyProtection="1">
      <protection locked="0"/>
    </xf>
    <xf numFmtId="37" fontId="0" fillId="13" borderId="0" xfId="2" applyNumberFormat="1" applyFont="1" applyFill="1" applyProtection="1">
      <protection locked="0"/>
    </xf>
    <xf numFmtId="37" fontId="0" fillId="14" borderId="0" xfId="0" applyNumberFormat="1" applyFill="1" applyAlignment="1" applyProtection="1">
      <protection locked="0"/>
    </xf>
    <xf numFmtId="37" fontId="0" fillId="15" borderId="0" xfId="0" applyNumberFormat="1" applyFill="1" applyAlignment="1" applyProtection="1">
      <protection locked="0"/>
    </xf>
    <xf numFmtId="37" fontId="9" fillId="0" borderId="0" xfId="2" applyNumberFormat="1" applyFont="1"/>
    <xf numFmtId="37" fontId="11" fillId="0" borderId="0" xfId="4" applyNumberFormat="1" applyFont="1"/>
    <xf numFmtId="4" fontId="9" fillId="0" borderId="0" xfId="1" applyFont="1"/>
    <xf numFmtId="37" fontId="8" fillId="0" borderId="0" xfId="2" applyNumberFormat="1" applyFont="1"/>
    <xf numFmtId="37" fontId="8" fillId="0" borderId="0" xfId="0" applyNumberFormat="1" applyFont="1" applyAlignment="1"/>
    <xf numFmtId="37" fontId="15" fillId="0" borderId="0" xfId="2" applyNumberFormat="1" applyFont="1"/>
    <xf numFmtId="37" fontId="10" fillId="0" borderId="0" xfId="4" applyNumberFormat="1" applyFont="1"/>
    <xf numFmtId="4" fontId="8" fillId="0" borderId="0" xfId="1" applyFont="1"/>
    <xf numFmtId="0" fontId="16" fillId="0" borderId="0" xfId="0" applyFont="1" applyAlignment="1"/>
    <xf numFmtId="3" fontId="16" fillId="0" borderId="0" xfId="2" applyFont="1" applyFill="1"/>
    <xf numFmtId="3" fontId="16" fillId="0" borderId="0" xfId="2" applyFont="1"/>
    <xf numFmtId="0" fontId="0" fillId="0" borderId="3" xfId="0" applyBorder="1" applyAlignment="1">
      <alignment wrapText="1"/>
    </xf>
    <xf numFmtId="3" fontId="0" fillId="0" borderId="3" xfId="2" applyFont="1" applyBorder="1"/>
    <xf numFmtId="3" fontId="0" fillId="0" borderId="3" xfId="2" applyFont="1" applyBorder="1" applyProtection="1">
      <protection locked="0"/>
    </xf>
    <xf numFmtId="10" fontId="0" fillId="4" borderId="4" xfId="11" applyFont="1" applyFill="1" applyBorder="1" applyProtection="1">
      <protection locked="0"/>
    </xf>
    <xf numFmtId="3" fontId="0" fillId="4" borderId="4" xfId="2" applyFont="1" applyFill="1" applyBorder="1" applyProtection="1">
      <protection locked="0"/>
    </xf>
    <xf numFmtId="3" fontId="0" fillId="5" borderId="4" xfId="2" applyFont="1" applyFill="1" applyBorder="1" applyProtection="1">
      <protection locked="0"/>
    </xf>
    <xf numFmtId="3" fontId="0" fillId="0" borderId="4" xfId="2" applyFont="1" applyBorder="1" applyProtection="1"/>
    <xf numFmtId="3" fontId="8" fillId="0" borderId="3" xfId="2" applyFont="1" applyBorder="1"/>
    <xf numFmtId="3" fontId="8" fillId="0" borderId="3" xfId="2" applyFont="1" applyBorder="1" applyProtection="1"/>
    <xf numFmtId="10" fontId="0" fillId="7" borderId="4" xfId="0" applyNumberFormat="1" applyFill="1" applyBorder="1" applyAlignment="1" applyProtection="1">
      <protection locked="0"/>
    </xf>
    <xf numFmtId="167" fontId="0" fillId="0" borderId="0" xfId="0" applyNumberFormat="1" applyFill="1" applyAlignment="1" applyProtection="1">
      <protection locked="0"/>
    </xf>
    <xf numFmtId="0" fontId="21" fillId="0" borderId="3" xfId="0" applyFont="1" applyBorder="1" applyAlignment="1"/>
    <xf numFmtId="0" fontId="20" fillId="0" borderId="3" xfId="0" applyFont="1" applyBorder="1" applyAlignment="1"/>
    <xf numFmtId="0" fontId="20" fillId="0" borderId="0" xfId="0" applyFont="1" applyAlignment="1"/>
    <xf numFmtId="0" fontId="21" fillId="0" borderId="0" xfId="0" applyFont="1" applyAlignment="1"/>
    <xf numFmtId="0" fontId="20" fillId="0" borderId="0" xfId="0" applyFont="1" applyBorder="1" applyAlignment="1"/>
    <xf numFmtId="10" fontId="21" fillId="0" borderId="0" xfId="0" applyNumberFormat="1" applyFont="1" applyAlignment="1"/>
    <xf numFmtId="0" fontId="20" fillId="0" borderId="0" xfId="0" applyFont="1" applyAlignment="1">
      <alignment wrapText="1"/>
    </xf>
    <xf numFmtId="3" fontId="24" fillId="0" borderId="0" xfId="2" applyFont="1"/>
    <xf numFmtId="37" fontId="20" fillId="0" borderId="3" xfId="0" applyNumberFormat="1" applyFont="1" applyFill="1" applyBorder="1" applyAlignment="1" applyProtection="1">
      <protection locked="0"/>
    </xf>
    <xf numFmtId="3" fontId="20" fillId="0" borderId="3" xfId="2" applyFont="1" applyFill="1" applyBorder="1" applyProtection="1">
      <protection locked="0"/>
    </xf>
    <xf numFmtId="0" fontId="0" fillId="0" borderId="0" xfId="0" applyFill="1" applyAlignment="1">
      <alignment wrapText="1"/>
    </xf>
    <xf numFmtId="0" fontId="0" fillId="0" borderId="2" xfId="0" applyBorder="1" applyAlignment="1"/>
    <xf numFmtId="5" fontId="0" fillId="5" borderId="0" xfId="4" applyFont="1" applyFill="1" applyProtection="1">
      <protection locked="0"/>
    </xf>
    <xf numFmtId="0" fontId="0" fillId="5" borderId="0" xfId="0" applyFill="1" applyAlignment="1" applyProtection="1">
      <alignment horizontal="center"/>
      <protection locked="0"/>
    </xf>
    <xf numFmtId="0" fontId="26" fillId="0" borderId="0" xfId="0" applyFont="1" applyAlignment="1">
      <alignment horizontal="center" wrapText="1"/>
    </xf>
    <xf numFmtId="0" fontId="0" fillId="0" borderId="0" xfId="0" applyFill="1" applyAlignment="1" applyProtection="1">
      <alignment horizontal="center"/>
      <protection locked="0"/>
    </xf>
    <xf numFmtId="9" fontId="0" fillId="6" borderId="0" xfId="2" applyNumberFormat="1" applyFont="1" applyFill="1" applyProtection="1">
      <protection locked="0"/>
    </xf>
    <xf numFmtId="167" fontId="0" fillId="5" borderId="0" xfId="2" applyNumberFormat="1" applyFont="1" applyFill="1" applyBorder="1" applyProtection="1">
      <protection locked="0"/>
    </xf>
    <xf numFmtId="166" fontId="0" fillId="0" borderId="0" xfId="0" applyNumberFormat="1" applyAlignment="1" applyProtection="1">
      <protection locked="0"/>
    </xf>
    <xf numFmtId="169" fontId="0" fillId="6" borderId="0" xfId="0" applyNumberFormat="1" applyFill="1" applyBorder="1" applyAlignment="1" applyProtection="1">
      <protection locked="0"/>
    </xf>
    <xf numFmtId="169" fontId="0" fillId="6" borderId="0" xfId="0" applyNumberFormat="1" applyFill="1" applyAlignment="1" applyProtection="1">
      <protection locked="0"/>
    </xf>
    <xf numFmtId="0" fontId="3" fillId="6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right"/>
      <protection locked="0"/>
    </xf>
    <xf numFmtId="167" fontId="0" fillId="5" borderId="0" xfId="0" applyNumberFormat="1" applyFill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0" fillId="0" borderId="0" xfId="0" applyFill="1" applyAlignment="1">
      <alignment horizontal="center"/>
    </xf>
    <xf numFmtId="3" fontId="0" fillId="0" borderId="0" xfId="2" applyNumberFormat="1" applyFont="1" applyFill="1" applyProtection="1">
      <protection locked="0"/>
    </xf>
    <xf numFmtId="0" fontId="6" fillId="0" borderId="0" xfId="0" applyFont="1" applyFill="1" applyAlignment="1">
      <alignment horizontal="center"/>
    </xf>
    <xf numFmtId="3" fontId="0" fillId="0" borderId="0" xfId="0" applyNumberFormat="1" applyFill="1" applyAlignment="1" applyProtection="1">
      <protection locked="0"/>
    </xf>
    <xf numFmtId="37" fontId="0" fillId="0" borderId="0" xfId="0" applyNumberFormat="1" applyFill="1" applyAlignment="1" applyProtection="1">
      <protection locked="0"/>
    </xf>
    <xf numFmtId="0" fontId="3" fillId="0" borderId="0" xfId="0" applyFont="1" applyFill="1" applyAlignment="1">
      <alignment horizontal="centerContinuous"/>
    </xf>
    <xf numFmtId="14" fontId="0" fillId="0" borderId="0" xfId="0" applyNumberFormat="1" applyFill="1" applyAlignment="1" applyProtection="1">
      <alignment horizontal="center"/>
    </xf>
    <xf numFmtId="0" fontId="0" fillId="0" borderId="0" xfId="0" applyFill="1" applyAlignment="1">
      <alignment horizontal="center" wrapText="1"/>
    </xf>
    <xf numFmtId="37" fontId="0" fillId="0" borderId="0" xfId="2" applyNumberFormat="1" applyFont="1" applyFill="1"/>
    <xf numFmtId="5" fontId="3" fillId="0" borderId="0" xfId="4" applyFont="1" applyFill="1"/>
    <xf numFmtId="37" fontId="3" fillId="0" borderId="0" xfId="4" applyNumberFormat="1" applyFont="1" applyFill="1"/>
    <xf numFmtId="37" fontId="0" fillId="0" borderId="0" xfId="4" applyNumberFormat="1" applyFont="1" applyFill="1"/>
    <xf numFmtId="9" fontId="3" fillId="0" borderId="0" xfId="11" applyNumberFormat="1" applyFont="1" applyFill="1" applyProtection="1"/>
    <xf numFmtId="0" fontId="18" fillId="0" borderId="0" xfId="0" applyFont="1" applyAlignment="1"/>
    <xf numFmtId="170" fontId="0" fillId="8" borderId="0" xfId="0" applyNumberFormat="1" applyFill="1" applyAlignment="1" applyProtection="1">
      <protection locked="0"/>
    </xf>
    <xf numFmtId="0" fontId="17" fillId="0" borderId="0" xfId="0" applyFont="1" applyAlignment="1" applyProtection="1"/>
    <xf numFmtId="0" fontId="17" fillId="0" borderId="0" xfId="0" applyFont="1" applyAlignment="1"/>
    <xf numFmtId="3" fontId="0" fillId="0" borderId="0" xfId="1" applyNumberFormat="1" applyFont="1" applyBorder="1"/>
    <xf numFmtId="3" fontId="0" fillId="0" borderId="0" xfId="1" applyNumberFormat="1" applyFont="1" applyBorder="1" applyProtection="1">
      <protection locked="0"/>
    </xf>
    <xf numFmtId="3" fontId="3" fillId="0" borderId="0" xfId="1" applyNumberFormat="1" applyFont="1" applyBorder="1" applyAlignment="1">
      <alignment horizontal="right"/>
    </xf>
    <xf numFmtId="3" fontId="4" fillId="0" borderId="0" xfId="1" applyNumberFormat="1" applyFont="1"/>
    <xf numFmtId="3" fontId="3" fillId="0" borderId="0" xfId="1" applyNumberFormat="1" applyFont="1" applyBorder="1" applyAlignment="1" applyProtection="1">
      <alignment horizontal="right"/>
      <protection locked="0"/>
    </xf>
    <xf numFmtId="3" fontId="4" fillId="0" borderId="0" xfId="1" applyNumberFormat="1" applyFont="1" applyBorder="1"/>
    <xf numFmtId="3" fontId="3" fillId="0" borderId="0" xfId="1" applyNumberFormat="1" applyFont="1" applyBorder="1"/>
    <xf numFmtId="3" fontId="0" fillId="0" borderId="0" xfId="1" applyNumberFormat="1" applyFont="1" applyFill="1" applyBorder="1" applyAlignment="1">
      <alignment vertical="top"/>
    </xf>
    <xf numFmtId="3" fontId="0" fillId="0" borderId="0" xfId="1" applyNumberFormat="1" applyFont="1" applyFill="1" applyBorder="1" applyAlignment="1">
      <alignment horizontal="left"/>
    </xf>
    <xf numFmtId="3" fontId="0" fillId="0" borderId="0" xfId="1" applyNumberFormat="1" applyFont="1" applyFill="1" applyBorder="1" applyAlignment="1" applyProtection="1">
      <alignment horizontal="left"/>
      <protection locked="0"/>
    </xf>
    <xf numFmtId="3" fontId="3" fillId="0" borderId="0" xfId="0" applyNumberFormat="1" applyFont="1" applyBorder="1" applyAlignment="1"/>
    <xf numFmtId="0" fontId="2" fillId="0" borderId="0" xfId="0" applyFont="1" applyBorder="1" applyAlignment="1"/>
    <xf numFmtId="37" fontId="9" fillId="0" borderId="0" xfId="2" applyNumberFormat="1" applyFont="1" applyProtection="1"/>
    <xf numFmtId="3" fontId="9" fillId="0" borderId="0" xfId="2" applyFont="1"/>
    <xf numFmtId="37" fontId="9" fillId="4" borderId="0" xfId="2" applyNumberFormat="1" applyFont="1" applyFill="1" applyProtection="1">
      <protection locked="0"/>
    </xf>
    <xf numFmtId="37" fontId="9" fillId="0" borderId="0" xfId="4" applyNumberFormat="1" applyFont="1" applyProtection="1"/>
    <xf numFmtId="0" fontId="2" fillId="0" borderId="0" xfId="0" applyFont="1" applyAlignment="1"/>
    <xf numFmtId="37" fontId="2" fillId="0" borderId="0" xfId="4" applyNumberFormat="1" applyFont="1" applyProtection="1"/>
    <xf numFmtId="3" fontId="9" fillId="5" borderId="0" xfId="2" applyFont="1" applyFill="1" applyProtection="1">
      <protection locked="0"/>
    </xf>
    <xf numFmtId="3" fontId="9" fillId="0" borderId="0" xfId="2" applyFont="1" applyProtection="1">
      <protection locked="0"/>
    </xf>
    <xf numFmtId="3" fontId="2" fillId="0" borderId="0" xfId="2" applyFont="1"/>
    <xf numFmtId="3" fontId="9" fillId="0" borderId="3" xfId="2" applyFont="1" applyBorder="1" applyProtection="1">
      <protection locked="0"/>
    </xf>
    <xf numFmtId="10" fontId="9" fillId="4" borderId="4" xfId="11" applyFont="1" applyFill="1" applyBorder="1" applyProtection="1">
      <protection locked="0"/>
    </xf>
    <xf numFmtId="3" fontId="9" fillId="4" borderId="4" xfId="2" applyFont="1" applyFill="1" applyBorder="1" applyProtection="1">
      <protection locked="0"/>
    </xf>
    <xf numFmtId="3" fontId="9" fillId="5" borderId="4" xfId="2" applyFont="1" applyFill="1" applyBorder="1" applyProtection="1">
      <protection locked="0"/>
    </xf>
    <xf numFmtId="3" fontId="9" fillId="0" borderId="4" xfId="2" applyFont="1" applyBorder="1" applyProtection="1"/>
    <xf numFmtId="3" fontId="9" fillId="0" borderId="0" xfId="2" applyFont="1" applyProtection="1"/>
    <xf numFmtId="5" fontId="9" fillId="0" borderId="0" xfId="4" applyFont="1" applyProtection="1"/>
    <xf numFmtId="10" fontId="9" fillId="4" borderId="0" xfId="11" applyFont="1" applyFill="1" applyProtection="1">
      <protection locked="0"/>
    </xf>
    <xf numFmtId="3" fontId="9" fillId="4" borderId="0" xfId="2" applyFont="1" applyFill="1" applyProtection="1">
      <protection locked="0"/>
    </xf>
    <xf numFmtId="0" fontId="9" fillId="0" borderId="5" xfId="0" applyFont="1" applyBorder="1" applyAlignment="1">
      <alignment horizontal="center" wrapText="1"/>
    </xf>
    <xf numFmtId="5" fontId="3" fillId="0" borderId="0" xfId="0" applyNumberFormat="1" applyFont="1" applyBorder="1" applyAlignment="1"/>
    <xf numFmtId="5" fontId="0" fillId="0" borderId="0" xfId="0" applyNumberFormat="1" applyFill="1" applyAlignment="1"/>
    <xf numFmtId="0" fontId="11" fillId="0" borderId="0" xfId="0" applyFont="1" applyAlignment="1">
      <alignment horizontal="center"/>
    </xf>
    <xf numFmtId="3" fontId="0" fillId="0" borderId="0" xfId="2" applyNumberFormat="1" applyFont="1" applyBorder="1" applyProtection="1">
      <protection locked="0"/>
    </xf>
    <xf numFmtId="167" fontId="0" fillId="0" borderId="0" xfId="2" applyNumberFormat="1" applyFont="1" applyFill="1" applyBorder="1" applyProtection="1">
      <protection locked="0"/>
    </xf>
    <xf numFmtId="0" fontId="30" fillId="0" borderId="0" xfId="0" applyFont="1" applyBorder="1" applyAlignment="1"/>
    <xf numFmtId="0" fontId="30" fillId="0" borderId="0" xfId="0" applyFont="1" applyAlignment="1"/>
    <xf numFmtId="3" fontId="0" fillId="16" borderId="0" xfId="1" applyNumberFormat="1" applyFont="1" applyFill="1" applyBorder="1" applyAlignment="1" applyProtection="1">
      <alignment vertical="top"/>
      <protection locked="0"/>
    </xf>
    <xf numFmtId="3" fontId="0" fillId="5" borderId="0" xfId="1" applyNumberFormat="1" applyFont="1" applyFill="1" applyBorder="1" applyProtection="1">
      <protection locked="0"/>
    </xf>
    <xf numFmtId="3" fontId="0" fillId="4" borderId="0" xfId="1" applyNumberFormat="1" applyFont="1" applyFill="1" applyBorder="1" applyProtection="1">
      <protection locked="0"/>
    </xf>
    <xf numFmtId="3" fontId="0" fillId="4" borderId="0" xfId="1" applyNumberFormat="1" applyFont="1" applyFill="1" applyProtection="1">
      <protection locked="0"/>
    </xf>
    <xf numFmtId="3" fontId="0" fillId="6" borderId="0" xfId="1" applyNumberFormat="1" applyFont="1" applyFill="1" applyBorder="1" applyAlignment="1" applyProtection="1">
      <alignment horizontal="left"/>
      <protection locked="0"/>
    </xf>
    <xf numFmtId="3" fontId="0" fillId="0" borderId="0" xfId="2" applyFont="1" applyBorder="1" applyProtection="1"/>
    <xf numFmtId="0" fontId="0" fillId="0" borderId="6" xfId="0" applyBorder="1" applyAlignment="1"/>
    <xf numFmtId="5" fontId="0" fillId="0" borderId="0" xfId="0" applyNumberFormat="1" applyBorder="1" applyAlignment="1"/>
    <xf numFmtId="5" fontId="0" fillId="4" borderId="0" xfId="4" applyFont="1" applyFill="1" applyBorder="1" applyProtection="1">
      <protection locked="0"/>
    </xf>
    <xf numFmtId="5" fontId="0" fillId="0" borderId="0" xfId="4" applyFont="1" applyFill="1" applyBorder="1" applyProtection="1"/>
    <xf numFmtId="3" fontId="0" fillId="0" borderId="0" xfId="0" applyNumberFormat="1" applyAlignment="1" applyProtection="1">
      <protection locked="0"/>
    </xf>
    <xf numFmtId="0" fontId="0" fillId="0" borderId="7" xfId="0" applyBorder="1" applyAlignment="1"/>
    <xf numFmtId="0" fontId="0" fillId="0" borderId="8" xfId="0" applyBorder="1" applyAlignment="1" applyProtection="1">
      <protection locked="0"/>
    </xf>
    <xf numFmtId="17" fontId="0" fillId="0" borderId="8" xfId="0" applyNumberFormat="1" applyBorder="1" applyAlignment="1" applyProtection="1">
      <alignment horizontal="right"/>
      <protection locked="0"/>
    </xf>
    <xf numFmtId="0" fontId="0" fillId="0" borderId="8" xfId="0" applyBorder="1" applyAlignment="1" applyProtection="1">
      <alignment horizontal="right"/>
      <protection locked="0"/>
    </xf>
    <xf numFmtId="5" fontId="3" fillId="0" borderId="8" xfId="4" applyFont="1" applyBorder="1" applyProtection="1"/>
    <xf numFmtId="0" fontId="0" fillId="0" borderId="8" xfId="0" applyBorder="1" applyAlignment="1"/>
    <xf numFmtId="3" fontId="0" fillId="0" borderId="8" xfId="2" applyFont="1" applyBorder="1" applyProtection="1">
      <protection locked="0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wrapText="1"/>
    </xf>
    <xf numFmtId="37" fontId="0" fillId="5" borderId="2" xfId="0" applyNumberFormat="1" applyFill="1" applyBorder="1" applyAlignment="1" applyProtection="1">
      <protection locked="0"/>
    </xf>
    <xf numFmtId="5" fontId="0" fillId="0" borderId="2" xfId="4" applyFont="1" applyBorder="1" applyProtection="1">
      <protection locked="0"/>
    </xf>
    <xf numFmtId="5" fontId="3" fillId="0" borderId="2" xfId="4" applyFont="1" applyBorder="1" applyProtection="1"/>
    <xf numFmtId="3" fontId="0" fillId="4" borderId="2" xfId="2" applyFont="1" applyFill="1" applyBorder="1" applyProtection="1">
      <protection locked="0"/>
    </xf>
    <xf numFmtId="3" fontId="0" fillId="5" borderId="2" xfId="2" applyFont="1" applyFill="1" applyBorder="1" applyProtection="1">
      <protection locked="0"/>
    </xf>
    <xf numFmtId="3" fontId="0" fillId="0" borderId="2" xfId="2" applyFont="1" applyBorder="1" applyProtection="1">
      <protection locked="0"/>
    </xf>
    <xf numFmtId="3" fontId="0" fillId="0" borderId="2" xfId="2" applyFont="1" applyFill="1" applyBorder="1" applyProtection="1">
      <protection locked="0"/>
    </xf>
    <xf numFmtId="0" fontId="31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top"/>
    </xf>
    <xf numFmtId="0" fontId="0" fillId="0" borderId="0" xfId="0">
      <alignment vertical="top"/>
    </xf>
    <xf numFmtId="0" fontId="18" fillId="0" borderId="9" xfId="0" applyFont="1" applyBorder="1">
      <alignment vertical="top"/>
    </xf>
    <xf numFmtId="0" fontId="0" fillId="0" borderId="10" xfId="0" applyFill="1" applyBorder="1" applyAlignment="1" applyProtection="1"/>
    <xf numFmtId="0" fontId="0" fillId="0" borderId="10" xfId="0" applyBorder="1">
      <alignment vertical="top"/>
    </xf>
    <xf numFmtId="0" fontId="0" fillId="0" borderId="11" xfId="0" applyBorder="1" applyAlignment="1">
      <alignment horizontal="right" vertical="top"/>
    </xf>
    <xf numFmtId="3" fontId="9" fillId="0" borderId="3" xfId="2" applyFont="1" applyFill="1" applyBorder="1" applyProtection="1"/>
    <xf numFmtId="0" fontId="0" fillId="0" borderId="3" xfId="0" applyBorder="1">
      <alignment vertical="top"/>
    </xf>
    <xf numFmtId="0" fontId="0" fillId="0" borderId="12" xfId="0" applyBorder="1">
      <alignment vertical="top"/>
    </xf>
    <xf numFmtId="0" fontId="3" fillId="0" borderId="6" xfId="0" applyFont="1" applyBorder="1" applyAlignment="1">
      <alignment horizontal="right"/>
    </xf>
    <xf numFmtId="3" fontId="9" fillId="0" borderId="0" xfId="2" applyFont="1" applyFill="1" applyBorder="1" applyProtection="1">
      <protection locked="0"/>
    </xf>
    <xf numFmtId="0" fontId="0" fillId="0" borderId="0" xfId="0" applyBorder="1" applyAlignment="1">
      <alignment horizontal="center" vertical="top" wrapText="1"/>
    </xf>
    <xf numFmtId="0" fontId="0" fillId="0" borderId="0" xfId="0" applyBorder="1">
      <alignment vertical="top"/>
    </xf>
    <xf numFmtId="0" fontId="0" fillId="0" borderId="7" xfId="0" applyBorder="1">
      <alignment vertical="top"/>
    </xf>
    <xf numFmtId="0" fontId="0" fillId="0" borderId="6" xfId="0" applyBorder="1" applyAlignment="1">
      <alignment horizontal="right" vertical="top"/>
    </xf>
    <xf numFmtId="3" fontId="9" fillId="0" borderId="0" xfId="2" applyFont="1" applyFill="1" applyBorder="1" applyProtection="1"/>
    <xf numFmtId="10" fontId="0" fillId="0" borderId="0" xfId="0" applyNumberFormat="1" applyBorder="1">
      <alignment vertical="top"/>
    </xf>
    <xf numFmtId="0" fontId="0" fillId="0" borderId="6" xfId="0" applyFill="1" applyBorder="1" applyAlignment="1">
      <alignment horizontal="right" vertical="top"/>
    </xf>
    <xf numFmtId="3" fontId="0" fillId="0" borderId="0" xfId="0" applyNumberFormat="1" applyBorder="1" applyAlignment="1"/>
    <xf numFmtId="0" fontId="3" fillId="0" borderId="6" xfId="0" applyFont="1" applyBorder="1" applyAlignment="1">
      <alignment horizontal="right" vertical="top"/>
    </xf>
    <xf numFmtId="0" fontId="0" fillId="0" borderId="13" xfId="0" applyBorder="1">
      <alignment vertical="top"/>
    </xf>
    <xf numFmtId="3" fontId="0" fillId="0" borderId="4" xfId="0" applyNumberFormat="1" applyBorder="1" applyAlignment="1"/>
    <xf numFmtId="0" fontId="0" fillId="0" borderId="4" xfId="0" applyBorder="1">
      <alignment vertical="top"/>
    </xf>
    <xf numFmtId="0" fontId="0" fillId="0" borderId="14" xfId="0" applyBorder="1">
      <alignment vertical="top"/>
    </xf>
    <xf numFmtId="0" fontId="18" fillId="0" borderId="0" xfId="0" applyFont="1">
      <alignment vertical="top"/>
    </xf>
    <xf numFmtId="0" fontId="0" fillId="0" borderId="11" xfId="0" applyBorder="1">
      <alignment vertical="top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5" fontId="0" fillId="0" borderId="0" xfId="0" applyNumberFormat="1" applyBorder="1">
      <alignment vertical="top"/>
    </xf>
    <xf numFmtId="10" fontId="30" fillId="0" borderId="0" xfId="0" applyNumberFormat="1" applyFont="1" applyBorder="1" applyAlignment="1"/>
    <xf numFmtId="5" fontId="9" fillId="0" borderId="0" xfId="3" applyNumberFormat="1" applyFont="1" applyBorder="1"/>
    <xf numFmtId="7" fontId="9" fillId="0" borderId="7" xfId="3" applyFont="1" applyBorder="1"/>
    <xf numFmtId="7" fontId="9" fillId="17" borderId="7" xfId="3" applyFont="1" applyFill="1" applyBorder="1"/>
    <xf numFmtId="0" fontId="6" fillId="0" borderId="0" xfId="0" applyFont="1" applyFill="1">
      <alignment vertical="top"/>
    </xf>
    <xf numFmtId="10" fontId="30" fillId="17" borderId="0" xfId="0" applyNumberFormat="1" applyFont="1" applyFill="1" applyBorder="1" applyAlignment="1"/>
    <xf numFmtId="0" fontId="3" fillId="0" borderId="13" xfId="0" applyFont="1" applyBorder="1" applyAlignment="1">
      <alignment horizontal="right" vertical="top"/>
    </xf>
    <xf numFmtId="5" fontId="3" fillId="0" borderId="4" xfId="0" applyNumberFormat="1" applyFont="1" applyBorder="1">
      <alignment vertical="top"/>
    </xf>
    <xf numFmtId="10" fontId="3" fillId="0" borderId="4" xfId="0" applyNumberFormat="1" applyFont="1" applyBorder="1" applyAlignment="1"/>
    <xf numFmtId="5" fontId="3" fillId="0" borderId="4" xfId="3" applyNumberFormat="1" applyFont="1" applyBorder="1"/>
    <xf numFmtId="7" fontId="3" fillId="0" borderId="14" xfId="3" applyFont="1" applyBorder="1"/>
    <xf numFmtId="5" fontId="0" fillId="0" borderId="0" xfId="0" applyNumberFormat="1">
      <alignment vertical="top"/>
    </xf>
    <xf numFmtId="7" fontId="9" fillId="0" borderId="0" xfId="3" applyFont="1"/>
    <xf numFmtId="0" fontId="0" fillId="0" borderId="15" xfId="0" applyBorder="1" applyAlignment="1">
      <alignment horizontal="center" vertical="top" wrapText="1"/>
    </xf>
    <xf numFmtId="0" fontId="0" fillId="0" borderId="6" xfId="0" applyBorder="1" applyAlignment="1">
      <alignment horizontal="right"/>
    </xf>
    <xf numFmtId="5" fontId="9" fillId="0" borderId="0" xfId="3" applyNumberFormat="1" applyFont="1" applyBorder="1" applyAlignment="1">
      <alignment vertical="top"/>
    </xf>
    <xf numFmtId="10" fontId="30" fillId="0" borderId="0" xfId="11" applyFont="1" applyBorder="1" applyAlignment="1">
      <alignment vertical="top"/>
    </xf>
    <xf numFmtId="5" fontId="30" fillId="0" borderId="0" xfId="3" applyNumberFormat="1" applyFont="1" applyBorder="1"/>
    <xf numFmtId="5" fontId="3" fillId="0" borderId="0" xfId="3" applyNumberFormat="1" applyFont="1" applyBorder="1" applyAlignment="1">
      <alignment vertical="top"/>
    </xf>
    <xf numFmtId="10" fontId="3" fillId="18" borderId="0" xfId="11" applyFont="1" applyFill="1" applyBorder="1" applyAlignment="1">
      <alignment vertical="top"/>
    </xf>
    <xf numFmtId="5" fontId="3" fillId="0" borderId="0" xfId="3" applyNumberFormat="1" applyFont="1" applyBorder="1"/>
    <xf numFmtId="7" fontId="3" fillId="0" borderId="7" xfId="3" applyFont="1" applyBorder="1"/>
    <xf numFmtId="0" fontId="0" fillId="0" borderId="6" xfId="0" applyBorder="1">
      <alignment vertical="top"/>
    </xf>
    <xf numFmtId="10" fontId="0" fillId="0" borderId="0" xfId="0" applyNumberFormat="1" applyBorder="1" applyAlignment="1"/>
    <xf numFmtId="7" fontId="9" fillId="0" borderId="0" xfId="3" applyFont="1" applyBorder="1"/>
    <xf numFmtId="10" fontId="9" fillId="0" borderId="0" xfId="11" applyFont="1" applyBorder="1" applyAlignment="1">
      <alignment vertical="top"/>
    </xf>
    <xf numFmtId="0" fontId="6" fillId="0" borderId="0" xfId="0" applyFont="1" applyFill="1" applyBorder="1">
      <alignment vertical="top"/>
    </xf>
    <xf numFmtId="0" fontId="6" fillId="0" borderId="7" xfId="0" applyFont="1" applyFill="1" applyBorder="1">
      <alignment vertical="top"/>
    </xf>
    <xf numFmtId="0" fontId="18" fillId="0" borderId="0" xfId="0" applyFont="1" applyAlignment="1">
      <alignment horizontal="left" vertical="top"/>
    </xf>
    <xf numFmtId="5" fontId="9" fillId="0" borderId="0" xfId="3" applyNumberFormat="1" applyFont="1" applyAlignment="1">
      <alignment vertical="top"/>
    </xf>
    <xf numFmtId="0" fontId="3" fillId="0" borderId="6" xfId="0" applyFont="1" applyBorder="1">
      <alignment vertical="top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5" fontId="3" fillId="0" borderId="0" xfId="0" applyNumberFormat="1" applyFont="1" applyBorder="1">
      <alignment vertical="top"/>
    </xf>
    <xf numFmtId="0" fontId="0" fillId="0" borderId="6" xfId="0" applyBorder="1" applyAlignment="1">
      <alignment horizontal="right" wrapText="1"/>
    </xf>
    <xf numFmtId="5" fontId="9" fillId="0" borderId="0" xfId="3" applyNumberFormat="1" applyFont="1" applyBorder="1" applyAlignment="1"/>
    <xf numFmtId="0" fontId="3" fillId="0" borderId="13" xfId="0" applyFont="1" applyBorder="1" applyAlignment="1">
      <alignment horizontal="right"/>
    </xf>
    <xf numFmtId="5" fontId="3" fillId="0" borderId="4" xfId="3" applyNumberFormat="1" applyFont="1" applyBorder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0" fillId="0" borderId="0" xfId="0" applyFill="1">
      <alignment vertical="top"/>
    </xf>
    <xf numFmtId="0" fontId="3" fillId="0" borderId="11" xfId="0" applyFont="1" applyBorder="1" applyAlignment="1">
      <alignment horizontal="right"/>
    </xf>
    <xf numFmtId="0" fontId="0" fillId="0" borderId="3" xfId="0" applyBorder="1" applyAlignment="1">
      <alignment horizontal="center" vertical="top"/>
    </xf>
    <xf numFmtId="5" fontId="30" fillId="0" borderId="15" xfId="3" applyNumberFormat="1" applyFont="1" applyBorder="1" applyAlignment="1">
      <alignment vertical="top"/>
    </xf>
    <xf numFmtId="0" fontId="0" fillId="0" borderId="6" xfId="0" applyFill="1" applyBorder="1" applyAlignment="1">
      <alignment horizontal="right"/>
    </xf>
    <xf numFmtId="37" fontId="0" fillId="0" borderId="0" xfId="0" applyNumberFormat="1" applyBorder="1" applyAlignment="1"/>
    <xf numFmtId="7" fontId="30" fillId="0" borderId="7" xfId="3" applyFont="1" applyBorder="1"/>
    <xf numFmtId="37" fontId="0" fillId="0" borderId="0" xfId="0" applyNumberFormat="1" applyBorder="1">
      <alignment vertical="top"/>
    </xf>
    <xf numFmtId="37" fontId="30" fillId="0" borderId="0" xfId="4" applyNumberFormat="1" applyFont="1" applyBorder="1"/>
    <xf numFmtId="0" fontId="3" fillId="0" borderId="6" xfId="0" applyFont="1" applyFill="1" applyBorder="1" applyAlignment="1">
      <alignment horizontal="right"/>
    </xf>
    <xf numFmtId="5" fontId="3" fillId="18" borderId="0" xfId="3" applyNumberFormat="1" applyFont="1" applyFill="1" applyBorder="1" applyAlignment="1">
      <alignment vertical="top"/>
    </xf>
    <xf numFmtId="3" fontId="3" fillId="0" borderId="0" xfId="0" applyNumberFormat="1" applyFont="1" applyBorder="1">
      <alignment vertical="top"/>
    </xf>
    <xf numFmtId="5" fontId="3" fillId="18" borderId="4" xfId="3" applyNumberFormat="1" applyFont="1" applyFill="1" applyBorder="1" applyAlignment="1">
      <alignment vertical="top"/>
    </xf>
    <xf numFmtId="0" fontId="18" fillId="0" borderId="0" xfId="0" applyFont="1" applyAlignment="1">
      <alignment horizontal="left"/>
    </xf>
    <xf numFmtId="0" fontId="18" fillId="0" borderId="11" xfId="0" applyFont="1" applyBorder="1" applyAlignment="1">
      <alignment horizontal="left"/>
    </xf>
    <xf numFmtId="5" fontId="0" fillId="0" borderId="0" xfId="0" applyNumberFormat="1" applyBorder="1" applyAlignment="1">
      <alignment horizontal="right"/>
    </xf>
    <xf numFmtId="0" fontId="0" fillId="0" borderId="0" xfId="0" applyFill="1" applyBorder="1" applyAlignment="1">
      <alignment horizontal="center" wrapText="1"/>
    </xf>
    <xf numFmtId="0" fontId="30" fillId="0" borderId="6" xfId="0" applyFont="1" applyBorder="1" applyAlignment="1">
      <alignment horizontal="right"/>
    </xf>
    <xf numFmtId="0" fontId="0" fillId="0" borderId="5" xfId="0" applyFill="1" applyBorder="1" applyAlignment="1">
      <alignment horizontal="center" wrapText="1"/>
    </xf>
    <xf numFmtId="0" fontId="0" fillId="0" borderId="14" xfId="0" applyBorder="1" applyAlignment="1"/>
    <xf numFmtId="0" fontId="3" fillId="0" borderId="0" xfId="0" applyFont="1" applyBorder="1" applyAlignment="1">
      <alignment horizontal="right" vertical="top"/>
    </xf>
    <xf numFmtId="0" fontId="18" fillId="0" borderId="11" xfId="0" applyFont="1" applyBorder="1" applyAlignment="1"/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3" xfId="0" applyBorder="1" applyAlignment="1">
      <alignment horizontal="right"/>
    </xf>
    <xf numFmtId="5" fontId="0" fillId="0" borderId="4" xfId="0" applyNumberFormat="1" applyBorder="1" applyAlignment="1"/>
    <xf numFmtId="7" fontId="0" fillId="0" borderId="14" xfId="0" applyNumberFormat="1" applyBorder="1" applyAlignment="1"/>
    <xf numFmtId="0" fontId="0" fillId="0" borderId="0" xfId="0" applyBorder="1" applyAlignment="1">
      <alignment horizontal="right"/>
    </xf>
    <xf numFmtId="7" fontId="0" fillId="0" borderId="0" xfId="0" applyNumberFormat="1" applyBorder="1" applyAlignment="1"/>
    <xf numFmtId="0" fontId="18" fillId="0" borderId="0" xfId="0" applyFont="1" applyFill="1" applyBorder="1" applyAlignment="1">
      <alignment horizontal="left"/>
    </xf>
    <xf numFmtId="0" fontId="0" fillId="0" borderId="11" xfId="0" applyBorder="1" applyAlignment="1">
      <alignment horizontal="right"/>
    </xf>
    <xf numFmtId="7" fontId="0" fillId="0" borderId="3" xfId="0" applyNumberFormat="1" applyBorder="1" applyAlignment="1"/>
    <xf numFmtId="0" fontId="0" fillId="0" borderId="12" xfId="0" applyBorder="1" applyAlignment="1"/>
    <xf numFmtId="0" fontId="30" fillId="0" borderId="6" xfId="0" applyFont="1" applyBorder="1" applyAlignment="1">
      <alignment horizontal="right" vertical="top"/>
    </xf>
    <xf numFmtId="0" fontId="30" fillId="0" borderId="13" xfId="0" applyFont="1" applyBorder="1" applyAlignment="1">
      <alignment horizontal="right"/>
    </xf>
    <xf numFmtId="0" fontId="0" fillId="0" borderId="4" xfId="0" applyBorder="1" applyAlignment="1"/>
    <xf numFmtId="5" fontId="0" fillId="0" borderId="4" xfId="3" applyNumberFormat="1" applyFont="1" applyBorder="1" applyAlignment="1">
      <alignment vertical="top"/>
    </xf>
    <xf numFmtId="5" fontId="0" fillId="0" borderId="0" xfId="3" applyNumberFormat="1" applyFont="1" applyBorder="1" applyAlignment="1">
      <alignment vertical="top"/>
    </xf>
    <xf numFmtId="37" fontId="9" fillId="0" borderId="0" xfId="2" applyNumberFormat="1" applyFont="1" applyProtection="1">
      <protection locked="0"/>
    </xf>
    <xf numFmtId="3" fontId="0" fillId="0" borderId="0" xfId="0" applyNumberForma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37" fontId="0" fillId="0" borderId="0" xfId="2" applyNumberFormat="1" applyFont="1" applyProtection="1">
      <protection locked="0"/>
    </xf>
    <xf numFmtId="0" fontId="0" fillId="0" borderId="0" xfId="0" applyFill="1" applyBorder="1" applyAlignment="1" applyProtection="1">
      <protection locked="0"/>
    </xf>
    <xf numFmtId="165" fontId="0" fillId="0" borderId="0" xfId="0" applyNumberFormat="1" applyFill="1" applyAlignment="1" applyProtection="1">
      <protection locked="0"/>
    </xf>
    <xf numFmtId="165" fontId="0" fillId="0" borderId="0" xfId="0" applyNumberFormat="1" applyAlignment="1" applyProtection="1">
      <protection locked="0"/>
    </xf>
    <xf numFmtId="0" fontId="0" fillId="0" borderId="0" xfId="0" applyFill="1" applyBorder="1" applyProtection="1">
      <alignment vertical="top"/>
      <protection locked="0"/>
    </xf>
    <xf numFmtId="4" fontId="0" fillId="0" borderId="0" xfId="0" applyNumberFormat="1" applyAlignment="1" applyProtection="1">
      <protection locked="0"/>
    </xf>
    <xf numFmtId="0" fontId="0" fillId="0" borderId="0" xfId="0" applyFill="1" applyBorder="1" applyAlignment="1"/>
    <xf numFmtId="5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" fillId="0" borderId="9" xfId="0" applyFont="1" applyBorder="1" applyAlignment="1">
      <alignment horizontal="centerContinuous"/>
    </xf>
    <xf numFmtId="3" fontId="30" fillId="0" borderId="10" xfId="2" applyFont="1" applyBorder="1" applyAlignment="1">
      <alignment horizontal="centerContinuous" vertical="top"/>
    </xf>
    <xf numFmtId="3" fontId="30" fillId="0" borderId="17" xfId="2" applyFont="1" applyBorder="1" applyAlignment="1">
      <alignment horizontal="centerContinuous" vertical="top"/>
    </xf>
    <xf numFmtId="0" fontId="3" fillId="0" borderId="18" xfId="0" applyFont="1" applyBorder="1" applyAlignment="1"/>
    <xf numFmtId="3" fontId="3" fillId="0" borderId="9" xfId="2" applyFont="1" applyBorder="1" applyAlignment="1" applyProtection="1">
      <alignment horizontal="centerContinuous"/>
      <protection locked="0"/>
    </xf>
    <xf numFmtId="0" fontId="0" fillId="0" borderId="10" xfId="0" applyBorder="1" applyAlignment="1">
      <alignment horizontal="centerContinuous"/>
    </xf>
    <xf numFmtId="3" fontId="0" fillId="0" borderId="10" xfId="2" applyFont="1" applyBorder="1" applyAlignment="1" applyProtection="1">
      <alignment horizontal="centerContinuous"/>
      <protection locked="0"/>
    </xf>
    <xf numFmtId="0" fontId="0" fillId="0" borderId="17" xfId="0" applyBorder="1" applyAlignment="1">
      <alignment horizontal="centerContinuous"/>
    </xf>
    <xf numFmtId="10" fontId="9" fillId="18" borderId="0" xfId="11" applyFont="1" applyFill="1" applyBorder="1" applyAlignment="1">
      <alignment horizontal="center" vertical="top"/>
    </xf>
    <xf numFmtId="0" fontId="9" fillId="0" borderId="0" xfId="0" applyFont="1">
      <alignment vertical="top"/>
    </xf>
    <xf numFmtId="0" fontId="9" fillId="0" borderId="6" xfId="0" applyFont="1" applyBorder="1">
      <alignment vertical="top"/>
    </xf>
    <xf numFmtId="0" fontId="9" fillId="0" borderId="0" xfId="0" applyFont="1" applyBorder="1">
      <alignment vertical="top"/>
    </xf>
    <xf numFmtId="0" fontId="9" fillId="0" borderId="6" xfId="0" applyFont="1" applyFill="1" applyBorder="1" applyAlignment="1">
      <alignment horizontal="center" vertical="top"/>
    </xf>
    <xf numFmtId="0" fontId="9" fillId="0" borderId="6" xfId="0" applyFont="1" applyFill="1" applyBorder="1">
      <alignment vertical="top"/>
    </xf>
    <xf numFmtId="0" fontId="9" fillId="0" borderId="6" xfId="0" applyFont="1" applyBorder="1" applyAlignment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5" fontId="0" fillId="5" borderId="0" xfId="4" applyNumberFormat="1" applyFont="1" applyFill="1" applyProtection="1">
      <protection locked="0"/>
    </xf>
    <xf numFmtId="0" fontId="0" fillId="2" borderId="6" xfId="0" applyFill="1" applyBorder="1" applyAlignment="1">
      <alignment horizontal="centerContinuous"/>
    </xf>
    <xf numFmtId="0" fontId="0" fillId="2" borderId="6" xfId="0" applyFill="1" applyBorder="1" applyAlignment="1">
      <alignment horizontal="right"/>
    </xf>
    <xf numFmtId="0" fontId="3" fillId="0" borderId="6" xfId="0" applyFont="1" applyBorder="1" applyAlignment="1"/>
    <xf numFmtId="3" fontId="0" fillId="4" borderId="0" xfId="0" applyNumberFormat="1" applyFill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3" fontId="0" fillId="4" borderId="0" xfId="0" applyNumberFormat="1" applyFill="1" applyAlignment="1" applyProtection="1">
      <alignment horizontal="right"/>
      <protection locked="0"/>
    </xf>
    <xf numFmtId="3" fontId="0" fillId="6" borderId="0" xfId="1" applyNumberFormat="1" applyFont="1" applyFill="1" applyBorder="1" applyProtection="1">
      <protection locked="0"/>
    </xf>
    <xf numFmtId="3" fontId="0" fillId="6" borderId="0" xfId="1" applyNumberFormat="1" applyFont="1" applyFill="1" applyBorder="1" applyAlignment="1" applyProtection="1">
      <alignment vertical="top"/>
      <protection locked="0"/>
    </xf>
    <xf numFmtId="3" fontId="0" fillId="0" borderId="0" xfId="1" applyNumberFormat="1" applyFont="1" applyFill="1" applyBorder="1" applyAlignment="1" applyProtection="1">
      <alignment vertical="top"/>
      <protection locked="0"/>
    </xf>
    <xf numFmtId="3" fontId="0" fillId="6" borderId="0" xfId="1" applyNumberFormat="1" applyFont="1" applyFill="1" applyBorder="1" applyAlignment="1" applyProtection="1">
      <alignment horizontal="right"/>
      <protection locked="0"/>
    </xf>
    <xf numFmtId="3" fontId="3" fillId="0" borderId="0" xfId="1" applyNumberFormat="1" applyFont="1" applyBorder="1" applyProtection="1">
      <protection locked="0"/>
    </xf>
    <xf numFmtId="14" fontId="0" fillId="5" borderId="0" xfId="0" applyNumberFormat="1" applyFill="1" applyAlignment="1" applyProtection="1">
      <protection locked="0"/>
    </xf>
    <xf numFmtId="10" fontId="9" fillId="0" borderId="0" xfId="11" applyNumberFormat="1" applyFont="1" applyBorder="1" applyAlignment="1">
      <alignment vertical="top"/>
    </xf>
    <xf numFmtId="10" fontId="9" fillId="0" borderId="4" xfId="11" applyNumberFormat="1" applyFont="1" applyBorder="1" applyAlignment="1">
      <alignment vertical="top"/>
    </xf>
    <xf numFmtId="10" fontId="9" fillId="0" borderId="0" xfId="11" applyNumberFormat="1" applyFont="1" applyBorder="1" applyAlignment="1" applyProtection="1">
      <alignment vertical="top"/>
    </xf>
    <xf numFmtId="171" fontId="0" fillId="0" borderId="0" xfId="0" applyNumberFormat="1" applyAlignment="1" applyProtection="1">
      <protection locked="0"/>
    </xf>
    <xf numFmtId="0" fontId="11" fillId="0" borderId="19" xfId="0" applyFont="1" applyBorder="1" applyAlignment="1">
      <alignment horizontal="center" wrapText="1"/>
    </xf>
    <xf numFmtId="171" fontId="0" fillId="0" borderId="8" xfId="0" applyNumberFormat="1" applyBorder="1" applyAlignment="1" applyProtection="1">
      <protection locked="0"/>
    </xf>
    <xf numFmtId="37" fontId="0" fillId="0" borderId="3" xfId="0" applyNumberFormat="1" applyBorder="1" applyAlignment="1">
      <alignment horizontal="center"/>
    </xf>
    <xf numFmtId="37" fontId="0" fillId="0" borderId="0" xfId="0" applyNumberFormat="1" applyBorder="1" applyAlignment="1">
      <alignment horizontal="center"/>
    </xf>
    <xf numFmtId="38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3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0" fillId="0" borderId="6" xfId="0" applyBorder="1" applyAlignment="1">
      <alignment horizontal="left"/>
    </xf>
    <xf numFmtId="0" fontId="0" fillId="0" borderId="13" xfId="0" applyBorder="1" applyAlignment="1"/>
    <xf numFmtId="0" fontId="0" fillId="0" borderId="3" xfId="0" applyBorder="1" applyAlignment="1">
      <alignment horizontal="centerContinuous"/>
    </xf>
    <xf numFmtId="167" fontId="0" fillId="5" borderId="0" xfId="0" applyNumberFormat="1" applyFill="1" applyBorder="1" applyAlignment="1" applyProtection="1">
      <alignment horizontal="left"/>
      <protection locked="0"/>
    </xf>
    <xf numFmtId="0" fontId="3" fillId="0" borderId="13" xfId="0" applyFont="1" applyBorder="1" applyAlignment="1"/>
    <xf numFmtId="0" fontId="0" fillId="0" borderId="6" xfId="0" applyBorder="1" applyAlignment="1">
      <alignment horizontal="centerContinuous"/>
    </xf>
    <xf numFmtId="0" fontId="0" fillId="0" borderId="7" xfId="0" applyBorder="1" applyAlignment="1">
      <alignment horizontal="center"/>
    </xf>
    <xf numFmtId="37" fontId="0" fillId="0" borderId="7" xfId="0" applyNumberFormat="1" applyBorder="1" applyAlignment="1"/>
    <xf numFmtId="4" fontId="0" fillId="0" borderId="4" xfId="0" applyNumberFormat="1" applyBorder="1" applyAlignment="1"/>
    <xf numFmtId="4" fontId="0" fillId="0" borderId="14" xfId="0" applyNumberFormat="1" applyBorder="1" applyAlignment="1"/>
    <xf numFmtId="0" fontId="0" fillId="0" borderId="13" xfId="0" applyBorder="1" applyAlignment="1">
      <alignment horizontal="left"/>
    </xf>
    <xf numFmtId="0" fontId="0" fillId="0" borderId="4" xfId="0" applyNumberFormat="1" applyFill="1" applyBorder="1" applyAlignment="1" applyProtection="1">
      <alignment horizontal="left"/>
      <protection locked="0"/>
    </xf>
    <xf numFmtId="0" fontId="0" fillId="0" borderId="10" xfId="0" applyBorder="1" applyAlignment="1"/>
    <xf numFmtId="0" fontId="11" fillId="0" borderId="0" xfId="0" applyFont="1" applyFill="1" applyBorder="1" applyAlignment="1">
      <alignment horizontal="center"/>
    </xf>
    <xf numFmtId="0" fontId="0" fillId="19" borderId="0" xfId="0" applyFill="1" applyAlignment="1"/>
    <xf numFmtId="0" fontId="3" fillId="0" borderId="0" xfId="0" applyFont="1" applyAlignment="1" applyProtection="1">
      <alignment horizontal="right"/>
      <protection locked="0"/>
    </xf>
    <xf numFmtId="37" fontId="0" fillId="0" borderId="0" xfId="2" applyNumberFormat="1" applyFont="1" applyFill="1" applyBorder="1" applyProtection="1"/>
    <xf numFmtId="37" fontId="0" fillId="0" borderId="0" xfId="2" applyNumberFormat="1" applyFont="1" applyBorder="1" applyProtection="1"/>
    <xf numFmtId="0" fontId="30" fillId="0" borderId="6" xfId="0" applyFont="1" applyBorder="1" applyAlignment="1"/>
    <xf numFmtId="10" fontId="30" fillId="18" borderId="4" xfId="11" applyNumberFormat="1" applyFont="1" applyFill="1" applyBorder="1" applyAlignment="1">
      <alignment vertical="top"/>
    </xf>
    <xf numFmtId="0" fontId="0" fillId="0" borderId="20" xfId="0" applyFill="1" applyBorder="1" applyAlignment="1">
      <alignment horizontal="center"/>
    </xf>
    <xf numFmtId="0" fontId="32" fillId="0" borderId="20" xfId="0" applyFont="1" applyFill="1" applyBorder="1" applyAlignment="1"/>
    <xf numFmtId="0" fontId="32" fillId="0" borderId="21" xfId="0" applyFont="1" applyFill="1" applyBorder="1" applyAlignment="1"/>
    <xf numFmtId="0" fontId="0" fillId="0" borderId="22" xfId="0" applyFill="1" applyBorder="1" applyAlignment="1"/>
    <xf numFmtId="9" fontId="0" fillId="0" borderId="22" xfId="0" applyNumberFormat="1" applyFill="1" applyBorder="1" applyAlignment="1">
      <alignment horizontal="center"/>
    </xf>
    <xf numFmtId="0" fontId="0" fillId="0" borderId="23" xfId="0" applyFill="1" applyBorder="1" applyAlignment="1"/>
    <xf numFmtId="0" fontId="32" fillId="0" borderId="23" xfId="0" applyFont="1" applyFill="1" applyBorder="1" applyAlignment="1"/>
    <xf numFmtId="0" fontId="32" fillId="0" borderId="23" xfId="0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/>
    <xf numFmtId="0" fontId="0" fillId="0" borderId="24" xfId="0" applyFill="1" applyBorder="1" applyAlignment="1">
      <alignment horizontal="center"/>
    </xf>
    <xf numFmtId="0" fontId="0" fillId="0" borderId="21" xfId="0" applyFill="1" applyBorder="1" applyAlignment="1"/>
    <xf numFmtId="0" fontId="0" fillId="0" borderId="20" xfId="0" applyFill="1" applyBorder="1" applyAlignment="1"/>
    <xf numFmtId="3" fontId="0" fillId="0" borderId="22" xfId="0" applyNumberFormat="1" applyFill="1" applyBorder="1" applyAlignment="1"/>
    <xf numFmtId="0" fontId="33" fillId="0" borderId="23" xfId="0" applyFont="1" applyFill="1" applyBorder="1" applyAlignment="1"/>
    <xf numFmtId="3" fontId="0" fillId="0" borderId="23" xfId="0" applyNumberFormat="1" applyFill="1" applyBorder="1" applyAlignment="1"/>
    <xf numFmtId="0" fontId="0" fillId="0" borderId="22" xfId="0" applyFill="1" applyBorder="1" applyAlignment="1">
      <alignment horizontal="center"/>
    </xf>
    <xf numFmtId="0" fontId="3" fillId="0" borderId="23" xfId="0" applyFont="1" applyFill="1" applyBorder="1" applyAlignment="1"/>
    <xf numFmtId="0" fontId="0" fillId="0" borderId="0" xfId="0" applyFill="1" applyAlignment="1">
      <alignment horizontal="left" indent="3"/>
    </xf>
    <xf numFmtId="0" fontId="29" fillId="0" borderId="23" xfId="9" applyFill="1" applyBorder="1" applyAlignment="1" applyProtection="1"/>
    <xf numFmtId="0" fontId="0" fillId="0" borderId="23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5" borderId="5" xfId="0" applyFill="1" applyBorder="1" applyAlignment="1"/>
    <xf numFmtId="0" fontId="0" fillId="0" borderId="0" xfId="0" applyAlignment="1" applyProtection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 applyProtection="1">
      <alignment wrapText="1"/>
    </xf>
    <xf numFmtId="0" fontId="37" fillId="0" borderId="0" xfId="0" applyFont="1" applyAlignment="1">
      <alignment horizontal="left"/>
    </xf>
    <xf numFmtId="0" fontId="29" fillId="0" borderId="25" xfId="9" applyFill="1" applyBorder="1" applyAlignment="1" applyProtection="1"/>
    <xf numFmtId="0" fontId="0" fillId="2" borderId="26" xfId="0" applyFill="1" applyBorder="1" applyAlignment="1">
      <alignment horizontal="centerContinuous"/>
    </xf>
    <xf numFmtId="0" fontId="0" fillId="2" borderId="26" xfId="0" applyFill="1" applyBorder="1" applyAlignment="1">
      <alignment horizontal="right"/>
    </xf>
    <xf numFmtId="0" fontId="3" fillId="0" borderId="26" xfId="0" applyFont="1" applyBorder="1" applyAlignment="1"/>
    <xf numFmtId="3" fontId="17" fillId="2" borderId="0" xfId="0" applyNumberFormat="1" applyFont="1" applyFill="1" applyAlignment="1"/>
    <xf numFmtId="0" fontId="3" fillId="20" borderId="0" xfId="0" applyFont="1" applyFill="1" applyAlignment="1"/>
    <xf numFmtId="3" fontId="30" fillId="21" borderId="22" xfId="1" applyNumberFormat="1" applyFont="1" applyFill="1" applyBorder="1" applyAlignment="1">
      <alignment horizontal="right" vertical="top"/>
    </xf>
    <xf numFmtId="0" fontId="0" fillId="22" borderId="22" xfId="0" applyFill="1" applyBorder="1" applyAlignment="1"/>
    <xf numFmtId="3" fontId="30" fillId="0" borderId="22" xfId="1" applyNumberFormat="1" applyFont="1" applyFill="1" applyBorder="1" applyAlignment="1">
      <alignment horizontal="right" vertical="top"/>
    </xf>
    <xf numFmtId="3" fontId="30" fillId="0" borderId="22" xfId="10" applyNumberFormat="1" applyFont="1" applyFill="1" applyBorder="1" applyAlignment="1">
      <alignment horizontal="right" vertical="top"/>
    </xf>
    <xf numFmtId="0" fontId="27" fillId="0" borderId="0" xfId="0" applyFont="1" applyAlignment="1">
      <alignment horizontal="left"/>
    </xf>
    <xf numFmtId="0" fontId="0" fillId="0" borderId="5" xfId="0" applyBorder="1" applyAlignment="1">
      <alignment horizontal="right"/>
    </xf>
    <xf numFmtId="0" fontId="0" fillId="0" borderId="27" xfId="0" applyBorder="1" applyAlignment="1">
      <alignment horizontal="center"/>
    </xf>
    <xf numFmtId="0" fontId="0" fillId="0" borderId="0" xfId="0" applyFill="1" applyAlignment="1" applyProtection="1">
      <alignment horizontal="left" wrapText="1"/>
    </xf>
    <xf numFmtId="0" fontId="0" fillId="0" borderId="0" xfId="11" applyNumberFormat="1" applyFont="1"/>
    <xf numFmtId="0" fontId="0" fillId="17" borderId="0" xfId="0" applyNumberFormat="1" applyFill="1" applyBorder="1" applyAlignment="1"/>
    <xf numFmtId="0" fontId="0" fillId="0" borderId="0" xfId="0" applyNumberFormat="1" applyBorder="1" applyAlignment="1"/>
    <xf numFmtId="0" fontId="3" fillId="17" borderId="0" xfId="0" applyNumberFormat="1" applyFont="1" applyFill="1" applyBorder="1" applyAlignment="1"/>
    <xf numFmtId="0" fontId="0" fillId="0" borderId="0" xfId="0" applyNumberFormat="1" applyFill="1" applyBorder="1" applyAlignment="1"/>
    <xf numFmtId="5" fontId="0" fillId="0" borderId="0" xfId="11" applyNumberFormat="1" applyFont="1"/>
    <xf numFmtId="172" fontId="0" fillId="5" borderId="17" xfId="0" applyNumberFormat="1" applyFill="1" applyBorder="1" applyAlignment="1" applyProtection="1">
      <protection locked="0"/>
    </xf>
    <xf numFmtId="172" fontId="0" fillId="5" borderId="0" xfId="0" applyNumberFormat="1" applyFill="1" applyAlignment="1" applyProtection="1">
      <protection locked="0"/>
    </xf>
    <xf numFmtId="0" fontId="39" fillId="0" borderId="23" xfId="0" applyFont="1" applyFill="1" applyBorder="1" applyAlignment="1"/>
    <xf numFmtId="0" fontId="39" fillId="0" borderId="23" xfId="0" applyFont="1" applyFill="1" applyBorder="1" applyAlignment="1">
      <alignment horizontal="center"/>
    </xf>
    <xf numFmtId="0" fontId="39" fillId="0" borderId="23" xfId="0" applyFont="1" applyFill="1" applyBorder="1" applyAlignment="1">
      <alignment horizontal="centerContinuous"/>
    </xf>
    <xf numFmtId="0" fontId="40" fillId="0" borderId="23" xfId="0" applyFont="1" applyFill="1" applyBorder="1" applyAlignment="1">
      <alignment horizontal="right"/>
    </xf>
    <xf numFmtId="0" fontId="2" fillId="0" borderId="23" xfId="0" applyFont="1" applyFill="1" applyBorder="1" applyAlignment="1">
      <alignment horizontal="center"/>
    </xf>
    <xf numFmtId="0" fontId="40" fillId="0" borderId="23" xfId="0" applyFont="1" applyFill="1" applyBorder="1" applyAlignment="1">
      <alignment horizontal="left"/>
    </xf>
    <xf numFmtId="0" fontId="7" fillId="0" borderId="23" xfId="0" applyFont="1" applyFill="1" applyBorder="1" applyAlignment="1">
      <alignment horizontal="centerContinuous"/>
    </xf>
    <xf numFmtId="0" fontId="7" fillId="0" borderId="23" xfId="0" applyFont="1" applyFill="1" applyBorder="1" applyAlignment="1"/>
    <xf numFmtId="3" fontId="9" fillId="0" borderId="23" xfId="1" applyNumberFormat="1" applyFill="1" applyBorder="1"/>
    <xf numFmtId="0" fontId="9" fillId="22" borderId="23" xfId="0" applyFont="1" applyFill="1" applyBorder="1" applyAlignment="1">
      <alignment horizontal="right"/>
    </xf>
    <xf numFmtId="0" fontId="42" fillId="0" borderId="23" xfId="0" applyFont="1" applyFill="1" applyBorder="1" applyAlignment="1"/>
    <xf numFmtId="3" fontId="0" fillId="0" borderId="21" xfId="0" applyNumberFormat="1" applyFill="1" applyBorder="1" applyAlignment="1"/>
    <xf numFmtId="3" fontId="30" fillId="0" borderId="22" xfId="0" applyNumberFormat="1" applyFont="1" applyFill="1" applyBorder="1" applyAlignment="1"/>
    <xf numFmtId="3" fontId="0" fillId="0" borderId="22" xfId="0" applyNumberFormat="1" applyFill="1" applyBorder="1" applyAlignment="1">
      <alignment horizontal="center"/>
    </xf>
    <xf numFmtId="0" fontId="0" fillId="0" borderId="28" xfId="0" applyFill="1" applyBorder="1" applyAlignment="1"/>
    <xf numFmtId="9" fontId="0" fillId="0" borderId="28" xfId="0" applyNumberFormat="1" applyFill="1" applyBorder="1" applyAlignment="1">
      <alignment horizontal="center"/>
    </xf>
    <xf numFmtId="3" fontId="0" fillId="0" borderId="28" xfId="0" applyNumberFormat="1" applyFill="1" applyBorder="1" applyAlignment="1"/>
    <xf numFmtId="3" fontId="0" fillId="0" borderId="20" xfId="0" applyNumberFormat="1" applyFill="1" applyBorder="1" applyAlignment="1"/>
    <xf numFmtId="0" fontId="30" fillId="0" borderId="0" xfId="0" applyFont="1" applyFill="1" applyAlignment="1">
      <alignment horizontal="left" indent="3"/>
    </xf>
    <xf numFmtId="5" fontId="30" fillId="0" borderId="0" xfId="10" applyNumberFormat="1" applyFont="1" applyFill="1" applyBorder="1" applyAlignment="1">
      <alignment horizontal="right"/>
    </xf>
    <xf numFmtId="5" fontId="30" fillId="0" borderId="7" xfId="10" applyNumberFormat="1" applyFont="1" applyFill="1" applyBorder="1" applyAlignment="1">
      <alignment horizontal="right"/>
    </xf>
    <xf numFmtId="5" fontId="3" fillId="23" borderId="0" xfId="10" applyNumberFormat="1" applyFont="1" applyFill="1" applyBorder="1" applyAlignment="1">
      <alignment horizontal="right"/>
    </xf>
    <xf numFmtId="5" fontId="3" fillId="23" borderId="7" xfId="10" applyNumberFormat="1" applyFont="1" applyFill="1" applyBorder="1" applyAlignment="1">
      <alignment horizontal="right"/>
    </xf>
    <xf numFmtId="0" fontId="30" fillId="0" borderId="23" xfId="0" applyFont="1" applyFill="1" applyBorder="1" applyAlignment="1">
      <alignment horizontal="centerContinuous"/>
    </xf>
    <xf numFmtId="0" fontId="30" fillId="0" borderId="23" xfId="0" applyFont="1" applyFill="1" applyBorder="1" applyAlignment="1"/>
    <xf numFmtId="0" fontId="41" fillId="0" borderId="23" xfId="0" applyFont="1" applyFill="1" applyBorder="1" applyAlignment="1"/>
    <xf numFmtId="0" fontId="3" fillId="0" borderId="23" xfId="0" applyFont="1" applyFill="1" applyBorder="1" applyAlignment="1">
      <alignment horizontal="center"/>
    </xf>
    <xf numFmtId="3" fontId="30" fillId="0" borderId="23" xfId="1" applyNumberFormat="1" applyFont="1" applyFill="1" applyBorder="1"/>
    <xf numFmtId="0" fontId="30" fillId="0" borderId="23" xfId="0" applyFont="1" applyFill="1" applyBorder="1" applyAlignment="1">
      <alignment horizontal="center"/>
    </xf>
    <xf numFmtId="0" fontId="30" fillId="0" borderId="24" xfId="0" applyFont="1" applyFill="1" applyBorder="1" applyAlignment="1"/>
    <xf numFmtId="0" fontId="30" fillId="0" borderId="24" xfId="0" applyFont="1" applyFill="1" applyBorder="1" applyAlignment="1">
      <alignment horizontal="center"/>
    </xf>
    <xf numFmtId="0" fontId="30" fillId="0" borderId="21" xfId="0" applyFont="1" applyFill="1" applyBorder="1" applyAlignment="1"/>
    <xf numFmtId="0" fontId="30" fillId="0" borderId="20" xfId="0" applyFont="1" applyFill="1" applyBorder="1" applyAlignment="1"/>
    <xf numFmtId="0" fontId="30" fillId="0" borderId="27" xfId="0" applyFont="1" applyFill="1" applyBorder="1" applyAlignment="1">
      <alignment horizontal="center"/>
    </xf>
    <xf numFmtId="0" fontId="3" fillId="0" borderId="27" xfId="0" applyFont="1" applyFill="1" applyBorder="1" applyAlignment="1"/>
    <xf numFmtId="0" fontId="3" fillId="0" borderId="21" xfId="0" applyFont="1" applyFill="1" applyBorder="1" applyAlignment="1"/>
    <xf numFmtId="0" fontId="30" fillId="0" borderId="22" xfId="0" applyFont="1" applyFill="1" applyBorder="1" applyAlignment="1"/>
    <xf numFmtId="9" fontId="30" fillId="0" borderId="20" xfId="0" applyNumberFormat="1" applyFont="1" applyFill="1" applyBorder="1" applyAlignment="1">
      <alignment horizontal="center"/>
    </xf>
    <xf numFmtId="3" fontId="30" fillId="0" borderId="27" xfId="0" quotePrefix="1" applyNumberFormat="1" applyFont="1" applyBorder="1" applyAlignment="1"/>
    <xf numFmtId="3" fontId="30" fillId="0" borderId="21" xfId="0" applyNumberFormat="1" applyFont="1" applyFill="1" applyBorder="1" applyAlignment="1"/>
    <xf numFmtId="9" fontId="30" fillId="0" borderId="22" xfId="0" applyNumberFormat="1" applyFont="1" applyFill="1" applyBorder="1" applyAlignment="1">
      <alignment horizontal="center"/>
    </xf>
    <xf numFmtId="0" fontId="17" fillId="0" borderId="21" xfId="0" applyFont="1" applyFill="1" applyBorder="1" applyAlignment="1"/>
    <xf numFmtId="3" fontId="30" fillId="0" borderId="23" xfId="0" applyNumberFormat="1" applyFont="1" applyFill="1" applyBorder="1" applyAlignment="1"/>
    <xf numFmtId="0" fontId="30" fillId="0" borderId="22" xfId="0" applyFont="1" applyFill="1" applyBorder="1" applyAlignment="1">
      <alignment horizontal="center"/>
    </xf>
    <xf numFmtId="3" fontId="30" fillId="0" borderId="20" xfId="0" quotePrefix="1" applyNumberFormat="1" applyFont="1" applyBorder="1" applyAlignment="1"/>
    <xf numFmtId="0" fontId="30" fillId="0" borderId="20" xfId="0" applyFont="1" applyFill="1" applyBorder="1" applyAlignment="1">
      <alignment horizontal="center"/>
    </xf>
    <xf numFmtId="3" fontId="30" fillId="0" borderId="20" xfId="0" applyNumberFormat="1" applyFont="1" applyFill="1" applyBorder="1" applyAlignment="1"/>
    <xf numFmtId="3" fontId="30" fillId="0" borderId="28" xfId="0" quotePrefix="1" applyNumberFormat="1" applyFont="1" applyBorder="1" applyAlignment="1"/>
    <xf numFmtId="0" fontId="30" fillId="0" borderId="27" xfId="0" applyFont="1" applyFill="1" applyBorder="1" applyAlignment="1"/>
    <xf numFmtId="0" fontId="38" fillId="0" borderId="0" xfId="0" applyFont="1" applyAlignment="1">
      <alignment horizontal="center"/>
    </xf>
    <xf numFmtId="0" fontId="0" fillId="0" borderId="5" xfId="0" applyBorder="1" applyAlignment="1"/>
    <xf numFmtId="0" fontId="0" fillId="0" borderId="29" xfId="0" applyBorder="1" applyAlignment="1"/>
    <xf numFmtId="0" fontId="0" fillId="0" borderId="30" xfId="0" applyBorder="1" applyAlignment="1"/>
    <xf numFmtId="3" fontId="0" fillId="0" borderId="2" xfId="0" applyNumberFormat="1" applyBorder="1" applyAlignment="1"/>
    <xf numFmtId="3" fontId="0" fillId="0" borderId="2" xfId="0" applyNumberFormat="1" applyFill="1" applyBorder="1" applyAlignment="1"/>
    <xf numFmtId="3" fontId="9" fillId="0" borderId="0" xfId="1" applyNumberFormat="1"/>
    <xf numFmtId="170" fontId="0" fillId="0" borderId="0" xfId="0" applyNumberFormat="1" applyAlignment="1"/>
    <xf numFmtId="5" fontId="3" fillId="0" borderId="0" xfId="0" applyNumberFormat="1" applyFont="1" applyAlignment="1"/>
    <xf numFmtId="3" fontId="0" fillId="24" borderId="0" xfId="2" applyFont="1" applyFill="1"/>
    <xf numFmtId="0" fontId="3" fillId="0" borderId="31" xfId="0" applyFont="1" applyBorder="1" applyAlignment="1"/>
    <xf numFmtId="0" fontId="0" fillId="0" borderId="31" xfId="0" applyBorder="1" applyAlignment="1"/>
    <xf numFmtId="9" fontId="3" fillId="0" borderId="0" xfId="11" applyNumberFormat="1" applyFont="1" applyFill="1" applyProtection="1">
      <protection locked="0"/>
    </xf>
    <xf numFmtId="0" fontId="3" fillId="0" borderId="31" xfId="0" applyFont="1" applyBorder="1" applyAlignment="1">
      <alignment horizontal="left"/>
    </xf>
    <xf numFmtId="0" fontId="3" fillId="25" borderId="31" xfId="0" applyFont="1" applyFill="1" applyBorder="1" applyAlignment="1"/>
    <xf numFmtId="0" fontId="0" fillId="25" borderId="31" xfId="0" applyFill="1" applyBorder="1" applyAlignment="1"/>
    <xf numFmtId="0" fontId="3" fillId="25" borderId="31" xfId="0" applyFont="1" applyFill="1" applyBorder="1" applyAlignment="1">
      <alignment horizontal="left"/>
    </xf>
    <xf numFmtId="0" fontId="0" fillId="25" borderId="0" xfId="0" applyFill="1" applyAlignment="1"/>
    <xf numFmtId="0" fontId="3" fillId="25" borderId="0" xfId="0" applyFont="1" applyFill="1" applyAlignment="1"/>
    <xf numFmtId="0" fontId="9" fillId="25" borderId="0" xfId="0" applyFont="1" applyFill="1" applyAlignment="1"/>
    <xf numFmtId="0" fontId="0" fillId="0" borderId="0" xfId="0" applyAlignment="1"/>
    <xf numFmtId="0" fontId="0" fillId="0" borderId="0" xfId="0" applyNumberFormat="1" applyBorder="1">
      <alignment vertical="top"/>
    </xf>
    <xf numFmtId="0" fontId="9" fillId="0" borderId="0" xfId="0" applyFont="1" applyBorder="1" applyAlignment="1" applyProtection="1">
      <protection locked="0"/>
    </xf>
    <xf numFmtId="0" fontId="0" fillId="0" borderId="0" xfId="0" applyAlignment="1"/>
    <xf numFmtId="0" fontId="9" fillId="0" borderId="0" xfId="0" applyFont="1" applyFill="1" applyAlignment="1"/>
    <xf numFmtId="0" fontId="0" fillId="0" borderId="0" xfId="0" applyAlignment="1"/>
    <xf numFmtId="0" fontId="0" fillId="0" borderId="0" xfId="0" applyAlignment="1" applyProtection="1">
      <alignment horizontal="left" indent="1"/>
      <protection locked="0"/>
    </xf>
    <xf numFmtId="0" fontId="0" fillId="0" borderId="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5" fillId="0" borderId="0" xfId="0" applyFont="1" applyAlignment="1" applyProtection="1">
      <alignment horizontal="left"/>
      <protection locked="0"/>
    </xf>
    <xf numFmtId="0" fontId="15" fillId="0" borderId="0" xfId="0" applyFont="1" applyAlignment="1">
      <alignment horizontal="left"/>
    </xf>
    <xf numFmtId="5" fontId="21" fillId="0" borderId="0" xfId="4" applyFont="1" applyAlignment="1" applyProtection="1">
      <alignment wrapText="1"/>
    </xf>
    <xf numFmtId="0" fontId="0" fillId="0" borderId="0" xfId="0" applyAlignment="1"/>
    <xf numFmtId="0" fontId="3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21" fillId="0" borderId="0" xfId="0" applyFont="1" applyAlignment="1">
      <alignment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43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7" fillId="0" borderId="23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</cellXfs>
  <cellStyles count="13">
    <cellStyle name="Comma" xfId="1" builtinId="3"/>
    <cellStyle name="Comma0" xfId="2"/>
    <cellStyle name="Currency" xfId="3" builtinId="4"/>
    <cellStyle name="Currency0" xfId="4"/>
    <cellStyle name="Date" xfId="5"/>
    <cellStyle name="Fixed" xfId="6"/>
    <cellStyle name="Heading 1" xfId="7" builtinId="16" customBuiltin="1"/>
    <cellStyle name="Heading 2" xfId="8" builtinId="17" customBuiltin="1"/>
    <cellStyle name="Hyperlink" xfId="9" builtinId="8"/>
    <cellStyle name="Normal" xfId="0" builtinId="0"/>
    <cellStyle name="Normal_LIHTC-HERA-Incomes2009" xfId="10"/>
    <cellStyle name="Percent" xfId="11" builtinId="5"/>
    <cellStyle name="Total" xfId="12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://www.ohcs.oregon.gov/OHCS/HPM_income_rent_limits_2012.shtml" TargetMode="External"/><Relationship Id="rId1" Type="http://schemas.openxmlformats.org/officeDocument/2006/relationships/hyperlink" Target="http://eligibility.sc.egov.usda.gov/eligibility/welcomeAction.do?pageAction=sfp&amp;NavKey=property@12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ohcs.oregon.gov/OHCS/HPM_income_rent_limits_2012.s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76"/>
  <sheetViews>
    <sheetView workbookViewId="0">
      <pane ySplit="6" topLeftCell="A7" activePane="bottomLeft" state="frozen"/>
      <selection pane="bottomLeft" activeCell="C61" sqref="C61"/>
    </sheetView>
  </sheetViews>
  <sheetFormatPr defaultColWidth="10.28515625" defaultRowHeight="12.75"/>
  <cols>
    <col min="1" max="1" width="30.28515625" customWidth="1"/>
    <col min="2" max="2" width="7.28515625" customWidth="1"/>
    <col min="3" max="5" width="11.7109375" customWidth="1"/>
    <col min="6" max="6" width="12.42578125" customWidth="1"/>
    <col min="7" max="7" width="11.85546875" hidden="1" customWidth="1"/>
    <col min="8" max="8" width="13.140625" hidden="1" customWidth="1"/>
  </cols>
  <sheetData>
    <row r="1" spans="1:15" ht="15.75">
      <c r="A1" s="129" t="s">
        <v>181</v>
      </c>
      <c r="B1" s="3"/>
      <c r="C1" s="3"/>
      <c r="D1" s="3"/>
      <c r="E1" s="3"/>
      <c r="F1" s="3"/>
      <c r="G1" s="3"/>
      <c r="H1" s="3"/>
    </row>
    <row r="2" spans="1:15">
      <c r="A2" s="2"/>
      <c r="C2" s="24"/>
      <c r="D2" s="24"/>
      <c r="E2" s="61"/>
    </row>
    <row r="3" spans="1:15">
      <c r="A3" s="2" t="s">
        <v>218</v>
      </c>
      <c r="B3" s="97"/>
      <c r="E3" s="76" t="s">
        <v>374</v>
      </c>
      <c r="F3" s="211">
        <v>40909</v>
      </c>
    </row>
    <row r="4" spans="1:15" ht="13.5" thickBot="1">
      <c r="B4" s="73"/>
      <c r="D4" s="76"/>
      <c r="E4" s="271"/>
    </row>
    <row r="5" spans="1:15" ht="13.5" thickBot="1">
      <c r="A5" s="480" t="s">
        <v>508</v>
      </c>
      <c r="B5" s="427" t="s">
        <v>392</v>
      </c>
      <c r="C5" s="428"/>
      <c r="D5" s="429"/>
      <c r="E5" s="429"/>
      <c r="F5" s="430"/>
      <c r="G5" s="423" t="s">
        <v>393</v>
      </c>
      <c r="H5" s="430"/>
    </row>
    <row r="6" spans="1:15" ht="51">
      <c r="A6" s="269" t="s">
        <v>304</v>
      </c>
      <c r="B6" s="68" t="s">
        <v>126</v>
      </c>
      <c r="C6" s="269" t="s">
        <v>127</v>
      </c>
      <c r="D6" s="292" t="s">
        <v>128</v>
      </c>
      <c r="E6" s="293" t="s">
        <v>385</v>
      </c>
      <c r="F6" s="457" t="s">
        <v>174</v>
      </c>
      <c r="G6" s="68" t="s">
        <v>328</v>
      </c>
      <c r="H6" s="68" t="s">
        <v>174</v>
      </c>
      <c r="J6" s="479"/>
      <c r="K6" s="15"/>
      <c r="L6" s="15"/>
      <c r="M6" s="15"/>
      <c r="N6" s="15"/>
      <c r="O6" s="15"/>
    </row>
    <row r="7" spans="1:15">
      <c r="A7" s="23"/>
      <c r="B7" s="143"/>
      <c r="C7" s="23"/>
      <c r="D7" s="143"/>
      <c r="E7" s="143"/>
      <c r="F7" s="286"/>
    </row>
    <row r="8" spans="1:15">
      <c r="A8" s="85" t="s">
        <v>221</v>
      </c>
      <c r="B8" s="143"/>
      <c r="C8" s="23"/>
      <c r="D8" s="143"/>
      <c r="E8" s="143"/>
      <c r="F8" s="286"/>
      <c r="G8" s="23"/>
      <c r="H8" s="23"/>
    </row>
    <row r="9" spans="1:15">
      <c r="A9" s="65" t="s">
        <v>554</v>
      </c>
      <c r="B9" s="149"/>
      <c r="C9" s="11"/>
      <c r="D9" s="24"/>
      <c r="E9" s="279">
        <f>'LIHTC Calculation'!F62</f>
        <v>0</v>
      </c>
      <c r="F9" s="458"/>
      <c r="G9" s="284"/>
      <c r="H9" s="456"/>
    </row>
    <row r="10" spans="1:15">
      <c r="A10" s="509" t="s">
        <v>555</v>
      </c>
      <c r="B10" s="149"/>
      <c r="C10" s="24"/>
      <c r="D10" s="24"/>
      <c r="E10" s="24"/>
      <c r="F10" s="458"/>
      <c r="G10" s="284"/>
      <c r="H10" s="456"/>
      <c r="J10" s="511"/>
      <c r="K10" s="511"/>
      <c r="L10" s="511"/>
      <c r="M10" s="511"/>
      <c r="N10" s="511"/>
    </row>
    <row r="11" spans="1:15" s="23" customFormat="1">
      <c r="A11" s="527" t="s">
        <v>585</v>
      </c>
      <c r="B11" s="149"/>
      <c r="C11" s="24"/>
      <c r="D11" s="24"/>
      <c r="E11" s="24"/>
      <c r="F11" s="458"/>
      <c r="G11" s="284"/>
      <c r="H11" s="456"/>
      <c r="J11" s="511"/>
      <c r="K11" s="511"/>
      <c r="L11" s="511"/>
      <c r="M11" s="511"/>
      <c r="N11" s="511"/>
    </row>
    <row r="12" spans="1:15" s="23" customFormat="1">
      <c r="A12" s="23" t="s">
        <v>556</v>
      </c>
      <c r="B12" s="149"/>
      <c r="C12" s="24"/>
      <c r="D12" s="24"/>
      <c r="E12" s="24"/>
      <c r="F12" s="458"/>
      <c r="G12" s="284"/>
      <c r="H12" s="456"/>
      <c r="J12" s="511"/>
      <c r="K12" s="511"/>
      <c r="L12" s="511"/>
      <c r="M12" s="511"/>
      <c r="N12" s="511"/>
    </row>
    <row r="13" spans="1:15" s="23" customFormat="1">
      <c r="A13" s="23" t="s">
        <v>557</v>
      </c>
      <c r="B13" s="149"/>
      <c r="C13" s="24"/>
      <c r="D13" s="24"/>
      <c r="E13" s="24"/>
      <c r="F13" s="458"/>
      <c r="G13" s="284"/>
      <c r="H13" s="456"/>
    </row>
    <row r="14" spans="1:15" s="23" customFormat="1">
      <c r="A14" s="611" t="s">
        <v>647</v>
      </c>
      <c r="B14" s="149"/>
      <c r="C14" s="24"/>
      <c r="D14" s="24"/>
      <c r="E14" s="24"/>
      <c r="F14" s="458"/>
      <c r="G14" s="284"/>
      <c r="H14" s="456"/>
    </row>
    <row r="15" spans="1:15" s="23" customFormat="1">
      <c r="A15" s="481" t="s">
        <v>509</v>
      </c>
      <c r="B15" s="149"/>
      <c r="C15" s="483">
        <f>SUM(C9:C14)</f>
        <v>0</v>
      </c>
      <c r="D15" s="483">
        <f>SUM(D9:D14)</f>
        <v>0</v>
      </c>
      <c r="E15" s="483">
        <f>SUM(E9:E14)</f>
        <v>0</v>
      </c>
      <c r="F15" s="458"/>
    </row>
    <row r="16" spans="1:15">
      <c r="A16" s="23"/>
      <c r="B16" s="149"/>
      <c r="C16" s="24"/>
      <c r="D16" s="24"/>
      <c r="E16" s="24"/>
      <c r="F16" s="287"/>
      <c r="G16" s="23"/>
      <c r="H16" s="23"/>
    </row>
    <row r="17" spans="1:14">
      <c r="A17" s="85" t="s">
        <v>222</v>
      </c>
      <c r="B17" s="149"/>
      <c r="C17" s="24"/>
      <c r="D17" s="24"/>
      <c r="E17" s="24"/>
      <c r="F17" s="288"/>
      <c r="G17" s="419"/>
      <c r="H17" s="456"/>
    </row>
    <row r="18" spans="1:14">
      <c r="A18" s="65" t="s">
        <v>558</v>
      </c>
      <c r="B18" s="149"/>
      <c r="C18" s="24"/>
      <c r="D18" s="24"/>
      <c r="E18" s="24"/>
      <c r="F18" s="458"/>
      <c r="G18" s="419"/>
      <c r="H18" s="456"/>
    </row>
    <row r="19" spans="1:14">
      <c r="A19" s="509" t="s">
        <v>555</v>
      </c>
      <c r="B19" s="149"/>
      <c r="C19" s="24"/>
      <c r="D19" s="24"/>
      <c r="E19" s="24"/>
      <c r="F19" s="458"/>
      <c r="G19" s="419"/>
      <c r="H19" s="456"/>
      <c r="J19" s="510"/>
      <c r="K19" s="510"/>
      <c r="L19" s="510"/>
      <c r="M19" s="510"/>
      <c r="N19" s="510"/>
    </row>
    <row r="20" spans="1:14" s="23" customFormat="1">
      <c r="A20" s="512" t="s">
        <v>585</v>
      </c>
      <c r="B20" s="149"/>
      <c r="C20" s="24"/>
      <c r="D20" s="24"/>
      <c r="E20" s="24"/>
      <c r="F20" s="458"/>
      <c r="G20" s="419"/>
      <c r="H20" s="456"/>
    </row>
    <row r="21" spans="1:14" s="23" customFormat="1">
      <c r="A21" s="23" t="s">
        <v>559</v>
      </c>
      <c r="B21" s="149"/>
      <c r="C21" s="24"/>
      <c r="D21" s="24"/>
      <c r="E21" s="24"/>
      <c r="F21" s="458"/>
      <c r="G21" s="419"/>
      <c r="H21" s="456"/>
    </row>
    <row r="22" spans="1:14" s="23" customFormat="1">
      <c r="A22" s="23" t="s">
        <v>557</v>
      </c>
      <c r="B22" s="149"/>
      <c r="C22" s="24"/>
      <c r="D22" s="24"/>
      <c r="E22" s="24"/>
      <c r="F22" s="458"/>
      <c r="G22" s="419"/>
      <c r="H22" s="456"/>
    </row>
    <row r="23" spans="1:14" s="23" customFormat="1">
      <c r="A23" s="611" t="s">
        <v>647</v>
      </c>
      <c r="B23" s="149"/>
      <c r="C23" s="24"/>
      <c r="D23" s="24"/>
      <c r="E23" s="24"/>
      <c r="F23" s="458"/>
      <c r="G23" s="419"/>
      <c r="H23" s="456"/>
    </row>
    <row r="24" spans="1:14" s="23" customFormat="1">
      <c r="A24" s="481" t="s">
        <v>510</v>
      </c>
      <c r="B24" s="149"/>
      <c r="C24" s="483">
        <f>SUM(C18:C23)</f>
        <v>0</v>
      </c>
      <c r="D24" s="483">
        <f>SUM(D18:D23)</f>
        <v>0</v>
      </c>
      <c r="E24" s="483">
        <f>SUM(E18:E23)</f>
        <v>0</v>
      </c>
      <c r="F24" s="458"/>
    </row>
    <row r="25" spans="1:14">
      <c r="A25" s="23"/>
      <c r="B25" s="149"/>
      <c r="C25" s="24"/>
      <c r="D25" s="24"/>
      <c r="E25" s="24"/>
      <c r="F25" s="288"/>
      <c r="G25" s="23"/>
      <c r="H25" s="456"/>
    </row>
    <row r="26" spans="1:14">
      <c r="A26" s="12" t="s">
        <v>648</v>
      </c>
      <c r="B26" s="149"/>
      <c r="C26" s="24"/>
      <c r="D26" s="24"/>
      <c r="E26" s="24"/>
      <c r="F26" s="458"/>
      <c r="G26" s="284"/>
      <c r="H26" s="456"/>
    </row>
    <row r="27" spans="1:14" s="23" customFormat="1">
      <c r="A27" s="611" t="s">
        <v>649</v>
      </c>
      <c r="B27" s="149"/>
      <c r="C27" s="24"/>
      <c r="D27" s="24"/>
      <c r="E27" s="24"/>
      <c r="F27" s="458"/>
      <c r="G27" s="284"/>
      <c r="H27" s="456"/>
    </row>
    <row r="28" spans="1:14" s="23" customFormat="1">
      <c r="A28" s="611" t="s">
        <v>650</v>
      </c>
      <c r="B28" s="149"/>
      <c r="C28" s="24"/>
      <c r="D28" s="24"/>
      <c r="E28" s="24"/>
      <c r="F28" s="458"/>
      <c r="G28" s="284"/>
      <c r="H28" s="456"/>
    </row>
    <row r="29" spans="1:14" s="23" customFormat="1">
      <c r="A29" s="611" t="s">
        <v>654</v>
      </c>
      <c r="B29" s="149"/>
      <c r="C29" s="24"/>
      <c r="D29" s="24"/>
      <c r="E29" s="24"/>
      <c r="F29" s="458"/>
      <c r="G29" s="284"/>
      <c r="H29" s="456"/>
    </row>
    <row r="30" spans="1:14" s="23" customFormat="1">
      <c r="A30" s="611" t="s">
        <v>655</v>
      </c>
      <c r="B30" s="149"/>
      <c r="C30" s="24"/>
      <c r="D30" s="24"/>
      <c r="E30" s="24"/>
      <c r="F30" s="458"/>
      <c r="G30" s="284"/>
      <c r="H30" s="456"/>
    </row>
    <row r="31" spans="1:14" s="23" customFormat="1">
      <c r="A31" s="611" t="s">
        <v>647</v>
      </c>
      <c r="B31" s="149"/>
      <c r="C31" s="24"/>
      <c r="D31" s="24"/>
      <c r="E31" s="24"/>
      <c r="F31" s="458"/>
      <c r="G31" s="284"/>
      <c r="H31" s="456"/>
    </row>
    <row r="32" spans="1:14" s="23" customFormat="1">
      <c r="A32" s="481" t="s">
        <v>651</v>
      </c>
      <c r="B32" s="149"/>
      <c r="C32" s="483">
        <f>SUM(C27:C31)</f>
        <v>0</v>
      </c>
      <c r="D32" s="483">
        <f>SUM(D27:D31)</f>
        <v>0</v>
      </c>
      <c r="E32" s="483">
        <f>SUM(E27:E31)</f>
        <v>0</v>
      </c>
      <c r="F32" s="458"/>
      <c r="G32" s="284"/>
    </row>
    <row r="33" spans="1:8">
      <c r="A33" s="23"/>
      <c r="B33" s="149"/>
      <c r="C33" s="24"/>
      <c r="D33" s="24"/>
      <c r="E33" s="24"/>
      <c r="F33" s="288"/>
      <c r="G33" s="23"/>
      <c r="H33" s="23"/>
    </row>
    <row r="34" spans="1:8">
      <c r="A34" s="12" t="s">
        <v>652</v>
      </c>
      <c r="B34" s="149"/>
      <c r="C34" s="24"/>
      <c r="D34" s="24"/>
      <c r="E34" s="24"/>
      <c r="F34" s="288"/>
      <c r="G34" s="270"/>
      <c r="H34" s="456"/>
    </row>
    <row r="35" spans="1:8">
      <c r="A35" s="23" t="s">
        <v>566</v>
      </c>
      <c r="B35" s="149"/>
      <c r="C35" s="24"/>
      <c r="D35" s="24"/>
      <c r="E35" s="24"/>
      <c r="F35" s="458"/>
      <c r="G35" s="270"/>
      <c r="H35" s="456"/>
    </row>
    <row r="36" spans="1:8" s="608" customFormat="1">
      <c r="A36" s="23"/>
      <c r="B36" s="149"/>
      <c r="C36" s="24"/>
      <c r="D36" s="24"/>
      <c r="E36" s="24"/>
      <c r="F36" s="458"/>
      <c r="G36" s="270"/>
      <c r="H36" s="456"/>
    </row>
    <row r="37" spans="1:8" s="608" customFormat="1">
      <c r="A37" s="23"/>
      <c r="B37" s="149"/>
      <c r="C37" s="24"/>
      <c r="D37" s="24"/>
      <c r="E37" s="24"/>
      <c r="F37" s="458"/>
      <c r="G37" s="270"/>
      <c r="H37" s="456"/>
    </row>
    <row r="38" spans="1:8" s="23" customFormat="1">
      <c r="B38" s="149"/>
      <c r="C38" s="24"/>
      <c r="D38" s="24"/>
      <c r="E38" s="24"/>
      <c r="F38" s="458"/>
      <c r="G38" s="284"/>
      <c r="H38" s="456"/>
    </row>
    <row r="39" spans="1:8" s="23" customFormat="1">
      <c r="B39" s="149"/>
      <c r="C39" s="24"/>
      <c r="D39" s="24"/>
      <c r="E39" s="24"/>
      <c r="F39" s="288"/>
      <c r="G39" s="284"/>
      <c r="H39" s="456"/>
    </row>
    <row r="40" spans="1:8" s="23" customFormat="1">
      <c r="A40" s="481" t="s">
        <v>653</v>
      </c>
      <c r="B40" s="149"/>
      <c r="C40" s="483">
        <f>SUM(C35:C39)</f>
        <v>0</v>
      </c>
      <c r="D40" s="483">
        <f>SUM(D35:D39)</f>
        <v>0</v>
      </c>
      <c r="E40" s="483">
        <f>SUM(E35:E39)</f>
        <v>0</v>
      </c>
      <c r="F40" s="288"/>
    </row>
    <row r="41" spans="1:8">
      <c r="A41" s="23"/>
      <c r="B41" s="149"/>
      <c r="C41" s="24"/>
      <c r="D41" s="24"/>
      <c r="E41" s="24"/>
      <c r="F41" s="288"/>
      <c r="G41" s="23"/>
      <c r="H41" s="23"/>
    </row>
    <row r="42" spans="1:8" s="608" customFormat="1">
      <c r="A42" s="12" t="s">
        <v>656</v>
      </c>
      <c r="B42" s="149"/>
      <c r="C42" s="24"/>
      <c r="D42" s="24"/>
      <c r="E42" s="24"/>
      <c r="F42" s="288"/>
      <c r="G42" s="270"/>
      <c r="H42" s="456"/>
    </row>
    <row r="43" spans="1:8" s="608" customFormat="1">
      <c r="A43" s="12"/>
      <c r="B43" s="149"/>
      <c r="C43" s="24"/>
      <c r="D43" s="24"/>
      <c r="E43" s="24"/>
      <c r="F43" s="288"/>
      <c r="G43" s="270"/>
      <c r="H43" s="456"/>
    </row>
    <row r="44" spans="1:8" s="608" customFormat="1">
      <c r="A44" s="12"/>
      <c r="B44" s="149"/>
      <c r="C44" s="24"/>
      <c r="D44" s="24"/>
      <c r="E44" s="24"/>
      <c r="F44" s="288"/>
      <c r="G44" s="270"/>
      <c r="H44" s="456"/>
    </row>
    <row r="45" spans="1:8" s="608" customFormat="1">
      <c r="A45" s="23"/>
      <c r="B45" s="149"/>
      <c r="C45" s="24"/>
      <c r="D45" s="24"/>
      <c r="E45" s="24"/>
      <c r="F45" s="458"/>
      <c r="G45" s="270"/>
      <c r="H45" s="456"/>
    </row>
    <row r="46" spans="1:8" s="23" customFormat="1">
      <c r="B46" s="149"/>
      <c r="C46" s="24"/>
      <c r="D46" s="24"/>
      <c r="E46" s="24"/>
      <c r="F46" s="458"/>
      <c r="G46" s="284"/>
      <c r="H46" s="456"/>
    </row>
    <row r="47" spans="1:8" s="23" customFormat="1">
      <c r="B47" s="149"/>
      <c r="C47" s="24"/>
      <c r="D47" s="24"/>
      <c r="E47" s="24"/>
      <c r="F47" s="288"/>
      <c r="G47" s="284"/>
      <c r="H47" s="456"/>
    </row>
    <row r="48" spans="1:8" s="23" customFormat="1">
      <c r="A48" s="481" t="s">
        <v>657</v>
      </c>
      <c r="B48" s="149"/>
      <c r="C48" s="483">
        <f>SUM(C43:C47)</f>
        <v>0</v>
      </c>
      <c r="D48" s="483">
        <f t="shared" ref="D48:E48" si="0">SUM(D43:D47)</f>
        <v>0</v>
      </c>
      <c r="E48" s="483">
        <f t="shared" si="0"/>
        <v>0</v>
      </c>
      <c r="F48" s="288"/>
    </row>
    <row r="49" spans="1:8" s="23" customFormat="1">
      <c r="A49" s="481"/>
      <c r="B49" s="149"/>
      <c r="C49" s="483"/>
      <c r="D49" s="483"/>
      <c r="E49" s="483"/>
      <c r="F49" s="288"/>
    </row>
    <row r="50" spans="1:8">
      <c r="A50" s="86" t="s">
        <v>305</v>
      </c>
      <c r="B50" s="149"/>
      <c r="C50" s="24"/>
      <c r="D50" s="24"/>
      <c r="E50" s="24"/>
      <c r="F50" s="288"/>
      <c r="G50" s="284"/>
      <c r="H50" s="456"/>
    </row>
    <row r="51" spans="1:8">
      <c r="A51" s="148" t="s">
        <v>560</v>
      </c>
      <c r="B51" s="149"/>
      <c r="C51" s="24"/>
      <c r="D51" s="24"/>
      <c r="E51" s="24"/>
      <c r="F51" s="458"/>
      <c r="G51" s="284"/>
      <c r="H51" s="456"/>
    </row>
    <row r="52" spans="1:8" s="23" customFormat="1">
      <c r="A52" s="148" t="s">
        <v>561</v>
      </c>
      <c r="B52" s="149"/>
      <c r="C52" s="24"/>
      <c r="D52" s="24"/>
      <c r="E52" s="24"/>
      <c r="F52" s="458"/>
      <c r="G52" s="284"/>
      <c r="H52" s="456"/>
    </row>
    <row r="53" spans="1:8" s="23" customFormat="1">
      <c r="B53" s="149"/>
      <c r="C53" s="24"/>
      <c r="D53" s="24"/>
      <c r="E53" s="24"/>
      <c r="F53" s="458"/>
      <c r="G53" s="284"/>
      <c r="H53" s="456"/>
    </row>
    <row r="54" spans="1:8" s="23" customFormat="1">
      <c r="B54" s="149"/>
      <c r="C54" s="24"/>
      <c r="D54" s="24"/>
      <c r="E54" s="24"/>
      <c r="F54" s="458"/>
      <c r="G54" s="284"/>
      <c r="H54" s="456"/>
    </row>
    <row r="55" spans="1:8" s="23" customFormat="1">
      <c r="A55" s="481" t="s">
        <v>511</v>
      </c>
      <c r="B55" s="149"/>
      <c r="C55" s="483">
        <f>SUM(C51:C54)</f>
        <v>0</v>
      </c>
      <c r="D55" s="483">
        <f>SUM(D51:D54)</f>
        <v>0</v>
      </c>
      <c r="E55" s="483">
        <f>SUM(E51:E54)</f>
        <v>0</v>
      </c>
      <c r="F55" s="458"/>
      <c r="H55" s="456"/>
    </row>
    <row r="56" spans="1:8">
      <c r="A56" s="23"/>
      <c r="B56" s="149"/>
      <c r="C56" s="24"/>
      <c r="D56" s="24"/>
      <c r="E56" s="24"/>
      <c r="F56" s="458"/>
      <c r="G56" s="23"/>
      <c r="H56" s="23"/>
    </row>
    <row r="57" spans="1:8">
      <c r="A57" s="86" t="s">
        <v>223</v>
      </c>
      <c r="B57" s="149"/>
      <c r="C57" s="24"/>
      <c r="D57" s="24"/>
      <c r="E57" s="24"/>
      <c r="F57" s="288"/>
      <c r="G57" s="284"/>
      <c r="H57" s="456"/>
    </row>
    <row r="58" spans="1:8" s="23" customFormat="1">
      <c r="A58" s="148" t="s">
        <v>562</v>
      </c>
      <c r="B58" s="149"/>
      <c r="C58" s="24"/>
      <c r="D58" s="24"/>
      <c r="E58" s="24"/>
      <c r="F58" s="458"/>
      <c r="H58" s="456"/>
    </row>
    <row r="59" spans="1:8" s="23" customFormat="1">
      <c r="B59" s="149"/>
      <c r="C59" s="75"/>
      <c r="D59" s="24"/>
      <c r="E59" s="24"/>
      <c r="F59" s="458"/>
      <c r="H59" s="456"/>
    </row>
    <row r="60" spans="1:8" s="23" customFormat="1">
      <c r="B60" s="149"/>
      <c r="C60" s="75"/>
      <c r="D60" s="24"/>
      <c r="E60" s="24"/>
      <c r="F60" s="458"/>
      <c r="H60" s="456"/>
    </row>
    <row r="61" spans="1:8" s="23" customFormat="1">
      <c r="A61" s="481" t="s">
        <v>512</v>
      </c>
      <c r="B61" s="149"/>
      <c r="C61" s="482">
        <f>SUM(C58:C60)</f>
        <v>0</v>
      </c>
      <c r="D61" s="482">
        <f>SUM(D58:D60)</f>
        <v>0</v>
      </c>
      <c r="E61" s="482">
        <f>SUM(E58:E60)</f>
        <v>0</v>
      </c>
      <c r="F61" s="458"/>
    </row>
    <row r="62" spans="1:8">
      <c r="A62" s="23" t="s">
        <v>199</v>
      </c>
      <c r="B62" s="143" t="s">
        <v>200</v>
      </c>
      <c r="C62" s="24"/>
      <c r="D62" s="24"/>
      <c r="E62" s="24"/>
      <c r="F62" s="288"/>
      <c r="G62" s="35">
        <f>SUM(G9:G61)</f>
        <v>0</v>
      </c>
    </row>
    <row r="63" spans="1:8">
      <c r="A63" s="34" t="s">
        <v>201</v>
      </c>
      <c r="B63" s="135"/>
      <c r="C63" s="35">
        <f>C61+C55+C48+C40+C32+C24+C15</f>
        <v>0</v>
      </c>
      <c r="D63" s="35">
        <f t="shared" ref="D63:E63" si="1">D61+D55+D48+D40+D32+D24+D15</f>
        <v>0</v>
      </c>
      <c r="E63" s="35">
        <f t="shared" si="1"/>
        <v>0</v>
      </c>
      <c r="F63" s="289"/>
    </row>
    <row r="64" spans="1:8">
      <c r="B64" s="132"/>
      <c r="D64" s="132"/>
      <c r="E64" s="132"/>
      <c r="F64" s="290"/>
    </row>
    <row r="65" spans="1:7">
      <c r="A65" s="12" t="s">
        <v>202</v>
      </c>
      <c r="B65" s="132"/>
      <c r="C65" s="33">
        <f>C63+D63+E63</f>
        <v>0</v>
      </c>
      <c r="D65" s="132"/>
      <c r="E65" s="132"/>
      <c r="F65" s="290"/>
    </row>
    <row r="66" spans="1:7">
      <c r="A66" s="614" t="s">
        <v>375</v>
      </c>
      <c r="B66" s="614"/>
      <c r="C66" s="116" t="str">
        <f>IF(+'Uses of Funds'!E130-C65=0," ",+'Uses of Funds'!E130-C65)</f>
        <v xml:space="preserve"> </v>
      </c>
      <c r="D66" s="612" t="s">
        <v>22</v>
      </c>
      <c r="E66" s="612"/>
      <c r="F66" s="613"/>
    </row>
    <row r="67" spans="1:7">
      <c r="B67" s="132"/>
      <c r="D67" s="612"/>
      <c r="E67" s="612"/>
      <c r="F67" s="613"/>
    </row>
    <row r="68" spans="1:7">
      <c r="B68" s="132"/>
      <c r="D68" s="132"/>
      <c r="E68" s="132"/>
      <c r="F68" s="290"/>
      <c r="G68" s="24"/>
    </row>
    <row r="69" spans="1:7">
      <c r="A69" s="12" t="s">
        <v>582</v>
      </c>
      <c r="B69" s="132"/>
      <c r="D69" s="132"/>
      <c r="E69" s="132"/>
      <c r="F69" s="291"/>
      <c r="G69" s="24"/>
    </row>
    <row r="70" spans="1:7">
      <c r="A70" s="3" t="s">
        <v>68</v>
      </c>
      <c r="B70" s="134"/>
      <c r="C70" s="3"/>
      <c r="D70" s="134"/>
      <c r="E70" s="281">
        <f>+'OAHTC Calculation'!D9</f>
        <v>0</v>
      </c>
      <c r="F70" s="291" t="s">
        <v>69</v>
      </c>
      <c r="G70" s="24"/>
    </row>
    <row r="71" spans="1:7">
      <c r="A71" s="3" t="s">
        <v>551</v>
      </c>
      <c r="B71" s="134"/>
      <c r="C71" s="3"/>
      <c r="D71" s="134"/>
      <c r="E71" s="281"/>
      <c r="F71" s="291" t="s">
        <v>69</v>
      </c>
      <c r="G71" s="24"/>
    </row>
    <row r="72" spans="1:7">
      <c r="A72" s="3" t="s">
        <v>552</v>
      </c>
      <c r="B72" s="134"/>
      <c r="C72" s="3"/>
      <c r="D72" s="134"/>
      <c r="E72" s="281"/>
      <c r="F72" s="291" t="s">
        <v>69</v>
      </c>
      <c r="G72" s="24"/>
    </row>
    <row r="73" spans="1:7">
      <c r="A73" s="3" t="s">
        <v>553</v>
      </c>
      <c r="B73" s="134"/>
      <c r="C73" s="3"/>
      <c r="D73" s="134"/>
      <c r="E73" s="281"/>
      <c r="F73" s="291"/>
      <c r="G73" s="24"/>
    </row>
    <row r="74" spans="1:7">
      <c r="A74" s="3" t="s">
        <v>310</v>
      </c>
      <c r="B74" s="134"/>
      <c r="C74" s="3"/>
      <c r="D74" s="150"/>
      <c r="E74" s="282"/>
      <c r="F74" s="291" t="s">
        <v>69</v>
      </c>
      <c r="G74" s="24"/>
    </row>
    <row r="75" spans="1:7">
      <c r="A75" s="3"/>
      <c r="B75" s="134"/>
      <c r="C75" s="3"/>
      <c r="D75" s="150"/>
      <c r="E75" s="283"/>
      <c r="F75" s="291"/>
    </row>
    <row r="76" spans="1:7">
      <c r="A76" s="132"/>
      <c r="B76" s="132"/>
      <c r="C76" s="132"/>
      <c r="D76" s="132"/>
      <c r="E76" s="132"/>
      <c r="F76" s="132"/>
    </row>
  </sheetData>
  <sheetProtection formatCells="0" formatColumns="0" formatRows="0" insertColumns="0" insertRows="0" insertHyperlinks="0" deleteColumns="0" deleteRows="0" sort="0" autoFilter="0" pivotTables="0"/>
  <mergeCells count="2">
    <mergeCell ref="D66:F67"/>
    <mergeCell ref="A66:B66"/>
  </mergeCells>
  <phoneticPr fontId="6" type="noConversion"/>
  <printOptions horizontalCentered="1" gridLines="1"/>
  <pageMargins left="0.45" right="0.33" top="0.65" bottom="0.81" header="0.5" footer="0.5"/>
  <pageSetup scale="83" orientation="portrait" r:id="rId1"/>
  <headerFooter alignWithMargins="0">
    <oddFooter>&amp;L2012 Funding Pro Forma  &amp;C&amp;P&amp;RUpdated 01/09/2012</oddFooter>
  </headerFooter>
  <rowBreaks count="1" manualBreakCount="1">
    <brk id="74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P147"/>
  <sheetViews>
    <sheetView tabSelected="1" zoomScaleNormal="100" zoomScaleSheetLayoutView="75" workbookViewId="0">
      <pane ySplit="14" topLeftCell="A15" activePane="bottomLeft" state="frozen"/>
      <selection pane="bottomLeft" activeCell="A9" sqref="A9"/>
    </sheetView>
  </sheetViews>
  <sheetFormatPr defaultColWidth="10.28515625" defaultRowHeight="12.75"/>
  <cols>
    <col min="1" max="1" width="4.85546875" customWidth="1"/>
    <col min="2" max="2" width="39.140625" customWidth="1"/>
    <col min="3" max="3" width="11.7109375" customWidth="1"/>
    <col min="4" max="4" width="13.42578125" hidden="1" customWidth="1"/>
    <col min="5" max="5" width="11.7109375" customWidth="1"/>
    <col min="6" max="6" width="9" customWidth="1"/>
    <col min="7" max="8" width="8.140625" customWidth="1"/>
    <col min="9" max="9" width="12.42578125" hidden="1" customWidth="1"/>
    <col min="10" max="11" width="7.85546875" hidden="1" customWidth="1"/>
    <col min="12" max="12" width="6.85546875" hidden="1" customWidth="1"/>
    <col min="13" max="13" width="6.7109375" hidden="1" customWidth="1"/>
    <col min="14" max="14" width="12.28515625" hidden="1" customWidth="1"/>
    <col min="15" max="15" width="7.140625" hidden="1" customWidth="1"/>
    <col min="16" max="16" width="7.7109375" hidden="1" customWidth="1"/>
    <col min="17" max="18" width="6.7109375" hidden="1" customWidth="1"/>
    <col min="19" max="19" width="17.28515625" customWidth="1"/>
    <col min="20" max="20" width="11.7109375" customWidth="1"/>
    <col min="21" max="21" width="19.5703125" bestFit="1" customWidth="1"/>
    <col min="22" max="22" width="9.140625" customWidth="1"/>
  </cols>
  <sheetData>
    <row r="1" spans="1:28" ht="15.75">
      <c r="A1" s="129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8">
      <c r="A2" t="s">
        <v>218</v>
      </c>
      <c r="B2" s="2"/>
      <c r="C2">
        <f>Sources!$B$3</f>
        <v>0</v>
      </c>
      <c r="H2" s="2" t="s">
        <v>374</v>
      </c>
      <c r="I2" s="88">
        <f>Sources!F3</f>
        <v>40909</v>
      </c>
      <c r="S2" s="452"/>
    </row>
    <row r="3" spans="1:28">
      <c r="B3" s="2"/>
      <c r="D3" s="2"/>
      <c r="E3" s="193"/>
    </row>
    <row r="4" spans="1:28">
      <c r="A4" t="s">
        <v>478</v>
      </c>
      <c r="B4" s="2"/>
      <c r="C4" s="207"/>
      <c r="D4" s="2"/>
      <c r="E4" s="193"/>
    </row>
    <row r="5" spans="1:28">
      <c r="A5" s="62" t="s">
        <v>260</v>
      </c>
      <c r="B5" s="62"/>
      <c r="C5" s="97"/>
    </row>
    <row r="6" spans="1:28">
      <c r="A6" t="s">
        <v>315</v>
      </c>
      <c r="C6" s="87"/>
      <c r="D6" s="78"/>
      <c r="E6" s="78"/>
      <c r="I6" s="153"/>
      <c r="J6" s="153"/>
      <c r="K6" s="153"/>
      <c r="L6" s="153"/>
      <c r="M6" s="153"/>
    </row>
    <row r="7" spans="1:28">
      <c r="A7" s="610" t="s">
        <v>661</v>
      </c>
      <c r="C7" s="87"/>
      <c r="D7" s="78"/>
      <c r="E7" s="78"/>
      <c r="I7" s="153"/>
      <c r="J7" s="153"/>
      <c r="K7" s="153"/>
      <c r="L7" s="153"/>
      <c r="M7" s="153"/>
    </row>
    <row r="8" spans="1:28" s="610" customFormat="1">
      <c r="A8" s="82" t="s">
        <v>662</v>
      </c>
      <c r="C8" s="78"/>
      <c r="D8" s="78"/>
      <c r="E8" s="78"/>
      <c r="I8" s="153"/>
      <c r="J8" s="153"/>
      <c r="K8" s="153"/>
      <c r="L8" s="153"/>
      <c r="M8" s="153"/>
    </row>
    <row r="9" spans="1:28">
      <c r="A9" t="s">
        <v>316</v>
      </c>
      <c r="C9" s="87"/>
      <c r="D9" s="78"/>
      <c r="E9" s="78"/>
      <c r="I9" s="153"/>
      <c r="J9" s="153"/>
      <c r="K9" s="153"/>
      <c r="L9" s="153"/>
      <c r="M9" s="153"/>
      <c r="T9" s="6" t="s">
        <v>317</v>
      </c>
    </row>
    <row r="10" spans="1:28">
      <c r="A10" t="s">
        <v>318</v>
      </c>
      <c r="C10" s="87"/>
      <c r="D10" s="78"/>
      <c r="E10" s="78"/>
      <c r="I10" s="153"/>
      <c r="J10" s="153"/>
      <c r="K10" s="153"/>
      <c r="L10" s="153"/>
      <c r="M10" s="153"/>
      <c r="T10" s="6" t="s">
        <v>319</v>
      </c>
    </row>
    <row r="11" spans="1:28">
      <c r="A11" t="s">
        <v>320</v>
      </c>
      <c r="C11" s="9">
        <f>SUM(C7:C10)-C8</f>
        <v>0</v>
      </c>
      <c r="D11" s="84"/>
      <c r="E11" s="84"/>
      <c r="I11" s="9"/>
      <c r="J11" s="9"/>
      <c r="K11" s="9"/>
      <c r="L11" s="9"/>
      <c r="M11" s="9"/>
    </row>
    <row r="12" spans="1:28" ht="13.5" thickBot="1">
      <c r="E12" s="9"/>
      <c r="F12" s="84"/>
      <c r="G12" s="84"/>
      <c r="H12" s="84"/>
      <c r="I12" s="9"/>
      <c r="J12" s="9"/>
      <c r="K12" s="9"/>
      <c r="L12" s="9"/>
      <c r="M12" s="9"/>
    </row>
    <row r="13" spans="1:28" ht="13.5" thickBot="1">
      <c r="B13" s="480" t="s">
        <v>508</v>
      </c>
      <c r="C13" s="155"/>
      <c r="D13" s="426" t="s">
        <v>393</v>
      </c>
      <c r="E13" s="423" t="s">
        <v>392</v>
      </c>
      <c r="F13" s="424"/>
      <c r="G13" s="424"/>
      <c r="H13" s="425"/>
      <c r="I13" s="161"/>
      <c r="J13" s="161"/>
      <c r="K13" s="161"/>
      <c r="L13" s="161"/>
      <c r="M13" s="161"/>
      <c r="N13" s="161"/>
      <c r="O13" s="156"/>
      <c r="P13" s="156"/>
      <c r="Q13" s="156"/>
      <c r="R13" s="156"/>
    </row>
    <row r="14" spans="1:28" ht="51">
      <c r="C14" s="7" t="s">
        <v>329</v>
      </c>
      <c r="D14" s="7" t="s">
        <v>328</v>
      </c>
      <c r="E14" s="422" t="s">
        <v>394</v>
      </c>
      <c r="F14" s="266" t="s">
        <v>333</v>
      </c>
      <c r="G14" s="266" t="s">
        <v>334</v>
      </c>
      <c r="H14" s="266" t="s">
        <v>335</v>
      </c>
      <c r="I14" s="8" t="s">
        <v>264</v>
      </c>
      <c r="J14" s="8" t="s">
        <v>331</v>
      </c>
      <c r="K14" s="266" t="s">
        <v>333</v>
      </c>
      <c r="L14" s="266" t="s">
        <v>334</v>
      </c>
      <c r="M14" s="266" t="s">
        <v>335</v>
      </c>
      <c r="N14" s="8" t="s">
        <v>330</v>
      </c>
      <c r="O14" s="8" t="s">
        <v>332</v>
      </c>
      <c r="P14" s="266" t="s">
        <v>333</v>
      </c>
      <c r="Q14" s="266" t="s">
        <v>334</v>
      </c>
      <c r="R14" s="266" t="s">
        <v>335</v>
      </c>
      <c r="S14" s="8" t="s">
        <v>304</v>
      </c>
      <c r="T14" s="8" t="s">
        <v>378</v>
      </c>
      <c r="U14" s="151" t="s">
        <v>263</v>
      </c>
      <c r="V14" s="7"/>
      <c r="W14" s="479"/>
      <c r="X14" s="15"/>
      <c r="Y14" s="15"/>
      <c r="Z14" s="15"/>
      <c r="AA14" s="15"/>
      <c r="AB14" s="15"/>
    </row>
    <row r="15" spans="1:28">
      <c r="E15" s="205"/>
      <c r="S15" s="5"/>
      <c r="T15" s="5"/>
      <c r="U15" s="5"/>
    </row>
    <row r="16" spans="1:28">
      <c r="A16" s="13" t="s">
        <v>321</v>
      </c>
      <c r="B16" s="13"/>
      <c r="C16" s="239"/>
      <c r="D16" s="239"/>
      <c r="E16" s="205"/>
    </row>
    <row r="17" spans="1:250">
      <c r="B17" s="132" t="s">
        <v>322</v>
      </c>
      <c r="C17" s="236"/>
      <c r="D17" s="236"/>
      <c r="E17" s="205"/>
    </row>
    <row r="18" spans="1:250">
      <c r="B18" s="132" t="s">
        <v>323</v>
      </c>
      <c r="C18" s="236">
        <f t="shared" ref="C18:C23" si="0">D18+E18</f>
        <v>0</v>
      </c>
      <c r="D18" s="275"/>
      <c r="E18" s="294"/>
      <c r="F18" s="152" t="e">
        <f t="shared" ref="F18:F23" si="1">E18/$C$6</f>
        <v>#DIV/0!</v>
      </c>
      <c r="G18" s="162" t="e">
        <f>E18/($C$7+$C$9)</f>
        <v>#DIV/0!</v>
      </c>
      <c r="H18" s="163" t="e">
        <f t="shared" ref="H18:H23" si="2">E18/$E$130</f>
        <v>#DIV/0!</v>
      </c>
      <c r="I18" s="167"/>
      <c r="J18" s="154" t="e">
        <f>(I18/E18)-1</f>
        <v>#DIV/0!</v>
      </c>
      <c r="K18" s="152" t="e">
        <f t="shared" ref="K18:K23" si="3">I18/$C$6</f>
        <v>#DIV/0!</v>
      </c>
      <c r="L18" s="162" t="e">
        <f t="shared" ref="L18:L23" si="4">I18/($C$7+$C$9)</f>
        <v>#DIV/0!</v>
      </c>
      <c r="M18" s="163" t="e">
        <f t="shared" ref="M18:M23" si="5">I18/$I$130</f>
        <v>#DIV/0!</v>
      </c>
      <c r="N18" s="170"/>
      <c r="O18" s="154" t="e">
        <f t="shared" ref="O18:O23" si="6">(N18/I18)-1</f>
        <v>#DIV/0!</v>
      </c>
      <c r="P18" s="152" t="e">
        <f t="shared" ref="P18:P23" si="7">N18/$C$6</f>
        <v>#DIV/0!</v>
      </c>
      <c r="Q18" s="162" t="e">
        <f t="shared" ref="Q18:Q23" si="8">N18/($C$7+$C$9)</f>
        <v>#DIV/0!</v>
      </c>
      <c r="R18" s="163" t="e">
        <f t="shared" ref="R18:R23" si="9">N18/$N$130</f>
        <v>#DIV/0!</v>
      </c>
      <c r="S18" s="206"/>
      <c r="T18" s="126"/>
      <c r="U18" s="440"/>
    </row>
    <row r="19" spans="1:250">
      <c r="B19" s="132" t="s">
        <v>39</v>
      </c>
      <c r="C19" s="236">
        <f t="shared" si="0"/>
        <v>0</v>
      </c>
      <c r="D19" s="275"/>
      <c r="E19" s="294"/>
      <c r="F19" s="152" t="e">
        <f t="shared" si="1"/>
        <v>#DIV/0!</v>
      </c>
      <c r="G19" s="162" t="e">
        <f t="shared" ref="G19:G25" si="10">E19/($C$7+$C$9)</f>
        <v>#DIV/0!</v>
      </c>
      <c r="H19" s="163" t="e">
        <f t="shared" si="2"/>
        <v>#DIV/0!</v>
      </c>
      <c r="I19" s="164"/>
      <c r="J19" s="154" t="e">
        <f t="shared" ref="J19:J25" si="11">(I19/E19)-1</f>
        <v>#DIV/0!</v>
      </c>
      <c r="K19" s="152" t="e">
        <f t="shared" si="3"/>
        <v>#DIV/0!</v>
      </c>
      <c r="L19" s="162" t="e">
        <f t="shared" si="4"/>
        <v>#DIV/0!</v>
      </c>
      <c r="M19" s="163" t="e">
        <f t="shared" si="5"/>
        <v>#DIV/0!</v>
      </c>
      <c r="N19" s="170"/>
      <c r="O19" s="154" t="e">
        <f t="shared" si="6"/>
        <v>#DIV/0!</v>
      </c>
      <c r="P19" s="152" t="e">
        <f t="shared" si="7"/>
        <v>#DIV/0!</v>
      </c>
      <c r="Q19" s="162" t="e">
        <f t="shared" si="8"/>
        <v>#DIV/0!</v>
      </c>
      <c r="R19" s="163" t="e">
        <f t="shared" si="9"/>
        <v>#DIV/0!</v>
      </c>
      <c r="S19" s="206"/>
      <c r="T19" s="206">
        <f>E19</f>
        <v>0</v>
      </c>
      <c r="U19" s="206"/>
    </row>
    <row r="20" spans="1:250">
      <c r="B20" s="132" t="s">
        <v>40</v>
      </c>
      <c r="C20" s="236">
        <f t="shared" si="0"/>
        <v>0</v>
      </c>
      <c r="D20" s="275"/>
      <c r="E20" s="294"/>
      <c r="F20" s="152" t="e">
        <f t="shared" si="1"/>
        <v>#DIV/0!</v>
      </c>
      <c r="G20" s="162" t="e">
        <f t="shared" si="10"/>
        <v>#DIV/0!</v>
      </c>
      <c r="H20" s="163" t="e">
        <f t="shared" si="2"/>
        <v>#DIV/0!</v>
      </c>
      <c r="I20" s="164"/>
      <c r="J20" s="154" t="e">
        <f t="shared" si="11"/>
        <v>#DIV/0!</v>
      </c>
      <c r="K20" s="152" t="e">
        <f t="shared" si="3"/>
        <v>#DIV/0!</v>
      </c>
      <c r="L20" s="162" t="e">
        <f t="shared" si="4"/>
        <v>#DIV/0!</v>
      </c>
      <c r="M20" s="163" t="e">
        <f t="shared" si="5"/>
        <v>#DIV/0!</v>
      </c>
      <c r="N20" s="170"/>
      <c r="O20" s="154" t="e">
        <f t="shared" si="6"/>
        <v>#DIV/0!</v>
      </c>
      <c r="P20" s="152" t="e">
        <f t="shared" si="7"/>
        <v>#DIV/0!</v>
      </c>
      <c r="Q20" s="162" t="e">
        <f t="shared" si="8"/>
        <v>#DIV/0!</v>
      </c>
      <c r="R20" s="163" t="e">
        <f t="shared" si="9"/>
        <v>#DIV/0!</v>
      </c>
      <c r="S20" s="206"/>
      <c r="T20" s="206">
        <f>E20</f>
        <v>0</v>
      </c>
      <c r="U20" s="206"/>
    </row>
    <row r="21" spans="1:250">
      <c r="B21" s="132" t="s">
        <v>41</v>
      </c>
      <c r="C21" s="236">
        <f t="shared" si="0"/>
        <v>0</v>
      </c>
      <c r="D21" s="275"/>
      <c r="E21" s="294"/>
      <c r="F21" s="152" t="e">
        <f t="shared" si="1"/>
        <v>#DIV/0!</v>
      </c>
      <c r="G21" s="162" t="e">
        <f t="shared" si="10"/>
        <v>#DIV/0!</v>
      </c>
      <c r="H21" s="163" t="e">
        <f t="shared" si="2"/>
        <v>#DIV/0!</v>
      </c>
      <c r="I21" s="164"/>
      <c r="J21" s="154" t="e">
        <f t="shared" si="11"/>
        <v>#DIV/0!</v>
      </c>
      <c r="K21" s="152" t="e">
        <f t="shared" si="3"/>
        <v>#DIV/0!</v>
      </c>
      <c r="L21" s="162" t="e">
        <f t="shared" si="4"/>
        <v>#DIV/0!</v>
      </c>
      <c r="M21" s="163" t="e">
        <f t="shared" si="5"/>
        <v>#DIV/0!</v>
      </c>
      <c r="N21" s="170"/>
      <c r="O21" s="154" t="e">
        <f t="shared" si="6"/>
        <v>#DIV/0!</v>
      </c>
      <c r="P21" s="152" t="e">
        <f t="shared" si="7"/>
        <v>#DIV/0!</v>
      </c>
      <c r="Q21" s="162" t="e">
        <f t="shared" si="8"/>
        <v>#DIV/0!</v>
      </c>
      <c r="R21" s="163" t="e">
        <f t="shared" si="9"/>
        <v>#DIV/0!</v>
      </c>
      <c r="S21" s="206"/>
      <c r="T21" s="206">
        <f>E21</f>
        <v>0</v>
      </c>
      <c r="U21" s="206"/>
    </row>
    <row r="22" spans="1:250">
      <c r="B22" s="142" t="s">
        <v>224</v>
      </c>
      <c r="C22" s="236">
        <f t="shared" si="0"/>
        <v>0</v>
      </c>
      <c r="D22" s="274"/>
      <c r="E22" s="294"/>
      <c r="F22" s="152" t="e">
        <f t="shared" si="1"/>
        <v>#DIV/0!</v>
      </c>
      <c r="G22" s="162" t="e">
        <f t="shared" si="10"/>
        <v>#DIV/0!</v>
      </c>
      <c r="H22" s="163" t="e">
        <f t="shared" si="2"/>
        <v>#DIV/0!</v>
      </c>
      <c r="I22" s="164"/>
      <c r="J22" s="154" t="e">
        <f t="shared" si="11"/>
        <v>#DIV/0!</v>
      </c>
      <c r="K22" s="152" t="e">
        <f t="shared" si="3"/>
        <v>#DIV/0!</v>
      </c>
      <c r="L22" s="162" t="e">
        <f t="shared" si="4"/>
        <v>#DIV/0!</v>
      </c>
      <c r="M22" s="163" t="e">
        <f t="shared" si="5"/>
        <v>#DIV/0!</v>
      </c>
      <c r="N22" s="170"/>
      <c r="O22" s="154" t="e">
        <f t="shared" si="6"/>
        <v>#DIV/0!</v>
      </c>
      <c r="P22" s="152" t="e">
        <f t="shared" si="7"/>
        <v>#DIV/0!</v>
      </c>
      <c r="Q22" s="162" t="e">
        <f t="shared" si="8"/>
        <v>#DIV/0!</v>
      </c>
      <c r="R22" s="163" t="e">
        <f t="shared" si="9"/>
        <v>#DIV/0!</v>
      </c>
      <c r="S22" s="206"/>
      <c r="T22" s="206">
        <f>E22</f>
        <v>0</v>
      </c>
      <c r="U22" s="206"/>
    </row>
    <row r="23" spans="1:250">
      <c r="A23" s="23"/>
      <c r="B23" s="143" t="s">
        <v>139</v>
      </c>
      <c r="C23" s="237">
        <f t="shared" si="0"/>
        <v>0</v>
      </c>
      <c r="D23" s="275"/>
      <c r="E23" s="294"/>
      <c r="F23" s="223" t="e">
        <f t="shared" si="1"/>
        <v>#DIV/0!</v>
      </c>
      <c r="G23" s="162" t="e">
        <f t="shared" si="10"/>
        <v>#DIV/0!</v>
      </c>
      <c r="H23" s="416" t="e">
        <f t="shared" si="2"/>
        <v>#DIV/0!</v>
      </c>
      <c r="I23" s="164"/>
      <c r="J23" s="417" t="e">
        <f t="shared" si="11"/>
        <v>#DIV/0!</v>
      </c>
      <c r="K23" s="223" t="e">
        <f t="shared" si="3"/>
        <v>#DIV/0!</v>
      </c>
      <c r="L23" s="162" t="e">
        <f t="shared" si="4"/>
        <v>#DIV/0!</v>
      </c>
      <c r="M23" s="416" t="e">
        <f t="shared" si="5"/>
        <v>#DIV/0!</v>
      </c>
      <c r="N23" s="170"/>
      <c r="O23" s="417" t="e">
        <f t="shared" si="6"/>
        <v>#DIV/0!</v>
      </c>
      <c r="P23" s="223" t="e">
        <f t="shared" si="7"/>
        <v>#DIV/0!</v>
      </c>
      <c r="Q23" s="162" t="e">
        <f t="shared" si="8"/>
        <v>#DIV/0!</v>
      </c>
      <c r="R23" s="416" t="e">
        <f t="shared" si="9"/>
        <v>#DIV/0!</v>
      </c>
      <c r="S23" s="206"/>
      <c r="T23" s="206">
        <f>E23</f>
        <v>0</v>
      </c>
      <c r="U23" s="206"/>
    </row>
    <row r="24" spans="1:250">
      <c r="A24" s="23"/>
      <c r="B24" s="143"/>
      <c r="C24" s="237"/>
      <c r="D24" s="237"/>
      <c r="E24" s="295"/>
      <c r="F24" s="27"/>
      <c r="G24" s="27"/>
      <c r="H24" s="27"/>
      <c r="I24" s="165"/>
      <c r="J24" s="27"/>
      <c r="K24" s="27"/>
      <c r="L24" s="27"/>
      <c r="M24" s="27"/>
      <c r="N24" s="23"/>
      <c r="O24" s="23"/>
      <c r="P24" s="23"/>
      <c r="Q24" s="23"/>
      <c r="R24" s="23"/>
      <c r="S24" s="27"/>
      <c r="T24" s="27"/>
      <c r="U24" s="27"/>
    </row>
    <row r="25" spans="1:250">
      <c r="B25" s="144" t="s">
        <v>25</v>
      </c>
      <c r="C25" s="240">
        <f>SUM(C17:C24)</f>
        <v>0</v>
      </c>
      <c r="D25" s="240">
        <f>SUM(D17:D24)</f>
        <v>0</v>
      </c>
      <c r="E25" s="296">
        <f>SUM(E18:E23)</f>
        <v>0</v>
      </c>
      <c r="F25" s="152" t="e">
        <f>E25/$C$6</f>
        <v>#DIV/0!</v>
      </c>
      <c r="G25" s="162" t="e">
        <f t="shared" si="10"/>
        <v>#DIV/0!</v>
      </c>
      <c r="H25" s="163" t="e">
        <f>E25/$E$130</f>
        <v>#DIV/0!</v>
      </c>
      <c r="I25" s="166">
        <f>SUM(I18:I24)</f>
        <v>0</v>
      </c>
      <c r="J25" s="154" t="e">
        <f t="shared" si="11"/>
        <v>#DIV/0!</v>
      </c>
      <c r="K25" s="152" t="e">
        <f>I25/$C$6</f>
        <v>#DIV/0!</v>
      </c>
      <c r="L25" s="162" t="e">
        <f>I25/($C$7+$C$9)</f>
        <v>#DIV/0!</v>
      </c>
      <c r="M25" s="163" t="e">
        <f>I25/$I$130</f>
        <v>#DIV/0!</v>
      </c>
      <c r="N25" s="166">
        <f>SUM(N18:N24)</f>
        <v>0</v>
      </c>
      <c r="O25" s="154" t="e">
        <f>(N25/I25)-1</f>
        <v>#DIV/0!</v>
      </c>
      <c r="P25" s="152" t="e">
        <f>N25/$C$6</f>
        <v>#DIV/0!</v>
      </c>
      <c r="Q25" s="162" t="e">
        <f>N25/($C$7+$C$9)</f>
        <v>#DIV/0!</v>
      </c>
      <c r="R25" s="163" t="e">
        <f>N25/$N$130</f>
        <v>#DIV/0!</v>
      </c>
      <c r="S25" s="37"/>
      <c r="T25" s="37">
        <f>SUM(T18:T23)</f>
        <v>0</v>
      </c>
      <c r="U25" s="37">
        <f>SUM(U18:U23)</f>
        <v>0</v>
      </c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</row>
    <row r="26" spans="1:250">
      <c r="B26" s="132"/>
      <c r="C26" s="236"/>
      <c r="D26" s="236"/>
      <c r="E26" s="205"/>
      <c r="I26" s="152"/>
    </row>
    <row r="27" spans="1:250">
      <c r="A27" s="13" t="s">
        <v>142</v>
      </c>
      <c r="B27" s="145"/>
      <c r="C27" s="241"/>
      <c r="D27" s="241"/>
      <c r="E27" s="205"/>
      <c r="I27" s="152"/>
    </row>
    <row r="28" spans="1:250">
      <c r="B28" s="132" t="s">
        <v>311</v>
      </c>
      <c r="C28" s="236">
        <f t="shared" ref="C28:C48" si="12">D28+E28</f>
        <v>0</v>
      </c>
      <c r="D28" s="447"/>
      <c r="E28" s="297"/>
      <c r="F28" s="152" t="e">
        <f t="shared" ref="F28:F48" si="13">E28/$C$6</f>
        <v>#DIV/0!</v>
      </c>
      <c r="G28" s="162" t="e">
        <f t="shared" ref="G28:G50" si="14">E28/($C$7+$C$9)</f>
        <v>#DIV/0!</v>
      </c>
      <c r="H28" s="163" t="e">
        <f t="shared" ref="H28:H36" si="15">E28/$E$130</f>
        <v>#DIV/0!</v>
      </c>
      <c r="I28" s="168"/>
      <c r="J28" s="154" t="e">
        <f t="shared" ref="J28:J48" si="16">(I28/E28)-1</f>
        <v>#DIV/0!</v>
      </c>
      <c r="K28" s="152" t="e">
        <f t="shared" ref="K28:K44" si="17">I28/$C$6</f>
        <v>#DIV/0!</v>
      </c>
      <c r="L28" s="162" t="e">
        <f t="shared" ref="L28:L48" si="18">I28/($C$7+$C$9)</f>
        <v>#DIV/0!</v>
      </c>
      <c r="M28" s="163" t="e">
        <f t="shared" ref="M28:M48" si="19">I28/$I$130</f>
        <v>#DIV/0!</v>
      </c>
      <c r="N28" s="171"/>
      <c r="O28" s="154" t="e">
        <f t="shared" ref="O28:O48" si="20">(N28/I28)-1</f>
        <v>#DIV/0!</v>
      </c>
      <c r="P28" s="152" t="e">
        <f t="shared" ref="P28:P44" si="21">N28/$C$6</f>
        <v>#DIV/0!</v>
      </c>
      <c r="Q28" s="162" t="e">
        <f t="shared" ref="Q28:Q48" si="22">N28/($C$7+$C$9)</f>
        <v>#DIV/0!</v>
      </c>
      <c r="R28" s="163" t="e">
        <f t="shared" ref="R28:R48" si="23">N28/$N$130</f>
        <v>#DIV/0!</v>
      </c>
      <c r="S28" s="91"/>
      <c r="T28" s="91"/>
      <c r="U28" s="91"/>
    </row>
    <row r="29" spans="1:250">
      <c r="B29" s="132" t="s">
        <v>143</v>
      </c>
      <c r="C29" s="236">
        <f t="shared" si="12"/>
        <v>0</v>
      </c>
      <c r="D29" s="447"/>
      <c r="E29" s="297"/>
      <c r="F29" s="152" t="e">
        <f t="shared" si="13"/>
        <v>#DIV/0!</v>
      </c>
      <c r="G29" s="162" t="e">
        <f t="shared" si="14"/>
        <v>#DIV/0!</v>
      </c>
      <c r="H29" s="163" t="e">
        <f t="shared" si="15"/>
        <v>#DIV/0!</v>
      </c>
      <c r="I29" s="168"/>
      <c r="J29" s="154" t="e">
        <f t="shared" si="16"/>
        <v>#DIV/0!</v>
      </c>
      <c r="K29" s="152" t="e">
        <f t="shared" si="17"/>
        <v>#DIV/0!</v>
      </c>
      <c r="L29" s="162" t="e">
        <f t="shared" si="18"/>
        <v>#DIV/0!</v>
      </c>
      <c r="M29" s="163" t="e">
        <f t="shared" si="19"/>
        <v>#DIV/0!</v>
      </c>
      <c r="N29" s="171"/>
      <c r="O29" s="154" t="e">
        <f t="shared" si="20"/>
        <v>#DIV/0!</v>
      </c>
      <c r="P29" s="152" t="e">
        <f t="shared" si="21"/>
        <v>#DIV/0!</v>
      </c>
      <c r="Q29" s="162" t="e">
        <f t="shared" si="22"/>
        <v>#DIV/0!</v>
      </c>
      <c r="R29" s="163" t="e">
        <f t="shared" si="23"/>
        <v>#DIV/0!</v>
      </c>
      <c r="S29" s="91"/>
      <c r="T29" s="206">
        <f>E29</f>
        <v>0</v>
      </c>
      <c r="U29" s="91"/>
    </row>
    <row r="30" spans="1:250">
      <c r="B30" s="132" t="s">
        <v>144</v>
      </c>
      <c r="C30" s="236">
        <f t="shared" si="12"/>
        <v>0</v>
      </c>
      <c r="D30" s="275"/>
      <c r="E30" s="297"/>
      <c r="F30" s="152" t="e">
        <f t="shared" si="13"/>
        <v>#DIV/0!</v>
      </c>
      <c r="G30" s="162" t="e">
        <f t="shared" si="14"/>
        <v>#DIV/0!</v>
      </c>
      <c r="H30" s="163" t="e">
        <f t="shared" si="15"/>
        <v>#DIV/0!</v>
      </c>
      <c r="I30" s="164"/>
      <c r="J30" s="154" t="e">
        <f t="shared" si="16"/>
        <v>#DIV/0!</v>
      </c>
      <c r="K30" s="152" t="e">
        <f t="shared" si="17"/>
        <v>#DIV/0!</v>
      </c>
      <c r="L30" s="162" t="e">
        <f t="shared" si="18"/>
        <v>#DIV/0!</v>
      </c>
      <c r="M30" s="163" t="e">
        <f t="shared" si="19"/>
        <v>#DIV/0!</v>
      </c>
      <c r="N30" s="170"/>
      <c r="O30" s="154" t="e">
        <f t="shared" si="20"/>
        <v>#DIV/0!</v>
      </c>
      <c r="P30" s="152" t="e">
        <f t="shared" si="21"/>
        <v>#DIV/0!</v>
      </c>
      <c r="Q30" s="162" t="e">
        <f t="shared" si="22"/>
        <v>#DIV/0!</v>
      </c>
      <c r="R30" s="163" t="e">
        <f t="shared" si="23"/>
        <v>#DIV/0!</v>
      </c>
      <c r="S30" s="206"/>
      <c r="T30" s="206">
        <f>E30</f>
        <v>0</v>
      </c>
      <c r="U30" s="206"/>
    </row>
    <row r="31" spans="1:250">
      <c r="B31" s="420" t="s">
        <v>479</v>
      </c>
      <c r="C31" s="236">
        <f t="shared" si="12"/>
        <v>0</v>
      </c>
      <c r="D31" s="275"/>
      <c r="E31" s="297"/>
      <c r="F31" s="152" t="e">
        <f t="shared" si="13"/>
        <v>#DIV/0!</v>
      </c>
      <c r="G31" s="162" t="e">
        <f>E31/($C$7+$C$9)</f>
        <v>#DIV/0!</v>
      </c>
      <c r="H31" s="163" t="e">
        <f>E31/$E$130</f>
        <v>#DIV/0!</v>
      </c>
      <c r="I31" s="164"/>
      <c r="J31" s="154" t="e">
        <f>(I31/E31)-1</f>
        <v>#DIV/0!</v>
      </c>
      <c r="K31" s="152" t="e">
        <f>I31/$C$6</f>
        <v>#DIV/0!</v>
      </c>
      <c r="L31" s="162" t="e">
        <f t="shared" si="18"/>
        <v>#DIV/0!</v>
      </c>
      <c r="M31" s="163" t="e">
        <f t="shared" si="19"/>
        <v>#DIV/0!</v>
      </c>
      <c r="N31" s="170"/>
      <c r="O31" s="154" t="e">
        <f>(N31/I31)-1</f>
        <v>#DIV/0!</v>
      </c>
      <c r="P31" s="152" t="e">
        <f>N31/$C$6</f>
        <v>#DIV/0!</v>
      </c>
      <c r="Q31" s="162" t="e">
        <f t="shared" si="22"/>
        <v>#DIV/0!</v>
      </c>
      <c r="R31" s="163" t="e">
        <f t="shared" si="23"/>
        <v>#DIV/0!</v>
      </c>
      <c r="S31" s="206"/>
      <c r="T31" s="206">
        <f>E31</f>
        <v>0</v>
      </c>
      <c r="U31" s="206"/>
    </row>
    <row r="32" spans="1:250">
      <c r="B32" s="132" t="s">
        <v>145</v>
      </c>
      <c r="C32" s="236">
        <f t="shared" si="12"/>
        <v>0</v>
      </c>
      <c r="D32" s="275"/>
      <c r="E32" s="297"/>
      <c r="F32" s="152" t="e">
        <f t="shared" si="13"/>
        <v>#DIV/0!</v>
      </c>
      <c r="G32" s="162" t="e">
        <f t="shared" si="14"/>
        <v>#DIV/0!</v>
      </c>
      <c r="H32" s="163" t="e">
        <f t="shared" si="15"/>
        <v>#DIV/0!</v>
      </c>
      <c r="I32" s="164"/>
      <c r="J32" s="154" t="e">
        <f t="shared" si="16"/>
        <v>#DIV/0!</v>
      </c>
      <c r="K32" s="152" t="e">
        <f t="shared" si="17"/>
        <v>#DIV/0!</v>
      </c>
      <c r="L32" s="162" t="e">
        <f t="shared" si="18"/>
        <v>#DIV/0!</v>
      </c>
      <c r="M32" s="163" t="e">
        <f t="shared" si="19"/>
        <v>#DIV/0!</v>
      </c>
      <c r="N32" s="170"/>
      <c r="O32" s="154" t="e">
        <f t="shared" si="20"/>
        <v>#DIV/0!</v>
      </c>
      <c r="P32" s="152" t="e">
        <f t="shared" si="21"/>
        <v>#DIV/0!</v>
      </c>
      <c r="Q32" s="162" t="e">
        <f t="shared" si="22"/>
        <v>#DIV/0!</v>
      </c>
      <c r="R32" s="163" t="e">
        <f t="shared" si="23"/>
        <v>#DIV/0!</v>
      </c>
      <c r="S32" s="206"/>
      <c r="T32" s="206">
        <f>E32</f>
        <v>0</v>
      </c>
      <c r="U32" s="206"/>
    </row>
    <row r="33" spans="1:21">
      <c r="B33" s="132" t="s">
        <v>255</v>
      </c>
      <c r="C33" s="236">
        <f t="shared" si="12"/>
        <v>0</v>
      </c>
      <c r="D33" s="275"/>
      <c r="E33" s="298"/>
      <c r="F33" s="152" t="e">
        <f t="shared" si="13"/>
        <v>#DIV/0!</v>
      </c>
      <c r="G33" s="162" t="e">
        <f t="shared" si="14"/>
        <v>#DIV/0!</v>
      </c>
      <c r="H33" s="163" t="e">
        <f t="shared" si="15"/>
        <v>#DIV/0!</v>
      </c>
      <c r="I33" s="164"/>
      <c r="J33" s="154" t="e">
        <f t="shared" si="16"/>
        <v>#DIV/0!</v>
      </c>
      <c r="K33" s="152" t="e">
        <f t="shared" si="17"/>
        <v>#DIV/0!</v>
      </c>
      <c r="L33" s="162" t="e">
        <f t="shared" si="18"/>
        <v>#DIV/0!</v>
      </c>
      <c r="M33" s="163" t="e">
        <f t="shared" si="19"/>
        <v>#DIV/0!</v>
      </c>
      <c r="N33" s="170"/>
      <c r="O33" s="154" t="e">
        <f t="shared" si="20"/>
        <v>#DIV/0!</v>
      </c>
      <c r="P33" s="152" t="e">
        <f t="shared" si="21"/>
        <v>#DIV/0!</v>
      </c>
      <c r="Q33" s="162" t="e">
        <f t="shared" si="22"/>
        <v>#DIV/0!</v>
      </c>
      <c r="R33" s="163" t="e">
        <f t="shared" si="23"/>
        <v>#DIV/0!</v>
      </c>
      <c r="S33" s="206"/>
      <c r="T33" s="126"/>
      <c r="U33" s="206"/>
    </row>
    <row r="34" spans="1:21">
      <c r="B34" s="132" t="s">
        <v>396</v>
      </c>
      <c r="C34" s="236">
        <f t="shared" si="12"/>
        <v>0</v>
      </c>
      <c r="D34" s="275"/>
      <c r="E34" s="298"/>
      <c r="F34" s="152" t="e">
        <f t="shared" si="13"/>
        <v>#DIV/0!</v>
      </c>
      <c r="G34" s="162" t="e">
        <f t="shared" si="14"/>
        <v>#DIV/0!</v>
      </c>
      <c r="H34" s="163" t="e">
        <f t="shared" si="15"/>
        <v>#DIV/0!</v>
      </c>
      <c r="I34" s="164"/>
      <c r="J34" s="154" t="e">
        <f t="shared" si="16"/>
        <v>#DIV/0!</v>
      </c>
      <c r="K34" s="152" t="e">
        <f t="shared" si="17"/>
        <v>#DIV/0!</v>
      </c>
      <c r="L34" s="162" t="e">
        <f t="shared" si="18"/>
        <v>#DIV/0!</v>
      </c>
      <c r="M34" s="163" t="e">
        <f t="shared" si="19"/>
        <v>#DIV/0!</v>
      </c>
      <c r="N34" s="170"/>
      <c r="O34" s="154" t="e">
        <f t="shared" si="20"/>
        <v>#DIV/0!</v>
      </c>
      <c r="P34" s="152" t="e">
        <f t="shared" si="21"/>
        <v>#DIV/0!</v>
      </c>
      <c r="Q34" s="162" t="e">
        <f t="shared" si="22"/>
        <v>#DIV/0!</v>
      </c>
      <c r="R34" s="163" t="e">
        <f t="shared" si="23"/>
        <v>#DIV/0!</v>
      </c>
      <c r="S34" s="206"/>
      <c r="T34" s="206">
        <f>E34</f>
        <v>0</v>
      </c>
      <c r="U34" s="206"/>
    </row>
    <row r="35" spans="1:21">
      <c r="B35" s="132" t="s">
        <v>397</v>
      </c>
      <c r="C35" s="236">
        <f t="shared" si="12"/>
        <v>0</v>
      </c>
      <c r="D35" s="275"/>
      <c r="E35" s="298"/>
      <c r="F35" s="152" t="e">
        <f t="shared" si="13"/>
        <v>#DIV/0!</v>
      </c>
      <c r="G35" s="162" t="e">
        <f t="shared" si="14"/>
        <v>#DIV/0!</v>
      </c>
      <c r="H35" s="163" t="e">
        <f t="shared" si="15"/>
        <v>#DIV/0!</v>
      </c>
      <c r="I35" s="164"/>
      <c r="J35" s="154" t="e">
        <f t="shared" si="16"/>
        <v>#DIV/0!</v>
      </c>
      <c r="K35" s="152" t="e">
        <f t="shared" si="17"/>
        <v>#DIV/0!</v>
      </c>
      <c r="L35" s="162" t="e">
        <f t="shared" si="18"/>
        <v>#DIV/0!</v>
      </c>
      <c r="M35" s="163" t="e">
        <f t="shared" si="19"/>
        <v>#DIV/0!</v>
      </c>
      <c r="N35" s="170"/>
      <c r="O35" s="154" t="e">
        <f t="shared" si="20"/>
        <v>#DIV/0!</v>
      </c>
      <c r="P35" s="152" t="e">
        <f t="shared" si="21"/>
        <v>#DIV/0!</v>
      </c>
      <c r="Q35" s="162" t="e">
        <f t="shared" si="22"/>
        <v>#DIV/0!</v>
      </c>
      <c r="R35" s="163" t="e">
        <f t="shared" si="23"/>
        <v>#DIV/0!</v>
      </c>
      <c r="S35" s="206"/>
      <c r="T35" s="206">
        <f t="shared" ref="T35:T48" si="24">E35</f>
        <v>0</v>
      </c>
      <c r="U35" s="206"/>
    </row>
    <row r="36" spans="1:21">
      <c r="B36" s="132" t="s">
        <v>282</v>
      </c>
      <c r="C36" s="236">
        <f t="shared" si="12"/>
        <v>0</v>
      </c>
      <c r="D36" s="275"/>
      <c r="E36" s="298"/>
      <c r="F36" s="152" t="e">
        <f t="shared" si="13"/>
        <v>#DIV/0!</v>
      </c>
      <c r="G36" s="162" t="e">
        <f t="shared" si="14"/>
        <v>#DIV/0!</v>
      </c>
      <c r="H36" s="163" t="e">
        <f t="shared" si="15"/>
        <v>#DIV/0!</v>
      </c>
      <c r="I36" s="164"/>
      <c r="J36" s="154" t="e">
        <f t="shared" si="16"/>
        <v>#DIV/0!</v>
      </c>
      <c r="K36" s="152" t="e">
        <f t="shared" si="17"/>
        <v>#DIV/0!</v>
      </c>
      <c r="L36" s="162" t="e">
        <f t="shared" si="18"/>
        <v>#DIV/0!</v>
      </c>
      <c r="M36" s="163" t="e">
        <f t="shared" si="19"/>
        <v>#DIV/0!</v>
      </c>
      <c r="N36" s="170"/>
      <c r="O36" s="154" t="e">
        <f t="shared" si="20"/>
        <v>#DIV/0!</v>
      </c>
      <c r="P36" s="152" t="e">
        <f t="shared" si="21"/>
        <v>#DIV/0!</v>
      </c>
      <c r="Q36" s="162" t="e">
        <f t="shared" si="22"/>
        <v>#DIV/0!</v>
      </c>
      <c r="R36" s="163" t="e">
        <f t="shared" si="23"/>
        <v>#DIV/0!</v>
      </c>
      <c r="S36" s="206"/>
      <c r="T36" s="206">
        <f t="shared" si="24"/>
        <v>0</v>
      </c>
      <c r="U36" s="206"/>
    </row>
    <row r="37" spans="1:21">
      <c r="B37" s="132" t="s">
        <v>399</v>
      </c>
      <c r="C37" s="236">
        <f>D37+E37</f>
        <v>0</v>
      </c>
      <c r="D37" s="275"/>
      <c r="E37" s="298"/>
      <c r="F37" s="152" t="e">
        <f t="shared" si="13"/>
        <v>#DIV/0!</v>
      </c>
      <c r="G37" s="162" t="e">
        <f t="shared" si="14"/>
        <v>#DIV/0!</v>
      </c>
      <c r="H37" s="163" t="e">
        <f>E37/$E$130</f>
        <v>#DIV/0!</v>
      </c>
      <c r="I37" s="164"/>
      <c r="J37" s="154" t="e">
        <f>(I37/E37)-1</f>
        <v>#DIV/0!</v>
      </c>
      <c r="K37" s="152" t="e">
        <f>I37/$C$6</f>
        <v>#DIV/0!</v>
      </c>
      <c r="L37" s="162" t="e">
        <f t="shared" si="18"/>
        <v>#DIV/0!</v>
      </c>
      <c r="M37" s="163" t="e">
        <f t="shared" si="19"/>
        <v>#DIV/0!</v>
      </c>
      <c r="N37" s="170"/>
      <c r="O37" s="154" t="e">
        <f>(N37/I37)-1</f>
        <v>#DIV/0!</v>
      </c>
      <c r="P37" s="152" t="e">
        <f>N37/$C$6</f>
        <v>#DIV/0!</v>
      </c>
      <c r="Q37" s="162" t="e">
        <f t="shared" si="22"/>
        <v>#DIV/0!</v>
      </c>
      <c r="R37" s="163" t="e">
        <f t="shared" si="23"/>
        <v>#DIV/0!</v>
      </c>
      <c r="S37" s="206"/>
      <c r="T37" s="206">
        <f>E37</f>
        <v>0</v>
      </c>
      <c r="U37" s="206"/>
    </row>
    <row r="38" spans="1:21">
      <c r="B38" s="132" t="s">
        <v>283</v>
      </c>
      <c r="C38" s="236">
        <f t="shared" si="12"/>
        <v>0</v>
      </c>
      <c r="D38" s="447"/>
      <c r="E38" s="298"/>
      <c r="F38" s="152" t="e">
        <f t="shared" si="13"/>
        <v>#DIV/0!</v>
      </c>
      <c r="G38" s="162" t="e">
        <f t="shared" si="14"/>
        <v>#DIV/0!</v>
      </c>
      <c r="H38" s="163" t="e">
        <f t="shared" ref="H38:H44" si="25">E38/$E$130</f>
        <v>#DIV/0!</v>
      </c>
      <c r="I38" s="164"/>
      <c r="J38" s="154" t="e">
        <f t="shared" si="16"/>
        <v>#DIV/0!</v>
      </c>
      <c r="K38" s="152" t="e">
        <f t="shared" si="17"/>
        <v>#DIV/0!</v>
      </c>
      <c r="L38" s="162" t="e">
        <f t="shared" si="18"/>
        <v>#DIV/0!</v>
      </c>
      <c r="M38" s="163" t="e">
        <f t="shared" si="19"/>
        <v>#DIV/0!</v>
      </c>
      <c r="N38" s="170"/>
      <c r="O38" s="154" t="e">
        <f t="shared" si="20"/>
        <v>#DIV/0!</v>
      </c>
      <c r="P38" s="152" t="e">
        <f t="shared" si="21"/>
        <v>#DIV/0!</v>
      </c>
      <c r="Q38" s="162" t="e">
        <f t="shared" si="22"/>
        <v>#DIV/0!</v>
      </c>
      <c r="R38" s="163" t="e">
        <f t="shared" si="23"/>
        <v>#DIV/0!</v>
      </c>
      <c r="S38" s="206"/>
      <c r="T38" s="206">
        <f t="shared" si="24"/>
        <v>0</v>
      </c>
      <c r="U38" s="206"/>
    </row>
    <row r="39" spans="1:21">
      <c r="B39" s="132" t="s">
        <v>116</v>
      </c>
      <c r="C39" s="236">
        <f t="shared" si="12"/>
        <v>0</v>
      </c>
      <c r="D39" s="275"/>
      <c r="E39" s="298"/>
      <c r="F39" s="152" t="e">
        <f t="shared" si="13"/>
        <v>#DIV/0!</v>
      </c>
      <c r="G39" s="162" t="e">
        <f t="shared" si="14"/>
        <v>#DIV/0!</v>
      </c>
      <c r="H39" s="163" t="e">
        <f t="shared" si="25"/>
        <v>#DIV/0!</v>
      </c>
      <c r="I39" s="164"/>
      <c r="J39" s="154" t="e">
        <f t="shared" si="16"/>
        <v>#DIV/0!</v>
      </c>
      <c r="K39" s="152" t="e">
        <f t="shared" si="17"/>
        <v>#DIV/0!</v>
      </c>
      <c r="L39" s="162" t="e">
        <f t="shared" si="18"/>
        <v>#DIV/0!</v>
      </c>
      <c r="M39" s="163" t="e">
        <f t="shared" si="19"/>
        <v>#DIV/0!</v>
      </c>
      <c r="N39" s="170"/>
      <c r="O39" s="154" t="e">
        <f t="shared" si="20"/>
        <v>#DIV/0!</v>
      </c>
      <c r="P39" s="152" t="e">
        <f t="shared" si="21"/>
        <v>#DIV/0!</v>
      </c>
      <c r="Q39" s="162" t="e">
        <f t="shared" si="22"/>
        <v>#DIV/0!</v>
      </c>
      <c r="R39" s="163" t="e">
        <f t="shared" si="23"/>
        <v>#DIV/0!</v>
      </c>
      <c r="S39" s="206"/>
      <c r="T39" s="206">
        <f t="shared" si="24"/>
        <v>0</v>
      </c>
      <c r="U39" s="206"/>
    </row>
    <row r="40" spans="1:21">
      <c r="B40" s="132" t="s">
        <v>516</v>
      </c>
      <c r="C40" s="236">
        <f t="shared" si="12"/>
        <v>0</v>
      </c>
      <c r="D40" s="275"/>
      <c r="E40" s="298"/>
      <c r="F40" s="152" t="e">
        <f t="shared" si="13"/>
        <v>#DIV/0!</v>
      </c>
      <c r="G40" s="162" t="e">
        <f t="shared" si="14"/>
        <v>#DIV/0!</v>
      </c>
      <c r="H40" s="163" t="e">
        <f t="shared" si="25"/>
        <v>#DIV/0!</v>
      </c>
      <c r="I40" s="164"/>
      <c r="J40" s="154" t="e">
        <f>(I40/E40)-1</f>
        <v>#DIV/0!</v>
      </c>
      <c r="K40" s="152" t="e">
        <f t="shared" si="17"/>
        <v>#DIV/0!</v>
      </c>
      <c r="L40" s="162" t="e">
        <f t="shared" si="18"/>
        <v>#DIV/0!</v>
      </c>
      <c r="M40" s="163" t="e">
        <f t="shared" si="19"/>
        <v>#DIV/0!</v>
      </c>
      <c r="N40" s="170"/>
      <c r="O40" s="154" t="e">
        <f>(N40/I40)-1</f>
        <v>#DIV/0!</v>
      </c>
      <c r="P40" s="152" t="e">
        <f t="shared" si="21"/>
        <v>#DIV/0!</v>
      </c>
      <c r="Q40" s="162" t="e">
        <f t="shared" si="22"/>
        <v>#DIV/0!</v>
      </c>
      <c r="R40" s="163" t="e">
        <f t="shared" si="23"/>
        <v>#DIV/0!</v>
      </c>
      <c r="S40" s="206"/>
      <c r="T40" s="206">
        <f t="shared" si="24"/>
        <v>0</v>
      </c>
      <c r="U40" s="206"/>
    </row>
    <row r="41" spans="1:21">
      <c r="B41" s="132" t="s">
        <v>284</v>
      </c>
      <c r="C41" s="236">
        <f t="shared" si="12"/>
        <v>0</v>
      </c>
      <c r="D41" s="275"/>
      <c r="E41" s="298"/>
      <c r="F41" s="152" t="e">
        <f t="shared" si="13"/>
        <v>#DIV/0!</v>
      </c>
      <c r="G41" s="162" t="e">
        <f t="shared" si="14"/>
        <v>#DIV/0!</v>
      </c>
      <c r="H41" s="163" t="e">
        <f t="shared" si="25"/>
        <v>#DIV/0!</v>
      </c>
      <c r="I41" s="164"/>
      <c r="J41" s="154" t="e">
        <f t="shared" si="16"/>
        <v>#DIV/0!</v>
      </c>
      <c r="K41" s="152" t="e">
        <f t="shared" si="17"/>
        <v>#DIV/0!</v>
      </c>
      <c r="L41" s="162" t="e">
        <f t="shared" si="18"/>
        <v>#DIV/0!</v>
      </c>
      <c r="M41" s="163" t="e">
        <f t="shared" si="19"/>
        <v>#DIV/0!</v>
      </c>
      <c r="N41" s="170"/>
      <c r="O41" s="154" t="e">
        <f t="shared" si="20"/>
        <v>#DIV/0!</v>
      </c>
      <c r="P41" s="152" t="e">
        <f t="shared" si="21"/>
        <v>#DIV/0!</v>
      </c>
      <c r="Q41" s="162" t="e">
        <f t="shared" si="22"/>
        <v>#DIV/0!</v>
      </c>
      <c r="R41" s="163" t="e">
        <f t="shared" si="23"/>
        <v>#DIV/0!</v>
      </c>
      <c r="S41" s="206"/>
      <c r="T41" s="206">
        <f t="shared" si="24"/>
        <v>0</v>
      </c>
      <c r="U41" s="206"/>
    </row>
    <row r="42" spans="1:21">
      <c r="B42" s="132" t="s">
        <v>175</v>
      </c>
      <c r="C42" s="236">
        <f t="shared" si="12"/>
        <v>0</v>
      </c>
      <c r="D42" s="275"/>
      <c r="E42" s="298"/>
      <c r="F42" s="152" t="e">
        <f t="shared" si="13"/>
        <v>#DIV/0!</v>
      </c>
      <c r="G42" s="162" t="e">
        <f t="shared" si="14"/>
        <v>#DIV/0!</v>
      </c>
      <c r="H42" s="163" t="e">
        <f t="shared" si="25"/>
        <v>#DIV/0!</v>
      </c>
      <c r="I42" s="164"/>
      <c r="J42" s="154" t="e">
        <f t="shared" si="16"/>
        <v>#DIV/0!</v>
      </c>
      <c r="K42" s="152" t="e">
        <f t="shared" si="17"/>
        <v>#DIV/0!</v>
      </c>
      <c r="L42" s="162" t="e">
        <f t="shared" si="18"/>
        <v>#DIV/0!</v>
      </c>
      <c r="M42" s="163" t="e">
        <f t="shared" si="19"/>
        <v>#DIV/0!</v>
      </c>
      <c r="N42" s="170"/>
      <c r="O42" s="154" t="e">
        <f t="shared" si="20"/>
        <v>#DIV/0!</v>
      </c>
      <c r="P42" s="152" t="e">
        <f t="shared" si="21"/>
        <v>#DIV/0!</v>
      </c>
      <c r="Q42" s="162" t="e">
        <f t="shared" si="22"/>
        <v>#DIV/0!</v>
      </c>
      <c r="R42" s="163" t="e">
        <f t="shared" si="23"/>
        <v>#DIV/0!</v>
      </c>
      <c r="S42" s="206"/>
      <c r="T42" s="206">
        <f t="shared" si="24"/>
        <v>0</v>
      </c>
      <c r="U42" s="206"/>
    </row>
    <row r="43" spans="1:21">
      <c r="B43" s="132" t="s">
        <v>176</v>
      </c>
      <c r="C43" s="236">
        <f t="shared" si="12"/>
        <v>0</v>
      </c>
      <c r="D43" s="275"/>
      <c r="E43" s="298"/>
      <c r="F43" s="152" t="e">
        <f t="shared" si="13"/>
        <v>#DIV/0!</v>
      </c>
      <c r="G43" s="162" t="e">
        <f t="shared" si="14"/>
        <v>#DIV/0!</v>
      </c>
      <c r="H43" s="163" t="e">
        <f t="shared" si="25"/>
        <v>#DIV/0!</v>
      </c>
      <c r="I43" s="164"/>
      <c r="J43" s="154" t="e">
        <f t="shared" si="16"/>
        <v>#DIV/0!</v>
      </c>
      <c r="K43" s="152" t="e">
        <f t="shared" si="17"/>
        <v>#DIV/0!</v>
      </c>
      <c r="L43" s="162" t="e">
        <f t="shared" si="18"/>
        <v>#DIV/0!</v>
      </c>
      <c r="M43" s="163" t="e">
        <f t="shared" si="19"/>
        <v>#DIV/0!</v>
      </c>
      <c r="N43" s="170"/>
      <c r="O43" s="154" t="e">
        <f t="shared" si="20"/>
        <v>#DIV/0!</v>
      </c>
      <c r="P43" s="152" t="e">
        <f t="shared" si="21"/>
        <v>#DIV/0!</v>
      </c>
      <c r="Q43" s="162" t="e">
        <f t="shared" si="22"/>
        <v>#DIV/0!</v>
      </c>
      <c r="R43" s="163" t="e">
        <f t="shared" si="23"/>
        <v>#DIV/0!</v>
      </c>
      <c r="S43" s="206"/>
      <c r="T43" s="206">
        <f t="shared" si="24"/>
        <v>0</v>
      </c>
      <c r="U43" s="206"/>
    </row>
    <row r="44" spans="1:21">
      <c r="B44" s="143" t="s">
        <v>256</v>
      </c>
      <c r="C44" s="236">
        <f t="shared" si="12"/>
        <v>0</v>
      </c>
      <c r="D44" s="275"/>
      <c r="E44" s="298"/>
      <c r="F44" s="152" t="e">
        <f t="shared" si="13"/>
        <v>#DIV/0!</v>
      </c>
      <c r="G44" s="162" t="e">
        <f t="shared" si="14"/>
        <v>#DIV/0!</v>
      </c>
      <c r="H44" s="163" t="e">
        <f t="shared" si="25"/>
        <v>#DIV/0!</v>
      </c>
      <c r="I44" s="164"/>
      <c r="J44" s="154" t="e">
        <f t="shared" si="16"/>
        <v>#DIV/0!</v>
      </c>
      <c r="K44" s="152" t="e">
        <f t="shared" si="17"/>
        <v>#DIV/0!</v>
      </c>
      <c r="L44" s="162" t="e">
        <f t="shared" si="18"/>
        <v>#DIV/0!</v>
      </c>
      <c r="M44" s="163" t="e">
        <f t="shared" si="19"/>
        <v>#DIV/0!</v>
      </c>
      <c r="N44" s="170"/>
      <c r="O44" s="154" t="e">
        <f t="shared" si="20"/>
        <v>#DIV/0!</v>
      </c>
      <c r="P44" s="152" t="e">
        <f t="shared" si="21"/>
        <v>#DIV/0!</v>
      </c>
      <c r="Q44" s="162" t="e">
        <f t="shared" si="22"/>
        <v>#DIV/0!</v>
      </c>
      <c r="R44" s="163" t="e">
        <f t="shared" si="23"/>
        <v>#DIV/0!</v>
      </c>
      <c r="S44" s="206"/>
      <c r="T44" s="206">
        <f t="shared" si="24"/>
        <v>0</v>
      </c>
      <c r="U44" s="206"/>
    </row>
    <row r="45" spans="1:21">
      <c r="B45" s="143" t="s">
        <v>373</v>
      </c>
      <c r="C45" s="236">
        <f>D45+E45</f>
        <v>0</v>
      </c>
      <c r="D45" s="275"/>
      <c r="E45" s="298"/>
      <c r="F45" s="152" t="e">
        <f t="shared" si="13"/>
        <v>#DIV/0!</v>
      </c>
      <c r="G45" s="162" t="e">
        <f t="shared" si="14"/>
        <v>#DIV/0!</v>
      </c>
      <c r="H45" s="163" t="e">
        <f>E45/$E$130</f>
        <v>#DIV/0!</v>
      </c>
      <c r="I45" s="164"/>
      <c r="J45" s="154" t="e">
        <f>(I45/E45)-1</f>
        <v>#DIV/0!</v>
      </c>
      <c r="K45" s="152" t="e">
        <f>I45/$C$6</f>
        <v>#DIV/0!</v>
      </c>
      <c r="L45" s="162" t="e">
        <f t="shared" si="18"/>
        <v>#DIV/0!</v>
      </c>
      <c r="M45" s="163" t="e">
        <f t="shared" si="19"/>
        <v>#DIV/0!</v>
      </c>
      <c r="N45" s="170"/>
      <c r="O45" s="154" t="e">
        <f>(N45/I45)-1</f>
        <v>#DIV/0!</v>
      </c>
      <c r="P45" s="152" t="e">
        <f>N45/$C$6</f>
        <v>#DIV/0!</v>
      </c>
      <c r="Q45" s="162" t="e">
        <f t="shared" si="22"/>
        <v>#DIV/0!</v>
      </c>
      <c r="R45" s="163" t="e">
        <f t="shared" si="23"/>
        <v>#DIV/0!</v>
      </c>
      <c r="S45" s="206"/>
      <c r="T45" s="206">
        <f>E45</f>
        <v>0</v>
      </c>
      <c r="U45" s="206"/>
    </row>
    <row r="46" spans="1:21">
      <c r="B46" s="143" t="s">
        <v>398</v>
      </c>
      <c r="C46" s="236">
        <f>D46+E46</f>
        <v>0</v>
      </c>
      <c r="D46" s="275"/>
      <c r="E46" s="298"/>
      <c r="F46" s="152" t="e">
        <f t="shared" si="13"/>
        <v>#DIV/0!</v>
      </c>
      <c r="G46" s="162" t="e">
        <f t="shared" si="14"/>
        <v>#DIV/0!</v>
      </c>
      <c r="H46" s="163" t="e">
        <f>E46/$E$130</f>
        <v>#DIV/0!</v>
      </c>
      <c r="I46" s="164"/>
      <c r="J46" s="154" t="e">
        <f>(I46/E46)-1</f>
        <v>#DIV/0!</v>
      </c>
      <c r="K46" s="152" t="e">
        <f>I46/$C$6</f>
        <v>#DIV/0!</v>
      </c>
      <c r="L46" s="162" t="e">
        <f t="shared" si="18"/>
        <v>#DIV/0!</v>
      </c>
      <c r="M46" s="163" t="e">
        <f t="shared" si="19"/>
        <v>#DIV/0!</v>
      </c>
      <c r="N46" s="170"/>
      <c r="O46" s="154" t="e">
        <f>(N46/I46)-1</f>
        <v>#DIV/0!</v>
      </c>
      <c r="P46" s="152" t="e">
        <f>N46/$C$6</f>
        <v>#DIV/0!</v>
      </c>
      <c r="Q46" s="162" t="e">
        <f t="shared" si="22"/>
        <v>#DIV/0!</v>
      </c>
      <c r="R46" s="163" t="e">
        <f t="shared" si="23"/>
        <v>#DIV/0!</v>
      </c>
      <c r="S46" s="206"/>
      <c r="T46" s="206">
        <f>E46</f>
        <v>0</v>
      </c>
      <c r="U46" s="206"/>
    </row>
    <row r="47" spans="1:21">
      <c r="B47" s="143" t="s">
        <v>42</v>
      </c>
      <c r="C47" s="236">
        <f>D47+E47</f>
        <v>0</v>
      </c>
      <c r="D47" s="275"/>
      <c r="E47" s="298"/>
      <c r="F47" s="152" t="e">
        <f t="shared" si="13"/>
        <v>#DIV/0!</v>
      </c>
      <c r="G47" s="162" t="e">
        <f t="shared" si="14"/>
        <v>#DIV/0!</v>
      </c>
      <c r="H47" s="163" t="e">
        <f>E47/$E$130</f>
        <v>#DIV/0!</v>
      </c>
      <c r="I47" s="164"/>
      <c r="J47" s="154" t="e">
        <f>(I47/E47)-1</f>
        <v>#DIV/0!</v>
      </c>
      <c r="K47" s="152" t="e">
        <f>I47/$C$6</f>
        <v>#DIV/0!</v>
      </c>
      <c r="L47" s="162" t="e">
        <f t="shared" si="18"/>
        <v>#DIV/0!</v>
      </c>
      <c r="M47" s="163" t="e">
        <f t="shared" si="19"/>
        <v>#DIV/0!</v>
      </c>
      <c r="N47" s="170"/>
      <c r="O47" s="154" t="e">
        <f>(N47/I47)-1</f>
        <v>#DIV/0!</v>
      </c>
      <c r="P47" s="152" t="e">
        <f>N47/$C$6</f>
        <v>#DIV/0!</v>
      </c>
      <c r="Q47" s="162" t="e">
        <f t="shared" si="22"/>
        <v>#DIV/0!</v>
      </c>
      <c r="R47" s="163" t="e">
        <f t="shared" si="23"/>
        <v>#DIV/0!</v>
      </c>
      <c r="S47" s="206"/>
      <c r="T47" s="206">
        <f>E47</f>
        <v>0</v>
      </c>
      <c r="U47" s="206"/>
    </row>
    <row r="48" spans="1:21">
      <c r="A48" s="23"/>
      <c r="B48" s="143" t="s">
        <v>42</v>
      </c>
      <c r="C48" s="237">
        <f t="shared" si="12"/>
        <v>0</v>
      </c>
      <c r="D48" s="276"/>
      <c r="E48" s="298"/>
      <c r="F48" s="223" t="e">
        <f t="shared" si="13"/>
        <v>#DIV/0!</v>
      </c>
      <c r="G48" s="162" t="e">
        <f t="shared" si="14"/>
        <v>#DIV/0!</v>
      </c>
      <c r="H48" s="416" t="e">
        <f>E48/$E$130</f>
        <v>#DIV/0!</v>
      </c>
      <c r="I48" s="164"/>
      <c r="J48" s="417" t="e">
        <f t="shared" si="16"/>
        <v>#DIV/0!</v>
      </c>
      <c r="K48" s="223" t="e">
        <f>I48/$C$6</f>
        <v>#DIV/0!</v>
      </c>
      <c r="L48" s="162" t="e">
        <f t="shared" si="18"/>
        <v>#DIV/0!</v>
      </c>
      <c r="M48" s="416" t="e">
        <f t="shared" si="19"/>
        <v>#DIV/0!</v>
      </c>
      <c r="N48" s="170"/>
      <c r="O48" s="417" t="e">
        <f t="shared" si="20"/>
        <v>#DIV/0!</v>
      </c>
      <c r="P48" s="223" t="e">
        <f>N48/$C$6</f>
        <v>#DIV/0!</v>
      </c>
      <c r="Q48" s="162" t="e">
        <f t="shared" si="22"/>
        <v>#DIV/0!</v>
      </c>
      <c r="R48" s="416" t="e">
        <f t="shared" si="23"/>
        <v>#DIV/0!</v>
      </c>
      <c r="S48" s="206"/>
      <c r="T48" s="206">
        <f t="shared" si="24"/>
        <v>0</v>
      </c>
      <c r="U48" s="206"/>
    </row>
    <row r="49" spans="1:21">
      <c r="A49" s="23"/>
      <c r="B49" s="143"/>
      <c r="C49" s="237"/>
      <c r="D49" s="237"/>
      <c r="E49" s="299"/>
      <c r="F49" s="78"/>
      <c r="G49" s="78"/>
      <c r="H49" s="78"/>
      <c r="I49" s="158"/>
      <c r="J49" s="11"/>
      <c r="K49" s="11"/>
      <c r="L49" s="11"/>
      <c r="M49" s="11"/>
      <c r="N49" s="23"/>
      <c r="O49" s="23"/>
      <c r="P49" s="23"/>
      <c r="Q49" s="23"/>
      <c r="R49" s="23"/>
      <c r="S49" s="27"/>
      <c r="T49" s="27"/>
      <c r="U49" s="27"/>
    </row>
    <row r="50" spans="1:21">
      <c r="B50" s="146" t="s">
        <v>23</v>
      </c>
      <c r="C50" s="238">
        <f>SUM(C28:C49)</f>
        <v>0</v>
      </c>
      <c r="D50" s="238">
        <f>SUM(D28:D49)</f>
        <v>0</v>
      </c>
      <c r="E50" s="296">
        <f>SUM(E28:E49)</f>
        <v>0</v>
      </c>
      <c r="F50" s="152" t="e">
        <f>E50/$C$6</f>
        <v>#DIV/0!</v>
      </c>
      <c r="G50" s="162" t="e">
        <f t="shared" si="14"/>
        <v>#DIV/0!</v>
      </c>
      <c r="H50" s="163" t="e">
        <f>E50/$E$130</f>
        <v>#DIV/0!</v>
      </c>
      <c r="I50" s="166">
        <f>SUM(I28:I48)</f>
        <v>0</v>
      </c>
      <c r="J50" s="154" t="e">
        <f>(I50/E50)-1</f>
        <v>#DIV/0!</v>
      </c>
      <c r="K50" s="152" t="e">
        <f>I50/$C$6</f>
        <v>#DIV/0!</v>
      </c>
      <c r="L50" s="162" t="e">
        <f>I50/($C$7+$C$9)</f>
        <v>#DIV/0!</v>
      </c>
      <c r="M50" s="163" t="e">
        <f>I50/$I$130</f>
        <v>#DIV/0!</v>
      </c>
      <c r="N50" s="166">
        <f>SUM(N28:N48)</f>
        <v>0</v>
      </c>
      <c r="O50" s="154" t="e">
        <f>(N50/I50)-1</f>
        <v>#DIV/0!</v>
      </c>
      <c r="P50" s="152" t="e">
        <f>N50/$C$6</f>
        <v>#DIV/0!</v>
      </c>
      <c r="Q50" s="162" t="e">
        <f>N50/($C$7+$C$9)</f>
        <v>#DIV/0!</v>
      </c>
      <c r="R50" s="163" t="e">
        <f>N50/$N$130</f>
        <v>#DIV/0!</v>
      </c>
      <c r="S50" s="37"/>
      <c r="T50" s="37">
        <f>SUM(T28:T49)</f>
        <v>0</v>
      </c>
      <c r="U50" s="37">
        <f>SUM(U28:U49)</f>
        <v>0</v>
      </c>
    </row>
    <row r="51" spans="1:21">
      <c r="B51" s="146"/>
      <c r="C51" s="238"/>
      <c r="D51" s="238"/>
      <c r="E51" s="296"/>
      <c r="F51" s="159"/>
      <c r="G51" s="159"/>
      <c r="H51" s="159"/>
      <c r="I51" s="166"/>
      <c r="J51" s="37"/>
      <c r="K51" s="37"/>
      <c r="L51" s="37"/>
      <c r="M51" s="37"/>
      <c r="S51" s="37"/>
      <c r="T51" s="37"/>
      <c r="U51" s="37"/>
    </row>
    <row r="52" spans="1:21">
      <c r="A52" s="13" t="s">
        <v>43</v>
      </c>
      <c r="B52" s="145"/>
      <c r="C52" s="241"/>
      <c r="D52" s="241"/>
      <c r="E52" s="205"/>
      <c r="F52" s="15"/>
      <c r="G52" s="15"/>
      <c r="H52" s="15"/>
      <c r="I52" s="152"/>
    </row>
    <row r="53" spans="1:21">
      <c r="B53" s="132" t="s">
        <v>44</v>
      </c>
      <c r="C53" s="236">
        <f t="shared" ref="C53:C66" si="26">D53+E53</f>
        <v>0</v>
      </c>
      <c r="D53" s="275"/>
      <c r="E53" s="298"/>
      <c r="F53" s="152" t="e">
        <f t="shared" ref="F53:F66" si="27">E53/$C$6</f>
        <v>#DIV/0!</v>
      </c>
      <c r="G53" s="162" t="e">
        <f>E53/($C$7+$C$9)</f>
        <v>#DIV/0!</v>
      </c>
      <c r="H53" s="163" t="e">
        <f t="shared" ref="H53:H66" si="28">E53/$E$130</f>
        <v>#DIV/0!</v>
      </c>
      <c r="I53" s="164"/>
      <c r="J53" s="154" t="e">
        <f t="shared" ref="J53:J66" si="29">(I53/E53)-1</f>
        <v>#DIV/0!</v>
      </c>
      <c r="K53" s="152" t="e">
        <f t="shared" ref="K53:K66" si="30">I53/$C$6</f>
        <v>#DIV/0!</v>
      </c>
      <c r="L53" s="162" t="e">
        <f t="shared" ref="L53:L66" si="31">I53/($C$7+$C$9)</f>
        <v>#DIV/0!</v>
      </c>
      <c r="M53" s="163" t="e">
        <f t="shared" ref="M53:M66" si="32">I53/$I$130</f>
        <v>#DIV/0!</v>
      </c>
      <c r="N53" s="170"/>
      <c r="O53" s="154" t="e">
        <f t="shared" ref="O53:O66" si="33">(N53/I53)-1</f>
        <v>#DIV/0!</v>
      </c>
      <c r="P53" s="152" t="e">
        <f t="shared" ref="P53:P66" si="34">N53/$C$6</f>
        <v>#DIV/0!</v>
      </c>
      <c r="Q53" s="162" t="e">
        <f t="shared" ref="Q53:Q66" si="35">N53/($C$7+$C$9)</f>
        <v>#DIV/0!</v>
      </c>
      <c r="R53" s="163" t="e">
        <f t="shared" ref="R53:R66" si="36">N53/$N$130</f>
        <v>#DIV/0!</v>
      </c>
      <c r="S53" s="206"/>
      <c r="T53" s="206">
        <f>E53</f>
        <v>0</v>
      </c>
      <c r="U53" s="206"/>
    </row>
    <row r="54" spans="1:21">
      <c r="B54" s="132" t="s">
        <v>45</v>
      </c>
      <c r="C54" s="236">
        <f t="shared" si="26"/>
        <v>0</v>
      </c>
      <c r="D54" s="275"/>
      <c r="E54" s="298"/>
      <c r="F54" s="152" t="e">
        <f t="shared" si="27"/>
        <v>#DIV/0!</v>
      </c>
      <c r="G54" s="162" t="e">
        <f>E54/($C$7+$C$9)</f>
        <v>#DIV/0!</v>
      </c>
      <c r="H54" s="163" t="e">
        <f t="shared" si="28"/>
        <v>#DIV/0!</v>
      </c>
      <c r="I54" s="164"/>
      <c r="J54" s="154" t="e">
        <f t="shared" si="29"/>
        <v>#DIV/0!</v>
      </c>
      <c r="K54" s="152" t="e">
        <f t="shared" si="30"/>
        <v>#DIV/0!</v>
      </c>
      <c r="L54" s="162" t="e">
        <f t="shared" si="31"/>
        <v>#DIV/0!</v>
      </c>
      <c r="M54" s="163" t="e">
        <f t="shared" si="32"/>
        <v>#DIV/0!</v>
      </c>
      <c r="N54" s="170"/>
      <c r="O54" s="154" t="e">
        <f t="shared" si="33"/>
        <v>#DIV/0!</v>
      </c>
      <c r="P54" s="152" t="e">
        <f t="shared" si="34"/>
        <v>#DIV/0!</v>
      </c>
      <c r="Q54" s="162" t="e">
        <f t="shared" si="35"/>
        <v>#DIV/0!</v>
      </c>
      <c r="R54" s="163" t="e">
        <f t="shared" si="36"/>
        <v>#DIV/0!</v>
      </c>
      <c r="S54" s="206"/>
      <c r="T54" s="206">
        <f>E54</f>
        <v>0</v>
      </c>
      <c r="U54" s="206"/>
    </row>
    <row r="55" spans="1:21">
      <c r="B55" s="132" t="s">
        <v>46</v>
      </c>
      <c r="C55" s="236">
        <f t="shared" si="26"/>
        <v>0</v>
      </c>
      <c r="D55" s="275"/>
      <c r="E55" s="298"/>
      <c r="F55" s="152" t="e">
        <f t="shared" si="27"/>
        <v>#DIV/0!</v>
      </c>
      <c r="G55" s="162" t="e">
        <f>E55/($C$7+$C$9)</f>
        <v>#DIV/0!</v>
      </c>
      <c r="H55" s="163" t="e">
        <f t="shared" si="28"/>
        <v>#DIV/0!</v>
      </c>
      <c r="I55" s="164"/>
      <c r="J55" s="154" t="e">
        <f t="shared" si="29"/>
        <v>#DIV/0!</v>
      </c>
      <c r="K55" s="152" t="e">
        <f t="shared" si="30"/>
        <v>#DIV/0!</v>
      </c>
      <c r="L55" s="162" t="e">
        <f t="shared" si="31"/>
        <v>#DIV/0!</v>
      </c>
      <c r="M55" s="163" t="e">
        <f t="shared" si="32"/>
        <v>#DIV/0!</v>
      </c>
      <c r="N55" s="170"/>
      <c r="O55" s="154" t="e">
        <f t="shared" si="33"/>
        <v>#DIV/0!</v>
      </c>
      <c r="P55" s="152" t="e">
        <f t="shared" si="34"/>
        <v>#DIV/0!</v>
      </c>
      <c r="Q55" s="162" t="e">
        <f t="shared" si="35"/>
        <v>#DIV/0!</v>
      </c>
      <c r="R55" s="163" t="e">
        <f t="shared" si="36"/>
        <v>#DIV/0!</v>
      </c>
      <c r="S55" s="206"/>
      <c r="T55" s="206">
        <f>E55</f>
        <v>0</v>
      </c>
      <c r="U55" s="206"/>
    </row>
    <row r="56" spans="1:21">
      <c r="B56" s="132" t="s">
        <v>47</v>
      </c>
      <c r="C56" s="236">
        <f t="shared" si="26"/>
        <v>0</v>
      </c>
      <c r="D56" s="275"/>
      <c r="E56" s="298"/>
      <c r="F56" s="152" t="e">
        <f t="shared" si="27"/>
        <v>#DIV/0!</v>
      </c>
      <c r="G56" s="162" t="e">
        <f t="shared" ref="G56:G66" si="37">E56/($C$7+$C$9)</f>
        <v>#DIV/0!</v>
      </c>
      <c r="H56" s="163" t="e">
        <f t="shared" si="28"/>
        <v>#DIV/0!</v>
      </c>
      <c r="I56" s="164"/>
      <c r="J56" s="154" t="e">
        <f t="shared" si="29"/>
        <v>#DIV/0!</v>
      </c>
      <c r="K56" s="152" t="e">
        <f t="shared" si="30"/>
        <v>#DIV/0!</v>
      </c>
      <c r="L56" s="162" t="e">
        <f t="shared" si="31"/>
        <v>#DIV/0!</v>
      </c>
      <c r="M56" s="163" t="e">
        <f t="shared" si="32"/>
        <v>#DIV/0!</v>
      </c>
      <c r="N56" s="170"/>
      <c r="O56" s="154" t="e">
        <f t="shared" si="33"/>
        <v>#DIV/0!</v>
      </c>
      <c r="P56" s="152" t="e">
        <f t="shared" si="34"/>
        <v>#DIV/0!</v>
      </c>
      <c r="Q56" s="162" t="e">
        <f t="shared" si="35"/>
        <v>#DIV/0!</v>
      </c>
      <c r="R56" s="163" t="e">
        <f t="shared" si="36"/>
        <v>#DIV/0!</v>
      </c>
      <c r="S56" s="206"/>
      <c r="T56" s="206">
        <f t="shared" ref="T56:T61" si="38">E56</f>
        <v>0</v>
      </c>
      <c r="U56" s="206"/>
    </row>
    <row r="57" spans="1:21">
      <c r="B57" s="132" t="s">
        <v>48</v>
      </c>
      <c r="C57" s="236">
        <f t="shared" si="26"/>
        <v>0</v>
      </c>
      <c r="D57" s="275"/>
      <c r="E57" s="298"/>
      <c r="F57" s="152" t="e">
        <f t="shared" si="27"/>
        <v>#DIV/0!</v>
      </c>
      <c r="G57" s="162" t="e">
        <f t="shared" si="37"/>
        <v>#DIV/0!</v>
      </c>
      <c r="H57" s="163" t="e">
        <f t="shared" si="28"/>
        <v>#DIV/0!</v>
      </c>
      <c r="I57" s="164"/>
      <c r="J57" s="154" t="e">
        <f t="shared" si="29"/>
        <v>#DIV/0!</v>
      </c>
      <c r="K57" s="152" t="e">
        <f t="shared" si="30"/>
        <v>#DIV/0!</v>
      </c>
      <c r="L57" s="162" t="e">
        <f t="shared" si="31"/>
        <v>#DIV/0!</v>
      </c>
      <c r="M57" s="163" t="e">
        <f t="shared" si="32"/>
        <v>#DIV/0!</v>
      </c>
      <c r="N57" s="170"/>
      <c r="O57" s="154" t="e">
        <f t="shared" si="33"/>
        <v>#DIV/0!</v>
      </c>
      <c r="P57" s="152" t="e">
        <f t="shared" si="34"/>
        <v>#DIV/0!</v>
      </c>
      <c r="Q57" s="162" t="e">
        <f t="shared" si="35"/>
        <v>#DIV/0!</v>
      </c>
      <c r="R57" s="163" t="e">
        <f t="shared" si="36"/>
        <v>#DIV/0!</v>
      </c>
      <c r="S57" s="206"/>
      <c r="T57" s="206">
        <f t="shared" si="38"/>
        <v>0</v>
      </c>
      <c r="U57" s="206"/>
    </row>
    <row r="58" spans="1:21">
      <c r="B58" s="132" t="s">
        <v>80</v>
      </c>
      <c r="C58" s="236">
        <f t="shared" si="26"/>
        <v>0</v>
      </c>
      <c r="D58" s="275"/>
      <c r="E58" s="298"/>
      <c r="F58" s="152" t="e">
        <f t="shared" si="27"/>
        <v>#DIV/0!</v>
      </c>
      <c r="G58" s="162" t="e">
        <f t="shared" si="37"/>
        <v>#DIV/0!</v>
      </c>
      <c r="H58" s="163" t="e">
        <f t="shared" si="28"/>
        <v>#DIV/0!</v>
      </c>
      <c r="I58" s="164"/>
      <c r="J58" s="154" t="e">
        <f t="shared" si="29"/>
        <v>#DIV/0!</v>
      </c>
      <c r="K58" s="152" t="e">
        <f t="shared" si="30"/>
        <v>#DIV/0!</v>
      </c>
      <c r="L58" s="162" t="e">
        <f t="shared" si="31"/>
        <v>#DIV/0!</v>
      </c>
      <c r="M58" s="163" t="e">
        <f t="shared" si="32"/>
        <v>#DIV/0!</v>
      </c>
      <c r="N58" s="170"/>
      <c r="O58" s="154" t="e">
        <f t="shared" si="33"/>
        <v>#DIV/0!</v>
      </c>
      <c r="P58" s="152" t="e">
        <f t="shared" si="34"/>
        <v>#DIV/0!</v>
      </c>
      <c r="Q58" s="162" t="e">
        <f t="shared" si="35"/>
        <v>#DIV/0!</v>
      </c>
      <c r="R58" s="163" t="e">
        <f t="shared" si="36"/>
        <v>#DIV/0!</v>
      </c>
      <c r="S58" s="206"/>
      <c r="T58" s="206">
        <f t="shared" si="38"/>
        <v>0</v>
      </c>
      <c r="U58" s="206"/>
    </row>
    <row r="59" spans="1:21">
      <c r="B59" s="132" t="s">
        <v>81</v>
      </c>
      <c r="C59" s="236">
        <f t="shared" si="26"/>
        <v>0</v>
      </c>
      <c r="D59" s="275"/>
      <c r="E59" s="298"/>
      <c r="F59" s="152" t="e">
        <f t="shared" si="27"/>
        <v>#DIV/0!</v>
      </c>
      <c r="G59" s="162" t="e">
        <f t="shared" si="37"/>
        <v>#DIV/0!</v>
      </c>
      <c r="H59" s="163" t="e">
        <f t="shared" si="28"/>
        <v>#DIV/0!</v>
      </c>
      <c r="I59" s="164"/>
      <c r="J59" s="154" t="e">
        <f t="shared" si="29"/>
        <v>#DIV/0!</v>
      </c>
      <c r="K59" s="152" t="e">
        <f t="shared" si="30"/>
        <v>#DIV/0!</v>
      </c>
      <c r="L59" s="162" t="e">
        <f t="shared" si="31"/>
        <v>#DIV/0!</v>
      </c>
      <c r="M59" s="163" t="e">
        <f t="shared" si="32"/>
        <v>#DIV/0!</v>
      </c>
      <c r="N59" s="170"/>
      <c r="O59" s="154" t="e">
        <f t="shared" si="33"/>
        <v>#DIV/0!</v>
      </c>
      <c r="P59" s="152" t="e">
        <f t="shared" si="34"/>
        <v>#DIV/0!</v>
      </c>
      <c r="Q59" s="162" t="e">
        <f t="shared" si="35"/>
        <v>#DIV/0!</v>
      </c>
      <c r="R59" s="163" t="e">
        <f t="shared" si="36"/>
        <v>#DIV/0!</v>
      </c>
      <c r="S59" s="206"/>
      <c r="T59" s="206">
        <f t="shared" si="38"/>
        <v>0</v>
      </c>
      <c r="U59" s="206"/>
    </row>
    <row r="60" spans="1:21">
      <c r="B60" s="143" t="s">
        <v>49</v>
      </c>
      <c r="C60" s="236">
        <f t="shared" si="26"/>
        <v>0</v>
      </c>
      <c r="D60" s="275"/>
      <c r="E60" s="298"/>
      <c r="F60" s="152" t="e">
        <f t="shared" si="27"/>
        <v>#DIV/0!</v>
      </c>
      <c r="G60" s="162" t="e">
        <f t="shared" si="37"/>
        <v>#DIV/0!</v>
      </c>
      <c r="H60" s="163" t="e">
        <f t="shared" si="28"/>
        <v>#DIV/0!</v>
      </c>
      <c r="I60" s="164"/>
      <c r="J60" s="154" t="e">
        <f t="shared" si="29"/>
        <v>#DIV/0!</v>
      </c>
      <c r="K60" s="152" t="e">
        <f t="shared" si="30"/>
        <v>#DIV/0!</v>
      </c>
      <c r="L60" s="162" t="e">
        <f t="shared" si="31"/>
        <v>#DIV/0!</v>
      </c>
      <c r="M60" s="163" t="e">
        <f t="shared" si="32"/>
        <v>#DIV/0!</v>
      </c>
      <c r="N60" s="170"/>
      <c r="O60" s="154" t="e">
        <f t="shared" si="33"/>
        <v>#DIV/0!</v>
      </c>
      <c r="P60" s="152" t="e">
        <f t="shared" si="34"/>
        <v>#DIV/0!</v>
      </c>
      <c r="Q60" s="162" t="e">
        <f t="shared" si="35"/>
        <v>#DIV/0!</v>
      </c>
      <c r="R60" s="163" t="e">
        <f t="shared" si="36"/>
        <v>#DIV/0!</v>
      </c>
      <c r="S60" s="206"/>
      <c r="T60" s="206">
        <f t="shared" si="38"/>
        <v>0</v>
      </c>
      <c r="U60" s="206"/>
    </row>
    <row r="61" spans="1:21">
      <c r="B61" s="132" t="s">
        <v>162</v>
      </c>
      <c r="C61" s="236">
        <f t="shared" si="26"/>
        <v>0</v>
      </c>
      <c r="D61" s="275"/>
      <c r="E61" s="298"/>
      <c r="F61" s="152" t="e">
        <f t="shared" si="27"/>
        <v>#DIV/0!</v>
      </c>
      <c r="G61" s="162" t="e">
        <f t="shared" si="37"/>
        <v>#DIV/0!</v>
      </c>
      <c r="H61" s="163" t="e">
        <f t="shared" si="28"/>
        <v>#DIV/0!</v>
      </c>
      <c r="I61" s="164"/>
      <c r="J61" s="154" t="e">
        <f t="shared" si="29"/>
        <v>#DIV/0!</v>
      </c>
      <c r="K61" s="152" t="e">
        <f t="shared" si="30"/>
        <v>#DIV/0!</v>
      </c>
      <c r="L61" s="162" t="e">
        <f t="shared" si="31"/>
        <v>#DIV/0!</v>
      </c>
      <c r="M61" s="163" t="e">
        <f t="shared" si="32"/>
        <v>#DIV/0!</v>
      </c>
      <c r="N61" s="170"/>
      <c r="O61" s="154" t="e">
        <f t="shared" si="33"/>
        <v>#DIV/0!</v>
      </c>
      <c r="P61" s="152" t="e">
        <f t="shared" si="34"/>
        <v>#DIV/0!</v>
      </c>
      <c r="Q61" s="162" t="e">
        <f t="shared" si="35"/>
        <v>#DIV/0!</v>
      </c>
      <c r="R61" s="163" t="e">
        <f t="shared" si="36"/>
        <v>#DIV/0!</v>
      </c>
      <c r="S61" s="206"/>
      <c r="T61" s="206">
        <f t="shared" si="38"/>
        <v>0</v>
      </c>
      <c r="U61" s="206"/>
    </row>
    <row r="62" spans="1:21">
      <c r="B62" s="132" t="s">
        <v>225</v>
      </c>
      <c r="C62" s="236">
        <f t="shared" si="26"/>
        <v>0</v>
      </c>
      <c r="D62" s="275"/>
      <c r="E62" s="298"/>
      <c r="F62" s="152" t="e">
        <f t="shared" si="27"/>
        <v>#DIV/0!</v>
      </c>
      <c r="G62" s="162" t="e">
        <f t="shared" si="37"/>
        <v>#DIV/0!</v>
      </c>
      <c r="H62" s="163" t="e">
        <f t="shared" si="28"/>
        <v>#DIV/0!</v>
      </c>
      <c r="I62" s="164"/>
      <c r="J62" s="154" t="e">
        <f t="shared" si="29"/>
        <v>#DIV/0!</v>
      </c>
      <c r="K62" s="152" t="e">
        <f t="shared" si="30"/>
        <v>#DIV/0!</v>
      </c>
      <c r="L62" s="162" t="e">
        <f t="shared" si="31"/>
        <v>#DIV/0!</v>
      </c>
      <c r="M62" s="163" t="e">
        <f t="shared" si="32"/>
        <v>#DIV/0!</v>
      </c>
      <c r="N62" s="170"/>
      <c r="O62" s="154" t="e">
        <f t="shared" si="33"/>
        <v>#DIV/0!</v>
      </c>
      <c r="P62" s="152" t="e">
        <f t="shared" si="34"/>
        <v>#DIV/0!</v>
      </c>
      <c r="Q62" s="162" t="e">
        <f t="shared" si="35"/>
        <v>#DIV/0!</v>
      </c>
      <c r="R62" s="163" t="e">
        <f t="shared" si="36"/>
        <v>#DIV/0!</v>
      </c>
      <c r="S62" s="206"/>
      <c r="T62" s="126"/>
      <c r="U62" s="206"/>
    </row>
    <row r="63" spans="1:21">
      <c r="B63" s="132" t="s">
        <v>163</v>
      </c>
      <c r="C63" s="236">
        <f t="shared" si="26"/>
        <v>0</v>
      </c>
      <c r="D63" s="275"/>
      <c r="E63" s="298"/>
      <c r="F63" s="152" t="e">
        <f t="shared" si="27"/>
        <v>#DIV/0!</v>
      </c>
      <c r="G63" s="162" t="e">
        <f t="shared" si="37"/>
        <v>#DIV/0!</v>
      </c>
      <c r="H63" s="163" t="e">
        <f t="shared" si="28"/>
        <v>#DIV/0!</v>
      </c>
      <c r="I63" s="168"/>
      <c r="J63" s="154" t="e">
        <f t="shared" si="29"/>
        <v>#DIV/0!</v>
      </c>
      <c r="K63" s="152" t="e">
        <f t="shared" si="30"/>
        <v>#DIV/0!</v>
      </c>
      <c r="L63" s="162" t="e">
        <f t="shared" si="31"/>
        <v>#DIV/0!</v>
      </c>
      <c r="M63" s="163" t="e">
        <f t="shared" si="32"/>
        <v>#DIV/0!</v>
      </c>
      <c r="N63" s="171"/>
      <c r="O63" s="154" t="e">
        <f t="shared" si="33"/>
        <v>#DIV/0!</v>
      </c>
      <c r="P63" s="152" t="e">
        <f t="shared" si="34"/>
        <v>#DIV/0!</v>
      </c>
      <c r="Q63" s="162" t="e">
        <f t="shared" si="35"/>
        <v>#DIV/0!</v>
      </c>
      <c r="R63" s="163" t="e">
        <f t="shared" si="36"/>
        <v>#DIV/0!</v>
      </c>
      <c r="S63" s="96"/>
      <c r="T63" s="206">
        <f>E63</f>
        <v>0</v>
      </c>
      <c r="U63" s="96"/>
    </row>
    <row r="64" spans="1:21">
      <c r="B64" s="420" t="s">
        <v>563</v>
      </c>
      <c r="C64" s="236">
        <f>D64+E64</f>
        <v>0</v>
      </c>
      <c r="D64" s="275"/>
      <c r="E64" s="298"/>
      <c r="F64" s="152" t="e">
        <f t="shared" si="27"/>
        <v>#DIV/0!</v>
      </c>
      <c r="G64" s="162" t="e">
        <f>E64/($C$7+$C$9)</f>
        <v>#DIV/0!</v>
      </c>
      <c r="H64" s="163" t="e">
        <f t="shared" si="28"/>
        <v>#DIV/0!</v>
      </c>
      <c r="I64" s="168"/>
      <c r="J64" s="154" t="e">
        <f>(I64/E64)-1</f>
        <v>#DIV/0!</v>
      </c>
      <c r="K64" s="152" t="e">
        <f>I64/$C$6</f>
        <v>#DIV/0!</v>
      </c>
      <c r="L64" s="162" t="e">
        <f>I64/($C$7+$C$9)</f>
        <v>#DIV/0!</v>
      </c>
      <c r="M64" s="163" t="e">
        <f t="shared" si="32"/>
        <v>#DIV/0!</v>
      </c>
      <c r="N64" s="171"/>
      <c r="O64" s="154" t="e">
        <f>(N64/I64)-1</f>
        <v>#DIV/0!</v>
      </c>
      <c r="P64" s="152" t="e">
        <f>N64/$C$6</f>
        <v>#DIV/0!</v>
      </c>
      <c r="Q64" s="162" t="e">
        <f>N64/($C$7+$C$9)</f>
        <v>#DIV/0!</v>
      </c>
      <c r="R64" s="163" t="e">
        <f t="shared" si="36"/>
        <v>#DIV/0!</v>
      </c>
      <c r="S64" s="96"/>
      <c r="T64" s="206">
        <f>E64</f>
        <v>0</v>
      </c>
      <c r="U64" s="96"/>
    </row>
    <row r="65" spans="1:21">
      <c r="B65" s="23" t="s">
        <v>42</v>
      </c>
      <c r="C65" s="236">
        <f t="shared" si="26"/>
        <v>0</v>
      </c>
      <c r="D65" s="277"/>
      <c r="E65" s="298"/>
      <c r="F65" s="152" t="e">
        <f t="shared" si="27"/>
        <v>#DIV/0!</v>
      </c>
      <c r="G65" s="162" t="e">
        <f t="shared" si="37"/>
        <v>#DIV/0!</v>
      </c>
      <c r="H65" s="163" t="e">
        <f t="shared" si="28"/>
        <v>#DIV/0!</v>
      </c>
      <c r="I65" s="168"/>
      <c r="J65" s="154" t="e">
        <f t="shared" si="29"/>
        <v>#DIV/0!</v>
      </c>
      <c r="K65" s="152" t="e">
        <f t="shared" si="30"/>
        <v>#DIV/0!</v>
      </c>
      <c r="L65" s="162" t="e">
        <f t="shared" si="31"/>
        <v>#DIV/0!</v>
      </c>
      <c r="M65" s="163" t="e">
        <f t="shared" si="32"/>
        <v>#DIV/0!</v>
      </c>
      <c r="N65" s="171"/>
      <c r="O65" s="154" t="e">
        <f t="shared" si="33"/>
        <v>#DIV/0!</v>
      </c>
      <c r="P65" s="152" t="e">
        <f t="shared" si="34"/>
        <v>#DIV/0!</v>
      </c>
      <c r="Q65" s="162" t="e">
        <f t="shared" si="35"/>
        <v>#DIV/0!</v>
      </c>
      <c r="R65" s="163" t="e">
        <f t="shared" si="36"/>
        <v>#DIV/0!</v>
      </c>
      <c r="S65" s="96"/>
      <c r="T65" s="206">
        <f>E65</f>
        <v>0</v>
      </c>
      <c r="U65" s="96"/>
    </row>
    <row r="66" spans="1:21">
      <c r="A66" s="23"/>
      <c r="B66" s="143" t="s">
        <v>139</v>
      </c>
      <c r="C66" s="237">
        <f t="shared" si="26"/>
        <v>0</v>
      </c>
      <c r="D66" s="276"/>
      <c r="E66" s="298"/>
      <c r="F66" s="223" t="e">
        <f t="shared" si="27"/>
        <v>#DIV/0!</v>
      </c>
      <c r="G66" s="162" t="e">
        <f t="shared" si="37"/>
        <v>#DIV/0!</v>
      </c>
      <c r="H66" s="416" t="e">
        <f t="shared" si="28"/>
        <v>#DIV/0!</v>
      </c>
      <c r="I66" s="168"/>
      <c r="J66" s="417" t="e">
        <f t="shared" si="29"/>
        <v>#DIV/0!</v>
      </c>
      <c r="K66" s="223" t="e">
        <f t="shared" si="30"/>
        <v>#DIV/0!</v>
      </c>
      <c r="L66" s="162" t="e">
        <f t="shared" si="31"/>
        <v>#DIV/0!</v>
      </c>
      <c r="M66" s="416" t="e">
        <f t="shared" si="32"/>
        <v>#DIV/0!</v>
      </c>
      <c r="N66" s="171"/>
      <c r="O66" s="417" t="e">
        <f t="shared" si="33"/>
        <v>#DIV/0!</v>
      </c>
      <c r="P66" s="223" t="e">
        <f t="shared" si="34"/>
        <v>#DIV/0!</v>
      </c>
      <c r="Q66" s="162" t="e">
        <f t="shared" si="35"/>
        <v>#DIV/0!</v>
      </c>
      <c r="R66" s="416" t="e">
        <f t="shared" si="36"/>
        <v>#DIV/0!</v>
      </c>
      <c r="S66" s="97"/>
      <c r="T66" s="206">
        <f>E66</f>
        <v>0</v>
      </c>
      <c r="U66" s="97"/>
    </row>
    <row r="67" spans="1:21">
      <c r="A67" s="23"/>
      <c r="B67" s="143"/>
      <c r="C67" s="237"/>
      <c r="D67" s="237"/>
      <c r="E67" s="295"/>
      <c r="F67" s="127"/>
      <c r="G67" s="127"/>
      <c r="H67" s="127"/>
      <c r="I67" s="165"/>
      <c r="J67" s="27"/>
      <c r="K67" s="27"/>
      <c r="L67" s="27"/>
      <c r="M67" s="27"/>
      <c r="N67" s="23"/>
      <c r="O67" s="23"/>
      <c r="P67" s="23"/>
      <c r="Q67" s="23"/>
      <c r="R67" s="23"/>
      <c r="S67" s="127"/>
      <c r="T67" s="127"/>
      <c r="U67" s="127"/>
    </row>
    <row r="68" spans="1:21">
      <c r="A68" s="12" t="s">
        <v>117</v>
      </c>
      <c r="B68" s="135"/>
      <c r="C68" s="242"/>
      <c r="D68" s="242"/>
      <c r="E68" s="295"/>
      <c r="F68" s="127"/>
      <c r="G68" s="127"/>
      <c r="H68" s="127"/>
      <c r="I68" s="165"/>
      <c r="J68" s="27"/>
      <c r="K68" s="27"/>
      <c r="L68" s="27"/>
      <c r="M68" s="27"/>
      <c r="N68" s="23"/>
      <c r="O68" s="23"/>
      <c r="P68" s="23"/>
      <c r="Q68" s="23"/>
      <c r="R68" s="23"/>
      <c r="S68" s="27"/>
      <c r="T68" s="25"/>
      <c r="U68" s="27"/>
    </row>
    <row r="69" spans="1:21">
      <c r="B69" s="132" t="s">
        <v>164</v>
      </c>
      <c r="C69" s="236">
        <f t="shared" ref="C69:C81" si="39">D69+E69</f>
        <v>0</v>
      </c>
      <c r="D69" s="275"/>
      <c r="E69" s="298"/>
      <c r="F69" s="152" t="e">
        <f t="shared" ref="F69:F81" si="40">E69/$C$6</f>
        <v>#DIV/0!</v>
      </c>
      <c r="G69" s="162" t="e">
        <f t="shared" ref="G69:G81" si="41">E69/($C$7+$C$9)</f>
        <v>#DIV/0!</v>
      </c>
      <c r="H69" s="163" t="e">
        <f t="shared" ref="H69:H81" si="42">E69/$E$130</f>
        <v>#DIV/0!</v>
      </c>
      <c r="I69" s="164"/>
      <c r="J69" s="154" t="e">
        <f t="shared" ref="J69:J81" si="43">(I69/E69)-1</f>
        <v>#DIV/0!</v>
      </c>
      <c r="K69" s="152" t="e">
        <f t="shared" ref="K69:K81" si="44">I69/$C$6</f>
        <v>#DIV/0!</v>
      </c>
      <c r="L69" s="162" t="e">
        <f t="shared" ref="L69:L81" si="45">I69/($C$7+$C$9)</f>
        <v>#DIV/0!</v>
      </c>
      <c r="M69" s="163" t="e">
        <f t="shared" ref="M69:M81" si="46">I69/$I$130</f>
        <v>#DIV/0!</v>
      </c>
      <c r="N69" s="170"/>
      <c r="O69" s="154" t="e">
        <f t="shared" ref="O69:O81" si="47">(N69/I69)-1</f>
        <v>#DIV/0!</v>
      </c>
      <c r="P69" s="152" t="e">
        <f t="shared" ref="P69:P81" si="48">N69/$C$6</f>
        <v>#DIV/0!</v>
      </c>
      <c r="Q69" s="162" t="e">
        <f t="shared" ref="Q69:Q81" si="49">N69/($C$7+$C$9)</f>
        <v>#DIV/0!</v>
      </c>
      <c r="R69" s="163" t="e">
        <f t="shared" ref="R69:R81" si="50">N69/$N$130</f>
        <v>#DIV/0!</v>
      </c>
      <c r="S69" s="206"/>
      <c r="T69" s="206">
        <f t="shared" ref="T69:T81" si="51">E69</f>
        <v>0</v>
      </c>
      <c r="U69" s="206"/>
    </row>
    <row r="70" spans="1:21">
      <c r="B70" s="138" t="s">
        <v>366</v>
      </c>
      <c r="C70" s="236">
        <f t="shared" si="39"/>
        <v>0</v>
      </c>
      <c r="D70" s="448"/>
      <c r="E70" s="298"/>
      <c r="F70" s="152" t="e">
        <f t="shared" si="40"/>
        <v>#DIV/0!</v>
      </c>
      <c r="G70" s="162" t="e">
        <f t="shared" si="41"/>
        <v>#DIV/0!</v>
      </c>
      <c r="H70" s="163" t="e">
        <f t="shared" si="42"/>
        <v>#DIV/0!</v>
      </c>
      <c r="I70" s="164"/>
      <c r="J70" s="154" t="e">
        <f t="shared" si="43"/>
        <v>#DIV/0!</v>
      </c>
      <c r="K70" s="152" t="e">
        <f t="shared" si="44"/>
        <v>#DIV/0!</v>
      </c>
      <c r="L70" s="162" t="e">
        <f t="shared" si="45"/>
        <v>#DIV/0!</v>
      </c>
      <c r="M70" s="163" t="e">
        <f t="shared" si="46"/>
        <v>#DIV/0!</v>
      </c>
      <c r="N70" s="170"/>
      <c r="O70" s="154" t="e">
        <f t="shared" si="47"/>
        <v>#DIV/0!</v>
      </c>
      <c r="P70" s="152" t="e">
        <f t="shared" si="48"/>
        <v>#DIV/0!</v>
      </c>
      <c r="Q70" s="162" t="e">
        <f t="shared" si="49"/>
        <v>#DIV/0!</v>
      </c>
      <c r="R70" s="163" t="e">
        <f t="shared" si="50"/>
        <v>#DIV/0!</v>
      </c>
      <c r="S70" s="206"/>
      <c r="T70" s="206">
        <f t="shared" si="51"/>
        <v>0</v>
      </c>
      <c r="U70" s="206"/>
    </row>
    <row r="71" spans="1:21">
      <c r="B71" s="132" t="s">
        <v>165</v>
      </c>
      <c r="C71" s="236">
        <f t="shared" si="39"/>
        <v>0</v>
      </c>
      <c r="D71" s="275"/>
      <c r="E71" s="298"/>
      <c r="F71" s="152" t="e">
        <f t="shared" si="40"/>
        <v>#DIV/0!</v>
      </c>
      <c r="G71" s="162" t="e">
        <f t="shared" si="41"/>
        <v>#DIV/0!</v>
      </c>
      <c r="H71" s="163" t="e">
        <f t="shared" si="42"/>
        <v>#DIV/0!</v>
      </c>
      <c r="I71" s="164"/>
      <c r="J71" s="154" t="e">
        <f t="shared" si="43"/>
        <v>#DIV/0!</v>
      </c>
      <c r="K71" s="152" t="e">
        <f t="shared" si="44"/>
        <v>#DIV/0!</v>
      </c>
      <c r="L71" s="162" t="e">
        <f t="shared" si="45"/>
        <v>#DIV/0!</v>
      </c>
      <c r="M71" s="163" t="e">
        <f t="shared" si="46"/>
        <v>#DIV/0!</v>
      </c>
      <c r="N71" s="170"/>
      <c r="O71" s="154" t="e">
        <f t="shared" si="47"/>
        <v>#DIV/0!</v>
      </c>
      <c r="P71" s="152" t="e">
        <f t="shared" si="48"/>
        <v>#DIV/0!</v>
      </c>
      <c r="Q71" s="162" t="e">
        <f t="shared" si="49"/>
        <v>#DIV/0!</v>
      </c>
      <c r="R71" s="163" t="e">
        <f t="shared" si="50"/>
        <v>#DIV/0!</v>
      </c>
      <c r="S71" s="206"/>
      <c r="T71" s="206">
        <f t="shared" si="51"/>
        <v>0</v>
      </c>
      <c r="U71" s="206"/>
    </row>
    <row r="72" spans="1:21">
      <c r="B72" s="132" t="s">
        <v>166</v>
      </c>
      <c r="C72" s="236">
        <f t="shared" si="39"/>
        <v>0</v>
      </c>
      <c r="D72" s="275"/>
      <c r="E72" s="298"/>
      <c r="F72" s="152" t="e">
        <f t="shared" si="40"/>
        <v>#DIV/0!</v>
      </c>
      <c r="G72" s="162" t="e">
        <f t="shared" si="41"/>
        <v>#DIV/0!</v>
      </c>
      <c r="H72" s="163" t="e">
        <f t="shared" si="42"/>
        <v>#DIV/0!</v>
      </c>
      <c r="I72" s="164"/>
      <c r="J72" s="154" t="e">
        <f t="shared" si="43"/>
        <v>#DIV/0!</v>
      </c>
      <c r="K72" s="152" t="e">
        <f t="shared" si="44"/>
        <v>#DIV/0!</v>
      </c>
      <c r="L72" s="162" t="e">
        <f t="shared" si="45"/>
        <v>#DIV/0!</v>
      </c>
      <c r="M72" s="163" t="e">
        <f t="shared" si="46"/>
        <v>#DIV/0!</v>
      </c>
      <c r="N72" s="170"/>
      <c r="O72" s="154" t="e">
        <f t="shared" si="47"/>
        <v>#DIV/0!</v>
      </c>
      <c r="P72" s="152" t="e">
        <f t="shared" si="48"/>
        <v>#DIV/0!</v>
      </c>
      <c r="Q72" s="162" t="e">
        <f t="shared" si="49"/>
        <v>#DIV/0!</v>
      </c>
      <c r="R72" s="163" t="e">
        <f t="shared" si="50"/>
        <v>#DIV/0!</v>
      </c>
      <c r="S72" s="206"/>
      <c r="T72" s="206">
        <f t="shared" si="51"/>
        <v>0</v>
      </c>
      <c r="U72" s="206"/>
    </row>
    <row r="73" spans="1:21">
      <c r="B73" s="132" t="s">
        <v>167</v>
      </c>
      <c r="C73" s="236">
        <f t="shared" si="39"/>
        <v>0</v>
      </c>
      <c r="D73" s="275"/>
      <c r="E73" s="298"/>
      <c r="F73" s="152" t="e">
        <f t="shared" si="40"/>
        <v>#DIV/0!</v>
      </c>
      <c r="G73" s="162" t="e">
        <f t="shared" si="41"/>
        <v>#DIV/0!</v>
      </c>
      <c r="H73" s="163" t="e">
        <f t="shared" si="42"/>
        <v>#DIV/0!</v>
      </c>
      <c r="I73" s="164"/>
      <c r="J73" s="154" t="e">
        <f t="shared" si="43"/>
        <v>#DIV/0!</v>
      </c>
      <c r="K73" s="152" t="e">
        <f t="shared" si="44"/>
        <v>#DIV/0!</v>
      </c>
      <c r="L73" s="162" t="e">
        <f t="shared" si="45"/>
        <v>#DIV/0!</v>
      </c>
      <c r="M73" s="163" t="e">
        <f t="shared" si="46"/>
        <v>#DIV/0!</v>
      </c>
      <c r="N73" s="170"/>
      <c r="O73" s="154" t="e">
        <f t="shared" si="47"/>
        <v>#DIV/0!</v>
      </c>
      <c r="P73" s="152" t="e">
        <f t="shared" si="48"/>
        <v>#DIV/0!</v>
      </c>
      <c r="Q73" s="162" t="e">
        <f t="shared" si="49"/>
        <v>#DIV/0!</v>
      </c>
      <c r="R73" s="163" t="e">
        <f t="shared" si="50"/>
        <v>#DIV/0!</v>
      </c>
      <c r="S73" s="206"/>
      <c r="T73" s="206">
        <f t="shared" si="51"/>
        <v>0</v>
      </c>
      <c r="U73" s="206"/>
    </row>
    <row r="74" spans="1:21">
      <c r="B74" s="132" t="s">
        <v>168</v>
      </c>
      <c r="C74" s="236">
        <f t="shared" si="39"/>
        <v>0</v>
      </c>
      <c r="D74" s="275"/>
      <c r="E74" s="298"/>
      <c r="F74" s="152" t="e">
        <f t="shared" si="40"/>
        <v>#DIV/0!</v>
      </c>
      <c r="G74" s="162" t="e">
        <f t="shared" si="41"/>
        <v>#DIV/0!</v>
      </c>
      <c r="H74" s="163" t="e">
        <f t="shared" si="42"/>
        <v>#DIV/0!</v>
      </c>
      <c r="I74" s="164"/>
      <c r="J74" s="154" t="e">
        <f t="shared" si="43"/>
        <v>#DIV/0!</v>
      </c>
      <c r="K74" s="152" t="e">
        <f t="shared" si="44"/>
        <v>#DIV/0!</v>
      </c>
      <c r="L74" s="162" t="e">
        <f t="shared" si="45"/>
        <v>#DIV/0!</v>
      </c>
      <c r="M74" s="163" t="e">
        <f t="shared" si="46"/>
        <v>#DIV/0!</v>
      </c>
      <c r="N74" s="170"/>
      <c r="O74" s="154" t="e">
        <f t="shared" si="47"/>
        <v>#DIV/0!</v>
      </c>
      <c r="P74" s="152" t="e">
        <f t="shared" si="48"/>
        <v>#DIV/0!</v>
      </c>
      <c r="Q74" s="162" t="e">
        <f t="shared" si="49"/>
        <v>#DIV/0!</v>
      </c>
      <c r="R74" s="163" t="e">
        <f t="shared" si="50"/>
        <v>#DIV/0!</v>
      </c>
      <c r="S74" s="206"/>
      <c r="T74" s="206">
        <f t="shared" si="51"/>
        <v>0</v>
      </c>
      <c r="U74" s="206"/>
    </row>
    <row r="75" spans="1:21">
      <c r="B75" s="138" t="s">
        <v>367</v>
      </c>
      <c r="C75" s="236">
        <f t="shared" si="39"/>
        <v>0</v>
      </c>
      <c r="D75" s="448"/>
      <c r="E75" s="298"/>
      <c r="F75" s="152" t="e">
        <f t="shared" si="40"/>
        <v>#DIV/0!</v>
      </c>
      <c r="G75" s="162" t="e">
        <f t="shared" si="41"/>
        <v>#DIV/0!</v>
      </c>
      <c r="H75" s="163" t="e">
        <f t="shared" si="42"/>
        <v>#DIV/0!</v>
      </c>
      <c r="I75" s="164"/>
      <c r="J75" s="154" t="e">
        <f t="shared" si="43"/>
        <v>#DIV/0!</v>
      </c>
      <c r="K75" s="152" t="e">
        <f t="shared" si="44"/>
        <v>#DIV/0!</v>
      </c>
      <c r="L75" s="162" t="e">
        <f t="shared" si="45"/>
        <v>#DIV/0!</v>
      </c>
      <c r="M75" s="163" t="e">
        <f t="shared" si="46"/>
        <v>#DIV/0!</v>
      </c>
      <c r="N75" s="170"/>
      <c r="O75" s="154" t="e">
        <f t="shared" si="47"/>
        <v>#DIV/0!</v>
      </c>
      <c r="P75" s="152" t="e">
        <f t="shared" si="48"/>
        <v>#DIV/0!</v>
      </c>
      <c r="Q75" s="162" t="e">
        <f t="shared" si="49"/>
        <v>#DIV/0!</v>
      </c>
      <c r="R75" s="163" t="e">
        <f t="shared" si="50"/>
        <v>#DIV/0!</v>
      </c>
      <c r="S75" s="206"/>
      <c r="T75" s="206">
        <f t="shared" si="51"/>
        <v>0</v>
      </c>
      <c r="U75" s="206"/>
    </row>
    <row r="76" spans="1:21">
      <c r="B76" s="132" t="s">
        <v>171</v>
      </c>
      <c r="C76" s="236">
        <f t="shared" si="39"/>
        <v>0</v>
      </c>
      <c r="D76" s="275"/>
      <c r="E76" s="298"/>
      <c r="F76" s="152" t="e">
        <f t="shared" si="40"/>
        <v>#DIV/0!</v>
      </c>
      <c r="G76" s="162" t="e">
        <f t="shared" si="41"/>
        <v>#DIV/0!</v>
      </c>
      <c r="H76" s="163" t="e">
        <f t="shared" si="42"/>
        <v>#DIV/0!</v>
      </c>
      <c r="I76" s="164"/>
      <c r="J76" s="154" t="e">
        <f t="shared" si="43"/>
        <v>#DIV/0!</v>
      </c>
      <c r="K76" s="152" t="e">
        <f t="shared" si="44"/>
        <v>#DIV/0!</v>
      </c>
      <c r="L76" s="162" t="e">
        <f t="shared" si="45"/>
        <v>#DIV/0!</v>
      </c>
      <c r="M76" s="163" t="e">
        <f t="shared" si="46"/>
        <v>#DIV/0!</v>
      </c>
      <c r="N76" s="170"/>
      <c r="O76" s="154" t="e">
        <f t="shared" si="47"/>
        <v>#DIV/0!</v>
      </c>
      <c r="P76" s="152" t="e">
        <f t="shared" si="48"/>
        <v>#DIV/0!</v>
      </c>
      <c r="Q76" s="162" t="e">
        <f t="shared" si="49"/>
        <v>#DIV/0!</v>
      </c>
      <c r="R76" s="163" t="e">
        <f t="shared" si="50"/>
        <v>#DIV/0!</v>
      </c>
      <c r="S76" s="206"/>
      <c r="T76" s="206">
        <f t="shared" si="51"/>
        <v>0</v>
      </c>
      <c r="U76" s="206"/>
    </row>
    <row r="77" spans="1:21">
      <c r="B77" s="143" t="s">
        <v>172</v>
      </c>
      <c r="C77" s="236">
        <f t="shared" si="39"/>
        <v>0</v>
      </c>
      <c r="D77" s="275"/>
      <c r="E77" s="298"/>
      <c r="F77" s="152" t="e">
        <f t="shared" si="40"/>
        <v>#DIV/0!</v>
      </c>
      <c r="G77" s="162" t="e">
        <f t="shared" si="41"/>
        <v>#DIV/0!</v>
      </c>
      <c r="H77" s="163" t="e">
        <f t="shared" si="42"/>
        <v>#DIV/0!</v>
      </c>
      <c r="I77" s="164"/>
      <c r="J77" s="154" t="e">
        <f t="shared" si="43"/>
        <v>#DIV/0!</v>
      </c>
      <c r="K77" s="152" t="e">
        <f t="shared" si="44"/>
        <v>#DIV/0!</v>
      </c>
      <c r="L77" s="162" t="e">
        <f t="shared" si="45"/>
        <v>#DIV/0!</v>
      </c>
      <c r="M77" s="163" t="e">
        <f t="shared" si="46"/>
        <v>#DIV/0!</v>
      </c>
      <c r="N77" s="170"/>
      <c r="O77" s="154" t="e">
        <f t="shared" si="47"/>
        <v>#DIV/0!</v>
      </c>
      <c r="P77" s="152" t="e">
        <f t="shared" si="48"/>
        <v>#DIV/0!</v>
      </c>
      <c r="Q77" s="162" t="e">
        <f t="shared" si="49"/>
        <v>#DIV/0!</v>
      </c>
      <c r="R77" s="163" t="e">
        <f t="shared" si="50"/>
        <v>#DIV/0!</v>
      </c>
      <c r="S77" s="206"/>
      <c r="T77" s="206">
        <f t="shared" si="51"/>
        <v>0</v>
      </c>
      <c r="U77" s="206"/>
    </row>
    <row r="78" spans="1:21">
      <c r="B78" s="143" t="s">
        <v>173</v>
      </c>
      <c r="C78" s="236">
        <f t="shared" si="39"/>
        <v>0</v>
      </c>
      <c r="D78" s="276"/>
      <c r="E78" s="298"/>
      <c r="F78" s="152" t="e">
        <f t="shared" si="40"/>
        <v>#DIV/0!</v>
      </c>
      <c r="G78" s="162" t="e">
        <f t="shared" si="41"/>
        <v>#DIV/0!</v>
      </c>
      <c r="H78" s="163" t="e">
        <f t="shared" si="42"/>
        <v>#DIV/0!</v>
      </c>
      <c r="I78" s="164"/>
      <c r="J78" s="154" t="e">
        <f t="shared" si="43"/>
        <v>#DIV/0!</v>
      </c>
      <c r="K78" s="152" t="e">
        <f t="shared" si="44"/>
        <v>#DIV/0!</v>
      </c>
      <c r="L78" s="162" t="e">
        <f t="shared" si="45"/>
        <v>#DIV/0!</v>
      </c>
      <c r="M78" s="163" t="e">
        <f t="shared" si="46"/>
        <v>#DIV/0!</v>
      </c>
      <c r="N78" s="170"/>
      <c r="O78" s="154" t="e">
        <f t="shared" si="47"/>
        <v>#DIV/0!</v>
      </c>
      <c r="P78" s="152" t="e">
        <f t="shared" si="48"/>
        <v>#DIV/0!</v>
      </c>
      <c r="Q78" s="162" t="e">
        <f t="shared" si="49"/>
        <v>#DIV/0!</v>
      </c>
      <c r="R78" s="163" t="e">
        <f t="shared" si="50"/>
        <v>#DIV/0!</v>
      </c>
      <c r="S78" s="206"/>
      <c r="T78" s="206">
        <f t="shared" si="51"/>
        <v>0</v>
      </c>
      <c r="U78" s="206"/>
    </row>
    <row r="79" spans="1:21">
      <c r="B79" s="132" t="s">
        <v>583</v>
      </c>
      <c r="C79" s="236">
        <f t="shared" si="39"/>
        <v>0</v>
      </c>
      <c r="D79" s="275"/>
      <c r="E79" s="298"/>
      <c r="F79" s="152" t="e">
        <f t="shared" si="40"/>
        <v>#DIV/0!</v>
      </c>
      <c r="G79" s="162" t="e">
        <f t="shared" si="41"/>
        <v>#DIV/0!</v>
      </c>
      <c r="H79" s="163" t="e">
        <f t="shared" si="42"/>
        <v>#DIV/0!</v>
      </c>
      <c r="I79" s="164"/>
      <c r="J79" s="154" t="e">
        <f t="shared" si="43"/>
        <v>#DIV/0!</v>
      </c>
      <c r="K79" s="152" t="e">
        <f t="shared" si="44"/>
        <v>#DIV/0!</v>
      </c>
      <c r="L79" s="162" t="e">
        <f t="shared" si="45"/>
        <v>#DIV/0!</v>
      </c>
      <c r="M79" s="163" t="e">
        <f t="shared" si="46"/>
        <v>#DIV/0!</v>
      </c>
      <c r="N79" s="170"/>
      <c r="O79" s="154" t="e">
        <f t="shared" si="47"/>
        <v>#DIV/0!</v>
      </c>
      <c r="P79" s="152" t="e">
        <f t="shared" si="48"/>
        <v>#DIV/0!</v>
      </c>
      <c r="Q79" s="162" t="e">
        <f t="shared" si="49"/>
        <v>#DIV/0!</v>
      </c>
      <c r="R79" s="163" t="e">
        <f t="shared" si="50"/>
        <v>#DIV/0!</v>
      </c>
      <c r="S79" s="206"/>
      <c r="T79" s="206">
        <f t="shared" si="51"/>
        <v>0</v>
      </c>
      <c r="U79" s="206"/>
    </row>
    <row r="80" spans="1:21">
      <c r="B80" s="132" t="s">
        <v>584</v>
      </c>
      <c r="C80" s="236">
        <f>D80+E80</f>
        <v>0</v>
      </c>
      <c r="D80" s="275"/>
      <c r="E80" s="298"/>
      <c r="F80" s="152" t="e">
        <f t="shared" si="40"/>
        <v>#DIV/0!</v>
      </c>
      <c r="G80" s="162" t="e">
        <f>E80/($C$7+$C$9)</f>
        <v>#DIV/0!</v>
      </c>
      <c r="H80" s="163" t="e">
        <f>E80/$E$130</f>
        <v>#DIV/0!</v>
      </c>
      <c r="I80" s="164"/>
      <c r="J80" s="154" t="e">
        <f>(I80/E80)-1</f>
        <v>#DIV/0!</v>
      </c>
      <c r="K80" s="152" t="e">
        <f>I80/$C$6</f>
        <v>#DIV/0!</v>
      </c>
      <c r="L80" s="162" t="e">
        <f>I80/($C$7+$C$9)</f>
        <v>#DIV/0!</v>
      </c>
      <c r="M80" s="163" t="e">
        <f>I80/$I$130</f>
        <v>#DIV/0!</v>
      </c>
      <c r="N80" s="170"/>
      <c r="O80" s="154" t="e">
        <f>(N80/I80)-1</f>
        <v>#DIV/0!</v>
      </c>
      <c r="P80" s="152" t="e">
        <f>N80/$C$6</f>
        <v>#DIV/0!</v>
      </c>
      <c r="Q80" s="162" t="e">
        <f>N80/($C$7+$C$9)</f>
        <v>#DIV/0!</v>
      </c>
      <c r="R80" s="163" t="e">
        <f>N80/$N$130</f>
        <v>#DIV/0!</v>
      </c>
      <c r="S80" s="206"/>
      <c r="T80" s="206">
        <f>E80</f>
        <v>0</v>
      </c>
      <c r="U80" s="206"/>
    </row>
    <row r="81" spans="1:21">
      <c r="A81" s="23"/>
      <c r="B81" s="143" t="s">
        <v>139</v>
      </c>
      <c r="C81" s="237">
        <f t="shared" si="39"/>
        <v>0</v>
      </c>
      <c r="D81" s="276"/>
      <c r="E81" s="298"/>
      <c r="F81" s="223" t="e">
        <f t="shared" si="40"/>
        <v>#DIV/0!</v>
      </c>
      <c r="G81" s="162" t="e">
        <f t="shared" si="41"/>
        <v>#DIV/0!</v>
      </c>
      <c r="H81" s="416" t="e">
        <f t="shared" si="42"/>
        <v>#DIV/0!</v>
      </c>
      <c r="I81" s="164"/>
      <c r="J81" s="417" t="e">
        <f t="shared" si="43"/>
        <v>#DIV/0!</v>
      </c>
      <c r="K81" s="223" t="e">
        <f t="shared" si="44"/>
        <v>#DIV/0!</v>
      </c>
      <c r="L81" s="162" t="e">
        <f t="shared" si="45"/>
        <v>#DIV/0!</v>
      </c>
      <c r="M81" s="416" t="e">
        <f t="shared" si="46"/>
        <v>#DIV/0!</v>
      </c>
      <c r="N81" s="170"/>
      <c r="O81" s="417" t="e">
        <f t="shared" si="47"/>
        <v>#DIV/0!</v>
      </c>
      <c r="P81" s="223" t="e">
        <f t="shared" si="48"/>
        <v>#DIV/0!</v>
      </c>
      <c r="Q81" s="162" t="e">
        <f t="shared" si="49"/>
        <v>#DIV/0!</v>
      </c>
      <c r="R81" s="416" t="e">
        <f t="shared" si="50"/>
        <v>#DIV/0!</v>
      </c>
      <c r="S81" s="206"/>
      <c r="T81" s="206">
        <f t="shared" si="51"/>
        <v>0</v>
      </c>
      <c r="U81" s="206"/>
    </row>
    <row r="82" spans="1:21">
      <c r="A82" s="418"/>
      <c r="B82" s="143"/>
      <c r="C82" s="237"/>
      <c r="D82" s="237"/>
      <c r="E82" s="299"/>
      <c r="F82" s="78"/>
      <c r="G82" s="78"/>
      <c r="H82" s="78"/>
      <c r="I82" s="158"/>
      <c r="J82" s="11"/>
      <c r="K82" s="11"/>
      <c r="L82" s="11"/>
      <c r="M82" s="11"/>
      <c r="N82" s="23"/>
      <c r="O82" s="23"/>
      <c r="P82" s="23"/>
      <c r="Q82" s="23"/>
      <c r="R82" s="23"/>
      <c r="S82" s="27"/>
      <c r="T82" s="27"/>
      <c r="U82" s="27"/>
    </row>
    <row r="83" spans="1:21">
      <c r="A83" s="86" t="s">
        <v>363</v>
      </c>
      <c r="B83" s="132"/>
      <c r="C83" s="236"/>
      <c r="D83" s="236"/>
      <c r="E83" s="299"/>
      <c r="F83" s="78"/>
      <c r="G83" s="78"/>
      <c r="H83" s="78"/>
      <c r="I83" s="158"/>
      <c r="J83" s="11"/>
      <c r="K83" s="11"/>
      <c r="L83" s="11"/>
      <c r="M83" s="11"/>
      <c r="N83" s="23"/>
      <c r="O83" s="23"/>
      <c r="P83" s="23"/>
      <c r="Q83" s="23"/>
      <c r="R83" s="23"/>
      <c r="S83" s="27"/>
      <c r="T83" s="27"/>
      <c r="U83" s="27"/>
    </row>
    <row r="84" spans="1:21">
      <c r="B84" s="138" t="s">
        <v>312</v>
      </c>
      <c r="C84" s="236">
        <f t="shared" ref="C84:C90" si="52">D84+E84</f>
        <v>0</v>
      </c>
      <c r="D84" s="448"/>
      <c r="E84" s="298"/>
      <c r="F84" s="152" t="e">
        <f t="shared" ref="F84:F90" si="53">E84/$C$6</f>
        <v>#DIV/0!</v>
      </c>
      <c r="G84" s="162" t="e">
        <f t="shared" ref="G84:G90" si="54">E84/($C$7+$C$9)</f>
        <v>#DIV/0!</v>
      </c>
      <c r="H84" s="163" t="e">
        <f t="shared" ref="H84:H90" si="55">E84/$E$130</f>
        <v>#DIV/0!</v>
      </c>
      <c r="I84" s="164"/>
      <c r="J84" s="154" t="e">
        <f t="shared" ref="J84:J90" si="56">(I84/E84)-1</f>
        <v>#DIV/0!</v>
      </c>
      <c r="K84" s="152" t="e">
        <f t="shared" ref="K84:K90" si="57">I84/$C$6</f>
        <v>#DIV/0!</v>
      </c>
      <c r="L84" s="162" t="e">
        <f t="shared" ref="L84:L90" si="58">I84/($C$7+$C$9)</f>
        <v>#DIV/0!</v>
      </c>
      <c r="M84" s="163" t="e">
        <f t="shared" ref="M84:M90" si="59">I84/$I$130</f>
        <v>#DIV/0!</v>
      </c>
      <c r="N84" s="170"/>
      <c r="O84" s="154" t="e">
        <f t="shared" ref="O84:O90" si="60">(N84/I84)-1</f>
        <v>#DIV/0!</v>
      </c>
      <c r="P84" s="152" t="e">
        <f t="shared" ref="P84:P90" si="61">N84/$C$6</f>
        <v>#DIV/0!</v>
      </c>
      <c r="Q84" s="162" t="e">
        <f t="shared" ref="Q84:Q90" si="62">N84/($C$7+$C$9)</f>
        <v>#DIV/0!</v>
      </c>
      <c r="R84" s="163" t="e">
        <f t="shared" ref="R84:R90" si="63">N84/$N$130</f>
        <v>#DIV/0!</v>
      </c>
      <c r="S84" s="206"/>
      <c r="T84" s="206">
        <f>E84</f>
        <v>0</v>
      </c>
      <c r="U84" s="206"/>
    </row>
    <row r="85" spans="1:21">
      <c r="B85" s="138" t="s">
        <v>169</v>
      </c>
      <c r="C85" s="236">
        <f t="shared" si="52"/>
        <v>0</v>
      </c>
      <c r="D85" s="448"/>
      <c r="E85" s="298"/>
      <c r="F85" s="152" t="e">
        <f t="shared" si="53"/>
        <v>#DIV/0!</v>
      </c>
      <c r="G85" s="162" t="e">
        <f t="shared" si="54"/>
        <v>#DIV/0!</v>
      </c>
      <c r="H85" s="163" t="e">
        <f t="shared" si="55"/>
        <v>#DIV/0!</v>
      </c>
      <c r="I85" s="164"/>
      <c r="J85" s="154" t="e">
        <f t="shared" si="56"/>
        <v>#DIV/0!</v>
      </c>
      <c r="K85" s="152" t="e">
        <f t="shared" si="57"/>
        <v>#DIV/0!</v>
      </c>
      <c r="L85" s="162" t="e">
        <f t="shared" si="58"/>
        <v>#DIV/0!</v>
      </c>
      <c r="M85" s="163" t="e">
        <f t="shared" si="59"/>
        <v>#DIV/0!</v>
      </c>
      <c r="N85" s="170"/>
      <c r="O85" s="154" t="e">
        <f t="shared" si="60"/>
        <v>#DIV/0!</v>
      </c>
      <c r="P85" s="152" t="e">
        <f t="shared" si="61"/>
        <v>#DIV/0!</v>
      </c>
      <c r="Q85" s="162" t="e">
        <f t="shared" si="62"/>
        <v>#DIV/0!</v>
      </c>
      <c r="R85" s="163" t="e">
        <f t="shared" si="63"/>
        <v>#DIV/0!</v>
      </c>
      <c r="S85" s="206"/>
      <c r="T85" s="206">
        <f t="shared" ref="T85:T90" si="64">E85</f>
        <v>0</v>
      </c>
      <c r="U85" s="206"/>
    </row>
    <row r="86" spans="1:21">
      <c r="B86" s="138" t="s">
        <v>314</v>
      </c>
      <c r="C86" s="236">
        <f t="shared" si="52"/>
        <v>0</v>
      </c>
      <c r="D86" s="448"/>
      <c r="E86" s="298"/>
      <c r="F86" s="152" t="e">
        <f t="shared" si="53"/>
        <v>#DIV/0!</v>
      </c>
      <c r="G86" s="162" t="e">
        <f t="shared" si="54"/>
        <v>#DIV/0!</v>
      </c>
      <c r="H86" s="163" t="e">
        <f t="shared" si="55"/>
        <v>#DIV/0!</v>
      </c>
      <c r="I86" s="164"/>
      <c r="J86" s="154" t="e">
        <f t="shared" si="56"/>
        <v>#DIV/0!</v>
      </c>
      <c r="K86" s="152" t="e">
        <f t="shared" si="57"/>
        <v>#DIV/0!</v>
      </c>
      <c r="L86" s="162" t="e">
        <f t="shared" si="58"/>
        <v>#DIV/0!</v>
      </c>
      <c r="M86" s="163" t="e">
        <f t="shared" si="59"/>
        <v>#DIV/0!</v>
      </c>
      <c r="N86" s="170"/>
      <c r="O86" s="154" t="e">
        <f t="shared" si="60"/>
        <v>#DIV/0!</v>
      </c>
      <c r="P86" s="152" t="e">
        <f t="shared" si="61"/>
        <v>#DIV/0!</v>
      </c>
      <c r="Q86" s="162" t="e">
        <f t="shared" si="62"/>
        <v>#DIV/0!</v>
      </c>
      <c r="R86" s="163" t="e">
        <f t="shared" si="63"/>
        <v>#DIV/0!</v>
      </c>
      <c r="S86" s="206"/>
      <c r="T86" s="206">
        <f t="shared" si="64"/>
        <v>0</v>
      </c>
      <c r="U86" s="206"/>
    </row>
    <row r="87" spans="1:21">
      <c r="B87" s="138" t="s">
        <v>365</v>
      </c>
      <c r="C87" s="236">
        <f t="shared" si="52"/>
        <v>0</v>
      </c>
      <c r="D87" s="448"/>
      <c r="E87" s="298"/>
      <c r="F87" s="152" t="e">
        <f t="shared" si="53"/>
        <v>#DIV/0!</v>
      </c>
      <c r="G87" s="162" t="e">
        <f t="shared" si="54"/>
        <v>#DIV/0!</v>
      </c>
      <c r="H87" s="163" t="e">
        <f t="shared" si="55"/>
        <v>#DIV/0!</v>
      </c>
      <c r="I87" s="164"/>
      <c r="J87" s="154" t="e">
        <f t="shared" si="56"/>
        <v>#DIV/0!</v>
      </c>
      <c r="K87" s="152" t="e">
        <f t="shared" si="57"/>
        <v>#DIV/0!</v>
      </c>
      <c r="L87" s="162" t="e">
        <f t="shared" si="58"/>
        <v>#DIV/0!</v>
      </c>
      <c r="M87" s="163" t="e">
        <f t="shared" si="59"/>
        <v>#DIV/0!</v>
      </c>
      <c r="N87" s="170"/>
      <c r="O87" s="154" t="e">
        <f t="shared" si="60"/>
        <v>#DIV/0!</v>
      </c>
      <c r="P87" s="152" t="e">
        <f t="shared" si="61"/>
        <v>#DIV/0!</v>
      </c>
      <c r="Q87" s="162" t="e">
        <f t="shared" si="62"/>
        <v>#DIV/0!</v>
      </c>
      <c r="R87" s="163" t="e">
        <f t="shared" si="63"/>
        <v>#DIV/0!</v>
      </c>
      <c r="S87" s="206"/>
      <c r="T87" s="206">
        <f t="shared" si="64"/>
        <v>0</v>
      </c>
      <c r="U87" s="206"/>
    </row>
    <row r="88" spans="1:21">
      <c r="B88" s="138" t="s">
        <v>313</v>
      </c>
      <c r="C88" s="236">
        <f t="shared" si="52"/>
        <v>0</v>
      </c>
      <c r="D88" s="448"/>
      <c r="E88" s="298"/>
      <c r="F88" s="152" t="e">
        <f t="shared" si="53"/>
        <v>#DIV/0!</v>
      </c>
      <c r="G88" s="162" t="e">
        <f t="shared" si="54"/>
        <v>#DIV/0!</v>
      </c>
      <c r="H88" s="163" t="e">
        <f t="shared" si="55"/>
        <v>#DIV/0!</v>
      </c>
      <c r="I88" s="164"/>
      <c r="J88" s="154" t="e">
        <f t="shared" si="56"/>
        <v>#DIV/0!</v>
      </c>
      <c r="K88" s="152" t="e">
        <f t="shared" si="57"/>
        <v>#DIV/0!</v>
      </c>
      <c r="L88" s="162" t="e">
        <f t="shared" si="58"/>
        <v>#DIV/0!</v>
      </c>
      <c r="M88" s="163" t="e">
        <f t="shared" si="59"/>
        <v>#DIV/0!</v>
      </c>
      <c r="N88" s="170"/>
      <c r="O88" s="154" t="e">
        <f t="shared" si="60"/>
        <v>#DIV/0!</v>
      </c>
      <c r="P88" s="152" t="e">
        <f t="shared" si="61"/>
        <v>#DIV/0!</v>
      </c>
      <c r="Q88" s="162" t="e">
        <f t="shared" si="62"/>
        <v>#DIV/0!</v>
      </c>
      <c r="R88" s="163" t="e">
        <f t="shared" si="63"/>
        <v>#DIV/0!</v>
      </c>
      <c r="S88" s="206"/>
      <c r="T88" s="206">
        <f t="shared" si="64"/>
        <v>0</v>
      </c>
      <c r="U88" s="206"/>
    </row>
    <row r="89" spans="1:21">
      <c r="B89" s="138" t="s">
        <v>400</v>
      </c>
      <c r="C89" s="236">
        <f t="shared" si="52"/>
        <v>0</v>
      </c>
      <c r="D89" s="448"/>
      <c r="E89" s="298"/>
      <c r="F89" s="152" t="e">
        <f t="shared" si="53"/>
        <v>#DIV/0!</v>
      </c>
      <c r="G89" s="162" t="e">
        <f t="shared" si="54"/>
        <v>#DIV/0!</v>
      </c>
      <c r="H89" s="163" t="e">
        <f t="shared" si="55"/>
        <v>#DIV/0!</v>
      </c>
      <c r="I89" s="164"/>
      <c r="J89" s="154" t="e">
        <f t="shared" si="56"/>
        <v>#DIV/0!</v>
      </c>
      <c r="K89" s="152" t="e">
        <f t="shared" si="57"/>
        <v>#DIV/0!</v>
      </c>
      <c r="L89" s="162" t="e">
        <f t="shared" si="58"/>
        <v>#DIV/0!</v>
      </c>
      <c r="M89" s="163" t="e">
        <f t="shared" si="59"/>
        <v>#DIV/0!</v>
      </c>
      <c r="N89" s="170"/>
      <c r="O89" s="154" t="e">
        <f t="shared" si="60"/>
        <v>#DIV/0!</v>
      </c>
      <c r="P89" s="152" t="e">
        <f t="shared" si="61"/>
        <v>#DIV/0!</v>
      </c>
      <c r="Q89" s="162" t="e">
        <f t="shared" si="62"/>
        <v>#DIV/0!</v>
      </c>
      <c r="R89" s="163" t="e">
        <f t="shared" si="63"/>
        <v>#DIV/0!</v>
      </c>
      <c r="S89" s="206"/>
      <c r="T89" s="206">
        <f t="shared" si="64"/>
        <v>0</v>
      </c>
      <c r="U89" s="206"/>
    </row>
    <row r="90" spans="1:21">
      <c r="B90" s="138" t="s">
        <v>163</v>
      </c>
      <c r="C90" s="236">
        <f t="shared" si="52"/>
        <v>0</v>
      </c>
      <c r="D90" s="448"/>
      <c r="E90" s="298"/>
      <c r="F90" s="152" t="e">
        <f t="shared" si="53"/>
        <v>#DIV/0!</v>
      </c>
      <c r="G90" s="162" t="e">
        <f t="shared" si="54"/>
        <v>#DIV/0!</v>
      </c>
      <c r="H90" s="163" t="e">
        <f t="shared" si="55"/>
        <v>#DIV/0!</v>
      </c>
      <c r="I90" s="164"/>
      <c r="J90" s="154" t="e">
        <f t="shared" si="56"/>
        <v>#DIV/0!</v>
      </c>
      <c r="K90" s="152" t="e">
        <f t="shared" si="57"/>
        <v>#DIV/0!</v>
      </c>
      <c r="L90" s="162" t="e">
        <f t="shared" si="58"/>
        <v>#DIV/0!</v>
      </c>
      <c r="M90" s="163" t="e">
        <f t="shared" si="59"/>
        <v>#DIV/0!</v>
      </c>
      <c r="N90" s="170"/>
      <c r="O90" s="154" t="e">
        <f t="shared" si="60"/>
        <v>#DIV/0!</v>
      </c>
      <c r="P90" s="152" t="e">
        <f t="shared" si="61"/>
        <v>#DIV/0!</v>
      </c>
      <c r="Q90" s="162" t="e">
        <f t="shared" si="62"/>
        <v>#DIV/0!</v>
      </c>
      <c r="R90" s="163" t="e">
        <f t="shared" si="63"/>
        <v>#DIV/0!</v>
      </c>
      <c r="S90" s="206"/>
      <c r="T90" s="206">
        <f t="shared" si="64"/>
        <v>0</v>
      </c>
      <c r="U90" s="206"/>
    </row>
    <row r="91" spans="1:21">
      <c r="B91" s="132"/>
      <c r="C91" s="236"/>
      <c r="D91" s="237"/>
      <c r="E91" s="299"/>
      <c r="F91" s="78"/>
      <c r="G91" s="78"/>
      <c r="H91" s="78"/>
      <c r="I91" s="158"/>
      <c r="J91" s="11"/>
      <c r="K91" s="11"/>
      <c r="L91" s="11"/>
      <c r="M91" s="11"/>
      <c r="N91" s="23"/>
      <c r="O91" s="23"/>
      <c r="P91" s="23"/>
      <c r="Q91" s="162"/>
      <c r="R91" s="23"/>
      <c r="S91" s="27"/>
      <c r="T91" s="27"/>
      <c r="U91" s="27"/>
    </row>
    <row r="92" spans="1:21">
      <c r="A92" s="86" t="s">
        <v>364</v>
      </c>
      <c r="B92" s="132"/>
      <c r="C92" s="236"/>
      <c r="D92" s="237"/>
      <c r="E92" s="299"/>
      <c r="F92" s="78"/>
      <c r="G92" s="78"/>
      <c r="H92" s="78"/>
      <c r="I92" s="158"/>
      <c r="J92" s="11"/>
      <c r="K92" s="11"/>
      <c r="L92" s="11"/>
      <c r="M92" s="11"/>
      <c r="N92" s="23"/>
      <c r="O92" s="23"/>
      <c r="P92" s="23"/>
      <c r="Q92" s="23"/>
      <c r="R92" s="23"/>
      <c r="S92" s="27"/>
      <c r="T92" s="27"/>
      <c r="U92" s="27"/>
    </row>
    <row r="93" spans="1:21">
      <c r="A93" s="86"/>
      <c r="B93" s="138" t="s">
        <v>352</v>
      </c>
      <c r="C93" s="236">
        <f>D93+E93</f>
        <v>0</v>
      </c>
      <c r="D93" s="448"/>
      <c r="E93" s="298"/>
      <c r="F93" s="152" t="e">
        <f>E93/$C$6</f>
        <v>#DIV/0!</v>
      </c>
      <c r="G93" s="162" t="e">
        <f>E93/($C$7+$C$9)</f>
        <v>#DIV/0!</v>
      </c>
      <c r="H93" s="163" t="e">
        <f>E93/$E$130</f>
        <v>#DIV/0!</v>
      </c>
      <c r="I93" s="169"/>
      <c r="J93" s="154" t="e">
        <f>(I93/E93)-1</f>
        <v>#DIV/0!</v>
      </c>
      <c r="K93" s="152" t="e">
        <f>I93/$C$6</f>
        <v>#DIV/0!</v>
      </c>
      <c r="L93" s="162" t="e">
        <f>I93/($C$7+$C$9)</f>
        <v>#DIV/0!</v>
      </c>
      <c r="M93" s="163" t="e">
        <f>I93/$I$130</f>
        <v>#DIV/0!</v>
      </c>
      <c r="N93" s="170"/>
      <c r="O93" s="154" t="e">
        <f>(N93/I93)-1</f>
        <v>#DIV/0!</v>
      </c>
      <c r="P93" s="152" t="e">
        <f>N93/$C$6</f>
        <v>#DIV/0!</v>
      </c>
      <c r="Q93" s="162" t="e">
        <f>N93/($C$7+$C$9)</f>
        <v>#DIV/0!</v>
      </c>
      <c r="R93" s="163" t="e">
        <f>N93/$N$130</f>
        <v>#DIV/0!</v>
      </c>
      <c r="S93" s="206"/>
      <c r="T93" s="206">
        <f>E93</f>
        <v>0</v>
      </c>
      <c r="U93" s="206"/>
    </row>
    <row r="94" spans="1:21">
      <c r="A94" s="86"/>
      <c r="B94" s="138" t="s">
        <v>353</v>
      </c>
      <c r="C94" s="236">
        <f>D94+E94</f>
        <v>0</v>
      </c>
      <c r="D94" s="448"/>
      <c r="E94" s="298"/>
      <c r="F94" s="152" t="e">
        <f>E94/$C$6</f>
        <v>#DIV/0!</v>
      </c>
      <c r="G94" s="162" t="e">
        <f>E94/($C$7+$C$9)</f>
        <v>#DIV/0!</v>
      </c>
      <c r="H94" s="163" t="e">
        <f>E94/$E$130</f>
        <v>#DIV/0!</v>
      </c>
      <c r="I94" s="169"/>
      <c r="J94" s="154" t="e">
        <f>(I94/E94)-1</f>
        <v>#DIV/0!</v>
      </c>
      <c r="K94" s="152" t="e">
        <f>I94/$C$6</f>
        <v>#DIV/0!</v>
      </c>
      <c r="L94" s="162" t="e">
        <f>I94/($C$7+$C$9)</f>
        <v>#DIV/0!</v>
      </c>
      <c r="M94" s="163" t="e">
        <f>I94/$I$130</f>
        <v>#DIV/0!</v>
      </c>
      <c r="N94" s="170"/>
      <c r="O94" s="154" t="e">
        <f>(N94/I94)-1</f>
        <v>#DIV/0!</v>
      </c>
      <c r="P94" s="152" t="e">
        <f>N94/$C$6</f>
        <v>#DIV/0!</v>
      </c>
      <c r="Q94" s="162" t="e">
        <f>N94/($C$7+$C$9)</f>
        <v>#DIV/0!</v>
      </c>
      <c r="R94" s="163" t="e">
        <f>N94/$N$130</f>
        <v>#DIV/0!</v>
      </c>
      <c r="S94" s="206"/>
      <c r="T94" s="206">
        <f>E94</f>
        <v>0</v>
      </c>
      <c r="U94" s="206"/>
    </row>
    <row r="95" spans="1:21">
      <c r="A95" s="86"/>
      <c r="B95" s="138" t="s">
        <v>362</v>
      </c>
      <c r="C95" s="236">
        <f>D95+E95</f>
        <v>0</v>
      </c>
      <c r="D95" s="448"/>
      <c r="E95" s="298"/>
      <c r="F95" s="152" t="e">
        <f>E95/$C$6</f>
        <v>#DIV/0!</v>
      </c>
      <c r="G95" s="162" t="e">
        <f>E95/($C$7+$C$9)</f>
        <v>#DIV/0!</v>
      </c>
      <c r="H95" s="163" t="e">
        <f>E95/$E$130</f>
        <v>#DIV/0!</v>
      </c>
      <c r="I95" s="169"/>
      <c r="J95" s="154" t="e">
        <f>(I95/E95)-1</f>
        <v>#DIV/0!</v>
      </c>
      <c r="K95" s="152" t="e">
        <f>I95/$C$6</f>
        <v>#DIV/0!</v>
      </c>
      <c r="L95" s="162" t="e">
        <f>I95/($C$7+$C$9)</f>
        <v>#DIV/0!</v>
      </c>
      <c r="M95" s="163" t="e">
        <f>I95/$I$130</f>
        <v>#DIV/0!</v>
      </c>
      <c r="N95" s="170"/>
      <c r="O95" s="154" t="e">
        <f>(N95/I95)-1</f>
        <v>#DIV/0!</v>
      </c>
      <c r="P95" s="152" t="e">
        <f>N95/$C$6</f>
        <v>#DIV/0!</v>
      </c>
      <c r="Q95" s="162" t="e">
        <f>N95/($C$7+$C$9)</f>
        <v>#DIV/0!</v>
      </c>
      <c r="R95" s="163" t="e">
        <f>N95/$N$130</f>
        <v>#DIV/0!</v>
      </c>
      <c r="S95" s="206"/>
      <c r="T95" s="206">
        <f>E95</f>
        <v>0</v>
      </c>
      <c r="U95" s="206"/>
    </row>
    <row r="96" spans="1:21">
      <c r="A96" s="86"/>
      <c r="B96" s="132"/>
      <c r="C96" s="236"/>
      <c r="D96" s="237"/>
      <c r="E96" s="300"/>
      <c r="F96" s="78"/>
      <c r="G96" s="78"/>
      <c r="H96" s="78"/>
      <c r="I96" s="158"/>
      <c r="J96" s="11"/>
      <c r="K96" s="11"/>
      <c r="L96" s="11"/>
      <c r="M96" s="11"/>
      <c r="N96" s="23"/>
      <c r="O96" s="23"/>
      <c r="P96" s="23"/>
      <c r="Q96" s="23"/>
      <c r="R96" s="23"/>
      <c r="S96" s="27"/>
      <c r="T96" s="27"/>
      <c r="U96" s="27"/>
    </row>
    <row r="97" spans="1:21">
      <c r="A97" s="86" t="s">
        <v>368</v>
      </c>
      <c r="B97" s="132"/>
      <c r="C97" s="236"/>
      <c r="D97" s="237"/>
      <c r="E97" s="300"/>
      <c r="F97" s="78"/>
      <c r="G97" s="78"/>
      <c r="H97" s="78"/>
      <c r="I97" s="158"/>
      <c r="J97" s="11"/>
      <c r="K97" s="11"/>
      <c r="L97" s="11"/>
      <c r="M97" s="11"/>
      <c r="N97" s="23"/>
      <c r="O97" s="23"/>
      <c r="P97" s="23"/>
      <c r="Q97" s="23"/>
      <c r="R97" s="23"/>
      <c r="S97" s="27"/>
      <c r="T97" s="27"/>
      <c r="U97" s="27"/>
    </row>
    <row r="98" spans="1:21">
      <c r="B98" s="138" t="s">
        <v>348</v>
      </c>
      <c r="C98" s="236">
        <f>D98+E98</f>
        <v>0</v>
      </c>
      <c r="D98" s="448"/>
      <c r="E98" s="298"/>
      <c r="F98" s="152" t="e">
        <f>E98/$C$6</f>
        <v>#DIV/0!</v>
      </c>
      <c r="G98" s="162" t="e">
        <f>E98/($C$7+$C$9)</f>
        <v>#DIV/0!</v>
      </c>
      <c r="H98" s="163" t="e">
        <f>E98/$E$130</f>
        <v>#DIV/0!</v>
      </c>
      <c r="I98" s="169"/>
      <c r="J98" s="154" t="e">
        <f>(I98/E98)-1</f>
        <v>#DIV/0!</v>
      </c>
      <c r="K98" s="152" t="e">
        <f>I98/$C$6</f>
        <v>#DIV/0!</v>
      </c>
      <c r="L98" s="162" t="e">
        <f>I98/($C$7+$C$9)</f>
        <v>#DIV/0!</v>
      </c>
      <c r="M98" s="163" t="e">
        <f>I98/$I$130</f>
        <v>#DIV/0!</v>
      </c>
      <c r="N98" s="170"/>
      <c r="O98" s="154" t="e">
        <f>(N98/I98)-1</f>
        <v>#DIV/0!</v>
      </c>
      <c r="P98" s="152" t="e">
        <f>N98/$C$6</f>
        <v>#DIV/0!</v>
      </c>
      <c r="Q98" s="162" t="e">
        <f>N98/($C$7+$C$9)</f>
        <v>#DIV/0!</v>
      </c>
      <c r="R98" s="163" t="e">
        <f>N98/$N$130</f>
        <v>#DIV/0!</v>
      </c>
      <c r="S98" s="206"/>
      <c r="T98" s="126"/>
      <c r="U98" s="206"/>
    </row>
    <row r="99" spans="1:21">
      <c r="B99" s="138" t="s">
        <v>369</v>
      </c>
      <c r="C99" s="236">
        <f>D99+E99</f>
        <v>0</v>
      </c>
      <c r="D99" s="448"/>
      <c r="E99" s="298"/>
      <c r="F99" s="152" t="e">
        <f>E99/$C$6</f>
        <v>#DIV/0!</v>
      </c>
      <c r="G99" s="162" t="e">
        <f>E99/($C$7+$C$9)</f>
        <v>#DIV/0!</v>
      </c>
      <c r="H99" s="163" t="e">
        <f>E99/$E$130</f>
        <v>#DIV/0!</v>
      </c>
      <c r="I99" s="169"/>
      <c r="J99" s="154" t="e">
        <f>(I99/E99)-1</f>
        <v>#DIV/0!</v>
      </c>
      <c r="K99" s="152" t="e">
        <f>I99/$C$6</f>
        <v>#DIV/0!</v>
      </c>
      <c r="L99" s="162" t="e">
        <f>I99/($C$7+$C$9)</f>
        <v>#DIV/0!</v>
      </c>
      <c r="M99" s="163" t="e">
        <f>I99/$I$130</f>
        <v>#DIV/0!</v>
      </c>
      <c r="N99" s="170"/>
      <c r="O99" s="154" t="e">
        <f>(N99/I99)-1</f>
        <v>#DIV/0!</v>
      </c>
      <c r="P99" s="152" t="e">
        <f>N99/$C$6</f>
        <v>#DIV/0!</v>
      </c>
      <c r="Q99" s="162" t="e">
        <f>N99/($C$7+$C$9)</f>
        <v>#DIV/0!</v>
      </c>
      <c r="R99" s="163" t="e">
        <f>N99/$N$130</f>
        <v>#DIV/0!</v>
      </c>
      <c r="S99" s="206"/>
      <c r="T99" s="126"/>
      <c r="U99" s="206"/>
    </row>
    <row r="100" spans="1:21">
      <c r="B100" s="138"/>
      <c r="C100" s="243"/>
      <c r="D100" s="449"/>
      <c r="E100" s="300"/>
      <c r="F100" s="78"/>
      <c r="G100" s="78"/>
      <c r="H100" s="78"/>
      <c r="I100" s="158"/>
      <c r="J100" s="11"/>
      <c r="K100" s="11"/>
      <c r="L100" s="11"/>
      <c r="M100" s="11"/>
      <c r="N100" s="23"/>
      <c r="O100" s="23"/>
      <c r="P100" s="23"/>
      <c r="Q100" s="23"/>
      <c r="R100" s="23"/>
      <c r="S100" s="27"/>
      <c r="U100" s="27"/>
    </row>
    <row r="101" spans="1:21">
      <c r="A101" s="86" t="s">
        <v>170</v>
      </c>
      <c r="B101" s="132"/>
      <c r="C101" s="236"/>
      <c r="D101" s="237"/>
      <c r="E101" s="300"/>
      <c r="F101" s="78"/>
      <c r="G101" s="78"/>
      <c r="H101" s="78"/>
      <c r="I101" s="158"/>
      <c r="J101" s="11"/>
      <c r="K101" s="11"/>
      <c r="L101" s="11"/>
      <c r="M101" s="11"/>
      <c r="N101" s="23"/>
      <c r="O101" s="23"/>
      <c r="P101" s="23"/>
      <c r="Q101" s="23"/>
      <c r="R101" s="23"/>
      <c r="S101" s="27"/>
      <c r="T101" s="27"/>
      <c r="U101" s="27"/>
    </row>
    <row r="102" spans="1:21">
      <c r="B102" s="139" t="s">
        <v>370</v>
      </c>
      <c r="C102" s="236">
        <f>D102+E102</f>
        <v>0</v>
      </c>
      <c r="D102" s="450"/>
      <c r="E102" s="298"/>
      <c r="F102" s="152" t="e">
        <f>E102/$C$6</f>
        <v>#DIV/0!</v>
      </c>
      <c r="G102" s="162" t="e">
        <f>E102/($C$7+$C$9)</f>
        <v>#DIV/0!</v>
      </c>
      <c r="H102" s="163" t="e">
        <f>E102/$E$130</f>
        <v>#DIV/0!</v>
      </c>
      <c r="I102" s="169"/>
      <c r="J102" s="154" t="e">
        <f>(I102/E102)-1</f>
        <v>#DIV/0!</v>
      </c>
      <c r="K102" s="152" t="e">
        <f>I102/$C$6</f>
        <v>#DIV/0!</v>
      </c>
      <c r="L102" s="162" t="e">
        <f>I102/($C$7+$C$9)</f>
        <v>#DIV/0!</v>
      </c>
      <c r="M102" s="163" t="e">
        <f>I102/$I$130</f>
        <v>#DIV/0!</v>
      </c>
      <c r="N102" s="170"/>
      <c r="O102" s="154" t="e">
        <f>(N102/I102)-1</f>
        <v>#DIV/0!</v>
      </c>
      <c r="P102" s="152" t="e">
        <f>N102/$C$6</f>
        <v>#DIV/0!</v>
      </c>
      <c r="Q102" s="162" t="e">
        <f>N102/($C$7+$C$9)</f>
        <v>#DIV/0!</v>
      </c>
      <c r="R102" s="163" t="e">
        <f>N102/$N$130</f>
        <v>#DIV/0!</v>
      </c>
      <c r="S102" s="206"/>
      <c r="T102" s="206">
        <f>E102</f>
        <v>0</v>
      </c>
      <c r="U102" s="206"/>
    </row>
    <row r="103" spans="1:21">
      <c r="B103" s="139" t="s">
        <v>358</v>
      </c>
      <c r="C103" s="236">
        <f>D103+E103</f>
        <v>0</v>
      </c>
      <c r="D103" s="450"/>
      <c r="E103" s="298"/>
      <c r="F103" s="152" t="e">
        <f>E103/$C$6</f>
        <v>#DIV/0!</v>
      </c>
      <c r="G103" s="162" t="e">
        <f>E103/($C$7+$C$9)</f>
        <v>#DIV/0!</v>
      </c>
      <c r="H103" s="163" t="e">
        <f>E103/$E$130</f>
        <v>#DIV/0!</v>
      </c>
      <c r="I103" s="169"/>
      <c r="J103" s="154" t="e">
        <f>(I103/E103)-1</f>
        <v>#DIV/0!</v>
      </c>
      <c r="K103" s="152" t="e">
        <f>I103/$C$6</f>
        <v>#DIV/0!</v>
      </c>
      <c r="L103" s="162" t="e">
        <f>I103/($C$7+$C$9)</f>
        <v>#DIV/0!</v>
      </c>
      <c r="M103" s="163" t="e">
        <f>I103/$I$130</f>
        <v>#DIV/0!</v>
      </c>
      <c r="N103" s="170"/>
      <c r="O103" s="154" t="e">
        <f>(N103/I103)-1</f>
        <v>#DIV/0!</v>
      </c>
      <c r="P103" s="152" t="e">
        <f>N103/$C$6</f>
        <v>#DIV/0!</v>
      </c>
      <c r="Q103" s="162" t="e">
        <f>N103/($C$7+$C$9)</f>
        <v>#DIV/0!</v>
      </c>
      <c r="R103" s="163" t="e">
        <f>N103/$N$130</f>
        <v>#DIV/0!</v>
      </c>
      <c r="S103" s="206"/>
      <c r="T103" s="206">
        <f>E103</f>
        <v>0</v>
      </c>
      <c r="U103" s="206"/>
    </row>
    <row r="104" spans="1:21">
      <c r="B104" s="139" t="s">
        <v>359</v>
      </c>
      <c r="C104" s="236">
        <f>D104+E104</f>
        <v>0</v>
      </c>
      <c r="D104" s="450"/>
      <c r="E104" s="298"/>
      <c r="F104" s="152" t="e">
        <f>E104/$C$6</f>
        <v>#DIV/0!</v>
      </c>
      <c r="G104" s="162" t="e">
        <f>E104/($C$7+$C$9)</f>
        <v>#DIV/0!</v>
      </c>
      <c r="H104" s="163" t="e">
        <f>E104/$E$130</f>
        <v>#DIV/0!</v>
      </c>
      <c r="I104" s="169"/>
      <c r="J104" s="154" t="e">
        <f>(I104/E104)-1</f>
        <v>#DIV/0!</v>
      </c>
      <c r="K104" s="152" t="e">
        <f>I104/$C$6</f>
        <v>#DIV/0!</v>
      </c>
      <c r="L104" s="162" t="e">
        <f>I104/($C$7+$C$9)</f>
        <v>#DIV/0!</v>
      </c>
      <c r="M104" s="163" t="e">
        <f>I104/$I$130</f>
        <v>#DIV/0!</v>
      </c>
      <c r="N104" s="170"/>
      <c r="O104" s="154" t="e">
        <f>(N104/I104)-1</f>
        <v>#DIV/0!</v>
      </c>
      <c r="P104" s="152" t="e">
        <f>N104/$C$6</f>
        <v>#DIV/0!</v>
      </c>
      <c r="Q104" s="162" t="e">
        <f>N104/($C$7+$C$9)</f>
        <v>#DIV/0!</v>
      </c>
      <c r="R104" s="163" t="e">
        <f>N104/$N$130</f>
        <v>#DIV/0!</v>
      </c>
      <c r="S104" s="206"/>
      <c r="T104" s="206">
        <f>E104</f>
        <v>0</v>
      </c>
      <c r="U104" s="206"/>
    </row>
    <row r="105" spans="1:21">
      <c r="B105" s="139"/>
      <c r="C105" s="244"/>
      <c r="D105" s="245"/>
      <c r="E105" s="300"/>
      <c r="F105" s="78"/>
      <c r="G105" s="78"/>
      <c r="H105" s="78"/>
      <c r="I105" s="158"/>
      <c r="J105" s="11"/>
      <c r="K105" s="11"/>
      <c r="L105" s="11"/>
      <c r="M105" s="11"/>
      <c r="N105" s="23"/>
      <c r="O105" s="23"/>
      <c r="P105" s="23"/>
      <c r="Q105" s="23"/>
      <c r="R105" s="23"/>
      <c r="S105" s="27"/>
      <c r="T105" s="27"/>
      <c r="U105" s="27"/>
    </row>
    <row r="106" spans="1:21">
      <c r="A106" s="85" t="s">
        <v>327</v>
      </c>
      <c r="B106" s="132"/>
      <c r="C106" s="236"/>
      <c r="D106" s="237"/>
      <c r="E106" s="300"/>
      <c r="F106" s="78"/>
      <c r="G106" s="78"/>
      <c r="H106" s="78"/>
      <c r="I106" s="158"/>
      <c r="J106" s="11"/>
      <c r="K106" s="11"/>
      <c r="L106" s="11"/>
      <c r="M106" s="11"/>
      <c r="N106" s="23"/>
      <c r="O106" s="23"/>
      <c r="P106" s="23"/>
      <c r="Q106" s="23"/>
      <c r="R106" s="23"/>
      <c r="S106" s="27"/>
      <c r="T106" s="27"/>
      <c r="U106" s="27"/>
    </row>
    <row r="107" spans="1:21">
      <c r="B107" s="138" t="s">
        <v>285</v>
      </c>
      <c r="C107" s="236">
        <f>D107+E107</f>
        <v>0</v>
      </c>
      <c r="D107" s="448"/>
      <c r="E107" s="298"/>
      <c r="F107" s="152" t="e">
        <f>E107/$C$6</f>
        <v>#DIV/0!</v>
      </c>
      <c r="G107" s="162" t="e">
        <f>E107/($C$7+$C$9)</f>
        <v>#DIV/0!</v>
      </c>
      <c r="H107" s="163" t="e">
        <f>E107/$E$130</f>
        <v>#DIV/0!</v>
      </c>
      <c r="I107" s="169"/>
      <c r="J107" s="154" t="e">
        <f>(I107/E107)-1</f>
        <v>#DIV/0!</v>
      </c>
      <c r="K107" s="152" t="e">
        <f>I107/$C$6</f>
        <v>#DIV/0!</v>
      </c>
      <c r="L107" s="162" t="e">
        <f>I107/($C$7+$C$9)</f>
        <v>#DIV/0!</v>
      </c>
      <c r="M107" s="163" t="e">
        <f>I107/$I$130</f>
        <v>#DIV/0!</v>
      </c>
      <c r="N107" s="170"/>
      <c r="O107" s="154" t="e">
        <f>(N107/I107)-1</f>
        <v>#DIV/0!</v>
      </c>
      <c r="P107" s="152" t="e">
        <f>N107/$C$6</f>
        <v>#DIV/0!</v>
      </c>
      <c r="Q107" s="162" t="e">
        <f>N107/($C$7+$C$9)</f>
        <v>#DIV/0!</v>
      </c>
      <c r="R107" s="163" t="e">
        <f>N107/$N$130</f>
        <v>#DIV/0!</v>
      </c>
      <c r="S107" s="206"/>
      <c r="T107" s="126"/>
      <c r="U107" s="206"/>
    </row>
    <row r="108" spans="1:21">
      <c r="B108" s="138" t="s">
        <v>361</v>
      </c>
      <c r="C108" s="236">
        <f>D108+E108</f>
        <v>0</v>
      </c>
      <c r="D108" s="448"/>
      <c r="E108" s="298"/>
      <c r="F108" s="152" t="e">
        <f>E108/$C$6</f>
        <v>#DIV/0!</v>
      </c>
      <c r="G108" s="162" t="e">
        <f>E108/($C$7+$C$9)</f>
        <v>#DIV/0!</v>
      </c>
      <c r="H108" s="163" t="e">
        <f>E108/$E$130</f>
        <v>#DIV/0!</v>
      </c>
      <c r="I108" s="169"/>
      <c r="J108" s="154" t="e">
        <f>(I108/E108)-1</f>
        <v>#DIV/0!</v>
      </c>
      <c r="K108" s="152" t="e">
        <f>I108/$C$6</f>
        <v>#DIV/0!</v>
      </c>
      <c r="L108" s="162" t="e">
        <f>I108/($C$7+$C$9)</f>
        <v>#DIV/0!</v>
      </c>
      <c r="M108" s="163" t="e">
        <f>I108/$I$130</f>
        <v>#DIV/0!</v>
      </c>
      <c r="N108" s="170"/>
      <c r="O108" s="154" t="e">
        <f>(N108/I108)-1</f>
        <v>#DIV/0!</v>
      </c>
      <c r="P108" s="152" t="e">
        <f>N108/$C$6</f>
        <v>#DIV/0!</v>
      </c>
      <c r="Q108" s="162" t="e">
        <f>N108/($C$7+$C$9)</f>
        <v>#DIV/0!</v>
      </c>
      <c r="R108" s="163" t="e">
        <f>N108/$N$130</f>
        <v>#DIV/0!</v>
      </c>
      <c r="S108" s="206"/>
      <c r="T108" s="126"/>
      <c r="U108" s="206"/>
    </row>
    <row r="109" spans="1:21">
      <c r="B109" s="139" t="s">
        <v>326</v>
      </c>
      <c r="C109" s="236">
        <f>D109+E109</f>
        <v>0</v>
      </c>
      <c r="D109" s="278"/>
      <c r="E109" s="298"/>
      <c r="F109" s="152" t="e">
        <f>E109/$C$6</f>
        <v>#DIV/0!</v>
      </c>
      <c r="G109" s="162" t="e">
        <f>E109/($C$7+$C$9)</f>
        <v>#DIV/0!</v>
      </c>
      <c r="H109" s="163" t="e">
        <f>E109/$E$130</f>
        <v>#DIV/0!</v>
      </c>
      <c r="I109" s="169"/>
      <c r="J109" s="154" t="e">
        <f>(I109/E109)-1</f>
        <v>#DIV/0!</v>
      </c>
      <c r="K109" s="152" t="e">
        <f>I109/$C$6</f>
        <v>#DIV/0!</v>
      </c>
      <c r="L109" s="162" t="e">
        <f>I109/($C$7+$C$9)</f>
        <v>#DIV/0!</v>
      </c>
      <c r="M109" s="163" t="e">
        <f>I109/$I$130</f>
        <v>#DIV/0!</v>
      </c>
      <c r="N109" s="170"/>
      <c r="O109" s="154" t="e">
        <f>(N109/I109)-1</f>
        <v>#DIV/0!</v>
      </c>
      <c r="P109" s="152" t="e">
        <f>N109/$C$6</f>
        <v>#DIV/0!</v>
      </c>
      <c r="Q109" s="162" t="e">
        <f>N109/($C$7+$C$9)</f>
        <v>#DIV/0!</v>
      </c>
      <c r="R109" s="163" t="e">
        <f>N109/$N$130</f>
        <v>#DIV/0!</v>
      </c>
      <c r="S109" s="206"/>
      <c r="T109" s="126"/>
      <c r="U109" s="206"/>
    </row>
    <row r="110" spans="1:21">
      <c r="A110" s="23"/>
      <c r="B110" s="141" t="s">
        <v>42</v>
      </c>
      <c r="C110" s="237">
        <f>D110+E110</f>
        <v>0</v>
      </c>
      <c r="D110" s="278"/>
      <c r="E110" s="298"/>
      <c r="F110" s="223" t="e">
        <f>E110/$C$6</f>
        <v>#DIV/0!</v>
      </c>
      <c r="G110" s="162" t="e">
        <f>E110/($C$7+$C$9)</f>
        <v>#DIV/0!</v>
      </c>
      <c r="H110" s="416" t="e">
        <f>E110/$E$130</f>
        <v>#DIV/0!</v>
      </c>
      <c r="I110" s="169"/>
      <c r="J110" s="417" t="e">
        <f>(I110/E110)-1</f>
        <v>#DIV/0!</v>
      </c>
      <c r="K110" s="223" t="e">
        <f>I110/$C$6</f>
        <v>#DIV/0!</v>
      </c>
      <c r="L110" s="162" t="e">
        <f>I110/($C$7+$C$9)</f>
        <v>#DIV/0!</v>
      </c>
      <c r="M110" s="416" t="e">
        <f>I110/$I$130</f>
        <v>#DIV/0!</v>
      </c>
      <c r="N110" s="170"/>
      <c r="O110" s="417" t="e">
        <f>(N110/I110)-1</f>
        <v>#DIV/0!</v>
      </c>
      <c r="P110" s="223" t="e">
        <f>N110/$C$6</f>
        <v>#DIV/0!</v>
      </c>
      <c r="Q110" s="162" t="e">
        <f>N110/($C$7+$C$9)</f>
        <v>#DIV/0!</v>
      </c>
      <c r="R110" s="416" t="e">
        <f>N110/$N$130</f>
        <v>#DIV/0!</v>
      </c>
      <c r="S110" s="206"/>
      <c r="T110" s="126"/>
      <c r="U110" s="206"/>
    </row>
    <row r="111" spans="1:21">
      <c r="A111" s="23"/>
      <c r="B111" s="141"/>
      <c r="C111" s="245"/>
      <c r="D111" s="245"/>
      <c r="E111" s="300"/>
      <c r="F111" s="78"/>
      <c r="G111" s="78"/>
      <c r="H111" s="78"/>
      <c r="I111" s="158"/>
      <c r="J111" s="11"/>
      <c r="K111" s="11"/>
      <c r="L111" s="11"/>
      <c r="M111" s="11"/>
      <c r="N111" s="23"/>
      <c r="O111" s="23"/>
      <c r="P111" s="23"/>
      <c r="Q111" s="23"/>
      <c r="R111" s="23"/>
      <c r="S111" s="27"/>
      <c r="T111" s="27"/>
      <c r="U111" s="27"/>
    </row>
    <row r="112" spans="1:21">
      <c r="A112" s="12" t="s">
        <v>137</v>
      </c>
      <c r="B112" s="135"/>
      <c r="C112" s="242"/>
      <c r="D112" s="451"/>
      <c r="E112" s="300"/>
      <c r="F112" s="78"/>
      <c r="G112" s="78"/>
      <c r="H112" s="78"/>
      <c r="I112" s="158"/>
      <c r="J112" s="11"/>
      <c r="K112" s="11"/>
      <c r="L112" s="11"/>
      <c r="M112" s="11"/>
      <c r="N112" s="23"/>
      <c r="O112" s="23"/>
      <c r="P112" s="23"/>
      <c r="Q112" s="23"/>
      <c r="R112" s="23"/>
      <c r="S112" s="27"/>
      <c r="T112" s="25"/>
      <c r="U112" s="27"/>
    </row>
    <row r="113" spans="1:21">
      <c r="B113" s="132" t="s">
        <v>138</v>
      </c>
      <c r="C113" s="236">
        <f>D113+E113</f>
        <v>0</v>
      </c>
      <c r="D113" s="275"/>
      <c r="E113" s="298"/>
      <c r="F113" s="152" t="e">
        <f>E113/$C$6</f>
        <v>#DIV/0!</v>
      </c>
      <c r="G113" s="162" t="e">
        <f>E113/($C$7+$C$9)</f>
        <v>#DIV/0!</v>
      </c>
      <c r="H113" s="163" t="e">
        <f>E113/$E$130</f>
        <v>#DIV/0!</v>
      </c>
      <c r="I113" s="169"/>
      <c r="J113" s="154" t="e">
        <f>(I113/E113)-1</f>
        <v>#DIV/0!</v>
      </c>
      <c r="K113" s="152" t="e">
        <f>I113/$C$6</f>
        <v>#DIV/0!</v>
      </c>
      <c r="L113" s="162" t="e">
        <f>I113/($C$7+$C$9)</f>
        <v>#DIV/0!</v>
      </c>
      <c r="M113" s="163" t="e">
        <f>I113/$I$130</f>
        <v>#DIV/0!</v>
      </c>
      <c r="N113" s="171"/>
      <c r="O113" s="154" t="e">
        <f>(N113/I113)-1</f>
        <v>#DIV/0!</v>
      </c>
      <c r="P113" s="152" t="e">
        <f>N113/$C$6</f>
        <v>#DIV/0!</v>
      </c>
      <c r="Q113" s="162" t="e">
        <f>N113/($C$7+$C$9)</f>
        <v>#DIV/0!</v>
      </c>
      <c r="R113" s="163" t="e">
        <f>N113/$N$130</f>
        <v>#DIV/0!</v>
      </c>
      <c r="S113" s="96"/>
      <c r="T113" s="96">
        <f>E113</f>
        <v>0</v>
      </c>
      <c r="U113" s="96"/>
    </row>
    <row r="114" spans="1:21">
      <c r="B114" s="132" t="s">
        <v>401</v>
      </c>
      <c r="C114" s="236">
        <f>D114+E114</f>
        <v>0</v>
      </c>
      <c r="D114" s="275"/>
      <c r="E114" s="298"/>
      <c r="F114" s="152" t="e">
        <f>E114/$C$6</f>
        <v>#DIV/0!</v>
      </c>
      <c r="G114" s="162" t="e">
        <f>E114/($C$7+$C$9)</f>
        <v>#DIV/0!</v>
      </c>
      <c r="H114" s="163" t="e">
        <f>E114/$E$130</f>
        <v>#DIV/0!</v>
      </c>
      <c r="I114" s="169"/>
      <c r="J114" s="154" t="e">
        <f>(I114/E114)-1</f>
        <v>#DIV/0!</v>
      </c>
      <c r="K114" s="152" t="e">
        <f>I114/$C$6</f>
        <v>#DIV/0!</v>
      </c>
      <c r="L114" s="162" t="e">
        <f>I114/($C$7+$C$9)</f>
        <v>#DIV/0!</v>
      </c>
      <c r="M114" s="163" t="e">
        <f>I114/$I$130</f>
        <v>#DIV/0!</v>
      </c>
      <c r="N114" s="170"/>
      <c r="O114" s="154" t="e">
        <f>(N114/I114)-1</f>
        <v>#DIV/0!</v>
      </c>
      <c r="P114" s="152" t="e">
        <f>N114/$C$6</f>
        <v>#DIV/0!</v>
      </c>
      <c r="Q114" s="162" t="e">
        <f>N114/($C$7+$C$9)</f>
        <v>#DIV/0!</v>
      </c>
      <c r="R114" s="163" t="e">
        <f>N114/$N$130</f>
        <v>#DIV/0!</v>
      </c>
      <c r="S114" s="206"/>
      <c r="T114" s="126"/>
      <c r="U114" s="206"/>
    </row>
    <row r="115" spans="1:21">
      <c r="B115" s="143" t="s">
        <v>139</v>
      </c>
      <c r="C115" s="236">
        <f>D115+E115</f>
        <v>0</v>
      </c>
      <c r="D115" s="275"/>
      <c r="E115" s="298"/>
      <c r="F115" s="152" t="e">
        <f>E115/$C$6</f>
        <v>#DIV/0!</v>
      </c>
      <c r="G115" s="162" t="e">
        <f>E115/($C$7+$C$9)</f>
        <v>#DIV/0!</v>
      </c>
      <c r="H115" s="163" t="e">
        <f>E115/$E$130</f>
        <v>#DIV/0!</v>
      </c>
      <c r="I115" s="169"/>
      <c r="J115" s="154" t="e">
        <f>(I115/E115)-1</f>
        <v>#DIV/0!</v>
      </c>
      <c r="K115" s="152" t="e">
        <f>I115/$C$6</f>
        <v>#DIV/0!</v>
      </c>
      <c r="L115" s="162" t="e">
        <f>I115/($C$7+$C$9)</f>
        <v>#DIV/0!</v>
      </c>
      <c r="M115" s="163" t="e">
        <f>I115/$I$130</f>
        <v>#DIV/0!</v>
      </c>
      <c r="N115" s="170"/>
      <c r="O115" s="154" t="e">
        <f>(N115/I115)-1</f>
        <v>#DIV/0!</v>
      </c>
      <c r="P115" s="152" t="e">
        <f>N115/$C$6</f>
        <v>#DIV/0!</v>
      </c>
      <c r="Q115" s="162" t="e">
        <f>N115/($C$7+$C$9)</f>
        <v>#DIV/0!</v>
      </c>
      <c r="R115" s="163" t="e">
        <f>N115/$N$130</f>
        <v>#DIV/0!</v>
      </c>
      <c r="S115" s="206"/>
      <c r="T115" s="206">
        <f>E115</f>
        <v>0</v>
      </c>
      <c r="U115" s="206"/>
    </row>
    <row r="116" spans="1:21">
      <c r="A116" s="23"/>
      <c r="B116" s="143" t="s">
        <v>139</v>
      </c>
      <c r="C116" s="237">
        <f>D116+E116</f>
        <v>0</v>
      </c>
      <c r="D116" s="275"/>
      <c r="E116" s="298"/>
      <c r="F116" s="223" t="e">
        <f>E116/$C$6</f>
        <v>#DIV/0!</v>
      </c>
      <c r="G116" s="162" t="e">
        <f>E116/($C$7+$C$9)</f>
        <v>#DIV/0!</v>
      </c>
      <c r="H116" s="416" t="e">
        <f>E116/$E$130</f>
        <v>#DIV/0!</v>
      </c>
      <c r="I116" s="169"/>
      <c r="J116" s="417" t="e">
        <f>(I116/E116)-1</f>
        <v>#DIV/0!</v>
      </c>
      <c r="K116" s="223" t="e">
        <f>I116/$C$6</f>
        <v>#DIV/0!</v>
      </c>
      <c r="L116" s="162" t="e">
        <f>I116/($C$7+$C$9)</f>
        <v>#DIV/0!</v>
      </c>
      <c r="M116" s="416" t="e">
        <f>I116/$I$130</f>
        <v>#DIV/0!</v>
      </c>
      <c r="N116" s="170"/>
      <c r="O116" s="417" t="e">
        <f>(N116/I116)-1</f>
        <v>#DIV/0!</v>
      </c>
      <c r="P116" s="223" t="e">
        <f>N116/$C$6</f>
        <v>#DIV/0!</v>
      </c>
      <c r="Q116" s="162" t="e">
        <f>N116/($C$7+$C$9)</f>
        <v>#DIV/0!</v>
      </c>
      <c r="R116" s="416" t="e">
        <f>N116/$N$130</f>
        <v>#DIV/0!</v>
      </c>
      <c r="S116" s="206"/>
      <c r="T116" s="206">
        <f>E116</f>
        <v>0</v>
      </c>
      <c r="U116" s="206"/>
    </row>
    <row r="117" spans="1:21">
      <c r="A117" s="23"/>
      <c r="B117" s="143"/>
      <c r="C117" s="237"/>
      <c r="D117" s="237"/>
      <c r="E117" s="300"/>
      <c r="F117" s="78"/>
      <c r="G117" s="78"/>
      <c r="H117" s="78"/>
      <c r="I117" s="158"/>
      <c r="J117" s="11"/>
      <c r="K117" s="11"/>
      <c r="L117" s="11"/>
      <c r="M117" s="11"/>
      <c r="N117" s="23"/>
      <c r="O117" s="23"/>
      <c r="P117" s="23"/>
      <c r="Q117" s="23"/>
      <c r="R117" s="23"/>
      <c r="S117" s="27"/>
      <c r="T117" s="27"/>
      <c r="U117" s="27"/>
    </row>
    <row r="118" spans="1:21">
      <c r="A118" s="12" t="s">
        <v>140</v>
      </c>
      <c r="B118" s="135"/>
      <c r="C118" s="242"/>
      <c r="D118" s="451"/>
      <c r="E118" s="300"/>
      <c r="F118" s="78"/>
      <c r="G118" s="78"/>
      <c r="H118" s="78"/>
      <c r="I118" s="158"/>
      <c r="J118" s="11"/>
      <c r="K118" s="11"/>
      <c r="L118" s="11"/>
      <c r="M118" s="11"/>
      <c r="N118" s="80"/>
      <c r="O118" s="23"/>
      <c r="P118" s="23"/>
      <c r="Q118" s="23"/>
      <c r="R118" s="23"/>
      <c r="S118" s="27"/>
      <c r="T118" s="25"/>
      <c r="U118" s="27"/>
    </row>
    <row r="119" spans="1:21">
      <c r="B119" s="132" t="s">
        <v>565</v>
      </c>
      <c r="C119" s="236">
        <f t="shared" ref="C119:C126" si="65">D119+E119</f>
        <v>0</v>
      </c>
      <c r="D119" s="275"/>
      <c r="E119" s="298"/>
      <c r="F119" s="152" t="e">
        <f t="shared" ref="F119:F126" si="66">E119/$C$6</f>
        <v>#DIV/0!</v>
      </c>
      <c r="G119" s="162" t="e">
        <f t="shared" ref="G119:G126" si="67">E119/($C$7+$C$9)</f>
        <v>#DIV/0!</v>
      </c>
      <c r="H119" s="163" t="e">
        <f t="shared" ref="H119:H126" si="68">E119/$E$130</f>
        <v>#DIV/0!</v>
      </c>
      <c r="I119" s="168"/>
      <c r="J119" s="154" t="e">
        <f t="shared" ref="J119:J126" si="69">(I119/E119)-1</f>
        <v>#DIV/0!</v>
      </c>
      <c r="K119" s="152" t="e">
        <f t="shared" ref="K119:K126" si="70">I119/$C$6</f>
        <v>#DIV/0!</v>
      </c>
      <c r="L119" s="162" t="e">
        <f t="shared" ref="L119:L126" si="71">I119/($C$7+$C$9)</f>
        <v>#DIV/0!</v>
      </c>
      <c r="M119" s="163" t="e">
        <f t="shared" ref="M119:M126" si="72">I119/$I$130</f>
        <v>#DIV/0!</v>
      </c>
      <c r="N119" s="171"/>
      <c r="O119" s="154" t="e">
        <f t="shared" ref="O119:O126" si="73">(N119/I119)-1</f>
        <v>#DIV/0!</v>
      </c>
      <c r="P119" s="152" t="e">
        <f t="shared" ref="P119:P126" si="74">N119/$C$6</f>
        <v>#DIV/0!</v>
      </c>
      <c r="Q119" s="162" t="e">
        <f t="shared" ref="Q119:Q126" si="75">N119/($C$7+$C$9)</f>
        <v>#DIV/0!</v>
      </c>
      <c r="R119" s="163" t="e">
        <f t="shared" ref="R119:R126" si="76">N119/$N$130</f>
        <v>#DIV/0!</v>
      </c>
      <c r="S119" s="96"/>
      <c r="T119" s="126"/>
      <c r="U119" s="96"/>
    </row>
    <row r="120" spans="1:21">
      <c r="B120" s="415" t="s">
        <v>564</v>
      </c>
      <c r="C120" s="236">
        <f>D120+E120</f>
        <v>0</v>
      </c>
      <c r="D120" s="275"/>
      <c r="E120" s="298"/>
      <c r="F120" s="152" t="e">
        <f t="shared" si="66"/>
        <v>#DIV/0!</v>
      </c>
      <c r="G120" s="162" t="e">
        <f>E120/($C$7+$C$9)</f>
        <v>#DIV/0!</v>
      </c>
      <c r="H120" s="163" t="e">
        <f>E120/$E$130</f>
        <v>#DIV/0!</v>
      </c>
      <c r="I120" s="168"/>
      <c r="J120" s="154" t="e">
        <f>(I120/E120)-1</f>
        <v>#DIV/0!</v>
      </c>
      <c r="K120" s="152" t="e">
        <f>I120/$C$6</f>
        <v>#DIV/0!</v>
      </c>
      <c r="L120" s="162" t="e">
        <f>I120/($C$7+$C$9)</f>
        <v>#DIV/0!</v>
      </c>
      <c r="M120" s="163" t="e">
        <f>I120/$I$130</f>
        <v>#DIV/0!</v>
      </c>
      <c r="N120" s="171"/>
      <c r="O120" s="154" t="e">
        <f>(N120/I120)-1</f>
        <v>#DIV/0!</v>
      </c>
      <c r="P120" s="152" t="e">
        <f>N120/$C$6</f>
        <v>#DIV/0!</v>
      </c>
      <c r="Q120" s="162" t="e">
        <f>N120/($C$7+$C$9)</f>
        <v>#DIV/0!</v>
      </c>
      <c r="R120" s="163" t="e">
        <f>N120/$N$130</f>
        <v>#DIV/0!</v>
      </c>
      <c r="S120" s="96"/>
      <c r="T120" s="126"/>
      <c r="U120" s="96"/>
    </row>
    <row r="121" spans="1:21">
      <c r="B121" s="132" t="s">
        <v>428</v>
      </c>
      <c r="C121" s="236">
        <f t="shared" si="65"/>
        <v>0</v>
      </c>
      <c r="D121" s="275"/>
      <c r="E121" s="298"/>
      <c r="F121" s="152" t="e">
        <f t="shared" si="66"/>
        <v>#DIV/0!</v>
      </c>
      <c r="G121" s="162" t="e">
        <f t="shared" si="67"/>
        <v>#DIV/0!</v>
      </c>
      <c r="H121" s="163" t="e">
        <f t="shared" si="68"/>
        <v>#DIV/0!</v>
      </c>
      <c r="I121" s="164"/>
      <c r="J121" s="154" t="e">
        <f t="shared" si="69"/>
        <v>#DIV/0!</v>
      </c>
      <c r="K121" s="152" t="e">
        <f t="shared" si="70"/>
        <v>#DIV/0!</v>
      </c>
      <c r="L121" s="162" t="e">
        <f t="shared" si="71"/>
        <v>#DIV/0!</v>
      </c>
      <c r="M121" s="163" t="e">
        <f t="shared" si="72"/>
        <v>#DIV/0!</v>
      </c>
      <c r="N121" s="170"/>
      <c r="O121" s="154" t="e">
        <f t="shared" si="73"/>
        <v>#DIV/0!</v>
      </c>
      <c r="P121" s="152" t="e">
        <f t="shared" si="74"/>
        <v>#DIV/0!</v>
      </c>
      <c r="Q121" s="162" t="e">
        <f t="shared" si="75"/>
        <v>#DIV/0!</v>
      </c>
      <c r="R121" s="163" t="e">
        <f t="shared" si="76"/>
        <v>#DIV/0!</v>
      </c>
      <c r="S121" s="206"/>
      <c r="T121" s="206">
        <f>E121</f>
        <v>0</v>
      </c>
      <c r="U121" s="206"/>
    </row>
    <row r="122" spans="1:21">
      <c r="B122" s="132" t="s">
        <v>141</v>
      </c>
      <c r="C122" s="236">
        <f t="shared" si="65"/>
        <v>0</v>
      </c>
      <c r="D122" s="275"/>
      <c r="E122" s="298"/>
      <c r="F122" s="152" t="e">
        <f t="shared" si="66"/>
        <v>#DIV/0!</v>
      </c>
      <c r="G122" s="162" t="e">
        <f t="shared" si="67"/>
        <v>#DIV/0!</v>
      </c>
      <c r="H122" s="163" t="e">
        <f t="shared" si="68"/>
        <v>#DIV/0!</v>
      </c>
      <c r="I122" s="164"/>
      <c r="J122" s="154" t="e">
        <f t="shared" si="69"/>
        <v>#DIV/0!</v>
      </c>
      <c r="K122" s="152" t="e">
        <f t="shared" si="70"/>
        <v>#DIV/0!</v>
      </c>
      <c r="L122" s="162" t="e">
        <f t="shared" si="71"/>
        <v>#DIV/0!</v>
      </c>
      <c r="M122" s="163" t="e">
        <f t="shared" si="72"/>
        <v>#DIV/0!</v>
      </c>
      <c r="N122" s="170"/>
      <c r="O122" s="154" t="e">
        <f t="shared" si="73"/>
        <v>#DIV/0!</v>
      </c>
      <c r="P122" s="152" t="e">
        <f t="shared" si="74"/>
        <v>#DIV/0!</v>
      </c>
      <c r="Q122" s="162" t="e">
        <f t="shared" si="75"/>
        <v>#DIV/0!</v>
      </c>
      <c r="R122" s="163" t="e">
        <f t="shared" si="76"/>
        <v>#DIV/0!</v>
      </c>
      <c r="S122" s="206"/>
      <c r="T122" s="206">
        <f>E122</f>
        <v>0</v>
      </c>
      <c r="U122" s="206"/>
    </row>
    <row r="123" spans="1:21">
      <c r="B123" s="132" t="s">
        <v>303</v>
      </c>
      <c r="C123" s="236">
        <f t="shared" si="65"/>
        <v>0</v>
      </c>
      <c r="D123" s="275"/>
      <c r="E123" s="298"/>
      <c r="F123" s="152" t="e">
        <f t="shared" si="66"/>
        <v>#DIV/0!</v>
      </c>
      <c r="G123" s="162" t="e">
        <f t="shared" si="67"/>
        <v>#DIV/0!</v>
      </c>
      <c r="H123" s="163" t="e">
        <f t="shared" si="68"/>
        <v>#DIV/0!</v>
      </c>
      <c r="I123" s="164"/>
      <c r="J123" s="154" t="e">
        <f t="shared" si="69"/>
        <v>#DIV/0!</v>
      </c>
      <c r="K123" s="152" t="e">
        <f t="shared" si="70"/>
        <v>#DIV/0!</v>
      </c>
      <c r="L123" s="162" t="e">
        <f t="shared" si="71"/>
        <v>#DIV/0!</v>
      </c>
      <c r="M123" s="163" t="e">
        <f t="shared" si="72"/>
        <v>#DIV/0!</v>
      </c>
      <c r="N123" s="170"/>
      <c r="O123" s="154" t="e">
        <f t="shared" si="73"/>
        <v>#DIV/0!</v>
      </c>
      <c r="P123" s="152" t="e">
        <f t="shared" si="74"/>
        <v>#DIV/0!</v>
      </c>
      <c r="Q123" s="162" t="e">
        <f t="shared" si="75"/>
        <v>#DIV/0!</v>
      </c>
      <c r="R123" s="163" t="e">
        <f t="shared" si="76"/>
        <v>#DIV/0!</v>
      </c>
      <c r="S123" s="206"/>
      <c r="T123" s="126"/>
      <c r="U123" s="206"/>
    </row>
    <row r="124" spans="1:21">
      <c r="B124" s="607" t="s">
        <v>642</v>
      </c>
      <c r="C124" s="236">
        <f t="shared" si="65"/>
        <v>0</v>
      </c>
      <c r="D124" s="275"/>
      <c r="E124" s="298"/>
      <c r="F124" s="152" t="e">
        <f t="shared" si="66"/>
        <v>#DIV/0!</v>
      </c>
      <c r="G124" s="162" t="e">
        <f t="shared" si="67"/>
        <v>#DIV/0!</v>
      </c>
      <c r="H124" s="163" t="e">
        <f t="shared" si="68"/>
        <v>#DIV/0!</v>
      </c>
      <c r="I124" s="164"/>
      <c r="J124" s="154" t="e">
        <f t="shared" si="69"/>
        <v>#DIV/0!</v>
      </c>
      <c r="K124" s="152" t="e">
        <f t="shared" si="70"/>
        <v>#DIV/0!</v>
      </c>
      <c r="L124" s="162" t="e">
        <f t="shared" si="71"/>
        <v>#DIV/0!</v>
      </c>
      <c r="M124" s="163" t="e">
        <f t="shared" si="72"/>
        <v>#DIV/0!</v>
      </c>
      <c r="N124" s="170"/>
      <c r="O124" s="154" t="e">
        <f t="shared" si="73"/>
        <v>#DIV/0!</v>
      </c>
      <c r="P124" s="152" t="e">
        <f t="shared" si="74"/>
        <v>#DIV/0!</v>
      </c>
      <c r="Q124" s="162" t="e">
        <f t="shared" si="75"/>
        <v>#DIV/0!</v>
      </c>
      <c r="R124" s="163" t="e">
        <f t="shared" si="76"/>
        <v>#DIV/0!</v>
      </c>
      <c r="S124" s="206"/>
      <c r="T124" s="126"/>
      <c r="U124" s="206"/>
    </row>
    <row r="125" spans="1:21">
      <c r="B125" s="143" t="s">
        <v>42</v>
      </c>
      <c r="C125" s="236">
        <f t="shared" si="65"/>
        <v>0</v>
      </c>
      <c r="D125" s="275"/>
      <c r="E125" s="298"/>
      <c r="F125" s="152" t="e">
        <f t="shared" si="66"/>
        <v>#DIV/0!</v>
      </c>
      <c r="G125" s="162" t="e">
        <f t="shared" si="67"/>
        <v>#DIV/0!</v>
      </c>
      <c r="H125" s="163" t="e">
        <f t="shared" si="68"/>
        <v>#DIV/0!</v>
      </c>
      <c r="I125" s="164"/>
      <c r="J125" s="154" t="e">
        <f t="shared" si="69"/>
        <v>#DIV/0!</v>
      </c>
      <c r="K125" s="152" t="e">
        <f t="shared" si="70"/>
        <v>#DIV/0!</v>
      </c>
      <c r="L125" s="162" t="e">
        <f t="shared" si="71"/>
        <v>#DIV/0!</v>
      </c>
      <c r="M125" s="163" t="e">
        <f t="shared" si="72"/>
        <v>#DIV/0!</v>
      </c>
      <c r="N125" s="170"/>
      <c r="O125" s="154" t="e">
        <f t="shared" si="73"/>
        <v>#DIV/0!</v>
      </c>
      <c r="P125" s="152" t="e">
        <f t="shared" si="74"/>
        <v>#DIV/0!</v>
      </c>
      <c r="Q125" s="162" t="e">
        <f t="shared" si="75"/>
        <v>#DIV/0!</v>
      </c>
      <c r="R125" s="163" t="e">
        <f t="shared" si="76"/>
        <v>#DIV/0!</v>
      </c>
      <c r="S125" s="206"/>
      <c r="T125" s="206">
        <f>E125</f>
        <v>0</v>
      </c>
      <c r="U125" s="206"/>
    </row>
    <row r="126" spans="1:21">
      <c r="A126" s="23"/>
      <c r="B126" s="143" t="s">
        <v>42</v>
      </c>
      <c r="C126" s="237">
        <f t="shared" si="65"/>
        <v>0</v>
      </c>
      <c r="D126" s="275"/>
      <c r="E126" s="298"/>
      <c r="F126" s="223" t="e">
        <f t="shared" si="66"/>
        <v>#DIV/0!</v>
      </c>
      <c r="G126" s="162" t="e">
        <f t="shared" si="67"/>
        <v>#DIV/0!</v>
      </c>
      <c r="H126" s="416" t="e">
        <f t="shared" si="68"/>
        <v>#DIV/0!</v>
      </c>
      <c r="I126" s="164"/>
      <c r="J126" s="417" t="e">
        <f t="shared" si="69"/>
        <v>#DIV/0!</v>
      </c>
      <c r="K126" s="223" t="e">
        <f t="shared" si="70"/>
        <v>#DIV/0!</v>
      </c>
      <c r="L126" s="162" t="e">
        <f t="shared" si="71"/>
        <v>#DIV/0!</v>
      </c>
      <c r="M126" s="416" t="e">
        <f t="shared" si="72"/>
        <v>#DIV/0!</v>
      </c>
      <c r="N126" s="170"/>
      <c r="O126" s="417" t="e">
        <f t="shared" si="73"/>
        <v>#DIV/0!</v>
      </c>
      <c r="P126" s="223" t="e">
        <f t="shared" si="74"/>
        <v>#DIV/0!</v>
      </c>
      <c r="Q126" s="162" t="e">
        <f t="shared" si="75"/>
        <v>#DIV/0!</v>
      </c>
      <c r="R126" s="416" t="e">
        <f t="shared" si="76"/>
        <v>#DIV/0!</v>
      </c>
      <c r="S126" s="206"/>
      <c r="T126" s="206">
        <f>E126</f>
        <v>0</v>
      </c>
      <c r="U126" s="206"/>
    </row>
    <row r="127" spans="1:21">
      <c r="A127" s="23"/>
      <c r="B127" s="143"/>
      <c r="C127" s="237"/>
      <c r="D127" s="237"/>
      <c r="E127" s="299"/>
      <c r="F127" s="78"/>
      <c r="G127" s="78"/>
      <c r="H127" s="78"/>
      <c r="I127" s="11"/>
      <c r="J127" s="11"/>
      <c r="K127" s="11"/>
      <c r="L127" s="11"/>
      <c r="M127" s="11"/>
      <c r="N127" s="23"/>
      <c r="O127" s="23"/>
      <c r="P127" s="23"/>
      <c r="Q127" s="23"/>
      <c r="R127" s="23"/>
      <c r="S127" s="27"/>
      <c r="T127" s="27"/>
      <c r="U127" s="27"/>
    </row>
    <row r="128" spans="1:21">
      <c r="B128" s="146" t="s">
        <v>24</v>
      </c>
      <c r="C128" s="238">
        <f>SUM(C53:C127)</f>
        <v>0</v>
      </c>
      <c r="D128" s="238">
        <f>SUM(D53:D127)</f>
        <v>0</v>
      </c>
      <c r="E128" s="296">
        <f>SUM(E53:E127)</f>
        <v>0</v>
      </c>
      <c r="F128" s="152" t="e">
        <f>E128/$C$6</f>
        <v>#DIV/0!</v>
      </c>
      <c r="G128" s="162" t="e">
        <f>E128/($C$7+$C$9)</f>
        <v>#DIV/0!</v>
      </c>
      <c r="H128" s="163" t="e">
        <f>E128/$E$130</f>
        <v>#DIV/0!</v>
      </c>
      <c r="I128" s="37">
        <f>SUM(I53:I127)</f>
        <v>0</v>
      </c>
      <c r="J128" s="154" t="e">
        <f>(I128/E128)-1</f>
        <v>#DIV/0!</v>
      </c>
      <c r="K128" s="152" t="e">
        <f>I128/$C$6</f>
        <v>#DIV/0!</v>
      </c>
      <c r="L128" s="162" t="e">
        <f>I128/($C$7+$C$9)</f>
        <v>#DIV/0!</v>
      </c>
      <c r="M128" s="163" t="e">
        <f>I128/$I$130</f>
        <v>#DIV/0!</v>
      </c>
      <c r="N128" s="37">
        <f>SUM(N53:N127)</f>
        <v>0</v>
      </c>
      <c r="O128" s="154" t="e">
        <f>(N128/I128)-1</f>
        <v>#DIV/0!</v>
      </c>
      <c r="P128" s="152" t="e">
        <f>N128/$C$6</f>
        <v>#DIV/0!</v>
      </c>
      <c r="Q128" s="162" t="e">
        <f>N128/($C$7+$C$9)</f>
        <v>#DIV/0!</v>
      </c>
      <c r="R128" s="163" t="e">
        <f>N128/$N$130</f>
        <v>#DIV/0!</v>
      </c>
      <c r="S128" s="37"/>
      <c r="T128" s="37">
        <f>SUM(T53:T126)</f>
        <v>0</v>
      </c>
      <c r="U128" s="37">
        <f>SUM(U53:U126)</f>
        <v>0</v>
      </c>
    </row>
    <row r="129" spans="1:21">
      <c r="B129" s="132"/>
      <c r="C129" s="132"/>
      <c r="D129" s="132"/>
      <c r="E129" s="205"/>
      <c r="S129" s="70"/>
    </row>
    <row r="130" spans="1:21">
      <c r="B130" s="135" t="s">
        <v>177</v>
      </c>
      <c r="C130" s="267">
        <f>C128+C50+C25</f>
        <v>0</v>
      </c>
      <c r="D130" s="267">
        <f>D128+D50+D25</f>
        <v>0</v>
      </c>
      <c r="E130" s="296">
        <f>E25+E128+E50</f>
        <v>0</v>
      </c>
      <c r="F130" s="268" t="e">
        <f>E130/$C$6</f>
        <v>#DIV/0!</v>
      </c>
      <c r="G130" s="162" t="e">
        <f>E130/($C$7+$C$9)</f>
        <v>#DIV/0!</v>
      </c>
      <c r="H130" s="163" t="e">
        <f>E130/$E$130</f>
        <v>#DIV/0!</v>
      </c>
      <c r="I130" s="37">
        <f>I25+I128+I50</f>
        <v>0</v>
      </c>
      <c r="J130" s="154" t="e">
        <f>(I130/E130)-1</f>
        <v>#DIV/0!</v>
      </c>
      <c r="K130" s="152" t="e">
        <f>I130/$C$6</f>
        <v>#DIV/0!</v>
      </c>
      <c r="L130" s="162" t="e">
        <f>I130/($C$7+$C$9)</f>
        <v>#DIV/0!</v>
      </c>
      <c r="M130" s="163" t="e">
        <f>I130/$I$130</f>
        <v>#DIV/0!</v>
      </c>
      <c r="N130" s="37">
        <f>N25+N128+N50</f>
        <v>0</v>
      </c>
      <c r="O130" s="154" t="e">
        <f>(N130/I130)-1</f>
        <v>#DIV/0!</v>
      </c>
      <c r="P130" s="152" t="e">
        <f>N130/$C$6</f>
        <v>#DIV/0!</v>
      </c>
      <c r="Q130" s="162" t="e">
        <f>N130/($C$7+$C$9)</f>
        <v>#DIV/0!</v>
      </c>
      <c r="R130" s="163" t="e">
        <f>N130/$N$130</f>
        <v>#DIV/0!</v>
      </c>
      <c r="S130" s="37"/>
      <c r="T130" s="37">
        <f>T50+T128+T25</f>
        <v>0</v>
      </c>
      <c r="U130" s="37">
        <f>U50+U128+U25</f>
        <v>0</v>
      </c>
    </row>
    <row r="131" spans="1:21">
      <c r="B131" s="135"/>
      <c r="C131" s="246"/>
      <c r="D131" s="246"/>
      <c r="E131" s="37"/>
      <c r="F131" s="152"/>
      <c r="G131" s="162"/>
      <c r="H131" s="163"/>
      <c r="I131" s="37"/>
      <c r="J131" s="154"/>
      <c r="K131" s="152"/>
      <c r="L131" s="162"/>
      <c r="M131" s="163"/>
      <c r="N131" s="37"/>
      <c r="O131" s="154"/>
      <c r="P131" s="152"/>
      <c r="Q131" s="162"/>
      <c r="R131" s="163"/>
      <c r="S131" s="37"/>
      <c r="T131" s="37"/>
      <c r="U131" s="37"/>
    </row>
    <row r="132" spans="1:21">
      <c r="A132" t="s">
        <v>375</v>
      </c>
      <c r="B132" s="132"/>
      <c r="C132" s="116" t="str">
        <f>IF(+Sources!C65-E130=0," ",+Sources!C65-E130)</f>
        <v xml:space="preserve"> </v>
      </c>
      <c r="D132" s="132"/>
      <c r="F132" s="116"/>
      <c r="G132" s="116"/>
      <c r="H132" s="116"/>
      <c r="I132" s="116"/>
      <c r="J132" s="116"/>
      <c r="K132" s="116"/>
      <c r="L132" s="116"/>
      <c r="M132" s="116"/>
      <c r="N132" s="116"/>
    </row>
    <row r="133" spans="1:21">
      <c r="A133" t="s">
        <v>178</v>
      </c>
      <c r="B133" s="132"/>
      <c r="C133" s="533" t="e">
        <f>(E76+E77)/(E130-E76-E77-E119-E120-E123)</f>
        <v>#DIV/0!</v>
      </c>
      <c r="D133" s="132"/>
      <c r="F133" s="140"/>
      <c r="G133" s="140"/>
      <c r="H133" s="140"/>
      <c r="I133" s="533" t="e">
        <f>(I76+I77)/(I130-I76-I77-I119-I120-I123)</f>
        <v>#DIV/0!</v>
      </c>
      <c r="J133" s="140"/>
      <c r="K133" s="140"/>
      <c r="L133" s="140"/>
      <c r="M133" s="140"/>
      <c r="N133" s="528" t="e">
        <f>(N76+N77)/(N130-N76-N77-N119-N120-N123)</f>
        <v>#DIV/0!</v>
      </c>
    </row>
    <row r="134" spans="1:21">
      <c r="B134" s="132"/>
      <c r="C134" s="132"/>
      <c r="D134" s="132"/>
    </row>
    <row r="135" spans="1:21">
      <c r="B135" s="147"/>
      <c r="C135" s="147"/>
      <c r="D135" s="147"/>
      <c r="T135" s="6" t="s">
        <v>179</v>
      </c>
    </row>
    <row r="136" spans="1:21">
      <c r="B136" s="132"/>
      <c r="C136" s="132"/>
      <c r="D136" s="132"/>
      <c r="E136" s="14"/>
    </row>
    <row r="137" spans="1:21">
      <c r="B137" s="132"/>
      <c r="C137" s="132"/>
      <c r="D137" s="132"/>
      <c r="H137" s="2" t="s">
        <v>262</v>
      </c>
      <c r="S137" s="2" t="s">
        <v>262</v>
      </c>
      <c r="T137" s="25">
        <f>U130</f>
        <v>0</v>
      </c>
    </row>
    <row r="138" spans="1:21">
      <c r="B138" s="132"/>
      <c r="C138" s="132"/>
      <c r="D138" s="132"/>
      <c r="E138" s="14"/>
      <c r="H138" s="2" t="s">
        <v>180</v>
      </c>
      <c r="S138" s="2" t="s">
        <v>180</v>
      </c>
      <c r="T138" s="25">
        <f>E130</f>
        <v>0</v>
      </c>
    </row>
    <row r="139" spans="1:21">
      <c r="B139" s="132"/>
      <c r="C139" s="132"/>
      <c r="D139" s="132"/>
      <c r="H139" s="2" t="s">
        <v>261</v>
      </c>
      <c r="S139" s="2" t="s">
        <v>261</v>
      </c>
      <c r="T139" s="26" t="e">
        <f>T137/T138</f>
        <v>#DIV/0!</v>
      </c>
    </row>
    <row r="140" spans="1:21">
      <c r="B140" s="132"/>
      <c r="C140" s="132"/>
      <c r="D140" s="132"/>
    </row>
    <row r="141" spans="1:21">
      <c r="B141" s="132"/>
      <c r="C141" s="132"/>
      <c r="D141" s="132"/>
    </row>
    <row r="142" spans="1:21">
      <c r="B142" s="132"/>
      <c r="C142" s="132"/>
      <c r="D142" s="132"/>
    </row>
    <row r="143" spans="1:21">
      <c r="B143" s="132"/>
      <c r="C143" s="132"/>
      <c r="D143" s="132"/>
    </row>
    <row r="144" spans="1:21">
      <c r="B144" s="132"/>
      <c r="C144" s="132"/>
      <c r="D144" s="132"/>
    </row>
    <row r="145" spans="2:4">
      <c r="B145" s="132"/>
      <c r="C145" s="132"/>
      <c r="D145" s="132"/>
    </row>
    <row r="146" spans="2:4">
      <c r="B146" s="132"/>
      <c r="C146" s="132"/>
      <c r="D146" s="132"/>
    </row>
    <row r="147" spans="2:4">
      <c r="B147" s="132"/>
      <c r="C147" s="132"/>
      <c r="D147" s="132"/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gridLines="1"/>
  <pageMargins left="0.66" right="0.38" top="0.52" bottom="0.5" header="0.5" footer="0.36"/>
  <pageSetup scale="56" firstPageNumber="2" fitToHeight="2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81" max="20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62"/>
  <sheetViews>
    <sheetView workbookViewId="0">
      <pane ySplit="8" topLeftCell="A24" activePane="bottomLeft" state="frozen"/>
      <selection pane="bottomLeft" activeCell="J42" sqref="J42"/>
    </sheetView>
  </sheetViews>
  <sheetFormatPr defaultColWidth="10.28515625" defaultRowHeight="12.75"/>
  <cols>
    <col min="1" max="3" width="5.7109375" customWidth="1"/>
    <col min="4" max="4" width="7.42578125" customWidth="1"/>
    <col min="5" max="5" width="6.7109375" customWidth="1"/>
    <col min="6" max="6" width="9.7109375" customWidth="1"/>
    <col min="7" max="7" width="2.42578125" customWidth="1"/>
    <col min="8" max="8" width="6.42578125" customWidth="1"/>
    <col min="9" max="9" width="4" customWidth="1"/>
    <col min="10" max="10" width="7.7109375" customWidth="1"/>
    <col min="11" max="11" width="5.7109375" customWidth="1"/>
    <col min="12" max="12" width="7.28515625" customWidth="1"/>
    <col min="13" max="13" width="7.42578125" customWidth="1"/>
    <col min="14" max="18" width="11.42578125" customWidth="1"/>
    <col min="19" max="22" width="10.85546875" hidden="1" customWidth="1"/>
    <col min="23" max="23" width="11.42578125" customWidth="1"/>
    <col min="24" max="27" width="10.85546875" hidden="1" customWidth="1"/>
    <col min="28" max="28" width="11.42578125" customWidth="1"/>
    <col min="29" max="32" width="10.85546875" hidden="1" customWidth="1"/>
    <col min="33" max="33" width="11.42578125" customWidth="1"/>
    <col min="34" max="42" width="10.85546875" hidden="1" customWidth="1"/>
    <col min="43" max="43" width="11.42578125" customWidth="1"/>
  </cols>
  <sheetData>
    <row r="1" spans="1:45" ht="15.75">
      <c r="A1" s="247" t="s">
        <v>618</v>
      </c>
      <c r="B1" s="135"/>
      <c r="C1" s="135"/>
      <c r="D1" s="12"/>
      <c r="H1" s="12"/>
      <c r="R1" s="62"/>
    </row>
    <row r="2" spans="1:45">
      <c r="A2" s="132"/>
      <c r="B2" s="132"/>
      <c r="C2" s="132"/>
      <c r="G2" s="15"/>
      <c r="H2" s="15"/>
      <c r="I2" s="15"/>
    </row>
    <row r="3" spans="1:45">
      <c r="A3" s="132"/>
      <c r="B3" s="134" t="s">
        <v>218</v>
      </c>
      <c r="C3" s="134"/>
      <c r="D3" s="3"/>
      <c r="E3">
        <f>Sources!$B$3</f>
        <v>0</v>
      </c>
      <c r="H3" s="73"/>
      <c r="I3" s="73"/>
      <c r="J3" s="23"/>
      <c r="M3" s="23"/>
      <c r="N3" s="23"/>
    </row>
    <row r="4" spans="1:45">
      <c r="A4" s="132"/>
      <c r="D4" s="23" t="s">
        <v>374</v>
      </c>
      <c r="F4" s="88">
        <f>Sources!F3</f>
        <v>40909</v>
      </c>
    </row>
    <row r="5" spans="1:45">
      <c r="A5" s="132"/>
      <c r="B5" s="132"/>
      <c r="C5" s="132"/>
      <c r="D5" t="s">
        <v>309</v>
      </c>
      <c r="F5" s="89"/>
      <c r="I5" s="15"/>
    </row>
    <row r="6" spans="1:45">
      <c r="A6" s="135" t="s">
        <v>259</v>
      </c>
      <c r="B6" s="135"/>
      <c r="C6" s="135"/>
      <c r="D6" s="12"/>
      <c r="I6" t="s">
        <v>51</v>
      </c>
      <c r="M6" s="90">
        <v>0.02</v>
      </c>
    </row>
    <row r="7" spans="1:45" ht="18.75" customHeight="1">
      <c r="A7" s="135" t="s">
        <v>547</v>
      </c>
      <c r="B7" s="132"/>
      <c r="C7" s="132"/>
      <c r="D7" s="508"/>
      <c r="E7" s="12"/>
      <c r="L7" s="420"/>
      <c r="M7" s="12"/>
    </row>
    <row r="8" spans="1:45" ht="58.5" customHeight="1">
      <c r="A8" s="133" t="s">
        <v>306</v>
      </c>
      <c r="B8" s="133" t="s">
        <v>129</v>
      </c>
      <c r="C8" s="133" t="s">
        <v>379</v>
      </c>
      <c r="D8" s="8" t="s">
        <v>307</v>
      </c>
      <c r="E8" s="8" t="s">
        <v>130</v>
      </c>
      <c r="F8" s="8" t="s">
        <v>82</v>
      </c>
      <c r="G8" s="7"/>
      <c r="H8" s="8" t="s">
        <v>83</v>
      </c>
      <c r="I8" s="8"/>
      <c r="J8" s="8" t="s">
        <v>84</v>
      </c>
      <c r="K8" s="7"/>
      <c r="L8" s="8" t="s">
        <v>85</v>
      </c>
      <c r="M8" s="7"/>
      <c r="N8" s="8">
        <v>1</v>
      </c>
      <c r="O8" s="8">
        <v>2</v>
      </c>
      <c r="P8" s="8">
        <v>3</v>
      </c>
      <c r="Q8" s="8">
        <v>4</v>
      </c>
      <c r="R8" s="8">
        <v>5</v>
      </c>
      <c r="S8" s="8">
        <v>6</v>
      </c>
      <c r="T8" s="8">
        <v>7</v>
      </c>
      <c r="U8" s="8">
        <v>8</v>
      </c>
      <c r="V8" s="8">
        <v>9</v>
      </c>
      <c r="W8" s="8">
        <v>10</v>
      </c>
      <c r="X8" s="8">
        <v>11</v>
      </c>
      <c r="Y8" s="8">
        <v>12</v>
      </c>
      <c r="Z8" s="8">
        <v>13</v>
      </c>
      <c r="AA8" s="8">
        <v>14</v>
      </c>
      <c r="AB8" s="8">
        <v>15</v>
      </c>
      <c r="AC8" s="8">
        <v>16</v>
      </c>
      <c r="AD8" s="8">
        <v>17</v>
      </c>
      <c r="AE8" s="8">
        <v>18</v>
      </c>
      <c r="AF8" s="8">
        <v>19</v>
      </c>
      <c r="AG8" s="8">
        <v>20</v>
      </c>
      <c r="AH8" s="8">
        <v>21</v>
      </c>
      <c r="AI8" s="8">
        <v>22</v>
      </c>
      <c r="AJ8" s="8">
        <v>23</v>
      </c>
      <c r="AK8" s="8">
        <v>24</v>
      </c>
      <c r="AL8" s="8">
        <v>25</v>
      </c>
      <c r="AM8" s="8">
        <v>26</v>
      </c>
      <c r="AN8" s="8">
        <v>27</v>
      </c>
      <c r="AO8" s="8">
        <v>28</v>
      </c>
      <c r="AP8" s="8">
        <v>29</v>
      </c>
      <c r="AQ8" s="8">
        <v>30</v>
      </c>
    </row>
    <row r="9" spans="1:45">
      <c r="A9" s="132"/>
      <c r="B9" s="132"/>
      <c r="C9" s="132"/>
      <c r="E9" s="5"/>
      <c r="F9" s="5"/>
      <c r="H9" s="5"/>
      <c r="I9" s="5"/>
      <c r="J9" s="5"/>
      <c r="L9" s="5"/>
      <c r="N9" s="5"/>
      <c r="O9" s="5"/>
      <c r="P9" s="5"/>
      <c r="Q9" s="5"/>
    </row>
    <row r="10" spans="1:45">
      <c r="A10" s="444"/>
      <c r="B10" s="136" t="s">
        <v>308</v>
      </c>
      <c r="C10" s="213"/>
      <c r="D10" s="130"/>
      <c r="E10" s="115" t="e">
        <f t="shared" ref="E10:E23" si="0">ROUNDUP(IF(OR(A10="sro",A10=0),+F10/(VLOOKUP($F$5,Rents,26)*2),IF(A10=1,+F10/(VLOOKUP($F$5,Rents,27)*2),IF(A10=2,+F10/(VLOOKUP($F$5,Rents,28)*2),IF(A10=3,+F10/(VLOOKUP($F$5,Rents,29)*2),IF(A10=4,+F10/(VLOOKUP($F$5,Rents,30)*2),IF(A10=5,+F10/(VLOOKUP($F$5,Rents,31)*2),0)))))),3)*100</f>
        <v>#N/A</v>
      </c>
      <c r="F10" s="92"/>
      <c r="G10" s="30" t="s">
        <v>87</v>
      </c>
      <c r="H10" s="93"/>
      <c r="I10" s="30" t="s">
        <v>88</v>
      </c>
      <c r="J10" s="56">
        <f t="shared" ref="J10:J23" si="1">F10-H10</f>
        <v>0</v>
      </c>
      <c r="K10" s="57" t="s">
        <v>89</v>
      </c>
      <c r="L10" s="92"/>
      <c r="M10" s="50" t="s">
        <v>88</v>
      </c>
      <c r="N10" s="116">
        <f t="shared" ref="N10:N23" si="2">J10*L10*12</f>
        <v>0</v>
      </c>
      <c r="O10" s="116">
        <f t="shared" ref="O10:AQ10" si="3">(+N10*$M$6)+N10</f>
        <v>0</v>
      </c>
      <c r="P10" s="116">
        <f t="shared" si="3"/>
        <v>0</v>
      </c>
      <c r="Q10" s="116">
        <f t="shared" si="3"/>
        <v>0</v>
      </c>
      <c r="R10" s="116">
        <f t="shared" si="3"/>
        <v>0</v>
      </c>
      <c r="S10" s="116">
        <f t="shared" si="3"/>
        <v>0</v>
      </c>
      <c r="T10" s="116">
        <f t="shared" si="3"/>
        <v>0</v>
      </c>
      <c r="U10" s="116">
        <f t="shared" si="3"/>
        <v>0</v>
      </c>
      <c r="V10" s="116">
        <f t="shared" si="3"/>
        <v>0</v>
      </c>
      <c r="W10" s="116">
        <f t="shared" si="3"/>
        <v>0</v>
      </c>
      <c r="X10" s="116">
        <f t="shared" si="3"/>
        <v>0</v>
      </c>
      <c r="Y10" s="116">
        <f t="shared" si="3"/>
        <v>0</v>
      </c>
      <c r="Z10" s="116">
        <f t="shared" si="3"/>
        <v>0</v>
      </c>
      <c r="AA10" s="116">
        <f t="shared" si="3"/>
        <v>0</v>
      </c>
      <c r="AB10" s="116">
        <f t="shared" si="3"/>
        <v>0</v>
      </c>
      <c r="AC10" s="116">
        <f t="shared" si="3"/>
        <v>0</v>
      </c>
      <c r="AD10" s="116">
        <f t="shared" si="3"/>
        <v>0</v>
      </c>
      <c r="AE10" s="116">
        <f t="shared" si="3"/>
        <v>0</v>
      </c>
      <c r="AF10" s="116">
        <f t="shared" si="3"/>
        <v>0</v>
      </c>
      <c r="AG10" s="116">
        <f t="shared" si="3"/>
        <v>0</v>
      </c>
      <c r="AH10" s="116">
        <f t="shared" si="3"/>
        <v>0</v>
      </c>
      <c r="AI10" s="116">
        <f t="shared" si="3"/>
        <v>0</v>
      </c>
      <c r="AJ10" s="116">
        <f t="shared" si="3"/>
        <v>0</v>
      </c>
      <c r="AK10" s="116">
        <f t="shared" si="3"/>
        <v>0</v>
      </c>
      <c r="AL10" s="116">
        <f t="shared" si="3"/>
        <v>0</v>
      </c>
      <c r="AM10" s="116">
        <f t="shared" si="3"/>
        <v>0</v>
      </c>
      <c r="AN10" s="116">
        <f t="shared" si="3"/>
        <v>0</v>
      </c>
      <c r="AO10" s="116">
        <f t="shared" si="3"/>
        <v>0</v>
      </c>
      <c r="AP10" s="116">
        <f t="shared" si="3"/>
        <v>0</v>
      </c>
      <c r="AQ10" s="116">
        <f t="shared" si="3"/>
        <v>0</v>
      </c>
      <c r="AR10" s="9"/>
      <c r="AS10" s="9"/>
    </row>
    <row r="11" spans="1:45">
      <c r="A11" s="444"/>
      <c r="B11" s="136" t="s">
        <v>308</v>
      </c>
      <c r="C11" s="213"/>
      <c r="D11" s="130"/>
      <c r="E11" s="115" t="e">
        <f t="shared" si="0"/>
        <v>#N/A</v>
      </c>
      <c r="F11" s="92"/>
      <c r="G11" s="30" t="s">
        <v>87</v>
      </c>
      <c r="H11" s="93"/>
      <c r="I11" s="30" t="s">
        <v>88</v>
      </c>
      <c r="J11" s="56">
        <f t="shared" si="1"/>
        <v>0</v>
      </c>
      <c r="K11" s="57" t="s">
        <v>89</v>
      </c>
      <c r="L11" s="92"/>
      <c r="M11" s="50" t="s">
        <v>88</v>
      </c>
      <c r="N11" s="116">
        <f t="shared" si="2"/>
        <v>0</v>
      </c>
      <c r="O11" s="116">
        <f t="shared" ref="O11:AQ11" si="4">(+N11*$M$6)+N11</f>
        <v>0</v>
      </c>
      <c r="P11" s="116">
        <f t="shared" si="4"/>
        <v>0</v>
      </c>
      <c r="Q11" s="116">
        <f t="shared" si="4"/>
        <v>0</v>
      </c>
      <c r="R11" s="116">
        <f t="shared" si="4"/>
        <v>0</v>
      </c>
      <c r="S11" s="116">
        <f t="shared" si="4"/>
        <v>0</v>
      </c>
      <c r="T11" s="116">
        <f t="shared" si="4"/>
        <v>0</v>
      </c>
      <c r="U11" s="116">
        <f t="shared" si="4"/>
        <v>0</v>
      </c>
      <c r="V11" s="116">
        <f t="shared" si="4"/>
        <v>0</v>
      </c>
      <c r="W11" s="116">
        <f t="shared" si="4"/>
        <v>0</v>
      </c>
      <c r="X11" s="116">
        <f t="shared" si="4"/>
        <v>0</v>
      </c>
      <c r="Y11" s="116">
        <f t="shared" si="4"/>
        <v>0</v>
      </c>
      <c r="Z11" s="116">
        <f t="shared" si="4"/>
        <v>0</v>
      </c>
      <c r="AA11" s="116">
        <f t="shared" si="4"/>
        <v>0</v>
      </c>
      <c r="AB11" s="116">
        <f t="shared" si="4"/>
        <v>0</v>
      </c>
      <c r="AC11" s="116">
        <f t="shared" si="4"/>
        <v>0</v>
      </c>
      <c r="AD11" s="116">
        <f t="shared" si="4"/>
        <v>0</v>
      </c>
      <c r="AE11" s="116">
        <f t="shared" si="4"/>
        <v>0</v>
      </c>
      <c r="AF11" s="116">
        <f t="shared" si="4"/>
        <v>0</v>
      </c>
      <c r="AG11" s="116">
        <f t="shared" si="4"/>
        <v>0</v>
      </c>
      <c r="AH11" s="116">
        <f t="shared" si="4"/>
        <v>0</v>
      </c>
      <c r="AI11" s="116">
        <f t="shared" si="4"/>
        <v>0</v>
      </c>
      <c r="AJ11" s="116">
        <f t="shared" si="4"/>
        <v>0</v>
      </c>
      <c r="AK11" s="116">
        <f t="shared" si="4"/>
        <v>0</v>
      </c>
      <c r="AL11" s="116">
        <f t="shared" si="4"/>
        <v>0</v>
      </c>
      <c r="AM11" s="116">
        <f t="shared" si="4"/>
        <v>0</v>
      </c>
      <c r="AN11" s="116">
        <f t="shared" si="4"/>
        <v>0</v>
      </c>
      <c r="AO11" s="116">
        <f t="shared" si="4"/>
        <v>0</v>
      </c>
      <c r="AP11" s="116">
        <f t="shared" si="4"/>
        <v>0</v>
      </c>
      <c r="AQ11" s="116">
        <f t="shared" si="4"/>
        <v>0</v>
      </c>
    </row>
    <row r="12" spans="1:45">
      <c r="A12" s="444"/>
      <c r="B12" s="136" t="s">
        <v>308</v>
      </c>
      <c r="C12" s="213"/>
      <c r="D12" s="130"/>
      <c r="E12" s="115" t="e">
        <f t="shared" si="0"/>
        <v>#N/A</v>
      </c>
      <c r="F12" s="92"/>
      <c r="G12" s="30" t="s">
        <v>87</v>
      </c>
      <c r="H12" s="93"/>
      <c r="I12" s="30" t="s">
        <v>88</v>
      </c>
      <c r="J12" s="56">
        <f t="shared" si="1"/>
        <v>0</v>
      </c>
      <c r="K12" s="57" t="s">
        <v>89</v>
      </c>
      <c r="L12" s="92"/>
      <c r="M12" s="50" t="s">
        <v>88</v>
      </c>
      <c r="N12" s="116">
        <f t="shared" si="2"/>
        <v>0</v>
      </c>
      <c r="O12" s="116">
        <f t="shared" ref="O12:AQ12" si="5">(+N12*$M$6)+N12</f>
        <v>0</v>
      </c>
      <c r="P12" s="116">
        <f t="shared" si="5"/>
        <v>0</v>
      </c>
      <c r="Q12" s="116">
        <f t="shared" si="5"/>
        <v>0</v>
      </c>
      <c r="R12" s="116">
        <f t="shared" si="5"/>
        <v>0</v>
      </c>
      <c r="S12" s="116">
        <f t="shared" si="5"/>
        <v>0</v>
      </c>
      <c r="T12" s="116">
        <f t="shared" si="5"/>
        <v>0</v>
      </c>
      <c r="U12" s="116">
        <f t="shared" si="5"/>
        <v>0</v>
      </c>
      <c r="V12" s="116">
        <f t="shared" si="5"/>
        <v>0</v>
      </c>
      <c r="W12" s="116">
        <f t="shared" si="5"/>
        <v>0</v>
      </c>
      <c r="X12" s="116">
        <f t="shared" si="5"/>
        <v>0</v>
      </c>
      <c r="Y12" s="116">
        <f t="shared" si="5"/>
        <v>0</v>
      </c>
      <c r="Z12" s="116">
        <f t="shared" si="5"/>
        <v>0</v>
      </c>
      <c r="AA12" s="116">
        <f t="shared" si="5"/>
        <v>0</v>
      </c>
      <c r="AB12" s="116">
        <f t="shared" si="5"/>
        <v>0</v>
      </c>
      <c r="AC12" s="116">
        <f t="shared" si="5"/>
        <v>0</v>
      </c>
      <c r="AD12" s="116">
        <f t="shared" si="5"/>
        <v>0</v>
      </c>
      <c r="AE12" s="116">
        <f t="shared" si="5"/>
        <v>0</v>
      </c>
      <c r="AF12" s="116">
        <f t="shared" si="5"/>
        <v>0</v>
      </c>
      <c r="AG12" s="116">
        <f t="shared" si="5"/>
        <v>0</v>
      </c>
      <c r="AH12" s="116">
        <f t="shared" si="5"/>
        <v>0</v>
      </c>
      <c r="AI12" s="116">
        <f t="shared" si="5"/>
        <v>0</v>
      </c>
      <c r="AJ12" s="116">
        <f t="shared" si="5"/>
        <v>0</v>
      </c>
      <c r="AK12" s="116">
        <f t="shared" si="5"/>
        <v>0</v>
      </c>
      <c r="AL12" s="116">
        <f t="shared" si="5"/>
        <v>0</v>
      </c>
      <c r="AM12" s="116">
        <f t="shared" si="5"/>
        <v>0</v>
      </c>
      <c r="AN12" s="116">
        <f t="shared" si="5"/>
        <v>0</v>
      </c>
      <c r="AO12" s="116">
        <f t="shared" si="5"/>
        <v>0</v>
      </c>
      <c r="AP12" s="116">
        <f t="shared" si="5"/>
        <v>0</v>
      </c>
      <c r="AQ12" s="116">
        <f t="shared" si="5"/>
        <v>0</v>
      </c>
    </row>
    <row r="13" spans="1:45">
      <c r="A13" s="444"/>
      <c r="B13" s="136" t="s">
        <v>308</v>
      </c>
      <c r="C13" s="213"/>
      <c r="D13" s="130"/>
      <c r="E13" s="115" t="e">
        <f t="shared" si="0"/>
        <v>#N/A</v>
      </c>
      <c r="F13" s="92"/>
      <c r="G13" s="30" t="s">
        <v>87</v>
      </c>
      <c r="H13" s="93"/>
      <c r="I13" s="30" t="s">
        <v>88</v>
      </c>
      <c r="J13" s="56">
        <f t="shared" si="1"/>
        <v>0</v>
      </c>
      <c r="K13" s="57" t="s">
        <v>89</v>
      </c>
      <c r="L13" s="92"/>
      <c r="M13" s="50" t="s">
        <v>88</v>
      </c>
      <c r="N13" s="116">
        <f t="shared" si="2"/>
        <v>0</v>
      </c>
      <c r="O13" s="116">
        <f t="shared" ref="O13:AQ13" si="6">(+N13*$M$6)+N13</f>
        <v>0</v>
      </c>
      <c r="P13" s="116">
        <f t="shared" si="6"/>
        <v>0</v>
      </c>
      <c r="Q13" s="116">
        <f t="shared" si="6"/>
        <v>0</v>
      </c>
      <c r="R13" s="116">
        <f t="shared" si="6"/>
        <v>0</v>
      </c>
      <c r="S13" s="116">
        <f t="shared" si="6"/>
        <v>0</v>
      </c>
      <c r="T13" s="116">
        <f t="shared" si="6"/>
        <v>0</v>
      </c>
      <c r="U13" s="116">
        <f t="shared" si="6"/>
        <v>0</v>
      </c>
      <c r="V13" s="116">
        <f t="shared" si="6"/>
        <v>0</v>
      </c>
      <c r="W13" s="116">
        <f t="shared" si="6"/>
        <v>0</v>
      </c>
      <c r="X13" s="116">
        <f t="shared" si="6"/>
        <v>0</v>
      </c>
      <c r="Y13" s="116">
        <f t="shared" si="6"/>
        <v>0</v>
      </c>
      <c r="Z13" s="116">
        <f t="shared" si="6"/>
        <v>0</v>
      </c>
      <c r="AA13" s="116">
        <f t="shared" si="6"/>
        <v>0</v>
      </c>
      <c r="AB13" s="116">
        <f t="shared" si="6"/>
        <v>0</v>
      </c>
      <c r="AC13" s="116">
        <f t="shared" si="6"/>
        <v>0</v>
      </c>
      <c r="AD13" s="116">
        <f t="shared" si="6"/>
        <v>0</v>
      </c>
      <c r="AE13" s="116">
        <f t="shared" si="6"/>
        <v>0</v>
      </c>
      <c r="AF13" s="116">
        <f t="shared" si="6"/>
        <v>0</v>
      </c>
      <c r="AG13" s="116">
        <f t="shared" si="6"/>
        <v>0</v>
      </c>
      <c r="AH13" s="116">
        <f t="shared" si="6"/>
        <v>0</v>
      </c>
      <c r="AI13" s="116">
        <f t="shared" si="6"/>
        <v>0</v>
      </c>
      <c r="AJ13" s="116">
        <f t="shared" si="6"/>
        <v>0</v>
      </c>
      <c r="AK13" s="116">
        <f t="shared" si="6"/>
        <v>0</v>
      </c>
      <c r="AL13" s="116">
        <f t="shared" si="6"/>
        <v>0</v>
      </c>
      <c r="AM13" s="116">
        <f t="shared" si="6"/>
        <v>0</v>
      </c>
      <c r="AN13" s="116">
        <f t="shared" si="6"/>
        <v>0</v>
      </c>
      <c r="AO13" s="116">
        <f t="shared" si="6"/>
        <v>0</v>
      </c>
      <c r="AP13" s="116">
        <f t="shared" si="6"/>
        <v>0</v>
      </c>
      <c r="AQ13" s="116">
        <f t="shared" si="6"/>
        <v>0</v>
      </c>
    </row>
    <row r="14" spans="1:45">
      <c r="A14" s="444"/>
      <c r="B14" s="136" t="s">
        <v>308</v>
      </c>
      <c r="C14" s="213"/>
      <c r="D14" s="130"/>
      <c r="E14" s="115" t="e">
        <f t="shared" si="0"/>
        <v>#N/A</v>
      </c>
      <c r="F14" s="92"/>
      <c r="G14" s="30" t="s">
        <v>87</v>
      </c>
      <c r="H14" s="93"/>
      <c r="I14" s="30" t="s">
        <v>88</v>
      </c>
      <c r="J14" s="56">
        <f t="shared" si="1"/>
        <v>0</v>
      </c>
      <c r="K14" s="57" t="s">
        <v>89</v>
      </c>
      <c r="L14" s="92"/>
      <c r="M14" s="50" t="s">
        <v>88</v>
      </c>
      <c r="N14" s="116">
        <f t="shared" si="2"/>
        <v>0</v>
      </c>
      <c r="O14" s="116">
        <f t="shared" ref="O14:AQ14" si="7">(+N14*$M$6)+N14</f>
        <v>0</v>
      </c>
      <c r="P14" s="116">
        <f t="shared" si="7"/>
        <v>0</v>
      </c>
      <c r="Q14" s="116">
        <f t="shared" si="7"/>
        <v>0</v>
      </c>
      <c r="R14" s="116">
        <f t="shared" si="7"/>
        <v>0</v>
      </c>
      <c r="S14" s="116">
        <f t="shared" si="7"/>
        <v>0</v>
      </c>
      <c r="T14" s="116">
        <f t="shared" si="7"/>
        <v>0</v>
      </c>
      <c r="U14" s="116">
        <f t="shared" si="7"/>
        <v>0</v>
      </c>
      <c r="V14" s="116">
        <f t="shared" si="7"/>
        <v>0</v>
      </c>
      <c r="W14" s="116">
        <f t="shared" si="7"/>
        <v>0</v>
      </c>
      <c r="X14" s="116">
        <f t="shared" si="7"/>
        <v>0</v>
      </c>
      <c r="Y14" s="116">
        <f t="shared" si="7"/>
        <v>0</v>
      </c>
      <c r="Z14" s="116">
        <f t="shared" si="7"/>
        <v>0</v>
      </c>
      <c r="AA14" s="116">
        <f t="shared" si="7"/>
        <v>0</v>
      </c>
      <c r="AB14" s="116">
        <f t="shared" si="7"/>
        <v>0</v>
      </c>
      <c r="AC14" s="116">
        <f t="shared" si="7"/>
        <v>0</v>
      </c>
      <c r="AD14" s="116">
        <f t="shared" si="7"/>
        <v>0</v>
      </c>
      <c r="AE14" s="116">
        <f t="shared" si="7"/>
        <v>0</v>
      </c>
      <c r="AF14" s="116">
        <f t="shared" si="7"/>
        <v>0</v>
      </c>
      <c r="AG14" s="116">
        <f t="shared" si="7"/>
        <v>0</v>
      </c>
      <c r="AH14" s="116">
        <f t="shared" si="7"/>
        <v>0</v>
      </c>
      <c r="AI14" s="116">
        <f t="shared" si="7"/>
        <v>0</v>
      </c>
      <c r="AJ14" s="116">
        <f t="shared" si="7"/>
        <v>0</v>
      </c>
      <c r="AK14" s="116">
        <f t="shared" si="7"/>
        <v>0</v>
      </c>
      <c r="AL14" s="116">
        <f t="shared" si="7"/>
        <v>0</v>
      </c>
      <c r="AM14" s="116">
        <f t="shared" si="7"/>
        <v>0</v>
      </c>
      <c r="AN14" s="116">
        <f t="shared" si="7"/>
        <v>0</v>
      </c>
      <c r="AO14" s="116">
        <f t="shared" si="7"/>
        <v>0</v>
      </c>
      <c r="AP14" s="116">
        <f t="shared" si="7"/>
        <v>0</v>
      </c>
      <c r="AQ14" s="116">
        <f t="shared" si="7"/>
        <v>0</v>
      </c>
    </row>
    <row r="15" spans="1:45">
      <c r="A15" s="444"/>
      <c r="B15" s="136" t="s">
        <v>308</v>
      </c>
      <c r="C15" s="213"/>
      <c r="D15" s="130"/>
      <c r="E15" s="115" t="e">
        <f t="shared" si="0"/>
        <v>#N/A</v>
      </c>
      <c r="F15" s="92"/>
      <c r="G15" s="30" t="s">
        <v>87</v>
      </c>
      <c r="H15" s="93"/>
      <c r="I15" s="30" t="s">
        <v>88</v>
      </c>
      <c r="J15" s="56">
        <f t="shared" si="1"/>
        <v>0</v>
      </c>
      <c r="K15" s="57" t="s">
        <v>89</v>
      </c>
      <c r="L15" s="92"/>
      <c r="M15" s="50" t="s">
        <v>88</v>
      </c>
      <c r="N15" s="116">
        <f t="shared" si="2"/>
        <v>0</v>
      </c>
      <c r="O15" s="116">
        <f t="shared" ref="O15:AQ15" si="8">(+N15*$M$6)+N15</f>
        <v>0</v>
      </c>
      <c r="P15" s="116">
        <f t="shared" si="8"/>
        <v>0</v>
      </c>
      <c r="Q15" s="116">
        <f t="shared" si="8"/>
        <v>0</v>
      </c>
      <c r="R15" s="116">
        <f t="shared" si="8"/>
        <v>0</v>
      </c>
      <c r="S15" s="116">
        <f t="shared" si="8"/>
        <v>0</v>
      </c>
      <c r="T15" s="116">
        <f t="shared" si="8"/>
        <v>0</v>
      </c>
      <c r="U15" s="116">
        <f t="shared" si="8"/>
        <v>0</v>
      </c>
      <c r="V15" s="116">
        <f t="shared" si="8"/>
        <v>0</v>
      </c>
      <c r="W15" s="116">
        <f t="shared" si="8"/>
        <v>0</v>
      </c>
      <c r="X15" s="116">
        <f t="shared" si="8"/>
        <v>0</v>
      </c>
      <c r="Y15" s="116">
        <f t="shared" si="8"/>
        <v>0</v>
      </c>
      <c r="Z15" s="116">
        <f t="shared" si="8"/>
        <v>0</v>
      </c>
      <c r="AA15" s="116">
        <f t="shared" si="8"/>
        <v>0</v>
      </c>
      <c r="AB15" s="116">
        <f t="shared" si="8"/>
        <v>0</v>
      </c>
      <c r="AC15" s="116">
        <f t="shared" si="8"/>
        <v>0</v>
      </c>
      <c r="AD15" s="116">
        <f t="shared" si="8"/>
        <v>0</v>
      </c>
      <c r="AE15" s="116">
        <f t="shared" si="8"/>
        <v>0</v>
      </c>
      <c r="AF15" s="116">
        <f t="shared" si="8"/>
        <v>0</v>
      </c>
      <c r="AG15" s="116">
        <f t="shared" si="8"/>
        <v>0</v>
      </c>
      <c r="AH15" s="116">
        <f t="shared" si="8"/>
        <v>0</v>
      </c>
      <c r="AI15" s="116">
        <f t="shared" si="8"/>
        <v>0</v>
      </c>
      <c r="AJ15" s="116">
        <f t="shared" si="8"/>
        <v>0</v>
      </c>
      <c r="AK15" s="116">
        <f t="shared" si="8"/>
        <v>0</v>
      </c>
      <c r="AL15" s="116">
        <f t="shared" si="8"/>
        <v>0</v>
      </c>
      <c r="AM15" s="116">
        <f t="shared" si="8"/>
        <v>0</v>
      </c>
      <c r="AN15" s="116">
        <f t="shared" si="8"/>
        <v>0</v>
      </c>
      <c r="AO15" s="116">
        <f t="shared" si="8"/>
        <v>0</v>
      </c>
      <c r="AP15" s="116">
        <f t="shared" si="8"/>
        <v>0</v>
      </c>
      <c r="AQ15" s="116">
        <f t="shared" si="8"/>
        <v>0</v>
      </c>
    </row>
    <row r="16" spans="1:45">
      <c r="A16" s="444"/>
      <c r="B16" s="136" t="s">
        <v>308</v>
      </c>
      <c r="C16" s="213"/>
      <c r="D16" s="130"/>
      <c r="E16" s="115" t="e">
        <f t="shared" si="0"/>
        <v>#N/A</v>
      </c>
      <c r="F16" s="92"/>
      <c r="G16" s="30" t="s">
        <v>87</v>
      </c>
      <c r="H16" s="93"/>
      <c r="I16" s="30" t="s">
        <v>88</v>
      </c>
      <c r="J16" s="56">
        <f t="shared" si="1"/>
        <v>0</v>
      </c>
      <c r="K16" s="57" t="s">
        <v>89</v>
      </c>
      <c r="L16" s="92"/>
      <c r="M16" s="50" t="s">
        <v>88</v>
      </c>
      <c r="N16" s="116">
        <f t="shared" si="2"/>
        <v>0</v>
      </c>
      <c r="O16" s="116">
        <f t="shared" ref="O16:AQ16" si="9">(+N16*$M$6)+N16</f>
        <v>0</v>
      </c>
      <c r="P16" s="116">
        <f t="shared" si="9"/>
        <v>0</v>
      </c>
      <c r="Q16" s="116">
        <f t="shared" si="9"/>
        <v>0</v>
      </c>
      <c r="R16" s="116">
        <f t="shared" si="9"/>
        <v>0</v>
      </c>
      <c r="S16" s="116">
        <f t="shared" si="9"/>
        <v>0</v>
      </c>
      <c r="T16" s="116">
        <f t="shared" si="9"/>
        <v>0</v>
      </c>
      <c r="U16" s="116">
        <f t="shared" si="9"/>
        <v>0</v>
      </c>
      <c r="V16" s="116">
        <f t="shared" si="9"/>
        <v>0</v>
      </c>
      <c r="W16" s="116">
        <f t="shared" si="9"/>
        <v>0</v>
      </c>
      <c r="X16" s="116">
        <f t="shared" si="9"/>
        <v>0</v>
      </c>
      <c r="Y16" s="116">
        <f t="shared" si="9"/>
        <v>0</v>
      </c>
      <c r="Z16" s="116">
        <f t="shared" si="9"/>
        <v>0</v>
      </c>
      <c r="AA16" s="116">
        <f t="shared" si="9"/>
        <v>0</v>
      </c>
      <c r="AB16" s="116">
        <f t="shared" si="9"/>
        <v>0</v>
      </c>
      <c r="AC16" s="116">
        <f t="shared" si="9"/>
        <v>0</v>
      </c>
      <c r="AD16" s="116">
        <f t="shared" si="9"/>
        <v>0</v>
      </c>
      <c r="AE16" s="116">
        <f t="shared" si="9"/>
        <v>0</v>
      </c>
      <c r="AF16" s="116">
        <f t="shared" si="9"/>
        <v>0</v>
      </c>
      <c r="AG16" s="116">
        <f t="shared" si="9"/>
        <v>0</v>
      </c>
      <c r="AH16" s="116">
        <f t="shared" si="9"/>
        <v>0</v>
      </c>
      <c r="AI16" s="116">
        <f t="shared" si="9"/>
        <v>0</v>
      </c>
      <c r="AJ16" s="116">
        <f t="shared" si="9"/>
        <v>0</v>
      </c>
      <c r="AK16" s="116">
        <f t="shared" si="9"/>
        <v>0</v>
      </c>
      <c r="AL16" s="116">
        <f t="shared" si="9"/>
        <v>0</v>
      </c>
      <c r="AM16" s="116">
        <f t="shared" si="9"/>
        <v>0</v>
      </c>
      <c r="AN16" s="116">
        <f t="shared" si="9"/>
        <v>0</v>
      </c>
      <c r="AO16" s="116">
        <f t="shared" si="9"/>
        <v>0</v>
      </c>
      <c r="AP16" s="116">
        <f t="shared" si="9"/>
        <v>0</v>
      </c>
      <c r="AQ16" s="116">
        <f t="shared" si="9"/>
        <v>0</v>
      </c>
    </row>
    <row r="17" spans="1:43">
      <c r="A17" s="444"/>
      <c r="B17" s="136" t="s">
        <v>308</v>
      </c>
      <c r="C17" s="213"/>
      <c r="D17" s="130"/>
      <c r="E17" s="115" t="e">
        <f t="shared" si="0"/>
        <v>#N/A</v>
      </c>
      <c r="F17" s="92"/>
      <c r="G17" s="30" t="s">
        <v>87</v>
      </c>
      <c r="H17" s="93"/>
      <c r="I17" s="30" t="s">
        <v>88</v>
      </c>
      <c r="J17" s="56">
        <f t="shared" si="1"/>
        <v>0</v>
      </c>
      <c r="K17" s="57" t="s">
        <v>89</v>
      </c>
      <c r="L17" s="92"/>
      <c r="M17" s="50" t="s">
        <v>88</v>
      </c>
      <c r="N17" s="116">
        <f t="shared" si="2"/>
        <v>0</v>
      </c>
      <c r="O17" s="116">
        <f t="shared" ref="O17:AQ17" si="10">(+N17*$M$6)+N17</f>
        <v>0</v>
      </c>
      <c r="P17" s="116">
        <f t="shared" si="10"/>
        <v>0</v>
      </c>
      <c r="Q17" s="116">
        <f t="shared" si="10"/>
        <v>0</v>
      </c>
      <c r="R17" s="116">
        <f t="shared" si="10"/>
        <v>0</v>
      </c>
      <c r="S17" s="116">
        <f t="shared" si="10"/>
        <v>0</v>
      </c>
      <c r="T17" s="116">
        <f t="shared" si="10"/>
        <v>0</v>
      </c>
      <c r="U17" s="116">
        <f t="shared" si="10"/>
        <v>0</v>
      </c>
      <c r="V17" s="116">
        <f t="shared" si="10"/>
        <v>0</v>
      </c>
      <c r="W17" s="116">
        <f t="shared" si="10"/>
        <v>0</v>
      </c>
      <c r="X17" s="116">
        <f t="shared" si="10"/>
        <v>0</v>
      </c>
      <c r="Y17" s="116">
        <f t="shared" si="10"/>
        <v>0</v>
      </c>
      <c r="Z17" s="116">
        <f t="shared" si="10"/>
        <v>0</v>
      </c>
      <c r="AA17" s="116">
        <f t="shared" si="10"/>
        <v>0</v>
      </c>
      <c r="AB17" s="116">
        <f t="shared" si="10"/>
        <v>0</v>
      </c>
      <c r="AC17" s="116">
        <f t="shared" si="10"/>
        <v>0</v>
      </c>
      <c r="AD17" s="116">
        <f t="shared" si="10"/>
        <v>0</v>
      </c>
      <c r="AE17" s="116">
        <f t="shared" si="10"/>
        <v>0</v>
      </c>
      <c r="AF17" s="116">
        <f t="shared" si="10"/>
        <v>0</v>
      </c>
      <c r="AG17" s="116">
        <f t="shared" si="10"/>
        <v>0</v>
      </c>
      <c r="AH17" s="116">
        <f t="shared" si="10"/>
        <v>0</v>
      </c>
      <c r="AI17" s="116">
        <f t="shared" si="10"/>
        <v>0</v>
      </c>
      <c r="AJ17" s="116">
        <f t="shared" si="10"/>
        <v>0</v>
      </c>
      <c r="AK17" s="116">
        <f t="shared" si="10"/>
        <v>0</v>
      </c>
      <c r="AL17" s="116">
        <f t="shared" si="10"/>
        <v>0</v>
      </c>
      <c r="AM17" s="116">
        <f t="shared" si="10"/>
        <v>0</v>
      </c>
      <c r="AN17" s="116">
        <f t="shared" si="10"/>
        <v>0</v>
      </c>
      <c r="AO17" s="116">
        <f t="shared" si="10"/>
        <v>0</v>
      </c>
      <c r="AP17" s="116">
        <f t="shared" si="10"/>
        <v>0</v>
      </c>
      <c r="AQ17" s="116">
        <f t="shared" si="10"/>
        <v>0</v>
      </c>
    </row>
    <row r="18" spans="1:43">
      <c r="A18" s="444"/>
      <c r="B18" s="136" t="s">
        <v>308</v>
      </c>
      <c r="C18" s="213"/>
      <c r="D18" s="130"/>
      <c r="E18" s="115" t="e">
        <f t="shared" si="0"/>
        <v>#N/A</v>
      </c>
      <c r="F18" s="92"/>
      <c r="G18" s="30" t="s">
        <v>87</v>
      </c>
      <c r="H18" s="93"/>
      <c r="I18" s="30" t="s">
        <v>88</v>
      </c>
      <c r="J18" s="56">
        <f t="shared" si="1"/>
        <v>0</v>
      </c>
      <c r="K18" s="57" t="s">
        <v>89</v>
      </c>
      <c r="L18" s="92"/>
      <c r="M18" s="50" t="s">
        <v>88</v>
      </c>
      <c r="N18" s="116">
        <f t="shared" si="2"/>
        <v>0</v>
      </c>
      <c r="O18" s="116">
        <f t="shared" ref="O18:AQ18" si="11">(+N18*$M$6)+N18</f>
        <v>0</v>
      </c>
      <c r="P18" s="116">
        <f t="shared" si="11"/>
        <v>0</v>
      </c>
      <c r="Q18" s="116">
        <f t="shared" si="11"/>
        <v>0</v>
      </c>
      <c r="R18" s="116">
        <f t="shared" si="11"/>
        <v>0</v>
      </c>
      <c r="S18" s="116">
        <f t="shared" si="11"/>
        <v>0</v>
      </c>
      <c r="T18" s="116">
        <f t="shared" si="11"/>
        <v>0</v>
      </c>
      <c r="U18" s="116">
        <f t="shared" si="11"/>
        <v>0</v>
      </c>
      <c r="V18" s="116">
        <f t="shared" si="11"/>
        <v>0</v>
      </c>
      <c r="W18" s="116">
        <f t="shared" si="11"/>
        <v>0</v>
      </c>
      <c r="X18" s="116">
        <f t="shared" si="11"/>
        <v>0</v>
      </c>
      <c r="Y18" s="116">
        <f t="shared" si="11"/>
        <v>0</v>
      </c>
      <c r="Z18" s="116">
        <f t="shared" si="11"/>
        <v>0</v>
      </c>
      <c r="AA18" s="116">
        <f t="shared" si="11"/>
        <v>0</v>
      </c>
      <c r="AB18" s="116">
        <f t="shared" si="11"/>
        <v>0</v>
      </c>
      <c r="AC18" s="116">
        <f t="shared" si="11"/>
        <v>0</v>
      </c>
      <c r="AD18" s="116">
        <f t="shared" si="11"/>
        <v>0</v>
      </c>
      <c r="AE18" s="116">
        <f t="shared" si="11"/>
        <v>0</v>
      </c>
      <c r="AF18" s="116">
        <f t="shared" si="11"/>
        <v>0</v>
      </c>
      <c r="AG18" s="116">
        <f t="shared" si="11"/>
        <v>0</v>
      </c>
      <c r="AH18" s="116">
        <f t="shared" si="11"/>
        <v>0</v>
      </c>
      <c r="AI18" s="116">
        <f t="shared" si="11"/>
        <v>0</v>
      </c>
      <c r="AJ18" s="116">
        <f t="shared" si="11"/>
        <v>0</v>
      </c>
      <c r="AK18" s="116">
        <f t="shared" si="11"/>
        <v>0</v>
      </c>
      <c r="AL18" s="116">
        <f t="shared" si="11"/>
        <v>0</v>
      </c>
      <c r="AM18" s="116">
        <f t="shared" si="11"/>
        <v>0</v>
      </c>
      <c r="AN18" s="116">
        <f t="shared" si="11"/>
        <v>0</v>
      </c>
      <c r="AO18" s="116">
        <f t="shared" si="11"/>
        <v>0</v>
      </c>
      <c r="AP18" s="116">
        <f t="shared" si="11"/>
        <v>0</v>
      </c>
      <c r="AQ18" s="116">
        <f t="shared" si="11"/>
        <v>0</v>
      </c>
    </row>
    <row r="19" spans="1:43">
      <c r="A19" s="444"/>
      <c r="B19" s="136" t="s">
        <v>308</v>
      </c>
      <c r="C19" s="213"/>
      <c r="D19" s="130"/>
      <c r="E19" s="115" t="e">
        <f t="shared" si="0"/>
        <v>#N/A</v>
      </c>
      <c r="F19" s="92"/>
      <c r="G19" s="30" t="s">
        <v>87</v>
      </c>
      <c r="H19" s="93"/>
      <c r="I19" s="30" t="s">
        <v>88</v>
      </c>
      <c r="J19" s="56">
        <f t="shared" si="1"/>
        <v>0</v>
      </c>
      <c r="K19" s="57" t="s">
        <v>89</v>
      </c>
      <c r="L19" s="92"/>
      <c r="M19" s="50" t="s">
        <v>88</v>
      </c>
      <c r="N19" s="116">
        <f t="shared" si="2"/>
        <v>0</v>
      </c>
      <c r="O19" s="116">
        <f t="shared" ref="O19:AQ19" si="12">(+N19*$M$6)+N19</f>
        <v>0</v>
      </c>
      <c r="P19" s="116">
        <f t="shared" si="12"/>
        <v>0</v>
      </c>
      <c r="Q19" s="116">
        <f t="shared" si="12"/>
        <v>0</v>
      </c>
      <c r="R19" s="116">
        <f t="shared" si="12"/>
        <v>0</v>
      </c>
      <c r="S19" s="116">
        <f t="shared" si="12"/>
        <v>0</v>
      </c>
      <c r="T19" s="116">
        <f t="shared" si="12"/>
        <v>0</v>
      </c>
      <c r="U19" s="116">
        <f t="shared" si="12"/>
        <v>0</v>
      </c>
      <c r="V19" s="116">
        <f t="shared" si="12"/>
        <v>0</v>
      </c>
      <c r="W19" s="116">
        <f t="shared" si="12"/>
        <v>0</v>
      </c>
      <c r="X19" s="116">
        <f t="shared" si="12"/>
        <v>0</v>
      </c>
      <c r="Y19" s="116">
        <f t="shared" si="12"/>
        <v>0</v>
      </c>
      <c r="Z19" s="116">
        <f t="shared" si="12"/>
        <v>0</v>
      </c>
      <c r="AA19" s="116">
        <f t="shared" si="12"/>
        <v>0</v>
      </c>
      <c r="AB19" s="116">
        <f t="shared" si="12"/>
        <v>0</v>
      </c>
      <c r="AC19" s="116">
        <f t="shared" si="12"/>
        <v>0</v>
      </c>
      <c r="AD19" s="116">
        <f t="shared" si="12"/>
        <v>0</v>
      </c>
      <c r="AE19" s="116">
        <f t="shared" si="12"/>
        <v>0</v>
      </c>
      <c r="AF19" s="116">
        <f t="shared" si="12"/>
        <v>0</v>
      </c>
      <c r="AG19" s="116">
        <f t="shared" si="12"/>
        <v>0</v>
      </c>
      <c r="AH19" s="116">
        <f t="shared" si="12"/>
        <v>0</v>
      </c>
      <c r="AI19" s="116">
        <f t="shared" si="12"/>
        <v>0</v>
      </c>
      <c r="AJ19" s="116">
        <f t="shared" si="12"/>
        <v>0</v>
      </c>
      <c r="AK19" s="116">
        <f t="shared" si="12"/>
        <v>0</v>
      </c>
      <c r="AL19" s="116">
        <f t="shared" si="12"/>
        <v>0</v>
      </c>
      <c r="AM19" s="116">
        <f t="shared" si="12"/>
        <v>0</v>
      </c>
      <c r="AN19" s="116">
        <f t="shared" si="12"/>
        <v>0</v>
      </c>
      <c r="AO19" s="116">
        <f t="shared" si="12"/>
        <v>0</v>
      </c>
      <c r="AP19" s="116">
        <f t="shared" si="12"/>
        <v>0</v>
      </c>
      <c r="AQ19" s="116">
        <f t="shared" si="12"/>
        <v>0</v>
      </c>
    </row>
    <row r="20" spans="1:43">
      <c r="A20" s="444"/>
      <c r="B20" s="136" t="s">
        <v>308</v>
      </c>
      <c r="C20" s="213"/>
      <c r="D20" s="130"/>
      <c r="E20" s="115" t="e">
        <f t="shared" si="0"/>
        <v>#N/A</v>
      </c>
      <c r="F20" s="92"/>
      <c r="G20" s="30" t="s">
        <v>87</v>
      </c>
      <c r="H20" s="93"/>
      <c r="I20" s="30" t="s">
        <v>88</v>
      </c>
      <c r="J20" s="56">
        <f t="shared" si="1"/>
        <v>0</v>
      </c>
      <c r="K20" s="57" t="s">
        <v>89</v>
      </c>
      <c r="L20" s="92"/>
      <c r="M20" s="50" t="s">
        <v>88</v>
      </c>
      <c r="N20" s="116">
        <f t="shared" si="2"/>
        <v>0</v>
      </c>
      <c r="O20" s="116">
        <f t="shared" ref="O20:AQ20" si="13">(+N20*$M$6)+N20</f>
        <v>0</v>
      </c>
      <c r="P20" s="116">
        <f t="shared" si="13"/>
        <v>0</v>
      </c>
      <c r="Q20" s="116">
        <f t="shared" si="13"/>
        <v>0</v>
      </c>
      <c r="R20" s="116">
        <f t="shared" si="13"/>
        <v>0</v>
      </c>
      <c r="S20" s="116">
        <f t="shared" si="13"/>
        <v>0</v>
      </c>
      <c r="T20" s="116">
        <f t="shared" si="13"/>
        <v>0</v>
      </c>
      <c r="U20" s="116">
        <f t="shared" si="13"/>
        <v>0</v>
      </c>
      <c r="V20" s="116">
        <f t="shared" si="13"/>
        <v>0</v>
      </c>
      <c r="W20" s="116">
        <f t="shared" si="13"/>
        <v>0</v>
      </c>
      <c r="X20" s="116">
        <f t="shared" si="13"/>
        <v>0</v>
      </c>
      <c r="Y20" s="116">
        <f t="shared" si="13"/>
        <v>0</v>
      </c>
      <c r="Z20" s="116">
        <f t="shared" si="13"/>
        <v>0</v>
      </c>
      <c r="AA20" s="116">
        <f t="shared" si="13"/>
        <v>0</v>
      </c>
      <c r="AB20" s="116">
        <f t="shared" si="13"/>
        <v>0</v>
      </c>
      <c r="AC20" s="116">
        <f t="shared" si="13"/>
        <v>0</v>
      </c>
      <c r="AD20" s="116">
        <f t="shared" si="13"/>
        <v>0</v>
      </c>
      <c r="AE20" s="116">
        <f t="shared" si="13"/>
        <v>0</v>
      </c>
      <c r="AF20" s="116">
        <f t="shared" si="13"/>
        <v>0</v>
      </c>
      <c r="AG20" s="116">
        <f t="shared" si="13"/>
        <v>0</v>
      </c>
      <c r="AH20" s="116">
        <f t="shared" si="13"/>
        <v>0</v>
      </c>
      <c r="AI20" s="116">
        <f t="shared" si="13"/>
        <v>0</v>
      </c>
      <c r="AJ20" s="116">
        <f t="shared" si="13"/>
        <v>0</v>
      </c>
      <c r="AK20" s="116">
        <f t="shared" si="13"/>
        <v>0</v>
      </c>
      <c r="AL20" s="116">
        <f t="shared" si="13"/>
        <v>0</v>
      </c>
      <c r="AM20" s="116">
        <f t="shared" si="13"/>
        <v>0</v>
      </c>
      <c r="AN20" s="116">
        <f t="shared" si="13"/>
        <v>0</v>
      </c>
      <c r="AO20" s="116">
        <f t="shared" si="13"/>
        <v>0</v>
      </c>
      <c r="AP20" s="116">
        <f t="shared" si="13"/>
        <v>0</v>
      </c>
      <c r="AQ20" s="116">
        <f t="shared" si="13"/>
        <v>0</v>
      </c>
    </row>
    <row r="21" spans="1:43">
      <c r="A21" s="444"/>
      <c r="B21" s="136" t="s">
        <v>308</v>
      </c>
      <c r="C21" s="213"/>
      <c r="D21" s="130"/>
      <c r="E21" s="115" t="e">
        <f t="shared" si="0"/>
        <v>#N/A</v>
      </c>
      <c r="F21" s="92"/>
      <c r="G21" s="30" t="s">
        <v>87</v>
      </c>
      <c r="H21" s="93"/>
      <c r="I21" s="30" t="s">
        <v>88</v>
      </c>
      <c r="J21" s="56">
        <f t="shared" si="1"/>
        <v>0</v>
      </c>
      <c r="K21" s="57" t="s">
        <v>89</v>
      </c>
      <c r="L21" s="92"/>
      <c r="M21" s="50" t="s">
        <v>88</v>
      </c>
      <c r="N21" s="116">
        <f t="shared" si="2"/>
        <v>0</v>
      </c>
      <c r="O21" s="116">
        <f t="shared" ref="O21:AQ21" si="14">(+N21*$M$6)+N21</f>
        <v>0</v>
      </c>
      <c r="P21" s="116">
        <f t="shared" si="14"/>
        <v>0</v>
      </c>
      <c r="Q21" s="116">
        <f t="shared" si="14"/>
        <v>0</v>
      </c>
      <c r="R21" s="116">
        <f t="shared" si="14"/>
        <v>0</v>
      </c>
      <c r="S21" s="116">
        <f t="shared" si="14"/>
        <v>0</v>
      </c>
      <c r="T21" s="116">
        <f t="shared" si="14"/>
        <v>0</v>
      </c>
      <c r="U21" s="116">
        <f t="shared" si="14"/>
        <v>0</v>
      </c>
      <c r="V21" s="116">
        <f t="shared" si="14"/>
        <v>0</v>
      </c>
      <c r="W21" s="116">
        <f t="shared" si="14"/>
        <v>0</v>
      </c>
      <c r="X21" s="116">
        <f t="shared" si="14"/>
        <v>0</v>
      </c>
      <c r="Y21" s="116">
        <f t="shared" si="14"/>
        <v>0</v>
      </c>
      <c r="Z21" s="116">
        <f t="shared" si="14"/>
        <v>0</v>
      </c>
      <c r="AA21" s="116">
        <f t="shared" si="14"/>
        <v>0</v>
      </c>
      <c r="AB21" s="116">
        <f t="shared" si="14"/>
        <v>0</v>
      </c>
      <c r="AC21" s="116">
        <f t="shared" si="14"/>
        <v>0</v>
      </c>
      <c r="AD21" s="116">
        <f t="shared" si="14"/>
        <v>0</v>
      </c>
      <c r="AE21" s="116">
        <f t="shared" si="14"/>
        <v>0</v>
      </c>
      <c r="AF21" s="116">
        <f t="shared" si="14"/>
        <v>0</v>
      </c>
      <c r="AG21" s="116">
        <f t="shared" si="14"/>
        <v>0</v>
      </c>
      <c r="AH21" s="116">
        <f t="shared" si="14"/>
        <v>0</v>
      </c>
      <c r="AI21" s="116">
        <f t="shared" si="14"/>
        <v>0</v>
      </c>
      <c r="AJ21" s="116">
        <f t="shared" si="14"/>
        <v>0</v>
      </c>
      <c r="AK21" s="116">
        <f t="shared" si="14"/>
        <v>0</v>
      </c>
      <c r="AL21" s="116">
        <f t="shared" si="14"/>
        <v>0</v>
      </c>
      <c r="AM21" s="116">
        <f t="shared" si="14"/>
        <v>0</v>
      </c>
      <c r="AN21" s="116">
        <f t="shared" si="14"/>
        <v>0</v>
      </c>
      <c r="AO21" s="116">
        <f t="shared" si="14"/>
        <v>0</v>
      </c>
      <c r="AP21" s="116">
        <f t="shared" si="14"/>
        <v>0</v>
      </c>
      <c r="AQ21" s="116">
        <f t="shared" si="14"/>
        <v>0</v>
      </c>
    </row>
    <row r="22" spans="1:43">
      <c r="A22" s="444"/>
      <c r="B22" s="136" t="s">
        <v>308</v>
      </c>
      <c r="C22" s="213"/>
      <c r="D22" s="130"/>
      <c r="E22" s="115" t="e">
        <f t="shared" si="0"/>
        <v>#N/A</v>
      </c>
      <c r="F22" s="92"/>
      <c r="G22" s="30" t="s">
        <v>87</v>
      </c>
      <c r="H22" s="93"/>
      <c r="I22" s="30" t="s">
        <v>88</v>
      </c>
      <c r="J22" s="56">
        <f t="shared" si="1"/>
        <v>0</v>
      </c>
      <c r="K22" s="57" t="s">
        <v>89</v>
      </c>
      <c r="L22" s="92"/>
      <c r="M22" s="50" t="s">
        <v>88</v>
      </c>
      <c r="N22" s="116">
        <f t="shared" si="2"/>
        <v>0</v>
      </c>
      <c r="O22" s="116">
        <f t="shared" ref="O22:AQ22" si="15">(+N22*$M$6)+N22</f>
        <v>0</v>
      </c>
      <c r="P22" s="116">
        <f t="shared" si="15"/>
        <v>0</v>
      </c>
      <c r="Q22" s="116">
        <f t="shared" si="15"/>
        <v>0</v>
      </c>
      <c r="R22" s="116">
        <f t="shared" si="15"/>
        <v>0</v>
      </c>
      <c r="S22" s="116">
        <f t="shared" si="15"/>
        <v>0</v>
      </c>
      <c r="T22" s="116">
        <f t="shared" si="15"/>
        <v>0</v>
      </c>
      <c r="U22" s="116">
        <f t="shared" si="15"/>
        <v>0</v>
      </c>
      <c r="V22" s="116">
        <f t="shared" si="15"/>
        <v>0</v>
      </c>
      <c r="W22" s="116">
        <f t="shared" si="15"/>
        <v>0</v>
      </c>
      <c r="X22" s="116">
        <f t="shared" si="15"/>
        <v>0</v>
      </c>
      <c r="Y22" s="116">
        <f t="shared" si="15"/>
        <v>0</v>
      </c>
      <c r="Z22" s="116">
        <f t="shared" si="15"/>
        <v>0</v>
      </c>
      <c r="AA22" s="116">
        <f t="shared" si="15"/>
        <v>0</v>
      </c>
      <c r="AB22" s="116">
        <f t="shared" si="15"/>
        <v>0</v>
      </c>
      <c r="AC22" s="116">
        <f t="shared" si="15"/>
        <v>0</v>
      </c>
      <c r="AD22" s="116">
        <f t="shared" si="15"/>
        <v>0</v>
      </c>
      <c r="AE22" s="116">
        <f t="shared" si="15"/>
        <v>0</v>
      </c>
      <c r="AF22" s="116">
        <f t="shared" si="15"/>
        <v>0</v>
      </c>
      <c r="AG22" s="116">
        <f t="shared" si="15"/>
        <v>0</v>
      </c>
      <c r="AH22" s="116">
        <f t="shared" si="15"/>
        <v>0</v>
      </c>
      <c r="AI22" s="116">
        <f t="shared" si="15"/>
        <v>0</v>
      </c>
      <c r="AJ22" s="116">
        <f t="shared" si="15"/>
        <v>0</v>
      </c>
      <c r="AK22" s="116">
        <f t="shared" si="15"/>
        <v>0</v>
      </c>
      <c r="AL22" s="116">
        <f t="shared" si="15"/>
        <v>0</v>
      </c>
      <c r="AM22" s="116">
        <f t="shared" si="15"/>
        <v>0</v>
      </c>
      <c r="AN22" s="116">
        <f t="shared" si="15"/>
        <v>0</v>
      </c>
      <c r="AO22" s="116">
        <f t="shared" si="15"/>
        <v>0</v>
      </c>
      <c r="AP22" s="116">
        <f t="shared" si="15"/>
        <v>0</v>
      </c>
      <c r="AQ22" s="116">
        <f t="shared" si="15"/>
        <v>0</v>
      </c>
    </row>
    <row r="23" spans="1:43">
      <c r="A23" s="444"/>
      <c r="B23" s="415" t="s">
        <v>308</v>
      </c>
      <c r="C23" s="213"/>
      <c r="D23" s="130"/>
      <c r="E23" s="115" t="e">
        <f t="shared" si="0"/>
        <v>#N/A</v>
      </c>
      <c r="F23" s="92"/>
      <c r="G23" s="411" t="s">
        <v>87</v>
      </c>
      <c r="H23" s="93"/>
      <c r="I23" s="411" t="s">
        <v>88</v>
      </c>
      <c r="J23" s="220">
        <f t="shared" si="1"/>
        <v>0</v>
      </c>
      <c r="K23" s="412" t="s">
        <v>89</v>
      </c>
      <c r="L23" s="92"/>
      <c r="M23" s="413" t="s">
        <v>88</v>
      </c>
      <c r="N23" s="414">
        <f t="shared" si="2"/>
        <v>0</v>
      </c>
      <c r="O23" s="414">
        <f t="shared" ref="O23:AQ23" si="16">(+N23*$M$6)+N23</f>
        <v>0</v>
      </c>
      <c r="P23" s="414">
        <f t="shared" si="16"/>
        <v>0</v>
      </c>
      <c r="Q23" s="414">
        <f t="shared" si="16"/>
        <v>0</v>
      </c>
      <c r="R23" s="414">
        <f t="shared" si="16"/>
        <v>0</v>
      </c>
      <c r="S23" s="414">
        <f t="shared" si="16"/>
        <v>0</v>
      </c>
      <c r="T23" s="414">
        <f t="shared" si="16"/>
        <v>0</v>
      </c>
      <c r="U23" s="414">
        <f t="shared" si="16"/>
        <v>0</v>
      </c>
      <c r="V23" s="414">
        <f t="shared" si="16"/>
        <v>0</v>
      </c>
      <c r="W23" s="414">
        <f t="shared" si="16"/>
        <v>0</v>
      </c>
      <c r="X23" s="414">
        <f t="shared" si="16"/>
        <v>0</v>
      </c>
      <c r="Y23" s="414">
        <f t="shared" si="16"/>
        <v>0</v>
      </c>
      <c r="Z23" s="414">
        <f t="shared" si="16"/>
        <v>0</v>
      </c>
      <c r="AA23" s="414">
        <f t="shared" si="16"/>
        <v>0</v>
      </c>
      <c r="AB23" s="414">
        <f t="shared" si="16"/>
        <v>0</v>
      </c>
      <c r="AC23" s="414">
        <f t="shared" si="16"/>
        <v>0</v>
      </c>
      <c r="AD23" s="414">
        <f t="shared" si="16"/>
        <v>0</v>
      </c>
      <c r="AE23" s="414">
        <f t="shared" si="16"/>
        <v>0</v>
      </c>
      <c r="AF23" s="414">
        <f t="shared" si="16"/>
        <v>0</v>
      </c>
      <c r="AG23" s="414">
        <f t="shared" si="16"/>
        <v>0</v>
      </c>
      <c r="AH23" s="414">
        <f t="shared" si="16"/>
        <v>0</v>
      </c>
      <c r="AI23" s="414">
        <f t="shared" si="16"/>
        <v>0</v>
      </c>
      <c r="AJ23" s="414">
        <f t="shared" si="16"/>
        <v>0</v>
      </c>
      <c r="AK23" s="414">
        <f t="shared" si="16"/>
        <v>0</v>
      </c>
      <c r="AL23" s="414">
        <f t="shared" si="16"/>
        <v>0</v>
      </c>
      <c r="AM23" s="414">
        <f t="shared" si="16"/>
        <v>0</v>
      </c>
      <c r="AN23" s="414">
        <f t="shared" si="16"/>
        <v>0</v>
      </c>
      <c r="AO23" s="414">
        <f t="shared" si="16"/>
        <v>0</v>
      </c>
      <c r="AP23" s="414">
        <f t="shared" si="16"/>
        <v>0</v>
      </c>
      <c r="AQ23" s="414">
        <f t="shared" si="16"/>
        <v>0</v>
      </c>
    </row>
    <row r="24" spans="1:43">
      <c r="A24" s="445"/>
      <c r="B24" s="23"/>
      <c r="C24" s="23"/>
      <c r="D24" s="23"/>
      <c r="E24" s="212"/>
      <c r="F24" s="212"/>
      <c r="G24" s="212"/>
      <c r="H24" s="212"/>
      <c r="I24" s="212"/>
      <c r="J24" s="212"/>
      <c r="K24" s="212"/>
      <c r="L24" s="212"/>
      <c r="M24" s="212"/>
      <c r="N24" s="80"/>
      <c r="O24" s="414"/>
      <c r="P24" s="414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</row>
    <row r="25" spans="1:43">
      <c r="A25" s="12" t="s">
        <v>90</v>
      </c>
      <c r="B25" s="12"/>
      <c r="C25" s="12"/>
      <c r="D25" s="12"/>
      <c r="E25" s="52"/>
      <c r="F25" s="52"/>
      <c r="G25" s="52"/>
      <c r="H25" s="52"/>
      <c r="I25" s="52"/>
      <c r="J25" s="53"/>
      <c r="K25" s="51"/>
      <c r="L25" s="54">
        <f>SUM(L10:L24)</f>
        <v>0</v>
      </c>
      <c r="M25" s="50" t="s">
        <v>88</v>
      </c>
      <c r="N25" s="118">
        <f t="shared" ref="N25:AQ25" si="17">SUM(N10:N24)</f>
        <v>0</v>
      </c>
      <c r="O25" s="118">
        <f t="shared" si="17"/>
        <v>0</v>
      </c>
      <c r="P25" s="118">
        <f t="shared" si="17"/>
        <v>0</v>
      </c>
      <c r="Q25" s="118">
        <f t="shared" si="17"/>
        <v>0</v>
      </c>
      <c r="R25" s="118">
        <f t="shared" si="17"/>
        <v>0</v>
      </c>
      <c r="S25" s="118">
        <f t="shared" si="17"/>
        <v>0</v>
      </c>
      <c r="T25" s="118">
        <f t="shared" si="17"/>
        <v>0</v>
      </c>
      <c r="U25" s="118">
        <f t="shared" si="17"/>
        <v>0</v>
      </c>
      <c r="V25" s="118">
        <f t="shared" si="17"/>
        <v>0</v>
      </c>
      <c r="W25" s="118">
        <f t="shared" si="17"/>
        <v>0</v>
      </c>
      <c r="X25" s="118">
        <f t="shared" si="17"/>
        <v>0</v>
      </c>
      <c r="Y25" s="118">
        <f t="shared" si="17"/>
        <v>0</v>
      </c>
      <c r="Z25" s="118">
        <f t="shared" si="17"/>
        <v>0</v>
      </c>
      <c r="AA25" s="118">
        <f t="shared" si="17"/>
        <v>0</v>
      </c>
      <c r="AB25" s="118">
        <f t="shared" si="17"/>
        <v>0</v>
      </c>
      <c r="AC25" s="118">
        <f t="shared" si="17"/>
        <v>0</v>
      </c>
      <c r="AD25" s="118">
        <f t="shared" si="17"/>
        <v>0</v>
      </c>
      <c r="AE25" s="118">
        <f t="shared" si="17"/>
        <v>0</v>
      </c>
      <c r="AF25" s="118">
        <f t="shared" si="17"/>
        <v>0</v>
      </c>
      <c r="AG25" s="118">
        <f t="shared" si="17"/>
        <v>0</v>
      </c>
      <c r="AH25" s="118">
        <f t="shared" si="17"/>
        <v>0</v>
      </c>
      <c r="AI25" s="118">
        <f t="shared" si="17"/>
        <v>0</v>
      </c>
      <c r="AJ25" s="118">
        <f t="shared" si="17"/>
        <v>0</v>
      </c>
      <c r="AK25" s="118">
        <f t="shared" si="17"/>
        <v>0</v>
      </c>
      <c r="AL25" s="118">
        <f t="shared" si="17"/>
        <v>0</v>
      </c>
      <c r="AM25" s="118">
        <f t="shared" si="17"/>
        <v>0</v>
      </c>
      <c r="AN25" s="118">
        <f t="shared" si="17"/>
        <v>0</v>
      </c>
      <c r="AO25" s="118">
        <f t="shared" si="17"/>
        <v>0</v>
      </c>
      <c r="AP25" s="118">
        <f t="shared" si="17"/>
        <v>0</v>
      </c>
      <c r="AQ25" s="118">
        <f t="shared" si="17"/>
        <v>0</v>
      </c>
    </row>
    <row r="26" spans="1:43">
      <c r="A26" s="23"/>
      <c r="B26" s="23"/>
      <c r="C26" s="23"/>
      <c r="D26" s="23"/>
      <c r="E26" s="212"/>
      <c r="F26" s="212"/>
      <c r="G26" s="212"/>
      <c r="H26" s="212"/>
      <c r="I26" s="212"/>
      <c r="J26" s="212"/>
      <c r="K26" s="212"/>
      <c r="L26" s="212"/>
      <c r="M26" s="212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</row>
    <row r="27" spans="1:43">
      <c r="A27" s="12" t="s">
        <v>94</v>
      </c>
      <c r="B27" s="12"/>
      <c r="C27" s="12"/>
      <c r="D27" s="12"/>
      <c r="E27" s="52"/>
      <c r="F27" s="52"/>
      <c r="G27" s="52"/>
      <c r="H27" s="52"/>
      <c r="I27" s="52"/>
      <c r="J27" s="52"/>
      <c r="K27" s="52"/>
      <c r="L27" s="52"/>
      <c r="M27" s="52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</row>
    <row r="28" spans="1:43">
      <c r="E28" s="52"/>
      <c r="F28" s="52"/>
      <c r="G28" s="52"/>
      <c r="H28" s="52"/>
      <c r="I28" s="52"/>
      <c r="J28" s="52"/>
      <c r="K28" s="52"/>
      <c r="L28" s="52"/>
      <c r="M28" s="52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</row>
    <row r="29" spans="1:43">
      <c r="A29" s="132" t="s">
        <v>95</v>
      </c>
      <c r="E29" s="52"/>
      <c r="F29" s="52"/>
      <c r="G29" s="52"/>
      <c r="H29" s="52"/>
      <c r="I29" s="52"/>
      <c r="J29" s="52"/>
      <c r="K29" s="52"/>
      <c r="L29" s="52"/>
      <c r="M29" s="52"/>
      <c r="N29" s="94"/>
      <c r="O29" s="116">
        <f t="shared" ref="O29:AD34" si="18">(+N29*$M$6)+N29</f>
        <v>0</v>
      </c>
      <c r="P29" s="116">
        <f t="shared" si="18"/>
        <v>0</v>
      </c>
      <c r="Q29" s="116">
        <f t="shared" si="18"/>
        <v>0</v>
      </c>
      <c r="R29" s="116">
        <f t="shared" si="18"/>
        <v>0</v>
      </c>
      <c r="S29" s="116">
        <f t="shared" si="18"/>
        <v>0</v>
      </c>
      <c r="T29" s="116">
        <f t="shared" si="18"/>
        <v>0</v>
      </c>
      <c r="U29" s="116">
        <f t="shared" si="18"/>
        <v>0</v>
      </c>
      <c r="V29" s="116">
        <f t="shared" si="18"/>
        <v>0</v>
      </c>
      <c r="W29" s="116">
        <f t="shared" si="18"/>
        <v>0</v>
      </c>
      <c r="X29" s="116">
        <f t="shared" si="18"/>
        <v>0</v>
      </c>
      <c r="Y29" s="116">
        <f t="shared" si="18"/>
        <v>0</v>
      </c>
      <c r="Z29" s="116">
        <f t="shared" si="18"/>
        <v>0</v>
      </c>
      <c r="AA29" s="116">
        <f t="shared" si="18"/>
        <v>0</v>
      </c>
      <c r="AB29" s="116">
        <f t="shared" si="18"/>
        <v>0</v>
      </c>
      <c r="AC29" s="116">
        <f t="shared" si="18"/>
        <v>0</v>
      </c>
      <c r="AD29" s="116">
        <f t="shared" si="18"/>
        <v>0</v>
      </c>
      <c r="AE29" s="116">
        <f t="shared" ref="AE29:AQ34" si="19">(+AD29*$M$6)+AD29</f>
        <v>0</v>
      </c>
      <c r="AF29" s="116">
        <f t="shared" si="19"/>
        <v>0</v>
      </c>
      <c r="AG29" s="116">
        <f t="shared" si="19"/>
        <v>0</v>
      </c>
      <c r="AH29" s="116">
        <f t="shared" si="19"/>
        <v>0</v>
      </c>
      <c r="AI29" s="116">
        <f t="shared" si="19"/>
        <v>0</v>
      </c>
      <c r="AJ29" s="116">
        <f t="shared" si="19"/>
        <v>0</v>
      </c>
      <c r="AK29" s="116">
        <f t="shared" si="19"/>
        <v>0</v>
      </c>
      <c r="AL29" s="116">
        <f t="shared" si="19"/>
        <v>0</v>
      </c>
      <c r="AM29" s="116">
        <f t="shared" si="19"/>
        <v>0</v>
      </c>
      <c r="AN29" s="116">
        <f t="shared" si="19"/>
        <v>0</v>
      </c>
      <c r="AO29" s="116">
        <f t="shared" si="19"/>
        <v>0</v>
      </c>
      <c r="AP29" s="116">
        <f t="shared" si="19"/>
        <v>0</v>
      </c>
      <c r="AQ29" s="116">
        <f t="shared" si="19"/>
        <v>0</v>
      </c>
    </row>
    <row r="30" spans="1:43">
      <c r="A30" s="132" t="s">
        <v>612</v>
      </c>
      <c r="E30" s="52"/>
      <c r="F30" s="52"/>
      <c r="G30" s="52"/>
      <c r="H30" s="52"/>
      <c r="I30" s="52"/>
      <c r="J30" s="52"/>
      <c r="K30" s="52"/>
      <c r="L30" s="52"/>
      <c r="M30" s="52"/>
      <c r="N30" s="94"/>
      <c r="O30" s="116">
        <f t="shared" si="18"/>
        <v>0</v>
      </c>
      <c r="P30" s="116">
        <f t="shared" si="18"/>
        <v>0</v>
      </c>
      <c r="Q30" s="116">
        <f t="shared" si="18"/>
        <v>0</v>
      </c>
      <c r="R30" s="116">
        <f t="shared" si="18"/>
        <v>0</v>
      </c>
      <c r="S30" s="116">
        <f t="shared" si="18"/>
        <v>0</v>
      </c>
      <c r="T30" s="116">
        <f t="shared" si="18"/>
        <v>0</v>
      </c>
      <c r="U30" s="116">
        <f t="shared" si="18"/>
        <v>0</v>
      </c>
      <c r="V30" s="116">
        <f t="shared" si="18"/>
        <v>0</v>
      </c>
      <c r="W30" s="116">
        <f t="shared" si="18"/>
        <v>0</v>
      </c>
      <c r="X30" s="116">
        <f t="shared" si="18"/>
        <v>0</v>
      </c>
      <c r="Y30" s="116">
        <f t="shared" si="18"/>
        <v>0</v>
      </c>
      <c r="Z30" s="116">
        <f t="shared" si="18"/>
        <v>0</v>
      </c>
      <c r="AA30" s="116">
        <f t="shared" si="18"/>
        <v>0</v>
      </c>
      <c r="AB30" s="116">
        <f t="shared" si="18"/>
        <v>0</v>
      </c>
      <c r="AC30" s="116">
        <f t="shared" si="18"/>
        <v>0</v>
      </c>
      <c r="AD30" s="116">
        <f t="shared" si="18"/>
        <v>0</v>
      </c>
      <c r="AE30" s="116">
        <f t="shared" si="19"/>
        <v>0</v>
      </c>
      <c r="AF30" s="116">
        <f t="shared" si="19"/>
        <v>0</v>
      </c>
      <c r="AG30" s="116">
        <f t="shared" si="19"/>
        <v>0</v>
      </c>
      <c r="AH30" s="116">
        <f t="shared" si="19"/>
        <v>0</v>
      </c>
      <c r="AI30" s="116">
        <f t="shared" si="19"/>
        <v>0</v>
      </c>
      <c r="AJ30" s="116">
        <f t="shared" si="19"/>
        <v>0</v>
      </c>
      <c r="AK30" s="116">
        <f t="shared" si="19"/>
        <v>0</v>
      </c>
      <c r="AL30" s="116">
        <f t="shared" si="19"/>
        <v>0</v>
      </c>
      <c r="AM30" s="116">
        <f t="shared" si="19"/>
        <v>0</v>
      </c>
      <c r="AN30" s="116">
        <f t="shared" si="19"/>
        <v>0</v>
      </c>
      <c r="AO30" s="116">
        <f t="shared" si="19"/>
        <v>0</v>
      </c>
      <c r="AP30" s="116">
        <f t="shared" si="19"/>
        <v>0</v>
      </c>
      <c r="AQ30" s="116">
        <f t="shared" si="19"/>
        <v>0</v>
      </c>
    </row>
    <row r="31" spans="1:43">
      <c r="A31" s="132" t="s">
        <v>613</v>
      </c>
      <c r="E31" s="52"/>
      <c r="F31" s="52"/>
      <c r="G31" s="52"/>
      <c r="H31" s="52"/>
      <c r="I31" s="52"/>
      <c r="J31" s="52"/>
      <c r="K31" s="52"/>
      <c r="L31" s="52"/>
      <c r="M31" s="52"/>
      <c r="N31" s="94"/>
      <c r="O31" s="116">
        <f t="shared" si="18"/>
        <v>0</v>
      </c>
      <c r="P31" s="116">
        <f t="shared" si="18"/>
        <v>0</v>
      </c>
      <c r="Q31" s="116">
        <f t="shared" si="18"/>
        <v>0</v>
      </c>
      <c r="R31" s="116">
        <f t="shared" si="18"/>
        <v>0</v>
      </c>
      <c r="S31" s="116">
        <f t="shared" si="18"/>
        <v>0</v>
      </c>
      <c r="T31" s="116">
        <f t="shared" si="18"/>
        <v>0</v>
      </c>
      <c r="U31" s="116">
        <f t="shared" si="18"/>
        <v>0</v>
      </c>
      <c r="V31" s="116">
        <f t="shared" si="18"/>
        <v>0</v>
      </c>
      <c r="W31" s="116">
        <f t="shared" si="18"/>
        <v>0</v>
      </c>
      <c r="X31" s="116">
        <f t="shared" si="18"/>
        <v>0</v>
      </c>
      <c r="Y31" s="116">
        <f t="shared" si="18"/>
        <v>0</v>
      </c>
      <c r="Z31" s="116">
        <f t="shared" si="18"/>
        <v>0</v>
      </c>
      <c r="AA31" s="116">
        <f t="shared" si="18"/>
        <v>0</v>
      </c>
      <c r="AB31" s="116">
        <f t="shared" si="18"/>
        <v>0</v>
      </c>
      <c r="AC31" s="116">
        <f t="shared" si="18"/>
        <v>0</v>
      </c>
      <c r="AD31" s="116">
        <f t="shared" si="18"/>
        <v>0</v>
      </c>
      <c r="AE31" s="116">
        <f t="shared" si="19"/>
        <v>0</v>
      </c>
      <c r="AF31" s="116">
        <f t="shared" si="19"/>
        <v>0</v>
      </c>
      <c r="AG31" s="116">
        <f t="shared" si="19"/>
        <v>0</v>
      </c>
      <c r="AH31" s="116">
        <f t="shared" si="19"/>
        <v>0</v>
      </c>
      <c r="AI31" s="116">
        <f t="shared" si="19"/>
        <v>0</v>
      </c>
      <c r="AJ31" s="116">
        <f t="shared" si="19"/>
        <v>0</v>
      </c>
      <c r="AK31" s="116">
        <f t="shared" si="19"/>
        <v>0</v>
      </c>
      <c r="AL31" s="116">
        <f t="shared" si="19"/>
        <v>0</v>
      </c>
      <c r="AM31" s="116">
        <f t="shared" si="19"/>
        <v>0</v>
      </c>
      <c r="AN31" s="116">
        <f t="shared" si="19"/>
        <v>0</v>
      </c>
      <c r="AO31" s="116">
        <f t="shared" si="19"/>
        <v>0</v>
      </c>
      <c r="AP31" s="116">
        <f t="shared" si="19"/>
        <v>0</v>
      </c>
      <c r="AQ31" s="116">
        <f t="shared" si="19"/>
        <v>0</v>
      </c>
    </row>
    <row r="32" spans="1:43">
      <c r="A32" s="143" t="s">
        <v>614</v>
      </c>
      <c r="B32" s="23"/>
      <c r="C32" s="23"/>
      <c r="D32" s="23"/>
      <c r="E32" s="52"/>
      <c r="F32" s="52"/>
      <c r="G32" s="52"/>
      <c r="H32" s="52"/>
      <c r="I32" s="52"/>
      <c r="J32" s="52"/>
      <c r="K32" s="52"/>
      <c r="L32" s="52"/>
      <c r="M32" s="52"/>
      <c r="N32" s="94"/>
      <c r="O32" s="116">
        <f t="shared" si="18"/>
        <v>0</v>
      </c>
      <c r="P32" s="116">
        <f t="shared" si="18"/>
        <v>0</v>
      </c>
      <c r="Q32" s="116">
        <f t="shared" si="18"/>
        <v>0</v>
      </c>
      <c r="R32" s="116">
        <f t="shared" si="18"/>
        <v>0</v>
      </c>
      <c r="S32" s="116">
        <f t="shared" si="18"/>
        <v>0</v>
      </c>
      <c r="T32" s="116">
        <f t="shared" si="18"/>
        <v>0</v>
      </c>
      <c r="U32" s="116">
        <f t="shared" si="18"/>
        <v>0</v>
      </c>
      <c r="V32" s="116">
        <f t="shared" si="18"/>
        <v>0</v>
      </c>
      <c r="W32" s="116">
        <f t="shared" si="18"/>
        <v>0</v>
      </c>
      <c r="X32" s="116">
        <f t="shared" si="18"/>
        <v>0</v>
      </c>
      <c r="Y32" s="116">
        <f t="shared" si="18"/>
        <v>0</v>
      </c>
      <c r="Z32" s="116">
        <f t="shared" si="18"/>
        <v>0</v>
      </c>
      <c r="AA32" s="116">
        <f t="shared" si="18"/>
        <v>0</v>
      </c>
      <c r="AB32" s="116">
        <f t="shared" si="18"/>
        <v>0</v>
      </c>
      <c r="AC32" s="116">
        <f t="shared" si="18"/>
        <v>0</v>
      </c>
      <c r="AD32" s="116">
        <f t="shared" si="18"/>
        <v>0</v>
      </c>
      <c r="AE32" s="116">
        <f t="shared" si="19"/>
        <v>0</v>
      </c>
      <c r="AF32" s="116">
        <f t="shared" si="19"/>
        <v>0</v>
      </c>
      <c r="AG32" s="116">
        <f t="shared" si="19"/>
        <v>0</v>
      </c>
      <c r="AH32" s="116">
        <f t="shared" si="19"/>
        <v>0</v>
      </c>
      <c r="AI32" s="116">
        <f t="shared" si="19"/>
        <v>0</v>
      </c>
      <c r="AJ32" s="116">
        <f t="shared" si="19"/>
        <v>0</v>
      </c>
      <c r="AK32" s="116">
        <f t="shared" si="19"/>
        <v>0</v>
      </c>
      <c r="AL32" s="116">
        <f t="shared" si="19"/>
        <v>0</v>
      </c>
      <c r="AM32" s="116">
        <f t="shared" si="19"/>
        <v>0</v>
      </c>
      <c r="AN32" s="116">
        <f t="shared" si="19"/>
        <v>0</v>
      </c>
      <c r="AO32" s="116">
        <f t="shared" si="19"/>
        <v>0</v>
      </c>
      <c r="AP32" s="116">
        <f t="shared" si="19"/>
        <v>0</v>
      </c>
      <c r="AQ32" s="116">
        <f t="shared" si="19"/>
        <v>0</v>
      </c>
    </row>
    <row r="33" spans="1:43">
      <c r="A33" s="143" t="s">
        <v>615</v>
      </c>
      <c r="B33" s="23"/>
      <c r="C33" s="23"/>
      <c r="D33" s="23"/>
      <c r="E33" s="52"/>
      <c r="F33" s="52"/>
      <c r="G33" s="52"/>
      <c r="H33" s="52"/>
      <c r="I33" s="52"/>
      <c r="J33" s="52"/>
      <c r="K33" s="52"/>
      <c r="L33" s="52"/>
      <c r="M33" s="52"/>
      <c r="N33" s="94"/>
      <c r="O33" s="116">
        <f t="shared" si="18"/>
        <v>0</v>
      </c>
      <c r="P33" s="116">
        <f t="shared" si="18"/>
        <v>0</v>
      </c>
      <c r="Q33" s="116">
        <f t="shared" si="18"/>
        <v>0</v>
      </c>
      <c r="R33" s="116">
        <f t="shared" si="18"/>
        <v>0</v>
      </c>
      <c r="S33" s="116">
        <f t="shared" si="18"/>
        <v>0</v>
      </c>
      <c r="T33" s="116">
        <f t="shared" si="18"/>
        <v>0</v>
      </c>
      <c r="U33" s="116">
        <f t="shared" si="18"/>
        <v>0</v>
      </c>
      <c r="V33" s="116">
        <f t="shared" si="18"/>
        <v>0</v>
      </c>
      <c r="W33" s="116">
        <f t="shared" si="18"/>
        <v>0</v>
      </c>
      <c r="X33" s="116">
        <f t="shared" si="18"/>
        <v>0</v>
      </c>
      <c r="Y33" s="116">
        <f t="shared" si="18"/>
        <v>0</v>
      </c>
      <c r="Z33" s="116">
        <f t="shared" si="18"/>
        <v>0</v>
      </c>
      <c r="AA33" s="116">
        <f t="shared" si="18"/>
        <v>0</v>
      </c>
      <c r="AB33" s="116">
        <f t="shared" si="18"/>
        <v>0</v>
      </c>
      <c r="AC33" s="116">
        <f t="shared" si="18"/>
        <v>0</v>
      </c>
      <c r="AD33" s="116">
        <f t="shared" si="18"/>
        <v>0</v>
      </c>
      <c r="AE33" s="116">
        <f t="shared" si="19"/>
        <v>0</v>
      </c>
      <c r="AF33" s="116">
        <f t="shared" si="19"/>
        <v>0</v>
      </c>
      <c r="AG33" s="116">
        <f t="shared" si="19"/>
        <v>0</v>
      </c>
      <c r="AH33" s="116">
        <f t="shared" si="19"/>
        <v>0</v>
      </c>
      <c r="AI33" s="116">
        <f t="shared" si="19"/>
        <v>0</v>
      </c>
      <c r="AJ33" s="116">
        <f t="shared" si="19"/>
        <v>0</v>
      </c>
      <c r="AK33" s="116">
        <f t="shared" si="19"/>
        <v>0</v>
      </c>
      <c r="AL33" s="116">
        <f t="shared" si="19"/>
        <v>0</v>
      </c>
      <c r="AM33" s="116">
        <f t="shared" si="19"/>
        <v>0</v>
      </c>
      <c r="AN33" s="116">
        <f t="shared" si="19"/>
        <v>0</v>
      </c>
      <c r="AO33" s="116">
        <f t="shared" si="19"/>
        <v>0</v>
      </c>
      <c r="AP33" s="116">
        <f t="shared" si="19"/>
        <v>0</v>
      </c>
      <c r="AQ33" s="116">
        <f t="shared" si="19"/>
        <v>0</v>
      </c>
    </row>
    <row r="34" spans="1:43">
      <c r="A34" s="314" t="s">
        <v>494</v>
      </c>
      <c r="B34" s="23"/>
      <c r="C34" s="23"/>
      <c r="D34" s="23"/>
      <c r="E34" s="52"/>
      <c r="F34" s="52"/>
      <c r="G34" s="52"/>
      <c r="H34" s="52"/>
      <c r="I34" s="52"/>
      <c r="J34" s="52"/>
      <c r="K34" s="52"/>
      <c r="L34" s="52"/>
      <c r="M34" s="52"/>
      <c r="N34" s="94"/>
      <c r="O34" s="116">
        <f t="shared" si="18"/>
        <v>0</v>
      </c>
      <c r="P34" s="116">
        <f t="shared" si="18"/>
        <v>0</v>
      </c>
      <c r="Q34" s="116">
        <f t="shared" si="18"/>
        <v>0</v>
      </c>
      <c r="R34" s="116">
        <f t="shared" si="18"/>
        <v>0</v>
      </c>
      <c r="S34" s="116">
        <f t="shared" si="18"/>
        <v>0</v>
      </c>
      <c r="T34" s="116">
        <f t="shared" si="18"/>
        <v>0</v>
      </c>
      <c r="U34" s="116">
        <f t="shared" si="18"/>
        <v>0</v>
      </c>
      <c r="V34" s="116">
        <f t="shared" si="18"/>
        <v>0</v>
      </c>
      <c r="W34" s="116">
        <f t="shared" si="18"/>
        <v>0</v>
      </c>
      <c r="X34" s="116">
        <f t="shared" si="18"/>
        <v>0</v>
      </c>
      <c r="Y34" s="116">
        <f t="shared" si="18"/>
        <v>0</v>
      </c>
      <c r="Z34" s="116">
        <f t="shared" si="18"/>
        <v>0</v>
      </c>
      <c r="AA34" s="116">
        <f t="shared" si="18"/>
        <v>0</v>
      </c>
      <c r="AB34" s="116">
        <f t="shared" si="18"/>
        <v>0</v>
      </c>
      <c r="AC34" s="116">
        <f t="shared" si="18"/>
        <v>0</v>
      </c>
      <c r="AD34" s="116">
        <f t="shared" si="18"/>
        <v>0</v>
      </c>
      <c r="AE34" s="116">
        <f t="shared" si="19"/>
        <v>0</v>
      </c>
      <c r="AF34" s="116">
        <f t="shared" si="19"/>
        <v>0</v>
      </c>
      <c r="AG34" s="116">
        <f t="shared" si="19"/>
        <v>0</v>
      </c>
      <c r="AH34" s="116">
        <f t="shared" si="19"/>
        <v>0</v>
      </c>
      <c r="AI34" s="116">
        <f t="shared" si="19"/>
        <v>0</v>
      </c>
      <c r="AJ34" s="116">
        <f t="shared" si="19"/>
        <v>0</v>
      </c>
      <c r="AK34" s="116">
        <f t="shared" si="19"/>
        <v>0</v>
      </c>
      <c r="AL34" s="116">
        <f t="shared" si="19"/>
        <v>0</v>
      </c>
      <c r="AM34" s="116">
        <f t="shared" si="19"/>
        <v>0</v>
      </c>
      <c r="AN34" s="116">
        <f t="shared" si="19"/>
        <v>0</v>
      </c>
      <c r="AO34" s="116">
        <f t="shared" si="19"/>
        <v>0</v>
      </c>
      <c r="AP34" s="116">
        <f t="shared" si="19"/>
        <v>0</v>
      </c>
      <c r="AQ34" s="116">
        <f t="shared" si="19"/>
        <v>0</v>
      </c>
    </row>
    <row r="35" spans="1:43">
      <c r="A35" s="23"/>
      <c r="B35" s="23"/>
      <c r="C35" s="23"/>
      <c r="D35" s="23"/>
      <c r="E35" s="212"/>
      <c r="F35" s="212"/>
      <c r="G35" s="212"/>
      <c r="H35" s="212"/>
      <c r="I35" s="212"/>
      <c r="J35" s="212"/>
      <c r="K35" s="212"/>
      <c r="L35" s="212"/>
      <c r="M35" s="212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</row>
    <row r="36" spans="1:43">
      <c r="A36" s="12" t="s">
        <v>146</v>
      </c>
      <c r="B36" s="12"/>
      <c r="C36" s="12"/>
      <c r="D36" s="12"/>
      <c r="E36" s="52"/>
      <c r="F36" s="52"/>
      <c r="G36" s="52"/>
      <c r="H36" s="52"/>
      <c r="I36" s="52"/>
      <c r="J36" s="52"/>
      <c r="K36" s="52"/>
      <c r="L36" s="52"/>
      <c r="M36" s="52"/>
      <c r="N36" s="117">
        <f t="shared" ref="N36:AQ36" si="20">SUM(N26:N35)</f>
        <v>0</v>
      </c>
      <c r="O36" s="118">
        <f t="shared" si="20"/>
        <v>0</v>
      </c>
      <c r="P36" s="118">
        <f t="shared" si="20"/>
        <v>0</v>
      </c>
      <c r="Q36" s="118">
        <f t="shared" si="20"/>
        <v>0</v>
      </c>
      <c r="R36" s="118">
        <f t="shared" si="20"/>
        <v>0</v>
      </c>
      <c r="S36" s="118">
        <f t="shared" si="20"/>
        <v>0</v>
      </c>
      <c r="T36" s="118">
        <f t="shared" si="20"/>
        <v>0</v>
      </c>
      <c r="U36" s="118">
        <f t="shared" si="20"/>
        <v>0</v>
      </c>
      <c r="V36" s="118">
        <f t="shared" si="20"/>
        <v>0</v>
      </c>
      <c r="W36" s="118">
        <f t="shared" si="20"/>
        <v>0</v>
      </c>
      <c r="X36" s="118">
        <f t="shared" si="20"/>
        <v>0</v>
      </c>
      <c r="Y36" s="118">
        <f t="shared" si="20"/>
        <v>0</v>
      </c>
      <c r="Z36" s="118">
        <f t="shared" si="20"/>
        <v>0</v>
      </c>
      <c r="AA36" s="118">
        <f t="shared" si="20"/>
        <v>0</v>
      </c>
      <c r="AB36" s="118">
        <f t="shared" si="20"/>
        <v>0</v>
      </c>
      <c r="AC36" s="118">
        <f t="shared" si="20"/>
        <v>0</v>
      </c>
      <c r="AD36" s="118">
        <f t="shared" si="20"/>
        <v>0</v>
      </c>
      <c r="AE36" s="118">
        <f t="shared" si="20"/>
        <v>0</v>
      </c>
      <c r="AF36" s="118">
        <f t="shared" si="20"/>
        <v>0</v>
      </c>
      <c r="AG36" s="118">
        <f t="shared" si="20"/>
        <v>0</v>
      </c>
      <c r="AH36" s="118">
        <f t="shared" si="20"/>
        <v>0</v>
      </c>
      <c r="AI36" s="118">
        <f t="shared" si="20"/>
        <v>0</v>
      </c>
      <c r="AJ36" s="118">
        <f t="shared" si="20"/>
        <v>0</v>
      </c>
      <c r="AK36" s="118">
        <f t="shared" si="20"/>
        <v>0</v>
      </c>
      <c r="AL36" s="118">
        <f t="shared" si="20"/>
        <v>0</v>
      </c>
      <c r="AM36" s="118">
        <f t="shared" si="20"/>
        <v>0</v>
      </c>
      <c r="AN36" s="118">
        <f t="shared" si="20"/>
        <v>0</v>
      </c>
      <c r="AO36" s="118">
        <f t="shared" si="20"/>
        <v>0</v>
      </c>
      <c r="AP36" s="118">
        <f t="shared" si="20"/>
        <v>0</v>
      </c>
      <c r="AQ36" s="118">
        <f t="shared" si="20"/>
        <v>0</v>
      </c>
    </row>
    <row r="37" spans="1:43">
      <c r="E37" s="52"/>
      <c r="F37" s="52"/>
      <c r="G37" s="52"/>
      <c r="H37" s="52"/>
      <c r="I37" s="52"/>
      <c r="J37" s="52"/>
      <c r="K37" s="52"/>
      <c r="L37" s="52"/>
      <c r="M37" s="52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</row>
    <row r="38" spans="1:43">
      <c r="A38" t="s">
        <v>380</v>
      </c>
      <c r="E38" s="52"/>
      <c r="F38" s="52"/>
      <c r="G38" s="52"/>
      <c r="H38" s="52"/>
      <c r="I38" s="52"/>
      <c r="J38" s="52"/>
      <c r="K38" s="52"/>
      <c r="L38" s="52"/>
      <c r="M38" s="52"/>
      <c r="N38" s="120">
        <f t="shared" ref="N38:AQ38" si="21">N25+N36</f>
        <v>0</v>
      </c>
      <c r="O38" s="120">
        <f t="shared" si="21"/>
        <v>0</v>
      </c>
      <c r="P38" s="120">
        <f t="shared" si="21"/>
        <v>0</v>
      </c>
      <c r="Q38" s="120">
        <f t="shared" si="21"/>
        <v>0</v>
      </c>
      <c r="R38" s="120">
        <f t="shared" si="21"/>
        <v>0</v>
      </c>
      <c r="S38" s="120">
        <f t="shared" si="21"/>
        <v>0</v>
      </c>
      <c r="T38" s="120">
        <f t="shared" si="21"/>
        <v>0</v>
      </c>
      <c r="U38" s="120">
        <f t="shared" si="21"/>
        <v>0</v>
      </c>
      <c r="V38" s="120">
        <f t="shared" si="21"/>
        <v>0</v>
      </c>
      <c r="W38" s="120">
        <f t="shared" si="21"/>
        <v>0</v>
      </c>
      <c r="X38" s="120">
        <f t="shared" si="21"/>
        <v>0</v>
      </c>
      <c r="Y38" s="120">
        <f t="shared" si="21"/>
        <v>0</v>
      </c>
      <c r="Z38" s="120">
        <f t="shared" si="21"/>
        <v>0</v>
      </c>
      <c r="AA38" s="120">
        <f t="shared" si="21"/>
        <v>0</v>
      </c>
      <c r="AB38" s="120">
        <f t="shared" si="21"/>
        <v>0</v>
      </c>
      <c r="AC38" s="120">
        <f t="shared" si="21"/>
        <v>0</v>
      </c>
      <c r="AD38" s="120">
        <f t="shared" si="21"/>
        <v>0</v>
      </c>
      <c r="AE38" s="120">
        <f t="shared" si="21"/>
        <v>0</v>
      </c>
      <c r="AF38" s="120">
        <f t="shared" si="21"/>
        <v>0</v>
      </c>
      <c r="AG38" s="120">
        <f t="shared" si="21"/>
        <v>0</v>
      </c>
      <c r="AH38" s="120">
        <f t="shared" si="21"/>
        <v>0</v>
      </c>
      <c r="AI38" s="120">
        <f t="shared" si="21"/>
        <v>0</v>
      </c>
      <c r="AJ38" s="120">
        <f t="shared" si="21"/>
        <v>0</v>
      </c>
      <c r="AK38" s="120">
        <f t="shared" si="21"/>
        <v>0</v>
      </c>
      <c r="AL38" s="120">
        <f t="shared" si="21"/>
        <v>0</v>
      </c>
      <c r="AM38" s="120">
        <f t="shared" si="21"/>
        <v>0</v>
      </c>
      <c r="AN38" s="120">
        <f t="shared" si="21"/>
        <v>0</v>
      </c>
      <c r="AO38" s="120">
        <f t="shared" si="21"/>
        <v>0</v>
      </c>
      <c r="AP38" s="120">
        <f t="shared" si="21"/>
        <v>0</v>
      </c>
      <c r="AQ38" s="120">
        <f t="shared" si="21"/>
        <v>0</v>
      </c>
    </row>
    <row r="39" spans="1:43">
      <c r="E39" s="52"/>
      <c r="F39" s="52"/>
      <c r="G39" s="52"/>
      <c r="H39" s="52"/>
      <c r="I39" s="52"/>
      <c r="J39" s="52"/>
      <c r="K39" s="52"/>
      <c r="L39" s="52"/>
      <c r="M39" s="52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</row>
    <row r="40" spans="1:43">
      <c r="A40" t="s">
        <v>71</v>
      </c>
      <c r="E40" s="102">
        <v>0.05</v>
      </c>
      <c r="F40" s="52"/>
      <c r="G40" s="52"/>
      <c r="H40" s="52"/>
      <c r="I40" s="52"/>
      <c r="J40" s="52"/>
      <c r="K40" s="52"/>
      <c r="L40" s="52"/>
      <c r="M40" s="52"/>
      <c r="N40" s="120">
        <f>-N38*$E$40</f>
        <v>0</v>
      </c>
      <c r="O40" s="120">
        <f t="shared" ref="O40:AQ40" si="22">-O38*$E$40</f>
        <v>0</v>
      </c>
      <c r="P40" s="120">
        <f t="shared" si="22"/>
        <v>0</v>
      </c>
      <c r="Q40" s="120">
        <f t="shared" si="22"/>
        <v>0</v>
      </c>
      <c r="R40" s="120">
        <f t="shared" si="22"/>
        <v>0</v>
      </c>
      <c r="S40" s="120">
        <f t="shared" si="22"/>
        <v>0</v>
      </c>
      <c r="T40" s="120">
        <f t="shared" si="22"/>
        <v>0</v>
      </c>
      <c r="U40" s="120">
        <f t="shared" si="22"/>
        <v>0</v>
      </c>
      <c r="V40" s="120">
        <f t="shared" si="22"/>
        <v>0</v>
      </c>
      <c r="W40" s="120">
        <f t="shared" si="22"/>
        <v>0</v>
      </c>
      <c r="X40" s="120">
        <f t="shared" si="22"/>
        <v>0</v>
      </c>
      <c r="Y40" s="120">
        <f t="shared" si="22"/>
        <v>0</v>
      </c>
      <c r="Z40" s="120">
        <f t="shared" si="22"/>
        <v>0</v>
      </c>
      <c r="AA40" s="120">
        <f t="shared" si="22"/>
        <v>0</v>
      </c>
      <c r="AB40" s="120">
        <f t="shared" si="22"/>
        <v>0</v>
      </c>
      <c r="AC40" s="120">
        <f t="shared" si="22"/>
        <v>0</v>
      </c>
      <c r="AD40" s="120">
        <f t="shared" si="22"/>
        <v>0</v>
      </c>
      <c r="AE40" s="120">
        <f t="shared" si="22"/>
        <v>0</v>
      </c>
      <c r="AF40" s="120">
        <f t="shared" si="22"/>
        <v>0</v>
      </c>
      <c r="AG40" s="120">
        <f t="shared" si="22"/>
        <v>0</v>
      </c>
      <c r="AH40" s="120">
        <f t="shared" si="22"/>
        <v>0</v>
      </c>
      <c r="AI40" s="120">
        <f t="shared" si="22"/>
        <v>0</v>
      </c>
      <c r="AJ40" s="120">
        <f t="shared" si="22"/>
        <v>0</v>
      </c>
      <c r="AK40" s="120">
        <f t="shared" si="22"/>
        <v>0</v>
      </c>
      <c r="AL40" s="120">
        <f t="shared" si="22"/>
        <v>0</v>
      </c>
      <c r="AM40" s="120">
        <f t="shared" si="22"/>
        <v>0</v>
      </c>
      <c r="AN40" s="120">
        <f t="shared" si="22"/>
        <v>0</v>
      </c>
      <c r="AO40" s="120">
        <f t="shared" si="22"/>
        <v>0</v>
      </c>
      <c r="AP40" s="120">
        <f t="shared" si="22"/>
        <v>0</v>
      </c>
      <c r="AQ40" s="120">
        <f t="shared" si="22"/>
        <v>0</v>
      </c>
    </row>
    <row r="41" spans="1:43">
      <c r="E41" s="52"/>
      <c r="F41" s="52"/>
      <c r="G41" s="52"/>
      <c r="H41" s="52"/>
      <c r="I41" s="52"/>
      <c r="J41" s="52"/>
      <c r="K41" s="52"/>
      <c r="L41" s="52"/>
      <c r="M41" s="52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  <c r="AE41" s="117"/>
      <c r="AF41" s="117"/>
      <c r="AG41" s="117"/>
      <c r="AH41" s="117"/>
      <c r="AI41" s="117"/>
      <c r="AJ41" s="117"/>
      <c r="AK41" s="117"/>
      <c r="AL41" s="117"/>
      <c r="AM41" s="117"/>
      <c r="AN41" s="117"/>
      <c r="AO41" s="117"/>
      <c r="AP41" s="117"/>
      <c r="AQ41" s="117"/>
    </row>
    <row r="42" spans="1:43" ht="15.75">
      <c r="A42" s="252" t="s">
        <v>616</v>
      </c>
      <c r="B42" s="12"/>
      <c r="C42" s="12"/>
      <c r="D42" s="12"/>
      <c r="E42" s="55"/>
      <c r="F42" s="52"/>
      <c r="G42" s="52"/>
      <c r="H42" s="52"/>
      <c r="I42" s="52"/>
      <c r="J42" s="52"/>
      <c r="K42" s="52"/>
      <c r="L42" s="52"/>
      <c r="M42" s="52"/>
      <c r="N42" s="253">
        <f t="shared" ref="N42:AQ42" si="23">N38+N40</f>
        <v>0</v>
      </c>
      <c r="O42" s="253">
        <f t="shared" si="23"/>
        <v>0</v>
      </c>
      <c r="P42" s="253">
        <f t="shared" si="23"/>
        <v>0</v>
      </c>
      <c r="Q42" s="253">
        <f t="shared" si="23"/>
        <v>0</v>
      </c>
      <c r="R42" s="253">
        <f t="shared" si="23"/>
        <v>0</v>
      </c>
      <c r="S42" s="253">
        <f t="shared" si="23"/>
        <v>0</v>
      </c>
      <c r="T42" s="253">
        <f t="shared" si="23"/>
        <v>0</v>
      </c>
      <c r="U42" s="253">
        <f t="shared" si="23"/>
        <v>0</v>
      </c>
      <c r="V42" s="253">
        <f t="shared" si="23"/>
        <v>0</v>
      </c>
      <c r="W42" s="253">
        <f t="shared" si="23"/>
        <v>0</v>
      </c>
      <c r="X42" s="253">
        <f t="shared" si="23"/>
        <v>0</v>
      </c>
      <c r="Y42" s="253">
        <f t="shared" si="23"/>
        <v>0</v>
      </c>
      <c r="Z42" s="253">
        <f t="shared" si="23"/>
        <v>0</v>
      </c>
      <c r="AA42" s="253">
        <f t="shared" si="23"/>
        <v>0</v>
      </c>
      <c r="AB42" s="253">
        <f t="shared" si="23"/>
        <v>0</v>
      </c>
      <c r="AC42" s="253">
        <f t="shared" si="23"/>
        <v>0</v>
      </c>
      <c r="AD42" s="253">
        <f t="shared" si="23"/>
        <v>0</v>
      </c>
      <c r="AE42" s="253">
        <f t="shared" si="23"/>
        <v>0</v>
      </c>
      <c r="AF42" s="253">
        <f t="shared" si="23"/>
        <v>0</v>
      </c>
      <c r="AG42" s="253">
        <f t="shared" si="23"/>
        <v>0</v>
      </c>
      <c r="AH42" s="253">
        <f t="shared" si="23"/>
        <v>0</v>
      </c>
      <c r="AI42" s="253">
        <f t="shared" si="23"/>
        <v>0</v>
      </c>
      <c r="AJ42" s="253">
        <f t="shared" si="23"/>
        <v>0</v>
      </c>
      <c r="AK42" s="253">
        <f t="shared" si="23"/>
        <v>0</v>
      </c>
      <c r="AL42" s="253">
        <f t="shared" si="23"/>
        <v>0</v>
      </c>
      <c r="AM42" s="253">
        <f t="shared" si="23"/>
        <v>0</v>
      </c>
      <c r="AN42" s="253">
        <f t="shared" si="23"/>
        <v>0</v>
      </c>
      <c r="AO42" s="253">
        <f t="shared" si="23"/>
        <v>0</v>
      </c>
      <c r="AP42" s="253">
        <f t="shared" si="23"/>
        <v>0</v>
      </c>
      <c r="AQ42" s="253">
        <f t="shared" si="23"/>
        <v>0</v>
      </c>
    </row>
    <row r="43" spans="1:43">
      <c r="E43" s="52"/>
      <c r="F43" s="52"/>
      <c r="G43" s="52"/>
      <c r="H43" s="52"/>
      <c r="I43" s="52"/>
      <c r="J43" s="52"/>
      <c r="K43" s="52"/>
      <c r="L43" s="52"/>
      <c r="M43" s="52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  <c r="AE43" s="117"/>
      <c r="AF43" s="117"/>
      <c r="AG43" s="117"/>
      <c r="AH43" s="117"/>
      <c r="AI43" s="117"/>
      <c r="AJ43" s="117"/>
      <c r="AK43" s="117"/>
      <c r="AL43" s="117"/>
      <c r="AM43" s="117"/>
      <c r="AN43" s="117"/>
      <c r="AO43" s="117"/>
      <c r="AP43" s="117"/>
      <c r="AQ43" s="117"/>
    </row>
    <row r="44" spans="1:43">
      <c r="E44" s="597"/>
      <c r="F44" s="52"/>
      <c r="G44" s="52"/>
      <c r="H44" s="52"/>
      <c r="I44" s="52"/>
      <c r="J44" s="52"/>
      <c r="K44" s="52"/>
      <c r="L44" s="52"/>
      <c r="M44" s="52"/>
      <c r="N44" s="120">
        <f>-N42*$E$44</f>
        <v>0</v>
      </c>
      <c r="O44" s="120">
        <f t="shared" ref="O44:AQ44" si="24">-O42*$E$44</f>
        <v>0</v>
      </c>
      <c r="P44" s="120">
        <f t="shared" si="24"/>
        <v>0</v>
      </c>
      <c r="Q44" s="120">
        <f t="shared" si="24"/>
        <v>0</v>
      </c>
      <c r="R44" s="120">
        <f t="shared" si="24"/>
        <v>0</v>
      </c>
      <c r="S44" s="120">
        <f t="shared" si="24"/>
        <v>0</v>
      </c>
      <c r="T44" s="120">
        <f t="shared" si="24"/>
        <v>0</v>
      </c>
      <c r="U44" s="120">
        <f t="shared" si="24"/>
        <v>0</v>
      </c>
      <c r="V44" s="120">
        <f t="shared" si="24"/>
        <v>0</v>
      </c>
      <c r="W44" s="120">
        <f t="shared" si="24"/>
        <v>0</v>
      </c>
      <c r="X44" s="120">
        <f t="shared" si="24"/>
        <v>0</v>
      </c>
      <c r="Y44" s="120">
        <f t="shared" si="24"/>
        <v>0</v>
      </c>
      <c r="Z44" s="120">
        <f t="shared" si="24"/>
        <v>0</v>
      </c>
      <c r="AA44" s="120">
        <f t="shared" si="24"/>
        <v>0</v>
      </c>
      <c r="AB44" s="120">
        <f t="shared" si="24"/>
        <v>0</v>
      </c>
      <c r="AC44" s="120">
        <f t="shared" si="24"/>
        <v>0</v>
      </c>
      <c r="AD44" s="120">
        <f t="shared" si="24"/>
        <v>0</v>
      </c>
      <c r="AE44" s="120">
        <f t="shared" si="24"/>
        <v>0</v>
      </c>
      <c r="AF44" s="120">
        <f t="shared" si="24"/>
        <v>0</v>
      </c>
      <c r="AG44" s="120">
        <f t="shared" si="24"/>
        <v>0</v>
      </c>
      <c r="AH44" s="120">
        <f t="shared" si="24"/>
        <v>0</v>
      </c>
      <c r="AI44" s="120">
        <f t="shared" si="24"/>
        <v>0</v>
      </c>
      <c r="AJ44" s="120">
        <f t="shared" si="24"/>
        <v>0</v>
      </c>
      <c r="AK44" s="120">
        <f t="shared" si="24"/>
        <v>0</v>
      </c>
      <c r="AL44" s="120">
        <f t="shared" si="24"/>
        <v>0</v>
      </c>
      <c r="AM44" s="120">
        <f t="shared" si="24"/>
        <v>0</v>
      </c>
      <c r="AN44" s="120">
        <f t="shared" si="24"/>
        <v>0</v>
      </c>
      <c r="AO44" s="120">
        <f t="shared" si="24"/>
        <v>0</v>
      </c>
      <c r="AP44" s="120">
        <f t="shared" si="24"/>
        <v>0</v>
      </c>
      <c r="AQ44" s="120">
        <f t="shared" si="24"/>
        <v>0</v>
      </c>
    </row>
    <row r="45" spans="1:43" ht="15.75">
      <c r="A45" s="252" t="s">
        <v>621</v>
      </c>
      <c r="E45" s="597"/>
      <c r="F45" s="52"/>
      <c r="G45" s="52"/>
      <c r="H45" s="52"/>
      <c r="I45" s="52"/>
      <c r="J45" s="52"/>
      <c r="K45" s="52"/>
      <c r="L45" s="52"/>
      <c r="M45" s="52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20"/>
      <c r="AM45" s="120"/>
      <c r="AN45" s="120"/>
      <c r="AO45" s="120"/>
      <c r="AP45" s="120"/>
      <c r="AQ45" s="120"/>
    </row>
    <row r="46" spans="1:43">
      <c r="A46" s="147" t="s">
        <v>620</v>
      </c>
      <c r="B46" s="132"/>
      <c r="C46" s="132"/>
    </row>
    <row r="47" spans="1:43">
      <c r="E47" s="52"/>
      <c r="F47" s="52"/>
      <c r="G47" s="52"/>
      <c r="N47" s="117"/>
      <c r="O47" s="248"/>
      <c r="P47" s="248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</row>
    <row r="48" spans="1:43">
      <c r="A48" s="23" t="s">
        <v>388</v>
      </c>
      <c r="B48" s="23"/>
      <c r="C48" s="23"/>
      <c r="D48" s="23"/>
      <c r="E48" s="52"/>
      <c r="F48" s="52"/>
      <c r="G48" s="52"/>
      <c r="N48" s="250">
        <f>'Comm Income'!H11</f>
        <v>0</v>
      </c>
      <c r="O48" s="248">
        <f>(+N48*$M$6)+N48</f>
        <v>0</v>
      </c>
      <c r="P48" s="248">
        <f t="shared" ref="P48:AQ48" si="25">(+O48*$M$6)+O48</f>
        <v>0</v>
      </c>
      <c r="Q48" s="248">
        <f t="shared" si="25"/>
        <v>0</v>
      </c>
      <c r="R48" s="248">
        <f t="shared" si="25"/>
        <v>0</v>
      </c>
      <c r="S48" s="248">
        <f t="shared" si="25"/>
        <v>0</v>
      </c>
      <c r="T48" s="248">
        <f t="shared" si="25"/>
        <v>0</v>
      </c>
      <c r="U48" s="248">
        <f t="shared" si="25"/>
        <v>0</v>
      </c>
      <c r="V48" s="248">
        <f t="shared" si="25"/>
        <v>0</v>
      </c>
      <c r="W48" s="248">
        <f t="shared" si="25"/>
        <v>0</v>
      </c>
      <c r="X48" s="248">
        <f t="shared" si="25"/>
        <v>0</v>
      </c>
      <c r="Y48" s="248">
        <f t="shared" si="25"/>
        <v>0</v>
      </c>
      <c r="Z48" s="248">
        <f t="shared" si="25"/>
        <v>0</v>
      </c>
      <c r="AA48" s="248">
        <f t="shared" si="25"/>
        <v>0</v>
      </c>
      <c r="AB48" s="248">
        <f t="shared" si="25"/>
        <v>0</v>
      </c>
      <c r="AC48" s="248">
        <f t="shared" si="25"/>
        <v>0</v>
      </c>
      <c r="AD48" s="248">
        <f t="shared" si="25"/>
        <v>0</v>
      </c>
      <c r="AE48" s="248">
        <f t="shared" si="25"/>
        <v>0</v>
      </c>
      <c r="AF48" s="248">
        <f t="shared" si="25"/>
        <v>0</v>
      </c>
      <c r="AG48" s="248">
        <f t="shared" si="25"/>
        <v>0</v>
      </c>
      <c r="AH48" s="248">
        <f t="shared" si="25"/>
        <v>0</v>
      </c>
      <c r="AI48" s="248">
        <f t="shared" si="25"/>
        <v>0</v>
      </c>
      <c r="AJ48" s="248">
        <f t="shared" si="25"/>
        <v>0</v>
      </c>
      <c r="AK48" s="248">
        <f t="shared" si="25"/>
        <v>0</v>
      </c>
      <c r="AL48" s="248">
        <f t="shared" si="25"/>
        <v>0</v>
      </c>
      <c r="AM48" s="248">
        <f t="shared" si="25"/>
        <v>0</v>
      </c>
      <c r="AN48" s="248">
        <f t="shared" si="25"/>
        <v>0</v>
      </c>
      <c r="AO48" s="248">
        <f t="shared" si="25"/>
        <v>0</v>
      </c>
      <c r="AP48" s="248">
        <f t="shared" si="25"/>
        <v>0</v>
      </c>
      <c r="AQ48" s="248">
        <f t="shared" si="25"/>
        <v>0</v>
      </c>
    </row>
    <row r="49" spans="1:43">
      <c r="A49" s="23" t="str">
        <f>'Comm Income'!A12</f>
        <v>Other:</v>
      </c>
      <c r="B49" s="23"/>
      <c r="C49" s="23"/>
      <c r="D49" s="23"/>
      <c r="E49" s="52"/>
      <c r="F49" s="52"/>
      <c r="G49" s="52"/>
      <c r="N49" s="250">
        <f>'Comm Income'!H12</f>
        <v>0</v>
      </c>
      <c r="O49" s="248">
        <f t="shared" ref="O49:AQ49" si="26">(+N49*$M$6)+N49</f>
        <v>0</v>
      </c>
      <c r="P49" s="248">
        <f t="shared" si="26"/>
        <v>0</v>
      </c>
      <c r="Q49" s="248">
        <f t="shared" si="26"/>
        <v>0</v>
      </c>
      <c r="R49" s="248">
        <f t="shared" si="26"/>
        <v>0</v>
      </c>
      <c r="S49" s="248">
        <f t="shared" si="26"/>
        <v>0</v>
      </c>
      <c r="T49" s="248">
        <f t="shared" si="26"/>
        <v>0</v>
      </c>
      <c r="U49" s="248">
        <f t="shared" si="26"/>
        <v>0</v>
      </c>
      <c r="V49" s="248">
        <f t="shared" si="26"/>
        <v>0</v>
      </c>
      <c r="W49" s="248">
        <f t="shared" si="26"/>
        <v>0</v>
      </c>
      <c r="X49" s="248">
        <f t="shared" si="26"/>
        <v>0</v>
      </c>
      <c r="Y49" s="248">
        <f t="shared" si="26"/>
        <v>0</v>
      </c>
      <c r="Z49" s="248">
        <f t="shared" si="26"/>
        <v>0</v>
      </c>
      <c r="AA49" s="248">
        <f t="shared" si="26"/>
        <v>0</v>
      </c>
      <c r="AB49" s="248">
        <f t="shared" si="26"/>
        <v>0</v>
      </c>
      <c r="AC49" s="248">
        <f t="shared" si="26"/>
        <v>0</v>
      </c>
      <c r="AD49" s="248">
        <f t="shared" si="26"/>
        <v>0</v>
      </c>
      <c r="AE49" s="248">
        <f t="shared" si="26"/>
        <v>0</v>
      </c>
      <c r="AF49" s="248">
        <f t="shared" si="26"/>
        <v>0</v>
      </c>
      <c r="AG49" s="248">
        <f t="shared" si="26"/>
        <v>0</v>
      </c>
      <c r="AH49" s="248">
        <f t="shared" si="26"/>
        <v>0</v>
      </c>
      <c r="AI49" s="248">
        <f t="shared" si="26"/>
        <v>0</v>
      </c>
      <c r="AJ49" s="248">
        <f t="shared" si="26"/>
        <v>0</v>
      </c>
      <c r="AK49" s="248">
        <f t="shared" si="26"/>
        <v>0</v>
      </c>
      <c r="AL49" s="248">
        <f t="shared" si="26"/>
        <v>0</v>
      </c>
      <c r="AM49" s="248">
        <f t="shared" si="26"/>
        <v>0</v>
      </c>
      <c r="AN49" s="248">
        <f t="shared" si="26"/>
        <v>0</v>
      </c>
      <c r="AO49" s="248">
        <f t="shared" si="26"/>
        <v>0</v>
      </c>
      <c r="AP49" s="248">
        <f t="shared" si="26"/>
        <v>0</v>
      </c>
      <c r="AQ49" s="248">
        <f t="shared" si="26"/>
        <v>0</v>
      </c>
    </row>
    <row r="50" spans="1:43">
      <c r="A50" s="23" t="str">
        <f>'Comm Income'!A13</f>
        <v>Other:</v>
      </c>
      <c r="B50" s="23"/>
      <c r="C50" s="23"/>
      <c r="D50" s="23"/>
      <c r="E50" s="52"/>
      <c r="F50" s="52"/>
      <c r="G50" s="52"/>
      <c r="N50" s="250">
        <f>'Comm Income'!H13</f>
        <v>0</v>
      </c>
      <c r="O50" s="248">
        <f t="shared" ref="O50:AQ50" si="27">(+N50*$M$6)+N50</f>
        <v>0</v>
      </c>
      <c r="P50" s="248">
        <f t="shared" si="27"/>
        <v>0</v>
      </c>
      <c r="Q50" s="248">
        <f t="shared" si="27"/>
        <v>0</v>
      </c>
      <c r="R50" s="248">
        <f t="shared" si="27"/>
        <v>0</v>
      </c>
      <c r="S50" s="248">
        <f t="shared" si="27"/>
        <v>0</v>
      </c>
      <c r="T50" s="248">
        <f t="shared" si="27"/>
        <v>0</v>
      </c>
      <c r="U50" s="248">
        <f t="shared" si="27"/>
        <v>0</v>
      </c>
      <c r="V50" s="248">
        <f t="shared" si="27"/>
        <v>0</v>
      </c>
      <c r="W50" s="248">
        <f t="shared" si="27"/>
        <v>0</v>
      </c>
      <c r="X50" s="248">
        <f t="shared" si="27"/>
        <v>0</v>
      </c>
      <c r="Y50" s="248">
        <f t="shared" si="27"/>
        <v>0</v>
      </c>
      <c r="Z50" s="248">
        <f t="shared" si="27"/>
        <v>0</v>
      </c>
      <c r="AA50" s="248">
        <f t="shared" si="27"/>
        <v>0</v>
      </c>
      <c r="AB50" s="248">
        <f t="shared" si="27"/>
        <v>0</v>
      </c>
      <c r="AC50" s="248">
        <f t="shared" si="27"/>
        <v>0</v>
      </c>
      <c r="AD50" s="248">
        <f t="shared" si="27"/>
        <v>0</v>
      </c>
      <c r="AE50" s="248">
        <f t="shared" si="27"/>
        <v>0</v>
      </c>
      <c r="AF50" s="248">
        <f t="shared" si="27"/>
        <v>0</v>
      </c>
      <c r="AG50" s="248">
        <f t="shared" si="27"/>
        <v>0</v>
      </c>
      <c r="AH50" s="248">
        <f t="shared" si="27"/>
        <v>0</v>
      </c>
      <c r="AI50" s="248">
        <f t="shared" si="27"/>
        <v>0</v>
      </c>
      <c r="AJ50" s="248">
        <f t="shared" si="27"/>
        <v>0</v>
      </c>
      <c r="AK50" s="248">
        <f t="shared" si="27"/>
        <v>0</v>
      </c>
      <c r="AL50" s="248">
        <f t="shared" si="27"/>
        <v>0</v>
      </c>
      <c r="AM50" s="248">
        <f t="shared" si="27"/>
        <v>0</v>
      </c>
      <c r="AN50" s="248">
        <f t="shared" si="27"/>
        <v>0</v>
      </c>
      <c r="AO50" s="248">
        <f t="shared" si="27"/>
        <v>0</v>
      </c>
      <c r="AP50" s="248">
        <f t="shared" si="27"/>
        <v>0</v>
      </c>
      <c r="AQ50" s="248">
        <f t="shared" si="27"/>
        <v>0</v>
      </c>
    </row>
    <row r="51" spans="1:43">
      <c r="A51" s="23" t="str">
        <f>'Comm Income'!A14</f>
        <v>Other:</v>
      </c>
      <c r="B51" s="23"/>
      <c r="C51" s="23"/>
      <c r="D51" s="23"/>
      <c r="E51" s="52"/>
      <c r="F51" s="52"/>
      <c r="G51" s="52"/>
      <c r="N51" s="250">
        <f>'Comm Income'!H14</f>
        <v>0</v>
      </c>
      <c r="O51" s="248">
        <f t="shared" ref="O51:AQ51" si="28">(+N51*$M$6)+N51</f>
        <v>0</v>
      </c>
      <c r="P51" s="248">
        <f t="shared" si="28"/>
        <v>0</v>
      </c>
      <c r="Q51" s="248">
        <f t="shared" si="28"/>
        <v>0</v>
      </c>
      <c r="R51" s="248">
        <f t="shared" si="28"/>
        <v>0</v>
      </c>
      <c r="S51" s="248">
        <f t="shared" si="28"/>
        <v>0</v>
      </c>
      <c r="T51" s="248">
        <f t="shared" si="28"/>
        <v>0</v>
      </c>
      <c r="U51" s="248">
        <f t="shared" si="28"/>
        <v>0</v>
      </c>
      <c r="V51" s="248">
        <f t="shared" si="28"/>
        <v>0</v>
      </c>
      <c r="W51" s="248">
        <f t="shared" si="28"/>
        <v>0</v>
      </c>
      <c r="X51" s="248">
        <f t="shared" si="28"/>
        <v>0</v>
      </c>
      <c r="Y51" s="248">
        <f t="shared" si="28"/>
        <v>0</v>
      </c>
      <c r="Z51" s="248">
        <f t="shared" si="28"/>
        <v>0</v>
      </c>
      <c r="AA51" s="248">
        <f t="shared" si="28"/>
        <v>0</v>
      </c>
      <c r="AB51" s="248">
        <f t="shared" si="28"/>
        <v>0</v>
      </c>
      <c r="AC51" s="248">
        <f t="shared" si="28"/>
        <v>0</v>
      </c>
      <c r="AD51" s="248">
        <f t="shared" si="28"/>
        <v>0</v>
      </c>
      <c r="AE51" s="248">
        <f t="shared" si="28"/>
        <v>0</v>
      </c>
      <c r="AF51" s="248">
        <f t="shared" si="28"/>
        <v>0</v>
      </c>
      <c r="AG51" s="248">
        <f t="shared" si="28"/>
        <v>0</v>
      </c>
      <c r="AH51" s="248">
        <f t="shared" si="28"/>
        <v>0</v>
      </c>
      <c r="AI51" s="248">
        <f t="shared" si="28"/>
        <v>0</v>
      </c>
      <c r="AJ51" s="248">
        <f t="shared" si="28"/>
        <v>0</v>
      </c>
      <c r="AK51" s="248">
        <f t="shared" si="28"/>
        <v>0</v>
      </c>
      <c r="AL51" s="248">
        <f t="shared" si="28"/>
        <v>0</v>
      </c>
      <c r="AM51" s="248">
        <f t="shared" si="28"/>
        <v>0</v>
      </c>
      <c r="AN51" s="248">
        <f t="shared" si="28"/>
        <v>0</v>
      </c>
      <c r="AO51" s="248">
        <f t="shared" si="28"/>
        <v>0</v>
      </c>
      <c r="AP51" s="248">
        <f t="shared" si="28"/>
        <v>0</v>
      </c>
      <c r="AQ51" s="248">
        <f t="shared" si="28"/>
        <v>0</v>
      </c>
    </row>
    <row r="52" spans="1:43">
      <c r="A52" s="23" t="str">
        <f>'Comm Income'!A15</f>
        <v>Other:</v>
      </c>
      <c r="B52" s="23"/>
      <c r="C52" s="23"/>
      <c r="D52" s="23"/>
      <c r="E52" s="52"/>
      <c r="F52" s="52"/>
      <c r="G52" s="52"/>
      <c r="N52" s="250">
        <f>'Comm Income'!H15</f>
        <v>0</v>
      </c>
      <c r="O52" s="248">
        <f t="shared" ref="O52:AQ52" si="29">(+N52*$M$6)+N52</f>
        <v>0</v>
      </c>
      <c r="P52" s="248">
        <f t="shared" si="29"/>
        <v>0</v>
      </c>
      <c r="Q52" s="248">
        <f t="shared" si="29"/>
        <v>0</v>
      </c>
      <c r="R52" s="248">
        <f t="shared" si="29"/>
        <v>0</v>
      </c>
      <c r="S52" s="248">
        <f t="shared" si="29"/>
        <v>0</v>
      </c>
      <c r="T52" s="248">
        <f t="shared" si="29"/>
        <v>0</v>
      </c>
      <c r="U52" s="248">
        <f t="shared" si="29"/>
        <v>0</v>
      </c>
      <c r="V52" s="248">
        <f t="shared" si="29"/>
        <v>0</v>
      </c>
      <c r="W52" s="248">
        <f t="shared" si="29"/>
        <v>0</v>
      </c>
      <c r="X52" s="248">
        <f t="shared" si="29"/>
        <v>0</v>
      </c>
      <c r="Y52" s="248">
        <f t="shared" si="29"/>
        <v>0</v>
      </c>
      <c r="Z52" s="248">
        <f t="shared" si="29"/>
        <v>0</v>
      </c>
      <c r="AA52" s="248">
        <f t="shared" si="29"/>
        <v>0</v>
      </c>
      <c r="AB52" s="248">
        <f t="shared" si="29"/>
        <v>0</v>
      </c>
      <c r="AC52" s="248">
        <f t="shared" si="29"/>
        <v>0</v>
      </c>
      <c r="AD52" s="248">
        <f t="shared" si="29"/>
        <v>0</v>
      </c>
      <c r="AE52" s="248">
        <f t="shared" si="29"/>
        <v>0</v>
      </c>
      <c r="AF52" s="248">
        <f t="shared" si="29"/>
        <v>0</v>
      </c>
      <c r="AG52" s="248">
        <f t="shared" si="29"/>
        <v>0</v>
      </c>
      <c r="AH52" s="248">
        <f t="shared" si="29"/>
        <v>0</v>
      </c>
      <c r="AI52" s="248">
        <f t="shared" si="29"/>
        <v>0</v>
      </c>
      <c r="AJ52" s="248">
        <f t="shared" si="29"/>
        <v>0</v>
      </c>
      <c r="AK52" s="248">
        <f t="shared" si="29"/>
        <v>0</v>
      </c>
      <c r="AL52" s="248">
        <f t="shared" si="29"/>
        <v>0</v>
      </c>
      <c r="AM52" s="248">
        <f t="shared" si="29"/>
        <v>0</v>
      </c>
      <c r="AN52" s="248">
        <f t="shared" si="29"/>
        <v>0</v>
      </c>
      <c r="AO52" s="248">
        <f t="shared" si="29"/>
        <v>0</v>
      </c>
      <c r="AP52" s="248">
        <f t="shared" si="29"/>
        <v>0</v>
      </c>
      <c r="AQ52" s="248">
        <f t="shared" si="29"/>
        <v>0</v>
      </c>
    </row>
    <row r="53" spans="1:43">
      <c r="A53" s="23" t="str">
        <f>'Comm Income'!A16</f>
        <v>Other:</v>
      </c>
      <c r="B53" s="23"/>
      <c r="C53" s="23"/>
      <c r="D53" s="23"/>
      <c r="E53" s="52"/>
      <c r="F53" s="52"/>
      <c r="G53" s="52"/>
      <c r="N53" s="250">
        <f>'Comm Income'!H16</f>
        <v>0</v>
      </c>
      <c r="O53" s="248">
        <f t="shared" ref="O53:AQ53" si="30">(+N53*$M$6)+N53</f>
        <v>0</v>
      </c>
      <c r="P53" s="248">
        <f t="shared" si="30"/>
        <v>0</v>
      </c>
      <c r="Q53" s="248">
        <f t="shared" si="30"/>
        <v>0</v>
      </c>
      <c r="R53" s="248">
        <f t="shared" si="30"/>
        <v>0</v>
      </c>
      <c r="S53" s="248">
        <f t="shared" si="30"/>
        <v>0</v>
      </c>
      <c r="T53" s="248">
        <f t="shared" si="30"/>
        <v>0</v>
      </c>
      <c r="U53" s="248">
        <f t="shared" si="30"/>
        <v>0</v>
      </c>
      <c r="V53" s="248">
        <f t="shared" si="30"/>
        <v>0</v>
      </c>
      <c r="W53" s="248">
        <f t="shared" si="30"/>
        <v>0</v>
      </c>
      <c r="X53" s="248">
        <f t="shared" si="30"/>
        <v>0</v>
      </c>
      <c r="Y53" s="248">
        <f t="shared" si="30"/>
        <v>0</v>
      </c>
      <c r="Z53" s="248">
        <f t="shared" si="30"/>
        <v>0</v>
      </c>
      <c r="AA53" s="248">
        <f t="shared" si="30"/>
        <v>0</v>
      </c>
      <c r="AB53" s="248">
        <f t="shared" si="30"/>
        <v>0</v>
      </c>
      <c r="AC53" s="248">
        <f t="shared" si="30"/>
        <v>0</v>
      </c>
      <c r="AD53" s="248">
        <f t="shared" si="30"/>
        <v>0</v>
      </c>
      <c r="AE53" s="248">
        <f t="shared" si="30"/>
        <v>0</v>
      </c>
      <c r="AF53" s="248">
        <f t="shared" si="30"/>
        <v>0</v>
      </c>
      <c r="AG53" s="248">
        <f t="shared" si="30"/>
        <v>0</v>
      </c>
      <c r="AH53" s="248">
        <f t="shared" si="30"/>
        <v>0</v>
      </c>
      <c r="AI53" s="248">
        <f t="shared" si="30"/>
        <v>0</v>
      </c>
      <c r="AJ53" s="248">
        <f t="shared" si="30"/>
        <v>0</v>
      </c>
      <c r="AK53" s="248">
        <f t="shared" si="30"/>
        <v>0</v>
      </c>
      <c r="AL53" s="248">
        <f t="shared" si="30"/>
        <v>0</v>
      </c>
      <c r="AM53" s="248">
        <f t="shared" si="30"/>
        <v>0</v>
      </c>
      <c r="AN53" s="248">
        <f t="shared" si="30"/>
        <v>0</v>
      </c>
      <c r="AO53" s="248">
        <f t="shared" si="30"/>
        <v>0</v>
      </c>
      <c r="AP53" s="248">
        <f t="shared" si="30"/>
        <v>0</v>
      </c>
      <c r="AQ53" s="248">
        <f t="shared" si="30"/>
        <v>0</v>
      </c>
    </row>
    <row r="54" spans="1:43">
      <c r="A54" s="23" t="str">
        <f>'Comm Income'!A17</f>
        <v>Other:</v>
      </c>
      <c r="B54" s="23"/>
      <c r="C54" s="23"/>
      <c r="D54" s="23"/>
      <c r="E54" s="212"/>
      <c r="F54" s="212"/>
      <c r="G54" s="212"/>
      <c r="N54" s="250">
        <f>'Comm Income'!H17</f>
        <v>0</v>
      </c>
      <c r="O54" s="248">
        <f t="shared" ref="O54:AQ54" si="31">(+N54*$M$6)+N54</f>
        <v>0</v>
      </c>
      <c r="P54" s="248">
        <f t="shared" si="31"/>
        <v>0</v>
      </c>
      <c r="Q54" s="248">
        <f t="shared" si="31"/>
        <v>0</v>
      </c>
      <c r="R54" s="248">
        <f t="shared" si="31"/>
        <v>0</v>
      </c>
      <c r="S54" s="248">
        <f t="shared" si="31"/>
        <v>0</v>
      </c>
      <c r="T54" s="248">
        <f t="shared" si="31"/>
        <v>0</v>
      </c>
      <c r="U54" s="248">
        <f t="shared" si="31"/>
        <v>0</v>
      </c>
      <c r="V54" s="248">
        <f t="shared" si="31"/>
        <v>0</v>
      </c>
      <c r="W54" s="248">
        <f t="shared" si="31"/>
        <v>0</v>
      </c>
      <c r="X54" s="248">
        <f t="shared" si="31"/>
        <v>0</v>
      </c>
      <c r="Y54" s="248">
        <f t="shared" si="31"/>
        <v>0</v>
      </c>
      <c r="Z54" s="248">
        <f t="shared" si="31"/>
        <v>0</v>
      </c>
      <c r="AA54" s="248">
        <f t="shared" si="31"/>
        <v>0</v>
      </c>
      <c r="AB54" s="248">
        <f t="shared" si="31"/>
        <v>0</v>
      </c>
      <c r="AC54" s="248">
        <f t="shared" si="31"/>
        <v>0</v>
      </c>
      <c r="AD54" s="248">
        <f t="shared" si="31"/>
        <v>0</v>
      </c>
      <c r="AE54" s="248">
        <f t="shared" si="31"/>
        <v>0</v>
      </c>
      <c r="AF54" s="248">
        <f t="shared" si="31"/>
        <v>0</v>
      </c>
      <c r="AG54" s="248">
        <f t="shared" si="31"/>
        <v>0</v>
      </c>
      <c r="AH54" s="248">
        <f t="shared" si="31"/>
        <v>0</v>
      </c>
      <c r="AI54" s="248">
        <f t="shared" si="31"/>
        <v>0</v>
      </c>
      <c r="AJ54" s="248">
        <f t="shared" si="31"/>
        <v>0</v>
      </c>
      <c r="AK54" s="248">
        <f t="shared" si="31"/>
        <v>0</v>
      </c>
      <c r="AL54" s="248">
        <f t="shared" si="31"/>
        <v>0</v>
      </c>
      <c r="AM54" s="248">
        <f t="shared" si="31"/>
        <v>0</v>
      </c>
      <c r="AN54" s="248">
        <f t="shared" si="31"/>
        <v>0</v>
      </c>
      <c r="AO54" s="248">
        <f t="shared" si="31"/>
        <v>0</v>
      </c>
      <c r="AP54" s="248">
        <f t="shared" si="31"/>
        <v>0</v>
      </c>
      <c r="AQ54" s="248">
        <f t="shared" si="31"/>
        <v>0</v>
      </c>
    </row>
    <row r="55" spans="1:43">
      <c r="A55" s="23"/>
      <c r="B55" s="23"/>
      <c r="C55" s="23"/>
      <c r="D55" s="23"/>
      <c r="E55" s="212"/>
      <c r="F55" s="212"/>
      <c r="G55" s="212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</row>
    <row r="56" spans="1:43">
      <c r="A56" s="12" t="s">
        <v>389</v>
      </c>
      <c r="B56" s="12"/>
      <c r="C56" s="12"/>
      <c r="D56" s="12"/>
      <c r="E56" s="52"/>
      <c r="F56" s="52"/>
      <c r="G56" s="52"/>
      <c r="N56" s="117">
        <f>SUM(N48:N55)</f>
        <v>0</v>
      </c>
      <c r="O56" s="118">
        <f t="shared" ref="O56:AQ56" si="32">SUM(O48:O55)</f>
        <v>0</v>
      </c>
      <c r="P56" s="118">
        <f t="shared" si="32"/>
        <v>0</v>
      </c>
      <c r="Q56" s="118">
        <f t="shared" si="32"/>
        <v>0</v>
      </c>
      <c r="R56" s="118">
        <f t="shared" si="32"/>
        <v>0</v>
      </c>
      <c r="S56" s="118">
        <f t="shared" si="32"/>
        <v>0</v>
      </c>
      <c r="T56" s="118">
        <f t="shared" si="32"/>
        <v>0</v>
      </c>
      <c r="U56" s="118">
        <f t="shared" si="32"/>
        <v>0</v>
      </c>
      <c r="V56" s="118">
        <f t="shared" si="32"/>
        <v>0</v>
      </c>
      <c r="W56" s="118">
        <f t="shared" si="32"/>
        <v>0</v>
      </c>
      <c r="X56" s="118">
        <f t="shared" si="32"/>
        <v>0</v>
      </c>
      <c r="Y56" s="118">
        <f t="shared" si="32"/>
        <v>0</v>
      </c>
      <c r="Z56" s="118">
        <f t="shared" si="32"/>
        <v>0</v>
      </c>
      <c r="AA56" s="118">
        <f t="shared" si="32"/>
        <v>0</v>
      </c>
      <c r="AB56" s="118">
        <f t="shared" si="32"/>
        <v>0</v>
      </c>
      <c r="AC56" s="118">
        <f t="shared" si="32"/>
        <v>0</v>
      </c>
      <c r="AD56" s="118">
        <f t="shared" si="32"/>
        <v>0</v>
      </c>
      <c r="AE56" s="118">
        <f t="shared" si="32"/>
        <v>0</v>
      </c>
      <c r="AF56" s="118">
        <f t="shared" si="32"/>
        <v>0</v>
      </c>
      <c r="AG56" s="118">
        <f t="shared" si="32"/>
        <v>0</v>
      </c>
      <c r="AH56" s="118">
        <f t="shared" si="32"/>
        <v>0</v>
      </c>
      <c r="AI56" s="118">
        <f t="shared" si="32"/>
        <v>0</v>
      </c>
      <c r="AJ56" s="118">
        <f t="shared" si="32"/>
        <v>0</v>
      </c>
      <c r="AK56" s="118">
        <f t="shared" si="32"/>
        <v>0</v>
      </c>
      <c r="AL56" s="118">
        <f t="shared" si="32"/>
        <v>0</v>
      </c>
      <c r="AM56" s="118">
        <f t="shared" si="32"/>
        <v>0</v>
      </c>
      <c r="AN56" s="118">
        <f t="shared" si="32"/>
        <v>0</v>
      </c>
      <c r="AO56" s="118">
        <f t="shared" si="32"/>
        <v>0</v>
      </c>
      <c r="AP56" s="118">
        <f t="shared" si="32"/>
        <v>0</v>
      </c>
      <c r="AQ56" s="118">
        <f t="shared" si="32"/>
        <v>0</v>
      </c>
    </row>
    <row r="57" spans="1:43">
      <c r="E57" s="52"/>
      <c r="F57" s="52"/>
      <c r="G57" s="52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</row>
    <row r="58" spans="1:43">
      <c r="A58" t="s">
        <v>71</v>
      </c>
      <c r="E58" s="102">
        <v>0.1</v>
      </c>
      <c r="F58" s="52"/>
      <c r="G58" s="52"/>
      <c r="N58" s="251">
        <f>N56*$E$58</f>
        <v>0</v>
      </c>
      <c r="O58" s="251">
        <f t="shared" ref="O58:AQ58" si="33">O56*$E$58</f>
        <v>0</v>
      </c>
      <c r="P58" s="251">
        <f t="shared" si="33"/>
        <v>0</v>
      </c>
      <c r="Q58" s="251">
        <f t="shared" si="33"/>
        <v>0</v>
      </c>
      <c r="R58" s="251">
        <f t="shared" si="33"/>
        <v>0</v>
      </c>
      <c r="S58" s="251">
        <f t="shared" si="33"/>
        <v>0</v>
      </c>
      <c r="T58" s="251">
        <f t="shared" si="33"/>
        <v>0</v>
      </c>
      <c r="U58" s="251">
        <f t="shared" si="33"/>
        <v>0</v>
      </c>
      <c r="V58" s="251">
        <f t="shared" si="33"/>
        <v>0</v>
      </c>
      <c r="W58" s="251">
        <f t="shared" si="33"/>
        <v>0</v>
      </c>
      <c r="X58" s="251">
        <f t="shared" si="33"/>
        <v>0</v>
      </c>
      <c r="Y58" s="251">
        <f t="shared" si="33"/>
        <v>0</v>
      </c>
      <c r="Z58" s="251">
        <f t="shared" si="33"/>
        <v>0</v>
      </c>
      <c r="AA58" s="251">
        <f t="shared" si="33"/>
        <v>0</v>
      </c>
      <c r="AB58" s="251">
        <f t="shared" si="33"/>
        <v>0</v>
      </c>
      <c r="AC58" s="251">
        <f t="shared" si="33"/>
        <v>0</v>
      </c>
      <c r="AD58" s="251">
        <f t="shared" si="33"/>
        <v>0</v>
      </c>
      <c r="AE58" s="251">
        <f t="shared" si="33"/>
        <v>0</v>
      </c>
      <c r="AF58" s="251">
        <f t="shared" si="33"/>
        <v>0</v>
      </c>
      <c r="AG58" s="251">
        <f t="shared" si="33"/>
        <v>0</v>
      </c>
      <c r="AH58" s="251">
        <f t="shared" si="33"/>
        <v>0</v>
      </c>
      <c r="AI58" s="251">
        <f t="shared" si="33"/>
        <v>0</v>
      </c>
      <c r="AJ58" s="251">
        <f t="shared" si="33"/>
        <v>0</v>
      </c>
      <c r="AK58" s="251">
        <f t="shared" si="33"/>
        <v>0</v>
      </c>
      <c r="AL58" s="251">
        <f t="shared" si="33"/>
        <v>0</v>
      </c>
      <c r="AM58" s="251">
        <f t="shared" si="33"/>
        <v>0</v>
      </c>
      <c r="AN58" s="251">
        <f t="shared" si="33"/>
        <v>0</v>
      </c>
      <c r="AO58" s="251">
        <f t="shared" si="33"/>
        <v>0</v>
      </c>
      <c r="AP58" s="251">
        <f t="shared" si="33"/>
        <v>0</v>
      </c>
      <c r="AQ58" s="251">
        <f t="shared" si="33"/>
        <v>0</v>
      </c>
    </row>
    <row r="59" spans="1:43">
      <c r="E59" s="52"/>
      <c r="F59" s="52"/>
      <c r="G59" s="52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</row>
    <row r="60" spans="1:43" ht="15.75">
      <c r="A60" s="252" t="s">
        <v>617</v>
      </c>
      <c r="B60" s="12"/>
      <c r="C60" s="12"/>
      <c r="D60" s="12"/>
      <c r="E60" s="55"/>
      <c r="F60" s="52"/>
      <c r="G60" s="52"/>
      <c r="N60" s="253">
        <f>N56-N58</f>
        <v>0</v>
      </c>
      <c r="O60" s="253">
        <f t="shared" ref="O60:AQ60" si="34">O56-O58</f>
        <v>0</v>
      </c>
      <c r="P60" s="253">
        <f t="shared" si="34"/>
        <v>0</v>
      </c>
      <c r="Q60" s="253">
        <f t="shared" si="34"/>
        <v>0</v>
      </c>
      <c r="R60" s="253">
        <f t="shared" si="34"/>
        <v>0</v>
      </c>
      <c r="S60" s="253">
        <f t="shared" si="34"/>
        <v>0</v>
      </c>
      <c r="T60" s="253">
        <f t="shared" si="34"/>
        <v>0</v>
      </c>
      <c r="U60" s="253">
        <f t="shared" si="34"/>
        <v>0</v>
      </c>
      <c r="V60" s="253">
        <f t="shared" si="34"/>
        <v>0</v>
      </c>
      <c r="W60" s="253">
        <f t="shared" si="34"/>
        <v>0</v>
      </c>
      <c r="X60" s="253">
        <f t="shared" si="34"/>
        <v>0</v>
      </c>
      <c r="Y60" s="253">
        <f t="shared" si="34"/>
        <v>0</v>
      </c>
      <c r="Z60" s="253">
        <f t="shared" si="34"/>
        <v>0</v>
      </c>
      <c r="AA60" s="253">
        <f t="shared" si="34"/>
        <v>0</v>
      </c>
      <c r="AB60" s="253">
        <f t="shared" si="34"/>
        <v>0</v>
      </c>
      <c r="AC60" s="253">
        <f t="shared" si="34"/>
        <v>0</v>
      </c>
      <c r="AD60" s="253">
        <f t="shared" si="34"/>
        <v>0</v>
      </c>
      <c r="AE60" s="253">
        <f t="shared" si="34"/>
        <v>0</v>
      </c>
      <c r="AF60" s="253">
        <f t="shared" si="34"/>
        <v>0</v>
      </c>
      <c r="AG60" s="253">
        <f t="shared" si="34"/>
        <v>0</v>
      </c>
      <c r="AH60" s="253">
        <f t="shared" si="34"/>
        <v>0</v>
      </c>
      <c r="AI60" s="253">
        <f t="shared" si="34"/>
        <v>0</v>
      </c>
      <c r="AJ60" s="253">
        <f t="shared" si="34"/>
        <v>0</v>
      </c>
      <c r="AK60" s="253">
        <f t="shared" si="34"/>
        <v>0</v>
      </c>
      <c r="AL60" s="253">
        <f t="shared" si="34"/>
        <v>0</v>
      </c>
      <c r="AM60" s="253">
        <f t="shared" si="34"/>
        <v>0</v>
      </c>
      <c r="AN60" s="253">
        <f t="shared" si="34"/>
        <v>0</v>
      </c>
      <c r="AO60" s="253">
        <f t="shared" si="34"/>
        <v>0</v>
      </c>
      <c r="AP60" s="253">
        <f t="shared" si="34"/>
        <v>0</v>
      </c>
      <c r="AQ60" s="253">
        <f t="shared" si="34"/>
        <v>0</v>
      </c>
    </row>
    <row r="62" spans="1:43" ht="15.75">
      <c r="A62" s="252" t="s">
        <v>619</v>
      </c>
      <c r="N62" s="71">
        <f>N42+N60</f>
        <v>0</v>
      </c>
      <c r="O62" s="71">
        <f t="shared" ref="O62:AQ62" si="35">O42+O60</f>
        <v>0</v>
      </c>
      <c r="P62" s="71">
        <f t="shared" si="35"/>
        <v>0</v>
      </c>
      <c r="Q62" s="71">
        <f t="shared" si="35"/>
        <v>0</v>
      </c>
      <c r="R62" s="71">
        <f t="shared" si="35"/>
        <v>0</v>
      </c>
      <c r="S62" s="71">
        <f t="shared" si="35"/>
        <v>0</v>
      </c>
      <c r="T62" s="71">
        <f t="shared" si="35"/>
        <v>0</v>
      </c>
      <c r="U62" s="71">
        <f t="shared" si="35"/>
        <v>0</v>
      </c>
      <c r="V62" s="71">
        <f t="shared" si="35"/>
        <v>0</v>
      </c>
      <c r="W62" s="71">
        <f t="shared" si="35"/>
        <v>0</v>
      </c>
      <c r="X62" s="71">
        <f t="shared" si="35"/>
        <v>0</v>
      </c>
      <c r="Y62" s="71">
        <f t="shared" si="35"/>
        <v>0</v>
      </c>
      <c r="Z62" s="71">
        <f t="shared" si="35"/>
        <v>0</v>
      </c>
      <c r="AA62" s="71">
        <f t="shared" si="35"/>
        <v>0</v>
      </c>
      <c r="AB62" s="71">
        <f t="shared" si="35"/>
        <v>0</v>
      </c>
      <c r="AC62" s="71">
        <f t="shared" si="35"/>
        <v>0</v>
      </c>
      <c r="AD62" s="71">
        <f t="shared" si="35"/>
        <v>0</v>
      </c>
      <c r="AE62" s="71">
        <f t="shared" si="35"/>
        <v>0</v>
      </c>
      <c r="AF62" s="71">
        <f t="shared" si="35"/>
        <v>0</v>
      </c>
      <c r="AG62" s="71">
        <f t="shared" si="35"/>
        <v>0</v>
      </c>
      <c r="AH62" s="71">
        <f t="shared" si="35"/>
        <v>0</v>
      </c>
      <c r="AI62" s="71">
        <f t="shared" si="35"/>
        <v>0</v>
      </c>
      <c r="AJ62" s="71">
        <f t="shared" si="35"/>
        <v>0</v>
      </c>
      <c r="AK62" s="71">
        <f t="shared" si="35"/>
        <v>0</v>
      </c>
      <c r="AL62" s="71">
        <f t="shared" si="35"/>
        <v>0</v>
      </c>
      <c r="AM62" s="71">
        <f t="shared" si="35"/>
        <v>0</v>
      </c>
      <c r="AN62" s="71">
        <f t="shared" si="35"/>
        <v>0</v>
      </c>
      <c r="AO62" s="71">
        <f t="shared" si="35"/>
        <v>0</v>
      </c>
      <c r="AP62" s="71">
        <f t="shared" si="35"/>
        <v>0</v>
      </c>
      <c r="AQ62" s="71">
        <f t="shared" si="35"/>
        <v>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5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IV124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E117" sqref="E117"/>
    </sheetView>
  </sheetViews>
  <sheetFormatPr defaultColWidth="10.28515625" defaultRowHeight="12.75"/>
  <cols>
    <col min="1" max="1" width="13.140625" customWidth="1"/>
    <col min="2" max="2" width="38.28515625" customWidth="1"/>
    <col min="3" max="3" width="28.28515625" customWidth="1"/>
    <col min="4" max="9" width="11.42578125" customWidth="1"/>
    <col min="10" max="13" width="10.85546875" hidden="1" customWidth="1"/>
    <col min="14" max="14" width="11.42578125" customWidth="1"/>
    <col min="15" max="18" width="10.85546875" hidden="1" customWidth="1"/>
    <col min="19" max="19" width="11.42578125" customWidth="1"/>
    <col min="20" max="23" width="10.85546875" hidden="1" customWidth="1"/>
    <col min="24" max="24" width="11.42578125" customWidth="1"/>
    <col min="25" max="26" width="10.85546875" hidden="1" customWidth="1"/>
    <col min="27" max="27" width="10.42578125" hidden="1" customWidth="1"/>
    <col min="28" max="33" width="10.85546875" hidden="1" customWidth="1"/>
    <col min="34" max="34" width="11.42578125" customWidth="1"/>
  </cols>
  <sheetData>
    <row r="2" spans="1:40">
      <c r="B2" s="604" t="s">
        <v>641</v>
      </c>
      <c r="C2" s="602"/>
    </row>
    <row r="3" spans="1:40" ht="15.75">
      <c r="A3" s="180" t="s">
        <v>54</v>
      </c>
      <c r="C3" s="23"/>
      <c r="I3" s="63"/>
    </row>
    <row r="5" spans="1:40">
      <c r="B5" t="s">
        <v>218</v>
      </c>
      <c r="C5">
        <f>Sources!$B$3</f>
        <v>0</v>
      </c>
    </row>
    <row r="7" spans="1:40">
      <c r="B7" s="70" t="s">
        <v>374</v>
      </c>
      <c r="C7" s="217">
        <f>Sources!F3</f>
        <v>40909</v>
      </c>
      <c r="F7" s="2" t="s">
        <v>51</v>
      </c>
      <c r="G7" s="90">
        <v>0.03</v>
      </c>
    </row>
    <row r="9" spans="1:40" ht="25.5">
      <c r="A9" t="s">
        <v>161</v>
      </c>
      <c r="D9" s="8" t="s">
        <v>280</v>
      </c>
      <c r="E9" s="8">
        <v>1</v>
      </c>
      <c r="F9" s="8">
        <v>2</v>
      </c>
      <c r="G9" s="8">
        <v>3</v>
      </c>
      <c r="H9" s="8">
        <v>4</v>
      </c>
      <c r="I9" s="8">
        <v>5</v>
      </c>
      <c r="J9" s="8">
        <v>6</v>
      </c>
      <c r="K9" s="8">
        <v>7</v>
      </c>
      <c r="L9" s="8">
        <v>8</v>
      </c>
      <c r="M9" s="8">
        <v>9</v>
      </c>
      <c r="N9" s="8">
        <v>10</v>
      </c>
      <c r="O9" s="8">
        <v>11</v>
      </c>
      <c r="P9" s="8">
        <v>12</v>
      </c>
      <c r="Q9" s="8">
        <v>13</v>
      </c>
      <c r="R9" s="8">
        <v>14</v>
      </c>
      <c r="S9" s="8">
        <v>15</v>
      </c>
      <c r="T9" s="8">
        <v>16</v>
      </c>
      <c r="U9" s="8">
        <v>17</v>
      </c>
      <c r="V9" s="8">
        <v>18</v>
      </c>
      <c r="W9" s="8">
        <v>19</v>
      </c>
      <c r="X9" s="8">
        <v>20</v>
      </c>
      <c r="Y9" s="8">
        <v>21</v>
      </c>
      <c r="Z9" s="8">
        <v>22</v>
      </c>
      <c r="AA9" s="8">
        <v>23</v>
      </c>
      <c r="AB9" s="8">
        <v>24</v>
      </c>
      <c r="AC9" s="8">
        <v>25</v>
      </c>
      <c r="AD9" s="8">
        <v>26</v>
      </c>
      <c r="AE9" s="8">
        <v>27</v>
      </c>
      <c r="AF9" s="8">
        <v>28</v>
      </c>
      <c r="AG9" s="8">
        <v>29</v>
      </c>
      <c r="AH9" s="8">
        <v>30</v>
      </c>
      <c r="AI9" s="8"/>
      <c r="AJ9" s="8"/>
      <c r="AK9" s="8"/>
      <c r="AL9" s="8"/>
      <c r="AM9" s="8"/>
      <c r="AN9" s="8"/>
    </row>
    <row r="11" spans="1:40">
      <c r="A11" t="s">
        <v>96</v>
      </c>
      <c r="D11" s="73"/>
      <c r="E11" s="9"/>
    </row>
    <row r="12" spans="1:40">
      <c r="B12" t="s">
        <v>594</v>
      </c>
      <c r="D12" s="9" t="e">
        <f>E12/Income!$L$25</f>
        <v>#DIV/0!</v>
      </c>
      <c r="E12" s="98"/>
      <c r="F12" s="11">
        <f t="shared" ref="F12:U14" si="0">(+E12*$G$7)+E12</f>
        <v>0</v>
      </c>
      <c r="G12" s="11">
        <f t="shared" si="0"/>
        <v>0</v>
      </c>
      <c r="H12" s="11">
        <f t="shared" si="0"/>
        <v>0</v>
      </c>
      <c r="I12" s="11">
        <f t="shared" si="0"/>
        <v>0</v>
      </c>
      <c r="J12" s="11">
        <f t="shared" si="0"/>
        <v>0</v>
      </c>
      <c r="K12" s="11">
        <f t="shared" si="0"/>
        <v>0</v>
      </c>
      <c r="L12" s="11">
        <f t="shared" si="0"/>
        <v>0</v>
      </c>
      <c r="M12" s="11">
        <f t="shared" si="0"/>
        <v>0</v>
      </c>
      <c r="N12" s="11">
        <f t="shared" si="0"/>
        <v>0</v>
      </c>
      <c r="O12" s="11">
        <f t="shared" si="0"/>
        <v>0</v>
      </c>
      <c r="P12" s="11">
        <f t="shared" si="0"/>
        <v>0</v>
      </c>
      <c r="Q12" s="11">
        <f t="shared" si="0"/>
        <v>0</v>
      </c>
      <c r="R12" s="11">
        <f t="shared" si="0"/>
        <v>0</v>
      </c>
      <c r="S12" s="11">
        <f t="shared" si="0"/>
        <v>0</v>
      </c>
      <c r="T12" s="11">
        <f t="shared" si="0"/>
        <v>0</v>
      </c>
      <c r="U12" s="11">
        <f t="shared" si="0"/>
        <v>0</v>
      </c>
      <c r="V12" s="11">
        <f t="shared" ref="V12:AH14" si="1">(+U12*$G$7)+U12</f>
        <v>0</v>
      </c>
      <c r="W12" s="11">
        <f t="shared" si="1"/>
        <v>0</v>
      </c>
      <c r="X12" s="11">
        <f t="shared" si="1"/>
        <v>0</v>
      </c>
      <c r="Y12" s="11">
        <f t="shared" si="1"/>
        <v>0</v>
      </c>
      <c r="Z12" s="11">
        <f t="shared" si="1"/>
        <v>0</v>
      </c>
      <c r="AA12" s="11">
        <f t="shared" si="1"/>
        <v>0</v>
      </c>
      <c r="AB12" s="11">
        <f t="shared" si="1"/>
        <v>0</v>
      </c>
      <c r="AC12" s="11">
        <f t="shared" si="1"/>
        <v>0</v>
      </c>
      <c r="AD12" s="11">
        <f t="shared" si="1"/>
        <v>0</v>
      </c>
      <c r="AE12" s="11">
        <f t="shared" si="1"/>
        <v>0</v>
      </c>
      <c r="AF12" s="11">
        <f t="shared" si="1"/>
        <v>0</v>
      </c>
      <c r="AG12" s="11">
        <f t="shared" si="1"/>
        <v>0</v>
      </c>
      <c r="AH12" s="11">
        <f t="shared" si="1"/>
        <v>0</v>
      </c>
    </row>
    <row r="13" spans="1:40">
      <c r="B13" t="s">
        <v>595</v>
      </c>
      <c r="D13" s="9" t="e">
        <f>E13/Income!$L$25</f>
        <v>#DIV/0!</v>
      </c>
      <c r="E13" s="98"/>
      <c r="F13" s="11">
        <f t="shared" si="0"/>
        <v>0</v>
      </c>
      <c r="G13" s="11">
        <f t="shared" si="0"/>
        <v>0</v>
      </c>
      <c r="H13" s="11">
        <f t="shared" si="0"/>
        <v>0</v>
      </c>
      <c r="I13" s="11">
        <f t="shared" si="0"/>
        <v>0</v>
      </c>
      <c r="J13" s="11">
        <f t="shared" si="0"/>
        <v>0</v>
      </c>
      <c r="K13" s="11">
        <f t="shared" si="0"/>
        <v>0</v>
      </c>
      <c r="L13" s="11">
        <f t="shared" si="0"/>
        <v>0</v>
      </c>
      <c r="M13" s="11">
        <f t="shared" si="0"/>
        <v>0</v>
      </c>
      <c r="N13" s="11">
        <f t="shared" si="0"/>
        <v>0</v>
      </c>
      <c r="O13" s="11">
        <f t="shared" si="0"/>
        <v>0</v>
      </c>
      <c r="P13" s="11">
        <f t="shared" si="0"/>
        <v>0</v>
      </c>
      <c r="Q13" s="11">
        <f t="shared" si="0"/>
        <v>0</v>
      </c>
      <c r="R13" s="11">
        <f t="shared" si="0"/>
        <v>0</v>
      </c>
      <c r="S13" s="11">
        <f t="shared" si="0"/>
        <v>0</v>
      </c>
      <c r="T13" s="11">
        <f t="shared" si="0"/>
        <v>0</v>
      </c>
      <c r="U13" s="11">
        <f t="shared" si="0"/>
        <v>0</v>
      </c>
      <c r="V13" s="11">
        <f t="shared" si="1"/>
        <v>0</v>
      </c>
      <c r="W13" s="11">
        <f t="shared" si="1"/>
        <v>0</v>
      </c>
      <c r="X13" s="11">
        <f t="shared" si="1"/>
        <v>0</v>
      </c>
      <c r="Y13" s="11">
        <f t="shared" si="1"/>
        <v>0</v>
      </c>
      <c r="Z13" s="11">
        <f t="shared" si="1"/>
        <v>0</v>
      </c>
      <c r="AA13" s="11">
        <f t="shared" si="1"/>
        <v>0</v>
      </c>
      <c r="AB13" s="11">
        <f t="shared" si="1"/>
        <v>0</v>
      </c>
      <c r="AC13" s="11">
        <f t="shared" si="1"/>
        <v>0</v>
      </c>
      <c r="AD13" s="11">
        <f t="shared" si="1"/>
        <v>0</v>
      </c>
      <c r="AE13" s="11">
        <f t="shared" si="1"/>
        <v>0</v>
      </c>
      <c r="AF13" s="11">
        <f t="shared" si="1"/>
        <v>0</v>
      </c>
      <c r="AG13" s="11">
        <f t="shared" si="1"/>
        <v>0</v>
      </c>
      <c r="AH13" s="11">
        <f t="shared" si="1"/>
        <v>0</v>
      </c>
    </row>
    <row r="14" spans="1:40">
      <c r="B14" t="s">
        <v>98</v>
      </c>
      <c r="D14" s="9" t="e">
        <f>E14/Income!$L$25</f>
        <v>#DIV/0!</v>
      </c>
      <c r="E14" s="98"/>
      <c r="F14" s="11">
        <f t="shared" si="0"/>
        <v>0</v>
      </c>
      <c r="G14" s="11">
        <f t="shared" si="0"/>
        <v>0</v>
      </c>
      <c r="H14" s="11">
        <f t="shared" si="0"/>
        <v>0</v>
      </c>
      <c r="I14" s="11">
        <f t="shared" si="0"/>
        <v>0</v>
      </c>
      <c r="J14" s="11">
        <f t="shared" si="0"/>
        <v>0</v>
      </c>
      <c r="K14" s="11">
        <f t="shared" si="0"/>
        <v>0</v>
      </c>
      <c r="L14" s="11">
        <f t="shared" si="0"/>
        <v>0</v>
      </c>
      <c r="M14" s="11">
        <f t="shared" si="0"/>
        <v>0</v>
      </c>
      <c r="N14" s="11">
        <f t="shared" si="0"/>
        <v>0</v>
      </c>
      <c r="O14" s="11">
        <f t="shared" si="0"/>
        <v>0</v>
      </c>
      <c r="P14" s="11">
        <f t="shared" si="0"/>
        <v>0</v>
      </c>
      <c r="Q14" s="11">
        <f t="shared" si="0"/>
        <v>0</v>
      </c>
      <c r="R14" s="11">
        <f t="shared" si="0"/>
        <v>0</v>
      </c>
      <c r="S14" s="11">
        <f t="shared" si="0"/>
        <v>0</v>
      </c>
      <c r="T14" s="11">
        <f t="shared" si="0"/>
        <v>0</v>
      </c>
      <c r="U14" s="11">
        <f t="shared" si="0"/>
        <v>0</v>
      </c>
      <c r="V14" s="11">
        <f t="shared" si="1"/>
        <v>0</v>
      </c>
      <c r="W14" s="11">
        <f t="shared" si="1"/>
        <v>0</v>
      </c>
      <c r="X14" s="11">
        <f t="shared" si="1"/>
        <v>0</v>
      </c>
      <c r="Y14" s="11">
        <f t="shared" si="1"/>
        <v>0</v>
      </c>
      <c r="Z14" s="11">
        <f t="shared" si="1"/>
        <v>0</v>
      </c>
      <c r="AA14" s="11">
        <f t="shared" si="1"/>
        <v>0</v>
      </c>
      <c r="AB14" s="11">
        <f t="shared" si="1"/>
        <v>0</v>
      </c>
      <c r="AC14" s="11">
        <f t="shared" si="1"/>
        <v>0</v>
      </c>
      <c r="AD14" s="11">
        <f t="shared" si="1"/>
        <v>0</v>
      </c>
      <c r="AE14" s="11">
        <f t="shared" si="1"/>
        <v>0</v>
      </c>
      <c r="AF14" s="11">
        <f t="shared" si="1"/>
        <v>0</v>
      </c>
      <c r="AG14" s="11">
        <f t="shared" si="1"/>
        <v>0</v>
      </c>
      <c r="AH14" s="11">
        <f t="shared" si="1"/>
        <v>0</v>
      </c>
    </row>
    <row r="15" spans="1:40">
      <c r="D15" s="9"/>
      <c r="E15" s="7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1:40">
      <c r="A16" t="s">
        <v>596</v>
      </c>
      <c r="D16" s="9" t="e">
        <f>E16/Income!$L$25</f>
        <v>#DIV/0!</v>
      </c>
      <c r="E16" s="98"/>
      <c r="F16" s="11">
        <f t="shared" ref="F16:AH16" si="2">(+E16*$G$7)+E16</f>
        <v>0</v>
      </c>
      <c r="G16" s="11">
        <f t="shared" si="2"/>
        <v>0</v>
      </c>
      <c r="H16" s="11">
        <f t="shared" si="2"/>
        <v>0</v>
      </c>
      <c r="I16" s="11">
        <f t="shared" si="2"/>
        <v>0</v>
      </c>
      <c r="J16" s="11">
        <f t="shared" si="2"/>
        <v>0</v>
      </c>
      <c r="K16" s="11">
        <f t="shared" si="2"/>
        <v>0</v>
      </c>
      <c r="L16" s="11">
        <f t="shared" si="2"/>
        <v>0</v>
      </c>
      <c r="M16" s="11">
        <f t="shared" si="2"/>
        <v>0</v>
      </c>
      <c r="N16" s="11">
        <f t="shared" si="2"/>
        <v>0</v>
      </c>
      <c r="O16" s="11">
        <f t="shared" si="2"/>
        <v>0</v>
      </c>
      <c r="P16" s="11">
        <f t="shared" si="2"/>
        <v>0</v>
      </c>
      <c r="Q16" s="11">
        <f t="shared" si="2"/>
        <v>0</v>
      </c>
      <c r="R16" s="11">
        <f t="shared" si="2"/>
        <v>0</v>
      </c>
      <c r="S16" s="11">
        <f t="shared" si="2"/>
        <v>0</v>
      </c>
      <c r="T16" s="11">
        <f t="shared" si="2"/>
        <v>0</v>
      </c>
      <c r="U16" s="11">
        <f t="shared" si="2"/>
        <v>0</v>
      </c>
      <c r="V16" s="11">
        <f t="shared" si="2"/>
        <v>0</v>
      </c>
      <c r="W16" s="11">
        <f t="shared" si="2"/>
        <v>0</v>
      </c>
      <c r="X16" s="11">
        <f t="shared" si="2"/>
        <v>0</v>
      </c>
      <c r="Y16" s="11">
        <f t="shared" si="2"/>
        <v>0</v>
      </c>
      <c r="Z16" s="11">
        <f t="shared" si="2"/>
        <v>0</v>
      </c>
      <c r="AA16" s="11">
        <f t="shared" si="2"/>
        <v>0</v>
      </c>
      <c r="AB16" s="11">
        <f t="shared" si="2"/>
        <v>0</v>
      </c>
      <c r="AC16" s="11">
        <f t="shared" si="2"/>
        <v>0</v>
      </c>
      <c r="AD16" s="11">
        <f t="shared" si="2"/>
        <v>0</v>
      </c>
      <c r="AE16" s="11">
        <f t="shared" si="2"/>
        <v>0</v>
      </c>
      <c r="AF16" s="11">
        <f t="shared" si="2"/>
        <v>0</v>
      </c>
      <c r="AG16" s="11">
        <f t="shared" si="2"/>
        <v>0</v>
      </c>
      <c r="AH16" s="11">
        <f t="shared" si="2"/>
        <v>0</v>
      </c>
    </row>
    <row r="17" spans="1:40">
      <c r="D17" s="9"/>
      <c r="E17" s="7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40">
      <c r="A18" t="s">
        <v>235</v>
      </c>
      <c r="D18" s="9" t="e">
        <f>E18/Income!$L$25</f>
        <v>#DIV/0!</v>
      </c>
      <c r="E18" s="98"/>
      <c r="F18" s="11">
        <f t="shared" ref="F18:AH18" si="3">(+E18*$G$7)+E18</f>
        <v>0</v>
      </c>
      <c r="G18" s="11">
        <f t="shared" si="3"/>
        <v>0</v>
      </c>
      <c r="H18" s="11">
        <f t="shared" si="3"/>
        <v>0</v>
      </c>
      <c r="I18" s="11">
        <f t="shared" si="3"/>
        <v>0</v>
      </c>
      <c r="J18" s="11">
        <f t="shared" si="3"/>
        <v>0</v>
      </c>
      <c r="K18" s="11">
        <f t="shared" si="3"/>
        <v>0</v>
      </c>
      <c r="L18" s="11">
        <f t="shared" si="3"/>
        <v>0</v>
      </c>
      <c r="M18" s="11">
        <f t="shared" si="3"/>
        <v>0</v>
      </c>
      <c r="N18" s="11">
        <f t="shared" si="3"/>
        <v>0</v>
      </c>
      <c r="O18" s="11">
        <f t="shared" si="3"/>
        <v>0</v>
      </c>
      <c r="P18" s="11">
        <f t="shared" si="3"/>
        <v>0</v>
      </c>
      <c r="Q18" s="11">
        <f t="shared" si="3"/>
        <v>0</v>
      </c>
      <c r="R18" s="11">
        <f t="shared" si="3"/>
        <v>0</v>
      </c>
      <c r="S18" s="11">
        <f t="shared" si="3"/>
        <v>0</v>
      </c>
      <c r="T18" s="11">
        <f t="shared" si="3"/>
        <v>0</v>
      </c>
      <c r="U18" s="11">
        <f t="shared" si="3"/>
        <v>0</v>
      </c>
      <c r="V18" s="11">
        <f t="shared" si="3"/>
        <v>0</v>
      </c>
      <c r="W18" s="11">
        <f t="shared" si="3"/>
        <v>0</v>
      </c>
      <c r="X18" s="11">
        <f t="shared" si="3"/>
        <v>0</v>
      </c>
      <c r="Y18" s="11">
        <f t="shared" si="3"/>
        <v>0</v>
      </c>
      <c r="Z18" s="11">
        <f t="shared" si="3"/>
        <v>0</v>
      </c>
      <c r="AA18" s="11">
        <f t="shared" si="3"/>
        <v>0</v>
      </c>
      <c r="AB18" s="11">
        <f t="shared" si="3"/>
        <v>0</v>
      </c>
      <c r="AC18" s="11">
        <f t="shared" si="3"/>
        <v>0</v>
      </c>
      <c r="AD18" s="11">
        <f t="shared" si="3"/>
        <v>0</v>
      </c>
      <c r="AE18" s="11">
        <f t="shared" si="3"/>
        <v>0</v>
      </c>
      <c r="AF18" s="11">
        <f t="shared" si="3"/>
        <v>0</v>
      </c>
      <c r="AG18" s="11">
        <f t="shared" si="3"/>
        <v>0</v>
      </c>
      <c r="AH18" s="11">
        <f t="shared" si="3"/>
        <v>0</v>
      </c>
    </row>
    <row r="19" spans="1:40">
      <c r="D19" s="9"/>
      <c r="E19" s="7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40">
      <c r="A20" t="s">
        <v>236</v>
      </c>
      <c r="D20" s="9" t="e">
        <f>E20/Income!$L$25</f>
        <v>#DIV/0!</v>
      </c>
      <c r="E20" s="98"/>
      <c r="F20" s="11">
        <f t="shared" ref="F20:AH20" si="4">(+E20*$G$7)+E20</f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1">
        <f t="shared" si="4"/>
        <v>0</v>
      </c>
      <c r="P20" s="11">
        <f t="shared" si="4"/>
        <v>0</v>
      </c>
      <c r="Q20" s="11">
        <f t="shared" si="4"/>
        <v>0</v>
      </c>
      <c r="R20" s="11">
        <f t="shared" si="4"/>
        <v>0</v>
      </c>
      <c r="S20" s="11">
        <f t="shared" si="4"/>
        <v>0</v>
      </c>
      <c r="T20" s="11">
        <f t="shared" si="4"/>
        <v>0</v>
      </c>
      <c r="U20" s="11">
        <f t="shared" si="4"/>
        <v>0</v>
      </c>
      <c r="V20" s="11">
        <f t="shared" si="4"/>
        <v>0</v>
      </c>
      <c r="W20" s="11">
        <f t="shared" si="4"/>
        <v>0</v>
      </c>
      <c r="X20" s="11">
        <f t="shared" si="4"/>
        <v>0</v>
      </c>
      <c r="Y20" s="11">
        <f t="shared" si="4"/>
        <v>0</v>
      </c>
      <c r="Z20" s="11">
        <f t="shared" si="4"/>
        <v>0</v>
      </c>
      <c r="AA20" s="11">
        <f t="shared" si="4"/>
        <v>0</v>
      </c>
      <c r="AB20" s="11">
        <f t="shared" si="4"/>
        <v>0</v>
      </c>
      <c r="AC20" s="11">
        <f t="shared" si="4"/>
        <v>0</v>
      </c>
      <c r="AD20" s="11">
        <f t="shared" si="4"/>
        <v>0</v>
      </c>
      <c r="AE20" s="11">
        <f t="shared" si="4"/>
        <v>0</v>
      </c>
      <c r="AF20" s="11">
        <f t="shared" si="4"/>
        <v>0</v>
      </c>
      <c r="AG20" s="11">
        <f t="shared" si="4"/>
        <v>0</v>
      </c>
      <c r="AH20" s="11">
        <f t="shared" si="4"/>
        <v>0</v>
      </c>
    </row>
    <row r="21" spans="1:40">
      <c r="D21" s="8"/>
      <c r="E21" s="226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 spans="1:40">
      <c r="A22" t="s">
        <v>597</v>
      </c>
      <c r="D22" s="9" t="e">
        <f>E22/Income!$L$25</f>
        <v>#DIV/0!</v>
      </c>
      <c r="E22" s="98"/>
      <c r="F22" s="11">
        <f t="shared" ref="F22:AH22" si="5">(+E22*$G$7)+E22</f>
        <v>0</v>
      </c>
      <c r="G22" s="11">
        <f t="shared" si="5"/>
        <v>0</v>
      </c>
      <c r="H22" s="11">
        <f t="shared" si="5"/>
        <v>0</v>
      </c>
      <c r="I22" s="11">
        <f t="shared" si="5"/>
        <v>0</v>
      </c>
      <c r="J22" s="11">
        <f t="shared" si="5"/>
        <v>0</v>
      </c>
      <c r="K22" s="11">
        <f t="shared" si="5"/>
        <v>0</v>
      </c>
      <c r="L22" s="11">
        <f t="shared" si="5"/>
        <v>0</v>
      </c>
      <c r="M22" s="11">
        <f t="shared" si="5"/>
        <v>0</v>
      </c>
      <c r="N22" s="11">
        <f t="shared" si="5"/>
        <v>0</v>
      </c>
      <c r="O22" s="11">
        <f t="shared" si="5"/>
        <v>0</v>
      </c>
      <c r="P22" s="11">
        <f t="shared" si="5"/>
        <v>0</v>
      </c>
      <c r="Q22" s="11">
        <f t="shared" si="5"/>
        <v>0</v>
      </c>
      <c r="R22" s="11">
        <f t="shared" si="5"/>
        <v>0</v>
      </c>
      <c r="S22" s="11">
        <f t="shared" si="5"/>
        <v>0</v>
      </c>
      <c r="T22" s="11">
        <f t="shared" si="5"/>
        <v>0</v>
      </c>
      <c r="U22" s="11">
        <f t="shared" si="5"/>
        <v>0</v>
      </c>
      <c r="V22" s="11">
        <f t="shared" si="5"/>
        <v>0</v>
      </c>
      <c r="W22" s="11">
        <f t="shared" si="5"/>
        <v>0</v>
      </c>
      <c r="X22" s="11">
        <f t="shared" si="5"/>
        <v>0</v>
      </c>
      <c r="Y22" s="11">
        <f t="shared" si="5"/>
        <v>0</v>
      </c>
      <c r="Z22" s="11">
        <f t="shared" si="5"/>
        <v>0</v>
      </c>
      <c r="AA22" s="11">
        <f t="shared" si="5"/>
        <v>0</v>
      </c>
      <c r="AB22" s="11">
        <f t="shared" si="5"/>
        <v>0</v>
      </c>
      <c r="AC22" s="11">
        <f t="shared" si="5"/>
        <v>0</v>
      </c>
      <c r="AD22" s="11">
        <f t="shared" si="5"/>
        <v>0</v>
      </c>
      <c r="AE22" s="11">
        <f t="shared" si="5"/>
        <v>0</v>
      </c>
      <c r="AF22" s="11">
        <f t="shared" si="5"/>
        <v>0</v>
      </c>
      <c r="AG22" s="11">
        <f t="shared" si="5"/>
        <v>0</v>
      </c>
      <c r="AH22" s="11">
        <f t="shared" si="5"/>
        <v>0</v>
      </c>
    </row>
    <row r="23" spans="1:40">
      <c r="D23" s="9"/>
      <c r="E23" s="7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1:40">
      <c r="A24" t="s">
        <v>598</v>
      </c>
      <c r="D24" s="9" t="e">
        <f>E24/Income!$L$25</f>
        <v>#DIV/0!</v>
      </c>
      <c r="E24" s="98"/>
      <c r="F24" s="11">
        <f t="shared" ref="F24:AH24" si="6">(+E24*$G$7)+E24</f>
        <v>0</v>
      </c>
      <c r="G24" s="11">
        <f t="shared" si="6"/>
        <v>0</v>
      </c>
      <c r="H24" s="11">
        <f t="shared" si="6"/>
        <v>0</v>
      </c>
      <c r="I24" s="11">
        <f t="shared" si="6"/>
        <v>0</v>
      </c>
      <c r="J24" s="11">
        <f t="shared" si="6"/>
        <v>0</v>
      </c>
      <c r="K24" s="11">
        <f t="shared" si="6"/>
        <v>0</v>
      </c>
      <c r="L24" s="11">
        <f t="shared" si="6"/>
        <v>0</v>
      </c>
      <c r="M24" s="11">
        <f t="shared" si="6"/>
        <v>0</v>
      </c>
      <c r="N24" s="11">
        <f t="shared" si="6"/>
        <v>0</v>
      </c>
      <c r="O24" s="11">
        <f t="shared" si="6"/>
        <v>0</v>
      </c>
      <c r="P24" s="11">
        <f t="shared" si="6"/>
        <v>0</v>
      </c>
      <c r="Q24" s="11">
        <f t="shared" si="6"/>
        <v>0</v>
      </c>
      <c r="R24" s="11">
        <f t="shared" si="6"/>
        <v>0</v>
      </c>
      <c r="S24" s="11">
        <f t="shared" si="6"/>
        <v>0</v>
      </c>
      <c r="T24" s="11">
        <f t="shared" si="6"/>
        <v>0</v>
      </c>
      <c r="U24" s="11">
        <f t="shared" si="6"/>
        <v>0</v>
      </c>
      <c r="V24" s="11">
        <f t="shared" si="6"/>
        <v>0</v>
      </c>
      <c r="W24" s="11">
        <f t="shared" si="6"/>
        <v>0</v>
      </c>
      <c r="X24" s="11">
        <f t="shared" si="6"/>
        <v>0</v>
      </c>
      <c r="Y24" s="11">
        <f t="shared" si="6"/>
        <v>0</v>
      </c>
      <c r="Z24" s="11">
        <f t="shared" si="6"/>
        <v>0</v>
      </c>
      <c r="AA24" s="11">
        <f t="shared" si="6"/>
        <v>0</v>
      </c>
      <c r="AB24" s="11">
        <f t="shared" si="6"/>
        <v>0</v>
      </c>
      <c r="AC24" s="11">
        <f t="shared" si="6"/>
        <v>0</v>
      </c>
      <c r="AD24" s="11">
        <f t="shared" si="6"/>
        <v>0</v>
      </c>
      <c r="AE24" s="11">
        <f t="shared" si="6"/>
        <v>0</v>
      </c>
      <c r="AF24" s="11">
        <f t="shared" si="6"/>
        <v>0</v>
      </c>
      <c r="AG24" s="11">
        <f t="shared" si="6"/>
        <v>0</v>
      </c>
      <c r="AH24" s="11">
        <f t="shared" si="6"/>
        <v>0</v>
      </c>
    </row>
    <row r="25" spans="1:40">
      <c r="D25" s="9"/>
      <c r="E25" s="7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1:40">
      <c r="A26" t="s">
        <v>599</v>
      </c>
      <c r="D26" s="9" t="e">
        <f>E26/Income!$L$25</f>
        <v>#DIV/0!</v>
      </c>
      <c r="E26" s="98"/>
      <c r="F26" s="11">
        <f t="shared" ref="F26:AH26" si="7">(+E26*$G$7)+E26</f>
        <v>0</v>
      </c>
      <c r="G26" s="11">
        <f t="shared" si="7"/>
        <v>0</v>
      </c>
      <c r="H26" s="11">
        <f t="shared" si="7"/>
        <v>0</v>
      </c>
      <c r="I26" s="11">
        <f t="shared" si="7"/>
        <v>0</v>
      </c>
      <c r="J26" s="11">
        <f t="shared" si="7"/>
        <v>0</v>
      </c>
      <c r="K26" s="11">
        <f t="shared" si="7"/>
        <v>0</v>
      </c>
      <c r="L26" s="11">
        <f t="shared" si="7"/>
        <v>0</v>
      </c>
      <c r="M26" s="11">
        <f t="shared" si="7"/>
        <v>0</v>
      </c>
      <c r="N26" s="11">
        <f t="shared" si="7"/>
        <v>0</v>
      </c>
      <c r="O26" s="11">
        <f t="shared" si="7"/>
        <v>0</v>
      </c>
      <c r="P26" s="11">
        <f t="shared" si="7"/>
        <v>0</v>
      </c>
      <c r="Q26" s="11">
        <f t="shared" si="7"/>
        <v>0</v>
      </c>
      <c r="R26" s="11">
        <f t="shared" si="7"/>
        <v>0</v>
      </c>
      <c r="S26" s="11">
        <f t="shared" si="7"/>
        <v>0</v>
      </c>
      <c r="T26" s="11">
        <f t="shared" si="7"/>
        <v>0</v>
      </c>
      <c r="U26" s="11">
        <f t="shared" si="7"/>
        <v>0</v>
      </c>
      <c r="V26" s="11">
        <f t="shared" si="7"/>
        <v>0</v>
      </c>
      <c r="W26" s="11">
        <f t="shared" si="7"/>
        <v>0</v>
      </c>
      <c r="X26" s="11">
        <f t="shared" si="7"/>
        <v>0</v>
      </c>
      <c r="Y26" s="11">
        <f t="shared" si="7"/>
        <v>0</v>
      </c>
      <c r="Z26" s="11">
        <f t="shared" si="7"/>
        <v>0</v>
      </c>
      <c r="AA26" s="11">
        <f t="shared" si="7"/>
        <v>0</v>
      </c>
      <c r="AB26" s="11">
        <f t="shared" si="7"/>
        <v>0</v>
      </c>
      <c r="AC26" s="11">
        <f t="shared" si="7"/>
        <v>0</v>
      </c>
      <c r="AD26" s="11">
        <f t="shared" si="7"/>
        <v>0</v>
      </c>
      <c r="AE26" s="11">
        <f t="shared" si="7"/>
        <v>0</v>
      </c>
      <c r="AF26" s="11">
        <f t="shared" si="7"/>
        <v>0</v>
      </c>
      <c r="AG26" s="11">
        <f t="shared" si="7"/>
        <v>0</v>
      </c>
      <c r="AH26" s="11">
        <f t="shared" si="7"/>
        <v>0</v>
      </c>
    </row>
    <row r="27" spans="1:40">
      <c r="D27" s="9"/>
      <c r="E27" s="7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40">
      <c r="A28" t="s">
        <v>600</v>
      </c>
      <c r="B28" t="s">
        <v>342</v>
      </c>
      <c r="D28" s="9"/>
      <c r="E28" s="7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40">
      <c r="B29" t="s">
        <v>601</v>
      </c>
      <c r="D29" s="9" t="e">
        <f>E29/Income!$L$25</f>
        <v>#DIV/0!</v>
      </c>
      <c r="E29" s="98"/>
      <c r="F29" s="11">
        <f t="shared" ref="F29:U30" si="8">(+E29*$G$7)+E29</f>
        <v>0</v>
      </c>
      <c r="G29" s="11">
        <f t="shared" si="8"/>
        <v>0</v>
      </c>
      <c r="H29" s="11">
        <f t="shared" si="8"/>
        <v>0</v>
      </c>
      <c r="I29" s="11">
        <f t="shared" si="8"/>
        <v>0</v>
      </c>
      <c r="J29" s="11">
        <f t="shared" si="8"/>
        <v>0</v>
      </c>
      <c r="K29" s="11">
        <f t="shared" si="8"/>
        <v>0</v>
      </c>
      <c r="L29" s="11">
        <f t="shared" si="8"/>
        <v>0</v>
      </c>
      <c r="M29" s="11">
        <f t="shared" si="8"/>
        <v>0</v>
      </c>
      <c r="N29" s="11">
        <f t="shared" si="8"/>
        <v>0</v>
      </c>
      <c r="O29" s="11">
        <f t="shared" si="8"/>
        <v>0</v>
      </c>
      <c r="P29" s="11">
        <f t="shared" si="8"/>
        <v>0</v>
      </c>
      <c r="Q29" s="11">
        <f t="shared" si="8"/>
        <v>0</v>
      </c>
      <c r="R29" s="11">
        <f t="shared" si="8"/>
        <v>0</v>
      </c>
      <c r="S29" s="11">
        <f t="shared" si="8"/>
        <v>0</v>
      </c>
      <c r="T29" s="11">
        <f t="shared" si="8"/>
        <v>0</v>
      </c>
      <c r="U29" s="11">
        <f t="shared" si="8"/>
        <v>0</v>
      </c>
      <c r="V29" s="11">
        <f t="shared" ref="V29:AH30" si="9">(+U29*$G$7)+U29</f>
        <v>0</v>
      </c>
      <c r="W29" s="11">
        <f t="shared" si="9"/>
        <v>0</v>
      </c>
      <c r="X29" s="11">
        <f t="shared" si="9"/>
        <v>0</v>
      </c>
      <c r="Y29" s="11">
        <f t="shared" si="9"/>
        <v>0</v>
      </c>
      <c r="Z29" s="11">
        <f t="shared" si="9"/>
        <v>0</v>
      </c>
      <c r="AA29" s="11">
        <f t="shared" si="9"/>
        <v>0</v>
      </c>
      <c r="AB29" s="11">
        <f t="shared" si="9"/>
        <v>0</v>
      </c>
      <c r="AC29" s="11">
        <f t="shared" si="9"/>
        <v>0</v>
      </c>
      <c r="AD29" s="11">
        <f t="shared" si="9"/>
        <v>0</v>
      </c>
      <c r="AE29" s="11">
        <f t="shared" si="9"/>
        <v>0</v>
      </c>
      <c r="AF29" s="11">
        <f t="shared" si="9"/>
        <v>0</v>
      </c>
      <c r="AG29" s="11">
        <f t="shared" si="9"/>
        <v>0</v>
      </c>
      <c r="AH29" s="11">
        <f t="shared" si="9"/>
        <v>0</v>
      </c>
    </row>
    <row r="30" spans="1:40">
      <c r="B30" t="s">
        <v>602</v>
      </c>
      <c r="D30" s="9" t="e">
        <f>E30/Income!$L$25</f>
        <v>#DIV/0!</v>
      </c>
      <c r="E30" s="98"/>
      <c r="F30" s="11">
        <f t="shared" si="8"/>
        <v>0</v>
      </c>
      <c r="G30" s="11">
        <f t="shared" si="8"/>
        <v>0</v>
      </c>
      <c r="H30" s="11">
        <f t="shared" si="8"/>
        <v>0</v>
      </c>
      <c r="I30" s="11">
        <f t="shared" si="8"/>
        <v>0</v>
      </c>
      <c r="J30" s="11">
        <f t="shared" si="8"/>
        <v>0</v>
      </c>
      <c r="K30" s="11">
        <f t="shared" si="8"/>
        <v>0</v>
      </c>
      <c r="L30" s="11">
        <f t="shared" si="8"/>
        <v>0</v>
      </c>
      <c r="M30" s="11">
        <f t="shared" si="8"/>
        <v>0</v>
      </c>
      <c r="N30" s="11">
        <f t="shared" si="8"/>
        <v>0</v>
      </c>
      <c r="O30" s="11">
        <f t="shared" si="8"/>
        <v>0</v>
      </c>
      <c r="P30" s="11">
        <f t="shared" si="8"/>
        <v>0</v>
      </c>
      <c r="Q30" s="11">
        <f t="shared" si="8"/>
        <v>0</v>
      </c>
      <c r="R30" s="11">
        <f t="shared" si="8"/>
        <v>0</v>
      </c>
      <c r="S30" s="11">
        <f t="shared" si="8"/>
        <v>0</v>
      </c>
      <c r="T30" s="11">
        <f t="shared" si="8"/>
        <v>0</v>
      </c>
      <c r="U30" s="11">
        <f t="shared" si="8"/>
        <v>0</v>
      </c>
      <c r="V30" s="11">
        <f t="shared" si="9"/>
        <v>0</v>
      </c>
      <c r="W30" s="11">
        <f t="shared" si="9"/>
        <v>0</v>
      </c>
      <c r="X30" s="11">
        <f t="shared" si="9"/>
        <v>0</v>
      </c>
      <c r="Y30" s="11">
        <f t="shared" si="9"/>
        <v>0</v>
      </c>
      <c r="Z30" s="11">
        <f t="shared" si="9"/>
        <v>0</v>
      </c>
      <c r="AA30" s="11">
        <f t="shared" si="9"/>
        <v>0</v>
      </c>
      <c r="AB30" s="11">
        <f t="shared" si="9"/>
        <v>0</v>
      </c>
      <c r="AC30" s="11">
        <f t="shared" si="9"/>
        <v>0</v>
      </c>
      <c r="AD30" s="11">
        <f t="shared" si="9"/>
        <v>0</v>
      </c>
      <c r="AE30" s="11">
        <f t="shared" si="9"/>
        <v>0</v>
      </c>
      <c r="AF30" s="11">
        <f t="shared" si="9"/>
        <v>0</v>
      </c>
      <c r="AG30" s="11">
        <f t="shared" si="9"/>
        <v>0</v>
      </c>
      <c r="AH30" s="11">
        <f t="shared" si="9"/>
        <v>0</v>
      </c>
    </row>
    <row r="31" spans="1:40">
      <c r="D31" s="9"/>
      <c r="E31" s="7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40">
      <c r="A32" t="s">
        <v>603</v>
      </c>
      <c r="E32" s="15"/>
    </row>
    <row r="33" spans="1:42">
      <c r="B33" t="s">
        <v>604</v>
      </c>
      <c r="D33" s="9" t="e">
        <f>E33/Income!$L$25</f>
        <v>#DIV/0!</v>
      </c>
      <c r="E33" s="98"/>
      <c r="F33" s="11">
        <f t="shared" ref="F33:U34" si="10">(+E33*$G$7)+E33</f>
        <v>0</v>
      </c>
      <c r="G33" s="11">
        <f t="shared" si="10"/>
        <v>0</v>
      </c>
      <c r="H33" s="11">
        <f t="shared" si="10"/>
        <v>0</v>
      </c>
      <c r="I33" s="11">
        <f t="shared" si="10"/>
        <v>0</v>
      </c>
      <c r="J33" s="11">
        <f t="shared" si="10"/>
        <v>0</v>
      </c>
      <c r="K33" s="11">
        <f t="shared" si="10"/>
        <v>0</v>
      </c>
      <c r="L33" s="11">
        <f t="shared" si="10"/>
        <v>0</v>
      </c>
      <c r="M33" s="11">
        <f t="shared" si="10"/>
        <v>0</v>
      </c>
      <c r="N33" s="11">
        <f t="shared" si="10"/>
        <v>0</v>
      </c>
      <c r="O33" s="11">
        <f t="shared" si="10"/>
        <v>0</v>
      </c>
      <c r="P33" s="11">
        <f t="shared" si="10"/>
        <v>0</v>
      </c>
      <c r="Q33" s="11">
        <f t="shared" si="10"/>
        <v>0</v>
      </c>
      <c r="R33" s="11">
        <f t="shared" si="10"/>
        <v>0</v>
      </c>
      <c r="S33" s="11">
        <f t="shared" si="10"/>
        <v>0</v>
      </c>
      <c r="T33" s="11">
        <f t="shared" si="10"/>
        <v>0</v>
      </c>
      <c r="U33" s="11">
        <f t="shared" si="10"/>
        <v>0</v>
      </c>
      <c r="V33" s="11">
        <f t="shared" ref="V33:AH34" si="11">(+U33*$G$7)+U33</f>
        <v>0</v>
      </c>
      <c r="W33" s="11">
        <f t="shared" si="11"/>
        <v>0</v>
      </c>
      <c r="X33" s="11">
        <f t="shared" si="11"/>
        <v>0</v>
      </c>
      <c r="Y33" s="11">
        <f t="shared" si="11"/>
        <v>0</v>
      </c>
      <c r="Z33" s="11">
        <f t="shared" si="11"/>
        <v>0</v>
      </c>
      <c r="AA33" s="11">
        <f t="shared" si="11"/>
        <v>0</v>
      </c>
      <c r="AB33" s="11">
        <f t="shared" si="11"/>
        <v>0</v>
      </c>
      <c r="AC33" s="11">
        <f t="shared" si="11"/>
        <v>0</v>
      </c>
      <c r="AD33" s="11">
        <f t="shared" si="11"/>
        <v>0</v>
      </c>
      <c r="AE33" s="11">
        <f t="shared" si="11"/>
        <v>0</v>
      </c>
      <c r="AF33" s="11">
        <f t="shared" si="11"/>
        <v>0</v>
      </c>
      <c r="AG33" s="11">
        <f t="shared" si="11"/>
        <v>0</v>
      </c>
      <c r="AH33" s="11">
        <f t="shared" si="11"/>
        <v>0</v>
      </c>
    </row>
    <row r="34" spans="1:42">
      <c r="B34" t="s">
        <v>605</v>
      </c>
      <c r="D34" s="9" t="e">
        <f>E34/Income!$L$25</f>
        <v>#DIV/0!</v>
      </c>
      <c r="E34" s="98"/>
      <c r="F34" s="11">
        <f t="shared" si="10"/>
        <v>0</v>
      </c>
      <c r="G34" s="11">
        <f t="shared" si="10"/>
        <v>0</v>
      </c>
      <c r="H34" s="11">
        <f t="shared" si="10"/>
        <v>0</v>
      </c>
      <c r="I34" s="11">
        <f t="shared" si="10"/>
        <v>0</v>
      </c>
      <c r="J34" s="11">
        <f t="shared" si="10"/>
        <v>0</v>
      </c>
      <c r="K34" s="11">
        <f t="shared" si="10"/>
        <v>0</v>
      </c>
      <c r="L34" s="11">
        <f t="shared" si="10"/>
        <v>0</v>
      </c>
      <c r="M34" s="11">
        <f t="shared" si="10"/>
        <v>0</v>
      </c>
      <c r="N34" s="11">
        <f t="shared" si="10"/>
        <v>0</v>
      </c>
      <c r="O34" s="11">
        <f t="shared" si="10"/>
        <v>0</v>
      </c>
      <c r="P34" s="11">
        <f t="shared" si="10"/>
        <v>0</v>
      </c>
      <c r="Q34" s="11">
        <f t="shared" si="10"/>
        <v>0</v>
      </c>
      <c r="R34" s="11">
        <f t="shared" si="10"/>
        <v>0</v>
      </c>
      <c r="S34" s="11">
        <f t="shared" si="10"/>
        <v>0</v>
      </c>
      <c r="T34" s="11">
        <f t="shared" si="10"/>
        <v>0</v>
      </c>
      <c r="U34" s="11">
        <f t="shared" si="10"/>
        <v>0</v>
      </c>
      <c r="V34" s="11">
        <f t="shared" si="11"/>
        <v>0</v>
      </c>
      <c r="W34" s="11">
        <f t="shared" si="11"/>
        <v>0</v>
      </c>
      <c r="X34" s="11">
        <f t="shared" si="11"/>
        <v>0</v>
      </c>
      <c r="Y34" s="11">
        <f t="shared" si="11"/>
        <v>0</v>
      </c>
      <c r="Z34" s="11">
        <f t="shared" si="11"/>
        <v>0</v>
      </c>
      <c r="AA34" s="11">
        <f t="shared" si="11"/>
        <v>0</v>
      </c>
      <c r="AB34" s="11">
        <f t="shared" si="11"/>
        <v>0</v>
      </c>
      <c r="AC34" s="11">
        <f t="shared" si="11"/>
        <v>0</v>
      </c>
      <c r="AD34" s="11">
        <f t="shared" si="11"/>
        <v>0</v>
      </c>
      <c r="AE34" s="11">
        <f t="shared" si="11"/>
        <v>0</v>
      </c>
      <c r="AF34" s="11">
        <f t="shared" si="11"/>
        <v>0</v>
      </c>
      <c r="AG34" s="11">
        <f t="shared" si="11"/>
        <v>0</v>
      </c>
      <c r="AH34" s="11">
        <f t="shared" si="11"/>
        <v>0</v>
      </c>
    </row>
    <row r="35" spans="1:42">
      <c r="D35" s="9"/>
      <c r="E35" s="7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42">
      <c r="A36" t="s">
        <v>397</v>
      </c>
      <c r="D36" s="9" t="e">
        <f>E36/Income!$L$25</f>
        <v>#DIV/0!</v>
      </c>
      <c r="E36" s="98"/>
      <c r="F36" s="11">
        <f t="shared" ref="F36:AH36" si="12">(+E36*$G$7)+E36</f>
        <v>0</v>
      </c>
      <c r="G36" s="11">
        <f t="shared" si="12"/>
        <v>0</v>
      </c>
      <c r="H36" s="11">
        <f t="shared" si="12"/>
        <v>0</v>
      </c>
      <c r="I36" s="11">
        <f t="shared" si="12"/>
        <v>0</v>
      </c>
      <c r="J36" s="11">
        <f t="shared" si="12"/>
        <v>0</v>
      </c>
      <c r="K36" s="11">
        <f t="shared" si="12"/>
        <v>0</v>
      </c>
      <c r="L36" s="11">
        <f t="shared" si="12"/>
        <v>0</v>
      </c>
      <c r="M36" s="11">
        <f t="shared" si="12"/>
        <v>0</v>
      </c>
      <c r="N36" s="11">
        <f t="shared" si="12"/>
        <v>0</v>
      </c>
      <c r="O36" s="11">
        <f t="shared" si="12"/>
        <v>0</v>
      </c>
      <c r="P36" s="11">
        <f t="shared" si="12"/>
        <v>0</v>
      </c>
      <c r="Q36" s="11">
        <f t="shared" si="12"/>
        <v>0</v>
      </c>
      <c r="R36" s="11">
        <f t="shared" si="12"/>
        <v>0</v>
      </c>
      <c r="S36" s="11">
        <f t="shared" si="12"/>
        <v>0</v>
      </c>
      <c r="T36" s="11">
        <f t="shared" si="12"/>
        <v>0</v>
      </c>
      <c r="U36" s="11">
        <f t="shared" si="12"/>
        <v>0</v>
      </c>
      <c r="V36" s="11">
        <f t="shared" si="12"/>
        <v>0</v>
      </c>
      <c r="W36" s="11">
        <f t="shared" si="12"/>
        <v>0</v>
      </c>
      <c r="X36" s="11">
        <f t="shared" si="12"/>
        <v>0</v>
      </c>
      <c r="Y36" s="11">
        <f t="shared" si="12"/>
        <v>0</v>
      </c>
      <c r="Z36" s="11">
        <f t="shared" si="12"/>
        <v>0</v>
      </c>
      <c r="AA36" s="11">
        <f t="shared" si="12"/>
        <v>0</v>
      </c>
      <c r="AB36" s="11">
        <f t="shared" si="12"/>
        <v>0</v>
      </c>
      <c r="AC36" s="11">
        <f t="shared" si="12"/>
        <v>0</v>
      </c>
      <c r="AD36" s="11">
        <f t="shared" si="12"/>
        <v>0</v>
      </c>
      <c r="AE36" s="11">
        <f t="shared" si="12"/>
        <v>0</v>
      </c>
      <c r="AF36" s="11">
        <f t="shared" si="12"/>
        <v>0</v>
      </c>
      <c r="AG36" s="11">
        <f t="shared" si="12"/>
        <v>0</v>
      </c>
      <c r="AH36" s="11">
        <f t="shared" si="12"/>
        <v>0</v>
      </c>
    </row>
    <row r="37" spans="1:42">
      <c r="D37" s="9"/>
      <c r="E37" s="7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42">
      <c r="A38" t="s">
        <v>283</v>
      </c>
      <c r="D38" s="9" t="e">
        <f>E38/Income!$L$25</f>
        <v>#DIV/0!</v>
      </c>
      <c r="E38" s="98"/>
      <c r="F38" s="11">
        <f t="shared" ref="F38:AH38" si="13">(+E38*$G$7)+E38</f>
        <v>0</v>
      </c>
      <c r="G38" s="11">
        <f t="shared" si="13"/>
        <v>0</v>
      </c>
      <c r="H38" s="11">
        <f t="shared" si="13"/>
        <v>0</v>
      </c>
      <c r="I38" s="11">
        <f t="shared" si="13"/>
        <v>0</v>
      </c>
      <c r="J38" s="11">
        <f t="shared" si="13"/>
        <v>0</v>
      </c>
      <c r="K38" s="11">
        <f t="shared" si="13"/>
        <v>0</v>
      </c>
      <c r="L38" s="11">
        <f t="shared" si="13"/>
        <v>0</v>
      </c>
      <c r="M38" s="11">
        <f t="shared" si="13"/>
        <v>0</v>
      </c>
      <c r="N38" s="11">
        <f t="shared" si="13"/>
        <v>0</v>
      </c>
      <c r="O38" s="11">
        <f t="shared" si="13"/>
        <v>0</v>
      </c>
      <c r="P38" s="11">
        <f t="shared" si="13"/>
        <v>0</v>
      </c>
      <c r="Q38" s="11">
        <f t="shared" si="13"/>
        <v>0</v>
      </c>
      <c r="R38" s="11">
        <f t="shared" si="13"/>
        <v>0</v>
      </c>
      <c r="S38" s="11">
        <f t="shared" si="13"/>
        <v>0</v>
      </c>
      <c r="T38" s="11">
        <f t="shared" si="13"/>
        <v>0</v>
      </c>
      <c r="U38" s="11">
        <f t="shared" si="13"/>
        <v>0</v>
      </c>
      <c r="V38" s="11">
        <f t="shared" si="13"/>
        <v>0</v>
      </c>
      <c r="W38" s="11">
        <f t="shared" si="13"/>
        <v>0</v>
      </c>
      <c r="X38" s="11">
        <f t="shared" si="13"/>
        <v>0</v>
      </c>
      <c r="Y38" s="11">
        <f t="shared" si="13"/>
        <v>0</v>
      </c>
      <c r="Z38" s="11">
        <f t="shared" si="13"/>
        <v>0</v>
      </c>
      <c r="AA38" s="11">
        <f t="shared" si="13"/>
        <v>0</v>
      </c>
      <c r="AB38" s="11">
        <f t="shared" si="13"/>
        <v>0</v>
      </c>
      <c r="AC38" s="11">
        <f t="shared" si="13"/>
        <v>0</v>
      </c>
      <c r="AD38" s="11">
        <f t="shared" si="13"/>
        <v>0</v>
      </c>
      <c r="AE38" s="11">
        <f t="shared" si="13"/>
        <v>0</v>
      </c>
      <c r="AF38" s="11">
        <f t="shared" si="13"/>
        <v>0</v>
      </c>
      <c r="AG38" s="11">
        <f t="shared" si="13"/>
        <v>0</v>
      </c>
      <c r="AH38" s="11">
        <f t="shared" si="13"/>
        <v>0</v>
      </c>
      <c r="AI38" s="23"/>
      <c r="AJ38" s="23"/>
      <c r="AK38" s="23"/>
      <c r="AL38" s="23"/>
      <c r="AM38" s="23"/>
      <c r="AN38" s="23"/>
      <c r="AO38" s="23"/>
      <c r="AP38" s="23"/>
    </row>
    <row r="39" spans="1:42">
      <c r="D39" s="9"/>
      <c r="E39" s="9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3"/>
      <c r="AJ39" s="23"/>
      <c r="AK39" s="23"/>
      <c r="AL39" s="23"/>
      <c r="AM39" s="23"/>
      <c r="AN39" s="23"/>
      <c r="AO39" s="23"/>
      <c r="AP39" s="23"/>
    </row>
    <row r="40" spans="1:42">
      <c r="A40" t="s">
        <v>606</v>
      </c>
      <c r="D40" s="78"/>
      <c r="E40" s="15"/>
    </row>
    <row r="41" spans="1:42">
      <c r="B41" t="s">
        <v>338</v>
      </c>
      <c r="D41" s="9" t="e">
        <f>E41/Income!$L$25</f>
        <v>#DIV/0!</v>
      </c>
      <c r="E41" s="98"/>
      <c r="F41" s="11">
        <f t="shared" ref="F41:U45" si="14">(+E41*$G$7)+E41</f>
        <v>0</v>
      </c>
      <c r="G41" s="11">
        <f t="shared" si="14"/>
        <v>0</v>
      </c>
      <c r="H41" s="11">
        <f t="shared" si="14"/>
        <v>0</v>
      </c>
      <c r="I41" s="11">
        <f t="shared" si="14"/>
        <v>0</v>
      </c>
      <c r="J41" s="11">
        <f t="shared" si="14"/>
        <v>0</v>
      </c>
      <c r="K41" s="11">
        <f t="shared" si="14"/>
        <v>0</v>
      </c>
      <c r="L41" s="11">
        <f t="shared" si="14"/>
        <v>0</v>
      </c>
      <c r="M41" s="11">
        <f t="shared" si="14"/>
        <v>0</v>
      </c>
      <c r="N41" s="11">
        <f t="shared" si="14"/>
        <v>0</v>
      </c>
      <c r="O41" s="11">
        <f t="shared" si="14"/>
        <v>0</v>
      </c>
      <c r="P41" s="11">
        <f t="shared" si="14"/>
        <v>0</v>
      </c>
      <c r="Q41" s="11">
        <f t="shared" si="14"/>
        <v>0</v>
      </c>
      <c r="R41" s="11">
        <f t="shared" si="14"/>
        <v>0</v>
      </c>
      <c r="S41" s="11">
        <f t="shared" si="14"/>
        <v>0</v>
      </c>
      <c r="T41" s="11">
        <f t="shared" si="14"/>
        <v>0</v>
      </c>
      <c r="U41" s="11">
        <f t="shared" si="14"/>
        <v>0</v>
      </c>
      <c r="V41" s="11">
        <f t="shared" ref="V41:AH45" si="15">(+U41*$G$7)+U41</f>
        <v>0</v>
      </c>
      <c r="W41" s="11">
        <f t="shared" si="15"/>
        <v>0</v>
      </c>
      <c r="X41" s="11">
        <f t="shared" si="15"/>
        <v>0</v>
      </c>
      <c r="Y41" s="11">
        <f t="shared" si="15"/>
        <v>0</v>
      </c>
      <c r="Z41" s="11">
        <f t="shared" si="15"/>
        <v>0</v>
      </c>
      <c r="AA41" s="11">
        <f t="shared" si="15"/>
        <v>0</v>
      </c>
      <c r="AB41" s="11">
        <f t="shared" si="15"/>
        <v>0</v>
      </c>
      <c r="AC41" s="11">
        <f t="shared" si="15"/>
        <v>0</v>
      </c>
      <c r="AD41" s="11">
        <f t="shared" si="15"/>
        <v>0</v>
      </c>
      <c r="AE41" s="11">
        <f t="shared" si="15"/>
        <v>0</v>
      </c>
      <c r="AF41" s="11">
        <f t="shared" si="15"/>
        <v>0</v>
      </c>
      <c r="AG41" s="11">
        <f t="shared" si="15"/>
        <v>0</v>
      </c>
      <c r="AH41" s="11">
        <f t="shared" si="15"/>
        <v>0</v>
      </c>
    </row>
    <row r="42" spans="1:42">
      <c r="B42" t="s">
        <v>607</v>
      </c>
      <c r="D42" s="9" t="e">
        <f>E42/Income!$L$25</f>
        <v>#DIV/0!</v>
      </c>
      <c r="E42" s="98"/>
      <c r="F42" s="11">
        <f t="shared" si="14"/>
        <v>0</v>
      </c>
      <c r="G42" s="11">
        <f t="shared" si="14"/>
        <v>0</v>
      </c>
      <c r="H42" s="11">
        <f t="shared" si="14"/>
        <v>0</v>
      </c>
      <c r="I42" s="11">
        <f t="shared" si="14"/>
        <v>0</v>
      </c>
      <c r="J42" s="11">
        <f t="shared" si="14"/>
        <v>0</v>
      </c>
      <c r="K42" s="11">
        <f t="shared" si="14"/>
        <v>0</v>
      </c>
      <c r="L42" s="11">
        <f t="shared" si="14"/>
        <v>0</v>
      </c>
      <c r="M42" s="11">
        <f t="shared" si="14"/>
        <v>0</v>
      </c>
      <c r="N42" s="11">
        <f t="shared" si="14"/>
        <v>0</v>
      </c>
      <c r="O42" s="11">
        <f t="shared" si="14"/>
        <v>0</v>
      </c>
      <c r="P42" s="11">
        <f t="shared" si="14"/>
        <v>0</v>
      </c>
      <c r="Q42" s="11">
        <f t="shared" si="14"/>
        <v>0</v>
      </c>
      <c r="R42" s="11">
        <f t="shared" si="14"/>
        <v>0</v>
      </c>
      <c r="S42" s="11">
        <f t="shared" si="14"/>
        <v>0</v>
      </c>
      <c r="T42" s="11">
        <f t="shared" si="14"/>
        <v>0</v>
      </c>
      <c r="U42" s="11">
        <f t="shared" si="14"/>
        <v>0</v>
      </c>
      <c r="V42" s="11">
        <f t="shared" si="15"/>
        <v>0</v>
      </c>
      <c r="W42" s="11">
        <f t="shared" si="15"/>
        <v>0</v>
      </c>
      <c r="X42" s="11">
        <f t="shared" si="15"/>
        <v>0</v>
      </c>
      <c r="Y42" s="11">
        <f t="shared" si="15"/>
        <v>0</v>
      </c>
      <c r="Z42" s="11">
        <f t="shared" si="15"/>
        <v>0</v>
      </c>
      <c r="AA42" s="11">
        <f t="shared" si="15"/>
        <v>0</v>
      </c>
      <c r="AB42" s="11">
        <f t="shared" si="15"/>
        <v>0</v>
      </c>
      <c r="AC42" s="11">
        <f t="shared" si="15"/>
        <v>0</v>
      </c>
      <c r="AD42" s="11">
        <f t="shared" si="15"/>
        <v>0</v>
      </c>
      <c r="AE42" s="11">
        <f t="shared" si="15"/>
        <v>0</v>
      </c>
      <c r="AF42" s="11">
        <f t="shared" si="15"/>
        <v>0</v>
      </c>
      <c r="AG42" s="11">
        <f t="shared" si="15"/>
        <v>0</v>
      </c>
      <c r="AH42" s="11">
        <f t="shared" si="15"/>
        <v>0</v>
      </c>
    </row>
    <row r="43" spans="1:42">
      <c r="B43" t="s">
        <v>339</v>
      </c>
      <c r="D43" s="9" t="e">
        <f>E43/Income!$L$25</f>
        <v>#DIV/0!</v>
      </c>
      <c r="E43" s="98"/>
      <c r="F43" s="11">
        <f t="shared" si="14"/>
        <v>0</v>
      </c>
      <c r="G43" s="11">
        <f t="shared" si="14"/>
        <v>0</v>
      </c>
      <c r="H43" s="11">
        <f t="shared" si="14"/>
        <v>0</v>
      </c>
      <c r="I43" s="11">
        <f t="shared" si="14"/>
        <v>0</v>
      </c>
      <c r="J43" s="11">
        <f t="shared" si="14"/>
        <v>0</v>
      </c>
      <c r="K43" s="11">
        <f t="shared" si="14"/>
        <v>0</v>
      </c>
      <c r="L43" s="11">
        <f t="shared" si="14"/>
        <v>0</v>
      </c>
      <c r="M43" s="11">
        <f t="shared" si="14"/>
        <v>0</v>
      </c>
      <c r="N43" s="11">
        <f t="shared" si="14"/>
        <v>0</v>
      </c>
      <c r="O43" s="11">
        <f t="shared" si="14"/>
        <v>0</v>
      </c>
      <c r="P43" s="11">
        <f t="shared" si="14"/>
        <v>0</v>
      </c>
      <c r="Q43" s="11">
        <f t="shared" si="14"/>
        <v>0</v>
      </c>
      <c r="R43" s="11">
        <f t="shared" si="14"/>
        <v>0</v>
      </c>
      <c r="S43" s="11">
        <f t="shared" si="14"/>
        <v>0</v>
      </c>
      <c r="T43" s="11">
        <f t="shared" si="14"/>
        <v>0</v>
      </c>
      <c r="U43" s="11">
        <f t="shared" si="14"/>
        <v>0</v>
      </c>
      <c r="V43" s="11">
        <f t="shared" si="15"/>
        <v>0</v>
      </c>
      <c r="W43" s="11">
        <f t="shared" si="15"/>
        <v>0</v>
      </c>
      <c r="X43" s="11">
        <f t="shared" si="15"/>
        <v>0</v>
      </c>
      <c r="Y43" s="11">
        <f t="shared" si="15"/>
        <v>0</v>
      </c>
      <c r="Z43" s="11">
        <f t="shared" si="15"/>
        <v>0</v>
      </c>
      <c r="AA43" s="11">
        <f t="shared" si="15"/>
        <v>0</v>
      </c>
      <c r="AB43" s="11">
        <f t="shared" si="15"/>
        <v>0</v>
      </c>
      <c r="AC43" s="11">
        <f t="shared" si="15"/>
        <v>0</v>
      </c>
      <c r="AD43" s="11">
        <f t="shared" si="15"/>
        <v>0</v>
      </c>
      <c r="AE43" s="11">
        <f t="shared" si="15"/>
        <v>0</v>
      </c>
      <c r="AF43" s="11">
        <f t="shared" si="15"/>
        <v>0</v>
      </c>
      <c r="AG43" s="11">
        <f t="shared" si="15"/>
        <v>0</v>
      </c>
      <c r="AH43" s="11">
        <f t="shared" si="15"/>
        <v>0</v>
      </c>
    </row>
    <row r="44" spans="1:42">
      <c r="B44" t="s">
        <v>340</v>
      </c>
      <c r="D44" s="9" t="e">
        <f>E44/Income!$L$25</f>
        <v>#DIV/0!</v>
      </c>
      <c r="E44" s="98"/>
      <c r="F44" s="11">
        <f t="shared" si="14"/>
        <v>0</v>
      </c>
      <c r="G44" s="11">
        <f t="shared" si="14"/>
        <v>0</v>
      </c>
      <c r="H44" s="11">
        <f t="shared" si="14"/>
        <v>0</v>
      </c>
      <c r="I44" s="11">
        <f t="shared" si="14"/>
        <v>0</v>
      </c>
      <c r="J44" s="11">
        <f t="shared" si="14"/>
        <v>0</v>
      </c>
      <c r="K44" s="11">
        <f t="shared" si="14"/>
        <v>0</v>
      </c>
      <c r="L44" s="11">
        <f t="shared" si="14"/>
        <v>0</v>
      </c>
      <c r="M44" s="11">
        <f t="shared" si="14"/>
        <v>0</v>
      </c>
      <c r="N44" s="11">
        <f t="shared" si="14"/>
        <v>0</v>
      </c>
      <c r="O44" s="11">
        <f t="shared" si="14"/>
        <v>0</v>
      </c>
      <c r="P44" s="11">
        <f t="shared" si="14"/>
        <v>0</v>
      </c>
      <c r="Q44" s="11">
        <f t="shared" si="14"/>
        <v>0</v>
      </c>
      <c r="R44" s="11">
        <f t="shared" si="14"/>
        <v>0</v>
      </c>
      <c r="S44" s="11">
        <f t="shared" si="14"/>
        <v>0</v>
      </c>
      <c r="T44" s="11">
        <f t="shared" si="14"/>
        <v>0</v>
      </c>
      <c r="U44" s="11">
        <f t="shared" si="14"/>
        <v>0</v>
      </c>
      <c r="V44" s="11">
        <f t="shared" si="15"/>
        <v>0</v>
      </c>
      <c r="W44" s="11">
        <f t="shared" si="15"/>
        <v>0</v>
      </c>
      <c r="X44" s="11">
        <f t="shared" si="15"/>
        <v>0</v>
      </c>
      <c r="Y44" s="11">
        <f t="shared" si="15"/>
        <v>0</v>
      </c>
      <c r="Z44" s="11">
        <f t="shared" si="15"/>
        <v>0</v>
      </c>
      <c r="AA44" s="11">
        <f t="shared" si="15"/>
        <v>0</v>
      </c>
      <c r="AB44" s="11">
        <f t="shared" si="15"/>
        <v>0</v>
      </c>
      <c r="AC44" s="11">
        <f t="shared" si="15"/>
        <v>0</v>
      </c>
      <c r="AD44" s="11">
        <f t="shared" si="15"/>
        <v>0</v>
      </c>
      <c r="AE44" s="11">
        <f t="shared" si="15"/>
        <v>0</v>
      </c>
      <c r="AF44" s="11">
        <f t="shared" si="15"/>
        <v>0</v>
      </c>
      <c r="AG44" s="11">
        <f t="shared" si="15"/>
        <v>0</v>
      </c>
      <c r="AH44" s="11">
        <f t="shared" si="15"/>
        <v>0</v>
      </c>
    </row>
    <row r="45" spans="1:42">
      <c r="B45" s="65" t="s">
        <v>608</v>
      </c>
      <c r="D45" s="9" t="e">
        <f>E45/Income!$L$25</f>
        <v>#DIV/0!</v>
      </c>
      <c r="E45" s="98"/>
      <c r="F45" s="11">
        <f t="shared" si="14"/>
        <v>0</v>
      </c>
      <c r="G45" s="11">
        <f t="shared" si="14"/>
        <v>0</v>
      </c>
      <c r="H45" s="11">
        <f t="shared" si="14"/>
        <v>0</v>
      </c>
      <c r="I45" s="11">
        <f t="shared" si="14"/>
        <v>0</v>
      </c>
      <c r="J45" s="11">
        <f t="shared" si="14"/>
        <v>0</v>
      </c>
      <c r="K45" s="11">
        <f t="shared" si="14"/>
        <v>0</v>
      </c>
      <c r="L45" s="11">
        <f t="shared" si="14"/>
        <v>0</v>
      </c>
      <c r="M45" s="11">
        <f t="shared" si="14"/>
        <v>0</v>
      </c>
      <c r="N45" s="11">
        <f t="shared" si="14"/>
        <v>0</v>
      </c>
      <c r="O45" s="11">
        <f t="shared" si="14"/>
        <v>0</v>
      </c>
      <c r="P45" s="11">
        <f t="shared" si="14"/>
        <v>0</v>
      </c>
      <c r="Q45" s="11">
        <f t="shared" si="14"/>
        <v>0</v>
      </c>
      <c r="R45" s="11">
        <f t="shared" si="14"/>
        <v>0</v>
      </c>
      <c r="S45" s="11">
        <f t="shared" si="14"/>
        <v>0</v>
      </c>
      <c r="T45" s="11">
        <f t="shared" si="14"/>
        <v>0</v>
      </c>
      <c r="U45" s="11">
        <f t="shared" si="14"/>
        <v>0</v>
      </c>
      <c r="V45" s="11">
        <f t="shared" si="15"/>
        <v>0</v>
      </c>
      <c r="W45" s="11">
        <f t="shared" si="15"/>
        <v>0</v>
      </c>
      <c r="X45" s="11">
        <f t="shared" si="15"/>
        <v>0</v>
      </c>
      <c r="Y45" s="11">
        <f t="shared" si="15"/>
        <v>0</v>
      </c>
      <c r="Z45" s="11">
        <f t="shared" si="15"/>
        <v>0</v>
      </c>
      <c r="AA45" s="11">
        <f t="shared" si="15"/>
        <v>0</v>
      </c>
      <c r="AB45" s="11">
        <f t="shared" si="15"/>
        <v>0</v>
      </c>
      <c r="AC45" s="11">
        <f t="shared" si="15"/>
        <v>0</v>
      </c>
      <c r="AD45" s="11">
        <f t="shared" si="15"/>
        <v>0</v>
      </c>
      <c r="AE45" s="11">
        <f t="shared" si="15"/>
        <v>0</v>
      </c>
      <c r="AF45" s="11">
        <f t="shared" si="15"/>
        <v>0</v>
      </c>
      <c r="AG45" s="11">
        <f t="shared" si="15"/>
        <v>0</v>
      </c>
      <c r="AH45" s="11">
        <f t="shared" si="15"/>
        <v>0</v>
      </c>
    </row>
    <row r="46" spans="1:42">
      <c r="E46" s="15"/>
    </row>
    <row r="47" spans="1:42">
      <c r="A47" t="s">
        <v>238</v>
      </c>
      <c r="D47" s="9" t="e">
        <f>E47/Income!$L$25</f>
        <v>#DIV/0!</v>
      </c>
      <c r="E47" s="98"/>
      <c r="F47" s="11">
        <f t="shared" ref="F47:AH47" si="16">(+E47*$G$7)+E47</f>
        <v>0</v>
      </c>
      <c r="G47" s="11">
        <f t="shared" si="16"/>
        <v>0</v>
      </c>
      <c r="H47" s="11">
        <f t="shared" si="16"/>
        <v>0</v>
      </c>
      <c r="I47" s="11">
        <f t="shared" si="16"/>
        <v>0</v>
      </c>
      <c r="J47" s="11">
        <f t="shared" si="16"/>
        <v>0</v>
      </c>
      <c r="K47" s="11">
        <f t="shared" si="16"/>
        <v>0</v>
      </c>
      <c r="L47" s="11">
        <f t="shared" si="16"/>
        <v>0</v>
      </c>
      <c r="M47" s="11">
        <f t="shared" si="16"/>
        <v>0</v>
      </c>
      <c r="N47" s="11">
        <f t="shared" si="16"/>
        <v>0</v>
      </c>
      <c r="O47" s="11">
        <f t="shared" si="16"/>
        <v>0</v>
      </c>
      <c r="P47" s="11">
        <f t="shared" si="16"/>
        <v>0</v>
      </c>
      <c r="Q47" s="11">
        <f t="shared" si="16"/>
        <v>0</v>
      </c>
      <c r="R47" s="11">
        <f t="shared" si="16"/>
        <v>0</v>
      </c>
      <c r="S47" s="11">
        <f t="shared" si="16"/>
        <v>0</v>
      </c>
      <c r="T47" s="11">
        <f t="shared" si="16"/>
        <v>0</v>
      </c>
      <c r="U47" s="11">
        <f t="shared" si="16"/>
        <v>0</v>
      </c>
      <c r="V47" s="11">
        <f t="shared" si="16"/>
        <v>0</v>
      </c>
      <c r="W47" s="11">
        <f t="shared" si="16"/>
        <v>0</v>
      </c>
      <c r="X47" s="11">
        <f t="shared" si="16"/>
        <v>0</v>
      </c>
      <c r="Y47" s="11">
        <f t="shared" si="16"/>
        <v>0</v>
      </c>
      <c r="Z47" s="11">
        <f t="shared" si="16"/>
        <v>0</v>
      </c>
      <c r="AA47" s="11">
        <f t="shared" si="16"/>
        <v>0</v>
      </c>
      <c r="AB47" s="11">
        <f t="shared" si="16"/>
        <v>0</v>
      </c>
      <c r="AC47" s="11">
        <f t="shared" si="16"/>
        <v>0</v>
      </c>
      <c r="AD47" s="11">
        <f t="shared" si="16"/>
        <v>0</v>
      </c>
      <c r="AE47" s="11">
        <f t="shared" si="16"/>
        <v>0</v>
      </c>
      <c r="AF47" s="11">
        <f t="shared" si="16"/>
        <v>0</v>
      </c>
      <c r="AG47" s="11">
        <f t="shared" si="16"/>
        <v>0</v>
      </c>
      <c r="AH47" s="11">
        <f t="shared" si="16"/>
        <v>0</v>
      </c>
    </row>
    <row r="48" spans="1:42">
      <c r="E48" s="15"/>
    </row>
    <row r="49" spans="1:34">
      <c r="A49" t="s">
        <v>163</v>
      </c>
      <c r="D49" s="9" t="e">
        <f>E49/Income!$L$25</f>
        <v>#DIV/0!</v>
      </c>
      <c r="E49" s="98"/>
      <c r="F49" s="11">
        <f t="shared" ref="F49:AH49" si="17">(+E49*$G$7)+E49</f>
        <v>0</v>
      </c>
      <c r="G49" s="11">
        <f t="shared" si="17"/>
        <v>0</v>
      </c>
      <c r="H49" s="11">
        <f t="shared" si="17"/>
        <v>0</v>
      </c>
      <c r="I49" s="11">
        <f t="shared" si="17"/>
        <v>0</v>
      </c>
      <c r="J49" s="11">
        <f t="shared" si="17"/>
        <v>0</v>
      </c>
      <c r="K49" s="11">
        <f t="shared" si="17"/>
        <v>0</v>
      </c>
      <c r="L49" s="11">
        <f t="shared" si="17"/>
        <v>0</v>
      </c>
      <c r="M49" s="11">
        <f t="shared" si="17"/>
        <v>0</v>
      </c>
      <c r="N49" s="11">
        <f t="shared" si="17"/>
        <v>0</v>
      </c>
      <c r="O49" s="11">
        <f t="shared" si="17"/>
        <v>0</v>
      </c>
      <c r="P49" s="11">
        <f t="shared" si="17"/>
        <v>0</v>
      </c>
      <c r="Q49" s="11">
        <f t="shared" si="17"/>
        <v>0</v>
      </c>
      <c r="R49" s="11">
        <f t="shared" si="17"/>
        <v>0</v>
      </c>
      <c r="S49" s="11">
        <f t="shared" si="17"/>
        <v>0</v>
      </c>
      <c r="T49" s="11">
        <f t="shared" si="17"/>
        <v>0</v>
      </c>
      <c r="U49" s="11">
        <f t="shared" si="17"/>
        <v>0</v>
      </c>
      <c r="V49" s="11">
        <f t="shared" si="17"/>
        <v>0</v>
      </c>
      <c r="W49" s="11">
        <f t="shared" si="17"/>
        <v>0</v>
      </c>
      <c r="X49" s="11">
        <f t="shared" si="17"/>
        <v>0</v>
      </c>
      <c r="Y49" s="11">
        <f t="shared" si="17"/>
        <v>0</v>
      </c>
      <c r="Z49" s="11">
        <f t="shared" si="17"/>
        <v>0</v>
      </c>
      <c r="AA49" s="11">
        <f t="shared" si="17"/>
        <v>0</v>
      </c>
      <c r="AB49" s="11">
        <f t="shared" si="17"/>
        <v>0</v>
      </c>
      <c r="AC49" s="11">
        <f t="shared" si="17"/>
        <v>0</v>
      </c>
      <c r="AD49" s="11">
        <f t="shared" si="17"/>
        <v>0</v>
      </c>
      <c r="AE49" s="11">
        <f t="shared" si="17"/>
        <v>0</v>
      </c>
      <c r="AF49" s="11">
        <f t="shared" si="17"/>
        <v>0</v>
      </c>
      <c r="AG49" s="11">
        <f t="shared" si="17"/>
        <v>0</v>
      </c>
      <c r="AH49" s="11">
        <f t="shared" si="17"/>
        <v>0</v>
      </c>
    </row>
    <row r="50" spans="1:34">
      <c r="E50" s="15"/>
    </row>
    <row r="51" spans="1:34">
      <c r="A51" t="s">
        <v>609</v>
      </c>
      <c r="D51" s="9" t="e">
        <f>E51/Income!$L$25</f>
        <v>#DIV/0!</v>
      </c>
      <c r="E51" s="98"/>
      <c r="F51" s="11">
        <f t="shared" ref="F51:AH51" si="18">(+E51*$G$7)+E51</f>
        <v>0</v>
      </c>
      <c r="G51" s="11">
        <f t="shared" si="18"/>
        <v>0</v>
      </c>
      <c r="H51" s="11">
        <f t="shared" si="18"/>
        <v>0</v>
      </c>
      <c r="I51" s="11">
        <f t="shared" si="18"/>
        <v>0</v>
      </c>
      <c r="J51" s="11">
        <f t="shared" si="18"/>
        <v>0</v>
      </c>
      <c r="K51" s="11">
        <f t="shared" si="18"/>
        <v>0</v>
      </c>
      <c r="L51" s="11">
        <f t="shared" si="18"/>
        <v>0</v>
      </c>
      <c r="M51" s="11">
        <f t="shared" si="18"/>
        <v>0</v>
      </c>
      <c r="N51" s="11">
        <f t="shared" si="18"/>
        <v>0</v>
      </c>
      <c r="O51" s="11">
        <f t="shared" si="18"/>
        <v>0</v>
      </c>
      <c r="P51" s="11">
        <f t="shared" si="18"/>
        <v>0</v>
      </c>
      <c r="Q51" s="11">
        <f t="shared" si="18"/>
        <v>0</v>
      </c>
      <c r="R51" s="11">
        <f t="shared" si="18"/>
        <v>0</v>
      </c>
      <c r="S51" s="11">
        <f t="shared" si="18"/>
        <v>0</v>
      </c>
      <c r="T51" s="11">
        <f t="shared" si="18"/>
        <v>0</v>
      </c>
      <c r="U51" s="11">
        <f t="shared" si="18"/>
        <v>0</v>
      </c>
      <c r="V51" s="11">
        <f t="shared" si="18"/>
        <v>0</v>
      </c>
      <c r="W51" s="11">
        <f t="shared" si="18"/>
        <v>0</v>
      </c>
      <c r="X51" s="11">
        <f t="shared" si="18"/>
        <v>0</v>
      </c>
      <c r="Y51" s="11">
        <f t="shared" si="18"/>
        <v>0</v>
      </c>
      <c r="Z51" s="11">
        <f t="shared" si="18"/>
        <v>0</v>
      </c>
      <c r="AA51" s="11">
        <f t="shared" si="18"/>
        <v>0</v>
      </c>
      <c r="AB51" s="11">
        <f t="shared" si="18"/>
        <v>0</v>
      </c>
      <c r="AC51" s="11">
        <f t="shared" si="18"/>
        <v>0</v>
      </c>
      <c r="AD51" s="11">
        <f t="shared" si="18"/>
        <v>0</v>
      </c>
      <c r="AE51" s="11">
        <f t="shared" si="18"/>
        <v>0</v>
      </c>
      <c r="AF51" s="11">
        <f t="shared" si="18"/>
        <v>0</v>
      </c>
      <c r="AG51" s="11">
        <f t="shared" si="18"/>
        <v>0</v>
      </c>
      <c r="AH51" s="11">
        <f t="shared" si="18"/>
        <v>0</v>
      </c>
    </row>
    <row r="52" spans="1:34">
      <c r="E52" s="15"/>
    </row>
    <row r="53" spans="1:34">
      <c r="A53" t="s">
        <v>610</v>
      </c>
      <c r="D53" s="9" t="e">
        <f>E53/Income!$L$25</f>
        <v>#DIV/0!</v>
      </c>
      <c r="E53" s="98"/>
      <c r="F53" s="11">
        <f t="shared" ref="F53:AH53" si="19">(+E53*$G$7)+E53</f>
        <v>0</v>
      </c>
      <c r="G53" s="11">
        <f t="shared" si="19"/>
        <v>0</v>
      </c>
      <c r="H53" s="11">
        <f t="shared" si="19"/>
        <v>0</v>
      </c>
      <c r="I53" s="11">
        <f t="shared" si="19"/>
        <v>0</v>
      </c>
      <c r="J53" s="11">
        <f t="shared" si="19"/>
        <v>0</v>
      </c>
      <c r="K53" s="11">
        <f t="shared" si="19"/>
        <v>0</v>
      </c>
      <c r="L53" s="11">
        <f t="shared" si="19"/>
        <v>0</v>
      </c>
      <c r="M53" s="11">
        <f t="shared" si="19"/>
        <v>0</v>
      </c>
      <c r="N53" s="11">
        <f t="shared" si="19"/>
        <v>0</v>
      </c>
      <c r="O53" s="11">
        <f t="shared" si="19"/>
        <v>0</v>
      </c>
      <c r="P53" s="11">
        <f t="shared" si="19"/>
        <v>0</v>
      </c>
      <c r="Q53" s="11">
        <f t="shared" si="19"/>
        <v>0</v>
      </c>
      <c r="R53" s="11">
        <f t="shared" si="19"/>
        <v>0</v>
      </c>
      <c r="S53" s="11">
        <f t="shared" si="19"/>
        <v>0</v>
      </c>
      <c r="T53" s="11">
        <f t="shared" si="19"/>
        <v>0</v>
      </c>
      <c r="U53" s="11">
        <f t="shared" si="19"/>
        <v>0</v>
      </c>
      <c r="V53" s="11">
        <f t="shared" si="19"/>
        <v>0</v>
      </c>
      <c r="W53" s="11">
        <f t="shared" si="19"/>
        <v>0</v>
      </c>
      <c r="X53" s="11">
        <f t="shared" si="19"/>
        <v>0</v>
      </c>
      <c r="Y53" s="11">
        <f t="shared" si="19"/>
        <v>0</v>
      </c>
      <c r="Z53" s="11">
        <f t="shared" si="19"/>
        <v>0</v>
      </c>
      <c r="AA53" s="11">
        <f t="shared" si="19"/>
        <v>0</v>
      </c>
      <c r="AB53" s="11">
        <f t="shared" si="19"/>
        <v>0</v>
      </c>
      <c r="AC53" s="11">
        <f t="shared" si="19"/>
        <v>0</v>
      </c>
      <c r="AD53" s="11">
        <f t="shared" si="19"/>
        <v>0</v>
      </c>
      <c r="AE53" s="11">
        <f t="shared" si="19"/>
        <v>0</v>
      </c>
      <c r="AF53" s="11">
        <f t="shared" si="19"/>
        <v>0</v>
      </c>
      <c r="AG53" s="11">
        <f t="shared" si="19"/>
        <v>0</v>
      </c>
      <c r="AH53" s="11">
        <f t="shared" si="19"/>
        <v>0</v>
      </c>
    </row>
    <row r="54" spans="1:34">
      <c r="E54" s="15"/>
    </row>
    <row r="55" spans="1:34">
      <c r="A55" t="s">
        <v>232</v>
      </c>
      <c r="D55" s="9" t="e">
        <f>E55/Income!$L$25</f>
        <v>#DIV/0!</v>
      </c>
      <c r="E55" s="98"/>
      <c r="F55" s="11">
        <f t="shared" ref="F55:AH55" si="20">(+E55*$G$7)+E55</f>
        <v>0</v>
      </c>
      <c r="G55" s="11">
        <f t="shared" si="20"/>
        <v>0</v>
      </c>
      <c r="H55" s="11">
        <f t="shared" si="20"/>
        <v>0</v>
      </c>
      <c r="I55" s="11">
        <f t="shared" si="20"/>
        <v>0</v>
      </c>
      <c r="J55" s="11">
        <f t="shared" si="20"/>
        <v>0</v>
      </c>
      <c r="K55" s="11">
        <f t="shared" si="20"/>
        <v>0</v>
      </c>
      <c r="L55" s="11">
        <f t="shared" si="20"/>
        <v>0</v>
      </c>
      <c r="M55" s="11">
        <f t="shared" si="20"/>
        <v>0</v>
      </c>
      <c r="N55" s="11">
        <f t="shared" si="20"/>
        <v>0</v>
      </c>
      <c r="O55" s="11">
        <f t="shared" si="20"/>
        <v>0</v>
      </c>
      <c r="P55" s="11">
        <f t="shared" si="20"/>
        <v>0</v>
      </c>
      <c r="Q55" s="11">
        <f t="shared" si="20"/>
        <v>0</v>
      </c>
      <c r="R55" s="11">
        <f t="shared" si="20"/>
        <v>0</v>
      </c>
      <c r="S55" s="11">
        <f t="shared" si="20"/>
        <v>0</v>
      </c>
      <c r="T55" s="11">
        <f t="shared" si="20"/>
        <v>0</v>
      </c>
      <c r="U55" s="11">
        <f t="shared" si="20"/>
        <v>0</v>
      </c>
      <c r="V55" s="11">
        <f t="shared" si="20"/>
        <v>0</v>
      </c>
      <c r="W55" s="11">
        <f t="shared" si="20"/>
        <v>0</v>
      </c>
      <c r="X55" s="11">
        <f t="shared" si="20"/>
        <v>0</v>
      </c>
      <c r="Y55" s="11">
        <f t="shared" si="20"/>
        <v>0</v>
      </c>
      <c r="Z55" s="11">
        <f t="shared" si="20"/>
        <v>0</v>
      </c>
      <c r="AA55" s="11">
        <f t="shared" si="20"/>
        <v>0</v>
      </c>
      <c r="AB55" s="11">
        <f t="shared" si="20"/>
        <v>0</v>
      </c>
      <c r="AC55" s="11">
        <f t="shared" si="20"/>
        <v>0</v>
      </c>
      <c r="AD55" s="11">
        <f t="shared" si="20"/>
        <v>0</v>
      </c>
      <c r="AE55" s="11">
        <f t="shared" si="20"/>
        <v>0</v>
      </c>
      <c r="AF55" s="11">
        <f t="shared" si="20"/>
        <v>0</v>
      </c>
      <c r="AG55" s="11">
        <f t="shared" si="20"/>
        <v>0</v>
      </c>
      <c r="AH55" s="11">
        <f t="shared" si="20"/>
        <v>0</v>
      </c>
    </row>
    <row r="56" spans="1:34">
      <c r="D56" s="9"/>
      <c r="E56" s="7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>
      <c r="A57" t="s">
        <v>611</v>
      </c>
      <c r="D57" s="9" t="e">
        <f>E57/Income!$L$25</f>
        <v>#DIV/0!</v>
      </c>
      <c r="E57" s="98"/>
      <c r="F57" s="11">
        <f t="shared" ref="F57:AH57" si="21">(+E57*$G$7)+E57</f>
        <v>0</v>
      </c>
      <c r="G57" s="11">
        <f t="shared" si="21"/>
        <v>0</v>
      </c>
      <c r="H57" s="11">
        <f t="shared" si="21"/>
        <v>0</v>
      </c>
      <c r="I57" s="11">
        <f t="shared" si="21"/>
        <v>0</v>
      </c>
      <c r="J57" s="11">
        <f t="shared" si="21"/>
        <v>0</v>
      </c>
      <c r="K57" s="11">
        <f t="shared" si="21"/>
        <v>0</v>
      </c>
      <c r="L57" s="11">
        <f t="shared" si="21"/>
        <v>0</v>
      </c>
      <c r="M57" s="11">
        <f t="shared" si="21"/>
        <v>0</v>
      </c>
      <c r="N57" s="11">
        <f t="shared" si="21"/>
        <v>0</v>
      </c>
      <c r="O57" s="11">
        <f t="shared" si="21"/>
        <v>0</v>
      </c>
      <c r="P57" s="11">
        <f t="shared" si="21"/>
        <v>0</v>
      </c>
      <c r="Q57" s="11">
        <f t="shared" si="21"/>
        <v>0</v>
      </c>
      <c r="R57" s="11">
        <f t="shared" si="21"/>
        <v>0</v>
      </c>
      <c r="S57" s="11">
        <f t="shared" si="21"/>
        <v>0</v>
      </c>
      <c r="T57" s="11">
        <f t="shared" si="21"/>
        <v>0</v>
      </c>
      <c r="U57" s="11">
        <f t="shared" si="21"/>
        <v>0</v>
      </c>
      <c r="V57" s="11">
        <f t="shared" si="21"/>
        <v>0</v>
      </c>
      <c r="W57" s="11">
        <f t="shared" si="21"/>
        <v>0</v>
      </c>
      <c r="X57" s="11">
        <f t="shared" si="21"/>
        <v>0</v>
      </c>
      <c r="Y57" s="11">
        <f t="shared" si="21"/>
        <v>0</v>
      </c>
      <c r="Z57" s="11">
        <f t="shared" si="21"/>
        <v>0</v>
      </c>
      <c r="AA57" s="11">
        <f t="shared" si="21"/>
        <v>0</v>
      </c>
      <c r="AB57" s="11">
        <f t="shared" si="21"/>
        <v>0</v>
      </c>
      <c r="AC57" s="11">
        <f t="shared" si="21"/>
        <v>0</v>
      </c>
      <c r="AD57" s="11">
        <f t="shared" si="21"/>
        <v>0</v>
      </c>
      <c r="AE57" s="11">
        <f t="shared" si="21"/>
        <v>0</v>
      </c>
      <c r="AF57" s="11">
        <f t="shared" si="21"/>
        <v>0</v>
      </c>
      <c r="AG57" s="11">
        <f t="shared" si="21"/>
        <v>0</v>
      </c>
      <c r="AH57" s="11">
        <f t="shared" si="21"/>
        <v>0</v>
      </c>
    </row>
    <row r="58" spans="1:34">
      <c r="E58" s="15"/>
    </row>
    <row r="59" spans="1:34">
      <c r="A59" s="82" t="s">
        <v>640</v>
      </c>
      <c r="D59" s="594">
        <v>0</v>
      </c>
      <c r="E59" s="98"/>
      <c r="F59" s="11">
        <f t="shared" ref="F59:AH59" si="22">(+E59*$G$7)+E59</f>
        <v>0</v>
      </c>
      <c r="G59" s="11">
        <f t="shared" si="22"/>
        <v>0</v>
      </c>
      <c r="H59" s="11">
        <f t="shared" si="22"/>
        <v>0</v>
      </c>
      <c r="I59" s="11">
        <f t="shared" si="22"/>
        <v>0</v>
      </c>
      <c r="J59" s="11">
        <f t="shared" si="22"/>
        <v>0</v>
      </c>
      <c r="K59" s="11">
        <f t="shared" si="22"/>
        <v>0</v>
      </c>
      <c r="L59" s="11">
        <f t="shared" si="22"/>
        <v>0</v>
      </c>
      <c r="M59" s="11">
        <f t="shared" si="22"/>
        <v>0</v>
      </c>
      <c r="N59" s="11">
        <f t="shared" si="22"/>
        <v>0</v>
      </c>
      <c r="O59" s="11">
        <f t="shared" si="22"/>
        <v>0</v>
      </c>
      <c r="P59" s="11">
        <f t="shared" si="22"/>
        <v>0</v>
      </c>
      <c r="Q59" s="11">
        <f t="shared" si="22"/>
        <v>0</v>
      </c>
      <c r="R59" s="11">
        <f t="shared" si="22"/>
        <v>0</v>
      </c>
      <c r="S59" s="11">
        <f t="shared" si="22"/>
        <v>0</v>
      </c>
      <c r="T59" s="11">
        <f t="shared" si="22"/>
        <v>0</v>
      </c>
      <c r="U59" s="11">
        <f t="shared" si="22"/>
        <v>0</v>
      </c>
      <c r="V59" s="11">
        <f t="shared" si="22"/>
        <v>0</v>
      </c>
      <c r="W59" s="11">
        <f t="shared" si="22"/>
        <v>0</v>
      </c>
      <c r="X59" s="11">
        <f t="shared" si="22"/>
        <v>0</v>
      </c>
      <c r="Y59" s="11">
        <f t="shared" si="22"/>
        <v>0</v>
      </c>
      <c r="Z59" s="11">
        <f t="shared" si="22"/>
        <v>0</v>
      </c>
      <c r="AA59" s="11">
        <f t="shared" si="22"/>
        <v>0</v>
      </c>
      <c r="AB59" s="11">
        <f t="shared" si="22"/>
        <v>0</v>
      </c>
      <c r="AC59" s="11">
        <f t="shared" si="22"/>
        <v>0</v>
      </c>
      <c r="AD59" s="11">
        <f t="shared" si="22"/>
        <v>0</v>
      </c>
      <c r="AE59" s="11">
        <f t="shared" si="22"/>
        <v>0</v>
      </c>
      <c r="AF59" s="11">
        <f t="shared" si="22"/>
        <v>0</v>
      </c>
      <c r="AG59" s="11">
        <f t="shared" si="22"/>
        <v>0</v>
      </c>
      <c r="AH59" s="11">
        <f t="shared" si="22"/>
        <v>0</v>
      </c>
    </row>
    <row r="60" spans="1:34">
      <c r="D60" s="9"/>
      <c r="E60" s="7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>
      <c r="A61" s="23" t="s">
        <v>139</v>
      </c>
      <c r="D61" s="9" t="e">
        <f>E61/Income!$L$25</f>
        <v>#DIV/0!</v>
      </c>
      <c r="E61" s="98"/>
      <c r="F61" s="11">
        <f t="shared" ref="F61:AH61" si="23">(+E61*$G$7)+E61</f>
        <v>0</v>
      </c>
      <c r="G61" s="11">
        <f t="shared" si="23"/>
        <v>0</v>
      </c>
      <c r="H61" s="11">
        <f t="shared" si="23"/>
        <v>0</v>
      </c>
      <c r="I61" s="11">
        <f t="shared" si="23"/>
        <v>0</v>
      </c>
      <c r="J61" s="11">
        <f t="shared" si="23"/>
        <v>0</v>
      </c>
      <c r="K61" s="11">
        <f t="shared" si="23"/>
        <v>0</v>
      </c>
      <c r="L61" s="11">
        <f t="shared" si="23"/>
        <v>0</v>
      </c>
      <c r="M61" s="11">
        <f t="shared" si="23"/>
        <v>0</v>
      </c>
      <c r="N61" s="11">
        <f t="shared" si="23"/>
        <v>0</v>
      </c>
      <c r="O61" s="11">
        <f t="shared" si="23"/>
        <v>0</v>
      </c>
      <c r="P61" s="11">
        <f t="shared" si="23"/>
        <v>0</v>
      </c>
      <c r="Q61" s="11">
        <f t="shared" si="23"/>
        <v>0</v>
      </c>
      <c r="R61" s="11">
        <f t="shared" si="23"/>
        <v>0</v>
      </c>
      <c r="S61" s="11">
        <f t="shared" si="23"/>
        <v>0</v>
      </c>
      <c r="T61" s="11">
        <f t="shared" si="23"/>
        <v>0</v>
      </c>
      <c r="U61" s="11">
        <f t="shared" si="23"/>
        <v>0</v>
      </c>
      <c r="V61" s="11">
        <f t="shared" si="23"/>
        <v>0</v>
      </c>
      <c r="W61" s="11">
        <f t="shared" si="23"/>
        <v>0</v>
      </c>
      <c r="X61" s="11">
        <f t="shared" si="23"/>
        <v>0</v>
      </c>
      <c r="Y61" s="11">
        <f t="shared" si="23"/>
        <v>0</v>
      </c>
      <c r="Z61" s="11">
        <f t="shared" si="23"/>
        <v>0</v>
      </c>
      <c r="AA61" s="11">
        <f t="shared" si="23"/>
        <v>0</v>
      </c>
      <c r="AB61" s="11">
        <f t="shared" si="23"/>
        <v>0</v>
      </c>
      <c r="AC61" s="11">
        <f t="shared" si="23"/>
        <v>0</v>
      </c>
      <c r="AD61" s="11">
        <f t="shared" si="23"/>
        <v>0</v>
      </c>
      <c r="AE61" s="11">
        <f t="shared" si="23"/>
        <v>0</v>
      </c>
      <c r="AF61" s="11">
        <f t="shared" si="23"/>
        <v>0</v>
      </c>
      <c r="AG61" s="11">
        <f t="shared" si="23"/>
        <v>0</v>
      </c>
      <c r="AH61" s="11">
        <f t="shared" si="23"/>
        <v>0</v>
      </c>
    </row>
    <row r="62" spans="1:34">
      <c r="D62" s="9"/>
      <c r="E62" s="9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>
      <c r="A63" s="23" t="s">
        <v>239</v>
      </c>
      <c r="B63" s="23"/>
      <c r="C63" s="23"/>
      <c r="D63" s="7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spans="1:34" ht="15.75">
      <c r="A64" s="232" t="s">
        <v>346</v>
      </c>
      <c r="D64" s="181" t="e">
        <f t="shared" ref="D64:AH64" si="24">SUM(D45:D63)</f>
        <v>#DIV/0!</v>
      </c>
      <c r="E64" s="182">
        <f t="shared" si="24"/>
        <v>0</v>
      </c>
      <c r="F64" s="182">
        <f t="shared" si="24"/>
        <v>0</v>
      </c>
      <c r="G64" s="182">
        <f t="shared" si="24"/>
        <v>0</v>
      </c>
      <c r="H64" s="182">
        <f t="shared" si="24"/>
        <v>0</v>
      </c>
      <c r="I64" s="182">
        <f t="shared" si="24"/>
        <v>0</v>
      </c>
      <c r="J64" s="182">
        <f t="shared" si="24"/>
        <v>0</v>
      </c>
      <c r="K64" s="182">
        <f t="shared" si="24"/>
        <v>0</v>
      </c>
      <c r="L64" s="182">
        <f t="shared" si="24"/>
        <v>0</v>
      </c>
      <c r="M64" s="182">
        <f t="shared" si="24"/>
        <v>0</v>
      </c>
      <c r="N64" s="182">
        <f t="shared" si="24"/>
        <v>0</v>
      </c>
      <c r="O64" s="182">
        <f t="shared" si="24"/>
        <v>0</v>
      </c>
      <c r="P64" s="182">
        <f t="shared" si="24"/>
        <v>0</v>
      </c>
      <c r="Q64" s="182">
        <f t="shared" si="24"/>
        <v>0</v>
      </c>
      <c r="R64" s="182">
        <f t="shared" si="24"/>
        <v>0</v>
      </c>
      <c r="S64" s="182">
        <f t="shared" si="24"/>
        <v>0</v>
      </c>
      <c r="T64" s="182">
        <f t="shared" si="24"/>
        <v>0</v>
      </c>
      <c r="U64" s="182">
        <f t="shared" si="24"/>
        <v>0</v>
      </c>
      <c r="V64" s="182">
        <f t="shared" si="24"/>
        <v>0</v>
      </c>
      <c r="W64" s="182">
        <f t="shared" si="24"/>
        <v>0</v>
      </c>
      <c r="X64" s="182">
        <f t="shared" si="24"/>
        <v>0</v>
      </c>
      <c r="Y64" s="182">
        <f t="shared" si="24"/>
        <v>0</v>
      </c>
      <c r="Z64" s="182">
        <f t="shared" si="24"/>
        <v>0</v>
      </c>
      <c r="AA64" s="182">
        <f t="shared" si="24"/>
        <v>0</v>
      </c>
      <c r="AB64" s="182">
        <f t="shared" si="24"/>
        <v>0</v>
      </c>
      <c r="AC64" s="182">
        <f t="shared" si="24"/>
        <v>0</v>
      </c>
      <c r="AD64" s="182">
        <f t="shared" si="24"/>
        <v>0</v>
      </c>
      <c r="AE64" s="182">
        <f t="shared" si="24"/>
        <v>0</v>
      </c>
      <c r="AF64" s="182">
        <f t="shared" si="24"/>
        <v>0</v>
      </c>
      <c r="AG64" s="182">
        <f t="shared" si="24"/>
        <v>0</v>
      </c>
      <c r="AH64" s="182">
        <f t="shared" si="24"/>
        <v>0</v>
      </c>
    </row>
    <row r="65" spans="1:34" ht="15.75">
      <c r="A65" s="232"/>
      <c r="D65" s="181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/>
      <c r="AH65" s="182"/>
    </row>
    <row r="66" spans="1:34">
      <c r="A66" s="12" t="s">
        <v>0</v>
      </c>
      <c r="D66" s="8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>
      <c r="A67" s="12"/>
      <c r="D67" s="8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>
      <c r="A68" s="599" t="s">
        <v>622</v>
      </c>
      <c r="B68" s="600"/>
      <c r="C68" s="601" t="s">
        <v>623</v>
      </c>
      <c r="D68" s="84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>
      <c r="A69" s="602" t="s">
        <v>624</v>
      </c>
      <c r="B69" s="602"/>
      <c r="C69" s="602"/>
      <c r="D69" s="8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>
      <c r="A70" s="602" t="s">
        <v>625</v>
      </c>
      <c r="B70" s="602"/>
      <c r="C70" s="602"/>
      <c r="D70" s="8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>
      <c r="A71" s="602" t="s">
        <v>626</v>
      </c>
      <c r="B71" s="602"/>
      <c r="C71" s="602"/>
      <c r="D71" s="84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>
      <c r="A72" s="602" t="s">
        <v>627</v>
      </c>
      <c r="B72" s="602"/>
      <c r="C72" s="602"/>
      <c r="D72" s="84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>
      <c r="A73" s="602" t="s">
        <v>628</v>
      </c>
      <c r="B73" s="602"/>
      <c r="C73" s="602"/>
      <c r="D73" s="84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>
      <c r="A74" s="602" t="s">
        <v>629</v>
      </c>
      <c r="B74" s="602"/>
      <c r="C74" s="602"/>
      <c r="D74" s="8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>
      <c r="A75" s="603" t="s">
        <v>630</v>
      </c>
      <c r="B75" s="602"/>
      <c r="C75" s="602"/>
      <c r="D75" s="8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>
      <c r="A76" s="12"/>
      <c r="D76" s="8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>
      <c r="A77" s="595" t="s">
        <v>638</v>
      </c>
      <c r="B77" s="596"/>
      <c r="C77" s="598" t="s">
        <v>631</v>
      </c>
      <c r="D77" s="84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>
      <c r="A78" s="12" t="s">
        <v>632</v>
      </c>
      <c r="D78" s="84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>
      <c r="A79" s="12" t="s">
        <v>633</v>
      </c>
      <c r="D79" s="84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>
      <c r="A80" s="12" t="s">
        <v>634</v>
      </c>
      <c r="D80" s="8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256">
      <c r="A81" s="12" t="s">
        <v>635</v>
      </c>
      <c r="D81" s="8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256">
      <c r="A82" s="12" t="s">
        <v>636</v>
      </c>
      <c r="D82" s="8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256">
      <c r="A83" s="12" t="s">
        <v>637</v>
      </c>
      <c r="D83" s="8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1:256" ht="15.75">
      <c r="A84" s="232"/>
      <c r="D84" s="181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</row>
    <row r="85" spans="1:256">
      <c r="D85" s="83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</row>
    <row r="86" spans="1:256">
      <c r="A86" s="12" t="s">
        <v>639</v>
      </c>
      <c r="D86" s="84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1:256" ht="13.5" thickBot="1">
      <c r="A87" s="15"/>
      <c r="B87" s="15"/>
      <c r="C87" s="15"/>
      <c r="D87" s="9"/>
      <c r="E87" s="9"/>
    </row>
    <row r="88" spans="1:256" s="132" customFormat="1">
      <c r="A88" s="194" t="s">
        <v>382</v>
      </c>
      <c r="B88" s="195"/>
      <c r="C88" s="195"/>
      <c r="D88" s="184"/>
      <c r="E88" s="185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  <c r="AE88" s="160"/>
      <c r="AF88" s="160"/>
      <c r="AG88" s="160"/>
      <c r="AH88" s="160"/>
    </row>
    <row r="89" spans="1:256">
      <c r="A89" s="196" t="s">
        <v>1</v>
      </c>
      <c r="B89" s="196" t="s">
        <v>2</v>
      </c>
      <c r="C89" s="196" t="s">
        <v>3</v>
      </c>
      <c r="D89" s="9"/>
      <c r="E89" s="9"/>
    </row>
    <row r="90" spans="1:256" ht="13.5" thickBot="1">
      <c r="A90" s="186"/>
      <c r="B90" s="187"/>
      <c r="C90" s="188"/>
      <c r="D90" s="189" t="e">
        <f>(PMT($A$90/12,$B$90*12,-$C$90,0,0)*12)/Income!$L$25</f>
        <v>#DIV/0!</v>
      </c>
      <c r="E90" s="189">
        <f>IF($B$90&gt;=E9,PMT($A$90/12,$B$90*12,-$C$90,0,0)*12,0)</f>
        <v>0</v>
      </c>
      <c r="F90" s="189">
        <f t="shared" ref="F90:AH90" si="25">IF($B$90&gt;=F9,PMT($A$90/12,$B$90*12,-$C$90,0,0)*12,0)</f>
        <v>0</v>
      </c>
      <c r="G90" s="189">
        <f t="shared" si="25"/>
        <v>0</v>
      </c>
      <c r="H90" s="189">
        <f t="shared" si="25"/>
        <v>0</v>
      </c>
      <c r="I90" s="189">
        <f t="shared" si="25"/>
        <v>0</v>
      </c>
      <c r="J90" s="189">
        <f t="shared" si="25"/>
        <v>0</v>
      </c>
      <c r="K90" s="189">
        <f t="shared" si="25"/>
        <v>0</v>
      </c>
      <c r="L90" s="189">
        <f t="shared" si="25"/>
        <v>0</v>
      </c>
      <c r="M90" s="189">
        <f t="shared" si="25"/>
        <v>0</v>
      </c>
      <c r="N90" s="189">
        <f t="shared" si="25"/>
        <v>0</v>
      </c>
      <c r="O90" s="189">
        <f t="shared" si="25"/>
        <v>0</v>
      </c>
      <c r="P90" s="189">
        <f t="shared" si="25"/>
        <v>0</v>
      </c>
      <c r="Q90" s="189">
        <f t="shared" si="25"/>
        <v>0</v>
      </c>
      <c r="R90" s="189">
        <f t="shared" si="25"/>
        <v>0</v>
      </c>
      <c r="S90" s="189">
        <f t="shared" si="25"/>
        <v>0</v>
      </c>
      <c r="T90" s="189">
        <f t="shared" si="25"/>
        <v>0</v>
      </c>
      <c r="U90" s="189">
        <f t="shared" si="25"/>
        <v>0</v>
      </c>
      <c r="V90" s="189">
        <f t="shared" si="25"/>
        <v>0</v>
      </c>
      <c r="W90" s="189">
        <f t="shared" si="25"/>
        <v>0</v>
      </c>
      <c r="X90" s="189">
        <f t="shared" si="25"/>
        <v>0</v>
      </c>
      <c r="Y90" s="189">
        <f t="shared" si="25"/>
        <v>0</v>
      </c>
      <c r="Z90" s="189">
        <f t="shared" si="25"/>
        <v>0</v>
      </c>
      <c r="AA90" s="189">
        <f t="shared" si="25"/>
        <v>0</v>
      </c>
      <c r="AB90" s="189">
        <f t="shared" si="25"/>
        <v>0</v>
      </c>
      <c r="AC90" s="189">
        <f t="shared" si="25"/>
        <v>0</v>
      </c>
      <c r="AD90" s="189">
        <f t="shared" si="25"/>
        <v>0</v>
      </c>
      <c r="AE90" s="189">
        <f t="shared" si="25"/>
        <v>0</v>
      </c>
      <c r="AF90" s="189">
        <f t="shared" si="25"/>
        <v>0</v>
      </c>
      <c r="AG90" s="189">
        <f t="shared" si="25"/>
        <v>0</v>
      </c>
      <c r="AH90" s="189">
        <f t="shared" si="25"/>
        <v>0</v>
      </c>
    </row>
    <row r="91" spans="1:256">
      <c r="A91" s="197" t="s">
        <v>384</v>
      </c>
      <c r="B91" s="198"/>
      <c r="C91" s="198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  <c r="CF91" s="41"/>
      <c r="CG91" s="41"/>
      <c r="CH91" s="41"/>
      <c r="CI91" s="41"/>
      <c r="CJ91" s="41"/>
      <c r="CK91" s="41"/>
      <c r="CL91" s="41"/>
      <c r="CM91" s="41"/>
      <c r="CN91" s="41"/>
      <c r="CO91" s="41"/>
      <c r="CP91" s="41"/>
      <c r="CQ91" s="41"/>
      <c r="CR91" s="41"/>
      <c r="CS91" s="41"/>
      <c r="CT91" s="41"/>
      <c r="CU91" s="41"/>
      <c r="CV91" s="41"/>
      <c r="CW91" s="41"/>
      <c r="CX91" s="41"/>
      <c r="CY91" s="41"/>
      <c r="CZ91" s="41"/>
      <c r="DA91" s="41"/>
      <c r="DB91" s="41"/>
      <c r="DC91" s="41"/>
      <c r="DD91" s="41"/>
      <c r="DE91" s="41"/>
      <c r="DF91" s="41"/>
      <c r="DG91" s="41"/>
      <c r="DH91" s="41"/>
      <c r="DI91" s="41"/>
      <c r="DJ91" s="41"/>
      <c r="DK91" s="41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</row>
    <row r="92" spans="1:256">
      <c r="A92" s="196" t="s">
        <v>1</v>
      </c>
      <c r="B92" s="196" t="s">
        <v>2</v>
      </c>
      <c r="C92" s="196" t="s">
        <v>3</v>
      </c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  <c r="BZ92" s="41"/>
      <c r="CA92" s="41"/>
      <c r="CB92" s="41"/>
      <c r="CC92" s="41"/>
      <c r="CD92" s="41"/>
      <c r="CE92" s="41"/>
      <c r="CF92" s="41"/>
      <c r="CG92" s="41"/>
      <c r="CH92" s="41"/>
      <c r="CI92" s="41"/>
      <c r="CJ92" s="41"/>
      <c r="CK92" s="41"/>
      <c r="CL92" s="41"/>
      <c r="CM92" s="41"/>
      <c r="CN92" s="41"/>
      <c r="CO92" s="41"/>
      <c r="CP92" s="41"/>
      <c r="CQ92" s="41"/>
      <c r="CR92" s="41"/>
      <c r="CS92" s="41"/>
      <c r="CT92" s="41"/>
      <c r="CU92" s="41"/>
      <c r="CV92" s="41"/>
      <c r="CW92" s="41"/>
      <c r="CX92" s="41"/>
      <c r="CY92" s="41"/>
      <c r="CZ92" s="41"/>
      <c r="DA92" s="41"/>
      <c r="DB92" s="41"/>
      <c r="DC92" s="41"/>
      <c r="DD92" s="41"/>
      <c r="DE92" s="41"/>
      <c r="DF92" s="41"/>
      <c r="DG92" s="41"/>
      <c r="DH92" s="41"/>
      <c r="DI92" s="41"/>
      <c r="DJ92" s="41"/>
      <c r="DK92" s="41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</row>
    <row r="93" spans="1:256">
      <c r="A93" s="28">
        <f>+'OAHTC Calculation'!D10</f>
        <v>-0.04</v>
      </c>
      <c r="B93" s="71">
        <f>'OAHTC Calculation'!D11</f>
        <v>1</v>
      </c>
      <c r="C93" s="31">
        <f>'OAHTC Calculation'!F9</f>
        <v>0</v>
      </c>
      <c r="D93" s="43" t="e">
        <f>(PMT($A$93/12,$B$93*12,-$C$93,0,0)*12/Income!$L$25)</f>
        <v>#DIV/0!</v>
      </c>
      <c r="E93" s="49">
        <f>IF('OAHTC Calculation'!$F$12&gt;=E9,PMT($A$93/12,$B$93*12,-$C$93,0,0)*12,0)</f>
        <v>0</v>
      </c>
      <c r="F93" s="49">
        <f>IF('OAHTC Calculation'!$F$12&gt;=F9,PMT($A$93/12,$B$93*12,-$C$93,0,0)*12,0)</f>
        <v>0</v>
      </c>
      <c r="G93" s="49">
        <f>IF('OAHTC Calculation'!$F$12&gt;=G9,PMT($A$93/12,$B$93*12,-$C$93,0,0)*12,0)</f>
        <v>0</v>
      </c>
      <c r="H93" s="49">
        <f>IF('OAHTC Calculation'!$F$12&gt;=H9,PMT($A$93/12,$B$93*12,-$C$93,0,0)*12,0)</f>
        <v>0</v>
      </c>
      <c r="I93" s="49">
        <f>IF('OAHTC Calculation'!$F$12&gt;=I9,PMT($A$93/12,$B$93*12,-$C$93,0,0)*12,0)</f>
        <v>0</v>
      </c>
      <c r="J93" s="49">
        <f>IF('OAHTC Calculation'!$F$12&gt;=J9,PMT($A$93/12,$B$93*12,-$C$93,0,0)*12,0)</f>
        <v>0</v>
      </c>
      <c r="K93" s="49">
        <f>IF('OAHTC Calculation'!$F$12&gt;=K9,PMT($A$93/12,$B$93*12,-$C$93,0,0)*12,0)</f>
        <v>0</v>
      </c>
      <c r="L93" s="49">
        <f>IF('OAHTC Calculation'!$F$12&gt;=L9,PMT($A$93/12,$B$93*12,-$C$93,0,0)*12,0)</f>
        <v>0</v>
      </c>
      <c r="M93" s="49">
        <f>IF('OAHTC Calculation'!$F$12&gt;=M9,PMT($A$93/12,$B$93*12,-$C$93,0,0)*12,0)</f>
        <v>0</v>
      </c>
      <c r="N93" s="49">
        <f>IF('OAHTC Calculation'!$F$12&gt;=N9,PMT($A$93/12,$B$93*12,-$C$93,0,0)*12,0)</f>
        <v>0</v>
      </c>
      <c r="O93" s="49">
        <f>IF('OAHTC Calculation'!$F$12&gt;=O9,PMT($A$93/12,$B$93*12,-$C$93,0,0)*12,0)</f>
        <v>0</v>
      </c>
      <c r="P93" s="49">
        <f>IF('OAHTC Calculation'!$F$12&gt;=P9,PMT($A$93/12,$B$93*12,-$C$93,0,0)*12,0)</f>
        <v>0</v>
      </c>
      <c r="Q93" s="49">
        <f>IF('OAHTC Calculation'!$F$12&gt;=Q9,PMT($A$93/12,$B$93*12,-$C$93,0,0)*12,0)</f>
        <v>0</v>
      </c>
      <c r="R93" s="49">
        <f>IF('OAHTC Calculation'!$F$12&gt;=R9,PMT($A$93/12,$B$93*12,-$C$93,0,0)*12,0)</f>
        <v>0</v>
      </c>
      <c r="S93" s="49">
        <f>IF('OAHTC Calculation'!$F$12&gt;=S9,PMT($A$93/12,$B$93*12,-$C$93,0,0)*12,0)</f>
        <v>0</v>
      </c>
      <c r="T93" s="49">
        <f>IF('OAHTC Calculation'!$F$12&gt;=T9,PMT($A$93/12,$B$93*12,-$C$93,0,0)*12,0)</f>
        <v>0</v>
      </c>
      <c r="U93" s="49">
        <f>IF('OAHTC Calculation'!$F$12&gt;=U9,PMT($A$93/12,$B$93*12,-$C$93,0,0)*12,0)</f>
        <v>0</v>
      </c>
      <c r="V93" s="49">
        <f>IF('OAHTC Calculation'!$F$12&gt;=V9,PMT($A$93/12,$B$93*12,-$C$93,0,0)*12,0)</f>
        <v>0</v>
      </c>
      <c r="W93" s="49">
        <f>IF('OAHTC Calculation'!$F$12&gt;=W9,PMT($A$93/12,$B$93*12,-$C$93,0,0)*12,0)</f>
        <v>0</v>
      </c>
      <c r="X93" s="49">
        <f>IF('OAHTC Calculation'!$F$12&gt;=X9,PMT($A$93/12,$B$93*12,-$C$93,0,0)*12,0)</f>
        <v>0</v>
      </c>
      <c r="Y93" s="49">
        <f>IF('OAHTC Calculation'!$F$12&gt;=Y9,PMT($A$93/12,$B$93*12,-$C$93,0,0)*12,0)</f>
        <v>0</v>
      </c>
      <c r="Z93" s="49">
        <f>IF('OAHTC Calculation'!$F$12&gt;=Z9,PMT($A$93/12,$B$93*12,-$C$93,0,0)*12,0)</f>
        <v>0</v>
      </c>
      <c r="AA93" s="49">
        <f>IF('OAHTC Calculation'!$F$12&gt;=AA9,PMT($A$93/12,$B$93*12,-$C$93,0,0)*12,0)</f>
        <v>0</v>
      </c>
      <c r="AB93" s="49">
        <f>IF('OAHTC Calculation'!$F$12&gt;=AB9,PMT($A$93/12,$B$93*12,-$C$93,0,0)*12,0)</f>
        <v>0</v>
      </c>
      <c r="AC93" s="49">
        <f>IF('OAHTC Calculation'!$F$12&gt;=AC9,PMT($A$93/12,$B$93*12,-$C$93,0,0)*12,0)</f>
        <v>0</v>
      </c>
      <c r="AD93" s="49">
        <f>IF('OAHTC Calculation'!$F$12&gt;=AD9,PMT($A$93/12,$B$93*12,-$C$93,0,0)*12,0)</f>
        <v>0</v>
      </c>
      <c r="AE93" s="49">
        <f>IF('OAHTC Calculation'!$F$12&gt;=AE9,PMT($A$93/12,$B$93*12,-$C$93,0,0)*12,0)</f>
        <v>0</v>
      </c>
      <c r="AF93" s="49">
        <f>IF('OAHTC Calculation'!$F$12&gt;=AF9,PMT($A$93/12,$B$93*12,-$C$93,0,0)*12,0)</f>
        <v>0</v>
      </c>
      <c r="AG93" s="49">
        <f>IF('OAHTC Calculation'!$F$12&gt;=AG9,PMT($A$93/12,$B$93*12,-$C$93,0,0)*12,0)</f>
        <v>0</v>
      </c>
      <c r="AH93" s="49">
        <f>IF('OAHTC Calculation'!$F$12&gt;=AH9,PMT($A$93/12,$B$93*12,-$C$93,0,0)*12,0)</f>
        <v>0</v>
      </c>
    </row>
    <row r="94" spans="1:256">
      <c r="A94" s="15"/>
      <c r="B94" s="204"/>
      <c r="C94" s="204"/>
      <c r="D94" s="43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spans="1:256">
      <c r="A95" s="199" t="s">
        <v>383</v>
      </c>
      <c r="B95" s="200"/>
      <c r="C95" s="200"/>
      <c r="D95" s="201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256" ht="13.5" thickBot="1">
      <c r="A96" s="192"/>
      <c r="B96" s="100">
        <v>1</v>
      </c>
      <c r="C96" s="101"/>
      <c r="D96" s="43" t="e">
        <f>(PMT($A$96/12,$B$96*12,-$C$96,0,0)*12)/Income!$L$25</f>
        <v>#DIV/0!</v>
      </c>
      <c r="E96" s="49">
        <f>IF($B$96&gt;=E9,PMT($A$96/12,$B$96*12,-$C$96,0,0)*12,0)</f>
        <v>0</v>
      </c>
      <c r="F96" s="49">
        <f t="shared" ref="F96:AH96" si="26">IF($B$96&gt;=F9,PMT($A$96/12,$B$96*12,-$C$96,0,0)*12,0)</f>
        <v>0</v>
      </c>
      <c r="G96" s="49">
        <f t="shared" si="26"/>
        <v>0</v>
      </c>
      <c r="H96" s="49">
        <f t="shared" si="26"/>
        <v>0</v>
      </c>
      <c r="I96" s="49">
        <f t="shared" si="26"/>
        <v>0</v>
      </c>
      <c r="J96" s="49">
        <f t="shared" si="26"/>
        <v>0</v>
      </c>
      <c r="K96" s="49">
        <f t="shared" si="26"/>
        <v>0</v>
      </c>
      <c r="L96" s="49">
        <f t="shared" si="26"/>
        <v>0</v>
      </c>
      <c r="M96" s="49">
        <f t="shared" si="26"/>
        <v>0</v>
      </c>
      <c r="N96" s="49">
        <f t="shared" si="26"/>
        <v>0</v>
      </c>
      <c r="O96" s="49">
        <f t="shared" si="26"/>
        <v>0</v>
      </c>
      <c r="P96" s="49">
        <f t="shared" si="26"/>
        <v>0</v>
      </c>
      <c r="Q96" s="49">
        <f t="shared" si="26"/>
        <v>0</v>
      </c>
      <c r="R96" s="49">
        <f t="shared" si="26"/>
        <v>0</v>
      </c>
      <c r="S96" s="49">
        <f t="shared" si="26"/>
        <v>0</v>
      </c>
      <c r="T96" s="49">
        <f t="shared" si="26"/>
        <v>0</v>
      </c>
      <c r="U96" s="49">
        <f t="shared" si="26"/>
        <v>0</v>
      </c>
      <c r="V96" s="49">
        <f t="shared" si="26"/>
        <v>0</v>
      </c>
      <c r="W96" s="49">
        <f t="shared" si="26"/>
        <v>0</v>
      </c>
      <c r="X96" s="49">
        <f t="shared" si="26"/>
        <v>0</v>
      </c>
      <c r="Y96" s="49">
        <f t="shared" si="26"/>
        <v>0</v>
      </c>
      <c r="Z96" s="49">
        <f t="shared" si="26"/>
        <v>0</v>
      </c>
      <c r="AA96" s="49">
        <f t="shared" si="26"/>
        <v>0</v>
      </c>
      <c r="AB96" s="49">
        <f t="shared" si="26"/>
        <v>0</v>
      </c>
      <c r="AC96" s="49">
        <f t="shared" si="26"/>
        <v>0</v>
      </c>
      <c r="AD96" s="49">
        <f t="shared" si="26"/>
        <v>0</v>
      </c>
      <c r="AE96" s="49">
        <f t="shared" si="26"/>
        <v>0</v>
      </c>
      <c r="AF96" s="49">
        <f t="shared" si="26"/>
        <v>0</v>
      </c>
      <c r="AG96" s="49">
        <f t="shared" si="26"/>
        <v>0</v>
      </c>
      <c r="AH96" s="49">
        <f t="shared" si="26"/>
        <v>0</v>
      </c>
    </row>
    <row r="97" spans="1:34">
      <c r="A97" s="197" t="s">
        <v>276</v>
      </c>
      <c r="B97" s="202"/>
      <c r="C97" s="203"/>
      <c r="D97" s="190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</row>
    <row r="98" spans="1:34">
      <c r="A98" s="196" t="s">
        <v>1</v>
      </c>
      <c r="B98" s="196" t="s">
        <v>2</v>
      </c>
      <c r="C98" s="196" t="s">
        <v>3</v>
      </c>
      <c r="D98" s="9"/>
      <c r="E98" s="31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</row>
    <row r="99" spans="1:34">
      <c r="A99" s="99"/>
      <c r="B99" s="87">
        <v>1</v>
      </c>
      <c r="C99" s="98"/>
      <c r="D99" s="9" t="e">
        <f>(PMT($A$99/12,$B$99*12,-$C$99,0,0)*12/Income!$L$25)</f>
        <v>#DIV/0!</v>
      </c>
      <c r="E99" s="11">
        <f>IF($B$99&gt;=E9,PMT($A$99/12,$B$99*12,-$C$99,0,0)*12,0)</f>
        <v>0</v>
      </c>
      <c r="F99" s="11">
        <f t="shared" ref="F99:AH99" si="27">IF($B$99&gt;=F9,PMT($A$99/12,$B$99*12,-$C$99,0,0)*12,0)</f>
        <v>0</v>
      </c>
      <c r="G99" s="11">
        <f t="shared" si="27"/>
        <v>0</v>
      </c>
      <c r="H99" s="11">
        <f t="shared" si="27"/>
        <v>0</v>
      </c>
      <c r="I99" s="11">
        <f t="shared" si="27"/>
        <v>0</v>
      </c>
      <c r="J99" s="11">
        <f t="shared" si="27"/>
        <v>0</v>
      </c>
      <c r="K99" s="11">
        <f t="shared" si="27"/>
        <v>0</v>
      </c>
      <c r="L99" s="11">
        <f t="shared" si="27"/>
        <v>0</v>
      </c>
      <c r="M99" s="11">
        <f t="shared" si="27"/>
        <v>0</v>
      </c>
      <c r="N99" s="11">
        <f t="shared" si="27"/>
        <v>0</v>
      </c>
      <c r="O99" s="11">
        <f t="shared" si="27"/>
        <v>0</v>
      </c>
      <c r="P99" s="11">
        <f t="shared" si="27"/>
        <v>0</v>
      </c>
      <c r="Q99" s="11">
        <f t="shared" si="27"/>
        <v>0</v>
      </c>
      <c r="R99" s="11">
        <f t="shared" si="27"/>
        <v>0</v>
      </c>
      <c r="S99" s="11">
        <f t="shared" si="27"/>
        <v>0</v>
      </c>
      <c r="T99" s="11">
        <f t="shared" si="27"/>
        <v>0</v>
      </c>
      <c r="U99" s="11">
        <f t="shared" si="27"/>
        <v>0</v>
      </c>
      <c r="V99" s="11">
        <f t="shared" si="27"/>
        <v>0</v>
      </c>
      <c r="W99" s="11">
        <f t="shared" si="27"/>
        <v>0</v>
      </c>
      <c r="X99" s="11">
        <f t="shared" si="27"/>
        <v>0</v>
      </c>
      <c r="Y99" s="11">
        <f t="shared" si="27"/>
        <v>0</v>
      </c>
      <c r="Z99" s="11">
        <f t="shared" si="27"/>
        <v>0</v>
      </c>
      <c r="AA99" s="11">
        <f t="shared" si="27"/>
        <v>0</v>
      </c>
      <c r="AB99" s="11">
        <f t="shared" si="27"/>
        <v>0</v>
      </c>
      <c r="AC99" s="11">
        <f t="shared" si="27"/>
        <v>0</v>
      </c>
      <c r="AD99" s="11">
        <f t="shared" si="27"/>
        <v>0</v>
      </c>
      <c r="AE99" s="11">
        <f t="shared" si="27"/>
        <v>0</v>
      </c>
      <c r="AF99" s="11">
        <f t="shared" si="27"/>
        <v>0</v>
      </c>
      <c r="AG99" s="11">
        <f t="shared" si="27"/>
        <v>0</v>
      </c>
      <c r="AH99" s="11">
        <f t="shared" si="27"/>
        <v>0</v>
      </c>
    </row>
    <row r="100" spans="1:34" ht="42.75" customHeight="1">
      <c r="A100" s="618" t="s">
        <v>480</v>
      </c>
      <c r="B100" s="619"/>
      <c r="C100" s="619"/>
      <c r="D100" s="9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>
      <c r="A101" s="196" t="s">
        <v>1</v>
      </c>
      <c r="B101" s="196" t="s">
        <v>2</v>
      </c>
      <c r="C101" s="196" t="s">
        <v>3</v>
      </c>
      <c r="D101" s="9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spans="1:34">
      <c r="A102" s="99"/>
      <c r="B102" s="87">
        <v>1</v>
      </c>
      <c r="C102" s="98"/>
      <c r="D102" s="9" t="e">
        <f>(PMT($A$102/12,$B$102*12,-$C$102,0,0)*12/Income!$L$25)</f>
        <v>#DIV/0!</v>
      </c>
      <c r="E102" s="11">
        <f>IF($B$102&gt;=E9,PMT($A$102/12,$B$102*12,-$C$102,0,0)*12,0)</f>
        <v>0</v>
      </c>
      <c r="F102" s="11">
        <f t="shared" ref="F102:AH102" si="28">IF($B$102&gt;=F9,PMT($A$102/12,$B$102*12,-$C$102,0,0)*12,0)</f>
        <v>0</v>
      </c>
      <c r="G102" s="11">
        <f t="shared" si="28"/>
        <v>0</v>
      </c>
      <c r="H102" s="11">
        <f t="shared" si="28"/>
        <v>0</v>
      </c>
      <c r="I102" s="11">
        <f t="shared" si="28"/>
        <v>0</v>
      </c>
      <c r="J102" s="11">
        <f t="shared" si="28"/>
        <v>0</v>
      </c>
      <c r="K102" s="11">
        <f t="shared" si="28"/>
        <v>0</v>
      </c>
      <c r="L102" s="11">
        <f t="shared" si="28"/>
        <v>0</v>
      </c>
      <c r="M102" s="11">
        <f t="shared" si="28"/>
        <v>0</v>
      </c>
      <c r="N102" s="11">
        <f t="shared" si="28"/>
        <v>0</v>
      </c>
      <c r="O102" s="11">
        <f t="shared" si="28"/>
        <v>0</v>
      </c>
      <c r="P102" s="11">
        <f t="shared" si="28"/>
        <v>0</v>
      </c>
      <c r="Q102" s="11">
        <f t="shared" si="28"/>
        <v>0</v>
      </c>
      <c r="R102" s="11">
        <f t="shared" si="28"/>
        <v>0</v>
      </c>
      <c r="S102" s="11">
        <f t="shared" si="28"/>
        <v>0</v>
      </c>
      <c r="T102" s="11">
        <f t="shared" si="28"/>
        <v>0</v>
      </c>
      <c r="U102" s="11">
        <f t="shared" si="28"/>
        <v>0</v>
      </c>
      <c r="V102" s="11">
        <f t="shared" si="28"/>
        <v>0</v>
      </c>
      <c r="W102" s="11">
        <f t="shared" si="28"/>
        <v>0</v>
      </c>
      <c r="X102" s="11">
        <f t="shared" si="28"/>
        <v>0</v>
      </c>
      <c r="Y102" s="11">
        <f t="shared" si="28"/>
        <v>0</v>
      </c>
      <c r="Z102" s="11">
        <f t="shared" si="28"/>
        <v>0</v>
      </c>
      <c r="AA102" s="11">
        <f t="shared" si="28"/>
        <v>0</v>
      </c>
      <c r="AB102" s="11">
        <f t="shared" si="28"/>
        <v>0</v>
      </c>
      <c r="AC102" s="11">
        <f t="shared" si="28"/>
        <v>0</v>
      </c>
      <c r="AD102" s="11">
        <f t="shared" si="28"/>
        <v>0</v>
      </c>
      <c r="AE102" s="11">
        <f t="shared" si="28"/>
        <v>0</v>
      </c>
      <c r="AF102" s="11">
        <f t="shared" si="28"/>
        <v>0</v>
      </c>
      <c r="AG102" s="11">
        <f t="shared" si="28"/>
        <v>0</v>
      </c>
      <c r="AH102" s="11">
        <f t="shared" si="28"/>
        <v>0</v>
      </c>
    </row>
    <row r="103" spans="1:34">
      <c r="A103" s="99"/>
      <c r="B103" s="87">
        <v>1</v>
      </c>
      <c r="C103" s="98"/>
      <c r="D103" s="9" t="e">
        <f>(PMT($A$103/12,$B$103*12,-$C$103,0,0)*12/Income!$L$25)</f>
        <v>#DIV/0!</v>
      </c>
      <c r="E103" s="11">
        <f>IF($B$103&gt;=E9,PMT($A$103/12,$B$103*12,-$C$103,0,0)*12,0)</f>
        <v>0</v>
      </c>
      <c r="F103" s="11">
        <f t="shared" ref="F103:AH103" si="29">IF($B$103&gt;=F9,PMT($A$103/12,$B$103*12,-$C$103,0,0)*12,0)</f>
        <v>0</v>
      </c>
      <c r="G103" s="11">
        <f t="shared" si="29"/>
        <v>0</v>
      </c>
      <c r="H103" s="11">
        <f t="shared" si="29"/>
        <v>0</v>
      </c>
      <c r="I103" s="11">
        <f t="shared" si="29"/>
        <v>0</v>
      </c>
      <c r="J103" s="11">
        <f t="shared" si="29"/>
        <v>0</v>
      </c>
      <c r="K103" s="11">
        <f t="shared" si="29"/>
        <v>0</v>
      </c>
      <c r="L103" s="11">
        <f t="shared" si="29"/>
        <v>0</v>
      </c>
      <c r="M103" s="11">
        <f t="shared" si="29"/>
        <v>0</v>
      </c>
      <c r="N103" s="11">
        <f t="shared" si="29"/>
        <v>0</v>
      </c>
      <c r="O103" s="11">
        <f t="shared" si="29"/>
        <v>0</v>
      </c>
      <c r="P103" s="11">
        <f t="shared" si="29"/>
        <v>0</v>
      </c>
      <c r="Q103" s="11">
        <f t="shared" si="29"/>
        <v>0</v>
      </c>
      <c r="R103" s="11">
        <f t="shared" si="29"/>
        <v>0</v>
      </c>
      <c r="S103" s="11">
        <f t="shared" si="29"/>
        <v>0</v>
      </c>
      <c r="T103" s="11">
        <f t="shared" si="29"/>
        <v>0</v>
      </c>
      <c r="U103" s="11">
        <f t="shared" si="29"/>
        <v>0</v>
      </c>
      <c r="V103" s="11">
        <f t="shared" si="29"/>
        <v>0</v>
      </c>
      <c r="W103" s="11">
        <f t="shared" si="29"/>
        <v>0</v>
      </c>
      <c r="X103" s="11">
        <f t="shared" si="29"/>
        <v>0</v>
      </c>
      <c r="Y103" s="11">
        <f t="shared" si="29"/>
        <v>0</v>
      </c>
      <c r="Z103" s="11">
        <f t="shared" si="29"/>
        <v>0</v>
      </c>
      <c r="AA103" s="11">
        <f t="shared" si="29"/>
        <v>0</v>
      </c>
      <c r="AB103" s="11">
        <f t="shared" si="29"/>
        <v>0</v>
      </c>
      <c r="AC103" s="11">
        <f t="shared" si="29"/>
        <v>0</v>
      </c>
      <c r="AD103" s="11">
        <f t="shared" si="29"/>
        <v>0</v>
      </c>
      <c r="AE103" s="11">
        <f t="shared" si="29"/>
        <v>0</v>
      </c>
      <c r="AF103" s="11">
        <f t="shared" si="29"/>
        <v>0</v>
      </c>
      <c r="AG103" s="11">
        <f t="shared" si="29"/>
        <v>0</v>
      </c>
      <c r="AH103" s="11">
        <f t="shared" si="29"/>
        <v>0</v>
      </c>
    </row>
    <row r="104" spans="1:34" ht="13.5" thickBot="1">
      <c r="A104" s="99"/>
      <c r="B104" s="87">
        <v>1</v>
      </c>
      <c r="C104" s="98"/>
      <c r="D104" s="9" t="e">
        <f>(PMT($A$104/12,$B$104*12,-$C$104,0,0)*12/Income!$L$25)</f>
        <v>#DIV/0!</v>
      </c>
      <c r="E104" s="11">
        <f>IF($B$104&gt;=E10,PMT($A$104/12,$B$104*12,-$C$104,0,0)*12,0)</f>
        <v>0</v>
      </c>
      <c r="F104" s="11">
        <f t="shared" ref="F104:AH104" si="30">IF($B$104&gt;=F10,PMT($A$104/12,$B$104*12,-$C$104,0,0)*12,0)</f>
        <v>0</v>
      </c>
      <c r="G104" s="11">
        <f t="shared" si="30"/>
        <v>0</v>
      </c>
      <c r="H104" s="11">
        <f t="shared" si="30"/>
        <v>0</v>
      </c>
      <c r="I104" s="11">
        <f t="shared" si="30"/>
        <v>0</v>
      </c>
      <c r="J104" s="11">
        <f t="shared" si="30"/>
        <v>0</v>
      </c>
      <c r="K104" s="11">
        <f t="shared" si="30"/>
        <v>0</v>
      </c>
      <c r="L104" s="11">
        <f t="shared" si="30"/>
        <v>0</v>
      </c>
      <c r="M104" s="11">
        <f t="shared" si="30"/>
        <v>0</v>
      </c>
      <c r="N104" s="11">
        <f t="shared" si="30"/>
        <v>0</v>
      </c>
      <c r="O104" s="11">
        <f t="shared" si="30"/>
        <v>0</v>
      </c>
      <c r="P104" s="11">
        <f t="shared" si="30"/>
        <v>0</v>
      </c>
      <c r="Q104" s="11">
        <f t="shared" si="30"/>
        <v>0</v>
      </c>
      <c r="R104" s="11">
        <f t="shared" si="30"/>
        <v>0</v>
      </c>
      <c r="S104" s="11">
        <f t="shared" si="30"/>
        <v>0</v>
      </c>
      <c r="T104" s="11">
        <f t="shared" si="30"/>
        <v>0</v>
      </c>
      <c r="U104" s="11">
        <f t="shared" si="30"/>
        <v>0</v>
      </c>
      <c r="V104" s="11">
        <f t="shared" si="30"/>
        <v>0</v>
      </c>
      <c r="W104" s="11">
        <f t="shared" si="30"/>
        <v>0</v>
      </c>
      <c r="X104" s="11">
        <f t="shared" si="30"/>
        <v>0</v>
      </c>
      <c r="Y104" s="11">
        <f t="shared" si="30"/>
        <v>0</v>
      </c>
      <c r="Z104" s="11">
        <f t="shared" si="30"/>
        <v>0</v>
      </c>
      <c r="AA104" s="11">
        <f t="shared" si="30"/>
        <v>0</v>
      </c>
      <c r="AB104" s="11">
        <f t="shared" si="30"/>
        <v>0</v>
      </c>
      <c r="AC104" s="11">
        <f t="shared" si="30"/>
        <v>0</v>
      </c>
      <c r="AD104" s="11">
        <f t="shared" si="30"/>
        <v>0</v>
      </c>
      <c r="AE104" s="11">
        <f t="shared" si="30"/>
        <v>0</v>
      </c>
      <c r="AF104" s="11">
        <f t="shared" si="30"/>
        <v>0</v>
      </c>
      <c r="AG104" s="11">
        <f t="shared" si="30"/>
        <v>0</v>
      </c>
      <c r="AH104" s="11">
        <f t="shared" si="30"/>
        <v>0</v>
      </c>
    </row>
    <row r="105" spans="1:34">
      <c r="A105" s="160"/>
      <c r="B105" s="183"/>
      <c r="C105" s="183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60"/>
      <c r="AH105" s="160"/>
    </row>
    <row r="106" spans="1:34">
      <c r="A106" s="616" t="s">
        <v>350</v>
      </c>
      <c r="B106" s="616"/>
      <c r="C106" s="616"/>
      <c r="D106" s="9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>
      <c r="A107" s="615" t="s">
        <v>567</v>
      </c>
      <c r="B107" s="615"/>
      <c r="C107" s="615"/>
      <c r="D107" s="79" t="e">
        <f>Income!N42/Income!L25</f>
        <v>#DIV/0!</v>
      </c>
      <c r="E107" s="79">
        <f>Income!N42</f>
        <v>0</v>
      </c>
      <c r="F107" s="79">
        <f>Income!O42</f>
        <v>0</v>
      </c>
      <c r="G107" s="79">
        <f>Income!P42</f>
        <v>0</v>
      </c>
      <c r="H107" s="79">
        <f>Income!Q42</f>
        <v>0</v>
      </c>
      <c r="I107" s="79">
        <f>Income!R42</f>
        <v>0</v>
      </c>
      <c r="J107" s="79">
        <f>Income!S42</f>
        <v>0</v>
      </c>
      <c r="K107" s="79">
        <f>Income!T42</f>
        <v>0</v>
      </c>
      <c r="L107" s="79">
        <f>Income!U42</f>
        <v>0</v>
      </c>
      <c r="M107" s="79">
        <f>Income!V42</f>
        <v>0</v>
      </c>
      <c r="N107" s="79">
        <f>Income!W42</f>
        <v>0</v>
      </c>
      <c r="O107" s="79">
        <f>Income!X42</f>
        <v>0</v>
      </c>
      <c r="P107" s="79">
        <f>Income!Y42</f>
        <v>0</v>
      </c>
      <c r="Q107" s="79">
        <f>Income!Z42</f>
        <v>0</v>
      </c>
      <c r="R107" s="79">
        <f>Income!AA42</f>
        <v>0</v>
      </c>
      <c r="S107" s="79">
        <f>Income!AB42</f>
        <v>0</v>
      </c>
      <c r="T107" s="79">
        <f>Income!AC42</f>
        <v>0</v>
      </c>
      <c r="U107" s="79">
        <f>Income!AD42</f>
        <v>0</v>
      </c>
      <c r="V107" s="79">
        <f>Income!AE42</f>
        <v>0</v>
      </c>
      <c r="W107" s="79">
        <f>Income!AF42</f>
        <v>0</v>
      </c>
      <c r="X107" s="79">
        <f>Income!AG42</f>
        <v>0</v>
      </c>
      <c r="Y107" s="79">
        <f>Income!AH42</f>
        <v>0</v>
      </c>
      <c r="Z107" s="79">
        <f>Income!AI42</f>
        <v>0</v>
      </c>
      <c r="AA107" s="79">
        <f>Income!AJ42</f>
        <v>0</v>
      </c>
      <c r="AB107" s="79">
        <f>Income!AK42</f>
        <v>0</v>
      </c>
      <c r="AC107" s="79">
        <f>Income!AL42</f>
        <v>0</v>
      </c>
      <c r="AD107" s="79">
        <f>Income!AM42</f>
        <v>0</v>
      </c>
      <c r="AE107" s="79">
        <f>Income!AN42</f>
        <v>0</v>
      </c>
      <c r="AF107" s="79">
        <f>Income!AO42</f>
        <v>0</v>
      </c>
      <c r="AG107" s="79">
        <f>Income!AP42</f>
        <v>0</v>
      </c>
      <c r="AH107" s="79">
        <f>Income!AQ42</f>
        <v>0</v>
      </c>
    </row>
    <row r="108" spans="1:34">
      <c r="A108" s="615" t="s">
        <v>568</v>
      </c>
      <c r="B108" s="615"/>
      <c r="C108" s="615"/>
      <c r="D108" s="172" t="e">
        <f>D64</f>
        <v>#DIV/0!</v>
      </c>
      <c r="E108" s="172">
        <f>E64</f>
        <v>0</v>
      </c>
      <c r="F108" s="172">
        <f t="shared" ref="F108:AH108" si="31">F64</f>
        <v>0</v>
      </c>
      <c r="G108" s="172">
        <f t="shared" si="31"/>
        <v>0</v>
      </c>
      <c r="H108" s="172">
        <f t="shared" si="31"/>
        <v>0</v>
      </c>
      <c r="I108" s="172">
        <f t="shared" si="31"/>
        <v>0</v>
      </c>
      <c r="J108" s="172">
        <f t="shared" si="31"/>
        <v>0</v>
      </c>
      <c r="K108" s="172">
        <f t="shared" si="31"/>
        <v>0</v>
      </c>
      <c r="L108" s="172">
        <f t="shared" si="31"/>
        <v>0</v>
      </c>
      <c r="M108" s="172">
        <f t="shared" si="31"/>
        <v>0</v>
      </c>
      <c r="N108" s="172">
        <f t="shared" si="31"/>
        <v>0</v>
      </c>
      <c r="O108" s="172">
        <f t="shared" si="31"/>
        <v>0</v>
      </c>
      <c r="P108" s="172">
        <f t="shared" si="31"/>
        <v>0</v>
      </c>
      <c r="Q108" s="172">
        <f t="shared" si="31"/>
        <v>0</v>
      </c>
      <c r="R108" s="172">
        <f t="shared" si="31"/>
        <v>0</v>
      </c>
      <c r="S108" s="172">
        <f t="shared" si="31"/>
        <v>0</v>
      </c>
      <c r="T108" s="172">
        <f t="shared" si="31"/>
        <v>0</v>
      </c>
      <c r="U108" s="172">
        <f t="shared" si="31"/>
        <v>0</v>
      </c>
      <c r="V108" s="172">
        <f t="shared" si="31"/>
        <v>0</v>
      </c>
      <c r="W108" s="172">
        <f t="shared" si="31"/>
        <v>0</v>
      </c>
      <c r="X108" s="172">
        <f t="shared" si="31"/>
        <v>0</v>
      </c>
      <c r="Y108" s="172">
        <f t="shared" si="31"/>
        <v>0</v>
      </c>
      <c r="Z108" s="172">
        <f t="shared" si="31"/>
        <v>0</v>
      </c>
      <c r="AA108" s="172">
        <f t="shared" si="31"/>
        <v>0</v>
      </c>
      <c r="AB108" s="172">
        <f t="shared" si="31"/>
        <v>0</v>
      </c>
      <c r="AC108" s="172">
        <f t="shared" si="31"/>
        <v>0</v>
      </c>
      <c r="AD108" s="172">
        <f t="shared" si="31"/>
        <v>0</v>
      </c>
      <c r="AE108" s="172">
        <f t="shared" si="31"/>
        <v>0</v>
      </c>
      <c r="AF108" s="172">
        <f t="shared" si="31"/>
        <v>0</v>
      </c>
      <c r="AG108" s="172">
        <f t="shared" si="31"/>
        <v>0</v>
      </c>
      <c r="AH108" s="172">
        <f t="shared" si="31"/>
        <v>0</v>
      </c>
    </row>
    <row r="109" spans="1:34">
      <c r="A109" s="615" t="s">
        <v>569</v>
      </c>
      <c r="B109" s="615"/>
      <c r="C109" s="615"/>
      <c r="D109" s="172" t="e">
        <f>D107-D108</f>
        <v>#DIV/0!</v>
      </c>
      <c r="E109" s="172">
        <f>E107-E108</f>
        <v>0</v>
      </c>
      <c r="F109" s="172">
        <f t="shared" ref="F109:AH109" si="32">F107-F108</f>
        <v>0</v>
      </c>
      <c r="G109" s="172">
        <f t="shared" si="32"/>
        <v>0</v>
      </c>
      <c r="H109" s="172">
        <f t="shared" si="32"/>
        <v>0</v>
      </c>
      <c r="I109" s="172">
        <f t="shared" si="32"/>
        <v>0</v>
      </c>
      <c r="J109" s="172">
        <f t="shared" si="32"/>
        <v>0</v>
      </c>
      <c r="K109" s="172">
        <f t="shared" si="32"/>
        <v>0</v>
      </c>
      <c r="L109" s="172">
        <f t="shared" si="32"/>
        <v>0</v>
      </c>
      <c r="M109" s="172">
        <f t="shared" si="32"/>
        <v>0</v>
      </c>
      <c r="N109" s="172">
        <f t="shared" si="32"/>
        <v>0</v>
      </c>
      <c r="O109" s="172">
        <f t="shared" si="32"/>
        <v>0</v>
      </c>
      <c r="P109" s="172">
        <f t="shared" si="32"/>
        <v>0</v>
      </c>
      <c r="Q109" s="172">
        <f t="shared" si="32"/>
        <v>0</v>
      </c>
      <c r="R109" s="172">
        <f t="shared" si="32"/>
        <v>0</v>
      </c>
      <c r="S109" s="172">
        <f t="shared" si="32"/>
        <v>0</v>
      </c>
      <c r="T109" s="172">
        <f t="shared" si="32"/>
        <v>0</v>
      </c>
      <c r="U109" s="172">
        <f t="shared" si="32"/>
        <v>0</v>
      </c>
      <c r="V109" s="172">
        <f t="shared" si="32"/>
        <v>0</v>
      </c>
      <c r="W109" s="172">
        <f t="shared" si="32"/>
        <v>0</v>
      </c>
      <c r="X109" s="172">
        <f t="shared" si="32"/>
        <v>0</v>
      </c>
      <c r="Y109" s="172">
        <f t="shared" si="32"/>
        <v>0</v>
      </c>
      <c r="Z109" s="172">
        <f t="shared" si="32"/>
        <v>0</v>
      </c>
      <c r="AA109" s="172">
        <f t="shared" si="32"/>
        <v>0</v>
      </c>
      <c r="AB109" s="172">
        <f t="shared" si="32"/>
        <v>0</v>
      </c>
      <c r="AC109" s="172">
        <f t="shared" si="32"/>
        <v>0</v>
      </c>
      <c r="AD109" s="172">
        <f t="shared" si="32"/>
        <v>0</v>
      </c>
      <c r="AE109" s="172">
        <f t="shared" si="32"/>
        <v>0</v>
      </c>
      <c r="AF109" s="172">
        <f t="shared" si="32"/>
        <v>0</v>
      </c>
      <c r="AG109" s="172">
        <f t="shared" si="32"/>
        <v>0</v>
      </c>
      <c r="AH109" s="172">
        <f t="shared" si="32"/>
        <v>0</v>
      </c>
    </row>
    <row r="110" spans="1:34">
      <c r="A110" s="615" t="s">
        <v>570</v>
      </c>
      <c r="B110" s="615"/>
      <c r="C110" s="615"/>
      <c r="D110" s="172" t="e">
        <f>D90</f>
        <v>#DIV/0!</v>
      </c>
      <c r="E110" s="172">
        <f t="shared" ref="E110:AH110" si="33">E90</f>
        <v>0</v>
      </c>
      <c r="F110" s="172">
        <f t="shared" si="33"/>
        <v>0</v>
      </c>
      <c r="G110" s="172">
        <f t="shared" si="33"/>
        <v>0</v>
      </c>
      <c r="H110" s="172">
        <f t="shared" si="33"/>
        <v>0</v>
      </c>
      <c r="I110" s="172">
        <f t="shared" si="33"/>
        <v>0</v>
      </c>
      <c r="J110" s="172">
        <f t="shared" si="33"/>
        <v>0</v>
      </c>
      <c r="K110" s="172">
        <f t="shared" si="33"/>
        <v>0</v>
      </c>
      <c r="L110" s="172">
        <f t="shared" si="33"/>
        <v>0</v>
      </c>
      <c r="M110" s="172">
        <f t="shared" si="33"/>
        <v>0</v>
      </c>
      <c r="N110" s="172">
        <f t="shared" si="33"/>
        <v>0</v>
      </c>
      <c r="O110" s="172">
        <f t="shared" si="33"/>
        <v>0</v>
      </c>
      <c r="P110" s="172">
        <f t="shared" si="33"/>
        <v>0</v>
      </c>
      <c r="Q110" s="172">
        <f t="shared" si="33"/>
        <v>0</v>
      </c>
      <c r="R110" s="172">
        <f t="shared" si="33"/>
        <v>0</v>
      </c>
      <c r="S110" s="172">
        <f t="shared" si="33"/>
        <v>0</v>
      </c>
      <c r="T110" s="172">
        <f t="shared" si="33"/>
        <v>0</v>
      </c>
      <c r="U110" s="172">
        <f t="shared" si="33"/>
        <v>0</v>
      </c>
      <c r="V110" s="172">
        <f t="shared" si="33"/>
        <v>0</v>
      </c>
      <c r="W110" s="172">
        <f t="shared" si="33"/>
        <v>0</v>
      </c>
      <c r="X110" s="172">
        <f t="shared" si="33"/>
        <v>0</v>
      </c>
      <c r="Y110" s="172">
        <f t="shared" si="33"/>
        <v>0</v>
      </c>
      <c r="Z110" s="172">
        <f t="shared" si="33"/>
        <v>0</v>
      </c>
      <c r="AA110" s="172">
        <f t="shared" si="33"/>
        <v>0</v>
      </c>
      <c r="AB110" s="172">
        <f t="shared" si="33"/>
        <v>0</v>
      </c>
      <c r="AC110" s="172">
        <f t="shared" si="33"/>
        <v>0</v>
      </c>
      <c r="AD110" s="172">
        <f t="shared" si="33"/>
        <v>0</v>
      </c>
      <c r="AE110" s="172">
        <f t="shared" si="33"/>
        <v>0</v>
      </c>
      <c r="AF110" s="172">
        <f t="shared" si="33"/>
        <v>0</v>
      </c>
      <c r="AG110" s="172">
        <f t="shared" si="33"/>
        <v>0</v>
      </c>
      <c r="AH110" s="172">
        <f t="shared" si="33"/>
        <v>0</v>
      </c>
    </row>
    <row r="111" spans="1:34">
      <c r="A111" s="615" t="s">
        <v>571</v>
      </c>
      <c r="B111" s="615"/>
      <c r="C111" s="615"/>
      <c r="D111" s="172" t="e">
        <f t="shared" ref="D111:AH111" si="34">SUM(D102:D105)+D90+D99</f>
        <v>#DIV/0!</v>
      </c>
      <c r="E111" s="172">
        <f t="shared" si="34"/>
        <v>0</v>
      </c>
      <c r="F111" s="172">
        <f t="shared" si="34"/>
        <v>0</v>
      </c>
      <c r="G111" s="172">
        <f t="shared" si="34"/>
        <v>0</v>
      </c>
      <c r="H111" s="172">
        <f t="shared" si="34"/>
        <v>0</v>
      </c>
      <c r="I111" s="172">
        <f t="shared" si="34"/>
        <v>0</v>
      </c>
      <c r="J111" s="172">
        <f t="shared" si="34"/>
        <v>0</v>
      </c>
      <c r="K111" s="172">
        <f t="shared" si="34"/>
        <v>0</v>
      </c>
      <c r="L111" s="172">
        <f t="shared" si="34"/>
        <v>0</v>
      </c>
      <c r="M111" s="172">
        <f t="shared" si="34"/>
        <v>0</v>
      </c>
      <c r="N111" s="172">
        <f t="shared" si="34"/>
        <v>0</v>
      </c>
      <c r="O111" s="172">
        <f t="shared" si="34"/>
        <v>0</v>
      </c>
      <c r="P111" s="172">
        <f t="shared" si="34"/>
        <v>0</v>
      </c>
      <c r="Q111" s="172">
        <f t="shared" si="34"/>
        <v>0</v>
      </c>
      <c r="R111" s="172">
        <f t="shared" si="34"/>
        <v>0</v>
      </c>
      <c r="S111" s="172">
        <f t="shared" si="34"/>
        <v>0</v>
      </c>
      <c r="T111" s="172">
        <f t="shared" si="34"/>
        <v>0</v>
      </c>
      <c r="U111" s="172">
        <f t="shared" si="34"/>
        <v>0</v>
      </c>
      <c r="V111" s="172">
        <f t="shared" si="34"/>
        <v>0</v>
      </c>
      <c r="W111" s="172">
        <f t="shared" si="34"/>
        <v>0</v>
      </c>
      <c r="X111" s="172">
        <f t="shared" si="34"/>
        <v>0</v>
      </c>
      <c r="Y111" s="172">
        <f t="shared" si="34"/>
        <v>0</v>
      </c>
      <c r="Z111" s="172">
        <f t="shared" si="34"/>
        <v>0</v>
      </c>
      <c r="AA111" s="172">
        <f t="shared" si="34"/>
        <v>0</v>
      </c>
      <c r="AB111" s="172">
        <f t="shared" si="34"/>
        <v>0</v>
      </c>
      <c r="AC111" s="172">
        <f t="shared" si="34"/>
        <v>0</v>
      </c>
      <c r="AD111" s="172">
        <f t="shared" si="34"/>
        <v>0</v>
      </c>
      <c r="AE111" s="172">
        <f t="shared" si="34"/>
        <v>0</v>
      </c>
      <c r="AF111" s="172">
        <f t="shared" si="34"/>
        <v>0</v>
      </c>
      <c r="AG111" s="172">
        <f t="shared" si="34"/>
        <v>0</v>
      </c>
      <c r="AH111" s="172">
        <f t="shared" si="34"/>
        <v>0</v>
      </c>
    </row>
    <row r="112" spans="1:34">
      <c r="A112" s="620" t="s">
        <v>73</v>
      </c>
      <c r="B112" s="620"/>
      <c r="C112" s="620"/>
      <c r="D112" s="173" t="e">
        <f t="shared" ref="D112:AH112" si="35">D109-D111</f>
        <v>#DIV/0!</v>
      </c>
      <c r="E112" s="173">
        <f t="shared" si="35"/>
        <v>0</v>
      </c>
      <c r="F112" s="173">
        <f t="shared" si="35"/>
        <v>0</v>
      </c>
      <c r="G112" s="173">
        <f t="shared" si="35"/>
        <v>0</v>
      </c>
      <c r="H112" s="173">
        <f t="shared" si="35"/>
        <v>0</v>
      </c>
      <c r="I112" s="173">
        <f t="shared" si="35"/>
        <v>0</v>
      </c>
      <c r="J112" s="173">
        <f t="shared" si="35"/>
        <v>0</v>
      </c>
      <c r="K112" s="173">
        <f t="shared" si="35"/>
        <v>0</v>
      </c>
      <c r="L112" s="173">
        <f t="shared" si="35"/>
        <v>0</v>
      </c>
      <c r="M112" s="173">
        <f t="shared" si="35"/>
        <v>0</v>
      </c>
      <c r="N112" s="173">
        <f t="shared" si="35"/>
        <v>0</v>
      </c>
      <c r="O112" s="173">
        <f t="shared" si="35"/>
        <v>0</v>
      </c>
      <c r="P112" s="173">
        <f t="shared" si="35"/>
        <v>0</v>
      </c>
      <c r="Q112" s="173">
        <f t="shared" si="35"/>
        <v>0</v>
      </c>
      <c r="R112" s="173">
        <f t="shared" si="35"/>
        <v>0</v>
      </c>
      <c r="S112" s="173">
        <f t="shared" si="35"/>
        <v>0</v>
      </c>
      <c r="T112" s="173">
        <f t="shared" si="35"/>
        <v>0</v>
      </c>
      <c r="U112" s="173">
        <f t="shared" si="35"/>
        <v>0</v>
      </c>
      <c r="V112" s="173">
        <f t="shared" si="35"/>
        <v>0</v>
      </c>
      <c r="W112" s="173">
        <f t="shared" si="35"/>
        <v>0</v>
      </c>
      <c r="X112" s="173">
        <f t="shared" si="35"/>
        <v>0</v>
      </c>
      <c r="Y112" s="173">
        <f t="shared" si="35"/>
        <v>0</v>
      </c>
      <c r="Z112" s="173">
        <f t="shared" si="35"/>
        <v>0</v>
      </c>
      <c r="AA112" s="173">
        <f t="shared" si="35"/>
        <v>0</v>
      </c>
      <c r="AB112" s="173">
        <f t="shared" si="35"/>
        <v>0</v>
      </c>
      <c r="AC112" s="173">
        <f t="shared" si="35"/>
        <v>0</v>
      </c>
      <c r="AD112" s="173">
        <f t="shared" si="35"/>
        <v>0</v>
      </c>
      <c r="AE112" s="173">
        <f t="shared" si="35"/>
        <v>0</v>
      </c>
      <c r="AF112" s="173">
        <f t="shared" si="35"/>
        <v>0</v>
      </c>
      <c r="AG112" s="173">
        <f t="shared" si="35"/>
        <v>0</v>
      </c>
      <c r="AH112" s="173">
        <f t="shared" si="35"/>
        <v>0</v>
      </c>
    </row>
    <row r="113" spans="1:38">
      <c r="A113" s="615" t="s">
        <v>572</v>
      </c>
      <c r="B113" s="615"/>
      <c r="C113" s="615"/>
      <c r="D113" s="174" t="e">
        <f>D109/D110</f>
        <v>#DIV/0!</v>
      </c>
      <c r="E113" s="174" t="e">
        <f t="shared" ref="E113:AH113" si="36">E109/E110</f>
        <v>#DIV/0!</v>
      </c>
      <c r="F113" s="174" t="e">
        <f t="shared" si="36"/>
        <v>#DIV/0!</v>
      </c>
      <c r="G113" s="174" t="e">
        <f t="shared" si="36"/>
        <v>#DIV/0!</v>
      </c>
      <c r="H113" s="174" t="e">
        <f t="shared" si="36"/>
        <v>#DIV/0!</v>
      </c>
      <c r="I113" s="174" t="e">
        <f t="shared" si="36"/>
        <v>#DIV/0!</v>
      </c>
      <c r="J113" s="174" t="e">
        <f t="shared" si="36"/>
        <v>#DIV/0!</v>
      </c>
      <c r="K113" s="174" t="e">
        <f t="shared" si="36"/>
        <v>#DIV/0!</v>
      </c>
      <c r="L113" s="174" t="e">
        <f t="shared" si="36"/>
        <v>#DIV/0!</v>
      </c>
      <c r="M113" s="174" t="e">
        <f t="shared" si="36"/>
        <v>#DIV/0!</v>
      </c>
      <c r="N113" s="174" t="e">
        <f t="shared" si="36"/>
        <v>#DIV/0!</v>
      </c>
      <c r="O113" s="174" t="e">
        <f t="shared" si="36"/>
        <v>#DIV/0!</v>
      </c>
      <c r="P113" s="174" t="e">
        <f t="shared" si="36"/>
        <v>#DIV/0!</v>
      </c>
      <c r="Q113" s="174" t="e">
        <f t="shared" si="36"/>
        <v>#DIV/0!</v>
      </c>
      <c r="R113" s="174" t="e">
        <f t="shared" si="36"/>
        <v>#DIV/0!</v>
      </c>
      <c r="S113" s="174" t="e">
        <f t="shared" si="36"/>
        <v>#DIV/0!</v>
      </c>
      <c r="T113" s="174" t="e">
        <f t="shared" si="36"/>
        <v>#DIV/0!</v>
      </c>
      <c r="U113" s="174" t="e">
        <f t="shared" si="36"/>
        <v>#DIV/0!</v>
      </c>
      <c r="V113" s="174" t="e">
        <f t="shared" si="36"/>
        <v>#DIV/0!</v>
      </c>
      <c r="W113" s="174" t="e">
        <f t="shared" si="36"/>
        <v>#DIV/0!</v>
      </c>
      <c r="X113" s="174" t="e">
        <f t="shared" si="36"/>
        <v>#DIV/0!</v>
      </c>
      <c r="Y113" s="174" t="e">
        <f t="shared" si="36"/>
        <v>#DIV/0!</v>
      </c>
      <c r="Z113" s="174" t="e">
        <f t="shared" si="36"/>
        <v>#DIV/0!</v>
      </c>
      <c r="AA113" s="174" t="e">
        <f t="shared" si="36"/>
        <v>#DIV/0!</v>
      </c>
      <c r="AB113" s="174" t="e">
        <f t="shared" si="36"/>
        <v>#DIV/0!</v>
      </c>
      <c r="AC113" s="174" t="e">
        <f t="shared" si="36"/>
        <v>#DIV/0!</v>
      </c>
      <c r="AD113" s="174" t="e">
        <f t="shared" si="36"/>
        <v>#DIV/0!</v>
      </c>
      <c r="AE113" s="174" t="e">
        <f t="shared" si="36"/>
        <v>#DIV/0!</v>
      </c>
      <c r="AF113" s="174" t="e">
        <f t="shared" si="36"/>
        <v>#DIV/0!</v>
      </c>
      <c r="AG113" s="174" t="e">
        <f t="shared" si="36"/>
        <v>#DIV/0!</v>
      </c>
      <c r="AH113" s="174" t="e">
        <f t="shared" si="36"/>
        <v>#DIV/0!</v>
      </c>
    </row>
    <row r="114" spans="1:38">
      <c r="A114" s="615" t="s">
        <v>573</v>
      </c>
      <c r="B114" s="615"/>
      <c r="C114" s="615"/>
      <c r="D114" s="174" t="e">
        <f>D109/D111</f>
        <v>#DIV/0!</v>
      </c>
      <c r="E114" s="174" t="e">
        <f t="shared" ref="E114:AH114" si="37">E109/E111</f>
        <v>#DIV/0!</v>
      </c>
      <c r="F114" s="174" t="e">
        <f t="shared" si="37"/>
        <v>#DIV/0!</v>
      </c>
      <c r="G114" s="174" t="e">
        <f t="shared" si="37"/>
        <v>#DIV/0!</v>
      </c>
      <c r="H114" s="174" t="e">
        <f t="shared" si="37"/>
        <v>#DIV/0!</v>
      </c>
      <c r="I114" s="174" t="e">
        <f t="shared" si="37"/>
        <v>#DIV/0!</v>
      </c>
      <c r="J114" s="174" t="e">
        <f t="shared" si="37"/>
        <v>#DIV/0!</v>
      </c>
      <c r="K114" s="174" t="e">
        <f t="shared" si="37"/>
        <v>#DIV/0!</v>
      </c>
      <c r="L114" s="174" t="e">
        <f t="shared" si="37"/>
        <v>#DIV/0!</v>
      </c>
      <c r="M114" s="174" t="e">
        <f t="shared" si="37"/>
        <v>#DIV/0!</v>
      </c>
      <c r="N114" s="174" t="e">
        <f t="shared" si="37"/>
        <v>#DIV/0!</v>
      </c>
      <c r="O114" s="174" t="e">
        <f t="shared" si="37"/>
        <v>#DIV/0!</v>
      </c>
      <c r="P114" s="174" t="e">
        <f t="shared" si="37"/>
        <v>#DIV/0!</v>
      </c>
      <c r="Q114" s="174" t="e">
        <f t="shared" si="37"/>
        <v>#DIV/0!</v>
      </c>
      <c r="R114" s="174" t="e">
        <f t="shared" si="37"/>
        <v>#DIV/0!</v>
      </c>
      <c r="S114" s="174" t="e">
        <f t="shared" si="37"/>
        <v>#DIV/0!</v>
      </c>
      <c r="T114" s="174" t="e">
        <f t="shared" si="37"/>
        <v>#DIV/0!</v>
      </c>
      <c r="U114" s="174" t="e">
        <f t="shared" si="37"/>
        <v>#DIV/0!</v>
      </c>
      <c r="V114" s="174" t="e">
        <f t="shared" si="37"/>
        <v>#DIV/0!</v>
      </c>
      <c r="W114" s="174" t="e">
        <f t="shared" si="37"/>
        <v>#DIV/0!</v>
      </c>
      <c r="X114" s="174" t="e">
        <f t="shared" si="37"/>
        <v>#DIV/0!</v>
      </c>
      <c r="Y114" s="174" t="e">
        <f t="shared" si="37"/>
        <v>#DIV/0!</v>
      </c>
      <c r="Z114" s="174" t="e">
        <f t="shared" si="37"/>
        <v>#DIV/0!</v>
      </c>
      <c r="AA114" s="174" t="e">
        <f t="shared" si="37"/>
        <v>#DIV/0!</v>
      </c>
      <c r="AB114" s="174" t="e">
        <f t="shared" si="37"/>
        <v>#DIV/0!</v>
      </c>
      <c r="AC114" s="174" t="e">
        <f t="shared" si="37"/>
        <v>#DIV/0!</v>
      </c>
      <c r="AD114" s="174" t="e">
        <f t="shared" si="37"/>
        <v>#DIV/0!</v>
      </c>
      <c r="AE114" s="174" t="e">
        <f t="shared" si="37"/>
        <v>#DIV/0!</v>
      </c>
      <c r="AF114" s="174" t="e">
        <f t="shared" si="37"/>
        <v>#DIV/0!</v>
      </c>
      <c r="AG114" s="174" t="e">
        <f t="shared" si="37"/>
        <v>#DIV/0!</v>
      </c>
      <c r="AH114" s="174" t="e">
        <f t="shared" si="37"/>
        <v>#DIV/0!</v>
      </c>
      <c r="AL114" s="9"/>
    </row>
    <row r="115" spans="1:38">
      <c r="A115" s="12"/>
      <c r="B115" s="12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</row>
    <row r="116" spans="1:38">
      <c r="A116" s="616" t="s">
        <v>351</v>
      </c>
      <c r="B116" s="616"/>
      <c r="C116" s="616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</row>
    <row r="117" spans="1:38">
      <c r="A117" s="617" t="s">
        <v>567</v>
      </c>
      <c r="B117" s="617"/>
      <c r="C117" s="617"/>
      <c r="D117" s="175" t="e">
        <f>'Income with OAHTC'!N50/'Income with OAHTC'!L25</f>
        <v>#DIV/0!</v>
      </c>
      <c r="E117" s="175">
        <f>'Income with OAHTC'!N50</f>
        <v>0</v>
      </c>
      <c r="F117" s="175">
        <f>'Income with OAHTC'!O50</f>
        <v>0</v>
      </c>
      <c r="G117" s="175">
        <f>'Income with OAHTC'!P50</f>
        <v>0</v>
      </c>
      <c r="H117" s="175">
        <f>'Income with OAHTC'!Q50</f>
        <v>0</v>
      </c>
      <c r="I117" s="175">
        <f>'Income with OAHTC'!R50</f>
        <v>0</v>
      </c>
      <c r="J117" s="175">
        <f>'Income with OAHTC'!S50</f>
        <v>0</v>
      </c>
      <c r="K117" s="175">
        <f>'Income with OAHTC'!T50</f>
        <v>0</v>
      </c>
      <c r="L117" s="175">
        <f>'Income with OAHTC'!U50</f>
        <v>0</v>
      </c>
      <c r="M117" s="175">
        <f>'Income with OAHTC'!V50</f>
        <v>0</v>
      </c>
      <c r="N117" s="175">
        <f>'Income with OAHTC'!W50</f>
        <v>0</v>
      </c>
      <c r="O117" s="175">
        <f>'Income with OAHTC'!X50</f>
        <v>0</v>
      </c>
      <c r="P117" s="175">
        <f>'Income with OAHTC'!Y50</f>
        <v>0</v>
      </c>
      <c r="Q117" s="175">
        <f>'Income with OAHTC'!Z50</f>
        <v>0</v>
      </c>
      <c r="R117" s="175">
        <f>'Income with OAHTC'!AA50</f>
        <v>0</v>
      </c>
      <c r="S117" s="175">
        <f>'Income with OAHTC'!AB50</f>
        <v>0</v>
      </c>
      <c r="T117" s="175">
        <f>'Income with OAHTC'!AC50</f>
        <v>0</v>
      </c>
      <c r="U117" s="175">
        <f>'Income with OAHTC'!AD50</f>
        <v>0</v>
      </c>
      <c r="V117" s="175">
        <f>'Income with OAHTC'!AE50</f>
        <v>0</v>
      </c>
      <c r="W117" s="175">
        <f>'Income with OAHTC'!AF50</f>
        <v>0</v>
      </c>
      <c r="X117" s="175">
        <f>'Income with OAHTC'!AG50</f>
        <v>0</v>
      </c>
      <c r="Y117" s="175">
        <f>'Income with OAHTC'!AH50</f>
        <v>0</v>
      </c>
      <c r="Z117" s="175">
        <f>'Income with OAHTC'!AI50</f>
        <v>0</v>
      </c>
      <c r="AA117" s="175">
        <f>'Income with OAHTC'!AJ50</f>
        <v>0</v>
      </c>
      <c r="AB117" s="175">
        <f>'Income with OAHTC'!AK50</f>
        <v>0</v>
      </c>
      <c r="AC117" s="175">
        <f>'Income with OAHTC'!AL50</f>
        <v>0</v>
      </c>
      <c r="AD117" s="175">
        <f>'Income with OAHTC'!AM50</f>
        <v>0</v>
      </c>
      <c r="AE117" s="175">
        <f>'Income with OAHTC'!AN50</f>
        <v>0</v>
      </c>
      <c r="AF117" s="175">
        <f>'Income with OAHTC'!AO50</f>
        <v>0</v>
      </c>
      <c r="AG117" s="175">
        <f>'Income with OAHTC'!AP50</f>
        <v>0</v>
      </c>
      <c r="AH117" s="175">
        <f>'Income with OAHTC'!AQ50</f>
        <v>0</v>
      </c>
    </row>
    <row r="118" spans="1:38">
      <c r="A118" s="617" t="s">
        <v>568</v>
      </c>
      <c r="B118" s="617"/>
      <c r="C118" s="617"/>
      <c r="D118" s="176" t="e">
        <f>D64</f>
        <v>#DIV/0!</v>
      </c>
      <c r="E118" s="176">
        <f t="shared" ref="E118:AH118" si="38">E64</f>
        <v>0</v>
      </c>
      <c r="F118" s="176">
        <f t="shared" si="38"/>
        <v>0</v>
      </c>
      <c r="G118" s="176">
        <f t="shared" si="38"/>
        <v>0</v>
      </c>
      <c r="H118" s="176">
        <f t="shared" si="38"/>
        <v>0</v>
      </c>
      <c r="I118" s="176">
        <f t="shared" si="38"/>
        <v>0</v>
      </c>
      <c r="J118" s="176">
        <f t="shared" si="38"/>
        <v>0</v>
      </c>
      <c r="K118" s="176">
        <f t="shared" si="38"/>
        <v>0</v>
      </c>
      <c r="L118" s="176">
        <f t="shared" si="38"/>
        <v>0</v>
      </c>
      <c r="M118" s="176">
        <f t="shared" si="38"/>
        <v>0</v>
      </c>
      <c r="N118" s="176">
        <f t="shared" si="38"/>
        <v>0</v>
      </c>
      <c r="O118" s="176">
        <f t="shared" si="38"/>
        <v>0</v>
      </c>
      <c r="P118" s="176">
        <f t="shared" si="38"/>
        <v>0</v>
      </c>
      <c r="Q118" s="176">
        <f t="shared" si="38"/>
        <v>0</v>
      </c>
      <c r="R118" s="176">
        <f t="shared" si="38"/>
        <v>0</v>
      </c>
      <c r="S118" s="176">
        <f t="shared" si="38"/>
        <v>0</v>
      </c>
      <c r="T118" s="176">
        <f t="shared" si="38"/>
        <v>0</v>
      </c>
      <c r="U118" s="176">
        <f t="shared" si="38"/>
        <v>0</v>
      </c>
      <c r="V118" s="176">
        <f t="shared" si="38"/>
        <v>0</v>
      </c>
      <c r="W118" s="176">
        <f t="shared" si="38"/>
        <v>0</v>
      </c>
      <c r="X118" s="176">
        <f t="shared" si="38"/>
        <v>0</v>
      </c>
      <c r="Y118" s="176">
        <f t="shared" si="38"/>
        <v>0</v>
      </c>
      <c r="Z118" s="176">
        <f t="shared" si="38"/>
        <v>0</v>
      </c>
      <c r="AA118" s="176">
        <f t="shared" si="38"/>
        <v>0</v>
      </c>
      <c r="AB118" s="176">
        <f t="shared" si="38"/>
        <v>0</v>
      </c>
      <c r="AC118" s="176">
        <f t="shared" si="38"/>
        <v>0</v>
      </c>
      <c r="AD118" s="176">
        <f t="shared" si="38"/>
        <v>0</v>
      </c>
      <c r="AE118" s="176">
        <f t="shared" si="38"/>
        <v>0</v>
      </c>
      <c r="AF118" s="176">
        <f t="shared" si="38"/>
        <v>0</v>
      </c>
      <c r="AG118" s="176">
        <f t="shared" si="38"/>
        <v>0</v>
      </c>
      <c r="AH118" s="176">
        <f t="shared" si="38"/>
        <v>0</v>
      </c>
    </row>
    <row r="119" spans="1:38">
      <c r="A119" s="617" t="s">
        <v>569</v>
      </c>
      <c r="B119" s="617"/>
      <c r="C119" s="617"/>
      <c r="D119" s="177" t="e">
        <f>D117-D118</f>
        <v>#DIV/0!</v>
      </c>
      <c r="E119" s="177">
        <f t="shared" ref="E119:AH119" si="39">E117-E118</f>
        <v>0</v>
      </c>
      <c r="F119" s="177">
        <f t="shared" si="39"/>
        <v>0</v>
      </c>
      <c r="G119" s="177">
        <f t="shared" si="39"/>
        <v>0</v>
      </c>
      <c r="H119" s="177">
        <f t="shared" si="39"/>
        <v>0</v>
      </c>
      <c r="I119" s="177">
        <f t="shared" si="39"/>
        <v>0</v>
      </c>
      <c r="J119" s="177">
        <f t="shared" si="39"/>
        <v>0</v>
      </c>
      <c r="K119" s="177">
        <f t="shared" si="39"/>
        <v>0</v>
      </c>
      <c r="L119" s="177">
        <f t="shared" si="39"/>
        <v>0</v>
      </c>
      <c r="M119" s="177">
        <f t="shared" si="39"/>
        <v>0</v>
      </c>
      <c r="N119" s="177">
        <f t="shared" si="39"/>
        <v>0</v>
      </c>
      <c r="O119" s="177">
        <f t="shared" si="39"/>
        <v>0</v>
      </c>
      <c r="P119" s="177">
        <f t="shared" si="39"/>
        <v>0</v>
      </c>
      <c r="Q119" s="177">
        <f t="shared" si="39"/>
        <v>0</v>
      </c>
      <c r="R119" s="177">
        <f t="shared" si="39"/>
        <v>0</v>
      </c>
      <c r="S119" s="177">
        <f t="shared" si="39"/>
        <v>0</v>
      </c>
      <c r="T119" s="177">
        <f t="shared" si="39"/>
        <v>0</v>
      </c>
      <c r="U119" s="177">
        <f t="shared" si="39"/>
        <v>0</v>
      </c>
      <c r="V119" s="177">
        <f t="shared" si="39"/>
        <v>0</v>
      </c>
      <c r="W119" s="177">
        <f t="shared" si="39"/>
        <v>0</v>
      </c>
      <c r="X119" s="177">
        <f t="shared" si="39"/>
        <v>0</v>
      </c>
      <c r="Y119" s="177">
        <f t="shared" si="39"/>
        <v>0</v>
      </c>
      <c r="Z119" s="177">
        <f t="shared" si="39"/>
        <v>0</v>
      </c>
      <c r="AA119" s="177">
        <f t="shared" si="39"/>
        <v>0</v>
      </c>
      <c r="AB119" s="177">
        <f t="shared" si="39"/>
        <v>0</v>
      </c>
      <c r="AC119" s="177">
        <f t="shared" si="39"/>
        <v>0</v>
      </c>
      <c r="AD119" s="177">
        <f t="shared" si="39"/>
        <v>0</v>
      </c>
      <c r="AE119" s="177">
        <f t="shared" si="39"/>
        <v>0</v>
      </c>
      <c r="AF119" s="177">
        <f t="shared" si="39"/>
        <v>0</v>
      </c>
      <c r="AG119" s="177">
        <f t="shared" si="39"/>
        <v>0</v>
      </c>
      <c r="AH119" s="177">
        <f t="shared" si="39"/>
        <v>0</v>
      </c>
    </row>
    <row r="120" spans="1:38">
      <c r="A120" s="617" t="s">
        <v>570</v>
      </c>
      <c r="B120" s="617"/>
      <c r="C120" s="617"/>
      <c r="D120" s="177" t="e">
        <f>D93+D96</f>
        <v>#DIV/0!</v>
      </c>
      <c r="E120" s="177">
        <f t="shared" ref="E120:AH120" si="40">E93+E96</f>
        <v>0</v>
      </c>
      <c r="F120" s="177">
        <f t="shared" si="40"/>
        <v>0</v>
      </c>
      <c r="G120" s="177">
        <f t="shared" si="40"/>
        <v>0</v>
      </c>
      <c r="H120" s="177">
        <f t="shared" si="40"/>
        <v>0</v>
      </c>
      <c r="I120" s="177">
        <f t="shared" si="40"/>
        <v>0</v>
      </c>
      <c r="J120" s="177">
        <f t="shared" si="40"/>
        <v>0</v>
      </c>
      <c r="K120" s="177">
        <f t="shared" si="40"/>
        <v>0</v>
      </c>
      <c r="L120" s="177">
        <f t="shared" si="40"/>
        <v>0</v>
      </c>
      <c r="M120" s="177">
        <f t="shared" si="40"/>
        <v>0</v>
      </c>
      <c r="N120" s="177">
        <f t="shared" si="40"/>
        <v>0</v>
      </c>
      <c r="O120" s="177">
        <f t="shared" si="40"/>
        <v>0</v>
      </c>
      <c r="P120" s="177">
        <f t="shared" si="40"/>
        <v>0</v>
      </c>
      <c r="Q120" s="177">
        <f t="shared" si="40"/>
        <v>0</v>
      </c>
      <c r="R120" s="177">
        <f t="shared" si="40"/>
        <v>0</v>
      </c>
      <c r="S120" s="177">
        <f t="shared" si="40"/>
        <v>0</v>
      </c>
      <c r="T120" s="177">
        <f t="shared" si="40"/>
        <v>0</v>
      </c>
      <c r="U120" s="177">
        <f t="shared" si="40"/>
        <v>0</v>
      </c>
      <c r="V120" s="177">
        <f t="shared" si="40"/>
        <v>0</v>
      </c>
      <c r="W120" s="177">
        <f t="shared" si="40"/>
        <v>0</v>
      </c>
      <c r="X120" s="177">
        <f t="shared" si="40"/>
        <v>0</v>
      </c>
      <c r="Y120" s="177">
        <f t="shared" si="40"/>
        <v>0</v>
      </c>
      <c r="Z120" s="177">
        <f t="shared" si="40"/>
        <v>0</v>
      </c>
      <c r="AA120" s="177">
        <f t="shared" si="40"/>
        <v>0</v>
      </c>
      <c r="AB120" s="177">
        <f t="shared" si="40"/>
        <v>0</v>
      </c>
      <c r="AC120" s="177">
        <f t="shared" si="40"/>
        <v>0</v>
      </c>
      <c r="AD120" s="177">
        <f t="shared" si="40"/>
        <v>0</v>
      </c>
      <c r="AE120" s="177">
        <f t="shared" si="40"/>
        <v>0</v>
      </c>
      <c r="AF120" s="177">
        <f t="shared" si="40"/>
        <v>0</v>
      </c>
      <c r="AG120" s="177">
        <f t="shared" si="40"/>
        <v>0</v>
      </c>
      <c r="AH120" s="177">
        <f t="shared" si="40"/>
        <v>0</v>
      </c>
    </row>
    <row r="121" spans="1:38">
      <c r="A121" s="617" t="s">
        <v>575</v>
      </c>
      <c r="B121" s="617"/>
      <c r="C121" s="617"/>
      <c r="D121" s="175" t="e">
        <f t="shared" ref="D121:AH121" si="41">SUM(D102:D105)+D93+D96+D99</f>
        <v>#DIV/0!</v>
      </c>
      <c r="E121" s="175">
        <f t="shared" si="41"/>
        <v>0</v>
      </c>
      <c r="F121" s="175">
        <f t="shared" si="41"/>
        <v>0</v>
      </c>
      <c r="G121" s="175">
        <f t="shared" si="41"/>
        <v>0</v>
      </c>
      <c r="H121" s="175">
        <f t="shared" si="41"/>
        <v>0</v>
      </c>
      <c r="I121" s="175">
        <f t="shared" si="41"/>
        <v>0</v>
      </c>
      <c r="J121" s="175">
        <f t="shared" si="41"/>
        <v>0</v>
      </c>
      <c r="K121" s="175">
        <f t="shared" si="41"/>
        <v>0</v>
      </c>
      <c r="L121" s="175">
        <f t="shared" si="41"/>
        <v>0</v>
      </c>
      <c r="M121" s="175">
        <f t="shared" si="41"/>
        <v>0</v>
      </c>
      <c r="N121" s="175">
        <f t="shared" si="41"/>
        <v>0</v>
      </c>
      <c r="O121" s="175">
        <f t="shared" si="41"/>
        <v>0</v>
      </c>
      <c r="P121" s="175">
        <f t="shared" si="41"/>
        <v>0</v>
      </c>
      <c r="Q121" s="175">
        <f t="shared" si="41"/>
        <v>0</v>
      </c>
      <c r="R121" s="175">
        <f t="shared" si="41"/>
        <v>0</v>
      </c>
      <c r="S121" s="175">
        <f t="shared" si="41"/>
        <v>0</v>
      </c>
      <c r="T121" s="175">
        <f t="shared" si="41"/>
        <v>0</v>
      </c>
      <c r="U121" s="175">
        <f t="shared" si="41"/>
        <v>0</v>
      </c>
      <c r="V121" s="175">
        <f t="shared" si="41"/>
        <v>0</v>
      </c>
      <c r="W121" s="175">
        <f t="shared" si="41"/>
        <v>0</v>
      </c>
      <c r="X121" s="175">
        <f t="shared" si="41"/>
        <v>0</v>
      </c>
      <c r="Y121" s="175">
        <f t="shared" si="41"/>
        <v>0</v>
      </c>
      <c r="Z121" s="175">
        <f t="shared" si="41"/>
        <v>0</v>
      </c>
      <c r="AA121" s="175">
        <f t="shared" si="41"/>
        <v>0</v>
      </c>
      <c r="AB121" s="175">
        <f t="shared" si="41"/>
        <v>0</v>
      </c>
      <c r="AC121" s="175">
        <f t="shared" si="41"/>
        <v>0</v>
      </c>
      <c r="AD121" s="175">
        <f t="shared" si="41"/>
        <v>0</v>
      </c>
      <c r="AE121" s="175">
        <f t="shared" si="41"/>
        <v>0</v>
      </c>
      <c r="AF121" s="175">
        <f t="shared" si="41"/>
        <v>0</v>
      </c>
      <c r="AG121" s="175">
        <f t="shared" si="41"/>
        <v>0</v>
      </c>
      <c r="AH121" s="175">
        <f t="shared" si="41"/>
        <v>0</v>
      </c>
    </row>
    <row r="122" spans="1:38">
      <c r="A122" s="621" t="s">
        <v>574</v>
      </c>
      <c r="B122" s="621"/>
      <c r="C122" s="621"/>
      <c r="D122" s="178" t="e">
        <f t="shared" ref="D122:AH122" si="42">D119-D121</f>
        <v>#DIV/0!</v>
      </c>
      <c r="E122" s="178">
        <f t="shared" si="42"/>
        <v>0</v>
      </c>
      <c r="F122" s="178">
        <f t="shared" si="42"/>
        <v>0</v>
      </c>
      <c r="G122" s="178">
        <f t="shared" si="42"/>
        <v>0</v>
      </c>
      <c r="H122" s="178">
        <f t="shared" si="42"/>
        <v>0</v>
      </c>
      <c r="I122" s="178">
        <f t="shared" si="42"/>
        <v>0</v>
      </c>
      <c r="J122" s="178">
        <f t="shared" si="42"/>
        <v>0</v>
      </c>
      <c r="K122" s="178">
        <f t="shared" si="42"/>
        <v>0</v>
      </c>
      <c r="L122" s="178">
        <f t="shared" si="42"/>
        <v>0</v>
      </c>
      <c r="M122" s="178">
        <f t="shared" si="42"/>
        <v>0</v>
      </c>
      <c r="N122" s="178">
        <f t="shared" si="42"/>
        <v>0</v>
      </c>
      <c r="O122" s="178">
        <f t="shared" si="42"/>
        <v>0</v>
      </c>
      <c r="P122" s="178">
        <f t="shared" si="42"/>
        <v>0</v>
      </c>
      <c r="Q122" s="178">
        <f t="shared" si="42"/>
        <v>0</v>
      </c>
      <c r="R122" s="178">
        <f t="shared" si="42"/>
        <v>0</v>
      </c>
      <c r="S122" s="178">
        <f t="shared" si="42"/>
        <v>0</v>
      </c>
      <c r="T122" s="178">
        <f t="shared" si="42"/>
        <v>0</v>
      </c>
      <c r="U122" s="178">
        <f t="shared" si="42"/>
        <v>0</v>
      </c>
      <c r="V122" s="178">
        <f t="shared" si="42"/>
        <v>0</v>
      </c>
      <c r="W122" s="178">
        <f t="shared" si="42"/>
        <v>0</v>
      </c>
      <c r="X122" s="178">
        <f t="shared" si="42"/>
        <v>0</v>
      </c>
      <c r="Y122" s="178">
        <f t="shared" si="42"/>
        <v>0</v>
      </c>
      <c r="Z122" s="178">
        <f t="shared" si="42"/>
        <v>0</v>
      </c>
      <c r="AA122" s="178">
        <f t="shared" si="42"/>
        <v>0</v>
      </c>
      <c r="AB122" s="178">
        <f t="shared" si="42"/>
        <v>0</v>
      </c>
      <c r="AC122" s="178">
        <f t="shared" si="42"/>
        <v>0</v>
      </c>
      <c r="AD122" s="178">
        <f t="shared" si="42"/>
        <v>0</v>
      </c>
      <c r="AE122" s="178">
        <f t="shared" si="42"/>
        <v>0</v>
      </c>
      <c r="AF122" s="178">
        <f t="shared" si="42"/>
        <v>0</v>
      </c>
      <c r="AG122" s="178">
        <f t="shared" si="42"/>
        <v>0</v>
      </c>
      <c r="AH122" s="178">
        <f t="shared" si="42"/>
        <v>0</v>
      </c>
    </row>
    <row r="123" spans="1:38">
      <c r="A123" s="617" t="s">
        <v>576</v>
      </c>
      <c r="B123" s="617"/>
      <c r="C123" s="617"/>
      <c r="D123" s="179" t="e">
        <f>D119/D120</f>
        <v>#DIV/0!</v>
      </c>
      <c r="E123" s="179" t="e">
        <f t="shared" ref="E123:AH123" si="43">E119/E120</f>
        <v>#DIV/0!</v>
      </c>
      <c r="F123" s="179" t="e">
        <f t="shared" si="43"/>
        <v>#DIV/0!</v>
      </c>
      <c r="G123" s="179" t="e">
        <f t="shared" si="43"/>
        <v>#DIV/0!</v>
      </c>
      <c r="H123" s="179" t="e">
        <f t="shared" si="43"/>
        <v>#DIV/0!</v>
      </c>
      <c r="I123" s="179" t="e">
        <f t="shared" si="43"/>
        <v>#DIV/0!</v>
      </c>
      <c r="J123" s="179" t="e">
        <f t="shared" si="43"/>
        <v>#DIV/0!</v>
      </c>
      <c r="K123" s="179" t="e">
        <f t="shared" si="43"/>
        <v>#DIV/0!</v>
      </c>
      <c r="L123" s="179" t="e">
        <f t="shared" si="43"/>
        <v>#DIV/0!</v>
      </c>
      <c r="M123" s="179" t="e">
        <f t="shared" si="43"/>
        <v>#DIV/0!</v>
      </c>
      <c r="N123" s="179" t="e">
        <f t="shared" si="43"/>
        <v>#DIV/0!</v>
      </c>
      <c r="O123" s="179" t="e">
        <f t="shared" si="43"/>
        <v>#DIV/0!</v>
      </c>
      <c r="P123" s="179" t="e">
        <f t="shared" si="43"/>
        <v>#DIV/0!</v>
      </c>
      <c r="Q123" s="179" t="e">
        <f t="shared" si="43"/>
        <v>#DIV/0!</v>
      </c>
      <c r="R123" s="179" t="e">
        <f t="shared" si="43"/>
        <v>#DIV/0!</v>
      </c>
      <c r="S123" s="179" t="e">
        <f t="shared" si="43"/>
        <v>#DIV/0!</v>
      </c>
      <c r="T123" s="179" t="e">
        <f t="shared" si="43"/>
        <v>#DIV/0!</v>
      </c>
      <c r="U123" s="179" t="e">
        <f t="shared" si="43"/>
        <v>#DIV/0!</v>
      </c>
      <c r="V123" s="179" t="e">
        <f t="shared" si="43"/>
        <v>#DIV/0!</v>
      </c>
      <c r="W123" s="179" t="e">
        <f t="shared" si="43"/>
        <v>#DIV/0!</v>
      </c>
      <c r="X123" s="179" t="e">
        <f t="shared" si="43"/>
        <v>#DIV/0!</v>
      </c>
      <c r="Y123" s="179" t="e">
        <f t="shared" si="43"/>
        <v>#DIV/0!</v>
      </c>
      <c r="Z123" s="179" t="e">
        <f t="shared" si="43"/>
        <v>#DIV/0!</v>
      </c>
      <c r="AA123" s="179" t="e">
        <f t="shared" si="43"/>
        <v>#DIV/0!</v>
      </c>
      <c r="AB123" s="179" t="e">
        <f t="shared" si="43"/>
        <v>#DIV/0!</v>
      </c>
      <c r="AC123" s="179" t="e">
        <f t="shared" si="43"/>
        <v>#DIV/0!</v>
      </c>
      <c r="AD123" s="179" t="e">
        <f t="shared" si="43"/>
        <v>#DIV/0!</v>
      </c>
      <c r="AE123" s="179" t="e">
        <f t="shared" si="43"/>
        <v>#DIV/0!</v>
      </c>
      <c r="AF123" s="179" t="e">
        <f t="shared" si="43"/>
        <v>#DIV/0!</v>
      </c>
      <c r="AG123" s="179" t="e">
        <f t="shared" si="43"/>
        <v>#DIV/0!</v>
      </c>
      <c r="AH123" s="179" t="e">
        <f t="shared" si="43"/>
        <v>#DIV/0!</v>
      </c>
    </row>
    <row r="124" spans="1:38">
      <c r="A124" s="617" t="s">
        <v>577</v>
      </c>
      <c r="B124" s="617"/>
      <c r="C124" s="617"/>
      <c r="D124" s="179" t="e">
        <f>D119/D121</f>
        <v>#DIV/0!</v>
      </c>
      <c r="E124" s="179" t="e">
        <f t="shared" ref="E124:AH124" si="44">E119/E121</f>
        <v>#DIV/0!</v>
      </c>
      <c r="F124" s="179" t="e">
        <f t="shared" si="44"/>
        <v>#DIV/0!</v>
      </c>
      <c r="G124" s="179" t="e">
        <f t="shared" si="44"/>
        <v>#DIV/0!</v>
      </c>
      <c r="H124" s="179" t="e">
        <f t="shared" si="44"/>
        <v>#DIV/0!</v>
      </c>
      <c r="I124" s="179" t="e">
        <f t="shared" si="44"/>
        <v>#DIV/0!</v>
      </c>
      <c r="J124" s="179" t="e">
        <f t="shared" si="44"/>
        <v>#DIV/0!</v>
      </c>
      <c r="K124" s="179" t="e">
        <f t="shared" si="44"/>
        <v>#DIV/0!</v>
      </c>
      <c r="L124" s="179" t="e">
        <f t="shared" si="44"/>
        <v>#DIV/0!</v>
      </c>
      <c r="M124" s="179" t="e">
        <f t="shared" si="44"/>
        <v>#DIV/0!</v>
      </c>
      <c r="N124" s="179" t="e">
        <f t="shared" si="44"/>
        <v>#DIV/0!</v>
      </c>
      <c r="O124" s="179" t="e">
        <f t="shared" si="44"/>
        <v>#DIV/0!</v>
      </c>
      <c r="P124" s="179" t="e">
        <f t="shared" si="44"/>
        <v>#DIV/0!</v>
      </c>
      <c r="Q124" s="179" t="e">
        <f t="shared" si="44"/>
        <v>#DIV/0!</v>
      </c>
      <c r="R124" s="179" t="e">
        <f t="shared" si="44"/>
        <v>#DIV/0!</v>
      </c>
      <c r="S124" s="179" t="e">
        <f t="shared" si="44"/>
        <v>#DIV/0!</v>
      </c>
      <c r="T124" s="179" t="e">
        <f t="shared" si="44"/>
        <v>#DIV/0!</v>
      </c>
      <c r="U124" s="179" t="e">
        <f t="shared" si="44"/>
        <v>#DIV/0!</v>
      </c>
      <c r="V124" s="179" t="e">
        <f t="shared" si="44"/>
        <v>#DIV/0!</v>
      </c>
      <c r="W124" s="179" t="e">
        <f t="shared" si="44"/>
        <v>#DIV/0!</v>
      </c>
      <c r="X124" s="179" t="e">
        <f t="shared" si="44"/>
        <v>#DIV/0!</v>
      </c>
      <c r="Y124" s="179" t="e">
        <f t="shared" si="44"/>
        <v>#DIV/0!</v>
      </c>
      <c r="Z124" s="179" t="e">
        <f t="shared" si="44"/>
        <v>#DIV/0!</v>
      </c>
      <c r="AA124" s="179" t="e">
        <f t="shared" si="44"/>
        <v>#DIV/0!</v>
      </c>
      <c r="AB124" s="179" t="e">
        <f t="shared" si="44"/>
        <v>#DIV/0!</v>
      </c>
      <c r="AC124" s="179" t="e">
        <f t="shared" si="44"/>
        <v>#DIV/0!</v>
      </c>
      <c r="AD124" s="179" t="e">
        <f t="shared" si="44"/>
        <v>#DIV/0!</v>
      </c>
      <c r="AE124" s="179" t="e">
        <f t="shared" si="44"/>
        <v>#DIV/0!</v>
      </c>
      <c r="AF124" s="179" t="e">
        <f t="shared" si="44"/>
        <v>#DIV/0!</v>
      </c>
      <c r="AG124" s="179" t="e">
        <f t="shared" si="44"/>
        <v>#DIV/0!</v>
      </c>
      <c r="AH124" s="179" t="e">
        <f t="shared" si="44"/>
        <v>#DIV/0!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A122:C122"/>
    <mergeCell ref="A123:C123"/>
    <mergeCell ref="A124:C124"/>
    <mergeCell ref="A118:C118"/>
    <mergeCell ref="A119:C119"/>
    <mergeCell ref="A120:C120"/>
    <mergeCell ref="A121:C121"/>
    <mergeCell ref="A114:C114"/>
    <mergeCell ref="A116:C116"/>
    <mergeCell ref="A117:C117"/>
    <mergeCell ref="A100:C100"/>
    <mergeCell ref="A107:C107"/>
    <mergeCell ref="A106:C106"/>
    <mergeCell ref="A108:C108"/>
    <mergeCell ref="A109:C109"/>
    <mergeCell ref="A110:C110"/>
    <mergeCell ref="A111:C111"/>
    <mergeCell ref="A112:C112"/>
    <mergeCell ref="A113:C113"/>
  </mergeCells>
  <phoneticPr fontId="6" type="noConversion"/>
  <printOptions horizontalCentered="1" verticalCentered="1" gridLines="1"/>
  <pageMargins left="0.35" right="0.35" top="0.66" bottom="0.3" header="0.5" footer="0.51"/>
  <pageSetup scale="65" firstPageNumber="7" fitToHeight="2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115" max="3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3" sqref="F3"/>
    </sheetView>
  </sheetViews>
  <sheetFormatPr defaultRowHeight="12.75"/>
  <cols>
    <col min="1" max="1" width="15.28515625" customWidth="1"/>
    <col min="2" max="2" width="12" customWidth="1"/>
    <col min="3" max="3" width="9.7109375" customWidth="1"/>
    <col min="4" max="4" width="10.28515625" customWidth="1"/>
    <col min="5" max="6" width="8" customWidth="1"/>
    <col min="7" max="7" width="7.42578125" customWidth="1"/>
    <col min="8" max="8" width="8" customWidth="1"/>
    <col min="9" max="9" width="8.42578125" customWidth="1"/>
  </cols>
  <sheetData>
    <row r="1" spans="1:9" ht="15.75">
      <c r="A1" s="129" t="s">
        <v>136</v>
      </c>
      <c r="B1" s="3"/>
      <c r="C1" s="3"/>
      <c r="D1" s="3"/>
      <c r="E1" s="3"/>
      <c r="F1" s="3"/>
      <c r="G1" s="3"/>
      <c r="H1" s="3"/>
      <c r="I1" s="3"/>
    </row>
    <row r="3" spans="1:9">
      <c r="B3" t="s">
        <v>218</v>
      </c>
      <c r="C3">
        <f>Sources!$B$3</f>
        <v>0</v>
      </c>
      <c r="E3" t="s">
        <v>374</v>
      </c>
      <c r="F3" s="535">
        <f>Sources!F3</f>
        <v>40909</v>
      </c>
    </row>
    <row r="5" spans="1:9" ht="51">
      <c r="A5" s="67" t="s">
        <v>265</v>
      </c>
      <c r="B5" s="68" t="s">
        <v>266</v>
      </c>
      <c r="C5" s="68" t="s">
        <v>267</v>
      </c>
      <c r="D5" s="208" t="s">
        <v>268</v>
      </c>
      <c r="E5" s="68" t="s">
        <v>269</v>
      </c>
      <c r="F5" s="68" t="s">
        <v>270</v>
      </c>
      <c r="G5" s="68" t="s">
        <v>271</v>
      </c>
      <c r="H5" s="68" t="s">
        <v>272</v>
      </c>
      <c r="I5" s="68" t="s">
        <v>273</v>
      </c>
    </row>
    <row r="7" spans="1:9">
      <c r="A7" t="s">
        <v>274</v>
      </c>
      <c r="B7" s="97"/>
      <c r="C7" s="207"/>
      <c r="D7" s="207"/>
      <c r="E7" s="207"/>
      <c r="F7" s="207"/>
      <c r="G7" s="207"/>
      <c r="H7" s="207"/>
      <c r="I7" s="207"/>
    </row>
    <row r="8" spans="1:9">
      <c r="A8" t="s">
        <v>147</v>
      </c>
      <c r="B8" s="97"/>
      <c r="C8" s="207"/>
      <c r="D8" s="207"/>
      <c r="E8" s="207"/>
      <c r="F8" s="207"/>
      <c r="G8" s="207"/>
      <c r="H8" s="207"/>
      <c r="I8" s="207"/>
    </row>
    <row r="9" spans="1:9">
      <c r="A9" t="s">
        <v>148</v>
      </c>
      <c r="B9" s="97"/>
      <c r="C9" s="207"/>
      <c r="D9" s="207"/>
      <c r="E9" s="207"/>
      <c r="F9" s="207"/>
      <c r="G9" s="207"/>
      <c r="H9" s="207"/>
      <c r="I9" s="207"/>
    </row>
    <row r="10" spans="1:9">
      <c r="A10" t="s">
        <v>149</v>
      </c>
      <c r="B10" s="97"/>
      <c r="C10" s="207"/>
      <c r="D10" s="207"/>
      <c r="E10" s="207"/>
      <c r="F10" s="207"/>
      <c r="G10" s="207"/>
      <c r="H10" s="207"/>
      <c r="I10" s="207"/>
    </row>
    <row r="11" spans="1:9">
      <c r="A11" t="s">
        <v>150</v>
      </c>
      <c r="B11" s="97"/>
      <c r="C11" s="207"/>
      <c r="D11" s="207"/>
      <c r="E11" s="207"/>
      <c r="F11" s="207"/>
      <c r="G11" s="207"/>
      <c r="H11" s="207"/>
      <c r="I11" s="207"/>
    </row>
    <row r="12" spans="1:9">
      <c r="A12" t="s">
        <v>151</v>
      </c>
      <c r="B12" s="97"/>
      <c r="C12" s="207"/>
      <c r="D12" s="207"/>
      <c r="E12" s="207"/>
      <c r="F12" s="207"/>
      <c r="G12" s="207"/>
      <c r="H12" s="207"/>
      <c r="I12" s="207"/>
    </row>
    <row r="13" spans="1:9">
      <c r="A13" t="s">
        <v>152</v>
      </c>
      <c r="B13" s="97"/>
      <c r="C13" s="207"/>
      <c r="D13" s="207"/>
      <c r="E13" s="207"/>
      <c r="F13" s="207"/>
      <c r="G13" s="207"/>
      <c r="H13" s="207"/>
      <c r="I13" s="207"/>
    </row>
    <row r="14" spans="1:9">
      <c r="A14" t="s">
        <v>153</v>
      </c>
      <c r="B14" s="97"/>
      <c r="C14" s="207"/>
      <c r="D14" s="207"/>
      <c r="E14" s="207"/>
      <c r="F14" s="207"/>
      <c r="G14" s="207"/>
      <c r="H14" s="207"/>
      <c r="I14" s="207"/>
    </row>
    <row r="15" spans="1:9">
      <c r="C15" s="23"/>
      <c r="D15" s="23"/>
      <c r="E15" s="209"/>
      <c r="F15" s="209"/>
      <c r="G15" s="209"/>
      <c r="H15" s="209"/>
      <c r="I15" s="209"/>
    </row>
    <row r="16" spans="1:9" ht="25.5">
      <c r="A16" s="5" t="s">
        <v>154</v>
      </c>
      <c r="E16">
        <f>SUM(E7:E15)</f>
        <v>0</v>
      </c>
      <c r="F16">
        <f>SUM(F7:F15)</f>
        <v>0</v>
      </c>
      <c r="G16">
        <f>SUM(G7:G15)</f>
        <v>0</v>
      </c>
      <c r="H16">
        <f>SUM(H7:H15)</f>
        <v>0</v>
      </c>
      <c r="I16">
        <f>SUM(I7:I15)</f>
        <v>0</v>
      </c>
    </row>
    <row r="19" spans="1:9">
      <c r="A19" s="69" t="s">
        <v>155</v>
      </c>
    </row>
    <row r="21" spans="1:9">
      <c r="B21" t="s">
        <v>156</v>
      </c>
      <c r="D21" s="97"/>
    </row>
    <row r="22" spans="1:9">
      <c r="B22" t="s">
        <v>157</v>
      </c>
      <c r="D22" s="97"/>
    </row>
    <row r="23" spans="1:9">
      <c r="B23" t="s">
        <v>158</v>
      </c>
      <c r="D23" s="97"/>
    </row>
    <row r="25" spans="1:9">
      <c r="A25" s="70" t="s">
        <v>278</v>
      </c>
      <c r="B25" s="70"/>
      <c r="C25" s="70"/>
      <c r="D25" s="70"/>
      <c r="E25" s="70"/>
      <c r="F25" s="70"/>
      <c r="G25" s="70"/>
      <c r="H25" s="70"/>
      <c r="I25" s="70"/>
    </row>
    <row r="26" spans="1:9">
      <c r="A26" s="70" t="s">
        <v>279</v>
      </c>
      <c r="B26" s="70"/>
      <c r="C26" s="70"/>
      <c r="D26" s="70"/>
      <c r="E26" s="70"/>
      <c r="F26" s="70"/>
      <c r="G26" s="70"/>
      <c r="H26" s="70"/>
      <c r="I26" s="70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75" right="0.75" top="1" bottom="1" header="0.5" footer="0.5"/>
  <pageSetup firstPageNumber="9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23"/>
  <sheetViews>
    <sheetView workbookViewId="0">
      <pane ySplit="8" topLeftCell="A9" activePane="bottomLeft" state="frozen"/>
      <selection pane="bottomLeft" activeCell="F31" sqref="F31"/>
    </sheetView>
  </sheetViews>
  <sheetFormatPr defaultColWidth="10.28515625" defaultRowHeight="12.75"/>
  <cols>
    <col min="1" max="3" width="5.7109375" customWidth="1"/>
    <col min="4" max="4" width="7.42578125" customWidth="1"/>
    <col min="5" max="5" width="8.140625" bestFit="1" customWidth="1"/>
    <col min="6" max="6" width="24.85546875" bestFit="1" customWidth="1"/>
    <col min="7" max="7" width="7.42578125" customWidth="1"/>
    <col min="8" max="12" width="11.42578125" customWidth="1"/>
    <col min="13" max="16" width="10.85546875" customWidth="1"/>
    <col min="17" max="17" width="11.42578125" customWidth="1"/>
    <col min="18" max="21" width="10.85546875" customWidth="1"/>
    <col min="22" max="22" width="11.42578125" customWidth="1"/>
    <col min="23" max="26" width="10.85546875" customWidth="1"/>
    <col min="27" max="27" width="11.42578125" customWidth="1"/>
    <col min="28" max="36" width="10.85546875" customWidth="1"/>
    <col min="37" max="37" width="11.42578125" customWidth="1"/>
  </cols>
  <sheetData>
    <row r="1" spans="1:37" ht="15.75">
      <c r="A1" s="247" t="s">
        <v>386</v>
      </c>
      <c r="B1" s="135"/>
      <c r="C1" s="135"/>
      <c r="D1" s="12"/>
      <c r="L1" s="62"/>
    </row>
    <row r="2" spans="1:37">
      <c r="A2" s="132"/>
      <c r="B2" s="132"/>
      <c r="C2" s="132"/>
      <c r="F2" s="15"/>
    </row>
    <row r="3" spans="1:37">
      <c r="A3" s="132"/>
      <c r="B3" s="134" t="s">
        <v>218</v>
      </c>
      <c r="C3" s="134"/>
      <c r="D3" s="3"/>
      <c r="E3">
        <f>Sources!$B$3</f>
        <v>0</v>
      </c>
      <c r="F3" s="73"/>
      <c r="G3" s="23"/>
      <c r="H3" s="23"/>
    </row>
    <row r="4" spans="1:37">
      <c r="A4" s="132"/>
      <c r="D4" s="23" t="s">
        <v>374</v>
      </c>
      <c r="E4" s="88">
        <f>Sources!F3</f>
        <v>40909</v>
      </c>
    </row>
    <row r="5" spans="1:37">
      <c r="A5" s="132"/>
      <c r="B5" s="132"/>
      <c r="C5" s="132"/>
      <c r="F5" s="15"/>
    </row>
    <row r="6" spans="1:37">
      <c r="D6" s="2" t="s">
        <v>51</v>
      </c>
      <c r="E6" s="90">
        <v>0.02</v>
      </c>
    </row>
    <row r="7" spans="1:37">
      <c r="D7" s="2"/>
      <c r="E7" s="90"/>
    </row>
    <row r="8" spans="1:37">
      <c r="A8" s="135" t="s">
        <v>387</v>
      </c>
      <c r="B8" s="132"/>
      <c r="C8" s="132"/>
    </row>
    <row r="9" spans="1:37">
      <c r="B9" s="272"/>
      <c r="C9" s="272"/>
      <c r="D9" s="273"/>
      <c r="E9" s="273"/>
      <c r="H9">
        <v>1</v>
      </c>
      <c r="I9">
        <v>2</v>
      </c>
      <c r="J9">
        <v>3</v>
      </c>
      <c r="K9">
        <v>4</v>
      </c>
      <c r="L9">
        <v>5</v>
      </c>
      <c r="M9">
        <v>6</v>
      </c>
      <c r="N9">
        <v>7</v>
      </c>
      <c r="O9">
        <v>8</v>
      </c>
      <c r="P9">
        <v>9</v>
      </c>
      <c r="Q9">
        <v>10</v>
      </c>
      <c r="R9">
        <v>11</v>
      </c>
      <c r="S9">
        <v>12</v>
      </c>
      <c r="T9">
        <v>13</v>
      </c>
      <c r="U9">
        <v>14</v>
      </c>
      <c r="V9">
        <v>15</v>
      </c>
      <c r="W9">
        <v>16</v>
      </c>
      <c r="X9">
        <v>17</v>
      </c>
      <c r="Y9">
        <v>18</v>
      </c>
      <c r="Z9">
        <v>19</v>
      </c>
      <c r="AA9">
        <v>20</v>
      </c>
      <c r="AB9">
        <v>21</v>
      </c>
      <c r="AC9">
        <v>22</v>
      </c>
      <c r="AD9">
        <v>23</v>
      </c>
      <c r="AE9">
        <v>24</v>
      </c>
      <c r="AF9">
        <v>25</v>
      </c>
      <c r="AG9">
        <v>26</v>
      </c>
      <c r="AH9">
        <v>27</v>
      </c>
      <c r="AI9">
        <v>28</v>
      </c>
      <c r="AJ9">
        <v>29</v>
      </c>
      <c r="AK9">
        <v>30</v>
      </c>
    </row>
    <row r="10" spans="1:37">
      <c r="E10" s="52"/>
      <c r="F10" s="52"/>
      <c r="G10" s="52"/>
      <c r="H10" s="117"/>
      <c r="I10" s="248"/>
      <c r="J10" s="248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</row>
    <row r="11" spans="1:37">
      <c r="A11" s="23" t="s">
        <v>388</v>
      </c>
      <c r="B11" s="23"/>
      <c r="C11" s="23"/>
      <c r="D11" s="23"/>
      <c r="E11" s="52"/>
      <c r="F11" s="52"/>
      <c r="G11" s="52"/>
      <c r="H11" s="250"/>
      <c r="I11" s="248">
        <f t="shared" ref="I11:AK11" si="0">(+H11*$E$6)+H11</f>
        <v>0</v>
      </c>
      <c r="J11" s="248">
        <f t="shared" si="0"/>
        <v>0</v>
      </c>
      <c r="K11" s="248">
        <f t="shared" si="0"/>
        <v>0</v>
      </c>
      <c r="L11" s="248">
        <f t="shared" si="0"/>
        <v>0</v>
      </c>
      <c r="M11" s="248">
        <f t="shared" si="0"/>
        <v>0</v>
      </c>
      <c r="N11" s="248">
        <f t="shared" si="0"/>
        <v>0</v>
      </c>
      <c r="O11" s="248">
        <f t="shared" si="0"/>
        <v>0</v>
      </c>
      <c r="P11" s="248">
        <f t="shared" si="0"/>
        <v>0</v>
      </c>
      <c r="Q11" s="248">
        <f t="shared" si="0"/>
        <v>0</v>
      </c>
      <c r="R11" s="248">
        <f t="shared" si="0"/>
        <v>0</v>
      </c>
      <c r="S11" s="248">
        <f t="shared" si="0"/>
        <v>0</v>
      </c>
      <c r="T11" s="248">
        <f t="shared" si="0"/>
        <v>0</v>
      </c>
      <c r="U11" s="248">
        <f t="shared" si="0"/>
        <v>0</v>
      </c>
      <c r="V11" s="248">
        <f t="shared" si="0"/>
        <v>0</v>
      </c>
      <c r="W11" s="248">
        <f t="shared" si="0"/>
        <v>0</v>
      </c>
      <c r="X11" s="248">
        <f t="shared" si="0"/>
        <v>0</v>
      </c>
      <c r="Y11" s="248">
        <f t="shared" si="0"/>
        <v>0</v>
      </c>
      <c r="Z11" s="248">
        <f t="shared" si="0"/>
        <v>0</v>
      </c>
      <c r="AA11" s="248">
        <f t="shared" si="0"/>
        <v>0</v>
      </c>
      <c r="AB11" s="248">
        <f t="shared" si="0"/>
        <v>0</v>
      </c>
      <c r="AC11" s="248">
        <f t="shared" si="0"/>
        <v>0</v>
      </c>
      <c r="AD11" s="248">
        <f t="shared" si="0"/>
        <v>0</v>
      </c>
      <c r="AE11" s="248">
        <f t="shared" si="0"/>
        <v>0</v>
      </c>
      <c r="AF11" s="248">
        <f t="shared" si="0"/>
        <v>0</v>
      </c>
      <c r="AG11" s="248">
        <f t="shared" si="0"/>
        <v>0</v>
      </c>
      <c r="AH11" s="248">
        <f t="shared" si="0"/>
        <v>0</v>
      </c>
      <c r="AI11" s="248">
        <f t="shared" si="0"/>
        <v>0</v>
      </c>
      <c r="AJ11" s="248">
        <f t="shared" si="0"/>
        <v>0</v>
      </c>
      <c r="AK11" s="248">
        <f t="shared" si="0"/>
        <v>0</v>
      </c>
    </row>
    <row r="12" spans="1:37">
      <c r="A12" s="23" t="s">
        <v>42</v>
      </c>
      <c r="B12" s="23"/>
      <c r="C12" s="23"/>
      <c r="D12" s="23"/>
      <c r="E12" s="52"/>
      <c r="F12" s="52"/>
      <c r="G12" s="52"/>
      <c r="H12" s="250"/>
      <c r="I12" s="248">
        <f t="shared" ref="I12:AK12" si="1">(+H12*$E$6)+H12</f>
        <v>0</v>
      </c>
      <c r="J12" s="248">
        <f t="shared" si="1"/>
        <v>0</v>
      </c>
      <c r="K12" s="248">
        <f t="shared" si="1"/>
        <v>0</v>
      </c>
      <c r="L12" s="248">
        <f t="shared" si="1"/>
        <v>0</v>
      </c>
      <c r="M12" s="248">
        <f t="shared" si="1"/>
        <v>0</v>
      </c>
      <c r="N12" s="248">
        <f t="shared" si="1"/>
        <v>0</v>
      </c>
      <c r="O12" s="248">
        <f t="shared" si="1"/>
        <v>0</v>
      </c>
      <c r="P12" s="248">
        <f t="shared" si="1"/>
        <v>0</v>
      </c>
      <c r="Q12" s="248">
        <f t="shared" si="1"/>
        <v>0</v>
      </c>
      <c r="R12" s="248">
        <f t="shared" si="1"/>
        <v>0</v>
      </c>
      <c r="S12" s="248">
        <f t="shared" si="1"/>
        <v>0</v>
      </c>
      <c r="T12" s="248">
        <f t="shared" si="1"/>
        <v>0</v>
      </c>
      <c r="U12" s="248">
        <f t="shared" si="1"/>
        <v>0</v>
      </c>
      <c r="V12" s="248">
        <f t="shared" si="1"/>
        <v>0</v>
      </c>
      <c r="W12" s="248">
        <f t="shared" si="1"/>
        <v>0</v>
      </c>
      <c r="X12" s="248">
        <f t="shared" si="1"/>
        <v>0</v>
      </c>
      <c r="Y12" s="248">
        <f t="shared" si="1"/>
        <v>0</v>
      </c>
      <c r="Z12" s="248">
        <f t="shared" si="1"/>
        <v>0</v>
      </c>
      <c r="AA12" s="248">
        <f t="shared" si="1"/>
        <v>0</v>
      </c>
      <c r="AB12" s="248">
        <f t="shared" si="1"/>
        <v>0</v>
      </c>
      <c r="AC12" s="248">
        <f t="shared" si="1"/>
        <v>0</v>
      </c>
      <c r="AD12" s="248">
        <f t="shared" si="1"/>
        <v>0</v>
      </c>
      <c r="AE12" s="248">
        <f t="shared" si="1"/>
        <v>0</v>
      </c>
      <c r="AF12" s="248">
        <f t="shared" si="1"/>
        <v>0</v>
      </c>
      <c r="AG12" s="248">
        <f t="shared" si="1"/>
        <v>0</v>
      </c>
      <c r="AH12" s="248">
        <f t="shared" si="1"/>
        <v>0</v>
      </c>
      <c r="AI12" s="248">
        <f t="shared" si="1"/>
        <v>0</v>
      </c>
      <c r="AJ12" s="248">
        <f t="shared" si="1"/>
        <v>0</v>
      </c>
      <c r="AK12" s="248">
        <f t="shared" si="1"/>
        <v>0</v>
      </c>
    </row>
    <row r="13" spans="1:37">
      <c r="A13" s="23" t="s">
        <v>42</v>
      </c>
      <c r="B13" s="23"/>
      <c r="C13" s="23"/>
      <c r="D13" s="23"/>
      <c r="E13" s="52"/>
      <c r="F13" s="52"/>
      <c r="G13" s="52"/>
      <c r="H13" s="250"/>
      <c r="I13" s="248">
        <f t="shared" ref="I13:AK13" si="2">(+H13*$E$6)+H13</f>
        <v>0</v>
      </c>
      <c r="J13" s="248">
        <f t="shared" si="2"/>
        <v>0</v>
      </c>
      <c r="K13" s="248">
        <f t="shared" si="2"/>
        <v>0</v>
      </c>
      <c r="L13" s="248">
        <f t="shared" si="2"/>
        <v>0</v>
      </c>
      <c r="M13" s="248">
        <f t="shared" si="2"/>
        <v>0</v>
      </c>
      <c r="N13" s="248">
        <f t="shared" si="2"/>
        <v>0</v>
      </c>
      <c r="O13" s="248">
        <f t="shared" si="2"/>
        <v>0</v>
      </c>
      <c r="P13" s="248">
        <f t="shared" si="2"/>
        <v>0</v>
      </c>
      <c r="Q13" s="248">
        <f t="shared" si="2"/>
        <v>0</v>
      </c>
      <c r="R13" s="248">
        <f t="shared" si="2"/>
        <v>0</v>
      </c>
      <c r="S13" s="248">
        <f t="shared" si="2"/>
        <v>0</v>
      </c>
      <c r="T13" s="248">
        <f t="shared" si="2"/>
        <v>0</v>
      </c>
      <c r="U13" s="248">
        <f t="shared" si="2"/>
        <v>0</v>
      </c>
      <c r="V13" s="248">
        <f t="shared" si="2"/>
        <v>0</v>
      </c>
      <c r="W13" s="248">
        <f t="shared" si="2"/>
        <v>0</v>
      </c>
      <c r="X13" s="248">
        <f t="shared" si="2"/>
        <v>0</v>
      </c>
      <c r="Y13" s="248">
        <f t="shared" si="2"/>
        <v>0</v>
      </c>
      <c r="Z13" s="248">
        <f t="shared" si="2"/>
        <v>0</v>
      </c>
      <c r="AA13" s="248">
        <f t="shared" si="2"/>
        <v>0</v>
      </c>
      <c r="AB13" s="248">
        <f t="shared" si="2"/>
        <v>0</v>
      </c>
      <c r="AC13" s="248">
        <f t="shared" si="2"/>
        <v>0</v>
      </c>
      <c r="AD13" s="248">
        <f t="shared" si="2"/>
        <v>0</v>
      </c>
      <c r="AE13" s="248">
        <f t="shared" si="2"/>
        <v>0</v>
      </c>
      <c r="AF13" s="248">
        <f t="shared" si="2"/>
        <v>0</v>
      </c>
      <c r="AG13" s="248">
        <f t="shared" si="2"/>
        <v>0</v>
      </c>
      <c r="AH13" s="248">
        <f t="shared" si="2"/>
        <v>0</v>
      </c>
      <c r="AI13" s="248">
        <f t="shared" si="2"/>
        <v>0</v>
      </c>
      <c r="AJ13" s="248">
        <f t="shared" si="2"/>
        <v>0</v>
      </c>
      <c r="AK13" s="248">
        <f t="shared" si="2"/>
        <v>0</v>
      </c>
    </row>
    <row r="14" spans="1:37">
      <c r="A14" s="23" t="s">
        <v>42</v>
      </c>
      <c r="B14" s="23"/>
      <c r="C14" s="23"/>
      <c r="D14" s="23"/>
      <c r="E14" s="52"/>
      <c r="F14" s="52"/>
      <c r="G14" s="52"/>
      <c r="H14" s="250"/>
      <c r="I14" s="248">
        <f t="shared" ref="I14:AK14" si="3">(+H14*$E$6)+H14</f>
        <v>0</v>
      </c>
      <c r="J14" s="248">
        <f t="shared" si="3"/>
        <v>0</v>
      </c>
      <c r="K14" s="248">
        <f t="shared" si="3"/>
        <v>0</v>
      </c>
      <c r="L14" s="248">
        <f t="shared" si="3"/>
        <v>0</v>
      </c>
      <c r="M14" s="248">
        <f t="shared" si="3"/>
        <v>0</v>
      </c>
      <c r="N14" s="248">
        <f t="shared" si="3"/>
        <v>0</v>
      </c>
      <c r="O14" s="248">
        <f t="shared" si="3"/>
        <v>0</v>
      </c>
      <c r="P14" s="248">
        <f t="shared" si="3"/>
        <v>0</v>
      </c>
      <c r="Q14" s="248">
        <f t="shared" si="3"/>
        <v>0</v>
      </c>
      <c r="R14" s="248">
        <f t="shared" si="3"/>
        <v>0</v>
      </c>
      <c r="S14" s="248">
        <f t="shared" si="3"/>
        <v>0</v>
      </c>
      <c r="T14" s="248">
        <f t="shared" si="3"/>
        <v>0</v>
      </c>
      <c r="U14" s="248">
        <f t="shared" si="3"/>
        <v>0</v>
      </c>
      <c r="V14" s="248">
        <f t="shared" si="3"/>
        <v>0</v>
      </c>
      <c r="W14" s="248">
        <f t="shared" si="3"/>
        <v>0</v>
      </c>
      <c r="X14" s="248">
        <f t="shared" si="3"/>
        <v>0</v>
      </c>
      <c r="Y14" s="248">
        <f t="shared" si="3"/>
        <v>0</v>
      </c>
      <c r="Z14" s="248">
        <f t="shared" si="3"/>
        <v>0</v>
      </c>
      <c r="AA14" s="248">
        <f t="shared" si="3"/>
        <v>0</v>
      </c>
      <c r="AB14" s="248">
        <f t="shared" si="3"/>
        <v>0</v>
      </c>
      <c r="AC14" s="248">
        <f t="shared" si="3"/>
        <v>0</v>
      </c>
      <c r="AD14" s="248">
        <f t="shared" si="3"/>
        <v>0</v>
      </c>
      <c r="AE14" s="248">
        <f t="shared" si="3"/>
        <v>0</v>
      </c>
      <c r="AF14" s="248">
        <f t="shared" si="3"/>
        <v>0</v>
      </c>
      <c r="AG14" s="248">
        <f t="shared" si="3"/>
        <v>0</v>
      </c>
      <c r="AH14" s="248">
        <f t="shared" si="3"/>
        <v>0</v>
      </c>
      <c r="AI14" s="248">
        <f t="shared" si="3"/>
        <v>0</v>
      </c>
      <c r="AJ14" s="248">
        <f t="shared" si="3"/>
        <v>0</v>
      </c>
      <c r="AK14" s="248">
        <f t="shared" si="3"/>
        <v>0</v>
      </c>
    </row>
    <row r="15" spans="1:37">
      <c r="A15" s="23" t="s">
        <v>42</v>
      </c>
      <c r="B15" s="23"/>
      <c r="C15" s="23"/>
      <c r="D15" s="23"/>
      <c r="E15" s="52"/>
      <c r="F15" s="52"/>
      <c r="G15" s="52"/>
      <c r="H15" s="250"/>
      <c r="I15" s="248">
        <f t="shared" ref="I15:AK15" si="4">(+H15*$E$6)+H15</f>
        <v>0</v>
      </c>
      <c r="J15" s="248">
        <f t="shared" si="4"/>
        <v>0</v>
      </c>
      <c r="K15" s="248">
        <f t="shared" si="4"/>
        <v>0</v>
      </c>
      <c r="L15" s="248">
        <f t="shared" si="4"/>
        <v>0</v>
      </c>
      <c r="M15" s="248">
        <f t="shared" si="4"/>
        <v>0</v>
      </c>
      <c r="N15" s="248">
        <f t="shared" si="4"/>
        <v>0</v>
      </c>
      <c r="O15" s="248">
        <f t="shared" si="4"/>
        <v>0</v>
      </c>
      <c r="P15" s="248">
        <f t="shared" si="4"/>
        <v>0</v>
      </c>
      <c r="Q15" s="248">
        <f t="shared" si="4"/>
        <v>0</v>
      </c>
      <c r="R15" s="248">
        <f t="shared" si="4"/>
        <v>0</v>
      </c>
      <c r="S15" s="248">
        <f t="shared" si="4"/>
        <v>0</v>
      </c>
      <c r="T15" s="248">
        <f t="shared" si="4"/>
        <v>0</v>
      </c>
      <c r="U15" s="248">
        <f t="shared" si="4"/>
        <v>0</v>
      </c>
      <c r="V15" s="248">
        <f t="shared" si="4"/>
        <v>0</v>
      </c>
      <c r="W15" s="248">
        <f t="shared" si="4"/>
        <v>0</v>
      </c>
      <c r="X15" s="248">
        <f t="shared" si="4"/>
        <v>0</v>
      </c>
      <c r="Y15" s="248">
        <f t="shared" si="4"/>
        <v>0</v>
      </c>
      <c r="Z15" s="248">
        <f t="shared" si="4"/>
        <v>0</v>
      </c>
      <c r="AA15" s="248">
        <f t="shared" si="4"/>
        <v>0</v>
      </c>
      <c r="AB15" s="248">
        <f t="shared" si="4"/>
        <v>0</v>
      </c>
      <c r="AC15" s="248">
        <f t="shared" si="4"/>
        <v>0</v>
      </c>
      <c r="AD15" s="248">
        <f t="shared" si="4"/>
        <v>0</v>
      </c>
      <c r="AE15" s="248">
        <f t="shared" si="4"/>
        <v>0</v>
      </c>
      <c r="AF15" s="248">
        <f t="shared" si="4"/>
        <v>0</v>
      </c>
      <c r="AG15" s="248">
        <f t="shared" si="4"/>
        <v>0</v>
      </c>
      <c r="AH15" s="248">
        <f t="shared" si="4"/>
        <v>0</v>
      </c>
      <c r="AI15" s="248">
        <f t="shared" si="4"/>
        <v>0</v>
      </c>
      <c r="AJ15" s="248">
        <f t="shared" si="4"/>
        <v>0</v>
      </c>
      <c r="AK15" s="248">
        <f t="shared" si="4"/>
        <v>0</v>
      </c>
    </row>
    <row r="16" spans="1:37">
      <c r="A16" s="23" t="s">
        <v>42</v>
      </c>
      <c r="B16" s="23"/>
      <c r="C16" s="23"/>
      <c r="D16" s="23"/>
      <c r="E16" s="52"/>
      <c r="F16" s="52"/>
      <c r="G16" s="52"/>
      <c r="H16" s="250"/>
      <c r="I16" s="248">
        <f t="shared" ref="I16:AK16" si="5">(+H16*$E$6)+H16</f>
        <v>0</v>
      </c>
      <c r="J16" s="248">
        <f t="shared" si="5"/>
        <v>0</v>
      </c>
      <c r="K16" s="248">
        <f t="shared" si="5"/>
        <v>0</v>
      </c>
      <c r="L16" s="248">
        <f t="shared" si="5"/>
        <v>0</v>
      </c>
      <c r="M16" s="248">
        <f t="shared" si="5"/>
        <v>0</v>
      </c>
      <c r="N16" s="248">
        <f t="shared" si="5"/>
        <v>0</v>
      </c>
      <c r="O16" s="248">
        <f t="shared" si="5"/>
        <v>0</v>
      </c>
      <c r="P16" s="248">
        <f t="shared" si="5"/>
        <v>0</v>
      </c>
      <c r="Q16" s="248">
        <f t="shared" si="5"/>
        <v>0</v>
      </c>
      <c r="R16" s="248">
        <f t="shared" si="5"/>
        <v>0</v>
      </c>
      <c r="S16" s="248">
        <f t="shared" si="5"/>
        <v>0</v>
      </c>
      <c r="T16" s="248">
        <f t="shared" si="5"/>
        <v>0</v>
      </c>
      <c r="U16" s="248">
        <f t="shared" si="5"/>
        <v>0</v>
      </c>
      <c r="V16" s="248">
        <f t="shared" si="5"/>
        <v>0</v>
      </c>
      <c r="W16" s="248">
        <f t="shared" si="5"/>
        <v>0</v>
      </c>
      <c r="X16" s="248">
        <f t="shared" si="5"/>
        <v>0</v>
      </c>
      <c r="Y16" s="248">
        <f t="shared" si="5"/>
        <v>0</v>
      </c>
      <c r="Z16" s="248">
        <f t="shared" si="5"/>
        <v>0</v>
      </c>
      <c r="AA16" s="248">
        <f t="shared" si="5"/>
        <v>0</v>
      </c>
      <c r="AB16" s="248">
        <f t="shared" si="5"/>
        <v>0</v>
      </c>
      <c r="AC16" s="248">
        <f t="shared" si="5"/>
        <v>0</v>
      </c>
      <c r="AD16" s="248">
        <f t="shared" si="5"/>
        <v>0</v>
      </c>
      <c r="AE16" s="248">
        <f t="shared" si="5"/>
        <v>0</v>
      </c>
      <c r="AF16" s="248">
        <f t="shared" si="5"/>
        <v>0</v>
      </c>
      <c r="AG16" s="248">
        <f t="shared" si="5"/>
        <v>0</v>
      </c>
      <c r="AH16" s="248">
        <f t="shared" si="5"/>
        <v>0</v>
      </c>
      <c r="AI16" s="248">
        <f t="shared" si="5"/>
        <v>0</v>
      </c>
      <c r="AJ16" s="248">
        <f t="shared" si="5"/>
        <v>0</v>
      </c>
      <c r="AK16" s="248">
        <f t="shared" si="5"/>
        <v>0</v>
      </c>
    </row>
    <row r="17" spans="1:37">
      <c r="A17" s="23" t="s">
        <v>42</v>
      </c>
      <c r="B17" s="23"/>
      <c r="C17" s="23"/>
      <c r="D17" s="23"/>
      <c r="E17" s="212"/>
      <c r="F17" s="212"/>
      <c r="G17" s="212"/>
      <c r="H17" s="250"/>
      <c r="I17" s="410">
        <f t="shared" ref="I17:AK17" si="6">(+H17*$E$6)+H17</f>
        <v>0</v>
      </c>
      <c r="J17" s="410">
        <f t="shared" si="6"/>
        <v>0</v>
      </c>
      <c r="K17" s="410">
        <f t="shared" si="6"/>
        <v>0</v>
      </c>
      <c r="L17" s="410">
        <f t="shared" si="6"/>
        <v>0</v>
      </c>
      <c r="M17" s="410">
        <f t="shared" si="6"/>
        <v>0</v>
      </c>
      <c r="N17" s="410">
        <f t="shared" si="6"/>
        <v>0</v>
      </c>
      <c r="O17" s="410">
        <f t="shared" si="6"/>
        <v>0</v>
      </c>
      <c r="P17" s="410">
        <f t="shared" si="6"/>
        <v>0</v>
      </c>
      <c r="Q17" s="410">
        <f t="shared" si="6"/>
        <v>0</v>
      </c>
      <c r="R17" s="410">
        <f t="shared" si="6"/>
        <v>0</v>
      </c>
      <c r="S17" s="410">
        <f t="shared" si="6"/>
        <v>0</v>
      </c>
      <c r="T17" s="410">
        <f t="shared" si="6"/>
        <v>0</v>
      </c>
      <c r="U17" s="410">
        <f t="shared" si="6"/>
        <v>0</v>
      </c>
      <c r="V17" s="410">
        <f t="shared" si="6"/>
        <v>0</v>
      </c>
      <c r="W17" s="410">
        <f t="shared" si="6"/>
        <v>0</v>
      </c>
      <c r="X17" s="410">
        <f t="shared" si="6"/>
        <v>0</v>
      </c>
      <c r="Y17" s="410">
        <f t="shared" si="6"/>
        <v>0</v>
      </c>
      <c r="Z17" s="410">
        <f t="shared" si="6"/>
        <v>0</v>
      </c>
      <c r="AA17" s="410">
        <f t="shared" si="6"/>
        <v>0</v>
      </c>
      <c r="AB17" s="410">
        <f t="shared" si="6"/>
        <v>0</v>
      </c>
      <c r="AC17" s="410">
        <f t="shared" si="6"/>
        <v>0</v>
      </c>
      <c r="AD17" s="410">
        <f t="shared" si="6"/>
        <v>0</v>
      </c>
      <c r="AE17" s="410">
        <f t="shared" si="6"/>
        <v>0</v>
      </c>
      <c r="AF17" s="410">
        <f t="shared" si="6"/>
        <v>0</v>
      </c>
      <c r="AG17" s="410">
        <f t="shared" si="6"/>
        <v>0</v>
      </c>
      <c r="AH17" s="410">
        <f t="shared" si="6"/>
        <v>0</v>
      </c>
      <c r="AI17" s="410">
        <f t="shared" si="6"/>
        <v>0</v>
      </c>
      <c r="AJ17" s="410">
        <f t="shared" si="6"/>
        <v>0</v>
      </c>
      <c r="AK17" s="410">
        <f t="shared" si="6"/>
        <v>0</v>
      </c>
    </row>
    <row r="18" spans="1:37">
      <c r="A18" s="23"/>
      <c r="B18" s="23"/>
      <c r="C18" s="23"/>
      <c r="D18" s="23"/>
      <c r="E18" s="212"/>
      <c r="F18" s="212"/>
      <c r="G18" s="212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</row>
    <row r="19" spans="1:37">
      <c r="A19" s="12" t="s">
        <v>389</v>
      </c>
      <c r="B19" s="12"/>
      <c r="C19" s="12"/>
      <c r="D19" s="12"/>
      <c r="E19" s="52"/>
      <c r="F19" s="52"/>
      <c r="G19" s="52"/>
      <c r="H19" s="117">
        <f>SUM(H11:H18)</f>
        <v>0</v>
      </c>
      <c r="I19" s="118">
        <f t="shared" ref="I19:AK19" si="7">SUM(I11:I18)</f>
        <v>0</v>
      </c>
      <c r="J19" s="118">
        <f t="shared" si="7"/>
        <v>0</v>
      </c>
      <c r="K19" s="118">
        <f t="shared" si="7"/>
        <v>0</v>
      </c>
      <c r="L19" s="118">
        <f t="shared" si="7"/>
        <v>0</v>
      </c>
      <c r="M19" s="118">
        <f t="shared" si="7"/>
        <v>0</v>
      </c>
      <c r="N19" s="118">
        <f t="shared" si="7"/>
        <v>0</v>
      </c>
      <c r="O19" s="118">
        <f t="shared" si="7"/>
        <v>0</v>
      </c>
      <c r="P19" s="118">
        <f t="shared" si="7"/>
        <v>0</v>
      </c>
      <c r="Q19" s="118">
        <f t="shared" si="7"/>
        <v>0</v>
      </c>
      <c r="R19" s="118">
        <f t="shared" si="7"/>
        <v>0</v>
      </c>
      <c r="S19" s="118">
        <f t="shared" si="7"/>
        <v>0</v>
      </c>
      <c r="T19" s="118">
        <f t="shared" si="7"/>
        <v>0</v>
      </c>
      <c r="U19" s="118">
        <f t="shared" si="7"/>
        <v>0</v>
      </c>
      <c r="V19" s="118">
        <f t="shared" si="7"/>
        <v>0</v>
      </c>
      <c r="W19" s="118">
        <f t="shared" si="7"/>
        <v>0</v>
      </c>
      <c r="X19" s="118">
        <f t="shared" si="7"/>
        <v>0</v>
      </c>
      <c r="Y19" s="118">
        <f t="shared" si="7"/>
        <v>0</v>
      </c>
      <c r="Z19" s="118">
        <f t="shared" si="7"/>
        <v>0</v>
      </c>
      <c r="AA19" s="118">
        <f t="shared" si="7"/>
        <v>0</v>
      </c>
      <c r="AB19" s="118">
        <f t="shared" si="7"/>
        <v>0</v>
      </c>
      <c r="AC19" s="118">
        <f t="shared" si="7"/>
        <v>0</v>
      </c>
      <c r="AD19" s="118">
        <f t="shared" si="7"/>
        <v>0</v>
      </c>
      <c r="AE19" s="118">
        <f t="shared" si="7"/>
        <v>0</v>
      </c>
      <c r="AF19" s="118">
        <f t="shared" si="7"/>
        <v>0</v>
      </c>
      <c r="AG19" s="118">
        <f t="shared" si="7"/>
        <v>0</v>
      </c>
      <c r="AH19" s="118">
        <f t="shared" si="7"/>
        <v>0</v>
      </c>
      <c r="AI19" s="118">
        <f t="shared" si="7"/>
        <v>0</v>
      </c>
      <c r="AJ19" s="118">
        <f t="shared" si="7"/>
        <v>0</v>
      </c>
      <c r="AK19" s="118">
        <f t="shared" si="7"/>
        <v>0</v>
      </c>
    </row>
    <row r="20" spans="1:37">
      <c r="E20" s="52"/>
      <c r="F20" s="52"/>
      <c r="G20" s="52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</row>
    <row r="21" spans="1:37">
      <c r="A21" t="s">
        <v>71</v>
      </c>
      <c r="E21" s="102">
        <v>0.1</v>
      </c>
      <c r="F21" s="52"/>
      <c r="G21" s="52"/>
      <c r="H21" s="251">
        <f>H19*$E$21</f>
        <v>0</v>
      </c>
      <c r="I21" s="251">
        <f t="shared" ref="I21:AK21" si="8">I19*$E$21</f>
        <v>0</v>
      </c>
      <c r="J21" s="251">
        <f t="shared" si="8"/>
        <v>0</v>
      </c>
      <c r="K21" s="251">
        <f t="shared" si="8"/>
        <v>0</v>
      </c>
      <c r="L21" s="251">
        <f t="shared" si="8"/>
        <v>0</v>
      </c>
      <c r="M21" s="251">
        <f t="shared" si="8"/>
        <v>0</v>
      </c>
      <c r="N21" s="251">
        <f t="shared" si="8"/>
        <v>0</v>
      </c>
      <c r="O21" s="251">
        <f t="shared" si="8"/>
        <v>0</v>
      </c>
      <c r="P21" s="251">
        <f t="shared" si="8"/>
        <v>0</v>
      </c>
      <c r="Q21" s="251">
        <f t="shared" si="8"/>
        <v>0</v>
      </c>
      <c r="R21" s="251">
        <f t="shared" si="8"/>
        <v>0</v>
      </c>
      <c r="S21" s="251">
        <f t="shared" si="8"/>
        <v>0</v>
      </c>
      <c r="T21" s="251">
        <f t="shared" si="8"/>
        <v>0</v>
      </c>
      <c r="U21" s="251">
        <f t="shared" si="8"/>
        <v>0</v>
      </c>
      <c r="V21" s="251">
        <f t="shared" si="8"/>
        <v>0</v>
      </c>
      <c r="W21" s="251">
        <f t="shared" si="8"/>
        <v>0</v>
      </c>
      <c r="X21" s="251">
        <f t="shared" si="8"/>
        <v>0</v>
      </c>
      <c r="Y21" s="251">
        <f t="shared" si="8"/>
        <v>0</v>
      </c>
      <c r="Z21" s="251">
        <f t="shared" si="8"/>
        <v>0</v>
      </c>
      <c r="AA21" s="251">
        <f t="shared" si="8"/>
        <v>0</v>
      </c>
      <c r="AB21" s="251">
        <f t="shared" si="8"/>
        <v>0</v>
      </c>
      <c r="AC21" s="251">
        <f t="shared" si="8"/>
        <v>0</v>
      </c>
      <c r="AD21" s="251">
        <f t="shared" si="8"/>
        <v>0</v>
      </c>
      <c r="AE21" s="251">
        <f t="shared" si="8"/>
        <v>0</v>
      </c>
      <c r="AF21" s="251">
        <f t="shared" si="8"/>
        <v>0</v>
      </c>
      <c r="AG21" s="251">
        <f t="shared" si="8"/>
        <v>0</v>
      </c>
      <c r="AH21" s="251">
        <f t="shared" si="8"/>
        <v>0</v>
      </c>
      <c r="AI21" s="251">
        <f t="shared" si="8"/>
        <v>0</v>
      </c>
      <c r="AJ21" s="251">
        <f t="shared" si="8"/>
        <v>0</v>
      </c>
      <c r="AK21" s="251">
        <f t="shared" si="8"/>
        <v>0</v>
      </c>
    </row>
    <row r="22" spans="1:37">
      <c r="E22" s="52"/>
      <c r="F22" s="52"/>
      <c r="G22" s="52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</row>
    <row r="23" spans="1:37" ht="15.75">
      <c r="A23" s="252" t="s">
        <v>70</v>
      </c>
      <c r="B23" s="12"/>
      <c r="C23" s="12"/>
      <c r="D23" s="12"/>
      <c r="E23" s="55"/>
      <c r="F23" s="52"/>
      <c r="G23" s="52"/>
      <c r="H23" s="253">
        <f>H19-H21</f>
        <v>0</v>
      </c>
      <c r="I23" s="253">
        <f t="shared" ref="I23:AK23" si="9">I19-I21</f>
        <v>0</v>
      </c>
      <c r="J23" s="253">
        <f t="shared" si="9"/>
        <v>0</v>
      </c>
      <c r="K23" s="253">
        <f t="shared" si="9"/>
        <v>0</v>
      </c>
      <c r="L23" s="253">
        <f t="shared" si="9"/>
        <v>0</v>
      </c>
      <c r="M23" s="253">
        <f t="shared" si="9"/>
        <v>0</v>
      </c>
      <c r="N23" s="253">
        <f t="shared" si="9"/>
        <v>0</v>
      </c>
      <c r="O23" s="253">
        <f t="shared" si="9"/>
        <v>0</v>
      </c>
      <c r="P23" s="253">
        <f t="shared" si="9"/>
        <v>0</v>
      </c>
      <c r="Q23" s="253">
        <f t="shared" si="9"/>
        <v>0</v>
      </c>
      <c r="R23" s="253">
        <f t="shared" si="9"/>
        <v>0</v>
      </c>
      <c r="S23" s="253">
        <f t="shared" si="9"/>
        <v>0</v>
      </c>
      <c r="T23" s="253">
        <f t="shared" si="9"/>
        <v>0</v>
      </c>
      <c r="U23" s="253">
        <f t="shared" si="9"/>
        <v>0</v>
      </c>
      <c r="V23" s="253">
        <f t="shared" si="9"/>
        <v>0</v>
      </c>
      <c r="W23" s="253">
        <f t="shared" si="9"/>
        <v>0</v>
      </c>
      <c r="X23" s="253">
        <f t="shared" si="9"/>
        <v>0</v>
      </c>
      <c r="Y23" s="253">
        <f t="shared" si="9"/>
        <v>0</v>
      </c>
      <c r="Z23" s="253">
        <f t="shared" si="9"/>
        <v>0</v>
      </c>
      <c r="AA23" s="253">
        <f t="shared" si="9"/>
        <v>0</v>
      </c>
      <c r="AB23" s="253">
        <f t="shared" si="9"/>
        <v>0</v>
      </c>
      <c r="AC23" s="253">
        <f t="shared" si="9"/>
        <v>0</v>
      </c>
      <c r="AD23" s="253">
        <f t="shared" si="9"/>
        <v>0</v>
      </c>
      <c r="AE23" s="253">
        <f t="shared" si="9"/>
        <v>0</v>
      </c>
      <c r="AF23" s="253">
        <f t="shared" si="9"/>
        <v>0</v>
      </c>
      <c r="AG23" s="253">
        <f t="shared" si="9"/>
        <v>0</v>
      </c>
      <c r="AH23" s="253">
        <f t="shared" si="9"/>
        <v>0</v>
      </c>
      <c r="AI23" s="253">
        <f t="shared" si="9"/>
        <v>0</v>
      </c>
      <c r="AJ23" s="253">
        <f t="shared" si="9"/>
        <v>0</v>
      </c>
      <c r="AK23" s="253">
        <f t="shared" si="9"/>
        <v>0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10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AO67"/>
  <sheetViews>
    <sheetView zoomScaleNormal="100" workbookViewId="0">
      <pane xSplit="3" ySplit="9" topLeftCell="D49" activePane="bottomRight" state="frozen"/>
      <selection pane="topRight" activeCell="D1" sqref="D1"/>
      <selection pane="bottomLeft" activeCell="A10" sqref="A10"/>
      <selection pane="bottomRight" activeCell="C8" sqref="C8"/>
    </sheetView>
  </sheetViews>
  <sheetFormatPr defaultColWidth="10.28515625" defaultRowHeight="12.75"/>
  <cols>
    <col min="1" max="1" width="10.140625" customWidth="1"/>
    <col min="2" max="2" width="11.7109375" customWidth="1"/>
    <col min="3" max="3" width="12.85546875" customWidth="1"/>
    <col min="4" max="4" width="14.7109375" customWidth="1"/>
    <col min="5" max="8" width="11.7109375" customWidth="1"/>
    <col min="9" max="12" width="11.7109375" hidden="1" customWidth="1"/>
    <col min="13" max="13" width="11.7109375" customWidth="1"/>
    <col min="14" max="17" width="11.7109375" hidden="1" customWidth="1"/>
    <col min="18" max="18" width="11.7109375" customWidth="1"/>
    <col min="19" max="22" width="11.7109375" hidden="1" customWidth="1"/>
    <col min="23" max="23" width="11.7109375" customWidth="1"/>
    <col min="24" max="32" width="11.7109375" hidden="1" customWidth="1"/>
    <col min="33" max="34" width="11.7109375" customWidth="1"/>
  </cols>
  <sheetData>
    <row r="3" spans="1:41" ht="15.75">
      <c r="A3" s="252" t="s">
        <v>391</v>
      </c>
      <c r="C3" s="23"/>
      <c r="H3" s="63"/>
    </row>
    <row r="5" spans="1:41">
      <c r="B5" t="s">
        <v>218</v>
      </c>
      <c r="C5">
        <f>Sources!$B$3</f>
        <v>0</v>
      </c>
    </row>
    <row r="7" spans="1:41">
      <c r="B7" s="70" t="s">
        <v>374</v>
      </c>
      <c r="C7" s="217">
        <f>Sources!F3</f>
        <v>40909</v>
      </c>
      <c r="E7" s="2" t="s">
        <v>51</v>
      </c>
      <c r="F7" s="90">
        <v>0.03</v>
      </c>
    </row>
    <row r="9" spans="1:41">
      <c r="A9" s="12" t="s">
        <v>402</v>
      </c>
      <c r="D9" s="8">
        <v>1</v>
      </c>
      <c r="E9" s="8">
        <v>2</v>
      </c>
      <c r="F9" s="8">
        <v>3</v>
      </c>
      <c r="G9" s="8">
        <v>4</v>
      </c>
      <c r="H9" s="8">
        <v>5</v>
      </c>
      <c r="I9" s="8">
        <v>6</v>
      </c>
      <c r="J9" s="8">
        <v>7</v>
      </c>
      <c r="K9" s="8">
        <v>8</v>
      </c>
      <c r="L9" s="8">
        <v>9</v>
      </c>
      <c r="M9" s="8">
        <v>10</v>
      </c>
      <c r="N9" s="8">
        <v>11</v>
      </c>
      <c r="O9" s="8">
        <v>12</v>
      </c>
      <c r="P9" s="8">
        <v>13</v>
      </c>
      <c r="Q9" s="8">
        <v>14</v>
      </c>
      <c r="R9" s="8">
        <v>15</v>
      </c>
      <c r="S9" s="8">
        <v>16</v>
      </c>
      <c r="T9" s="8">
        <v>17</v>
      </c>
      <c r="U9" s="8">
        <v>18</v>
      </c>
      <c r="V9" s="8">
        <v>19</v>
      </c>
      <c r="W9" s="8">
        <v>20</v>
      </c>
      <c r="X9" s="8">
        <v>21</v>
      </c>
      <c r="Y9" s="8">
        <v>22</v>
      </c>
      <c r="Z9" s="8">
        <v>23</v>
      </c>
      <c r="AA9" s="8">
        <v>24</v>
      </c>
      <c r="AB9" s="8">
        <v>25</v>
      </c>
      <c r="AC9" s="8">
        <v>26</v>
      </c>
      <c r="AD9" s="8">
        <v>27</v>
      </c>
      <c r="AE9" s="8">
        <v>28</v>
      </c>
      <c r="AF9" s="8">
        <v>29</v>
      </c>
      <c r="AG9" s="8">
        <v>30</v>
      </c>
      <c r="AH9" s="8"/>
      <c r="AI9" s="8"/>
      <c r="AJ9" s="8"/>
      <c r="AK9" s="8"/>
      <c r="AL9" s="8"/>
      <c r="AM9" s="8"/>
    </row>
    <row r="11" spans="1:41">
      <c r="A11" t="s">
        <v>281</v>
      </c>
      <c r="D11" s="254"/>
      <c r="E11" s="255">
        <f t="shared" ref="E11:AG11" si="0">(+D11*$F$7)+D11</f>
        <v>0</v>
      </c>
      <c r="F11" s="255">
        <f t="shared" si="0"/>
        <v>0</v>
      </c>
      <c r="G11" s="255">
        <f t="shared" si="0"/>
        <v>0</v>
      </c>
      <c r="H11" s="255">
        <f t="shared" si="0"/>
        <v>0</v>
      </c>
      <c r="I11" s="255">
        <f t="shared" si="0"/>
        <v>0</v>
      </c>
      <c r="J11" s="255">
        <f t="shared" si="0"/>
        <v>0</v>
      </c>
      <c r="K11" s="255">
        <f t="shared" si="0"/>
        <v>0</v>
      </c>
      <c r="L11" s="255">
        <f t="shared" si="0"/>
        <v>0</v>
      </c>
      <c r="M11" s="255">
        <f t="shared" si="0"/>
        <v>0</v>
      </c>
      <c r="N11" s="255">
        <f t="shared" si="0"/>
        <v>0</v>
      </c>
      <c r="O11" s="255">
        <f t="shared" si="0"/>
        <v>0</v>
      </c>
      <c r="P11" s="255">
        <f t="shared" si="0"/>
        <v>0</v>
      </c>
      <c r="Q11" s="255">
        <f t="shared" si="0"/>
        <v>0</v>
      </c>
      <c r="R11" s="255">
        <f t="shared" si="0"/>
        <v>0</v>
      </c>
      <c r="S11" s="255">
        <f t="shared" si="0"/>
        <v>0</v>
      </c>
      <c r="T11" s="255">
        <f t="shared" si="0"/>
        <v>0</v>
      </c>
      <c r="U11" s="255">
        <f t="shared" si="0"/>
        <v>0</v>
      </c>
      <c r="V11" s="255">
        <f t="shared" si="0"/>
        <v>0</v>
      </c>
      <c r="W11" s="255">
        <f t="shared" si="0"/>
        <v>0</v>
      </c>
      <c r="X11" s="255">
        <f t="shared" si="0"/>
        <v>0</v>
      </c>
      <c r="Y11" s="255">
        <f t="shared" si="0"/>
        <v>0</v>
      </c>
      <c r="Z11" s="255">
        <f t="shared" si="0"/>
        <v>0</v>
      </c>
      <c r="AA11" s="255">
        <f t="shared" si="0"/>
        <v>0</v>
      </c>
      <c r="AB11" s="255">
        <f t="shared" si="0"/>
        <v>0</v>
      </c>
      <c r="AC11" s="255">
        <f t="shared" si="0"/>
        <v>0</v>
      </c>
      <c r="AD11" s="255">
        <f t="shared" si="0"/>
        <v>0</v>
      </c>
      <c r="AE11" s="255">
        <f t="shared" si="0"/>
        <v>0</v>
      </c>
      <c r="AF11" s="255">
        <f t="shared" si="0"/>
        <v>0</v>
      </c>
      <c r="AG11" s="255">
        <f t="shared" si="0"/>
        <v>0</v>
      </c>
      <c r="AH11" s="23"/>
      <c r="AI11" s="23"/>
      <c r="AJ11" s="23"/>
      <c r="AK11" s="23"/>
      <c r="AL11" s="23"/>
      <c r="AM11" s="23"/>
      <c r="AN11" s="23"/>
      <c r="AO11" s="23"/>
    </row>
    <row r="12" spans="1:41">
      <c r="D12" s="254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3"/>
      <c r="AI12" s="23"/>
      <c r="AJ12" s="23"/>
      <c r="AK12" s="23"/>
      <c r="AL12" s="23"/>
      <c r="AM12" s="23"/>
      <c r="AN12" s="23"/>
      <c r="AO12" s="23"/>
    </row>
    <row r="13" spans="1:41">
      <c r="A13" t="s">
        <v>336</v>
      </c>
    </row>
    <row r="14" spans="1:41">
      <c r="B14" t="s">
        <v>337</v>
      </c>
      <c r="D14" s="254"/>
      <c r="E14" s="255">
        <f t="shared" ref="E14:AG14" si="1">(+D14*$F$7)+D14</f>
        <v>0</v>
      </c>
      <c r="F14" s="255">
        <f t="shared" si="1"/>
        <v>0</v>
      </c>
      <c r="G14" s="255">
        <f t="shared" si="1"/>
        <v>0</v>
      </c>
      <c r="H14" s="255">
        <f t="shared" si="1"/>
        <v>0</v>
      </c>
      <c r="I14" s="255">
        <f t="shared" si="1"/>
        <v>0</v>
      </c>
      <c r="J14" s="255">
        <f t="shared" si="1"/>
        <v>0</v>
      </c>
      <c r="K14" s="255">
        <f t="shared" si="1"/>
        <v>0</v>
      </c>
      <c r="L14" s="255">
        <f t="shared" si="1"/>
        <v>0</v>
      </c>
      <c r="M14" s="255">
        <f t="shared" si="1"/>
        <v>0</v>
      </c>
      <c r="N14" s="255">
        <f t="shared" si="1"/>
        <v>0</v>
      </c>
      <c r="O14" s="255">
        <f t="shared" si="1"/>
        <v>0</v>
      </c>
      <c r="P14" s="255">
        <f t="shared" si="1"/>
        <v>0</v>
      </c>
      <c r="Q14" s="255">
        <f t="shared" si="1"/>
        <v>0</v>
      </c>
      <c r="R14" s="255">
        <f t="shared" si="1"/>
        <v>0</v>
      </c>
      <c r="S14" s="255">
        <f t="shared" si="1"/>
        <v>0</v>
      </c>
      <c r="T14" s="255">
        <f t="shared" si="1"/>
        <v>0</v>
      </c>
      <c r="U14" s="255">
        <f t="shared" si="1"/>
        <v>0</v>
      </c>
      <c r="V14" s="255">
        <f t="shared" si="1"/>
        <v>0</v>
      </c>
      <c r="W14" s="255">
        <f t="shared" si="1"/>
        <v>0</v>
      </c>
      <c r="X14" s="255">
        <f t="shared" si="1"/>
        <v>0</v>
      </c>
      <c r="Y14" s="255">
        <f t="shared" si="1"/>
        <v>0</v>
      </c>
      <c r="Z14" s="255">
        <f t="shared" si="1"/>
        <v>0</v>
      </c>
      <c r="AA14" s="255">
        <f t="shared" si="1"/>
        <v>0</v>
      </c>
      <c r="AB14" s="255">
        <f t="shared" si="1"/>
        <v>0</v>
      </c>
      <c r="AC14" s="255">
        <f t="shared" si="1"/>
        <v>0</v>
      </c>
      <c r="AD14" s="255">
        <f t="shared" si="1"/>
        <v>0</v>
      </c>
      <c r="AE14" s="255">
        <f t="shared" si="1"/>
        <v>0</v>
      </c>
      <c r="AF14" s="255">
        <f t="shared" si="1"/>
        <v>0</v>
      </c>
      <c r="AG14" s="255">
        <f t="shared" si="1"/>
        <v>0</v>
      </c>
    </row>
    <row r="15" spans="1:41">
      <c r="B15" t="s">
        <v>338</v>
      </c>
      <c r="D15" s="254"/>
      <c r="E15" s="255">
        <f t="shared" ref="E15:AG15" si="2">(+D15*$F$7)+D15</f>
        <v>0</v>
      </c>
      <c r="F15" s="255">
        <f t="shared" si="2"/>
        <v>0</v>
      </c>
      <c r="G15" s="255">
        <f t="shared" si="2"/>
        <v>0</v>
      </c>
      <c r="H15" s="255">
        <f t="shared" si="2"/>
        <v>0</v>
      </c>
      <c r="I15" s="255">
        <f t="shared" si="2"/>
        <v>0</v>
      </c>
      <c r="J15" s="255">
        <f t="shared" si="2"/>
        <v>0</v>
      </c>
      <c r="K15" s="255">
        <f t="shared" si="2"/>
        <v>0</v>
      </c>
      <c r="L15" s="255">
        <f t="shared" si="2"/>
        <v>0</v>
      </c>
      <c r="M15" s="255">
        <f t="shared" si="2"/>
        <v>0</v>
      </c>
      <c r="N15" s="255">
        <f t="shared" si="2"/>
        <v>0</v>
      </c>
      <c r="O15" s="255">
        <f t="shared" si="2"/>
        <v>0</v>
      </c>
      <c r="P15" s="255">
        <f t="shared" si="2"/>
        <v>0</v>
      </c>
      <c r="Q15" s="255">
        <f t="shared" si="2"/>
        <v>0</v>
      </c>
      <c r="R15" s="255">
        <f t="shared" si="2"/>
        <v>0</v>
      </c>
      <c r="S15" s="255">
        <f t="shared" si="2"/>
        <v>0</v>
      </c>
      <c r="T15" s="255">
        <f t="shared" si="2"/>
        <v>0</v>
      </c>
      <c r="U15" s="255">
        <f t="shared" si="2"/>
        <v>0</v>
      </c>
      <c r="V15" s="255">
        <f t="shared" si="2"/>
        <v>0</v>
      </c>
      <c r="W15" s="255">
        <f t="shared" si="2"/>
        <v>0</v>
      </c>
      <c r="X15" s="255">
        <f t="shared" si="2"/>
        <v>0</v>
      </c>
      <c r="Y15" s="255">
        <f t="shared" si="2"/>
        <v>0</v>
      </c>
      <c r="Z15" s="255">
        <f t="shared" si="2"/>
        <v>0</v>
      </c>
      <c r="AA15" s="255">
        <f t="shared" si="2"/>
        <v>0</v>
      </c>
      <c r="AB15" s="255">
        <f t="shared" si="2"/>
        <v>0</v>
      </c>
      <c r="AC15" s="255">
        <f t="shared" si="2"/>
        <v>0</v>
      </c>
      <c r="AD15" s="255">
        <f t="shared" si="2"/>
        <v>0</v>
      </c>
      <c r="AE15" s="255">
        <f t="shared" si="2"/>
        <v>0</v>
      </c>
      <c r="AF15" s="255">
        <f t="shared" si="2"/>
        <v>0</v>
      </c>
      <c r="AG15" s="255">
        <f t="shared" si="2"/>
        <v>0</v>
      </c>
    </row>
    <row r="16" spans="1:41">
      <c r="B16" t="s">
        <v>339</v>
      </c>
      <c r="D16" s="254"/>
      <c r="E16" s="255">
        <f t="shared" ref="E16:AG16" si="3">(+D16*$F$7)+D16</f>
        <v>0</v>
      </c>
      <c r="F16" s="255">
        <f t="shared" si="3"/>
        <v>0</v>
      </c>
      <c r="G16" s="255">
        <f t="shared" si="3"/>
        <v>0</v>
      </c>
      <c r="H16" s="255">
        <f t="shared" si="3"/>
        <v>0</v>
      </c>
      <c r="I16" s="255">
        <f t="shared" si="3"/>
        <v>0</v>
      </c>
      <c r="J16" s="255">
        <f t="shared" si="3"/>
        <v>0</v>
      </c>
      <c r="K16" s="255">
        <f t="shared" si="3"/>
        <v>0</v>
      </c>
      <c r="L16" s="255">
        <f t="shared" si="3"/>
        <v>0</v>
      </c>
      <c r="M16" s="255">
        <f t="shared" si="3"/>
        <v>0</v>
      </c>
      <c r="N16" s="255">
        <f t="shared" si="3"/>
        <v>0</v>
      </c>
      <c r="O16" s="255">
        <f t="shared" si="3"/>
        <v>0</v>
      </c>
      <c r="P16" s="255">
        <f t="shared" si="3"/>
        <v>0</v>
      </c>
      <c r="Q16" s="255">
        <f t="shared" si="3"/>
        <v>0</v>
      </c>
      <c r="R16" s="255">
        <f t="shared" si="3"/>
        <v>0</v>
      </c>
      <c r="S16" s="255">
        <f t="shared" si="3"/>
        <v>0</v>
      </c>
      <c r="T16" s="255">
        <f t="shared" si="3"/>
        <v>0</v>
      </c>
      <c r="U16" s="255">
        <f t="shared" si="3"/>
        <v>0</v>
      </c>
      <c r="V16" s="255">
        <f t="shared" si="3"/>
        <v>0</v>
      </c>
      <c r="W16" s="255">
        <f t="shared" si="3"/>
        <v>0</v>
      </c>
      <c r="X16" s="255">
        <f t="shared" si="3"/>
        <v>0</v>
      </c>
      <c r="Y16" s="255">
        <f t="shared" si="3"/>
        <v>0</v>
      </c>
      <c r="Z16" s="255">
        <f t="shared" si="3"/>
        <v>0</v>
      </c>
      <c r="AA16" s="255">
        <f t="shared" si="3"/>
        <v>0</v>
      </c>
      <c r="AB16" s="255">
        <f t="shared" si="3"/>
        <v>0</v>
      </c>
      <c r="AC16" s="255">
        <f t="shared" si="3"/>
        <v>0</v>
      </c>
      <c r="AD16" s="255">
        <f t="shared" si="3"/>
        <v>0</v>
      </c>
      <c r="AE16" s="255">
        <f t="shared" si="3"/>
        <v>0</v>
      </c>
      <c r="AF16" s="255">
        <f t="shared" si="3"/>
        <v>0</v>
      </c>
      <c r="AG16" s="255">
        <f t="shared" si="3"/>
        <v>0</v>
      </c>
    </row>
    <row r="17" spans="1:33">
      <c r="B17" t="s">
        <v>340</v>
      </c>
      <c r="D17" s="254"/>
      <c r="E17" s="255">
        <f t="shared" ref="E17:AG17" si="4">(+D17*$F$7)+D17</f>
        <v>0</v>
      </c>
      <c r="F17" s="255">
        <f t="shared" si="4"/>
        <v>0</v>
      </c>
      <c r="G17" s="255">
        <f t="shared" si="4"/>
        <v>0</v>
      </c>
      <c r="H17" s="255">
        <f t="shared" si="4"/>
        <v>0</v>
      </c>
      <c r="I17" s="255">
        <f t="shared" si="4"/>
        <v>0</v>
      </c>
      <c r="J17" s="255">
        <f t="shared" si="4"/>
        <v>0</v>
      </c>
      <c r="K17" s="255">
        <f t="shared" si="4"/>
        <v>0</v>
      </c>
      <c r="L17" s="255">
        <f t="shared" si="4"/>
        <v>0</v>
      </c>
      <c r="M17" s="255">
        <f t="shared" si="4"/>
        <v>0</v>
      </c>
      <c r="N17" s="255">
        <f t="shared" si="4"/>
        <v>0</v>
      </c>
      <c r="O17" s="255">
        <f t="shared" si="4"/>
        <v>0</v>
      </c>
      <c r="P17" s="255">
        <f t="shared" si="4"/>
        <v>0</v>
      </c>
      <c r="Q17" s="255">
        <f t="shared" si="4"/>
        <v>0</v>
      </c>
      <c r="R17" s="255">
        <f t="shared" si="4"/>
        <v>0</v>
      </c>
      <c r="S17" s="255">
        <f t="shared" si="4"/>
        <v>0</v>
      </c>
      <c r="T17" s="255">
        <f t="shared" si="4"/>
        <v>0</v>
      </c>
      <c r="U17" s="255">
        <f t="shared" si="4"/>
        <v>0</v>
      </c>
      <c r="V17" s="255">
        <f t="shared" si="4"/>
        <v>0</v>
      </c>
      <c r="W17" s="255">
        <f t="shared" si="4"/>
        <v>0</v>
      </c>
      <c r="X17" s="255">
        <f t="shared" si="4"/>
        <v>0</v>
      </c>
      <c r="Y17" s="255">
        <f t="shared" si="4"/>
        <v>0</v>
      </c>
      <c r="Z17" s="255">
        <f t="shared" si="4"/>
        <v>0</v>
      </c>
      <c r="AA17" s="255">
        <f t="shared" si="4"/>
        <v>0</v>
      </c>
      <c r="AB17" s="255">
        <f t="shared" si="4"/>
        <v>0</v>
      </c>
      <c r="AC17" s="255">
        <f t="shared" si="4"/>
        <v>0</v>
      </c>
      <c r="AD17" s="255">
        <f t="shared" si="4"/>
        <v>0</v>
      </c>
      <c r="AE17" s="255">
        <f t="shared" si="4"/>
        <v>0</v>
      </c>
      <c r="AF17" s="255">
        <f t="shared" si="4"/>
        <v>0</v>
      </c>
      <c r="AG17" s="255">
        <f t="shared" si="4"/>
        <v>0</v>
      </c>
    </row>
    <row r="18" spans="1:33">
      <c r="B18" s="65"/>
      <c r="D18" s="254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</row>
    <row r="19" spans="1:33">
      <c r="A19" t="s">
        <v>341</v>
      </c>
      <c r="B19" t="s">
        <v>342</v>
      </c>
      <c r="D19" s="254"/>
      <c r="E19" s="255">
        <f t="shared" ref="E19:AG19" si="5">(+D19*$F$7)+D19</f>
        <v>0</v>
      </c>
      <c r="F19" s="255">
        <f t="shared" si="5"/>
        <v>0</v>
      </c>
      <c r="G19" s="255">
        <f t="shared" si="5"/>
        <v>0</v>
      </c>
      <c r="H19" s="255">
        <f t="shared" si="5"/>
        <v>0</v>
      </c>
      <c r="I19" s="255">
        <f t="shared" si="5"/>
        <v>0</v>
      </c>
      <c r="J19" s="255">
        <f t="shared" si="5"/>
        <v>0</v>
      </c>
      <c r="K19" s="255">
        <f t="shared" si="5"/>
        <v>0</v>
      </c>
      <c r="L19" s="255">
        <f t="shared" si="5"/>
        <v>0</v>
      </c>
      <c r="M19" s="255">
        <f t="shared" si="5"/>
        <v>0</v>
      </c>
      <c r="N19" s="255">
        <f t="shared" si="5"/>
        <v>0</v>
      </c>
      <c r="O19" s="255">
        <f t="shared" si="5"/>
        <v>0</v>
      </c>
      <c r="P19" s="255">
        <f t="shared" si="5"/>
        <v>0</v>
      </c>
      <c r="Q19" s="255">
        <f t="shared" si="5"/>
        <v>0</v>
      </c>
      <c r="R19" s="255">
        <f t="shared" si="5"/>
        <v>0</v>
      </c>
      <c r="S19" s="255">
        <f t="shared" si="5"/>
        <v>0</v>
      </c>
      <c r="T19" s="255">
        <f t="shared" si="5"/>
        <v>0</v>
      </c>
      <c r="U19" s="255">
        <f t="shared" si="5"/>
        <v>0</v>
      </c>
      <c r="V19" s="255">
        <f t="shared" si="5"/>
        <v>0</v>
      </c>
      <c r="W19" s="255">
        <f t="shared" si="5"/>
        <v>0</v>
      </c>
      <c r="X19" s="255">
        <f t="shared" si="5"/>
        <v>0</v>
      </c>
      <c r="Y19" s="255">
        <f t="shared" si="5"/>
        <v>0</v>
      </c>
      <c r="Z19" s="255">
        <f t="shared" si="5"/>
        <v>0</v>
      </c>
      <c r="AA19" s="255">
        <f t="shared" si="5"/>
        <v>0</v>
      </c>
      <c r="AB19" s="255">
        <f t="shared" si="5"/>
        <v>0</v>
      </c>
      <c r="AC19" s="255">
        <f t="shared" si="5"/>
        <v>0</v>
      </c>
      <c r="AD19" s="255">
        <f t="shared" si="5"/>
        <v>0</v>
      </c>
      <c r="AE19" s="255">
        <f t="shared" si="5"/>
        <v>0</v>
      </c>
      <c r="AF19" s="255">
        <f t="shared" si="5"/>
        <v>0</v>
      </c>
      <c r="AG19" s="255">
        <f t="shared" si="5"/>
        <v>0</v>
      </c>
    </row>
    <row r="20" spans="1:33">
      <c r="A20" t="s">
        <v>343</v>
      </c>
      <c r="D20" s="254"/>
      <c r="E20" s="255">
        <f t="shared" ref="E20:AG20" si="6">(+D20*$F$7)+D20</f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255">
        <f t="shared" si="6"/>
        <v>0</v>
      </c>
      <c r="O20" s="255">
        <f t="shared" si="6"/>
        <v>0</v>
      </c>
      <c r="P20" s="255">
        <f t="shared" si="6"/>
        <v>0</v>
      </c>
      <c r="Q20" s="255">
        <f t="shared" si="6"/>
        <v>0</v>
      </c>
      <c r="R20" s="255">
        <f t="shared" si="6"/>
        <v>0</v>
      </c>
      <c r="S20" s="255">
        <f t="shared" si="6"/>
        <v>0</v>
      </c>
      <c r="T20" s="255">
        <f t="shared" si="6"/>
        <v>0</v>
      </c>
      <c r="U20" s="255">
        <f t="shared" si="6"/>
        <v>0</v>
      </c>
      <c r="V20" s="255">
        <f t="shared" si="6"/>
        <v>0</v>
      </c>
      <c r="W20" s="255">
        <f t="shared" si="6"/>
        <v>0</v>
      </c>
      <c r="X20" s="255">
        <f t="shared" si="6"/>
        <v>0</v>
      </c>
      <c r="Y20" s="255">
        <f t="shared" si="6"/>
        <v>0</v>
      </c>
      <c r="Z20" s="255">
        <f t="shared" si="6"/>
        <v>0</v>
      </c>
      <c r="AA20" s="255">
        <f t="shared" si="6"/>
        <v>0</v>
      </c>
      <c r="AB20" s="255">
        <f t="shared" si="6"/>
        <v>0</v>
      </c>
      <c r="AC20" s="255">
        <f t="shared" si="6"/>
        <v>0</v>
      </c>
      <c r="AD20" s="255">
        <f t="shared" si="6"/>
        <v>0</v>
      </c>
      <c r="AE20" s="255">
        <f t="shared" si="6"/>
        <v>0</v>
      </c>
      <c r="AF20" s="255">
        <f t="shared" si="6"/>
        <v>0</v>
      </c>
      <c r="AG20" s="255">
        <f t="shared" si="6"/>
        <v>0</v>
      </c>
    </row>
    <row r="21" spans="1:33">
      <c r="A21" t="s">
        <v>344</v>
      </c>
      <c r="D21" s="254"/>
      <c r="E21" s="255">
        <f t="shared" ref="E21:AG21" si="7">(+D21*$F$7)+D21</f>
        <v>0</v>
      </c>
      <c r="F21" s="255">
        <f t="shared" si="7"/>
        <v>0</v>
      </c>
      <c r="G21" s="255">
        <f t="shared" si="7"/>
        <v>0</v>
      </c>
      <c r="H21" s="255">
        <f t="shared" si="7"/>
        <v>0</v>
      </c>
      <c r="I21" s="255">
        <f t="shared" si="7"/>
        <v>0</v>
      </c>
      <c r="J21" s="255">
        <f t="shared" si="7"/>
        <v>0</v>
      </c>
      <c r="K21" s="255">
        <f t="shared" si="7"/>
        <v>0</v>
      </c>
      <c r="L21" s="255">
        <f t="shared" si="7"/>
        <v>0</v>
      </c>
      <c r="M21" s="255">
        <f t="shared" si="7"/>
        <v>0</v>
      </c>
      <c r="N21" s="255">
        <f t="shared" si="7"/>
        <v>0</v>
      </c>
      <c r="O21" s="255">
        <f t="shared" si="7"/>
        <v>0</v>
      </c>
      <c r="P21" s="255">
        <f t="shared" si="7"/>
        <v>0</v>
      </c>
      <c r="Q21" s="255">
        <f t="shared" si="7"/>
        <v>0</v>
      </c>
      <c r="R21" s="255">
        <f t="shared" si="7"/>
        <v>0</v>
      </c>
      <c r="S21" s="255">
        <f t="shared" si="7"/>
        <v>0</v>
      </c>
      <c r="T21" s="255">
        <f t="shared" si="7"/>
        <v>0</v>
      </c>
      <c r="U21" s="255">
        <f t="shared" si="7"/>
        <v>0</v>
      </c>
      <c r="V21" s="255">
        <f t="shared" si="7"/>
        <v>0</v>
      </c>
      <c r="W21" s="255">
        <f t="shared" si="7"/>
        <v>0</v>
      </c>
      <c r="X21" s="255">
        <f t="shared" si="7"/>
        <v>0</v>
      </c>
      <c r="Y21" s="255">
        <f t="shared" si="7"/>
        <v>0</v>
      </c>
      <c r="Z21" s="255">
        <f t="shared" si="7"/>
        <v>0</v>
      </c>
      <c r="AA21" s="255">
        <f t="shared" si="7"/>
        <v>0</v>
      </c>
      <c r="AB21" s="255">
        <f t="shared" si="7"/>
        <v>0</v>
      </c>
      <c r="AC21" s="255">
        <f t="shared" si="7"/>
        <v>0</v>
      </c>
      <c r="AD21" s="255">
        <f t="shared" si="7"/>
        <v>0</v>
      </c>
      <c r="AE21" s="255">
        <f t="shared" si="7"/>
        <v>0</v>
      </c>
      <c r="AF21" s="255">
        <f t="shared" si="7"/>
        <v>0</v>
      </c>
      <c r="AG21" s="255">
        <f t="shared" si="7"/>
        <v>0</v>
      </c>
    </row>
    <row r="22" spans="1:33">
      <c r="A22" t="s">
        <v>345</v>
      </c>
      <c r="D22" s="254"/>
      <c r="E22" s="255">
        <f t="shared" ref="E22:AG22" si="8">(+D22*$F$7)+D22</f>
        <v>0</v>
      </c>
      <c r="F22" s="255">
        <f t="shared" si="8"/>
        <v>0</v>
      </c>
      <c r="G22" s="255">
        <f t="shared" si="8"/>
        <v>0</v>
      </c>
      <c r="H22" s="255">
        <f t="shared" si="8"/>
        <v>0</v>
      </c>
      <c r="I22" s="255">
        <f t="shared" si="8"/>
        <v>0</v>
      </c>
      <c r="J22" s="255">
        <f t="shared" si="8"/>
        <v>0</v>
      </c>
      <c r="K22" s="255">
        <f t="shared" si="8"/>
        <v>0</v>
      </c>
      <c r="L22" s="255">
        <f t="shared" si="8"/>
        <v>0</v>
      </c>
      <c r="M22" s="255">
        <f t="shared" si="8"/>
        <v>0</v>
      </c>
      <c r="N22" s="255">
        <f t="shared" si="8"/>
        <v>0</v>
      </c>
      <c r="O22" s="255">
        <f t="shared" si="8"/>
        <v>0</v>
      </c>
      <c r="P22" s="255">
        <f t="shared" si="8"/>
        <v>0</v>
      </c>
      <c r="Q22" s="255">
        <f t="shared" si="8"/>
        <v>0</v>
      </c>
      <c r="R22" s="255">
        <f t="shared" si="8"/>
        <v>0</v>
      </c>
      <c r="S22" s="255">
        <f t="shared" si="8"/>
        <v>0</v>
      </c>
      <c r="T22" s="255">
        <f t="shared" si="8"/>
        <v>0</v>
      </c>
      <c r="U22" s="255">
        <f t="shared" si="8"/>
        <v>0</v>
      </c>
      <c r="V22" s="255">
        <f t="shared" si="8"/>
        <v>0</v>
      </c>
      <c r="W22" s="255">
        <f t="shared" si="8"/>
        <v>0</v>
      </c>
      <c r="X22" s="255">
        <f t="shared" si="8"/>
        <v>0</v>
      </c>
      <c r="Y22" s="255">
        <f t="shared" si="8"/>
        <v>0</v>
      </c>
      <c r="Z22" s="255">
        <f t="shared" si="8"/>
        <v>0</v>
      </c>
      <c r="AA22" s="255">
        <f t="shared" si="8"/>
        <v>0</v>
      </c>
      <c r="AB22" s="255">
        <f t="shared" si="8"/>
        <v>0</v>
      </c>
      <c r="AC22" s="255">
        <f t="shared" si="8"/>
        <v>0</v>
      </c>
      <c r="AD22" s="255">
        <f t="shared" si="8"/>
        <v>0</v>
      </c>
      <c r="AE22" s="255">
        <f t="shared" si="8"/>
        <v>0</v>
      </c>
      <c r="AF22" s="255">
        <f t="shared" si="8"/>
        <v>0</v>
      </c>
      <c r="AG22" s="255">
        <f t="shared" si="8"/>
        <v>0</v>
      </c>
    </row>
    <row r="23" spans="1:33">
      <c r="D23" s="254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</row>
    <row r="24" spans="1:33">
      <c r="A24" t="s">
        <v>96</v>
      </c>
      <c r="D24" s="249"/>
    </row>
    <row r="25" spans="1:33">
      <c r="B25" t="s">
        <v>97</v>
      </c>
      <c r="D25" s="254"/>
      <c r="E25" s="255">
        <f t="shared" ref="E25:AG25" si="9">(+D25*$F$7)+D25</f>
        <v>0</v>
      </c>
      <c r="F25" s="255">
        <f t="shared" si="9"/>
        <v>0</v>
      </c>
      <c r="G25" s="255">
        <f t="shared" si="9"/>
        <v>0</v>
      </c>
      <c r="H25" s="255">
        <f t="shared" si="9"/>
        <v>0</v>
      </c>
      <c r="I25" s="255">
        <f t="shared" si="9"/>
        <v>0</v>
      </c>
      <c r="J25" s="255">
        <f t="shared" si="9"/>
        <v>0</v>
      </c>
      <c r="K25" s="255">
        <f t="shared" si="9"/>
        <v>0</v>
      </c>
      <c r="L25" s="255">
        <f t="shared" si="9"/>
        <v>0</v>
      </c>
      <c r="M25" s="255">
        <f t="shared" si="9"/>
        <v>0</v>
      </c>
      <c r="N25" s="255">
        <f t="shared" si="9"/>
        <v>0</v>
      </c>
      <c r="O25" s="255">
        <f t="shared" si="9"/>
        <v>0</v>
      </c>
      <c r="P25" s="255">
        <f t="shared" si="9"/>
        <v>0</v>
      </c>
      <c r="Q25" s="255">
        <f t="shared" si="9"/>
        <v>0</v>
      </c>
      <c r="R25" s="255">
        <f t="shared" si="9"/>
        <v>0</v>
      </c>
      <c r="S25" s="255">
        <f t="shared" si="9"/>
        <v>0</v>
      </c>
      <c r="T25" s="255">
        <f t="shared" si="9"/>
        <v>0</v>
      </c>
      <c r="U25" s="255">
        <f t="shared" si="9"/>
        <v>0</v>
      </c>
      <c r="V25" s="255">
        <f t="shared" si="9"/>
        <v>0</v>
      </c>
      <c r="W25" s="255">
        <f t="shared" si="9"/>
        <v>0</v>
      </c>
      <c r="X25" s="255">
        <f t="shared" si="9"/>
        <v>0</v>
      </c>
      <c r="Y25" s="255">
        <f t="shared" si="9"/>
        <v>0</v>
      </c>
      <c r="Z25" s="255">
        <f t="shared" si="9"/>
        <v>0</v>
      </c>
      <c r="AA25" s="255">
        <f t="shared" si="9"/>
        <v>0</v>
      </c>
      <c r="AB25" s="255">
        <f t="shared" si="9"/>
        <v>0</v>
      </c>
      <c r="AC25" s="255">
        <f t="shared" si="9"/>
        <v>0</v>
      </c>
      <c r="AD25" s="255">
        <f t="shared" si="9"/>
        <v>0</v>
      </c>
      <c r="AE25" s="255">
        <f t="shared" si="9"/>
        <v>0</v>
      </c>
      <c r="AF25" s="255">
        <f t="shared" si="9"/>
        <v>0</v>
      </c>
      <c r="AG25" s="255">
        <f t="shared" si="9"/>
        <v>0</v>
      </c>
    </row>
    <row r="26" spans="1:33">
      <c r="B26" t="s">
        <v>98</v>
      </c>
      <c r="D26" s="254"/>
      <c r="E26" s="255">
        <f t="shared" ref="E26:AG26" si="10">(+D26*$F$7)+D26</f>
        <v>0</v>
      </c>
      <c r="F26" s="255">
        <f t="shared" si="10"/>
        <v>0</v>
      </c>
      <c r="G26" s="255">
        <f t="shared" si="10"/>
        <v>0</v>
      </c>
      <c r="H26" s="255">
        <f t="shared" si="10"/>
        <v>0</v>
      </c>
      <c r="I26" s="255">
        <f t="shared" si="10"/>
        <v>0</v>
      </c>
      <c r="J26" s="255">
        <f t="shared" si="10"/>
        <v>0</v>
      </c>
      <c r="K26" s="255">
        <f t="shared" si="10"/>
        <v>0</v>
      </c>
      <c r="L26" s="255">
        <f t="shared" si="10"/>
        <v>0</v>
      </c>
      <c r="M26" s="255">
        <f t="shared" si="10"/>
        <v>0</v>
      </c>
      <c r="N26" s="255">
        <f t="shared" si="10"/>
        <v>0</v>
      </c>
      <c r="O26" s="255">
        <f t="shared" si="10"/>
        <v>0</v>
      </c>
      <c r="P26" s="255">
        <f t="shared" si="10"/>
        <v>0</v>
      </c>
      <c r="Q26" s="255">
        <f t="shared" si="10"/>
        <v>0</v>
      </c>
      <c r="R26" s="255">
        <f t="shared" si="10"/>
        <v>0</v>
      </c>
      <c r="S26" s="255">
        <f t="shared" si="10"/>
        <v>0</v>
      </c>
      <c r="T26" s="255">
        <f t="shared" si="10"/>
        <v>0</v>
      </c>
      <c r="U26" s="255">
        <f t="shared" si="10"/>
        <v>0</v>
      </c>
      <c r="V26" s="255">
        <f t="shared" si="10"/>
        <v>0</v>
      </c>
      <c r="W26" s="255">
        <f t="shared" si="10"/>
        <v>0</v>
      </c>
      <c r="X26" s="255">
        <f t="shared" si="10"/>
        <v>0</v>
      </c>
      <c r="Y26" s="255">
        <f t="shared" si="10"/>
        <v>0</v>
      </c>
      <c r="Z26" s="255">
        <f t="shared" si="10"/>
        <v>0</v>
      </c>
      <c r="AA26" s="255">
        <f t="shared" si="10"/>
        <v>0</v>
      </c>
      <c r="AB26" s="255">
        <f t="shared" si="10"/>
        <v>0</v>
      </c>
      <c r="AC26" s="255">
        <f t="shared" si="10"/>
        <v>0</v>
      </c>
      <c r="AD26" s="255">
        <f t="shared" si="10"/>
        <v>0</v>
      </c>
      <c r="AE26" s="255">
        <f t="shared" si="10"/>
        <v>0</v>
      </c>
      <c r="AF26" s="255">
        <f t="shared" si="10"/>
        <v>0</v>
      </c>
      <c r="AG26" s="255">
        <f t="shared" si="10"/>
        <v>0</v>
      </c>
    </row>
    <row r="27" spans="1:33">
      <c r="D27" s="254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</row>
    <row r="28" spans="1:33">
      <c r="A28" t="s">
        <v>231</v>
      </c>
    </row>
    <row r="29" spans="1:33">
      <c r="B29" t="s">
        <v>233</v>
      </c>
      <c r="D29" s="254"/>
      <c r="E29" s="255">
        <f t="shared" ref="E29:AG29" si="11">(+D29*$F$7)+D29</f>
        <v>0</v>
      </c>
      <c r="F29" s="255">
        <f t="shared" si="11"/>
        <v>0</v>
      </c>
      <c r="G29" s="255">
        <f t="shared" si="11"/>
        <v>0</v>
      </c>
      <c r="H29" s="255">
        <f t="shared" si="11"/>
        <v>0</v>
      </c>
      <c r="I29" s="255">
        <f t="shared" si="11"/>
        <v>0</v>
      </c>
      <c r="J29" s="255">
        <f t="shared" si="11"/>
        <v>0</v>
      </c>
      <c r="K29" s="255">
        <f t="shared" si="11"/>
        <v>0</v>
      </c>
      <c r="L29" s="255">
        <f t="shared" si="11"/>
        <v>0</v>
      </c>
      <c r="M29" s="255">
        <f t="shared" si="11"/>
        <v>0</v>
      </c>
      <c r="N29" s="255">
        <f t="shared" si="11"/>
        <v>0</v>
      </c>
      <c r="O29" s="255">
        <f t="shared" si="11"/>
        <v>0</v>
      </c>
      <c r="P29" s="255">
        <f t="shared" si="11"/>
        <v>0</v>
      </c>
      <c r="Q29" s="255">
        <f t="shared" si="11"/>
        <v>0</v>
      </c>
      <c r="R29" s="255">
        <f t="shared" si="11"/>
        <v>0</v>
      </c>
      <c r="S29" s="255">
        <f t="shared" si="11"/>
        <v>0</v>
      </c>
      <c r="T29" s="255">
        <f t="shared" si="11"/>
        <v>0</v>
      </c>
      <c r="U29" s="255">
        <f t="shared" si="11"/>
        <v>0</v>
      </c>
      <c r="V29" s="255">
        <f t="shared" si="11"/>
        <v>0</v>
      </c>
      <c r="W29" s="255">
        <f t="shared" si="11"/>
        <v>0</v>
      </c>
      <c r="X29" s="255">
        <f t="shared" si="11"/>
        <v>0</v>
      </c>
      <c r="Y29" s="255">
        <f t="shared" si="11"/>
        <v>0</v>
      </c>
      <c r="Z29" s="255">
        <f t="shared" si="11"/>
        <v>0</v>
      </c>
      <c r="AA29" s="255">
        <f t="shared" si="11"/>
        <v>0</v>
      </c>
      <c r="AB29" s="255">
        <f t="shared" si="11"/>
        <v>0</v>
      </c>
      <c r="AC29" s="255">
        <f t="shared" si="11"/>
        <v>0</v>
      </c>
      <c r="AD29" s="255">
        <f t="shared" si="11"/>
        <v>0</v>
      </c>
      <c r="AE29" s="255">
        <f t="shared" si="11"/>
        <v>0</v>
      </c>
      <c r="AF29" s="255">
        <f t="shared" si="11"/>
        <v>0</v>
      </c>
      <c r="AG29" s="255">
        <f t="shared" si="11"/>
        <v>0</v>
      </c>
    </row>
    <row r="30" spans="1:33">
      <c r="B30" t="s">
        <v>234</v>
      </c>
      <c r="D30" s="254"/>
      <c r="E30" s="255">
        <f t="shared" ref="E30:AG30" si="12">(+D30*$F$7)+D30</f>
        <v>0</v>
      </c>
      <c r="F30" s="255">
        <f t="shared" si="12"/>
        <v>0</v>
      </c>
      <c r="G30" s="255">
        <f t="shared" si="12"/>
        <v>0</v>
      </c>
      <c r="H30" s="255">
        <f t="shared" si="12"/>
        <v>0</v>
      </c>
      <c r="I30" s="255">
        <f t="shared" si="12"/>
        <v>0</v>
      </c>
      <c r="J30" s="255">
        <f t="shared" si="12"/>
        <v>0</v>
      </c>
      <c r="K30" s="255">
        <f t="shared" si="12"/>
        <v>0</v>
      </c>
      <c r="L30" s="255">
        <f t="shared" si="12"/>
        <v>0</v>
      </c>
      <c r="M30" s="255">
        <f t="shared" si="12"/>
        <v>0</v>
      </c>
      <c r="N30" s="255">
        <f t="shared" si="12"/>
        <v>0</v>
      </c>
      <c r="O30" s="255">
        <f t="shared" si="12"/>
        <v>0</v>
      </c>
      <c r="P30" s="255">
        <f t="shared" si="12"/>
        <v>0</v>
      </c>
      <c r="Q30" s="255">
        <f t="shared" si="12"/>
        <v>0</v>
      </c>
      <c r="R30" s="255">
        <f t="shared" si="12"/>
        <v>0</v>
      </c>
      <c r="S30" s="255">
        <f t="shared" si="12"/>
        <v>0</v>
      </c>
      <c r="T30" s="255">
        <f t="shared" si="12"/>
        <v>0</v>
      </c>
      <c r="U30" s="255">
        <f t="shared" si="12"/>
        <v>0</v>
      </c>
      <c r="V30" s="255">
        <f t="shared" si="12"/>
        <v>0</v>
      </c>
      <c r="W30" s="255">
        <f t="shared" si="12"/>
        <v>0</v>
      </c>
      <c r="X30" s="255">
        <f t="shared" si="12"/>
        <v>0</v>
      </c>
      <c r="Y30" s="255">
        <f t="shared" si="12"/>
        <v>0</v>
      </c>
      <c r="Z30" s="255">
        <f t="shared" si="12"/>
        <v>0</v>
      </c>
      <c r="AA30" s="255">
        <f t="shared" si="12"/>
        <v>0</v>
      </c>
      <c r="AB30" s="255">
        <f t="shared" si="12"/>
        <v>0</v>
      </c>
      <c r="AC30" s="255">
        <f t="shared" si="12"/>
        <v>0</v>
      </c>
      <c r="AD30" s="255">
        <f t="shared" si="12"/>
        <v>0</v>
      </c>
      <c r="AE30" s="255">
        <f t="shared" si="12"/>
        <v>0</v>
      </c>
      <c r="AF30" s="255">
        <f t="shared" si="12"/>
        <v>0</v>
      </c>
      <c r="AG30" s="255">
        <f t="shared" si="12"/>
        <v>0</v>
      </c>
    </row>
    <row r="31" spans="1:33">
      <c r="D31" s="254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</row>
    <row r="32" spans="1:33">
      <c r="A32" t="s">
        <v>235</v>
      </c>
      <c r="D32" s="254"/>
      <c r="E32" s="255">
        <f t="shared" ref="E32:AG32" si="13">(+D32*$F$7)+D32</f>
        <v>0</v>
      </c>
      <c r="F32" s="255">
        <f t="shared" si="13"/>
        <v>0</v>
      </c>
      <c r="G32" s="255">
        <f t="shared" si="13"/>
        <v>0</v>
      </c>
      <c r="H32" s="255">
        <f t="shared" si="13"/>
        <v>0</v>
      </c>
      <c r="I32" s="255">
        <f t="shared" si="13"/>
        <v>0</v>
      </c>
      <c r="J32" s="255">
        <f t="shared" si="13"/>
        <v>0</v>
      </c>
      <c r="K32" s="255">
        <f t="shared" si="13"/>
        <v>0</v>
      </c>
      <c r="L32" s="255">
        <f t="shared" si="13"/>
        <v>0</v>
      </c>
      <c r="M32" s="255">
        <f t="shared" si="13"/>
        <v>0</v>
      </c>
      <c r="N32" s="255">
        <f t="shared" si="13"/>
        <v>0</v>
      </c>
      <c r="O32" s="255">
        <f t="shared" si="13"/>
        <v>0</v>
      </c>
      <c r="P32" s="255">
        <f t="shared" si="13"/>
        <v>0</v>
      </c>
      <c r="Q32" s="255">
        <f t="shared" si="13"/>
        <v>0</v>
      </c>
      <c r="R32" s="255">
        <f t="shared" si="13"/>
        <v>0</v>
      </c>
      <c r="S32" s="255">
        <f t="shared" si="13"/>
        <v>0</v>
      </c>
      <c r="T32" s="255">
        <f t="shared" si="13"/>
        <v>0</v>
      </c>
      <c r="U32" s="255">
        <f t="shared" si="13"/>
        <v>0</v>
      </c>
      <c r="V32" s="255">
        <f t="shared" si="13"/>
        <v>0</v>
      </c>
      <c r="W32" s="255">
        <f t="shared" si="13"/>
        <v>0</v>
      </c>
      <c r="X32" s="255">
        <f t="shared" si="13"/>
        <v>0</v>
      </c>
      <c r="Y32" s="255">
        <f t="shared" si="13"/>
        <v>0</v>
      </c>
      <c r="Z32" s="255">
        <f t="shared" si="13"/>
        <v>0</v>
      </c>
      <c r="AA32" s="255">
        <f t="shared" si="13"/>
        <v>0</v>
      </c>
      <c r="AB32" s="255">
        <f t="shared" si="13"/>
        <v>0</v>
      </c>
      <c r="AC32" s="255">
        <f t="shared" si="13"/>
        <v>0</v>
      </c>
      <c r="AD32" s="255">
        <f t="shared" si="13"/>
        <v>0</v>
      </c>
      <c r="AE32" s="255">
        <f t="shared" si="13"/>
        <v>0</v>
      </c>
      <c r="AF32" s="255">
        <f t="shared" si="13"/>
        <v>0</v>
      </c>
      <c r="AG32" s="255">
        <f t="shared" si="13"/>
        <v>0</v>
      </c>
    </row>
    <row r="33" spans="1:33">
      <c r="A33" t="s">
        <v>236</v>
      </c>
      <c r="D33" s="254"/>
      <c r="E33" s="255">
        <f t="shared" ref="E33:AG33" si="14">(+D33*$F$7)+D33</f>
        <v>0</v>
      </c>
      <c r="F33" s="255">
        <f t="shared" si="14"/>
        <v>0</v>
      </c>
      <c r="G33" s="255">
        <f t="shared" si="14"/>
        <v>0</v>
      </c>
      <c r="H33" s="255">
        <f t="shared" si="14"/>
        <v>0</v>
      </c>
      <c r="I33" s="255">
        <f t="shared" si="14"/>
        <v>0</v>
      </c>
      <c r="J33" s="255">
        <f t="shared" si="14"/>
        <v>0</v>
      </c>
      <c r="K33" s="255">
        <f t="shared" si="14"/>
        <v>0</v>
      </c>
      <c r="L33" s="255">
        <f t="shared" si="14"/>
        <v>0</v>
      </c>
      <c r="M33" s="255">
        <f t="shared" si="14"/>
        <v>0</v>
      </c>
      <c r="N33" s="255">
        <f t="shared" si="14"/>
        <v>0</v>
      </c>
      <c r="O33" s="255">
        <f t="shared" si="14"/>
        <v>0</v>
      </c>
      <c r="P33" s="255">
        <f t="shared" si="14"/>
        <v>0</v>
      </c>
      <c r="Q33" s="255">
        <f t="shared" si="14"/>
        <v>0</v>
      </c>
      <c r="R33" s="255">
        <f t="shared" si="14"/>
        <v>0</v>
      </c>
      <c r="S33" s="255">
        <f t="shared" si="14"/>
        <v>0</v>
      </c>
      <c r="T33" s="255">
        <f t="shared" si="14"/>
        <v>0</v>
      </c>
      <c r="U33" s="255">
        <f t="shared" si="14"/>
        <v>0</v>
      </c>
      <c r="V33" s="255">
        <f t="shared" si="14"/>
        <v>0</v>
      </c>
      <c r="W33" s="255">
        <f t="shared" si="14"/>
        <v>0</v>
      </c>
      <c r="X33" s="255">
        <f t="shared" si="14"/>
        <v>0</v>
      </c>
      <c r="Y33" s="255">
        <f t="shared" si="14"/>
        <v>0</v>
      </c>
      <c r="Z33" s="255">
        <f t="shared" si="14"/>
        <v>0</v>
      </c>
      <c r="AA33" s="255">
        <f t="shared" si="14"/>
        <v>0</v>
      </c>
      <c r="AB33" s="255">
        <f t="shared" si="14"/>
        <v>0</v>
      </c>
      <c r="AC33" s="255">
        <f t="shared" si="14"/>
        <v>0</v>
      </c>
      <c r="AD33" s="255">
        <f t="shared" si="14"/>
        <v>0</v>
      </c>
      <c r="AE33" s="255">
        <f t="shared" si="14"/>
        <v>0</v>
      </c>
      <c r="AF33" s="255">
        <f t="shared" si="14"/>
        <v>0</v>
      </c>
      <c r="AG33" s="255">
        <f t="shared" si="14"/>
        <v>0</v>
      </c>
    </row>
    <row r="34" spans="1:33">
      <c r="A34" t="s">
        <v>390</v>
      </c>
      <c r="D34" s="254"/>
      <c r="E34" s="255">
        <f t="shared" ref="E34:AG34" si="15">(+D34*$F$7)+D34</f>
        <v>0</v>
      </c>
      <c r="F34" s="255">
        <f t="shared" si="15"/>
        <v>0</v>
      </c>
      <c r="G34" s="255">
        <f t="shared" si="15"/>
        <v>0</v>
      </c>
      <c r="H34" s="255">
        <f t="shared" si="15"/>
        <v>0</v>
      </c>
      <c r="I34" s="255">
        <f t="shared" si="15"/>
        <v>0</v>
      </c>
      <c r="J34" s="255">
        <f t="shared" si="15"/>
        <v>0</v>
      </c>
      <c r="K34" s="255">
        <f t="shared" si="15"/>
        <v>0</v>
      </c>
      <c r="L34" s="255">
        <f t="shared" si="15"/>
        <v>0</v>
      </c>
      <c r="M34" s="255">
        <f t="shared" si="15"/>
        <v>0</v>
      </c>
      <c r="N34" s="255">
        <f t="shared" si="15"/>
        <v>0</v>
      </c>
      <c r="O34" s="255">
        <f t="shared" si="15"/>
        <v>0</v>
      </c>
      <c r="P34" s="255">
        <f t="shared" si="15"/>
        <v>0</v>
      </c>
      <c r="Q34" s="255">
        <f t="shared" si="15"/>
        <v>0</v>
      </c>
      <c r="R34" s="255">
        <f t="shared" si="15"/>
        <v>0</v>
      </c>
      <c r="S34" s="255">
        <f t="shared" si="15"/>
        <v>0</v>
      </c>
      <c r="T34" s="255">
        <f t="shared" si="15"/>
        <v>0</v>
      </c>
      <c r="U34" s="255">
        <f t="shared" si="15"/>
        <v>0</v>
      </c>
      <c r="V34" s="255">
        <f t="shared" si="15"/>
        <v>0</v>
      </c>
      <c r="W34" s="255">
        <f t="shared" si="15"/>
        <v>0</v>
      </c>
      <c r="X34" s="255">
        <f t="shared" si="15"/>
        <v>0</v>
      </c>
      <c r="Y34" s="255">
        <f t="shared" si="15"/>
        <v>0</v>
      </c>
      <c r="Z34" s="255">
        <f t="shared" si="15"/>
        <v>0</v>
      </c>
      <c r="AA34" s="255">
        <f t="shared" si="15"/>
        <v>0</v>
      </c>
      <c r="AB34" s="255">
        <f t="shared" si="15"/>
        <v>0</v>
      </c>
      <c r="AC34" s="255">
        <f t="shared" si="15"/>
        <v>0</v>
      </c>
      <c r="AD34" s="255">
        <f t="shared" si="15"/>
        <v>0</v>
      </c>
      <c r="AE34" s="255">
        <f t="shared" si="15"/>
        <v>0</v>
      </c>
      <c r="AF34" s="255">
        <f t="shared" si="15"/>
        <v>0</v>
      </c>
      <c r="AG34" s="255">
        <f t="shared" si="15"/>
        <v>0</v>
      </c>
    </row>
    <row r="35" spans="1:33">
      <c r="A35" t="s">
        <v>237</v>
      </c>
      <c r="D35" s="254"/>
      <c r="E35" s="255">
        <f t="shared" ref="E35:AG35" si="16">(+D35*$F$7)+D35</f>
        <v>0</v>
      </c>
      <c r="F35" s="255">
        <f t="shared" si="16"/>
        <v>0</v>
      </c>
      <c r="G35" s="255">
        <f t="shared" si="16"/>
        <v>0</v>
      </c>
      <c r="H35" s="255">
        <f t="shared" si="16"/>
        <v>0</v>
      </c>
      <c r="I35" s="255">
        <f t="shared" si="16"/>
        <v>0</v>
      </c>
      <c r="J35" s="255">
        <f t="shared" si="16"/>
        <v>0</v>
      </c>
      <c r="K35" s="255">
        <f t="shared" si="16"/>
        <v>0</v>
      </c>
      <c r="L35" s="255">
        <f t="shared" si="16"/>
        <v>0</v>
      </c>
      <c r="M35" s="255">
        <f t="shared" si="16"/>
        <v>0</v>
      </c>
      <c r="N35" s="255">
        <f t="shared" si="16"/>
        <v>0</v>
      </c>
      <c r="O35" s="255">
        <f t="shared" si="16"/>
        <v>0</v>
      </c>
      <c r="P35" s="255">
        <f t="shared" si="16"/>
        <v>0</v>
      </c>
      <c r="Q35" s="255">
        <f t="shared" si="16"/>
        <v>0</v>
      </c>
      <c r="R35" s="255">
        <f t="shared" si="16"/>
        <v>0</v>
      </c>
      <c r="S35" s="255">
        <f t="shared" si="16"/>
        <v>0</v>
      </c>
      <c r="T35" s="255">
        <f t="shared" si="16"/>
        <v>0</v>
      </c>
      <c r="U35" s="255">
        <f t="shared" si="16"/>
        <v>0</v>
      </c>
      <c r="V35" s="255">
        <f t="shared" si="16"/>
        <v>0</v>
      </c>
      <c r="W35" s="255">
        <f t="shared" si="16"/>
        <v>0</v>
      </c>
      <c r="X35" s="255">
        <f t="shared" si="16"/>
        <v>0</v>
      </c>
      <c r="Y35" s="255">
        <f t="shared" si="16"/>
        <v>0</v>
      </c>
      <c r="Z35" s="255">
        <f t="shared" si="16"/>
        <v>0</v>
      </c>
      <c r="AA35" s="255">
        <f t="shared" si="16"/>
        <v>0</v>
      </c>
      <c r="AB35" s="255">
        <f t="shared" si="16"/>
        <v>0</v>
      </c>
      <c r="AC35" s="255">
        <f t="shared" si="16"/>
        <v>0</v>
      </c>
      <c r="AD35" s="255">
        <f t="shared" si="16"/>
        <v>0</v>
      </c>
      <c r="AE35" s="255">
        <f t="shared" si="16"/>
        <v>0</v>
      </c>
      <c r="AF35" s="255">
        <f t="shared" si="16"/>
        <v>0</v>
      </c>
      <c r="AG35" s="255">
        <f t="shared" si="16"/>
        <v>0</v>
      </c>
    </row>
    <row r="36" spans="1:33">
      <c r="A36" t="s">
        <v>238</v>
      </c>
      <c r="D36" s="254"/>
      <c r="E36" s="255">
        <f t="shared" ref="E36:AG36" si="17">(+D36*$F$7)+D36</f>
        <v>0</v>
      </c>
      <c r="F36" s="255">
        <f t="shared" si="17"/>
        <v>0</v>
      </c>
      <c r="G36" s="255">
        <f t="shared" si="17"/>
        <v>0</v>
      </c>
      <c r="H36" s="255">
        <f t="shared" si="17"/>
        <v>0</v>
      </c>
      <c r="I36" s="255">
        <f t="shared" si="17"/>
        <v>0</v>
      </c>
      <c r="J36" s="255">
        <f t="shared" si="17"/>
        <v>0</v>
      </c>
      <c r="K36" s="255">
        <f t="shared" si="17"/>
        <v>0</v>
      </c>
      <c r="L36" s="255">
        <f t="shared" si="17"/>
        <v>0</v>
      </c>
      <c r="M36" s="255">
        <f t="shared" si="17"/>
        <v>0</v>
      </c>
      <c r="N36" s="255">
        <f t="shared" si="17"/>
        <v>0</v>
      </c>
      <c r="O36" s="255">
        <f t="shared" si="17"/>
        <v>0</v>
      </c>
      <c r="P36" s="255">
        <f t="shared" si="17"/>
        <v>0</v>
      </c>
      <c r="Q36" s="255">
        <f t="shared" si="17"/>
        <v>0</v>
      </c>
      <c r="R36" s="255">
        <f t="shared" si="17"/>
        <v>0</v>
      </c>
      <c r="S36" s="255">
        <f t="shared" si="17"/>
        <v>0</v>
      </c>
      <c r="T36" s="255">
        <f t="shared" si="17"/>
        <v>0</v>
      </c>
      <c r="U36" s="255">
        <f t="shared" si="17"/>
        <v>0</v>
      </c>
      <c r="V36" s="255">
        <f t="shared" si="17"/>
        <v>0</v>
      </c>
      <c r="W36" s="255">
        <f t="shared" si="17"/>
        <v>0</v>
      </c>
      <c r="X36" s="255">
        <f t="shared" si="17"/>
        <v>0</v>
      </c>
      <c r="Y36" s="255">
        <f t="shared" si="17"/>
        <v>0</v>
      </c>
      <c r="Z36" s="255">
        <f t="shared" si="17"/>
        <v>0</v>
      </c>
      <c r="AA36" s="255">
        <f t="shared" si="17"/>
        <v>0</v>
      </c>
      <c r="AB36" s="255">
        <f t="shared" si="17"/>
        <v>0</v>
      </c>
      <c r="AC36" s="255">
        <f t="shared" si="17"/>
        <v>0</v>
      </c>
      <c r="AD36" s="255">
        <f t="shared" si="17"/>
        <v>0</v>
      </c>
      <c r="AE36" s="255">
        <f t="shared" si="17"/>
        <v>0</v>
      </c>
      <c r="AF36" s="255">
        <f t="shared" si="17"/>
        <v>0</v>
      </c>
      <c r="AG36" s="255">
        <f t="shared" si="17"/>
        <v>0</v>
      </c>
    </row>
    <row r="37" spans="1:33">
      <c r="A37" s="65" t="s">
        <v>118</v>
      </c>
      <c r="D37" s="254"/>
      <c r="E37" s="255">
        <f t="shared" ref="E37:AG37" si="18">(+D37*$F$7)+D37</f>
        <v>0</v>
      </c>
      <c r="F37" s="255">
        <f t="shared" si="18"/>
        <v>0</v>
      </c>
      <c r="G37" s="255">
        <f t="shared" si="18"/>
        <v>0</v>
      </c>
      <c r="H37" s="255">
        <f t="shared" si="18"/>
        <v>0</v>
      </c>
      <c r="I37" s="255">
        <f t="shared" si="18"/>
        <v>0</v>
      </c>
      <c r="J37" s="255">
        <f t="shared" si="18"/>
        <v>0</v>
      </c>
      <c r="K37" s="255">
        <f t="shared" si="18"/>
        <v>0</v>
      </c>
      <c r="L37" s="255">
        <f t="shared" si="18"/>
        <v>0</v>
      </c>
      <c r="M37" s="255">
        <f t="shared" si="18"/>
        <v>0</v>
      </c>
      <c r="N37" s="255">
        <f t="shared" si="18"/>
        <v>0</v>
      </c>
      <c r="O37" s="255">
        <f t="shared" si="18"/>
        <v>0</v>
      </c>
      <c r="P37" s="255">
        <f t="shared" si="18"/>
        <v>0</v>
      </c>
      <c r="Q37" s="255">
        <f t="shared" si="18"/>
        <v>0</v>
      </c>
      <c r="R37" s="255">
        <f t="shared" si="18"/>
        <v>0</v>
      </c>
      <c r="S37" s="255">
        <f t="shared" si="18"/>
        <v>0</v>
      </c>
      <c r="T37" s="255">
        <f t="shared" si="18"/>
        <v>0</v>
      </c>
      <c r="U37" s="255">
        <f t="shared" si="18"/>
        <v>0</v>
      </c>
      <c r="V37" s="255">
        <f t="shared" si="18"/>
        <v>0</v>
      </c>
      <c r="W37" s="255">
        <f t="shared" si="18"/>
        <v>0</v>
      </c>
      <c r="X37" s="255">
        <f t="shared" si="18"/>
        <v>0</v>
      </c>
      <c r="Y37" s="255">
        <f t="shared" si="18"/>
        <v>0</v>
      </c>
      <c r="Z37" s="255">
        <f t="shared" si="18"/>
        <v>0</v>
      </c>
      <c r="AA37" s="255">
        <f t="shared" si="18"/>
        <v>0</v>
      </c>
      <c r="AB37" s="255">
        <f t="shared" si="18"/>
        <v>0</v>
      </c>
      <c r="AC37" s="255">
        <f t="shared" si="18"/>
        <v>0</v>
      </c>
      <c r="AD37" s="255">
        <f t="shared" si="18"/>
        <v>0</v>
      </c>
      <c r="AE37" s="255">
        <f t="shared" si="18"/>
        <v>0</v>
      </c>
      <c r="AF37" s="255">
        <f t="shared" si="18"/>
        <v>0</v>
      </c>
      <c r="AG37" s="255">
        <f t="shared" si="18"/>
        <v>0</v>
      </c>
    </row>
    <row r="38" spans="1:33">
      <c r="A38" s="23" t="s">
        <v>42</v>
      </c>
      <c r="D38" s="254"/>
      <c r="E38" s="255">
        <f t="shared" ref="E38:AG38" si="19">(+D38*$F$7)+D38</f>
        <v>0</v>
      </c>
      <c r="F38" s="255">
        <f t="shared" si="19"/>
        <v>0</v>
      </c>
      <c r="G38" s="255">
        <f t="shared" si="19"/>
        <v>0</v>
      </c>
      <c r="H38" s="255">
        <f t="shared" si="19"/>
        <v>0</v>
      </c>
      <c r="I38" s="255">
        <f t="shared" si="19"/>
        <v>0</v>
      </c>
      <c r="J38" s="255">
        <f t="shared" si="19"/>
        <v>0</v>
      </c>
      <c r="K38" s="255">
        <f t="shared" si="19"/>
        <v>0</v>
      </c>
      <c r="L38" s="255">
        <f t="shared" si="19"/>
        <v>0</v>
      </c>
      <c r="M38" s="255">
        <f t="shared" si="19"/>
        <v>0</v>
      </c>
      <c r="N38" s="255">
        <f t="shared" si="19"/>
        <v>0</v>
      </c>
      <c r="O38" s="255">
        <f t="shared" si="19"/>
        <v>0</v>
      </c>
      <c r="P38" s="255">
        <f t="shared" si="19"/>
        <v>0</v>
      </c>
      <c r="Q38" s="255">
        <f t="shared" si="19"/>
        <v>0</v>
      </c>
      <c r="R38" s="255">
        <f t="shared" si="19"/>
        <v>0</v>
      </c>
      <c r="S38" s="255">
        <f t="shared" si="19"/>
        <v>0</v>
      </c>
      <c r="T38" s="255">
        <f t="shared" si="19"/>
        <v>0</v>
      </c>
      <c r="U38" s="255">
        <f t="shared" si="19"/>
        <v>0</v>
      </c>
      <c r="V38" s="255">
        <f t="shared" si="19"/>
        <v>0</v>
      </c>
      <c r="W38" s="255">
        <f t="shared" si="19"/>
        <v>0</v>
      </c>
      <c r="X38" s="255">
        <f t="shared" si="19"/>
        <v>0</v>
      </c>
      <c r="Y38" s="255">
        <f t="shared" si="19"/>
        <v>0</v>
      </c>
      <c r="Z38" s="255">
        <f t="shared" si="19"/>
        <v>0</v>
      </c>
      <c r="AA38" s="255">
        <f t="shared" si="19"/>
        <v>0</v>
      </c>
      <c r="AB38" s="255">
        <f t="shared" si="19"/>
        <v>0</v>
      </c>
      <c r="AC38" s="255">
        <f t="shared" si="19"/>
        <v>0</v>
      </c>
      <c r="AD38" s="255">
        <f t="shared" si="19"/>
        <v>0</v>
      </c>
      <c r="AE38" s="255">
        <f t="shared" si="19"/>
        <v>0</v>
      </c>
      <c r="AF38" s="255">
        <f t="shared" si="19"/>
        <v>0</v>
      </c>
      <c r="AG38" s="255">
        <f t="shared" si="19"/>
        <v>0</v>
      </c>
    </row>
    <row r="39" spans="1:33">
      <c r="A39" s="23" t="s">
        <v>42</v>
      </c>
      <c r="B39" s="23"/>
      <c r="C39" s="23"/>
      <c r="D39" s="254"/>
      <c r="E39" s="255">
        <f t="shared" ref="E39:AG39" si="20">(+D39*$F$7)+D39</f>
        <v>0</v>
      </c>
      <c r="F39" s="255">
        <f t="shared" si="20"/>
        <v>0</v>
      </c>
      <c r="G39" s="255">
        <f t="shared" si="20"/>
        <v>0</v>
      </c>
      <c r="H39" s="255">
        <f t="shared" si="20"/>
        <v>0</v>
      </c>
      <c r="I39" s="255">
        <f t="shared" si="20"/>
        <v>0</v>
      </c>
      <c r="J39" s="255">
        <f t="shared" si="20"/>
        <v>0</v>
      </c>
      <c r="K39" s="255">
        <f t="shared" si="20"/>
        <v>0</v>
      </c>
      <c r="L39" s="255">
        <f t="shared" si="20"/>
        <v>0</v>
      </c>
      <c r="M39" s="255">
        <f t="shared" si="20"/>
        <v>0</v>
      </c>
      <c r="N39" s="255">
        <f t="shared" si="20"/>
        <v>0</v>
      </c>
      <c r="O39" s="255">
        <f t="shared" si="20"/>
        <v>0</v>
      </c>
      <c r="P39" s="255">
        <f t="shared" si="20"/>
        <v>0</v>
      </c>
      <c r="Q39" s="255">
        <f t="shared" si="20"/>
        <v>0</v>
      </c>
      <c r="R39" s="255">
        <f t="shared" si="20"/>
        <v>0</v>
      </c>
      <c r="S39" s="255">
        <f t="shared" si="20"/>
        <v>0</v>
      </c>
      <c r="T39" s="255">
        <f t="shared" si="20"/>
        <v>0</v>
      </c>
      <c r="U39" s="255">
        <f t="shared" si="20"/>
        <v>0</v>
      </c>
      <c r="V39" s="255">
        <f t="shared" si="20"/>
        <v>0</v>
      </c>
      <c r="W39" s="255">
        <f t="shared" si="20"/>
        <v>0</v>
      </c>
      <c r="X39" s="255">
        <f t="shared" si="20"/>
        <v>0</v>
      </c>
      <c r="Y39" s="255">
        <f t="shared" si="20"/>
        <v>0</v>
      </c>
      <c r="Z39" s="255">
        <f t="shared" si="20"/>
        <v>0</v>
      </c>
      <c r="AA39" s="255">
        <f t="shared" si="20"/>
        <v>0</v>
      </c>
      <c r="AB39" s="255">
        <f t="shared" si="20"/>
        <v>0</v>
      </c>
      <c r="AC39" s="255">
        <f t="shared" si="20"/>
        <v>0</v>
      </c>
      <c r="AD39" s="255">
        <f t="shared" si="20"/>
        <v>0</v>
      </c>
      <c r="AE39" s="255">
        <f t="shared" si="20"/>
        <v>0</v>
      </c>
      <c r="AF39" s="255">
        <f t="shared" si="20"/>
        <v>0</v>
      </c>
      <c r="AG39" s="255">
        <f t="shared" si="20"/>
        <v>0</v>
      </c>
    </row>
    <row r="40" spans="1:33">
      <c r="A40" s="23" t="s">
        <v>239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5.75">
      <c r="A41" s="232" t="s">
        <v>346</v>
      </c>
      <c r="D41" s="256">
        <f t="shared" ref="D41:AG41" si="21">SUM(D11:D40)</f>
        <v>0</v>
      </c>
      <c r="E41" s="256">
        <f t="shared" si="21"/>
        <v>0</v>
      </c>
      <c r="F41" s="256">
        <f t="shared" si="21"/>
        <v>0</v>
      </c>
      <c r="G41" s="256">
        <f t="shared" si="21"/>
        <v>0</v>
      </c>
      <c r="H41" s="256">
        <f t="shared" si="21"/>
        <v>0</v>
      </c>
      <c r="I41" s="256">
        <f t="shared" si="21"/>
        <v>0</v>
      </c>
      <c r="J41" s="256">
        <f t="shared" si="21"/>
        <v>0</v>
      </c>
      <c r="K41" s="256">
        <f t="shared" si="21"/>
        <v>0</v>
      </c>
      <c r="L41" s="256">
        <f t="shared" si="21"/>
        <v>0</v>
      </c>
      <c r="M41" s="256">
        <f t="shared" si="21"/>
        <v>0</v>
      </c>
      <c r="N41" s="256">
        <f t="shared" si="21"/>
        <v>0</v>
      </c>
      <c r="O41" s="256">
        <f t="shared" si="21"/>
        <v>0</v>
      </c>
      <c r="P41" s="256">
        <f t="shared" si="21"/>
        <v>0</v>
      </c>
      <c r="Q41" s="256">
        <f t="shared" si="21"/>
        <v>0</v>
      </c>
      <c r="R41" s="256">
        <f t="shared" si="21"/>
        <v>0</v>
      </c>
      <c r="S41" s="256">
        <f t="shared" si="21"/>
        <v>0</v>
      </c>
      <c r="T41" s="256">
        <f t="shared" si="21"/>
        <v>0</v>
      </c>
      <c r="U41" s="256">
        <f t="shared" si="21"/>
        <v>0</v>
      </c>
      <c r="V41" s="256">
        <f t="shared" si="21"/>
        <v>0</v>
      </c>
      <c r="W41" s="256">
        <f t="shared" si="21"/>
        <v>0</v>
      </c>
      <c r="X41" s="256">
        <f t="shared" si="21"/>
        <v>0</v>
      </c>
      <c r="Y41" s="256">
        <f t="shared" si="21"/>
        <v>0</v>
      </c>
      <c r="Z41" s="256">
        <f t="shared" si="21"/>
        <v>0</v>
      </c>
      <c r="AA41" s="256">
        <f t="shared" si="21"/>
        <v>0</v>
      </c>
      <c r="AB41" s="256">
        <f t="shared" si="21"/>
        <v>0</v>
      </c>
      <c r="AC41" s="256">
        <f t="shared" si="21"/>
        <v>0</v>
      </c>
      <c r="AD41" s="256">
        <f t="shared" si="21"/>
        <v>0</v>
      </c>
      <c r="AE41" s="256">
        <f t="shared" si="21"/>
        <v>0</v>
      </c>
      <c r="AF41" s="256">
        <f t="shared" si="21"/>
        <v>0</v>
      </c>
      <c r="AG41" s="256">
        <f t="shared" si="21"/>
        <v>0</v>
      </c>
    </row>
    <row r="42" spans="1:33"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1:33">
      <c r="A43" s="12" t="s">
        <v>0</v>
      </c>
      <c r="D43" s="249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</row>
    <row r="44" spans="1:33" ht="13.5" thickBot="1">
      <c r="A44" s="15"/>
      <c r="B44" s="15"/>
      <c r="C44" s="15"/>
      <c r="D44" s="249"/>
    </row>
    <row r="45" spans="1:33" s="132" customFormat="1">
      <c r="A45" s="194" t="s">
        <v>382</v>
      </c>
      <c r="B45" s="195"/>
      <c r="C45" s="195"/>
      <c r="D45" s="257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</row>
    <row r="46" spans="1:33">
      <c r="A46" s="196" t="s">
        <v>1</v>
      </c>
      <c r="B46" s="196" t="s">
        <v>2</v>
      </c>
      <c r="C46" s="196" t="s">
        <v>3</v>
      </c>
      <c r="D46" s="249"/>
    </row>
    <row r="47" spans="1:33" ht="13.5" thickBot="1">
      <c r="A47" s="258"/>
      <c r="B47" s="259">
        <v>1</v>
      </c>
      <c r="C47" s="260"/>
      <c r="D47" s="261">
        <f t="shared" ref="D47:AG47" si="22">IF($B$47&gt;=D9,PMT($A$47/12,$B$47*12,-$C$47,0,0)*12,0)</f>
        <v>0</v>
      </c>
      <c r="E47" s="261">
        <f t="shared" si="22"/>
        <v>0</v>
      </c>
      <c r="F47" s="261">
        <f t="shared" si="22"/>
        <v>0</v>
      </c>
      <c r="G47" s="261">
        <f t="shared" si="22"/>
        <v>0</v>
      </c>
      <c r="H47" s="261">
        <f t="shared" si="22"/>
        <v>0</v>
      </c>
      <c r="I47" s="261">
        <f t="shared" si="22"/>
        <v>0</v>
      </c>
      <c r="J47" s="261">
        <f t="shared" si="22"/>
        <v>0</v>
      </c>
      <c r="K47" s="261">
        <f t="shared" si="22"/>
        <v>0</v>
      </c>
      <c r="L47" s="261">
        <f t="shared" si="22"/>
        <v>0</v>
      </c>
      <c r="M47" s="261">
        <f t="shared" si="22"/>
        <v>0</v>
      </c>
      <c r="N47" s="261">
        <f t="shared" si="22"/>
        <v>0</v>
      </c>
      <c r="O47" s="261">
        <f t="shared" si="22"/>
        <v>0</v>
      </c>
      <c r="P47" s="261">
        <f t="shared" si="22"/>
        <v>0</v>
      </c>
      <c r="Q47" s="261">
        <f t="shared" si="22"/>
        <v>0</v>
      </c>
      <c r="R47" s="261">
        <f t="shared" si="22"/>
        <v>0</v>
      </c>
      <c r="S47" s="261">
        <f t="shared" si="22"/>
        <v>0</v>
      </c>
      <c r="T47" s="261">
        <f t="shared" si="22"/>
        <v>0</v>
      </c>
      <c r="U47" s="261">
        <f t="shared" si="22"/>
        <v>0</v>
      </c>
      <c r="V47" s="261">
        <f t="shared" si="22"/>
        <v>0</v>
      </c>
      <c r="W47" s="261">
        <f t="shared" si="22"/>
        <v>0</v>
      </c>
      <c r="X47" s="261">
        <f t="shared" si="22"/>
        <v>0</v>
      </c>
      <c r="Y47" s="261">
        <f t="shared" si="22"/>
        <v>0</v>
      </c>
      <c r="Z47" s="261">
        <f t="shared" si="22"/>
        <v>0</v>
      </c>
      <c r="AA47" s="261">
        <f t="shared" si="22"/>
        <v>0</v>
      </c>
      <c r="AB47" s="261">
        <f t="shared" si="22"/>
        <v>0</v>
      </c>
      <c r="AC47" s="261">
        <f t="shared" si="22"/>
        <v>0</v>
      </c>
      <c r="AD47" s="261">
        <f t="shared" si="22"/>
        <v>0</v>
      </c>
      <c r="AE47" s="261">
        <f t="shared" si="22"/>
        <v>0</v>
      </c>
      <c r="AF47" s="261">
        <f t="shared" si="22"/>
        <v>0</v>
      </c>
      <c r="AG47" s="261">
        <f t="shared" si="22"/>
        <v>0</v>
      </c>
    </row>
    <row r="48" spans="1:33">
      <c r="A48" s="197" t="s">
        <v>276</v>
      </c>
      <c r="B48" s="202"/>
      <c r="C48" s="203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</row>
    <row r="49" spans="1:33">
      <c r="A49" s="196" t="s">
        <v>1</v>
      </c>
      <c r="B49" s="196" t="s">
        <v>2</v>
      </c>
      <c r="C49" s="196" t="s">
        <v>3</v>
      </c>
      <c r="D49" s="262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</row>
    <row r="50" spans="1:33">
      <c r="A50" s="264"/>
      <c r="B50" s="265">
        <v>1</v>
      </c>
      <c r="C50" s="254"/>
      <c r="D50" s="255">
        <f t="shared" ref="D50:AG50" si="23">IF($B$50&gt;=D9,PMT($A$50/12,$B$50*12,-$C$50,0,0)*12,0)</f>
        <v>0</v>
      </c>
      <c r="E50" s="255">
        <f t="shared" si="23"/>
        <v>0</v>
      </c>
      <c r="F50" s="255">
        <f t="shared" si="23"/>
        <v>0</v>
      </c>
      <c r="G50" s="255">
        <f t="shared" si="23"/>
        <v>0</v>
      </c>
      <c r="H50" s="255">
        <f t="shared" si="23"/>
        <v>0</v>
      </c>
      <c r="I50" s="255">
        <f t="shared" si="23"/>
        <v>0</v>
      </c>
      <c r="J50" s="255">
        <f t="shared" si="23"/>
        <v>0</v>
      </c>
      <c r="K50" s="255">
        <f t="shared" si="23"/>
        <v>0</v>
      </c>
      <c r="L50" s="255">
        <f t="shared" si="23"/>
        <v>0</v>
      </c>
      <c r="M50" s="255">
        <f t="shared" si="23"/>
        <v>0</v>
      </c>
      <c r="N50" s="255">
        <f t="shared" si="23"/>
        <v>0</v>
      </c>
      <c r="O50" s="255">
        <f t="shared" si="23"/>
        <v>0</v>
      </c>
      <c r="P50" s="255">
        <f t="shared" si="23"/>
        <v>0</v>
      </c>
      <c r="Q50" s="255">
        <f t="shared" si="23"/>
        <v>0</v>
      </c>
      <c r="R50" s="255">
        <f t="shared" si="23"/>
        <v>0</v>
      </c>
      <c r="S50" s="255">
        <f t="shared" si="23"/>
        <v>0</v>
      </c>
      <c r="T50" s="255">
        <f t="shared" si="23"/>
        <v>0</v>
      </c>
      <c r="U50" s="255">
        <f t="shared" si="23"/>
        <v>0</v>
      </c>
      <c r="V50" s="255">
        <f t="shared" si="23"/>
        <v>0</v>
      </c>
      <c r="W50" s="255">
        <f t="shared" si="23"/>
        <v>0</v>
      </c>
      <c r="X50" s="255">
        <f t="shared" si="23"/>
        <v>0</v>
      </c>
      <c r="Y50" s="255">
        <f t="shared" si="23"/>
        <v>0</v>
      </c>
      <c r="Z50" s="255">
        <f t="shared" si="23"/>
        <v>0</v>
      </c>
      <c r="AA50" s="255">
        <f t="shared" si="23"/>
        <v>0</v>
      </c>
      <c r="AB50" s="255">
        <f t="shared" si="23"/>
        <v>0</v>
      </c>
      <c r="AC50" s="255">
        <f t="shared" si="23"/>
        <v>0</v>
      </c>
      <c r="AD50" s="255">
        <f t="shared" si="23"/>
        <v>0</v>
      </c>
      <c r="AE50" s="255">
        <f t="shared" si="23"/>
        <v>0</v>
      </c>
      <c r="AF50" s="255">
        <f t="shared" si="23"/>
        <v>0</v>
      </c>
      <c r="AG50" s="255">
        <f t="shared" si="23"/>
        <v>0</v>
      </c>
    </row>
    <row r="51" spans="1:33">
      <c r="A51" s="618" t="s">
        <v>395</v>
      </c>
      <c r="B51" s="622"/>
      <c r="C51" s="622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</row>
    <row r="52" spans="1:33" ht="24.75" customHeight="1">
      <c r="A52" s="622"/>
      <c r="B52" s="622"/>
      <c r="C52" s="622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</row>
    <row r="53" spans="1:33">
      <c r="A53" s="196" t="s">
        <v>1</v>
      </c>
      <c r="B53" s="196" t="s">
        <v>2</v>
      </c>
      <c r="C53" s="196" t="s">
        <v>3</v>
      </c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</row>
    <row r="54" spans="1:33">
      <c r="A54" s="264"/>
      <c r="B54" s="265">
        <v>1</v>
      </c>
      <c r="C54" s="254"/>
      <c r="D54" s="255">
        <f t="shared" ref="D54:AG54" si="24">IF($B$54&gt;=D9,PMT($A$54/12,$B$54*12,-$C$54,0,0)*12,0)</f>
        <v>0</v>
      </c>
      <c r="E54" s="255">
        <f t="shared" si="24"/>
        <v>0</v>
      </c>
      <c r="F54" s="255">
        <f t="shared" si="24"/>
        <v>0</v>
      </c>
      <c r="G54" s="255">
        <f t="shared" si="24"/>
        <v>0</v>
      </c>
      <c r="H54" s="255">
        <f t="shared" si="24"/>
        <v>0</v>
      </c>
      <c r="I54" s="255">
        <f t="shared" si="24"/>
        <v>0</v>
      </c>
      <c r="J54" s="255">
        <f t="shared" si="24"/>
        <v>0</v>
      </c>
      <c r="K54" s="255">
        <f t="shared" si="24"/>
        <v>0</v>
      </c>
      <c r="L54" s="255">
        <f t="shared" si="24"/>
        <v>0</v>
      </c>
      <c r="M54" s="255">
        <f t="shared" si="24"/>
        <v>0</v>
      </c>
      <c r="N54" s="255">
        <f t="shared" si="24"/>
        <v>0</v>
      </c>
      <c r="O54" s="255">
        <f t="shared" si="24"/>
        <v>0</v>
      </c>
      <c r="P54" s="255">
        <f t="shared" si="24"/>
        <v>0</v>
      </c>
      <c r="Q54" s="255">
        <f t="shared" si="24"/>
        <v>0</v>
      </c>
      <c r="R54" s="255">
        <f t="shared" si="24"/>
        <v>0</v>
      </c>
      <c r="S54" s="255">
        <f t="shared" si="24"/>
        <v>0</v>
      </c>
      <c r="T54" s="255">
        <f t="shared" si="24"/>
        <v>0</v>
      </c>
      <c r="U54" s="255">
        <f t="shared" si="24"/>
        <v>0</v>
      </c>
      <c r="V54" s="255">
        <f t="shared" si="24"/>
        <v>0</v>
      </c>
      <c r="W54" s="255">
        <f t="shared" si="24"/>
        <v>0</v>
      </c>
      <c r="X54" s="255">
        <f t="shared" si="24"/>
        <v>0</v>
      </c>
      <c r="Y54" s="255">
        <f t="shared" si="24"/>
        <v>0</v>
      </c>
      <c r="Z54" s="255">
        <f t="shared" si="24"/>
        <v>0</v>
      </c>
      <c r="AA54" s="255">
        <f t="shared" si="24"/>
        <v>0</v>
      </c>
      <c r="AB54" s="255">
        <f t="shared" si="24"/>
        <v>0</v>
      </c>
      <c r="AC54" s="255">
        <f t="shared" si="24"/>
        <v>0</v>
      </c>
      <c r="AD54" s="255">
        <f t="shared" si="24"/>
        <v>0</v>
      </c>
      <c r="AE54" s="255">
        <f t="shared" si="24"/>
        <v>0</v>
      </c>
      <c r="AF54" s="255">
        <f t="shared" si="24"/>
        <v>0</v>
      </c>
      <c r="AG54" s="255">
        <f t="shared" si="24"/>
        <v>0</v>
      </c>
    </row>
    <row r="55" spans="1:33">
      <c r="A55" s="264"/>
      <c r="B55" s="265">
        <v>1</v>
      </c>
      <c r="C55" s="254"/>
      <c r="D55" s="255">
        <f t="shared" ref="D55:AG55" si="25">IF($B$55&gt;=D9,PMT($A$55/12,$B$55*12,-$C$55,0,0)*12,0)</f>
        <v>0</v>
      </c>
      <c r="E55" s="255">
        <f t="shared" si="25"/>
        <v>0</v>
      </c>
      <c r="F55" s="255">
        <f t="shared" si="25"/>
        <v>0</v>
      </c>
      <c r="G55" s="255">
        <f t="shared" si="25"/>
        <v>0</v>
      </c>
      <c r="H55" s="255">
        <f t="shared" si="25"/>
        <v>0</v>
      </c>
      <c r="I55" s="255">
        <f t="shared" si="25"/>
        <v>0</v>
      </c>
      <c r="J55" s="255">
        <f t="shared" si="25"/>
        <v>0</v>
      </c>
      <c r="K55" s="255">
        <f t="shared" si="25"/>
        <v>0</v>
      </c>
      <c r="L55" s="255">
        <f t="shared" si="25"/>
        <v>0</v>
      </c>
      <c r="M55" s="255">
        <f t="shared" si="25"/>
        <v>0</v>
      </c>
      <c r="N55" s="255">
        <f t="shared" si="25"/>
        <v>0</v>
      </c>
      <c r="O55" s="255">
        <f t="shared" si="25"/>
        <v>0</v>
      </c>
      <c r="P55" s="255">
        <f t="shared" si="25"/>
        <v>0</v>
      </c>
      <c r="Q55" s="255">
        <f t="shared" si="25"/>
        <v>0</v>
      </c>
      <c r="R55" s="255">
        <f t="shared" si="25"/>
        <v>0</v>
      </c>
      <c r="S55" s="255">
        <f t="shared" si="25"/>
        <v>0</v>
      </c>
      <c r="T55" s="255">
        <f t="shared" si="25"/>
        <v>0</v>
      </c>
      <c r="U55" s="255">
        <f t="shared" si="25"/>
        <v>0</v>
      </c>
      <c r="V55" s="255">
        <f t="shared" si="25"/>
        <v>0</v>
      </c>
      <c r="W55" s="255">
        <f t="shared" si="25"/>
        <v>0</v>
      </c>
      <c r="X55" s="255">
        <f t="shared" si="25"/>
        <v>0</v>
      </c>
      <c r="Y55" s="255">
        <f t="shared" si="25"/>
        <v>0</v>
      </c>
      <c r="Z55" s="255">
        <f t="shared" si="25"/>
        <v>0</v>
      </c>
      <c r="AA55" s="255">
        <f t="shared" si="25"/>
        <v>0</v>
      </c>
      <c r="AB55" s="255">
        <f t="shared" si="25"/>
        <v>0</v>
      </c>
      <c r="AC55" s="255">
        <f t="shared" si="25"/>
        <v>0</v>
      </c>
      <c r="AD55" s="255">
        <f t="shared" si="25"/>
        <v>0</v>
      </c>
      <c r="AE55" s="255">
        <f t="shared" si="25"/>
        <v>0</v>
      </c>
      <c r="AF55" s="255">
        <f t="shared" si="25"/>
        <v>0</v>
      </c>
      <c r="AG55" s="255">
        <f t="shared" si="25"/>
        <v>0</v>
      </c>
    </row>
    <row r="56" spans="1:33" ht="13.5" thickBot="1">
      <c r="A56" s="264"/>
      <c r="B56" s="265">
        <v>1</v>
      </c>
      <c r="C56" s="254"/>
      <c r="D56" s="255">
        <f t="shared" ref="D56:AG56" si="26">IF($B$56&gt;=D10,PMT($A$56/12,$B$56*12,-$C$56,0,0)*12,0)</f>
        <v>0</v>
      </c>
      <c r="E56" s="255">
        <f t="shared" si="26"/>
        <v>0</v>
      </c>
      <c r="F56" s="255">
        <f t="shared" si="26"/>
        <v>0</v>
      </c>
      <c r="G56" s="255">
        <f t="shared" si="26"/>
        <v>0</v>
      </c>
      <c r="H56" s="255">
        <f t="shared" si="26"/>
        <v>0</v>
      </c>
      <c r="I56" s="255">
        <f t="shared" si="26"/>
        <v>0</v>
      </c>
      <c r="J56" s="255">
        <f t="shared" si="26"/>
        <v>0</v>
      </c>
      <c r="K56" s="255">
        <f t="shared" si="26"/>
        <v>0</v>
      </c>
      <c r="L56" s="255">
        <f t="shared" si="26"/>
        <v>0</v>
      </c>
      <c r="M56" s="255">
        <f t="shared" si="26"/>
        <v>0</v>
      </c>
      <c r="N56" s="255">
        <f t="shared" si="26"/>
        <v>0</v>
      </c>
      <c r="O56" s="255">
        <f t="shared" si="26"/>
        <v>0</v>
      </c>
      <c r="P56" s="255">
        <f t="shared" si="26"/>
        <v>0</v>
      </c>
      <c r="Q56" s="255">
        <f t="shared" si="26"/>
        <v>0</v>
      </c>
      <c r="R56" s="255">
        <f t="shared" si="26"/>
        <v>0</v>
      </c>
      <c r="S56" s="255">
        <f t="shared" si="26"/>
        <v>0</v>
      </c>
      <c r="T56" s="255">
        <f t="shared" si="26"/>
        <v>0</v>
      </c>
      <c r="U56" s="255">
        <f t="shared" si="26"/>
        <v>0</v>
      </c>
      <c r="V56" s="255">
        <f t="shared" si="26"/>
        <v>0</v>
      </c>
      <c r="W56" s="255">
        <f t="shared" si="26"/>
        <v>0</v>
      </c>
      <c r="X56" s="255">
        <f t="shared" si="26"/>
        <v>0</v>
      </c>
      <c r="Y56" s="255">
        <f t="shared" si="26"/>
        <v>0</v>
      </c>
      <c r="Z56" s="255">
        <f t="shared" si="26"/>
        <v>0</v>
      </c>
      <c r="AA56" s="255">
        <f t="shared" si="26"/>
        <v>0</v>
      </c>
      <c r="AB56" s="255">
        <f t="shared" si="26"/>
        <v>0</v>
      </c>
      <c r="AC56" s="255">
        <f t="shared" si="26"/>
        <v>0</v>
      </c>
      <c r="AD56" s="255">
        <f t="shared" si="26"/>
        <v>0</v>
      </c>
      <c r="AE56" s="255">
        <f t="shared" si="26"/>
        <v>0</v>
      </c>
      <c r="AF56" s="255">
        <f t="shared" si="26"/>
        <v>0</v>
      </c>
      <c r="AG56" s="255">
        <f t="shared" si="26"/>
        <v>0</v>
      </c>
    </row>
    <row r="57" spans="1:33">
      <c r="A57" s="160"/>
      <c r="B57" s="183"/>
      <c r="C57" s="183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</row>
    <row r="58" spans="1:33">
      <c r="A58" s="23"/>
      <c r="B58" s="23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</row>
    <row r="59" spans="1:33">
      <c r="A59" t="s">
        <v>70</v>
      </c>
      <c r="D59" s="172">
        <f>'Comm Income'!H23</f>
        <v>0</v>
      </c>
      <c r="E59" s="172">
        <f>'Comm Income'!I23</f>
        <v>0</v>
      </c>
      <c r="F59" s="172">
        <f>'Comm Income'!J23</f>
        <v>0</v>
      </c>
      <c r="G59" s="172">
        <f>'Comm Income'!K23</f>
        <v>0</v>
      </c>
      <c r="H59" s="172">
        <f>'Comm Income'!L23</f>
        <v>0</v>
      </c>
      <c r="I59" s="172">
        <f>'Comm Income'!M23</f>
        <v>0</v>
      </c>
      <c r="J59" s="172">
        <f>'Comm Income'!N23</f>
        <v>0</v>
      </c>
      <c r="K59" s="172">
        <f>'Comm Income'!O23</f>
        <v>0</v>
      </c>
      <c r="L59" s="172">
        <f>'Comm Income'!P23</f>
        <v>0</v>
      </c>
      <c r="M59" s="172">
        <f>'Comm Income'!Q23</f>
        <v>0</v>
      </c>
      <c r="N59" s="172">
        <f>'Comm Income'!R23</f>
        <v>0</v>
      </c>
      <c r="O59" s="172">
        <f>'Comm Income'!S23</f>
        <v>0</v>
      </c>
      <c r="P59" s="172">
        <f>'Comm Income'!T23</f>
        <v>0</v>
      </c>
      <c r="Q59" s="172">
        <f>'Comm Income'!U23</f>
        <v>0</v>
      </c>
      <c r="R59" s="172">
        <f>'Comm Income'!V23</f>
        <v>0</v>
      </c>
      <c r="S59" s="172">
        <f>'Comm Income'!W23</f>
        <v>0</v>
      </c>
      <c r="T59" s="172">
        <f>'Comm Income'!X23</f>
        <v>0</v>
      </c>
      <c r="U59" s="172">
        <f>'Comm Income'!Y23</f>
        <v>0</v>
      </c>
      <c r="V59" s="172">
        <f>'Comm Income'!Z23</f>
        <v>0</v>
      </c>
      <c r="W59" s="172">
        <f>'Comm Income'!AA23</f>
        <v>0</v>
      </c>
      <c r="X59" s="172">
        <f>'Comm Income'!AB23</f>
        <v>0</v>
      </c>
      <c r="Y59" s="172">
        <f>'Comm Income'!AC23</f>
        <v>0</v>
      </c>
      <c r="Z59" s="172">
        <f>'Comm Income'!AD23</f>
        <v>0</v>
      </c>
      <c r="AA59" s="172">
        <f>'Comm Income'!AE23</f>
        <v>0</v>
      </c>
      <c r="AB59" s="172">
        <f>'Comm Income'!AF23</f>
        <v>0</v>
      </c>
      <c r="AC59" s="172">
        <f>'Comm Income'!AG23</f>
        <v>0</v>
      </c>
      <c r="AD59" s="172">
        <f>'Comm Income'!AH23</f>
        <v>0</v>
      </c>
      <c r="AE59" s="172">
        <f>'Comm Income'!AI23</f>
        <v>0</v>
      </c>
      <c r="AF59" s="172">
        <f>'Comm Income'!AJ23</f>
        <v>0</v>
      </c>
      <c r="AG59" s="172">
        <f>'Comm Income'!AK23</f>
        <v>0</v>
      </c>
    </row>
    <row r="60" spans="1:33">
      <c r="A60" t="s">
        <v>346</v>
      </c>
      <c r="B60" s="82"/>
      <c r="C60" s="82"/>
      <c r="D60" s="172">
        <f t="shared" ref="D60:AG60" si="27">D41</f>
        <v>0</v>
      </c>
      <c r="E60" s="172">
        <f t="shared" si="27"/>
        <v>0</v>
      </c>
      <c r="F60" s="172">
        <f t="shared" si="27"/>
        <v>0</v>
      </c>
      <c r="G60" s="172">
        <f t="shared" si="27"/>
        <v>0</v>
      </c>
      <c r="H60" s="172">
        <f t="shared" si="27"/>
        <v>0</v>
      </c>
      <c r="I60" s="172">
        <f t="shared" si="27"/>
        <v>0</v>
      </c>
      <c r="J60" s="172">
        <f t="shared" si="27"/>
        <v>0</v>
      </c>
      <c r="K60" s="172">
        <f t="shared" si="27"/>
        <v>0</v>
      </c>
      <c r="L60" s="172">
        <f t="shared" si="27"/>
        <v>0</v>
      </c>
      <c r="M60" s="172">
        <f t="shared" si="27"/>
        <v>0</v>
      </c>
      <c r="N60" s="172">
        <f t="shared" si="27"/>
        <v>0</v>
      </c>
      <c r="O60" s="172">
        <f t="shared" si="27"/>
        <v>0</v>
      </c>
      <c r="P60" s="172">
        <f t="shared" si="27"/>
        <v>0</v>
      </c>
      <c r="Q60" s="172">
        <f t="shared" si="27"/>
        <v>0</v>
      </c>
      <c r="R60" s="172">
        <f t="shared" si="27"/>
        <v>0</v>
      </c>
      <c r="S60" s="172">
        <f t="shared" si="27"/>
        <v>0</v>
      </c>
      <c r="T60" s="172">
        <f t="shared" si="27"/>
        <v>0</v>
      </c>
      <c r="U60" s="172">
        <f t="shared" si="27"/>
        <v>0</v>
      </c>
      <c r="V60" s="172">
        <f t="shared" si="27"/>
        <v>0</v>
      </c>
      <c r="W60" s="172">
        <f t="shared" si="27"/>
        <v>0</v>
      </c>
      <c r="X60" s="172">
        <f t="shared" si="27"/>
        <v>0</v>
      </c>
      <c r="Y60" s="172">
        <f t="shared" si="27"/>
        <v>0</v>
      </c>
      <c r="Z60" s="172">
        <f t="shared" si="27"/>
        <v>0</v>
      </c>
      <c r="AA60" s="172">
        <f t="shared" si="27"/>
        <v>0</v>
      </c>
      <c r="AB60" s="172">
        <f t="shared" si="27"/>
        <v>0</v>
      </c>
      <c r="AC60" s="172">
        <f t="shared" si="27"/>
        <v>0</v>
      </c>
      <c r="AD60" s="172">
        <f t="shared" si="27"/>
        <v>0</v>
      </c>
      <c r="AE60" s="172">
        <f t="shared" si="27"/>
        <v>0</v>
      </c>
      <c r="AF60" s="172">
        <f t="shared" si="27"/>
        <v>0</v>
      </c>
      <c r="AG60" s="172">
        <f t="shared" si="27"/>
        <v>0</v>
      </c>
    </row>
    <row r="61" spans="1:33">
      <c r="A61" s="82" t="s">
        <v>131</v>
      </c>
      <c r="B61" s="82"/>
      <c r="C61" s="82"/>
      <c r="D61" s="172">
        <f t="shared" ref="D61:AG61" si="28">D59-D60</f>
        <v>0</v>
      </c>
      <c r="E61" s="172">
        <f t="shared" si="28"/>
        <v>0</v>
      </c>
      <c r="F61" s="172">
        <f t="shared" si="28"/>
        <v>0</v>
      </c>
      <c r="G61" s="172">
        <f t="shared" si="28"/>
        <v>0</v>
      </c>
      <c r="H61" s="172">
        <f t="shared" si="28"/>
        <v>0</v>
      </c>
      <c r="I61" s="172">
        <f t="shared" si="28"/>
        <v>0</v>
      </c>
      <c r="J61" s="172">
        <f t="shared" si="28"/>
        <v>0</v>
      </c>
      <c r="K61" s="172">
        <f t="shared" si="28"/>
        <v>0</v>
      </c>
      <c r="L61" s="172">
        <f t="shared" si="28"/>
        <v>0</v>
      </c>
      <c r="M61" s="172">
        <f t="shared" si="28"/>
        <v>0</v>
      </c>
      <c r="N61" s="172">
        <f t="shared" si="28"/>
        <v>0</v>
      </c>
      <c r="O61" s="172">
        <f t="shared" si="28"/>
        <v>0</v>
      </c>
      <c r="P61" s="172">
        <f t="shared" si="28"/>
        <v>0</v>
      </c>
      <c r="Q61" s="172">
        <f t="shared" si="28"/>
        <v>0</v>
      </c>
      <c r="R61" s="172">
        <f t="shared" si="28"/>
        <v>0</v>
      </c>
      <c r="S61" s="172">
        <f t="shared" si="28"/>
        <v>0</v>
      </c>
      <c r="T61" s="172">
        <f t="shared" si="28"/>
        <v>0</v>
      </c>
      <c r="U61" s="172">
        <f t="shared" si="28"/>
        <v>0</v>
      </c>
      <c r="V61" s="172">
        <f t="shared" si="28"/>
        <v>0</v>
      </c>
      <c r="W61" s="172">
        <f t="shared" si="28"/>
        <v>0</v>
      </c>
      <c r="X61" s="172">
        <f t="shared" si="28"/>
        <v>0</v>
      </c>
      <c r="Y61" s="172">
        <f t="shared" si="28"/>
        <v>0</v>
      </c>
      <c r="Z61" s="172">
        <f t="shared" si="28"/>
        <v>0</v>
      </c>
      <c r="AA61" s="172">
        <f t="shared" si="28"/>
        <v>0</v>
      </c>
      <c r="AB61" s="172">
        <f t="shared" si="28"/>
        <v>0</v>
      </c>
      <c r="AC61" s="172">
        <f t="shared" si="28"/>
        <v>0</v>
      </c>
      <c r="AD61" s="172">
        <f t="shared" si="28"/>
        <v>0</v>
      </c>
      <c r="AE61" s="172">
        <f t="shared" si="28"/>
        <v>0</v>
      </c>
      <c r="AF61" s="172">
        <f t="shared" si="28"/>
        <v>0</v>
      </c>
      <c r="AG61" s="172">
        <f t="shared" si="28"/>
        <v>0</v>
      </c>
    </row>
    <row r="62" spans="1:33">
      <c r="A62" s="82" t="s">
        <v>275</v>
      </c>
      <c r="B62" s="82"/>
      <c r="C62" s="82"/>
      <c r="D62" s="172">
        <f t="shared" ref="D62:AG62" si="29">D47</f>
        <v>0</v>
      </c>
      <c r="E62" s="172">
        <f t="shared" si="29"/>
        <v>0</v>
      </c>
      <c r="F62" s="172">
        <f t="shared" si="29"/>
        <v>0</v>
      </c>
      <c r="G62" s="172">
        <f t="shared" si="29"/>
        <v>0</v>
      </c>
      <c r="H62" s="172">
        <f t="shared" si="29"/>
        <v>0</v>
      </c>
      <c r="I62" s="172">
        <f t="shared" si="29"/>
        <v>0</v>
      </c>
      <c r="J62" s="172">
        <f t="shared" si="29"/>
        <v>0</v>
      </c>
      <c r="K62" s="172">
        <f t="shared" si="29"/>
        <v>0</v>
      </c>
      <c r="L62" s="172">
        <f t="shared" si="29"/>
        <v>0</v>
      </c>
      <c r="M62" s="172">
        <f t="shared" si="29"/>
        <v>0</v>
      </c>
      <c r="N62" s="172">
        <f t="shared" si="29"/>
        <v>0</v>
      </c>
      <c r="O62" s="172">
        <f t="shared" si="29"/>
        <v>0</v>
      </c>
      <c r="P62" s="172">
        <f t="shared" si="29"/>
        <v>0</v>
      </c>
      <c r="Q62" s="172">
        <f t="shared" si="29"/>
        <v>0</v>
      </c>
      <c r="R62" s="172">
        <f t="shared" si="29"/>
        <v>0</v>
      </c>
      <c r="S62" s="172">
        <f t="shared" si="29"/>
        <v>0</v>
      </c>
      <c r="T62" s="172">
        <f t="shared" si="29"/>
        <v>0</v>
      </c>
      <c r="U62" s="172">
        <f t="shared" si="29"/>
        <v>0</v>
      </c>
      <c r="V62" s="172">
        <f t="shared" si="29"/>
        <v>0</v>
      </c>
      <c r="W62" s="172">
        <f t="shared" si="29"/>
        <v>0</v>
      </c>
      <c r="X62" s="172">
        <f t="shared" si="29"/>
        <v>0</v>
      </c>
      <c r="Y62" s="172">
        <f t="shared" si="29"/>
        <v>0</v>
      </c>
      <c r="Z62" s="172">
        <f t="shared" si="29"/>
        <v>0</v>
      </c>
      <c r="AA62" s="172">
        <f t="shared" si="29"/>
        <v>0</v>
      </c>
      <c r="AB62" s="172">
        <f t="shared" si="29"/>
        <v>0</v>
      </c>
      <c r="AC62" s="172">
        <f t="shared" si="29"/>
        <v>0</v>
      </c>
      <c r="AD62" s="172">
        <f t="shared" si="29"/>
        <v>0</v>
      </c>
      <c r="AE62" s="172">
        <f t="shared" si="29"/>
        <v>0</v>
      </c>
      <c r="AF62" s="172">
        <f t="shared" si="29"/>
        <v>0</v>
      </c>
      <c r="AG62" s="172">
        <f t="shared" si="29"/>
        <v>0</v>
      </c>
    </row>
    <row r="63" spans="1:33">
      <c r="A63" s="82" t="s">
        <v>123</v>
      </c>
      <c r="B63" s="82"/>
      <c r="C63" s="82"/>
      <c r="D63" s="172">
        <f t="shared" ref="D63:AG63" si="30">SUM(D54:D57)+D47+D50</f>
        <v>0</v>
      </c>
      <c r="E63" s="172">
        <f t="shared" si="30"/>
        <v>0</v>
      </c>
      <c r="F63" s="172">
        <f t="shared" si="30"/>
        <v>0</v>
      </c>
      <c r="G63" s="172">
        <f t="shared" si="30"/>
        <v>0</v>
      </c>
      <c r="H63" s="172">
        <f t="shared" si="30"/>
        <v>0</v>
      </c>
      <c r="I63" s="172">
        <f t="shared" si="30"/>
        <v>0</v>
      </c>
      <c r="J63" s="172">
        <f t="shared" si="30"/>
        <v>0</v>
      </c>
      <c r="K63" s="172">
        <f t="shared" si="30"/>
        <v>0</v>
      </c>
      <c r="L63" s="172">
        <f t="shared" si="30"/>
        <v>0</v>
      </c>
      <c r="M63" s="172">
        <f t="shared" si="30"/>
        <v>0</v>
      </c>
      <c r="N63" s="172">
        <f t="shared" si="30"/>
        <v>0</v>
      </c>
      <c r="O63" s="172">
        <f t="shared" si="30"/>
        <v>0</v>
      </c>
      <c r="P63" s="172">
        <f t="shared" si="30"/>
        <v>0</v>
      </c>
      <c r="Q63" s="172">
        <f t="shared" si="30"/>
        <v>0</v>
      </c>
      <c r="R63" s="172">
        <f t="shared" si="30"/>
        <v>0</v>
      </c>
      <c r="S63" s="172">
        <f t="shared" si="30"/>
        <v>0</v>
      </c>
      <c r="T63" s="172">
        <f t="shared" si="30"/>
        <v>0</v>
      </c>
      <c r="U63" s="172">
        <f t="shared" si="30"/>
        <v>0</v>
      </c>
      <c r="V63" s="172">
        <f t="shared" si="30"/>
        <v>0</v>
      </c>
      <c r="W63" s="172">
        <f t="shared" si="30"/>
        <v>0</v>
      </c>
      <c r="X63" s="172">
        <f t="shared" si="30"/>
        <v>0</v>
      </c>
      <c r="Y63" s="172">
        <f t="shared" si="30"/>
        <v>0</v>
      </c>
      <c r="Z63" s="172">
        <f t="shared" si="30"/>
        <v>0</v>
      </c>
      <c r="AA63" s="172">
        <f t="shared" si="30"/>
        <v>0</v>
      </c>
      <c r="AB63" s="172">
        <f t="shared" si="30"/>
        <v>0</v>
      </c>
      <c r="AC63" s="172">
        <f t="shared" si="30"/>
        <v>0</v>
      </c>
      <c r="AD63" s="172">
        <f t="shared" si="30"/>
        <v>0</v>
      </c>
      <c r="AE63" s="172">
        <f t="shared" si="30"/>
        <v>0</v>
      </c>
      <c r="AF63" s="172">
        <f t="shared" si="30"/>
        <v>0</v>
      </c>
      <c r="AG63" s="172">
        <f t="shared" si="30"/>
        <v>0</v>
      </c>
    </row>
    <row r="64" spans="1:33">
      <c r="A64" s="12" t="s">
        <v>73</v>
      </c>
      <c r="B64" s="12"/>
      <c r="C64" s="12"/>
      <c r="D64" s="58">
        <f t="shared" ref="D64:AG64" si="31">D61-D63</f>
        <v>0</v>
      </c>
      <c r="E64" s="58">
        <f t="shared" si="31"/>
        <v>0</v>
      </c>
      <c r="F64" s="58">
        <f t="shared" si="31"/>
        <v>0</v>
      </c>
      <c r="G64" s="58">
        <f t="shared" si="31"/>
        <v>0</v>
      </c>
      <c r="H64" s="58">
        <f t="shared" si="31"/>
        <v>0</v>
      </c>
      <c r="I64" s="58">
        <f t="shared" si="31"/>
        <v>0</v>
      </c>
      <c r="J64" s="58">
        <f t="shared" si="31"/>
        <v>0</v>
      </c>
      <c r="K64" s="58">
        <f t="shared" si="31"/>
        <v>0</v>
      </c>
      <c r="L64" s="58">
        <f t="shared" si="31"/>
        <v>0</v>
      </c>
      <c r="M64" s="58">
        <f t="shared" si="31"/>
        <v>0</v>
      </c>
      <c r="N64" s="58">
        <f t="shared" si="31"/>
        <v>0</v>
      </c>
      <c r="O64" s="58">
        <f t="shared" si="31"/>
        <v>0</v>
      </c>
      <c r="P64" s="58">
        <f t="shared" si="31"/>
        <v>0</v>
      </c>
      <c r="Q64" s="58">
        <f t="shared" si="31"/>
        <v>0</v>
      </c>
      <c r="R64" s="58">
        <f t="shared" si="31"/>
        <v>0</v>
      </c>
      <c r="S64" s="58">
        <f t="shared" si="31"/>
        <v>0</v>
      </c>
      <c r="T64" s="58">
        <f t="shared" si="31"/>
        <v>0</v>
      </c>
      <c r="U64" s="58">
        <f t="shared" si="31"/>
        <v>0</v>
      </c>
      <c r="V64" s="58">
        <f t="shared" si="31"/>
        <v>0</v>
      </c>
      <c r="W64" s="58">
        <f t="shared" si="31"/>
        <v>0</v>
      </c>
      <c r="X64" s="58">
        <f t="shared" si="31"/>
        <v>0</v>
      </c>
      <c r="Y64" s="58">
        <f t="shared" si="31"/>
        <v>0</v>
      </c>
      <c r="Z64" s="58">
        <f t="shared" si="31"/>
        <v>0</v>
      </c>
      <c r="AA64" s="58">
        <f t="shared" si="31"/>
        <v>0</v>
      </c>
      <c r="AB64" s="58">
        <f t="shared" si="31"/>
        <v>0</v>
      </c>
      <c r="AC64" s="58">
        <f t="shared" si="31"/>
        <v>0</v>
      </c>
      <c r="AD64" s="58">
        <f t="shared" si="31"/>
        <v>0</v>
      </c>
      <c r="AE64" s="58">
        <f t="shared" si="31"/>
        <v>0</v>
      </c>
      <c r="AF64" s="58">
        <f t="shared" si="31"/>
        <v>0</v>
      </c>
      <c r="AG64" s="58">
        <f t="shared" si="31"/>
        <v>0</v>
      </c>
    </row>
    <row r="65" spans="1:37">
      <c r="A65" s="82" t="s">
        <v>124</v>
      </c>
      <c r="B65" s="82"/>
      <c r="C65" s="82"/>
      <c r="D65" s="174" t="e">
        <f t="shared" ref="D65:AG65" si="32">D61/D62</f>
        <v>#DIV/0!</v>
      </c>
      <c r="E65" s="174" t="e">
        <f t="shared" si="32"/>
        <v>#DIV/0!</v>
      </c>
      <c r="F65" s="174" t="e">
        <f t="shared" si="32"/>
        <v>#DIV/0!</v>
      </c>
      <c r="G65" s="174" t="e">
        <f t="shared" si="32"/>
        <v>#DIV/0!</v>
      </c>
      <c r="H65" s="174" t="e">
        <f t="shared" si="32"/>
        <v>#DIV/0!</v>
      </c>
      <c r="I65" s="174" t="e">
        <f t="shared" si="32"/>
        <v>#DIV/0!</v>
      </c>
      <c r="J65" s="174" t="e">
        <f t="shared" si="32"/>
        <v>#DIV/0!</v>
      </c>
      <c r="K65" s="174" t="e">
        <f t="shared" si="32"/>
        <v>#DIV/0!</v>
      </c>
      <c r="L65" s="174" t="e">
        <f t="shared" si="32"/>
        <v>#DIV/0!</v>
      </c>
      <c r="M65" s="174" t="e">
        <f t="shared" si="32"/>
        <v>#DIV/0!</v>
      </c>
      <c r="N65" s="174" t="e">
        <f t="shared" si="32"/>
        <v>#DIV/0!</v>
      </c>
      <c r="O65" s="174" t="e">
        <f t="shared" si="32"/>
        <v>#DIV/0!</v>
      </c>
      <c r="P65" s="174" t="e">
        <f t="shared" si="32"/>
        <v>#DIV/0!</v>
      </c>
      <c r="Q65" s="174" t="e">
        <f t="shared" si="32"/>
        <v>#DIV/0!</v>
      </c>
      <c r="R65" s="174" t="e">
        <f t="shared" si="32"/>
        <v>#DIV/0!</v>
      </c>
      <c r="S65" s="174" t="e">
        <f t="shared" si="32"/>
        <v>#DIV/0!</v>
      </c>
      <c r="T65" s="174" t="e">
        <f t="shared" si="32"/>
        <v>#DIV/0!</v>
      </c>
      <c r="U65" s="174" t="e">
        <f t="shared" si="32"/>
        <v>#DIV/0!</v>
      </c>
      <c r="V65" s="174" t="e">
        <f t="shared" si="32"/>
        <v>#DIV/0!</v>
      </c>
      <c r="W65" s="174" t="e">
        <f t="shared" si="32"/>
        <v>#DIV/0!</v>
      </c>
      <c r="X65" s="174" t="e">
        <f t="shared" si="32"/>
        <v>#DIV/0!</v>
      </c>
      <c r="Y65" s="174" t="e">
        <f t="shared" si="32"/>
        <v>#DIV/0!</v>
      </c>
      <c r="Z65" s="174" t="e">
        <f t="shared" si="32"/>
        <v>#DIV/0!</v>
      </c>
      <c r="AA65" s="174" t="e">
        <f t="shared" si="32"/>
        <v>#DIV/0!</v>
      </c>
      <c r="AB65" s="174" t="e">
        <f t="shared" si="32"/>
        <v>#DIV/0!</v>
      </c>
      <c r="AC65" s="174" t="e">
        <f t="shared" si="32"/>
        <v>#DIV/0!</v>
      </c>
      <c r="AD65" s="174" t="e">
        <f t="shared" si="32"/>
        <v>#DIV/0!</v>
      </c>
      <c r="AE65" s="174" t="e">
        <f t="shared" si="32"/>
        <v>#DIV/0!</v>
      </c>
      <c r="AF65" s="174" t="e">
        <f t="shared" si="32"/>
        <v>#DIV/0!</v>
      </c>
      <c r="AG65" s="174" t="e">
        <f t="shared" si="32"/>
        <v>#DIV/0!</v>
      </c>
    </row>
    <row r="66" spans="1:37">
      <c r="A66" s="82" t="s">
        <v>125</v>
      </c>
      <c r="B66" s="82"/>
      <c r="C66" s="82"/>
      <c r="D66" s="174" t="e">
        <f t="shared" ref="D66:AG66" si="33">D61/D63</f>
        <v>#DIV/0!</v>
      </c>
      <c r="E66" s="174" t="e">
        <f t="shared" si="33"/>
        <v>#DIV/0!</v>
      </c>
      <c r="F66" s="174" t="e">
        <f t="shared" si="33"/>
        <v>#DIV/0!</v>
      </c>
      <c r="G66" s="174" t="e">
        <f t="shared" si="33"/>
        <v>#DIV/0!</v>
      </c>
      <c r="H66" s="174" t="e">
        <f t="shared" si="33"/>
        <v>#DIV/0!</v>
      </c>
      <c r="I66" s="174" t="e">
        <f t="shared" si="33"/>
        <v>#DIV/0!</v>
      </c>
      <c r="J66" s="174" t="e">
        <f t="shared" si="33"/>
        <v>#DIV/0!</v>
      </c>
      <c r="K66" s="174" t="e">
        <f t="shared" si="33"/>
        <v>#DIV/0!</v>
      </c>
      <c r="L66" s="174" t="e">
        <f t="shared" si="33"/>
        <v>#DIV/0!</v>
      </c>
      <c r="M66" s="174" t="e">
        <f t="shared" si="33"/>
        <v>#DIV/0!</v>
      </c>
      <c r="N66" s="174" t="e">
        <f t="shared" si="33"/>
        <v>#DIV/0!</v>
      </c>
      <c r="O66" s="174" t="e">
        <f t="shared" si="33"/>
        <v>#DIV/0!</v>
      </c>
      <c r="P66" s="174" t="e">
        <f t="shared" si="33"/>
        <v>#DIV/0!</v>
      </c>
      <c r="Q66" s="174" t="e">
        <f t="shared" si="33"/>
        <v>#DIV/0!</v>
      </c>
      <c r="R66" s="174" t="e">
        <f t="shared" si="33"/>
        <v>#DIV/0!</v>
      </c>
      <c r="S66" s="174" t="e">
        <f t="shared" si="33"/>
        <v>#DIV/0!</v>
      </c>
      <c r="T66" s="174" t="e">
        <f t="shared" si="33"/>
        <v>#DIV/0!</v>
      </c>
      <c r="U66" s="174" t="e">
        <f t="shared" si="33"/>
        <v>#DIV/0!</v>
      </c>
      <c r="V66" s="174" t="e">
        <f t="shared" si="33"/>
        <v>#DIV/0!</v>
      </c>
      <c r="W66" s="174" t="e">
        <f t="shared" si="33"/>
        <v>#DIV/0!</v>
      </c>
      <c r="X66" s="174" t="e">
        <f t="shared" si="33"/>
        <v>#DIV/0!</v>
      </c>
      <c r="Y66" s="174" t="e">
        <f t="shared" si="33"/>
        <v>#DIV/0!</v>
      </c>
      <c r="Z66" s="174" t="e">
        <f t="shared" si="33"/>
        <v>#DIV/0!</v>
      </c>
      <c r="AA66" s="174" t="e">
        <f t="shared" si="33"/>
        <v>#DIV/0!</v>
      </c>
      <c r="AB66" s="174" t="e">
        <f t="shared" si="33"/>
        <v>#DIV/0!</v>
      </c>
      <c r="AC66" s="174" t="e">
        <f t="shared" si="33"/>
        <v>#DIV/0!</v>
      </c>
      <c r="AD66" s="174" t="e">
        <f t="shared" si="33"/>
        <v>#DIV/0!</v>
      </c>
      <c r="AE66" s="174" t="e">
        <f t="shared" si="33"/>
        <v>#DIV/0!</v>
      </c>
      <c r="AF66" s="174" t="e">
        <f t="shared" si="33"/>
        <v>#DIV/0!</v>
      </c>
      <c r="AG66" s="174" t="e">
        <f t="shared" si="33"/>
        <v>#DIV/0!</v>
      </c>
      <c r="AK66" s="249"/>
    </row>
    <row r="67" spans="1:37">
      <c r="A67" s="12"/>
      <c r="B67" s="12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51:C52"/>
  </mergeCells>
  <phoneticPr fontId="6" type="noConversion"/>
  <printOptions horizontalCentered="1" gridLines="1"/>
  <pageMargins left="0.37" right="0.35" top="0.73" bottom="0.43" header="0.5" footer="0.65"/>
  <pageSetup scale="70" firstPageNumber="11" pageOrder="overThenDown" orientation="portrait" useFirstPageNumber="1" r:id="rId1"/>
  <headerFooter alignWithMargins="0">
    <oddFooter>&amp;L2012 Funding Pro Forma  &amp;C&amp;P&amp;RUpdated 01/09/2012</oddFooter>
  </headerFooter>
  <rowBreaks count="1" manualBreakCount="1">
    <brk id="6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topLeftCell="A61" zoomScaleNormal="100" workbookViewId="0">
      <selection activeCell="E3" sqref="E3"/>
    </sheetView>
  </sheetViews>
  <sheetFormatPr defaultRowHeight="12.75"/>
  <cols>
    <col min="1" max="1" width="34" customWidth="1"/>
    <col min="2" max="2" width="14.85546875" customWidth="1"/>
    <col min="3" max="3" width="16" customWidth="1"/>
    <col min="4" max="4" width="13.140625" customWidth="1"/>
    <col min="5" max="5" width="13.7109375" customWidth="1"/>
    <col min="6" max="6" width="20.140625" style="82" customWidth="1"/>
    <col min="7" max="7" width="3.42578125" customWidth="1"/>
    <col min="8" max="8" width="13.7109375" customWidth="1"/>
  </cols>
  <sheetData>
    <row r="1" spans="1:8" ht="15.75">
      <c r="A1" s="301" t="s">
        <v>403</v>
      </c>
      <c r="B1" s="302"/>
      <c r="C1" s="3"/>
      <c r="D1" s="302"/>
      <c r="E1" s="302"/>
      <c r="F1" s="432"/>
      <c r="G1" s="303"/>
      <c r="H1" s="303"/>
    </row>
    <row r="2" spans="1:8" ht="16.5" thickBot="1">
      <c r="A2" s="301"/>
      <c r="B2" s="302"/>
      <c r="C2" s="3"/>
      <c r="D2" s="302"/>
      <c r="E2" s="302"/>
      <c r="F2" s="432"/>
      <c r="G2" s="303"/>
      <c r="H2" s="303"/>
    </row>
    <row r="3" spans="1:8" ht="15.75" thickBot="1">
      <c r="A3" s="304" t="s">
        <v>218</v>
      </c>
      <c r="B3" s="305">
        <f>Sources!B3</f>
        <v>0</v>
      </c>
      <c r="C3" s="306"/>
      <c r="D3" s="306" t="s">
        <v>374</v>
      </c>
      <c r="E3" s="534">
        <f>Sources!F3</f>
        <v>40909</v>
      </c>
      <c r="F3" s="432"/>
      <c r="G3" s="303"/>
      <c r="H3" s="303"/>
    </row>
    <row r="4" spans="1:8" ht="13.5" thickBot="1">
      <c r="C4" s="160"/>
      <c r="F4" s="432"/>
      <c r="G4" s="303"/>
      <c r="H4" s="303"/>
    </row>
    <row r="5" spans="1:8">
      <c r="A5" s="307" t="s">
        <v>315</v>
      </c>
      <c r="B5" s="308">
        <f>'Uses of Funds'!C6</f>
        <v>0</v>
      </c>
      <c r="C5" s="309"/>
      <c r="D5" s="309"/>
      <c r="E5" s="310"/>
      <c r="F5" s="433"/>
      <c r="G5" s="303"/>
      <c r="H5" s="303"/>
    </row>
    <row r="6" spans="1:8" ht="25.5">
      <c r="A6" s="311" t="s">
        <v>404</v>
      </c>
      <c r="B6" s="312"/>
      <c r="C6" s="313" t="s">
        <v>405</v>
      </c>
      <c r="D6" s="313"/>
      <c r="E6" s="315"/>
      <c r="F6" s="433"/>
      <c r="G6" s="303"/>
      <c r="H6" s="303"/>
    </row>
    <row r="7" spans="1:8">
      <c r="A7" s="316" t="s">
        <v>406</v>
      </c>
      <c r="B7" s="317">
        <f>'Uses of Funds'!C7</f>
        <v>0</v>
      </c>
      <c r="C7" s="318" t="e">
        <f>B7/$B$10</f>
        <v>#DIV/0!</v>
      </c>
      <c r="D7" s="331"/>
      <c r="E7" s="315"/>
      <c r="F7" s="433"/>
      <c r="G7" s="303"/>
      <c r="H7" s="303"/>
    </row>
    <row r="8" spans="1:8">
      <c r="A8" s="319" t="s">
        <v>407</v>
      </c>
      <c r="B8" s="320">
        <f>'Uses of Funds'!C9</f>
        <v>0</v>
      </c>
      <c r="C8" s="318" t="e">
        <f>B8/$B$10</f>
        <v>#DIV/0!</v>
      </c>
      <c r="D8" s="314"/>
      <c r="E8" s="315"/>
      <c r="F8" s="433"/>
      <c r="G8" s="303"/>
      <c r="H8" s="303"/>
    </row>
    <row r="9" spans="1:8">
      <c r="A9" s="319" t="s">
        <v>408</v>
      </c>
      <c r="B9" s="320">
        <f>'Uses of Funds'!C10</f>
        <v>0</v>
      </c>
      <c r="C9" s="318" t="e">
        <f>B9/$B$10</f>
        <v>#DIV/0!</v>
      </c>
      <c r="D9" s="314"/>
      <c r="E9" s="315"/>
      <c r="F9" s="433"/>
      <c r="G9" s="303"/>
      <c r="H9" s="303"/>
    </row>
    <row r="10" spans="1:8">
      <c r="A10" s="321" t="s">
        <v>320</v>
      </c>
      <c r="B10" s="320">
        <f>'Uses of Funds'!C11</f>
        <v>0</v>
      </c>
      <c r="C10" s="318" t="e">
        <f>B10/$B$10</f>
        <v>#DIV/0!</v>
      </c>
      <c r="D10" s="314"/>
      <c r="E10" s="315"/>
      <c r="F10" s="433"/>
      <c r="G10" s="303"/>
      <c r="H10" s="303"/>
    </row>
    <row r="11" spans="1:8" ht="13.5" thickBot="1">
      <c r="A11" s="322"/>
      <c r="B11" s="323"/>
      <c r="C11" s="324"/>
      <c r="D11" s="324"/>
      <c r="E11" s="325"/>
      <c r="F11" s="433"/>
      <c r="G11" s="303"/>
      <c r="H11" s="303"/>
    </row>
    <row r="12" spans="1:8" ht="15.75" thickBot="1">
      <c r="A12" s="326" t="s">
        <v>409</v>
      </c>
      <c r="B12" s="19"/>
      <c r="C12" s="303"/>
      <c r="D12" s="303"/>
      <c r="E12" s="303"/>
      <c r="F12" s="434"/>
      <c r="G12" s="303"/>
      <c r="H12" s="303"/>
    </row>
    <row r="13" spans="1:8" ht="25.5">
      <c r="A13" s="327"/>
      <c r="B13" s="328" t="s">
        <v>410</v>
      </c>
      <c r="C13" s="329" t="s">
        <v>411</v>
      </c>
      <c r="D13" s="329" t="s">
        <v>412</v>
      </c>
      <c r="E13" s="330" t="s">
        <v>413</v>
      </c>
      <c r="F13" s="433"/>
      <c r="G13" s="303"/>
      <c r="H13" s="303"/>
    </row>
    <row r="14" spans="1:8">
      <c r="A14" s="316" t="s">
        <v>414</v>
      </c>
      <c r="B14" s="331">
        <f>'Uses of Funds'!E25</f>
        <v>0</v>
      </c>
      <c r="C14" s="332" t="e">
        <f>B14/$B$17</f>
        <v>#DIV/0!</v>
      </c>
      <c r="D14" s="333" t="e">
        <f>B14/$B$5</f>
        <v>#DIV/0!</v>
      </c>
      <c r="E14" s="334" t="e">
        <f>B14/($B$7+$B$8)</f>
        <v>#DIV/0!</v>
      </c>
      <c r="F14" s="433"/>
      <c r="G14" s="303"/>
      <c r="H14" s="303"/>
    </row>
    <row r="15" spans="1:8">
      <c r="A15" s="316" t="s">
        <v>277</v>
      </c>
      <c r="B15" s="331">
        <f>'Uses of Funds'!E50</f>
        <v>0</v>
      </c>
      <c r="C15" s="332" t="e">
        <f>B15/$B$17</f>
        <v>#DIV/0!</v>
      </c>
      <c r="D15" s="333" t="e">
        <f>B15/$B$5</f>
        <v>#DIV/0!</v>
      </c>
      <c r="E15" s="335" t="e">
        <f>B15/($B$7+$B$8)</f>
        <v>#DIV/0!</v>
      </c>
      <c r="F15" s="435"/>
      <c r="G15" s="336"/>
      <c r="H15" s="336"/>
    </row>
    <row r="16" spans="1:8">
      <c r="A16" s="316" t="s">
        <v>371</v>
      </c>
      <c r="B16" s="331">
        <f>'Uses of Funds'!E128</f>
        <v>0</v>
      </c>
      <c r="C16" s="337" t="e">
        <f>B16/$B$17</f>
        <v>#DIV/0!</v>
      </c>
      <c r="D16" s="333" t="e">
        <f>B16/$B$5</f>
        <v>#DIV/0!</v>
      </c>
      <c r="E16" s="334" t="e">
        <f>B16/($B$7+$B$8)</f>
        <v>#DIV/0!</v>
      </c>
      <c r="F16" s="436"/>
      <c r="G16" s="336"/>
      <c r="H16" s="336"/>
    </row>
    <row r="17" spans="1:8" ht="13.5" thickBot="1">
      <c r="A17" s="338" t="s">
        <v>415</v>
      </c>
      <c r="B17" s="339">
        <f>'Uses of Funds'!E130</f>
        <v>0</v>
      </c>
      <c r="C17" s="340" t="e">
        <f>B17/$B$17</f>
        <v>#DIV/0!</v>
      </c>
      <c r="D17" s="341" t="e">
        <f>B17/$B$5</f>
        <v>#DIV/0!</v>
      </c>
      <c r="E17" s="342" t="e">
        <f>B17/($B$7+$B$8)</f>
        <v>#DIV/0!</v>
      </c>
      <c r="F17" s="433"/>
      <c r="G17" s="303"/>
      <c r="H17" s="303"/>
    </row>
    <row r="18" spans="1:8" ht="15.75" thickBot="1">
      <c r="A18" s="326" t="s">
        <v>416</v>
      </c>
      <c r="B18" s="343"/>
      <c r="C18" s="156"/>
      <c r="D18" s="344"/>
      <c r="E18" s="344"/>
      <c r="F18" s="434"/>
      <c r="G18" s="303"/>
      <c r="H18" s="303"/>
    </row>
    <row r="19" spans="1:8" ht="25.5">
      <c r="A19" s="327"/>
      <c r="B19" s="160"/>
      <c r="C19" s="345" t="s">
        <v>417</v>
      </c>
      <c r="D19" s="329" t="s">
        <v>418</v>
      </c>
      <c r="E19" s="330" t="s">
        <v>419</v>
      </c>
      <c r="F19" s="433"/>
      <c r="G19" s="303"/>
      <c r="H19" s="303"/>
    </row>
    <row r="20" spans="1:8">
      <c r="A20" s="346" t="s">
        <v>420</v>
      </c>
      <c r="B20" s="347">
        <f>'Uses of Funds'!E39</f>
        <v>0</v>
      </c>
      <c r="C20" s="348" t="e">
        <f>B20/($B$15-$B$20)</f>
        <v>#DIV/0!</v>
      </c>
      <c r="D20" s="349" t="e">
        <f>B20/$B$5</f>
        <v>#DIV/0!</v>
      </c>
      <c r="E20" s="334" t="e">
        <f>B20/($B$7+$B$8)</f>
        <v>#DIV/0!</v>
      </c>
      <c r="F20" s="433"/>
      <c r="G20" s="303"/>
      <c r="H20" s="303"/>
    </row>
    <row r="21" spans="1:8">
      <c r="A21" s="346" t="s">
        <v>421</v>
      </c>
      <c r="B21" s="347">
        <f>'Uses of Funds'!E41</f>
        <v>0</v>
      </c>
      <c r="C21" s="348" t="e">
        <f>B21/($B$15-$B$21)</f>
        <v>#DIV/0!</v>
      </c>
      <c r="D21" s="349" t="e">
        <f>B21/$B$5</f>
        <v>#DIV/0!</v>
      </c>
      <c r="E21" s="334" t="e">
        <f>B21/($B$7+$B$8)</f>
        <v>#DIV/0!</v>
      </c>
      <c r="F21" s="433"/>
      <c r="G21" s="303"/>
      <c r="H21" s="303"/>
    </row>
    <row r="22" spans="1:8">
      <c r="A22" s="346" t="s">
        <v>422</v>
      </c>
      <c r="B22" s="347">
        <f>'Uses of Funds'!E42</f>
        <v>0</v>
      </c>
      <c r="C22" s="348" t="e">
        <f>B22/($B$15-$B$22)</f>
        <v>#DIV/0!</v>
      </c>
      <c r="D22" s="349" t="e">
        <f>B22/$B$5</f>
        <v>#DIV/0!</v>
      </c>
      <c r="E22" s="334" t="e">
        <f>B22/($B$7+$B$8)</f>
        <v>#DIV/0!</v>
      </c>
      <c r="F22" s="433"/>
      <c r="G22" s="303"/>
      <c r="H22" s="303"/>
    </row>
    <row r="23" spans="1:8">
      <c r="A23" s="311" t="s">
        <v>423</v>
      </c>
      <c r="B23" s="350">
        <f>SUM(B20:B22)</f>
        <v>0</v>
      </c>
      <c r="C23" s="351" t="e">
        <f>B23/($B$15-$B$23)</f>
        <v>#DIV/0!</v>
      </c>
      <c r="D23" s="352" t="e">
        <f>B23/$B$5</f>
        <v>#DIV/0!</v>
      </c>
      <c r="E23" s="353" t="e">
        <f>B23/($B$7+$B$8)</f>
        <v>#DIV/0!</v>
      </c>
      <c r="F23" s="433"/>
      <c r="G23" s="303"/>
      <c r="H23" s="303"/>
    </row>
    <row r="24" spans="1:8">
      <c r="A24" s="354"/>
      <c r="B24" s="331"/>
      <c r="C24" s="355"/>
      <c r="D24" s="356"/>
      <c r="E24" s="334"/>
      <c r="F24" s="433"/>
      <c r="G24" s="303"/>
      <c r="H24" s="303"/>
    </row>
    <row r="25" spans="1:8">
      <c r="A25" s="321" t="s">
        <v>424</v>
      </c>
      <c r="B25" s="350">
        <f>'Uses of Funds'!E43</f>
        <v>0</v>
      </c>
      <c r="C25" s="351" t="e">
        <f>B25/($B$15-$B$25)</f>
        <v>#DIV/0!</v>
      </c>
      <c r="D25" s="352" t="e">
        <f>B25/$B$5</f>
        <v>#DIV/0!</v>
      </c>
      <c r="E25" s="353" t="e">
        <f>B25/($B$7+$B$8)</f>
        <v>#DIV/0!</v>
      </c>
      <c r="F25" s="433"/>
      <c r="G25" s="303"/>
      <c r="H25" s="303"/>
    </row>
    <row r="26" spans="1:8">
      <c r="A26" s="346"/>
      <c r="B26" s="347"/>
      <c r="C26" s="357"/>
      <c r="D26" s="358"/>
      <c r="E26" s="359"/>
      <c r="F26" s="436"/>
      <c r="G26" s="303"/>
      <c r="H26" s="303"/>
    </row>
    <row r="27" spans="1:8" ht="13.5" thickBot="1">
      <c r="A27" s="338" t="s">
        <v>425</v>
      </c>
      <c r="B27" s="408">
        <f>'Uses of Funds'!E69</f>
        <v>0</v>
      </c>
      <c r="C27" s="485" t="e">
        <f>B27/($B$15-$B$27)</f>
        <v>#DIV/0!</v>
      </c>
      <c r="D27" s="324"/>
      <c r="E27" s="325"/>
      <c r="F27" s="433"/>
      <c r="G27" s="303"/>
      <c r="H27" s="303"/>
    </row>
    <row r="28" spans="1:8" ht="15.75" thickBot="1">
      <c r="A28" s="360" t="s">
        <v>426</v>
      </c>
      <c r="B28" s="361"/>
      <c r="C28" s="303"/>
      <c r="D28" s="303"/>
      <c r="E28" s="303"/>
      <c r="F28" s="434"/>
      <c r="G28" s="303"/>
      <c r="H28" s="303"/>
    </row>
    <row r="29" spans="1:8" ht="25.5">
      <c r="A29" s="327"/>
      <c r="B29" s="309"/>
      <c r="C29" s="345" t="s">
        <v>427</v>
      </c>
      <c r="D29" s="329" t="s">
        <v>418</v>
      </c>
      <c r="E29" s="330" t="s">
        <v>419</v>
      </c>
      <c r="F29" s="433"/>
      <c r="G29" s="303"/>
      <c r="H29" s="303"/>
    </row>
    <row r="30" spans="1:8">
      <c r="A30" s="321" t="s">
        <v>428</v>
      </c>
      <c r="B30" s="350">
        <f>'Uses of Funds'!E121</f>
        <v>0</v>
      </c>
      <c r="C30" s="351" t="e">
        <f>B30/($B$16-$B$30)</f>
        <v>#DIV/0!</v>
      </c>
      <c r="D30" s="349" t="e">
        <f>B30/$B$5</f>
        <v>#DIV/0!</v>
      </c>
      <c r="E30" s="334" t="e">
        <f>B30/($B$7+$B$8)</f>
        <v>#DIV/0!</v>
      </c>
      <c r="F30" s="433"/>
      <c r="G30" s="303"/>
      <c r="H30" s="303"/>
    </row>
    <row r="31" spans="1:8">
      <c r="A31" s="280"/>
      <c r="B31" s="132"/>
      <c r="C31" s="132"/>
      <c r="D31" s="314"/>
      <c r="E31" s="315"/>
      <c r="F31" s="433"/>
      <c r="G31" s="303"/>
      <c r="H31" s="303"/>
    </row>
    <row r="32" spans="1:8" ht="25.5">
      <c r="A32" s="362"/>
      <c r="B32" s="363" t="s">
        <v>410</v>
      </c>
      <c r="C32" s="364" t="s">
        <v>411</v>
      </c>
      <c r="D32" s="365"/>
      <c r="E32" s="315"/>
      <c r="F32" s="433"/>
      <c r="G32" s="303"/>
      <c r="H32" s="303"/>
    </row>
    <row r="33" spans="1:10">
      <c r="A33" s="346" t="s">
        <v>429</v>
      </c>
      <c r="B33" s="409">
        <f>IF('Uses of Funds'!C4="x",('Uses of Funds'!E18+'Uses of Funds'!E19)*0.05, )</f>
        <v>0</v>
      </c>
      <c r="C33" s="355" t="e">
        <f>B33/(($B$17+(B33-$B$40)-B33)-'Uses of Funds'!E119-'Uses of Funds'!E120-'Uses of Funds'!E123)</f>
        <v>#DIV/0!</v>
      </c>
      <c r="D33" s="349" t="e">
        <f>B33/$B$5</f>
        <v>#DIV/0!</v>
      </c>
      <c r="E33" s="334" t="e">
        <f>B33/($B$7+$B$8)</f>
        <v>#DIV/0!</v>
      </c>
      <c r="F33" s="437"/>
      <c r="G33" s="303"/>
      <c r="H33" s="336"/>
      <c r="I33" s="336"/>
      <c r="J33" s="336"/>
    </row>
    <row r="34" spans="1:10">
      <c r="A34" s="346" t="s">
        <v>430</v>
      </c>
      <c r="B34" s="281">
        <f>B35-B33</f>
        <v>0</v>
      </c>
      <c r="C34" s="355" t="e">
        <f>B34/(($B$17+(B34-$B$40)-B34-'Uses of Funds'!E119-'Uses of Funds'!E120-'Uses of Funds'!E123))</f>
        <v>#DIV/0!</v>
      </c>
      <c r="D34" s="349" t="e">
        <f>B34/$B$5</f>
        <v>#DIV/0!</v>
      </c>
      <c r="E34" s="334" t="e">
        <f>B34/($B$7+$B$8)</f>
        <v>#DIV/0!</v>
      </c>
      <c r="F34" s="437"/>
      <c r="G34" s="303"/>
      <c r="H34" s="336"/>
      <c r="I34" s="336"/>
      <c r="J34" s="336"/>
    </row>
    <row r="35" spans="1:10">
      <c r="A35" s="311" t="s">
        <v>431</v>
      </c>
      <c r="B35" s="267">
        <f>('Uses of Funds'!E130-'Pro forma Summary'!B40-'Uses of Funds'!E76-'Uses of Funds'!E77-'Uses of Funds'!E119-'Uses of Funds'!E120-'Uses of Funds'!E123)*0.15</f>
        <v>0</v>
      </c>
      <c r="C35" s="355" t="e">
        <f>B35/(($B$17+(B35-$B$40)-B35-'Uses of Funds'!E119-'Uses of Funds'!E120-'Uses of Funds'!E123))</f>
        <v>#DIV/0!</v>
      </c>
      <c r="D35" s="349"/>
      <c r="E35" s="334"/>
      <c r="F35" s="437"/>
      <c r="G35" s="303"/>
      <c r="H35" s="336"/>
      <c r="I35" s="336"/>
      <c r="J35" s="336"/>
    </row>
    <row r="36" spans="1:10">
      <c r="A36" s="311"/>
      <c r="B36" s="267"/>
      <c r="C36" s="355"/>
      <c r="D36" s="349"/>
      <c r="E36" s="334"/>
      <c r="F36" s="437"/>
      <c r="G36" s="303"/>
      <c r="H36" s="336"/>
      <c r="I36" s="336"/>
      <c r="J36" s="336"/>
    </row>
    <row r="37" spans="1:10">
      <c r="A37" s="311" t="s">
        <v>432</v>
      </c>
      <c r="B37" s="350">
        <f>'Uses of Funds'!E76</f>
        <v>0</v>
      </c>
      <c r="C37" s="529" t="e">
        <f>B37/($B$17-$B$40-'Uses of Funds'!E119-'Uses of Funds'!E120-'Uses of Funds'!E123)</f>
        <v>#DIV/0!</v>
      </c>
      <c r="D37" s="349" t="e">
        <f t="shared" ref="D37:D42" si="0">B37/$B$5</f>
        <v>#DIV/0!</v>
      </c>
      <c r="E37" s="334" t="e">
        <f t="shared" ref="E37:E42" si="1">B37/($B$7+$B$8)</f>
        <v>#DIV/0!</v>
      </c>
      <c r="F37" s="437"/>
      <c r="G37" s="303"/>
      <c r="H37" s="336"/>
      <c r="I37" s="336"/>
      <c r="J37" s="336"/>
    </row>
    <row r="38" spans="1:10">
      <c r="A38" s="311" t="s">
        <v>172</v>
      </c>
      <c r="B38" s="350">
        <f>'Uses of Funds'!E77</f>
        <v>0</v>
      </c>
      <c r="C38" s="530" t="e">
        <f>B38/($B$17-$B$40-'Uses of Funds'!E119-'Uses of Funds'!E120-'Uses of Funds'!E123)</f>
        <v>#DIV/0!</v>
      </c>
      <c r="D38" s="349" t="e">
        <f t="shared" si="0"/>
        <v>#DIV/0!</v>
      </c>
      <c r="E38" s="334" t="e">
        <f t="shared" si="1"/>
        <v>#DIV/0!</v>
      </c>
      <c r="F38" s="437"/>
      <c r="G38" s="303"/>
      <c r="H38" s="336"/>
      <c r="I38" s="336"/>
      <c r="J38" s="336"/>
    </row>
    <row r="39" spans="1:10" ht="25.5" customHeight="1">
      <c r="A39" s="366" t="s">
        <v>476</v>
      </c>
      <c r="B39" s="367">
        <f>B40*0.25</f>
        <v>0</v>
      </c>
      <c r="C39" s="532" t="e">
        <f>B39/($B$17-$B$40-'Uses of Funds'!E119-'Uses of Funds'!E120-'Uses of Funds'!E123)</f>
        <v>#DIV/0!</v>
      </c>
      <c r="D39" s="349" t="e">
        <f t="shared" si="0"/>
        <v>#DIV/0!</v>
      </c>
      <c r="E39" s="334" t="e">
        <f t="shared" si="1"/>
        <v>#DIV/0!</v>
      </c>
      <c r="F39" s="433"/>
      <c r="G39" s="303"/>
      <c r="H39" s="303"/>
    </row>
    <row r="40" spans="1:10">
      <c r="A40" s="311" t="s">
        <v>433</v>
      </c>
      <c r="B40" s="350">
        <f>B37+B38</f>
        <v>0</v>
      </c>
      <c r="C40" s="531" t="e">
        <f>B40/($B$17-$B$40-'Uses of Funds'!E119-'Uses of Funds'!E120-'Uses of Funds'!E123)</f>
        <v>#DIV/0!</v>
      </c>
      <c r="D40" s="349" t="e">
        <f t="shared" si="0"/>
        <v>#DIV/0!</v>
      </c>
      <c r="E40" s="334" t="e">
        <f t="shared" si="1"/>
        <v>#DIV/0!</v>
      </c>
      <c r="F40" s="433"/>
      <c r="G40" s="303"/>
      <c r="H40" s="303"/>
    </row>
    <row r="41" spans="1:10">
      <c r="A41" s="346" t="s">
        <v>434</v>
      </c>
      <c r="B41" s="347">
        <f>Sources!$C$52+Sources!$D$52+Sources!$E$52</f>
        <v>0</v>
      </c>
      <c r="C41" s="530" t="e">
        <f>B41/($B$17-B40-'Uses of Funds'!E119-'Uses of Funds'!E120-'Uses of Funds'!E123)</f>
        <v>#DIV/0!</v>
      </c>
      <c r="D41" s="349" t="e">
        <f t="shared" si="0"/>
        <v>#DIV/0!</v>
      </c>
      <c r="E41" s="334" t="e">
        <f t="shared" si="1"/>
        <v>#DIV/0!</v>
      </c>
      <c r="F41" s="433"/>
      <c r="G41" s="303"/>
      <c r="H41" s="303"/>
    </row>
    <row r="42" spans="1:10">
      <c r="A42" s="311" t="s">
        <v>435</v>
      </c>
      <c r="B42" s="350">
        <f>B40-B41</f>
        <v>0</v>
      </c>
      <c r="C42" s="531" t="e">
        <f>B42/($B$17-$B$40-'Uses of Funds'!E119-'Uses of Funds'!E120-'Uses of Funds'!E123)</f>
        <v>#DIV/0!</v>
      </c>
      <c r="D42" s="349" t="e">
        <f t="shared" si="0"/>
        <v>#DIV/0!</v>
      </c>
      <c r="E42" s="334" t="e">
        <f t="shared" si="1"/>
        <v>#DIV/0!</v>
      </c>
      <c r="F42" s="433"/>
      <c r="G42" s="303"/>
      <c r="H42" s="303"/>
    </row>
    <row r="43" spans="1:10" ht="13.5" thickBot="1">
      <c r="A43" s="368"/>
      <c r="B43" s="369"/>
      <c r="C43" s="340"/>
      <c r="D43" s="324"/>
      <c r="E43" s="325"/>
      <c r="F43" s="433"/>
      <c r="G43" s="303"/>
      <c r="H43" s="303"/>
    </row>
    <row r="44" spans="1:10" ht="15.75" thickBot="1">
      <c r="A44" s="326" t="s">
        <v>436</v>
      </c>
      <c r="B44" s="156"/>
      <c r="C44" s="370"/>
      <c r="D44" s="371"/>
      <c r="E44" s="372"/>
      <c r="F44" s="434"/>
      <c r="G44" s="303"/>
      <c r="H44" s="303"/>
    </row>
    <row r="45" spans="1:10">
      <c r="A45" s="373" t="s">
        <v>437</v>
      </c>
      <c r="B45" s="374"/>
      <c r="C45" s="375" t="s">
        <v>438</v>
      </c>
      <c r="D45" s="329" t="s">
        <v>418</v>
      </c>
      <c r="E45" s="330" t="s">
        <v>419</v>
      </c>
      <c r="F45" s="433"/>
      <c r="G45" s="303"/>
      <c r="H45" s="303"/>
    </row>
    <row r="46" spans="1:10">
      <c r="A46" s="376" t="s">
        <v>439</v>
      </c>
      <c r="B46" s="377">
        <f>Income!N42</f>
        <v>0</v>
      </c>
      <c r="C46" s="355"/>
      <c r="D46" s="349" t="e">
        <f>B46/$B$5</f>
        <v>#DIV/0!</v>
      </c>
      <c r="E46" s="378" t="e">
        <f>B46/($B$7+$B$8)</f>
        <v>#DIV/0!</v>
      </c>
      <c r="F46" s="433"/>
      <c r="G46" s="303"/>
      <c r="H46" s="303"/>
    </row>
    <row r="47" spans="1:10">
      <c r="A47" s="376" t="s">
        <v>440</v>
      </c>
      <c r="B47" s="377">
        <f>'Income with OAHTC'!N50</f>
        <v>0</v>
      </c>
      <c r="C47" s="355"/>
      <c r="D47" s="349" t="e">
        <f>B47/$B$5</f>
        <v>#DIV/0!</v>
      </c>
      <c r="E47" s="378" t="e">
        <f>B47/($B$7+$B$8)</f>
        <v>#DIV/0!</v>
      </c>
      <c r="F47" s="433"/>
      <c r="G47" s="303"/>
      <c r="H47" s="303"/>
    </row>
    <row r="48" spans="1:10">
      <c r="A48" s="376"/>
      <c r="B48" s="132"/>
      <c r="C48" s="132"/>
      <c r="D48" s="132"/>
      <c r="E48" s="315"/>
      <c r="F48" s="433"/>
      <c r="G48" s="303"/>
      <c r="H48" s="303"/>
    </row>
    <row r="49" spans="1:8">
      <c r="A49" s="316" t="s">
        <v>441</v>
      </c>
      <c r="B49" s="379">
        <f>Expenses!E112</f>
        <v>0</v>
      </c>
      <c r="C49" s="431" t="e">
        <f>B49/B46</f>
        <v>#DIV/0!</v>
      </c>
      <c r="D49" s="349" t="e">
        <f>B49/$B$5</f>
        <v>#DIV/0!</v>
      </c>
      <c r="E49" s="378" t="e">
        <f>B49/($B$7+$B$8)</f>
        <v>#DIV/0!</v>
      </c>
      <c r="F49" s="433"/>
      <c r="G49" s="303"/>
      <c r="H49" s="303"/>
    </row>
    <row r="50" spans="1:8">
      <c r="A50" s="316" t="s">
        <v>442</v>
      </c>
      <c r="B50" s="380">
        <f>Expenses!$E$122</f>
        <v>0</v>
      </c>
      <c r="C50" s="431" t="e">
        <f>B50/B47</f>
        <v>#DIV/0!</v>
      </c>
      <c r="D50" s="349" t="e">
        <f>B50/$B$5</f>
        <v>#DIV/0!</v>
      </c>
      <c r="E50" s="378" t="e">
        <f>B50/($B$7+$B$8)</f>
        <v>#DIV/0!</v>
      </c>
      <c r="F50" s="433"/>
      <c r="G50" s="303"/>
      <c r="H50" s="303"/>
    </row>
    <row r="51" spans="1:8">
      <c r="A51" s="376"/>
      <c r="B51" s="132"/>
      <c r="C51" s="132"/>
      <c r="D51" s="132"/>
      <c r="E51" s="315"/>
      <c r="F51" s="433"/>
      <c r="G51" s="303"/>
      <c r="H51" s="303"/>
    </row>
    <row r="52" spans="1:8">
      <c r="A52" s="381" t="s">
        <v>443</v>
      </c>
      <c r="B52" s="132"/>
      <c r="C52" s="132"/>
      <c r="D52" s="132"/>
      <c r="E52" s="315"/>
      <c r="F52" s="433"/>
      <c r="G52" s="303"/>
      <c r="H52" s="303"/>
    </row>
    <row r="53" spans="1:8">
      <c r="A53" s="346" t="s">
        <v>444</v>
      </c>
      <c r="B53" s="347" t="e">
        <f>Expenses!$D$64</f>
        <v>#DIV/0!</v>
      </c>
      <c r="C53" s="606" t="e">
        <f>B53/Income!N42</f>
        <v>#DIV/0!</v>
      </c>
      <c r="D53" s="347" t="e">
        <f>Expenses!$D$64</f>
        <v>#DIV/0!</v>
      </c>
      <c r="E53" s="378" t="e">
        <f>B53/($B$7+$B$8)</f>
        <v>#DIV/0!</v>
      </c>
      <c r="F53" s="433"/>
      <c r="G53" s="303"/>
      <c r="H53" s="303"/>
    </row>
    <row r="54" spans="1:8">
      <c r="A54" s="346" t="s">
        <v>445</v>
      </c>
      <c r="B54" s="347" t="e">
        <f>Expenses!D47</f>
        <v>#DIV/0!</v>
      </c>
      <c r="C54" s="606" t="e">
        <f>B54/Income!N42</f>
        <v>#DIV/0!</v>
      </c>
      <c r="D54" s="347" t="e">
        <f>Expenses!D47</f>
        <v>#DIV/0!</v>
      </c>
      <c r="E54" s="378" t="e">
        <f>B54/($B$7+$B$8)</f>
        <v>#DIV/0!</v>
      </c>
      <c r="F54" s="433"/>
      <c r="G54" s="303"/>
      <c r="H54" s="303"/>
    </row>
    <row r="55" spans="1:8">
      <c r="A55" s="346" t="s">
        <v>446</v>
      </c>
      <c r="B55" s="347" t="e">
        <f>Expenses!D55</f>
        <v>#DIV/0!</v>
      </c>
      <c r="C55" s="606" t="e">
        <f>B55/Income!N42</f>
        <v>#DIV/0!</v>
      </c>
      <c r="D55" s="347" t="e">
        <f>Expenses!D55</f>
        <v>#DIV/0!</v>
      </c>
      <c r="E55" s="378" t="e">
        <f>B55/($B$7+$B$8)</f>
        <v>#DIV/0!</v>
      </c>
      <c r="F55" s="433"/>
      <c r="G55" s="303"/>
      <c r="H55" s="303"/>
    </row>
    <row r="56" spans="1:8">
      <c r="A56" s="321" t="s">
        <v>447</v>
      </c>
      <c r="B56" s="350" t="e">
        <f>B53-(B54+B55)</f>
        <v>#DIV/0!</v>
      </c>
      <c r="C56" s="606" t="e">
        <f>B56/Income!N42</f>
        <v>#DIV/0!</v>
      </c>
      <c r="D56" s="382" t="e">
        <f>B56/B5</f>
        <v>#DIV/0!</v>
      </c>
      <c r="E56" s="378" t="e">
        <f>B56/($B$7+$B$8)</f>
        <v>#DIV/0!</v>
      </c>
      <c r="F56" s="433"/>
      <c r="G56" s="303"/>
      <c r="H56" s="303"/>
    </row>
    <row r="57" spans="1:8">
      <c r="A57" s="321"/>
      <c r="B57" s="383"/>
      <c r="C57" s="314"/>
      <c r="D57" s="314"/>
      <c r="E57" s="315"/>
      <c r="F57" s="433"/>
      <c r="G57" s="303"/>
      <c r="H57" s="303"/>
    </row>
    <row r="58" spans="1:8">
      <c r="A58" s="321"/>
      <c r="B58" s="383"/>
      <c r="C58" s="623" t="s">
        <v>482</v>
      </c>
      <c r="D58" s="623" t="s">
        <v>483</v>
      </c>
      <c r="E58" s="315"/>
      <c r="F58" s="433"/>
      <c r="G58" s="303"/>
      <c r="H58" s="303"/>
    </row>
    <row r="59" spans="1:8">
      <c r="A59" s="316"/>
      <c r="B59" s="314"/>
      <c r="C59" s="624"/>
      <c r="D59" s="624"/>
      <c r="E59" s="315"/>
      <c r="F59" s="433"/>
      <c r="G59" s="303"/>
      <c r="H59" s="303"/>
    </row>
    <row r="60" spans="1:8">
      <c r="A60" s="346" t="s">
        <v>448</v>
      </c>
      <c r="B60" s="347">
        <f>Expenses!$D$60</f>
        <v>0</v>
      </c>
      <c r="C60" s="453" t="e">
        <f>B60/$B$46</f>
        <v>#DIV/0!</v>
      </c>
      <c r="D60" s="455" t="e">
        <f>B60/$B$47</f>
        <v>#DIV/0!</v>
      </c>
      <c r="E60" s="315"/>
      <c r="F60" s="433"/>
      <c r="G60" s="303"/>
      <c r="H60" s="303"/>
    </row>
    <row r="61" spans="1:8">
      <c r="A61" s="346" t="s">
        <v>449</v>
      </c>
      <c r="B61" s="347" t="e">
        <f>Expenses!$D$61</f>
        <v>#DIV/0!</v>
      </c>
      <c r="C61" s="453" t="e">
        <f>B61/$B$46</f>
        <v>#DIV/0!</v>
      </c>
      <c r="D61" s="455" t="e">
        <f>B61/$B$47</f>
        <v>#DIV/0!</v>
      </c>
      <c r="E61" s="315"/>
      <c r="F61" s="433"/>
      <c r="G61" s="303"/>
      <c r="H61" s="303"/>
    </row>
    <row r="62" spans="1:8">
      <c r="A62" s="311" t="s">
        <v>450</v>
      </c>
      <c r="B62" s="382" t="e">
        <f>B60+B61</f>
        <v>#DIV/0!</v>
      </c>
      <c r="C62" s="453" t="e">
        <f>B62/$B$46</f>
        <v>#DIV/0!</v>
      </c>
      <c r="D62" s="455" t="e">
        <f>B62/$B$47</f>
        <v>#DIV/0!</v>
      </c>
      <c r="E62" s="315"/>
      <c r="F62" s="433"/>
      <c r="G62" s="303"/>
      <c r="H62" s="303"/>
    </row>
    <row r="63" spans="1:8">
      <c r="A63" s="311"/>
      <c r="B63" s="350"/>
      <c r="C63" s="357"/>
      <c r="D63" s="314"/>
      <c r="E63" s="315"/>
      <c r="F63" s="433"/>
      <c r="G63" s="303"/>
      <c r="H63" s="303"/>
    </row>
    <row r="64" spans="1:8">
      <c r="A64" s="346" t="s">
        <v>451</v>
      </c>
      <c r="B64" s="347">
        <f>Expenses!$D$54</f>
        <v>0</v>
      </c>
      <c r="C64" s="453" t="e">
        <f>B64/$B$46</f>
        <v>#DIV/0!</v>
      </c>
      <c r="D64" s="453" t="e">
        <f>B64/$B$47</f>
        <v>#DIV/0!</v>
      </c>
      <c r="E64" s="315"/>
      <c r="F64" s="433"/>
      <c r="G64" s="303"/>
      <c r="H64" s="303"/>
    </row>
    <row r="65" spans="1:8">
      <c r="A65" s="346" t="s">
        <v>452</v>
      </c>
      <c r="B65" s="347" t="e">
        <f>Expenses!$D$55</f>
        <v>#DIV/0!</v>
      </c>
      <c r="C65" s="453" t="e">
        <f>B65/$B$46</f>
        <v>#DIV/0!</v>
      </c>
      <c r="D65" s="453" t="e">
        <f>B65/$B$47</f>
        <v>#DIV/0!</v>
      </c>
      <c r="E65" s="315"/>
      <c r="F65" s="433"/>
      <c r="G65" s="303"/>
      <c r="H65" s="303"/>
    </row>
    <row r="66" spans="1:8">
      <c r="A66" s="311" t="s">
        <v>453</v>
      </c>
      <c r="B66" s="382" t="e">
        <f>B64+B65</f>
        <v>#DIV/0!</v>
      </c>
      <c r="C66" s="453" t="e">
        <f>B66/$B$46</f>
        <v>#DIV/0!</v>
      </c>
      <c r="D66" s="453" t="e">
        <f>B66/$B$47</f>
        <v>#DIV/0!</v>
      </c>
      <c r="E66" s="315"/>
      <c r="F66" s="433"/>
      <c r="G66" s="303"/>
      <c r="H66" s="303"/>
    </row>
    <row r="67" spans="1:8" ht="13.5" thickBot="1">
      <c r="A67" s="368" t="s">
        <v>345</v>
      </c>
      <c r="B67" s="384" t="e">
        <f>Expenses!D57</f>
        <v>#DIV/0!</v>
      </c>
      <c r="C67" s="454" t="e">
        <f>B67/$B$46</f>
        <v>#DIV/0!</v>
      </c>
      <c r="D67" s="454" t="e">
        <f>B67/$B$47</f>
        <v>#DIV/0!</v>
      </c>
      <c r="E67" s="325"/>
      <c r="F67" s="433"/>
      <c r="G67" s="303"/>
      <c r="H67" s="303"/>
    </row>
    <row r="68" spans="1:8">
      <c r="A68" s="146"/>
      <c r="B68" s="350"/>
      <c r="C68" s="357"/>
      <c r="D68" s="314"/>
      <c r="E68" s="314"/>
      <c r="F68" s="432"/>
      <c r="G68" s="303"/>
      <c r="H68" s="303"/>
    </row>
    <row r="69" spans="1:8">
      <c r="A69" s="146"/>
      <c r="B69" s="350"/>
      <c r="C69" s="357"/>
      <c r="D69" s="314"/>
      <c r="E69" s="314"/>
      <c r="F69" s="432"/>
      <c r="G69" s="303"/>
      <c r="H69" s="303"/>
    </row>
    <row r="70" spans="1:8" ht="15.75" thickBot="1">
      <c r="A70" s="385" t="s">
        <v>454</v>
      </c>
      <c r="B70" s="303"/>
      <c r="C70" s="303"/>
      <c r="D70" s="303"/>
      <c r="E70" s="303"/>
      <c r="F70" s="432"/>
      <c r="G70" s="303"/>
      <c r="H70" s="303"/>
    </row>
    <row r="71" spans="1:8" ht="15">
      <c r="A71" s="386"/>
      <c r="B71" s="309"/>
      <c r="C71" s="309"/>
      <c r="D71" s="329" t="s">
        <v>418</v>
      </c>
      <c r="E71" s="330" t="s">
        <v>419</v>
      </c>
      <c r="F71" s="432"/>
      <c r="G71" s="303"/>
      <c r="H71" s="303"/>
    </row>
    <row r="72" spans="1:8">
      <c r="A72" s="316" t="s">
        <v>455</v>
      </c>
      <c r="B72" s="387">
        <f>'LIHTC Calculation'!D46+'LIHTC Calculation'!E46</f>
        <v>0</v>
      </c>
      <c r="C72" s="388"/>
      <c r="D72" s="349" t="e">
        <f>B72/$B$5</f>
        <v>#DIV/0!</v>
      </c>
      <c r="E72" s="378" t="e">
        <f>B72/($B$7+$B$8)</f>
        <v>#DIV/0!</v>
      </c>
      <c r="F72" s="432"/>
      <c r="G72" s="303"/>
      <c r="H72" s="303"/>
    </row>
    <row r="73" spans="1:8">
      <c r="A73" s="389" t="s">
        <v>456</v>
      </c>
      <c r="B73" s="14">
        <f>'LIHTC Calculation'!D52+'LIHTC Calculation'!E52</f>
        <v>0</v>
      </c>
      <c r="D73" s="349" t="e">
        <f>B73/$B$5</f>
        <v>#DIV/0!</v>
      </c>
      <c r="E73" s="378" t="e">
        <f>B73/($B$7+$B$8)</f>
        <v>#DIV/0!</v>
      </c>
      <c r="F73" s="432"/>
      <c r="G73" s="303"/>
      <c r="H73" s="303"/>
    </row>
    <row r="74" spans="1:8">
      <c r="A74" s="316" t="s">
        <v>457</v>
      </c>
      <c r="B74" s="387">
        <f>'LIHTC Calculation'!E50+'LIHTC Calculation'!D50</f>
        <v>0</v>
      </c>
      <c r="C74" s="388"/>
      <c r="D74" s="349" t="e">
        <f>B74/$B$5</f>
        <v>#DIV/0!</v>
      </c>
      <c r="E74" s="378" t="e">
        <f>B74/($B$7+$B$8)</f>
        <v>#DIV/0!</v>
      </c>
      <c r="F74" s="432"/>
      <c r="G74" s="303"/>
      <c r="H74" s="303"/>
    </row>
    <row r="75" spans="1:8">
      <c r="A75" s="389" t="s">
        <v>458</v>
      </c>
      <c r="B75" s="387">
        <f>'LIHTC Calculation'!D58+'LIHTC Calculation'!E58</f>
        <v>0</v>
      </c>
      <c r="C75" s="388"/>
      <c r="D75" s="349" t="e">
        <f>B75/$B$5</f>
        <v>#DIV/0!</v>
      </c>
      <c r="E75" s="378" t="e">
        <f>B75/($B$7+$B$8)</f>
        <v>#DIV/0!</v>
      </c>
      <c r="F75" s="432"/>
      <c r="G75" s="303"/>
      <c r="H75" s="303"/>
    </row>
    <row r="76" spans="1:8" ht="25.5">
      <c r="A76" s="354"/>
      <c r="B76" s="363" t="s">
        <v>459</v>
      </c>
      <c r="C76" s="390" t="s">
        <v>460</v>
      </c>
      <c r="D76" s="363" t="s">
        <v>461</v>
      </c>
      <c r="E76" s="315"/>
      <c r="F76" s="432"/>
      <c r="G76" s="303"/>
      <c r="H76" s="303"/>
    </row>
    <row r="77" spans="1:8" ht="13.5" thickBot="1">
      <c r="A77" s="338" t="s">
        <v>462</v>
      </c>
      <c r="B77" s="339">
        <f>'Uses of Funds'!$C$130-'Uses of Funds'!$T$130</f>
        <v>0</v>
      </c>
      <c r="C77" s="369">
        <f>'LIHTC Calculation'!$E$27+'LIHTC Calculation'!$D$27</f>
        <v>0</v>
      </c>
      <c r="D77" s="339">
        <f>B77-C77</f>
        <v>0</v>
      </c>
      <c r="E77" s="391"/>
    </row>
    <row r="78" spans="1:8">
      <c r="A78" s="392"/>
      <c r="B78" s="365"/>
      <c r="C78" s="350"/>
      <c r="D78" s="365"/>
      <c r="E78" s="132"/>
    </row>
    <row r="79" spans="1:8">
      <c r="A79" s="392"/>
      <c r="B79" s="365"/>
      <c r="C79" s="350"/>
      <c r="D79" s="365"/>
      <c r="E79" s="132"/>
    </row>
    <row r="80" spans="1:8" ht="15.75" thickBot="1">
      <c r="A80" s="232" t="s">
        <v>463</v>
      </c>
      <c r="D80" s="132"/>
      <c r="E80" s="132"/>
    </row>
    <row r="81" spans="1:5" ht="15">
      <c r="A81" s="393"/>
      <c r="B81" s="160"/>
      <c r="C81" s="160" t="s">
        <v>464</v>
      </c>
      <c r="D81" s="394" t="s">
        <v>418</v>
      </c>
      <c r="E81" s="395" t="s">
        <v>419</v>
      </c>
    </row>
    <row r="82" spans="1:5">
      <c r="A82" s="346" t="s">
        <v>465</v>
      </c>
      <c r="B82" s="281">
        <f>'OAHTC Calculation'!E21</f>
        <v>0</v>
      </c>
      <c r="C82" s="281">
        <f>'OAHTC Calculation'!D17</f>
        <v>0</v>
      </c>
      <c r="D82" s="349" t="e">
        <f>B82/$B$5</f>
        <v>#DIV/0!</v>
      </c>
      <c r="E82" s="334" t="e">
        <f>B82/($B$7+$B$8)</f>
        <v>#DIV/0!</v>
      </c>
    </row>
    <row r="83" spans="1:5">
      <c r="A83" s="346" t="s">
        <v>466</v>
      </c>
      <c r="B83" s="281">
        <f>'OAHTC Calculation'!E22</f>
        <v>0</v>
      </c>
      <c r="C83" s="281">
        <f>'OAHTC Calculation'!D22</f>
        <v>0</v>
      </c>
      <c r="D83" s="349" t="e">
        <f>B83/$B$5</f>
        <v>#DIV/0!</v>
      </c>
      <c r="E83" s="334" t="e">
        <f>B83/($B$7+$B$8)</f>
        <v>#DIV/0!</v>
      </c>
    </row>
    <row r="84" spans="1:5" ht="13.5" thickBot="1">
      <c r="A84" s="396" t="s">
        <v>467</v>
      </c>
      <c r="B84" s="397">
        <f>B83-B82</f>
        <v>0</v>
      </c>
      <c r="C84" s="397">
        <f>C83-C82</f>
        <v>0</v>
      </c>
      <c r="D84" s="397" t="e">
        <f>D83-D82</f>
        <v>#DIV/0!</v>
      </c>
      <c r="E84" s="398" t="e">
        <f>E83-E82</f>
        <v>#DIV/0!</v>
      </c>
    </row>
    <row r="85" spans="1:5">
      <c r="A85" s="399"/>
      <c r="B85" s="281"/>
      <c r="C85" s="281"/>
      <c r="D85" s="281"/>
      <c r="E85" s="400"/>
    </row>
    <row r="86" spans="1:5">
      <c r="A86" s="399"/>
      <c r="B86" s="320"/>
      <c r="C86" s="281"/>
      <c r="D86" s="281"/>
      <c r="E86" s="400"/>
    </row>
    <row r="87" spans="1:5" ht="15.75" thickBot="1">
      <c r="A87" s="401" t="s">
        <v>468</v>
      </c>
      <c r="C87" s="36"/>
    </row>
    <row r="88" spans="1:5">
      <c r="A88" s="402" t="s">
        <v>469</v>
      </c>
      <c r="B88" s="403" t="e">
        <f>E15</f>
        <v>#DIV/0!</v>
      </c>
      <c r="C88" s="459"/>
      <c r="D88" s="160"/>
      <c r="E88" s="404"/>
    </row>
    <row r="89" spans="1:5">
      <c r="A89" s="346" t="s">
        <v>470</v>
      </c>
      <c r="B89" s="355" t="e">
        <f>C16</f>
        <v>#DIV/0!</v>
      </c>
      <c r="C89" s="438"/>
      <c r="D89" s="132"/>
      <c r="E89" s="285"/>
    </row>
    <row r="90" spans="1:5">
      <c r="A90" s="346" t="s">
        <v>486</v>
      </c>
      <c r="B90" s="355" t="e">
        <f>C23</f>
        <v>#DIV/0!</v>
      </c>
      <c r="C90" s="438"/>
      <c r="D90" s="132"/>
      <c r="E90" s="285"/>
    </row>
    <row r="91" spans="1:5">
      <c r="A91" s="346" t="s">
        <v>471</v>
      </c>
      <c r="B91" s="355" t="e">
        <f>C25</f>
        <v>#DIV/0!</v>
      </c>
      <c r="C91" s="438"/>
      <c r="D91" s="132"/>
      <c r="E91" s="285"/>
    </row>
    <row r="92" spans="1:5">
      <c r="A92" s="346" t="s">
        <v>484</v>
      </c>
      <c r="B92" s="355" t="e">
        <f>C27</f>
        <v>#DIV/0!</v>
      </c>
      <c r="C92" s="439"/>
      <c r="D92" s="132"/>
      <c r="E92" s="285"/>
    </row>
    <row r="93" spans="1:5">
      <c r="A93" s="346" t="s">
        <v>472</v>
      </c>
      <c r="B93" s="355" t="e">
        <f>C30</f>
        <v>#DIV/0!</v>
      </c>
      <c r="C93" s="438"/>
      <c r="D93" s="132"/>
      <c r="E93" s="285"/>
    </row>
    <row r="94" spans="1:5">
      <c r="A94" s="346" t="s">
        <v>490</v>
      </c>
      <c r="B94" s="355" t="e">
        <f>C40</f>
        <v>#DIV/0!</v>
      </c>
      <c r="C94" s="438"/>
      <c r="D94" s="132"/>
      <c r="E94" s="285"/>
    </row>
    <row r="95" spans="1:5">
      <c r="A95" s="376" t="s">
        <v>485</v>
      </c>
      <c r="B95" s="355" t="e">
        <f>C42</f>
        <v>#DIV/0!</v>
      </c>
      <c r="C95" s="438"/>
      <c r="D95" s="132"/>
      <c r="E95" s="285"/>
    </row>
    <row r="96" spans="1:5">
      <c r="A96" s="316" t="s">
        <v>487</v>
      </c>
      <c r="B96" s="355" t="e">
        <f>C49</f>
        <v>#DIV/0!</v>
      </c>
      <c r="C96" s="438"/>
      <c r="D96" s="132"/>
      <c r="E96" s="285"/>
    </row>
    <row r="97" spans="1:5">
      <c r="A97" s="316" t="s">
        <v>488</v>
      </c>
      <c r="B97" s="355" t="e">
        <f>C50</f>
        <v>#DIV/0!</v>
      </c>
      <c r="C97" s="438"/>
      <c r="D97" s="132"/>
      <c r="E97" s="285"/>
    </row>
    <row r="98" spans="1:5">
      <c r="A98" s="405" t="s">
        <v>473</v>
      </c>
      <c r="B98" s="281" t="e">
        <f>D56</f>
        <v>#DIV/0!</v>
      </c>
      <c r="C98" s="460"/>
      <c r="D98" s="132"/>
      <c r="E98" s="285"/>
    </row>
    <row r="99" spans="1:5">
      <c r="A99" s="389" t="s">
        <v>474</v>
      </c>
      <c r="B99" s="281" t="e">
        <f>B62</f>
        <v>#DIV/0!</v>
      </c>
      <c r="C99" s="461"/>
      <c r="D99" s="132"/>
      <c r="E99" s="285"/>
    </row>
    <row r="100" spans="1:5">
      <c r="A100" s="389" t="s">
        <v>475</v>
      </c>
      <c r="B100" s="281" t="e">
        <f>B66</f>
        <v>#DIV/0!</v>
      </c>
      <c r="C100" s="462"/>
      <c r="D100" s="132"/>
      <c r="E100" s="285"/>
    </row>
    <row r="101" spans="1:5" ht="13.5" thickBot="1">
      <c r="A101" s="406" t="s">
        <v>481</v>
      </c>
      <c r="B101" s="421" t="e">
        <f>B67</f>
        <v>#DIV/0!</v>
      </c>
      <c r="C101" s="463"/>
      <c r="D101" s="407"/>
      <c r="E101" s="391"/>
    </row>
  </sheetData>
  <sheetProtection formatCells="0" formatColumns="0" formatRows="0" insertColumns="0" insertRows="0" insertHyperlinks="0" deleteColumns="0" deleteRows="0" sort="0" autoFilter="0" pivotTables="0"/>
  <mergeCells count="2">
    <mergeCell ref="C58:C59"/>
    <mergeCell ref="D58:D59"/>
  </mergeCells>
  <phoneticPr fontId="6" type="noConversion"/>
  <printOptions horizontalCentered="1" gridLines="1"/>
  <pageMargins left="0.49" right="0.28999999999999998" top="0.66" bottom="0.48" header="0.18" footer="0.22"/>
  <pageSetup scale="75" firstPageNumber="12" orientation="portrait" useFirstPageNumber="1" r:id="rId1"/>
  <headerFooter alignWithMargins="0">
    <oddFooter>&amp;L2012 Funding Pro Forma  &amp;C&amp;P&amp;RUpdated 01/09/2012</oddFooter>
  </headerFooter>
  <rowBreaks count="1" manualBreakCount="1">
    <brk id="67" max="4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0"/>
  <sheetViews>
    <sheetView topLeftCell="A7" workbookViewId="0">
      <selection activeCell="B18" sqref="B18"/>
    </sheetView>
  </sheetViews>
  <sheetFormatPr defaultRowHeight="12.75"/>
  <cols>
    <col min="1" max="1" width="35.7109375" customWidth="1"/>
    <col min="2" max="2" width="17.85546875" customWidth="1"/>
    <col min="3" max="3" width="17.7109375" customWidth="1"/>
    <col min="4" max="4" width="15.7109375" customWidth="1"/>
  </cols>
  <sheetData>
    <row r="1" spans="1:3">
      <c r="A1" s="464" t="s">
        <v>491</v>
      </c>
      <c r="B1" s="468"/>
      <c r="C1" s="465"/>
    </row>
    <row r="2" spans="1:3">
      <c r="A2" s="280"/>
      <c r="B2" s="132"/>
      <c r="C2" s="285"/>
    </row>
    <row r="3" spans="1:3">
      <c r="A3" s="280" t="s">
        <v>218</v>
      </c>
      <c r="B3" s="132">
        <f>Sources!B3</f>
        <v>0</v>
      </c>
      <c r="C3" s="285"/>
    </row>
    <row r="4" spans="1:3">
      <c r="A4" s="280"/>
      <c r="B4" s="132"/>
      <c r="C4" s="285"/>
    </row>
    <row r="5" spans="1:3">
      <c r="A5" s="466" t="s">
        <v>374</v>
      </c>
      <c r="B5" s="469">
        <f>Sources!F3</f>
        <v>40909</v>
      </c>
      <c r="C5" s="285"/>
    </row>
    <row r="6" spans="1:3" ht="13.5" thickBot="1">
      <c r="A6" s="476" t="s">
        <v>506</v>
      </c>
      <c r="B6" s="477">
        <f>Income!F5</f>
        <v>0</v>
      </c>
      <c r="C6" s="391"/>
    </row>
    <row r="7" spans="1:3" ht="13.5" thickBot="1">
      <c r="A7" s="478"/>
      <c r="B7" s="478"/>
      <c r="C7" s="478"/>
    </row>
    <row r="8" spans="1:3">
      <c r="A8" s="464" t="s">
        <v>503</v>
      </c>
      <c r="B8" s="468"/>
      <c r="C8" s="465"/>
    </row>
    <row r="9" spans="1:3">
      <c r="A9" s="280"/>
      <c r="B9" s="132"/>
      <c r="C9" s="285"/>
    </row>
    <row r="10" spans="1:3">
      <c r="A10" s="484" t="s">
        <v>513</v>
      </c>
      <c r="B10" s="281">
        <f>Sources!C15+Sources!D15+Sources!E15</f>
        <v>0</v>
      </c>
      <c r="C10" s="285"/>
    </row>
    <row r="11" spans="1:3">
      <c r="A11" s="484" t="s">
        <v>514</v>
      </c>
      <c r="B11" s="281">
        <f>Sources!C24+Sources!D24+Sources!E24</f>
        <v>0</v>
      </c>
      <c r="C11" s="285"/>
    </row>
    <row r="12" spans="1:3">
      <c r="A12" s="437" t="s">
        <v>658</v>
      </c>
      <c r="B12" s="281">
        <f>Sources!C32+Sources!D32+Sources!E32</f>
        <v>0</v>
      </c>
      <c r="C12" s="285"/>
    </row>
    <row r="13" spans="1:3">
      <c r="A13" s="437" t="s">
        <v>659</v>
      </c>
      <c r="B13" s="281">
        <f>Sources!C40+Sources!D40+Sources!E40</f>
        <v>0</v>
      </c>
      <c r="C13" s="285"/>
    </row>
    <row r="14" spans="1:3" s="608" customFormat="1">
      <c r="A14" s="437" t="s">
        <v>660</v>
      </c>
      <c r="B14" s="281">
        <f>Sources!C48+Sources!D48+Sources!E48</f>
        <v>0</v>
      </c>
      <c r="C14" s="285"/>
    </row>
    <row r="15" spans="1:3">
      <c r="A15" s="437" t="s">
        <v>643</v>
      </c>
      <c r="B15" s="281">
        <f>Sources!C55+Sources!D55+Sources!E55</f>
        <v>0</v>
      </c>
      <c r="C15" s="285"/>
    </row>
    <row r="16" spans="1:3">
      <c r="A16" s="484" t="s">
        <v>515</v>
      </c>
      <c r="B16" s="281">
        <f>Sources!C61+Sources!D61+Sources!E61</f>
        <v>0</v>
      </c>
      <c r="C16" s="285"/>
    </row>
    <row r="17" spans="1:3">
      <c r="A17" s="484"/>
      <c r="B17" s="281"/>
      <c r="C17" s="285"/>
    </row>
    <row r="18" spans="1:3" ht="13.5" thickBot="1">
      <c r="A18" s="470" t="s">
        <v>507</v>
      </c>
      <c r="B18" s="397">
        <f>B16+B15+B14+B13+B12+B11+B10</f>
        <v>0</v>
      </c>
      <c r="C18" s="391"/>
    </row>
    <row r="19" spans="1:3" ht="13.5" thickBot="1">
      <c r="A19" s="160" t="str">
        <f>IF(Sources!C64+Sources!D64+Sources!E64&gt;0,Sources!A64," ")</f>
        <v xml:space="preserve"> </v>
      </c>
      <c r="B19" s="160"/>
    </row>
    <row r="20" spans="1:3">
      <c r="A20" s="464" t="s">
        <v>504</v>
      </c>
      <c r="B20" s="468"/>
      <c r="C20" s="465"/>
    </row>
    <row r="21" spans="1:3">
      <c r="A21" s="280"/>
      <c r="B21" s="132"/>
      <c r="C21" s="285"/>
    </row>
    <row r="22" spans="1:3">
      <c r="A22" s="437" t="s">
        <v>644</v>
      </c>
      <c r="B22" s="281">
        <f>'Uses of Funds'!E25</f>
        <v>0</v>
      </c>
      <c r="C22" s="285"/>
    </row>
    <row r="23" spans="1:3">
      <c r="A23" s="280" t="s">
        <v>492</v>
      </c>
      <c r="B23" s="281">
        <f>'Uses of Funds'!E50</f>
        <v>0</v>
      </c>
      <c r="C23" s="285"/>
    </row>
    <row r="24" spans="1:3">
      <c r="A24" s="280" t="s">
        <v>43</v>
      </c>
      <c r="B24" s="281">
        <f>'Uses of Funds'!E128</f>
        <v>0</v>
      </c>
      <c r="C24" s="285"/>
    </row>
    <row r="25" spans="1:3">
      <c r="A25" s="280"/>
      <c r="B25" s="281"/>
      <c r="C25" s="285"/>
    </row>
    <row r="26" spans="1:3" ht="13.5" thickBot="1">
      <c r="A26" s="470" t="s">
        <v>329</v>
      </c>
      <c r="B26" s="397">
        <f>'Uses of Funds'!E130</f>
        <v>0</v>
      </c>
      <c r="C26" s="391"/>
    </row>
    <row r="27" spans="1:3" ht="13.5" thickBot="1">
      <c r="B27" s="14"/>
    </row>
    <row r="28" spans="1:3">
      <c r="A28" s="464" t="s">
        <v>505</v>
      </c>
      <c r="B28" s="468"/>
      <c r="C28" s="465"/>
    </row>
    <row r="29" spans="1:3">
      <c r="A29" s="471"/>
      <c r="B29" s="134"/>
      <c r="C29" s="285"/>
    </row>
    <row r="30" spans="1:3">
      <c r="A30" s="471"/>
      <c r="B30" s="438" t="s">
        <v>500</v>
      </c>
      <c r="C30" s="472" t="s">
        <v>501</v>
      </c>
    </row>
    <row r="31" spans="1:3">
      <c r="A31" s="280"/>
      <c r="B31" s="132"/>
      <c r="C31" s="285"/>
    </row>
    <row r="32" spans="1:3">
      <c r="A32" s="280" t="s">
        <v>493</v>
      </c>
      <c r="B32" s="377">
        <f>Income!N25</f>
        <v>0</v>
      </c>
      <c r="C32" s="473">
        <f>'Income with OAHTC'!N25</f>
        <v>0</v>
      </c>
    </row>
    <row r="33" spans="1:3">
      <c r="A33" s="280" t="s">
        <v>494</v>
      </c>
      <c r="B33" s="377">
        <f>Income!N40</f>
        <v>0</v>
      </c>
      <c r="C33" s="473">
        <f>'Income with OAHTC'!N44</f>
        <v>0</v>
      </c>
    </row>
    <row r="34" spans="1:3">
      <c r="A34" s="280" t="s">
        <v>495</v>
      </c>
      <c r="B34" s="377">
        <f>Income!N42</f>
        <v>0</v>
      </c>
      <c r="C34" s="473">
        <f>'Income with OAHTC'!N46</f>
        <v>0</v>
      </c>
    </row>
    <row r="35" spans="1:3">
      <c r="A35" s="280" t="s">
        <v>496</v>
      </c>
      <c r="B35" s="377">
        <f>Income!N44</f>
        <v>0</v>
      </c>
      <c r="C35" s="473">
        <f>'Income with OAHTC'!N48</f>
        <v>0</v>
      </c>
    </row>
    <row r="36" spans="1:3">
      <c r="A36" s="280" t="s">
        <v>497</v>
      </c>
      <c r="B36" s="377">
        <f>Income!N42</f>
        <v>0</v>
      </c>
      <c r="C36" s="473">
        <f>'Income with OAHTC'!N50</f>
        <v>0</v>
      </c>
    </row>
    <row r="37" spans="1:3">
      <c r="A37" s="280" t="s">
        <v>161</v>
      </c>
      <c r="B37" s="377">
        <f>Expenses!E64</f>
        <v>0</v>
      </c>
      <c r="C37" s="473">
        <f>Expenses!E118</f>
        <v>0</v>
      </c>
    </row>
    <row r="38" spans="1:3">
      <c r="A38" s="280" t="s">
        <v>498</v>
      </c>
      <c r="B38" s="377">
        <f>Expenses!E109</f>
        <v>0</v>
      </c>
      <c r="C38" s="473">
        <f>Expenses!E119</f>
        <v>0</v>
      </c>
    </row>
    <row r="39" spans="1:3">
      <c r="A39" s="280" t="s">
        <v>499</v>
      </c>
      <c r="B39" s="377">
        <f>Expenses!E110</f>
        <v>0</v>
      </c>
      <c r="C39" s="473">
        <f>Expenses!E120</f>
        <v>0</v>
      </c>
    </row>
    <row r="40" spans="1:3" ht="13.5" thickBot="1">
      <c r="A40" s="467" t="s">
        <v>502</v>
      </c>
      <c r="B40" s="474" t="e">
        <f>Expenses!E113</f>
        <v>#DIV/0!</v>
      </c>
      <c r="C40" s="475" t="e">
        <f>Expenses!E123</f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gridLines="1"/>
  <pageMargins left="0.75" right="0.75" top="0.72" bottom="0.87" header="0.5" footer="0.5"/>
  <pageSetup firstPageNumber="14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64"/>
  <sheetViews>
    <sheetView topLeftCell="A25" zoomScaleNormal="100" workbookViewId="0">
      <selection activeCell="D36" sqref="D36"/>
    </sheetView>
  </sheetViews>
  <sheetFormatPr defaultColWidth="10.28515625" defaultRowHeight="12.75"/>
  <cols>
    <col min="1" max="1" width="7.42578125" customWidth="1"/>
    <col min="2" max="2" width="15.85546875" customWidth="1"/>
    <col min="3" max="3" width="58.42578125" customWidth="1"/>
    <col min="4" max="5" width="15" customWidth="1"/>
    <col min="6" max="6" width="10.7109375" bestFit="1" customWidth="1"/>
  </cols>
  <sheetData>
    <row r="2" spans="1:6" ht="15.75">
      <c r="A2" s="626" t="s">
        <v>53</v>
      </c>
      <c r="B2" s="626"/>
      <c r="C2" s="626"/>
      <c r="D2" s="626"/>
      <c r="E2" s="626"/>
      <c r="F2" s="626"/>
    </row>
    <row r="4" spans="1:6">
      <c r="B4" t="s">
        <v>218</v>
      </c>
      <c r="C4">
        <f>Sources!$B$3</f>
        <v>0</v>
      </c>
      <c r="D4" s="3"/>
      <c r="E4" s="3"/>
    </row>
    <row r="5" spans="1:6">
      <c r="B5" s="64" t="s">
        <v>374</v>
      </c>
      <c r="C5" s="103">
        <f>Sources!F3</f>
        <v>40909</v>
      </c>
    </row>
    <row r="7" spans="1:6">
      <c r="A7" s="625" t="s">
        <v>72</v>
      </c>
      <c r="B7" s="625"/>
      <c r="C7" s="625"/>
    </row>
    <row r="8" spans="1:6">
      <c r="A8" s="625"/>
      <c r="B8" s="625"/>
      <c r="C8" s="625"/>
    </row>
    <row r="9" spans="1:6">
      <c r="A9" s="5"/>
      <c r="B9" s="5"/>
      <c r="C9" s="5"/>
      <c r="D9" s="36" t="s">
        <v>74</v>
      </c>
      <c r="E9" s="36" t="s">
        <v>75</v>
      </c>
    </row>
    <row r="10" spans="1:6">
      <c r="A10" s="5"/>
      <c r="B10" s="5"/>
      <c r="C10" s="5"/>
      <c r="D10" s="36"/>
      <c r="E10" s="36"/>
    </row>
    <row r="11" spans="1:6">
      <c r="A11" s="12" t="s">
        <v>206</v>
      </c>
      <c r="D11" s="104"/>
      <c r="E11" s="104"/>
    </row>
    <row r="12" spans="1:6">
      <c r="A12" s="12"/>
      <c r="B12" s="2"/>
      <c r="D12" s="109"/>
      <c r="E12" s="109"/>
    </row>
    <row r="13" spans="1:6">
      <c r="A13" s="109"/>
      <c r="B13" s="216" t="s">
        <v>182</v>
      </c>
      <c r="C13" s="215"/>
      <c r="D13" s="109"/>
      <c r="E13" s="109"/>
    </row>
    <row r="14" spans="1:6">
      <c r="A14" s="109"/>
      <c r="B14" s="216" t="s">
        <v>183</v>
      </c>
      <c r="C14" s="215"/>
      <c r="D14" s="109"/>
      <c r="E14" s="109"/>
    </row>
    <row r="15" spans="1:6">
      <c r="A15" s="73"/>
      <c r="B15" s="73"/>
      <c r="C15" s="73"/>
      <c r="D15" s="73"/>
      <c r="E15" s="73"/>
    </row>
    <row r="16" spans="1:6">
      <c r="A16" s="5"/>
      <c r="B16" s="5"/>
      <c r="C16" s="5"/>
      <c r="D16" s="15"/>
      <c r="E16" s="15"/>
    </row>
    <row r="17" spans="1:6">
      <c r="A17" t="s">
        <v>205</v>
      </c>
      <c r="B17" s="5"/>
      <c r="C17" s="5"/>
      <c r="D17" s="15"/>
      <c r="E17" s="15"/>
    </row>
    <row r="18" spans="1:6">
      <c r="A18" s="5"/>
      <c r="D18" s="15"/>
      <c r="E18" s="15"/>
    </row>
    <row r="19" spans="1:6">
      <c r="A19" t="s">
        <v>197</v>
      </c>
      <c r="C19" s="7" t="s">
        <v>198</v>
      </c>
      <c r="D19" s="122"/>
    </row>
    <row r="20" spans="1:6">
      <c r="A20" t="s">
        <v>203</v>
      </c>
      <c r="C20" s="7" t="s">
        <v>198</v>
      </c>
      <c r="D20" s="122"/>
    </row>
    <row r="21" spans="1:6">
      <c r="A21" t="s">
        <v>204</v>
      </c>
      <c r="C21" s="7" t="s">
        <v>198</v>
      </c>
      <c r="D21" s="122"/>
    </row>
    <row r="22" spans="1:6">
      <c r="A22" s="5"/>
      <c r="B22" s="5"/>
      <c r="C22" s="5"/>
    </row>
    <row r="23" spans="1:6">
      <c r="D23" s="38">
        <v>0.3</v>
      </c>
      <c r="E23" s="38">
        <v>0.7</v>
      </c>
      <c r="F23" s="36" t="s">
        <v>329</v>
      </c>
    </row>
    <row r="24" spans="1:6">
      <c r="D24" s="40"/>
      <c r="E24" s="40"/>
    </row>
    <row r="25" spans="1:6">
      <c r="A25" s="12" t="s">
        <v>76</v>
      </c>
      <c r="C25" s="7" t="s">
        <v>26</v>
      </c>
      <c r="D25" s="105">
        <f>'Uses of Funds'!E130</f>
        <v>0</v>
      </c>
      <c r="E25" s="105">
        <f>'Uses of Funds'!E130</f>
        <v>0</v>
      </c>
    </row>
    <row r="26" spans="1:6">
      <c r="D26" s="9"/>
      <c r="E26" s="9"/>
    </row>
    <row r="27" spans="1:6">
      <c r="B27" s="234" t="s">
        <v>120</v>
      </c>
      <c r="C27" s="235"/>
      <c r="D27" s="105">
        <f>'Uses of Funds'!$E$130-'Uses of Funds'!$T$130</f>
        <v>0</v>
      </c>
      <c r="E27" s="105">
        <f>'Uses of Funds'!$E$130-'Uses of Funds'!$T$130</f>
        <v>0</v>
      </c>
    </row>
    <row r="28" spans="1:6">
      <c r="D28" s="9"/>
      <c r="E28" s="9"/>
    </row>
    <row r="29" spans="1:6">
      <c r="A29" s="66" t="s">
        <v>377</v>
      </c>
      <c r="C29" s="7"/>
      <c r="D29" s="9"/>
      <c r="E29" s="9"/>
    </row>
    <row r="30" spans="1:6">
      <c r="C30" s="59"/>
      <c r="D30" s="9"/>
      <c r="E30" s="9"/>
    </row>
    <row r="31" spans="1:6">
      <c r="B31" t="s">
        <v>27</v>
      </c>
      <c r="D31" s="105"/>
      <c r="E31" s="105"/>
    </row>
    <row r="32" spans="1:6">
      <c r="B32" t="s">
        <v>258</v>
      </c>
      <c r="D32" s="105"/>
      <c r="E32" s="105"/>
    </row>
    <row r="33" spans="1:5">
      <c r="B33" t="s">
        <v>132</v>
      </c>
      <c r="D33" s="105"/>
      <c r="E33" s="105"/>
    </row>
    <row r="34" spans="1:5">
      <c r="B34" t="s">
        <v>133</v>
      </c>
      <c r="D34" s="105"/>
      <c r="E34" s="105"/>
    </row>
    <row r="35" spans="1:5">
      <c r="B35" t="s">
        <v>134</v>
      </c>
      <c r="D35" s="105"/>
      <c r="E35" s="105"/>
    </row>
    <row r="36" spans="1:5">
      <c r="D36" s="105"/>
      <c r="E36" s="105"/>
    </row>
    <row r="37" spans="1:5">
      <c r="C37" s="60"/>
      <c r="D37" s="9"/>
      <c r="E37" s="9"/>
    </row>
    <row r="38" spans="1:5">
      <c r="A38" s="12" t="s">
        <v>77</v>
      </c>
      <c r="D38" s="79">
        <f>D25-D27-D31-D32-D33-D34-D35-D36</f>
        <v>0</v>
      </c>
      <c r="E38" s="79">
        <f>E25-E27-E31-E32-E33-E34-E35-E36</f>
        <v>0</v>
      </c>
    </row>
    <row r="39" spans="1:5">
      <c r="D39" s="9"/>
      <c r="E39" s="9"/>
    </row>
    <row r="40" spans="1:5">
      <c r="B40" t="s">
        <v>347</v>
      </c>
      <c r="D40" s="210">
        <v>1</v>
      </c>
      <c r="E40" s="124">
        <v>1</v>
      </c>
    </row>
    <row r="41" spans="1:5">
      <c r="D41" s="125"/>
      <c r="E41" s="125"/>
    </row>
    <row r="42" spans="1:5">
      <c r="A42" s="86" t="s">
        <v>207</v>
      </c>
      <c r="D42" s="79">
        <f>D40*D38</f>
        <v>0</v>
      </c>
      <c r="E42" s="79">
        <f>E40*E38</f>
        <v>0</v>
      </c>
    </row>
    <row r="43" spans="1:5">
      <c r="A43" s="86"/>
      <c r="D43" s="79"/>
      <c r="E43" s="79"/>
    </row>
    <row r="44" spans="1:5">
      <c r="B44" t="s">
        <v>78</v>
      </c>
      <c r="D44" s="123">
        <v>1</v>
      </c>
      <c r="E44" s="123">
        <v>1</v>
      </c>
    </row>
    <row r="45" spans="1:5">
      <c r="D45" s="9"/>
      <c r="E45" s="9"/>
    </row>
    <row r="46" spans="1:5">
      <c r="A46" s="12" t="s">
        <v>99</v>
      </c>
      <c r="D46" s="79">
        <f>D42*D44</f>
        <v>0</v>
      </c>
      <c r="E46" s="79">
        <f>E42*E44</f>
        <v>0</v>
      </c>
    </row>
    <row r="47" spans="1:5">
      <c r="D47" s="9"/>
      <c r="E47" s="9"/>
    </row>
    <row r="48" spans="1:5">
      <c r="B48" s="23" t="s">
        <v>477</v>
      </c>
      <c r="C48" s="23"/>
      <c r="D48" s="106"/>
      <c r="E48" s="106"/>
    </row>
    <row r="49" spans="1:6">
      <c r="D49" s="9"/>
      <c r="E49" s="9"/>
    </row>
    <row r="50" spans="1:6">
      <c r="A50" s="12" t="s">
        <v>100</v>
      </c>
      <c r="D50" s="116">
        <f>D46*D48</f>
        <v>0</v>
      </c>
      <c r="E50" s="79">
        <f>E46*E48</f>
        <v>0</v>
      </c>
    </row>
    <row r="51" spans="1:6">
      <c r="D51" s="9"/>
      <c r="E51" s="9"/>
    </row>
    <row r="52" spans="1:6">
      <c r="A52" s="12" t="s">
        <v>101</v>
      </c>
      <c r="D52" s="107"/>
      <c r="E52" s="107"/>
      <c r="F52" s="107">
        <f>D52+E52</f>
        <v>0</v>
      </c>
    </row>
    <row r="54" spans="1:6">
      <c r="A54" s="12" t="s">
        <v>102</v>
      </c>
      <c r="D54" s="25">
        <f>D52*10</f>
        <v>0</v>
      </c>
      <c r="E54" s="1">
        <f>E52*10</f>
        <v>0</v>
      </c>
    </row>
    <row r="55" spans="1:6">
      <c r="A55" s="12"/>
      <c r="D55" s="25"/>
      <c r="E55" s="1"/>
    </row>
    <row r="56" spans="1:6">
      <c r="A56" s="12" t="s">
        <v>103</v>
      </c>
      <c r="D56" s="233"/>
      <c r="E56" s="233"/>
      <c r="F56" s="592"/>
    </row>
    <row r="58" spans="1:6">
      <c r="A58" s="12" t="s">
        <v>104</v>
      </c>
      <c r="D58" s="37">
        <f>D54*D56</f>
        <v>0</v>
      </c>
      <c r="E58" s="33">
        <f>E54*E56</f>
        <v>0</v>
      </c>
      <c r="F58" s="33">
        <f>D58+E58</f>
        <v>0</v>
      </c>
    </row>
    <row r="60" spans="1:6">
      <c r="B60" t="s">
        <v>376</v>
      </c>
      <c r="D60" s="108"/>
      <c r="E60" s="108"/>
    </row>
    <row r="62" spans="1:6">
      <c r="A62" s="12" t="s">
        <v>52</v>
      </c>
      <c r="D62" s="593">
        <f>D58*D60</f>
        <v>0</v>
      </c>
      <c r="E62" s="593">
        <f>E58*E60</f>
        <v>0</v>
      </c>
      <c r="F62" s="593">
        <f>D62+E62</f>
        <v>0</v>
      </c>
    </row>
    <row r="64" spans="1:6">
      <c r="A64" s="627" t="s">
        <v>257</v>
      </c>
      <c r="B64" s="627"/>
      <c r="C64" s="627"/>
      <c r="D64" s="627"/>
      <c r="E64" s="627"/>
      <c r="F64" s="627"/>
    </row>
  </sheetData>
  <sheetProtection formatCells="0" formatColumns="0" formatRows="0" insertColumns="0" insertRows="0" insertHyperlinks="0" deleteColumns="0" deleteRows="0" sort="0" autoFilter="0" pivotTables="0"/>
  <mergeCells count="3">
    <mergeCell ref="A7:C8"/>
    <mergeCell ref="A2:F2"/>
    <mergeCell ref="A64:F64"/>
  </mergeCells>
  <phoneticPr fontId="6" type="noConversion"/>
  <printOptions horizontalCentered="1" verticalCentered="1" gridLines="1"/>
  <pageMargins left="0.75" right="0.75" top="1" bottom="1" header="0.5" footer="0.5"/>
  <pageSetup scale="74" firstPageNumber="15" orientation="portrait" useFirstPageNumber="1" r:id="rId1"/>
  <headerFooter alignWithMargins="0">
    <oddFooter>&amp;L2012 Funding Pro Forma&amp;C&amp;P&amp;RUpdated 01/09/2012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G58"/>
  <sheetViews>
    <sheetView workbookViewId="0">
      <pane ySplit="8" topLeftCell="A36" activePane="bottomLeft" state="frozen"/>
      <selection pane="bottomLeft" activeCell="B56" sqref="B56"/>
    </sheetView>
  </sheetViews>
  <sheetFormatPr defaultColWidth="10.28515625" defaultRowHeight="12.75"/>
  <cols>
    <col min="1" max="3" width="5.7109375" customWidth="1"/>
    <col min="4" max="4" width="7.42578125" customWidth="1"/>
    <col min="5" max="5" width="6.7109375" customWidth="1"/>
    <col min="6" max="6" width="9.7109375" customWidth="1"/>
    <col min="7" max="7" width="2.42578125" customWidth="1"/>
    <col min="8" max="8" width="6.7109375" customWidth="1"/>
    <col min="9" max="9" width="2.42578125" customWidth="1"/>
    <col min="10" max="10" width="7.7109375" customWidth="1"/>
    <col min="11" max="11" width="5.7109375" customWidth="1"/>
    <col min="12" max="12" width="7.28515625" customWidth="1"/>
    <col min="13" max="13" width="6" customWidth="1"/>
    <col min="14" max="18" width="11.42578125" customWidth="1"/>
    <col min="19" max="22" width="10.85546875" hidden="1" customWidth="1"/>
    <col min="23" max="23" width="11.42578125" customWidth="1"/>
    <col min="24" max="27" width="10.85546875" hidden="1" customWidth="1"/>
    <col min="28" max="28" width="11.42578125" customWidth="1"/>
    <col min="29" max="32" width="10.85546875" hidden="1" customWidth="1"/>
    <col min="33" max="33" width="11.42578125" customWidth="1"/>
    <col min="34" max="42" width="10.85546875" hidden="1" customWidth="1"/>
    <col min="43" max="43" width="11.42578125" customWidth="1"/>
  </cols>
  <sheetData>
    <row r="1" spans="1:85" ht="15.75">
      <c r="A1" s="180" t="s">
        <v>119</v>
      </c>
      <c r="B1" s="12"/>
      <c r="C1" s="12"/>
      <c r="D1" s="12"/>
      <c r="H1" s="12"/>
      <c r="R1" s="62"/>
      <c r="AR1" s="224"/>
      <c r="AS1" s="74"/>
      <c r="AT1" s="74"/>
      <c r="AU1" s="224"/>
      <c r="AV1" s="74"/>
      <c r="AW1" s="74"/>
      <c r="AX1" s="74"/>
      <c r="AY1" s="74"/>
      <c r="AZ1" s="74"/>
      <c r="BA1" s="74"/>
      <c r="BB1" s="74"/>
      <c r="BC1" s="74"/>
      <c r="BD1" s="15"/>
      <c r="BE1" s="225"/>
      <c r="BF1" s="15"/>
      <c r="BG1" s="15"/>
      <c r="BH1" s="15"/>
    </row>
    <row r="2" spans="1:85">
      <c r="G2" s="15"/>
      <c r="H2" s="15"/>
      <c r="I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</row>
    <row r="3" spans="1:85">
      <c r="B3" s="3" t="s">
        <v>218</v>
      </c>
      <c r="C3" s="3"/>
      <c r="D3" s="3"/>
      <c r="E3">
        <f>Sources!$B$3</f>
        <v>0</v>
      </c>
      <c r="H3" s="73"/>
      <c r="I3" s="73"/>
      <c r="J3" s="23"/>
      <c r="M3" s="23"/>
      <c r="N3" s="23"/>
      <c r="AR3" s="15"/>
      <c r="AS3" s="74"/>
      <c r="AT3" s="74"/>
      <c r="AU3" s="73"/>
      <c r="AV3" s="73"/>
      <c r="AW3" s="73"/>
      <c r="AX3" s="15"/>
      <c r="AY3" s="15"/>
      <c r="AZ3" s="15"/>
      <c r="BA3" s="73"/>
      <c r="BB3" s="193"/>
      <c r="BC3" s="15"/>
      <c r="BD3" s="15"/>
      <c r="BE3" s="15"/>
      <c r="BF3" s="15"/>
      <c r="BG3" s="15"/>
      <c r="BH3" s="15"/>
    </row>
    <row r="4" spans="1:85">
      <c r="D4" s="23" t="s">
        <v>374</v>
      </c>
      <c r="F4" s="88">
        <f>Sources!F3</f>
        <v>40909</v>
      </c>
      <c r="AR4" s="15"/>
      <c r="AS4" s="15"/>
      <c r="AT4" s="15"/>
      <c r="AU4" s="72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</row>
    <row r="5" spans="1:85">
      <c r="D5" t="s">
        <v>309</v>
      </c>
      <c r="F5">
        <f>Income!F5</f>
        <v>0</v>
      </c>
      <c r="I5" s="15"/>
      <c r="AR5" s="15"/>
      <c r="AS5" s="15"/>
      <c r="AT5" s="15"/>
      <c r="AU5" s="72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</row>
    <row r="6" spans="1:85">
      <c r="A6" s="12" t="s">
        <v>259</v>
      </c>
      <c r="B6" s="12"/>
      <c r="C6" s="12"/>
      <c r="D6" s="12"/>
      <c r="I6" t="s">
        <v>51</v>
      </c>
      <c r="M6" s="131">
        <f>+Income!M6</f>
        <v>0.02</v>
      </c>
      <c r="AR6" s="72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31"/>
      <c r="BD6" s="15"/>
      <c r="BE6" s="15"/>
      <c r="BF6" s="15"/>
      <c r="BG6" s="15"/>
      <c r="BH6" s="15"/>
    </row>
    <row r="7" spans="1:85" ht="18.75" customHeight="1">
      <c r="A7" s="135" t="s">
        <v>550</v>
      </c>
      <c r="B7" s="132"/>
      <c r="C7" s="132"/>
      <c r="E7" s="508"/>
      <c r="F7" s="12" t="s">
        <v>548</v>
      </c>
      <c r="M7" s="508"/>
      <c r="N7" s="12" t="s">
        <v>549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</row>
    <row r="8" spans="1:85" ht="56.25" customHeight="1">
      <c r="A8" s="8" t="s">
        <v>306</v>
      </c>
      <c r="B8" s="8" t="s">
        <v>129</v>
      </c>
      <c r="C8" s="133" t="s">
        <v>379</v>
      </c>
      <c r="D8" s="8" t="s">
        <v>307</v>
      </c>
      <c r="E8" s="8" t="s">
        <v>130</v>
      </c>
      <c r="F8" s="8" t="s">
        <v>82</v>
      </c>
      <c r="G8" s="7"/>
      <c r="H8" s="8" t="s">
        <v>83</v>
      </c>
      <c r="I8" s="8"/>
      <c r="J8" s="8" t="s">
        <v>84</v>
      </c>
      <c r="K8" s="7"/>
      <c r="L8" s="8" t="s">
        <v>85</v>
      </c>
      <c r="M8" s="7"/>
      <c r="N8" s="8">
        <v>1</v>
      </c>
      <c r="O8" s="8">
        <v>2</v>
      </c>
      <c r="P8" s="8">
        <v>3</v>
      </c>
      <c r="Q8" s="8">
        <v>4</v>
      </c>
      <c r="R8" s="8">
        <v>5</v>
      </c>
      <c r="S8" s="8">
        <v>6</v>
      </c>
      <c r="T8" s="8">
        <v>7</v>
      </c>
      <c r="U8" s="8">
        <v>8</v>
      </c>
      <c r="V8" s="8">
        <v>9</v>
      </c>
      <c r="W8" s="8">
        <v>10</v>
      </c>
      <c r="X8" s="8">
        <v>11</v>
      </c>
      <c r="Y8" s="8">
        <v>12</v>
      </c>
      <c r="Z8" s="8">
        <v>13</v>
      </c>
      <c r="AA8" s="8">
        <v>14</v>
      </c>
      <c r="AB8" s="8">
        <v>15</v>
      </c>
      <c r="AC8" s="8">
        <v>16</v>
      </c>
      <c r="AD8" s="8">
        <v>17</v>
      </c>
      <c r="AE8" s="8">
        <v>18</v>
      </c>
      <c r="AF8" s="8">
        <v>19</v>
      </c>
      <c r="AG8" s="8">
        <v>20</v>
      </c>
      <c r="AH8" s="8">
        <v>21</v>
      </c>
      <c r="AI8" s="8">
        <v>22</v>
      </c>
      <c r="AJ8" s="8">
        <v>23</v>
      </c>
      <c r="AK8" s="8">
        <v>24</v>
      </c>
      <c r="AL8" s="8">
        <v>25</v>
      </c>
      <c r="AM8" s="8">
        <v>26</v>
      </c>
      <c r="AN8" s="8">
        <v>27</v>
      </c>
      <c r="AO8" s="8">
        <v>28</v>
      </c>
      <c r="AP8" s="8">
        <v>29</v>
      </c>
      <c r="AQ8" s="8">
        <v>30</v>
      </c>
      <c r="AR8" s="226"/>
      <c r="AS8" s="226"/>
      <c r="AT8" s="226"/>
      <c r="AU8" s="226"/>
      <c r="AV8" s="226"/>
      <c r="AW8" s="219"/>
      <c r="AX8" s="226"/>
      <c r="AY8" s="226"/>
      <c r="AZ8" s="226"/>
      <c r="BA8" s="219"/>
      <c r="BB8" s="226"/>
      <c r="BC8" s="219"/>
      <c r="BD8" s="226"/>
      <c r="BE8" s="226"/>
      <c r="BF8" s="226"/>
      <c r="BG8" s="226"/>
      <c r="BH8" s="226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</row>
    <row r="9" spans="1:85">
      <c r="E9" s="5"/>
      <c r="F9" s="5"/>
      <c r="H9" s="5"/>
      <c r="I9" s="5"/>
      <c r="J9" s="5"/>
      <c r="L9" s="5"/>
      <c r="N9" s="5"/>
      <c r="O9" s="5"/>
      <c r="P9" s="5"/>
      <c r="Q9" s="5"/>
      <c r="AR9" s="15"/>
      <c r="AS9" s="15"/>
      <c r="AT9" s="15"/>
      <c r="AU9" s="204"/>
      <c r="AV9" s="204"/>
      <c r="AW9" s="15"/>
      <c r="AX9" s="204"/>
      <c r="AY9" s="204"/>
      <c r="AZ9" s="204"/>
      <c r="BA9" s="15"/>
      <c r="BB9" s="204"/>
      <c r="BC9" s="15"/>
      <c r="BD9" s="204"/>
      <c r="BE9" s="204"/>
      <c r="BF9" s="204"/>
      <c r="BG9" s="204"/>
      <c r="BH9" s="15"/>
    </row>
    <row r="10" spans="1:85">
      <c r="A10" s="444"/>
      <c r="B10" s="137" t="s">
        <v>308</v>
      </c>
      <c r="C10" s="214"/>
      <c r="D10" s="130"/>
      <c r="E10" s="115" t="e">
        <f t="shared" ref="E10:E23" si="0">ROUNDUP(IF(OR(A10="sro",A10=0),+F10/(VLOOKUP($F$5,Rents,26)*2),IF(A10=1,+F10/(VLOOKUP($F$5,Rents,27)*2),IF(A10=2,+F10/(VLOOKUP($F$5,Rents,28)*2),IF(A10=3,+F10/(VLOOKUP($F$5,Rents,29)*2),IF(A10=4,+F10/(VLOOKUP($F$5,Rents,30)*2),IF(A10=5,+F10/(VLOOKUP($F$5,Rents,31)*2),0)))))),3)*100</f>
        <v>#N/A</v>
      </c>
      <c r="F10" s="92"/>
      <c r="G10" s="30" t="s">
        <v>87</v>
      </c>
      <c r="H10" s="93"/>
      <c r="I10" s="30" t="s">
        <v>88</v>
      </c>
      <c r="J10" s="56">
        <f t="shared" ref="J10:J23" si="1">F10-H10</f>
        <v>0</v>
      </c>
      <c r="K10" s="57" t="s">
        <v>89</v>
      </c>
      <c r="L10" s="92"/>
      <c r="M10" s="50" t="s">
        <v>88</v>
      </c>
      <c r="N10" s="116">
        <f t="shared" ref="N10:N23" si="2">J10*L10*12</f>
        <v>0</v>
      </c>
      <c r="O10" s="116">
        <f t="shared" ref="O10:AQ18" si="3">(+N10*$M$6)+N10</f>
        <v>0</v>
      </c>
      <c r="P10" s="116">
        <f t="shared" si="3"/>
        <v>0</v>
      </c>
      <c r="Q10" s="116">
        <f t="shared" si="3"/>
        <v>0</v>
      </c>
      <c r="R10" s="116">
        <f t="shared" si="3"/>
        <v>0</v>
      </c>
      <c r="S10" s="116">
        <f t="shared" si="3"/>
        <v>0</v>
      </c>
      <c r="T10" s="116">
        <f t="shared" si="3"/>
        <v>0</v>
      </c>
      <c r="U10" s="116">
        <f t="shared" si="3"/>
        <v>0</v>
      </c>
      <c r="V10" s="116">
        <f t="shared" si="3"/>
        <v>0</v>
      </c>
      <c r="W10" s="116">
        <f t="shared" si="3"/>
        <v>0</v>
      </c>
      <c r="X10" s="116">
        <f t="shared" si="3"/>
        <v>0</v>
      </c>
      <c r="Y10" s="116">
        <f t="shared" si="3"/>
        <v>0</v>
      </c>
      <c r="Z10" s="116">
        <f t="shared" si="3"/>
        <v>0</v>
      </c>
      <c r="AA10" s="116">
        <f t="shared" si="3"/>
        <v>0</v>
      </c>
      <c r="AB10" s="116">
        <f t="shared" si="3"/>
        <v>0</v>
      </c>
      <c r="AC10" s="116">
        <f t="shared" si="3"/>
        <v>0</v>
      </c>
      <c r="AD10" s="116">
        <f t="shared" si="3"/>
        <v>0</v>
      </c>
      <c r="AE10" s="116">
        <f t="shared" si="3"/>
        <v>0</v>
      </c>
      <c r="AF10" s="116">
        <f t="shared" si="3"/>
        <v>0</v>
      </c>
      <c r="AG10" s="116">
        <f t="shared" si="3"/>
        <v>0</v>
      </c>
      <c r="AH10" s="116">
        <f t="shared" si="3"/>
        <v>0</v>
      </c>
      <c r="AI10" s="116">
        <f t="shared" si="3"/>
        <v>0</v>
      </c>
      <c r="AJ10" s="116">
        <f t="shared" si="3"/>
        <v>0</v>
      </c>
      <c r="AK10" s="116">
        <f t="shared" si="3"/>
        <v>0</v>
      </c>
      <c r="AL10" s="116">
        <f t="shared" si="3"/>
        <v>0</v>
      </c>
      <c r="AM10" s="116">
        <f t="shared" si="3"/>
        <v>0</v>
      </c>
      <c r="AN10" s="116">
        <f t="shared" si="3"/>
        <v>0</v>
      </c>
      <c r="AO10" s="116">
        <f t="shared" si="3"/>
        <v>0</v>
      </c>
      <c r="AP10" s="116">
        <f t="shared" si="3"/>
        <v>0</v>
      </c>
      <c r="AQ10" s="116">
        <f t="shared" si="3"/>
        <v>0</v>
      </c>
      <c r="AR10" s="222"/>
      <c r="AS10" s="73"/>
      <c r="AT10" s="223"/>
      <c r="AU10" s="121"/>
      <c r="AV10" s="220"/>
      <c r="AW10" s="219"/>
      <c r="AX10" s="73"/>
      <c r="AY10" s="219"/>
      <c r="AZ10" s="84"/>
      <c r="BA10" s="221"/>
      <c r="BB10" s="220"/>
      <c r="BC10" s="219"/>
      <c r="BD10" s="227"/>
      <c r="BE10" s="227"/>
      <c r="BF10" s="227"/>
      <c r="BG10" s="227"/>
      <c r="BH10" s="227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</row>
    <row r="11" spans="1:85">
      <c r="A11" s="446"/>
      <c r="B11" s="137" t="s">
        <v>308</v>
      </c>
      <c r="C11" s="214"/>
      <c r="D11" s="130"/>
      <c r="E11" s="115" t="e">
        <f t="shared" si="0"/>
        <v>#N/A</v>
      </c>
      <c r="F11" s="92"/>
      <c r="G11" s="30" t="s">
        <v>87</v>
      </c>
      <c r="H11" s="93"/>
      <c r="I11" s="30" t="s">
        <v>88</v>
      </c>
      <c r="J11" s="56">
        <f t="shared" si="1"/>
        <v>0</v>
      </c>
      <c r="K11" s="57" t="s">
        <v>89</v>
      </c>
      <c r="L11" s="92"/>
      <c r="M11" s="50" t="s">
        <v>88</v>
      </c>
      <c r="N11" s="116">
        <f t="shared" si="2"/>
        <v>0</v>
      </c>
      <c r="O11" s="116">
        <f t="shared" si="3"/>
        <v>0</v>
      </c>
      <c r="P11" s="116">
        <f t="shared" si="3"/>
        <v>0</v>
      </c>
      <c r="Q11" s="116">
        <f t="shared" si="3"/>
        <v>0</v>
      </c>
      <c r="R11" s="116">
        <f t="shared" si="3"/>
        <v>0</v>
      </c>
      <c r="S11" s="116">
        <f t="shared" si="3"/>
        <v>0</v>
      </c>
      <c r="T11" s="116">
        <f t="shared" si="3"/>
        <v>0</v>
      </c>
      <c r="U11" s="116">
        <f t="shared" si="3"/>
        <v>0</v>
      </c>
      <c r="V11" s="116">
        <f t="shared" si="3"/>
        <v>0</v>
      </c>
      <c r="W11" s="116">
        <f t="shared" si="3"/>
        <v>0</v>
      </c>
      <c r="X11" s="116">
        <f t="shared" si="3"/>
        <v>0</v>
      </c>
      <c r="Y11" s="116">
        <f t="shared" si="3"/>
        <v>0</v>
      </c>
      <c r="Z11" s="116">
        <f t="shared" si="3"/>
        <v>0</v>
      </c>
      <c r="AA11" s="116">
        <f t="shared" si="3"/>
        <v>0</v>
      </c>
      <c r="AB11" s="116">
        <f t="shared" si="3"/>
        <v>0</v>
      </c>
      <c r="AC11" s="116">
        <f t="shared" si="3"/>
        <v>0</v>
      </c>
      <c r="AD11" s="116">
        <f t="shared" si="3"/>
        <v>0</v>
      </c>
      <c r="AE11" s="116">
        <f t="shared" si="3"/>
        <v>0</v>
      </c>
      <c r="AF11" s="116">
        <f t="shared" si="3"/>
        <v>0</v>
      </c>
      <c r="AG11" s="116">
        <f t="shared" si="3"/>
        <v>0</v>
      </c>
      <c r="AH11" s="116">
        <f t="shared" si="3"/>
        <v>0</v>
      </c>
      <c r="AI11" s="116">
        <f t="shared" si="3"/>
        <v>0</v>
      </c>
      <c r="AJ11" s="116">
        <f t="shared" si="3"/>
        <v>0</v>
      </c>
      <c r="AK11" s="116">
        <f t="shared" si="3"/>
        <v>0</v>
      </c>
      <c r="AL11" s="116">
        <f t="shared" si="3"/>
        <v>0</v>
      </c>
      <c r="AM11" s="116">
        <f t="shared" si="3"/>
        <v>0</v>
      </c>
      <c r="AN11" s="116">
        <f t="shared" si="3"/>
        <v>0</v>
      </c>
      <c r="AO11" s="116">
        <f t="shared" si="3"/>
        <v>0</v>
      </c>
      <c r="AP11" s="116">
        <f t="shared" si="3"/>
        <v>0</v>
      </c>
      <c r="AQ11" s="116">
        <f t="shared" si="3"/>
        <v>0</v>
      </c>
      <c r="AR11" s="222"/>
      <c r="AS11" s="73"/>
      <c r="AT11" s="223"/>
      <c r="AU11" s="121"/>
      <c r="AV11" s="220"/>
      <c r="AW11" s="219"/>
      <c r="AX11" s="73"/>
      <c r="AY11" s="219"/>
      <c r="AZ11" s="84"/>
      <c r="BA11" s="221"/>
      <c r="BB11" s="220"/>
      <c r="BC11" s="219"/>
      <c r="BD11" s="227"/>
      <c r="BE11" s="227"/>
      <c r="BF11" s="227"/>
      <c r="BG11" s="227"/>
      <c r="BH11" s="227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</row>
    <row r="12" spans="1:85">
      <c r="A12" s="446"/>
      <c r="B12" s="137" t="s">
        <v>308</v>
      </c>
      <c r="C12" s="214"/>
      <c r="D12" s="130"/>
      <c r="E12" s="115" t="e">
        <f t="shared" si="0"/>
        <v>#N/A</v>
      </c>
      <c r="F12" s="92"/>
      <c r="G12" s="30" t="s">
        <v>87</v>
      </c>
      <c r="H12" s="93"/>
      <c r="I12" s="30" t="s">
        <v>88</v>
      </c>
      <c r="J12" s="56">
        <f t="shared" si="1"/>
        <v>0</v>
      </c>
      <c r="K12" s="57" t="s">
        <v>89</v>
      </c>
      <c r="L12" s="92"/>
      <c r="M12" s="50" t="s">
        <v>88</v>
      </c>
      <c r="N12" s="116">
        <f t="shared" si="2"/>
        <v>0</v>
      </c>
      <c r="O12" s="116">
        <f t="shared" si="3"/>
        <v>0</v>
      </c>
      <c r="P12" s="116">
        <f t="shared" si="3"/>
        <v>0</v>
      </c>
      <c r="Q12" s="116">
        <f t="shared" si="3"/>
        <v>0</v>
      </c>
      <c r="R12" s="116">
        <f t="shared" si="3"/>
        <v>0</v>
      </c>
      <c r="S12" s="116">
        <f t="shared" si="3"/>
        <v>0</v>
      </c>
      <c r="T12" s="116">
        <f t="shared" si="3"/>
        <v>0</v>
      </c>
      <c r="U12" s="116">
        <f t="shared" si="3"/>
        <v>0</v>
      </c>
      <c r="V12" s="116">
        <f t="shared" si="3"/>
        <v>0</v>
      </c>
      <c r="W12" s="116">
        <f t="shared" si="3"/>
        <v>0</v>
      </c>
      <c r="X12" s="116">
        <f t="shared" si="3"/>
        <v>0</v>
      </c>
      <c r="Y12" s="116">
        <f t="shared" si="3"/>
        <v>0</v>
      </c>
      <c r="Z12" s="116">
        <f t="shared" si="3"/>
        <v>0</v>
      </c>
      <c r="AA12" s="116">
        <f t="shared" si="3"/>
        <v>0</v>
      </c>
      <c r="AB12" s="116">
        <f t="shared" si="3"/>
        <v>0</v>
      </c>
      <c r="AC12" s="116">
        <f t="shared" si="3"/>
        <v>0</v>
      </c>
      <c r="AD12" s="116">
        <f t="shared" si="3"/>
        <v>0</v>
      </c>
      <c r="AE12" s="116">
        <f t="shared" si="3"/>
        <v>0</v>
      </c>
      <c r="AF12" s="116">
        <f t="shared" si="3"/>
        <v>0</v>
      </c>
      <c r="AG12" s="116">
        <f t="shared" si="3"/>
        <v>0</v>
      </c>
      <c r="AH12" s="116">
        <f t="shared" si="3"/>
        <v>0</v>
      </c>
      <c r="AI12" s="116">
        <f t="shared" si="3"/>
        <v>0</v>
      </c>
      <c r="AJ12" s="116">
        <f t="shared" si="3"/>
        <v>0</v>
      </c>
      <c r="AK12" s="116">
        <f t="shared" si="3"/>
        <v>0</v>
      </c>
      <c r="AL12" s="116">
        <f t="shared" si="3"/>
        <v>0</v>
      </c>
      <c r="AM12" s="116">
        <f t="shared" si="3"/>
        <v>0</v>
      </c>
      <c r="AN12" s="116">
        <f t="shared" si="3"/>
        <v>0</v>
      </c>
      <c r="AO12" s="116">
        <f t="shared" si="3"/>
        <v>0</v>
      </c>
      <c r="AP12" s="116">
        <f t="shared" si="3"/>
        <v>0</v>
      </c>
      <c r="AQ12" s="116">
        <f t="shared" si="3"/>
        <v>0</v>
      </c>
      <c r="AR12" s="222"/>
      <c r="AS12" s="73"/>
      <c r="AT12" s="223"/>
      <c r="AU12" s="121"/>
      <c r="AV12" s="220"/>
      <c r="AW12" s="219"/>
      <c r="AX12" s="73"/>
      <c r="AY12" s="219"/>
      <c r="AZ12" s="84"/>
      <c r="BA12" s="221"/>
      <c r="BB12" s="220"/>
      <c r="BC12" s="219"/>
      <c r="BD12" s="227"/>
      <c r="BE12" s="227"/>
      <c r="BF12" s="227"/>
      <c r="BG12" s="227"/>
      <c r="BH12" s="227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</row>
    <row r="13" spans="1:85">
      <c r="A13" s="446"/>
      <c r="B13" s="137" t="s">
        <v>308</v>
      </c>
      <c r="C13" s="214"/>
      <c r="D13" s="130"/>
      <c r="E13" s="115" t="e">
        <f t="shared" si="0"/>
        <v>#N/A</v>
      </c>
      <c r="F13" s="92"/>
      <c r="G13" s="30" t="s">
        <v>87</v>
      </c>
      <c r="H13" s="93"/>
      <c r="I13" s="30" t="s">
        <v>88</v>
      </c>
      <c r="J13" s="56">
        <f t="shared" si="1"/>
        <v>0</v>
      </c>
      <c r="K13" s="57" t="s">
        <v>89</v>
      </c>
      <c r="L13" s="92"/>
      <c r="M13" s="50" t="s">
        <v>88</v>
      </c>
      <c r="N13" s="116">
        <f t="shared" si="2"/>
        <v>0</v>
      </c>
      <c r="O13" s="116">
        <f t="shared" si="3"/>
        <v>0</v>
      </c>
      <c r="P13" s="116">
        <f t="shared" si="3"/>
        <v>0</v>
      </c>
      <c r="Q13" s="116">
        <f t="shared" si="3"/>
        <v>0</v>
      </c>
      <c r="R13" s="116">
        <f t="shared" si="3"/>
        <v>0</v>
      </c>
      <c r="S13" s="116">
        <f t="shared" si="3"/>
        <v>0</v>
      </c>
      <c r="T13" s="116">
        <f t="shared" si="3"/>
        <v>0</v>
      </c>
      <c r="U13" s="116">
        <f t="shared" si="3"/>
        <v>0</v>
      </c>
      <c r="V13" s="116">
        <f t="shared" si="3"/>
        <v>0</v>
      </c>
      <c r="W13" s="116">
        <f t="shared" si="3"/>
        <v>0</v>
      </c>
      <c r="X13" s="116">
        <f t="shared" si="3"/>
        <v>0</v>
      </c>
      <c r="Y13" s="116">
        <f t="shared" si="3"/>
        <v>0</v>
      </c>
      <c r="Z13" s="116">
        <f t="shared" si="3"/>
        <v>0</v>
      </c>
      <c r="AA13" s="116">
        <f t="shared" si="3"/>
        <v>0</v>
      </c>
      <c r="AB13" s="116">
        <f t="shared" si="3"/>
        <v>0</v>
      </c>
      <c r="AC13" s="116">
        <f t="shared" si="3"/>
        <v>0</v>
      </c>
      <c r="AD13" s="116">
        <f t="shared" si="3"/>
        <v>0</v>
      </c>
      <c r="AE13" s="116">
        <f t="shared" si="3"/>
        <v>0</v>
      </c>
      <c r="AF13" s="116">
        <f t="shared" si="3"/>
        <v>0</v>
      </c>
      <c r="AG13" s="116">
        <f t="shared" si="3"/>
        <v>0</v>
      </c>
      <c r="AH13" s="116">
        <f t="shared" si="3"/>
        <v>0</v>
      </c>
      <c r="AI13" s="116">
        <f t="shared" si="3"/>
        <v>0</v>
      </c>
      <c r="AJ13" s="116">
        <f t="shared" si="3"/>
        <v>0</v>
      </c>
      <c r="AK13" s="116">
        <f t="shared" si="3"/>
        <v>0</v>
      </c>
      <c r="AL13" s="116">
        <f t="shared" si="3"/>
        <v>0</v>
      </c>
      <c r="AM13" s="116">
        <f t="shared" si="3"/>
        <v>0</v>
      </c>
      <c r="AN13" s="116">
        <f t="shared" si="3"/>
        <v>0</v>
      </c>
      <c r="AO13" s="116">
        <f t="shared" si="3"/>
        <v>0</v>
      </c>
      <c r="AP13" s="116">
        <f t="shared" si="3"/>
        <v>0</v>
      </c>
      <c r="AQ13" s="116">
        <f t="shared" si="3"/>
        <v>0</v>
      </c>
      <c r="AR13" s="222"/>
      <c r="AS13" s="73"/>
      <c r="AT13" s="223"/>
      <c r="AU13" s="121"/>
      <c r="AV13" s="220"/>
      <c r="AW13" s="219"/>
      <c r="AX13" s="73"/>
      <c r="AY13" s="219"/>
      <c r="AZ13" s="84"/>
      <c r="BA13" s="221"/>
      <c r="BB13" s="220"/>
      <c r="BC13" s="219"/>
      <c r="BD13" s="227"/>
      <c r="BE13" s="227"/>
      <c r="BF13" s="227"/>
      <c r="BG13" s="227"/>
      <c r="BH13" s="227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</row>
    <row r="14" spans="1:85">
      <c r="A14" s="446"/>
      <c r="B14" s="137" t="s">
        <v>308</v>
      </c>
      <c r="C14" s="214"/>
      <c r="D14" s="130"/>
      <c r="E14" s="115" t="e">
        <f t="shared" si="0"/>
        <v>#N/A</v>
      </c>
      <c r="F14" s="92"/>
      <c r="G14" s="30" t="s">
        <v>87</v>
      </c>
      <c r="H14" s="93"/>
      <c r="I14" s="30" t="s">
        <v>88</v>
      </c>
      <c r="J14" s="56">
        <f t="shared" si="1"/>
        <v>0</v>
      </c>
      <c r="K14" s="57" t="s">
        <v>89</v>
      </c>
      <c r="L14" s="92"/>
      <c r="M14" s="50" t="s">
        <v>88</v>
      </c>
      <c r="N14" s="116">
        <f t="shared" si="2"/>
        <v>0</v>
      </c>
      <c r="O14" s="116">
        <f t="shared" si="3"/>
        <v>0</v>
      </c>
      <c r="P14" s="116">
        <f t="shared" si="3"/>
        <v>0</v>
      </c>
      <c r="Q14" s="116">
        <f t="shared" si="3"/>
        <v>0</v>
      </c>
      <c r="R14" s="116">
        <f t="shared" si="3"/>
        <v>0</v>
      </c>
      <c r="S14" s="116">
        <f t="shared" si="3"/>
        <v>0</v>
      </c>
      <c r="T14" s="116">
        <f t="shared" si="3"/>
        <v>0</v>
      </c>
      <c r="U14" s="116">
        <f t="shared" si="3"/>
        <v>0</v>
      </c>
      <c r="V14" s="116">
        <f t="shared" si="3"/>
        <v>0</v>
      </c>
      <c r="W14" s="116">
        <f t="shared" si="3"/>
        <v>0</v>
      </c>
      <c r="X14" s="116">
        <f t="shared" si="3"/>
        <v>0</v>
      </c>
      <c r="Y14" s="116">
        <f t="shared" si="3"/>
        <v>0</v>
      </c>
      <c r="Z14" s="116">
        <f t="shared" si="3"/>
        <v>0</v>
      </c>
      <c r="AA14" s="116">
        <f t="shared" si="3"/>
        <v>0</v>
      </c>
      <c r="AB14" s="116">
        <f t="shared" si="3"/>
        <v>0</v>
      </c>
      <c r="AC14" s="116">
        <f t="shared" si="3"/>
        <v>0</v>
      </c>
      <c r="AD14" s="116">
        <f t="shared" si="3"/>
        <v>0</v>
      </c>
      <c r="AE14" s="116">
        <f t="shared" si="3"/>
        <v>0</v>
      </c>
      <c r="AF14" s="116">
        <f t="shared" si="3"/>
        <v>0</v>
      </c>
      <c r="AG14" s="116">
        <f t="shared" si="3"/>
        <v>0</v>
      </c>
      <c r="AH14" s="116">
        <f t="shared" si="3"/>
        <v>0</v>
      </c>
      <c r="AI14" s="116">
        <f t="shared" si="3"/>
        <v>0</v>
      </c>
      <c r="AJ14" s="116">
        <f t="shared" si="3"/>
        <v>0</v>
      </c>
      <c r="AK14" s="116">
        <f t="shared" si="3"/>
        <v>0</v>
      </c>
      <c r="AL14" s="116">
        <f t="shared" si="3"/>
        <v>0</v>
      </c>
      <c r="AM14" s="116">
        <f t="shared" si="3"/>
        <v>0</v>
      </c>
      <c r="AN14" s="116">
        <f t="shared" si="3"/>
        <v>0</v>
      </c>
      <c r="AO14" s="116">
        <f t="shared" si="3"/>
        <v>0</v>
      </c>
      <c r="AP14" s="116">
        <f t="shared" si="3"/>
        <v>0</v>
      </c>
      <c r="AQ14" s="116">
        <f t="shared" si="3"/>
        <v>0</v>
      </c>
      <c r="AR14" s="222"/>
      <c r="AS14" s="73"/>
      <c r="AT14" s="223"/>
      <c r="AU14" s="121"/>
      <c r="AV14" s="220"/>
      <c r="AW14" s="219"/>
      <c r="AX14" s="73"/>
      <c r="AY14" s="219"/>
      <c r="AZ14" s="84"/>
      <c r="BA14" s="221"/>
      <c r="BB14" s="220"/>
      <c r="BC14" s="219"/>
      <c r="BD14" s="227"/>
      <c r="BE14" s="227"/>
      <c r="BF14" s="227"/>
      <c r="BG14" s="227"/>
      <c r="BH14" s="227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</row>
    <row r="15" spans="1:85">
      <c r="A15" s="446"/>
      <c r="B15" s="137" t="s">
        <v>308</v>
      </c>
      <c r="C15" s="214"/>
      <c r="D15" s="130"/>
      <c r="E15" s="115" t="e">
        <f t="shared" si="0"/>
        <v>#N/A</v>
      </c>
      <c r="F15" s="92"/>
      <c r="G15" s="30" t="s">
        <v>87</v>
      </c>
      <c r="H15" s="93"/>
      <c r="I15" s="30" t="s">
        <v>88</v>
      </c>
      <c r="J15" s="56">
        <f t="shared" si="1"/>
        <v>0</v>
      </c>
      <c r="K15" s="57" t="s">
        <v>89</v>
      </c>
      <c r="L15" s="92"/>
      <c r="M15" s="50" t="s">
        <v>88</v>
      </c>
      <c r="N15" s="116">
        <f t="shared" si="2"/>
        <v>0</v>
      </c>
      <c r="O15" s="116">
        <f t="shared" si="3"/>
        <v>0</v>
      </c>
      <c r="P15" s="116">
        <f t="shared" si="3"/>
        <v>0</v>
      </c>
      <c r="Q15" s="116">
        <f t="shared" si="3"/>
        <v>0</v>
      </c>
      <c r="R15" s="116">
        <f t="shared" si="3"/>
        <v>0</v>
      </c>
      <c r="S15" s="116">
        <f t="shared" si="3"/>
        <v>0</v>
      </c>
      <c r="T15" s="116">
        <f t="shared" si="3"/>
        <v>0</v>
      </c>
      <c r="U15" s="116">
        <f t="shared" si="3"/>
        <v>0</v>
      </c>
      <c r="V15" s="116">
        <f t="shared" si="3"/>
        <v>0</v>
      </c>
      <c r="W15" s="116">
        <f t="shared" si="3"/>
        <v>0</v>
      </c>
      <c r="X15" s="116">
        <f t="shared" si="3"/>
        <v>0</v>
      </c>
      <c r="Y15" s="116">
        <f t="shared" si="3"/>
        <v>0</v>
      </c>
      <c r="Z15" s="116">
        <f t="shared" si="3"/>
        <v>0</v>
      </c>
      <c r="AA15" s="116">
        <f t="shared" si="3"/>
        <v>0</v>
      </c>
      <c r="AB15" s="116">
        <f t="shared" si="3"/>
        <v>0</v>
      </c>
      <c r="AC15" s="116">
        <f t="shared" si="3"/>
        <v>0</v>
      </c>
      <c r="AD15" s="116">
        <f t="shared" si="3"/>
        <v>0</v>
      </c>
      <c r="AE15" s="116">
        <f t="shared" si="3"/>
        <v>0</v>
      </c>
      <c r="AF15" s="116">
        <f t="shared" si="3"/>
        <v>0</v>
      </c>
      <c r="AG15" s="116">
        <f t="shared" si="3"/>
        <v>0</v>
      </c>
      <c r="AH15" s="116">
        <f t="shared" si="3"/>
        <v>0</v>
      </c>
      <c r="AI15" s="116">
        <f t="shared" si="3"/>
        <v>0</v>
      </c>
      <c r="AJ15" s="116">
        <f t="shared" si="3"/>
        <v>0</v>
      </c>
      <c r="AK15" s="116">
        <f t="shared" si="3"/>
        <v>0</v>
      </c>
      <c r="AL15" s="116">
        <f t="shared" si="3"/>
        <v>0</v>
      </c>
      <c r="AM15" s="116">
        <f t="shared" si="3"/>
        <v>0</v>
      </c>
      <c r="AN15" s="116">
        <f t="shared" si="3"/>
        <v>0</v>
      </c>
      <c r="AO15" s="116">
        <f t="shared" si="3"/>
        <v>0</v>
      </c>
      <c r="AP15" s="116">
        <f t="shared" si="3"/>
        <v>0</v>
      </c>
      <c r="AQ15" s="116">
        <f t="shared" si="3"/>
        <v>0</v>
      </c>
      <c r="AR15" s="222"/>
      <c r="AS15" s="73"/>
      <c r="AT15" s="223"/>
      <c r="AU15" s="121"/>
      <c r="AV15" s="220"/>
      <c r="AW15" s="219"/>
      <c r="AX15" s="73"/>
      <c r="AY15" s="219"/>
      <c r="AZ15" s="84"/>
      <c r="BA15" s="221"/>
      <c r="BB15" s="220"/>
      <c r="BC15" s="219"/>
      <c r="BD15" s="227"/>
      <c r="BE15" s="227"/>
      <c r="BF15" s="227"/>
      <c r="BG15" s="227"/>
      <c r="BH15" s="227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</row>
    <row r="16" spans="1:85">
      <c r="A16" s="446"/>
      <c r="B16" s="137" t="s">
        <v>308</v>
      </c>
      <c r="C16" s="214"/>
      <c r="D16" s="130"/>
      <c r="E16" s="115" t="e">
        <f t="shared" si="0"/>
        <v>#N/A</v>
      </c>
      <c r="F16" s="92"/>
      <c r="G16" s="30" t="s">
        <v>87</v>
      </c>
      <c r="H16" s="93"/>
      <c r="I16" s="30" t="s">
        <v>88</v>
      </c>
      <c r="J16" s="56">
        <f t="shared" si="1"/>
        <v>0</v>
      </c>
      <c r="K16" s="57" t="s">
        <v>89</v>
      </c>
      <c r="L16" s="92"/>
      <c r="M16" s="50" t="s">
        <v>88</v>
      </c>
      <c r="N16" s="116">
        <f t="shared" si="2"/>
        <v>0</v>
      </c>
      <c r="O16" s="116">
        <f t="shared" si="3"/>
        <v>0</v>
      </c>
      <c r="P16" s="116">
        <f t="shared" si="3"/>
        <v>0</v>
      </c>
      <c r="Q16" s="116">
        <f t="shared" si="3"/>
        <v>0</v>
      </c>
      <c r="R16" s="116">
        <f t="shared" si="3"/>
        <v>0</v>
      </c>
      <c r="S16" s="116">
        <f t="shared" si="3"/>
        <v>0</v>
      </c>
      <c r="T16" s="116">
        <f t="shared" si="3"/>
        <v>0</v>
      </c>
      <c r="U16" s="116">
        <f t="shared" si="3"/>
        <v>0</v>
      </c>
      <c r="V16" s="116">
        <f t="shared" si="3"/>
        <v>0</v>
      </c>
      <c r="W16" s="116">
        <f t="shared" si="3"/>
        <v>0</v>
      </c>
      <c r="X16" s="116">
        <f t="shared" si="3"/>
        <v>0</v>
      </c>
      <c r="Y16" s="116">
        <f t="shared" si="3"/>
        <v>0</v>
      </c>
      <c r="Z16" s="116">
        <f t="shared" si="3"/>
        <v>0</v>
      </c>
      <c r="AA16" s="116">
        <f t="shared" si="3"/>
        <v>0</v>
      </c>
      <c r="AB16" s="116">
        <f t="shared" si="3"/>
        <v>0</v>
      </c>
      <c r="AC16" s="116">
        <f t="shared" si="3"/>
        <v>0</v>
      </c>
      <c r="AD16" s="116">
        <f t="shared" si="3"/>
        <v>0</v>
      </c>
      <c r="AE16" s="116">
        <f t="shared" si="3"/>
        <v>0</v>
      </c>
      <c r="AF16" s="116">
        <f t="shared" si="3"/>
        <v>0</v>
      </c>
      <c r="AG16" s="116">
        <f t="shared" si="3"/>
        <v>0</v>
      </c>
      <c r="AH16" s="116">
        <f t="shared" si="3"/>
        <v>0</v>
      </c>
      <c r="AI16" s="116">
        <f t="shared" si="3"/>
        <v>0</v>
      </c>
      <c r="AJ16" s="116">
        <f t="shared" si="3"/>
        <v>0</v>
      </c>
      <c r="AK16" s="116">
        <f t="shared" si="3"/>
        <v>0</v>
      </c>
      <c r="AL16" s="116">
        <f t="shared" si="3"/>
        <v>0</v>
      </c>
      <c r="AM16" s="116">
        <f t="shared" si="3"/>
        <v>0</v>
      </c>
      <c r="AN16" s="116">
        <f t="shared" si="3"/>
        <v>0</v>
      </c>
      <c r="AO16" s="116">
        <f t="shared" si="3"/>
        <v>0</v>
      </c>
      <c r="AP16" s="116">
        <f t="shared" si="3"/>
        <v>0</v>
      </c>
      <c r="AQ16" s="116">
        <f t="shared" si="3"/>
        <v>0</v>
      </c>
      <c r="AR16" s="222"/>
      <c r="AS16" s="73"/>
      <c r="AT16" s="223"/>
      <c r="AU16" s="121"/>
      <c r="AV16" s="78"/>
      <c r="AW16" s="219"/>
      <c r="AX16" s="73"/>
      <c r="AY16" s="219"/>
      <c r="AZ16" s="84"/>
      <c r="BA16" s="221"/>
      <c r="BB16" s="78"/>
      <c r="BC16" s="219"/>
      <c r="BD16" s="227"/>
      <c r="BE16" s="227"/>
      <c r="BF16" s="227"/>
      <c r="BG16" s="227"/>
      <c r="BH16" s="227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</row>
    <row r="17" spans="1:85">
      <c r="A17" s="446"/>
      <c r="B17" s="137" t="s">
        <v>308</v>
      </c>
      <c r="C17" s="214"/>
      <c r="D17" s="130"/>
      <c r="E17" s="115" t="e">
        <f t="shared" si="0"/>
        <v>#N/A</v>
      </c>
      <c r="F17" s="92"/>
      <c r="G17" s="30" t="s">
        <v>87</v>
      </c>
      <c r="H17" s="93"/>
      <c r="I17" s="30" t="s">
        <v>88</v>
      </c>
      <c r="J17" s="56">
        <f t="shared" si="1"/>
        <v>0</v>
      </c>
      <c r="K17" s="57" t="s">
        <v>89</v>
      </c>
      <c r="L17" s="92"/>
      <c r="M17" s="50" t="s">
        <v>88</v>
      </c>
      <c r="N17" s="116">
        <f t="shared" si="2"/>
        <v>0</v>
      </c>
      <c r="O17" s="116">
        <f t="shared" si="3"/>
        <v>0</v>
      </c>
      <c r="P17" s="116">
        <f t="shared" si="3"/>
        <v>0</v>
      </c>
      <c r="Q17" s="116">
        <f t="shared" si="3"/>
        <v>0</v>
      </c>
      <c r="R17" s="116">
        <f t="shared" si="3"/>
        <v>0</v>
      </c>
      <c r="S17" s="116">
        <f t="shared" si="3"/>
        <v>0</v>
      </c>
      <c r="T17" s="116">
        <f t="shared" si="3"/>
        <v>0</v>
      </c>
      <c r="U17" s="116">
        <f t="shared" si="3"/>
        <v>0</v>
      </c>
      <c r="V17" s="116">
        <f t="shared" si="3"/>
        <v>0</v>
      </c>
      <c r="W17" s="116">
        <f t="shared" si="3"/>
        <v>0</v>
      </c>
      <c r="X17" s="116">
        <f t="shared" si="3"/>
        <v>0</v>
      </c>
      <c r="Y17" s="116">
        <f t="shared" si="3"/>
        <v>0</v>
      </c>
      <c r="Z17" s="116">
        <f t="shared" si="3"/>
        <v>0</v>
      </c>
      <c r="AA17" s="116">
        <f t="shared" si="3"/>
        <v>0</v>
      </c>
      <c r="AB17" s="116">
        <f t="shared" si="3"/>
        <v>0</v>
      </c>
      <c r="AC17" s="116">
        <f t="shared" si="3"/>
        <v>0</v>
      </c>
      <c r="AD17" s="116">
        <f t="shared" si="3"/>
        <v>0</v>
      </c>
      <c r="AE17" s="116">
        <f t="shared" si="3"/>
        <v>0</v>
      </c>
      <c r="AF17" s="116">
        <f t="shared" si="3"/>
        <v>0</v>
      </c>
      <c r="AG17" s="116">
        <f t="shared" si="3"/>
        <v>0</v>
      </c>
      <c r="AH17" s="116">
        <f t="shared" si="3"/>
        <v>0</v>
      </c>
      <c r="AI17" s="116">
        <f t="shared" si="3"/>
        <v>0</v>
      </c>
      <c r="AJ17" s="116">
        <f t="shared" si="3"/>
        <v>0</v>
      </c>
      <c r="AK17" s="116">
        <f t="shared" si="3"/>
        <v>0</v>
      </c>
      <c r="AL17" s="116">
        <f t="shared" si="3"/>
        <v>0</v>
      </c>
      <c r="AM17" s="116">
        <f t="shared" si="3"/>
        <v>0</v>
      </c>
      <c r="AN17" s="116">
        <f t="shared" si="3"/>
        <v>0</v>
      </c>
      <c r="AO17" s="116">
        <f t="shared" si="3"/>
        <v>0</v>
      </c>
      <c r="AP17" s="116">
        <f t="shared" si="3"/>
        <v>0</v>
      </c>
      <c r="AQ17" s="116">
        <f t="shared" si="3"/>
        <v>0</v>
      </c>
      <c r="AR17" s="222"/>
      <c r="AS17" s="73"/>
      <c r="AT17" s="223"/>
      <c r="AU17" s="121"/>
      <c r="AV17" s="78"/>
      <c r="AW17" s="219"/>
      <c r="AX17" s="73"/>
      <c r="AY17" s="219"/>
      <c r="AZ17" s="84"/>
      <c r="BA17" s="221"/>
      <c r="BB17" s="78"/>
      <c r="BC17" s="219"/>
      <c r="BD17" s="227"/>
      <c r="BE17" s="227"/>
      <c r="BF17" s="227"/>
      <c r="BG17" s="227"/>
      <c r="BH17" s="227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</row>
    <row r="18" spans="1:85">
      <c r="A18" s="446"/>
      <c r="B18" s="137" t="s">
        <v>308</v>
      </c>
      <c r="C18" s="214"/>
      <c r="D18" s="130"/>
      <c r="E18" s="115" t="e">
        <f t="shared" si="0"/>
        <v>#N/A</v>
      </c>
      <c r="F18" s="92"/>
      <c r="G18" s="30" t="s">
        <v>87</v>
      </c>
      <c r="H18" s="93"/>
      <c r="I18" s="30" t="s">
        <v>88</v>
      </c>
      <c r="J18" s="56">
        <f t="shared" si="1"/>
        <v>0</v>
      </c>
      <c r="K18" s="57" t="s">
        <v>89</v>
      </c>
      <c r="L18" s="92"/>
      <c r="M18" s="50" t="s">
        <v>88</v>
      </c>
      <c r="N18" s="116">
        <f t="shared" si="2"/>
        <v>0</v>
      </c>
      <c r="O18" s="116">
        <f t="shared" si="3"/>
        <v>0</v>
      </c>
      <c r="P18" s="116">
        <f t="shared" si="3"/>
        <v>0</v>
      </c>
      <c r="Q18" s="116">
        <f t="shared" si="3"/>
        <v>0</v>
      </c>
      <c r="R18" s="116">
        <f t="shared" si="3"/>
        <v>0</v>
      </c>
      <c r="S18" s="116">
        <f t="shared" si="3"/>
        <v>0</v>
      </c>
      <c r="T18" s="116">
        <f t="shared" si="3"/>
        <v>0</v>
      </c>
      <c r="U18" s="116">
        <f t="shared" si="3"/>
        <v>0</v>
      </c>
      <c r="V18" s="116">
        <f t="shared" si="3"/>
        <v>0</v>
      </c>
      <c r="W18" s="116">
        <f t="shared" si="3"/>
        <v>0</v>
      </c>
      <c r="X18" s="116">
        <f t="shared" si="3"/>
        <v>0</v>
      </c>
      <c r="Y18" s="116">
        <f t="shared" si="3"/>
        <v>0</v>
      </c>
      <c r="Z18" s="116">
        <f t="shared" si="3"/>
        <v>0</v>
      </c>
      <c r="AA18" s="116">
        <f t="shared" si="3"/>
        <v>0</v>
      </c>
      <c r="AB18" s="116">
        <f t="shared" si="3"/>
        <v>0</v>
      </c>
      <c r="AC18" s="116">
        <f t="shared" si="3"/>
        <v>0</v>
      </c>
      <c r="AD18" s="116">
        <f t="shared" si="3"/>
        <v>0</v>
      </c>
      <c r="AE18" s="116">
        <f t="shared" si="3"/>
        <v>0</v>
      </c>
      <c r="AF18" s="116">
        <f t="shared" si="3"/>
        <v>0</v>
      </c>
      <c r="AG18" s="116">
        <f t="shared" si="3"/>
        <v>0</v>
      </c>
      <c r="AH18" s="116">
        <f t="shared" si="3"/>
        <v>0</v>
      </c>
      <c r="AI18" s="116">
        <f t="shared" si="3"/>
        <v>0</v>
      </c>
      <c r="AJ18" s="116">
        <f t="shared" si="3"/>
        <v>0</v>
      </c>
      <c r="AK18" s="116">
        <f t="shared" si="3"/>
        <v>0</v>
      </c>
      <c r="AL18" s="116">
        <f t="shared" ref="AL18:AQ18" si="4">(+AK18*$M$6)+AK18</f>
        <v>0</v>
      </c>
      <c r="AM18" s="116">
        <f t="shared" si="4"/>
        <v>0</v>
      </c>
      <c r="AN18" s="116">
        <f t="shared" si="4"/>
        <v>0</v>
      </c>
      <c r="AO18" s="116">
        <f t="shared" si="4"/>
        <v>0</v>
      </c>
      <c r="AP18" s="116">
        <f t="shared" si="4"/>
        <v>0</v>
      </c>
      <c r="AQ18" s="116">
        <f t="shared" si="4"/>
        <v>0</v>
      </c>
      <c r="AR18" s="222"/>
      <c r="AS18" s="73"/>
      <c r="AT18" s="223"/>
      <c r="AU18" s="121"/>
      <c r="AV18" s="78"/>
      <c r="AW18" s="219"/>
      <c r="AX18" s="73"/>
      <c r="AY18" s="219"/>
      <c r="AZ18" s="84"/>
      <c r="BA18" s="221"/>
      <c r="BB18" s="78"/>
      <c r="BC18" s="219"/>
      <c r="BD18" s="227"/>
      <c r="BE18" s="227"/>
      <c r="BF18" s="227"/>
      <c r="BG18" s="227"/>
      <c r="BH18" s="227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</row>
    <row r="19" spans="1:85">
      <c r="A19" s="446"/>
      <c r="B19" s="137" t="s">
        <v>308</v>
      </c>
      <c r="C19" s="214"/>
      <c r="D19" s="130"/>
      <c r="E19" s="115" t="e">
        <f t="shared" si="0"/>
        <v>#N/A</v>
      </c>
      <c r="F19" s="92"/>
      <c r="G19" s="30" t="s">
        <v>87</v>
      </c>
      <c r="H19" s="93"/>
      <c r="I19" s="30" t="s">
        <v>88</v>
      </c>
      <c r="J19" s="56">
        <f t="shared" si="1"/>
        <v>0</v>
      </c>
      <c r="K19" s="57" t="s">
        <v>89</v>
      </c>
      <c r="L19" s="92"/>
      <c r="M19" s="50" t="s">
        <v>88</v>
      </c>
      <c r="N19" s="116">
        <f t="shared" si="2"/>
        <v>0</v>
      </c>
      <c r="O19" s="116">
        <f t="shared" ref="O19:AQ23" si="5">(+N19*$M$6)+N19</f>
        <v>0</v>
      </c>
      <c r="P19" s="116">
        <f t="shared" si="5"/>
        <v>0</v>
      </c>
      <c r="Q19" s="116">
        <f t="shared" si="5"/>
        <v>0</v>
      </c>
      <c r="R19" s="116">
        <f t="shared" si="5"/>
        <v>0</v>
      </c>
      <c r="S19" s="116">
        <f t="shared" si="5"/>
        <v>0</v>
      </c>
      <c r="T19" s="116">
        <f t="shared" si="5"/>
        <v>0</v>
      </c>
      <c r="U19" s="116">
        <f t="shared" si="5"/>
        <v>0</v>
      </c>
      <c r="V19" s="116">
        <f t="shared" si="5"/>
        <v>0</v>
      </c>
      <c r="W19" s="116">
        <f t="shared" si="5"/>
        <v>0</v>
      </c>
      <c r="X19" s="116">
        <f t="shared" si="5"/>
        <v>0</v>
      </c>
      <c r="Y19" s="116">
        <f t="shared" si="5"/>
        <v>0</v>
      </c>
      <c r="Z19" s="116">
        <f t="shared" si="5"/>
        <v>0</v>
      </c>
      <c r="AA19" s="116">
        <f t="shared" si="5"/>
        <v>0</v>
      </c>
      <c r="AB19" s="116">
        <f t="shared" si="5"/>
        <v>0</v>
      </c>
      <c r="AC19" s="116">
        <f t="shared" si="5"/>
        <v>0</v>
      </c>
      <c r="AD19" s="116">
        <f t="shared" si="5"/>
        <v>0</v>
      </c>
      <c r="AE19" s="116">
        <f t="shared" si="5"/>
        <v>0</v>
      </c>
      <c r="AF19" s="116">
        <f t="shared" si="5"/>
        <v>0</v>
      </c>
      <c r="AG19" s="116">
        <f t="shared" si="5"/>
        <v>0</v>
      </c>
      <c r="AH19" s="116">
        <f t="shared" si="5"/>
        <v>0</v>
      </c>
      <c r="AI19" s="116">
        <f t="shared" si="5"/>
        <v>0</v>
      </c>
      <c r="AJ19" s="116">
        <f t="shared" si="5"/>
        <v>0</v>
      </c>
      <c r="AK19" s="116">
        <f t="shared" si="5"/>
        <v>0</v>
      </c>
      <c r="AL19" s="116">
        <f t="shared" si="5"/>
        <v>0</v>
      </c>
      <c r="AM19" s="116">
        <f t="shared" si="5"/>
        <v>0</v>
      </c>
      <c r="AN19" s="116">
        <f t="shared" si="5"/>
        <v>0</v>
      </c>
      <c r="AO19" s="116">
        <f t="shared" si="5"/>
        <v>0</v>
      </c>
      <c r="AP19" s="116">
        <f t="shared" si="5"/>
        <v>0</v>
      </c>
      <c r="AQ19" s="116">
        <f t="shared" si="5"/>
        <v>0</v>
      </c>
      <c r="AR19" s="222"/>
      <c r="AS19" s="73"/>
      <c r="AT19" s="223"/>
      <c r="AU19" s="121"/>
      <c r="AV19" s="78"/>
      <c r="AW19" s="219"/>
      <c r="AX19" s="73"/>
      <c r="AY19" s="219"/>
      <c r="AZ19" s="84"/>
      <c r="BA19" s="221"/>
      <c r="BB19" s="78"/>
      <c r="BC19" s="219"/>
      <c r="BD19" s="227"/>
      <c r="BE19" s="227"/>
      <c r="BF19" s="227"/>
      <c r="BG19" s="227"/>
      <c r="BH19" s="227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</row>
    <row r="20" spans="1:85">
      <c r="A20" s="446"/>
      <c r="B20" s="137" t="s">
        <v>308</v>
      </c>
      <c r="C20" s="214"/>
      <c r="D20" s="130"/>
      <c r="E20" s="115" t="e">
        <f t="shared" si="0"/>
        <v>#N/A</v>
      </c>
      <c r="F20" s="92"/>
      <c r="G20" s="30" t="s">
        <v>87</v>
      </c>
      <c r="H20" s="93"/>
      <c r="I20" s="30" t="s">
        <v>88</v>
      </c>
      <c r="J20" s="56">
        <f t="shared" si="1"/>
        <v>0</v>
      </c>
      <c r="K20" s="57" t="s">
        <v>89</v>
      </c>
      <c r="L20" s="92"/>
      <c r="M20" s="50" t="s">
        <v>88</v>
      </c>
      <c r="N20" s="116">
        <f t="shared" si="2"/>
        <v>0</v>
      </c>
      <c r="O20" s="116">
        <f t="shared" si="5"/>
        <v>0</v>
      </c>
      <c r="P20" s="116">
        <f t="shared" si="5"/>
        <v>0</v>
      </c>
      <c r="Q20" s="116">
        <f t="shared" si="5"/>
        <v>0</v>
      </c>
      <c r="R20" s="116">
        <f t="shared" si="5"/>
        <v>0</v>
      </c>
      <c r="S20" s="116">
        <f t="shared" si="5"/>
        <v>0</v>
      </c>
      <c r="T20" s="116">
        <f t="shared" si="5"/>
        <v>0</v>
      </c>
      <c r="U20" s="116">
        <f t="shared" si="5"/>
        <v>0</v>
      </c>
      <c r="V20" s="116">
        <f t="shared" si="5"/>
        <v>0</v>
      </c>
      <c r="W20" s="116">
        <f t="shared" si="5"/>
        <v>0</v>
      </c>
      <c r="X20" s="116">
        <f t="shared" si="5"/>
        <v>0</v>
      </c>
      <c r="Y20" s="116">
        <f t="shared" si="5"/>
        <v>0</v>
      </c>
      <c r="Z20" s="116">
        <f t="shared" si="5"/>
        <v>0</v>
      </c>
      <c r="AA20" s="116">
        <f t="shared" si="5"/>
        <v>0</v>
      </c>
      <c r="AB20" s="116">
        <f t="shared" si="5"/>
        <v>0</v>
      </c>
      <c r="AC20" s="116">
        <f t="shared" si="5"/>
        <v>0</v>
      </c>
      <c r="AD20" s="116">
        <f t="shared" si="5"/>
        <v>0</v>
      </c>
      <c r="AE20" s="116">
        <f t="shared" si="5"/>
        <v>0</v>
      </c>
      <c r="AF20" s="116">
        <f t="shared" si="5"/>
        <v>0</v>
      </c>
      <c r="AG20" s="116">
        <f t="shared" si="5"/>
        <v>0</v>
      </c>
      <c r="AH20" s="116">
        <f t="shared" si="5"/>
        <v>0</v>
      </c>
      <c r="AI20" s="116">
        <f t="shared" si="5"/>
        <v>0</v>
      </c>
      <c r="AJ20" s="116">
        <f t="shared" si="5"/>
        <v>0</v>
      </c>
      <c r="AK20" s="116">
        <f t="shared" si="5"/>
        <v>0</v>
      </c>
      <c r="AL20" s="116">
        <f t="shared" si="5"/>
        <v>0</v>
      </c>
      <c r="AM20" s="116">
        <f t="shared" si="5"/>
        <v>0</v>
      </c>
      <c r="AN20" s="116">
        <f t="shared" si="5"/>
        <v>0</v>
      </c>
      <c r="AO20" s="116">
        <f t="shared" si="5"/>
        <v>0</v>
      </c>
      <c r="AP20" s="116">
        <f t="shared" si="5"/>
        <v>0</v>
      </c>
      <c r="AQ20" s="116">
        <f t="shared" si="5"/>
        <v>0</v>
      </c>
      <c r="AR20" s="222"/>
      <c r="AS20" s="73"/>
      <c r="AT20" s="223"/>
      <c r="AU20" s="121"/>
      <c r="AV20" s="78"/>
      <c r="AW20" s="219"/>
      <c r="AX20" s="73"/>
      <c r="AY20" s="219"/>
      <c r="AZ20" s="84"/>
      <c r="BA20" s="221"/>
      <c r="BB20" s="78"/>
      <c r="BC20" s="219"/>
      <c r="BD20" s="227"/>
      <c r="BE20" s="227"/>
      <c r="BF20" s="227"/>
      <c r="BG20" s="227"/>
      <c r="BH20" s="227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</row>
    <row r="21" spans="1:85">
      <c r="A21" s="446"/>
      <c r="B21" s="137" t="s">
        <v>308</v>
      </c>
      <c r="C21" s="214"/>
      <c r="D21" s="130"/>
      <c r="E21" s="115" t="e">
        <f t="shared" si="0"/>
        <v>#N/A</v>
      </c>
      <c r="F21" s="92"/>
      <c r="G21" s="30" t="s">
        <v>87</v>
      </c>
      <c r="H21" s="93"/>
      <c r="I21" s="30" t="s">
        <v>88</v>
      </c>
      <c r="J21" s="56">
        <f t="shared" si="1"/>
        <v>0</v>
      </c>
      <c r="K21" s="57" t="s">
        <v>89</v>
      </c>
      <c r="L21" s="92"/>
      <c r="M21" s="50" t="s">
        <v>88</v>
      </c>
      <c r="N21" s="116">
        <f t="shared" si="2"/>
        <v>0</v>
      </c>
      <c r="O21" s="116">
        <f t="shared" si="5"/>
        <v>0</v>
      </c>
      <c r="P21" s="116">
        <f t="shared" si="5"/>
        <v>0</v>
      </c>
      <c r="Q21" s="116">
        <f t="shared" si="5"/>
        <v>0</v>
      </c>
      <c r="R21" s="116">
        <f t="shared" si="5"/>
        <v>0</v>
      </c>
      <c r="S21" s="116">
        <f t="shared" si="5"/>
        <v>0</v>
      </c>
      <c r="T21" s="116">
        <f t="shared" si="5"/>
        <v>0</v>
      </c>
      <c r="U21" s="116">
        <f t="shared" si="5"/>
        <v>0</v>
      </c>
      <c r="V21" s="116">
        <f t="shared" si="5"/>
        <v>0</v>
      </c>
      <c r="W21" s="116">
        <f t="shared" si="5"/>
        <v>0</v>
      </c>
      <c r="X21" s="116">
        <f t="shared" si="5"/>
        <v>0</v>
      </c>
      <c r="Y21" s="116">
        <f t="shared" si="5"/>
        <v>0</v>
      </c>
      <c r="Z21" s="116">
        <f t="shared" si="5"/>
        <v>0</v>
      </c>
      <c r="AA21" s="116">
        <f t="shared" si="5"/>
        <v>0</v>
      </c>
      <c r="AB21" s="116">
        <f t="shared" si="5"/>
        <v>0</v>
      </c>
      <c r="AC21" s="116">
        <f t="shared" si="5"/>
        <v>0</v>
      </c>
      <c r="AD21" s="116">
        <f t="shared" si="5"/>
        <v>0</v>
      </c>
      <c r="AE21" s="116">
        <f t="shared" si="5"/>
        <v>0</v>
      </c>
      <c r="AF21" s="116">
        <f t="shared" si="5"/>
        <v>0</v>
      </c>
      <c r="AG21" s="116">
        <f t="shared" si="5"/>
        <v>0</v>
      </c>
      <c r="AH21" s="116">
        <f t="shared" si="5"/>
        <v>0</v>
      </c>
      <c r="AI21" s="116">
        <f t="shared" si="5"/>
        <v>0</v>
      </c>
      <c r="AJ21" s="116">
        <f t="shared" si="5"/>
        <v>0</v>
      </c>
      <c r="AK21" s="116">
        <f t="shared" si="5"/>
        <v>0</v>
      </c>
      <c r="AL21" s="116">
        <f t="shared" si="5"/>
        <v>0</v>
      </c>
      <c r="AM21" s="116">
        <f t="shared" si="5"/>
        <v>0</v>
      </c>
      <c r="AN21" s="116">
        <f t="shared" si="5"/>
        <v>0</v>
      </c>
      <c r="AO21" s="116">
        <f t="shared" si="5"/>
        <v>0</v>
      </c>
      <c r="AP21" s="116">
        <f t="shared" si="5"/>
        <v>0</v>
      </c>
      <c r="AQ21" s="116">
        <f t="shared" si="5"/>
        <v>0</v>
      </c>
      <c r="AR21" s="222"/>
      <c r="AS21" s="73"/>
      <c r="AT21" s="223"/>
      <c r="AU21" s="121"/>
      <c r="AV21" s="78"/>
      <c r="AW21" s="219"/>
      <c r="AX21" s="73"/>
      <c r="AY21" s="219"/>
      <c r="AZ21" s="84"/>
      <c r="BA21" s="221"/>
      <c r="BB21" s="78"/>
      <c r="BC21" s="219"/>
      <c r="BD21" s="227"/>
      <c r="BE21" s="227"/>
      <c r="BF21" s="227"/>
      <c r="BG21" s="227"/>
      <c r="BH21" s="227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</row>
    <row r="22" spans="1:85">
      <c r="A22" s="446"/>
      <c r="B22" s="137" t="s">
        <v>308</v>
      </c>
      <c r="C22" s="214"/>
      <c r="D22" s="130"/>
      <c r="E22" s="115" t="e">
        <f t="shared" si="0"/>
        <v>#N/A</v>
      </c>
      <c r="F22" s="92"/>
      <c r="G22" s="30" t="s">
        <v>87</v>
      </c>
      <c r="H22" s="93"/>
      <c r="I22" s="30" t="s">
        <v>88</v>
      </c>
      <c r="J22" s="56">
        <f t="shared" si="1"/>
        <v>0</v>
      </c>
      <c r="K22" s="57" t="s">
        <v>89</v>
      </c>
      <c r="L22" s="92"/>
      <c r="M22" s="50" t="s">
        <v>88</v>
      </c>
      <c r="N22" s="116">
        <f t="shared" si="2"/>
        <v>0</v>
      </c>
      <c r="O22" s="116">
        <f t="shared" si="5"/>
        <v>0</v>
      </c>
      <c r="P22" s="116">
        <f t="shared" si="5"/>
        <v>0</v>
      </c>
      <c r="Q22" s="116">
        <f t="shared" si="5"/>
        <v>0</v>
      </c>
      <c r="R22" s="116">
        <f t="shared" si="5"/>
        <v>0</v>
      </c>
      <c r="S22" s="116">
        <f t="shared" si="5"/>
        <v>0</v>
      </c>
      <c r="T22" s="116">
        <f t="shared" si="5"/>
        <v>0</v>
      </c>
      <c r="U22" s="116">
        <f t="shared" si="5"/>
        <v>0</v>
      </c>
      <c r="V22" s="116">
        <f t="shared" si="5"/>
        <v>0</v>
      </c>
      <c r="W22" s="116">
        <f t="shared" si="5"/>
        <v>0</v>
      </c>
      <c r="X22" s="116">
        <f t="shared" si="5"/>
        <v>0</v>
      </c>
      <c r="Y22" s="116">
        <f t="shared" si="5"/>
        <v>0</v>
      </c>
      <c r="Z22" s="116">
        <f t="shared" si="5"/>
        <v>0</v>
      </c>
      <c r="AA22" s="116">
        <f t="shared" si="5"/>
        <v>0</v>
      </c>
      <c r="AB22" s="116">
        <f t="shared" si="5"/>
        <v>0</v>
      </c>
      <c r="AC22" s="116">
        <f t="shared" si="5"/>
        <v>0</v>
      </c>
      <c r="AD22" s="116">
        <f t="shared" si="5"/>
        <v>0</v>
      </c>
      <c r="AE22" s="116">
        <f t="shared" si="5"/>
        <v>0</v>
      </c>
      <c r="AF22" s="116">
        <f t="shared" si="5"/>
        <v>0</v>
      </c>
      <c r="AG22" s="116">
        <f t="shared" si="5"/>
        <v>0</v>
      </c>
      <c r="AH22" s="116">
        <f t="shared" si="5"/>
        <v>0</v>
      </c>
      <c r="AI22" s="116">
        <f t="shared" si="5"/>
        <v>0</v>
      </c>
      <c r="AJ22" s="116">
        <f t="shared" si="5"/>
        <v>0</v>
      </c>
      <c r="AK22" s="116">
        <f t="shared" si="5"/>
        <v>0</v>
      </c>
      <c r="AL22" s="116">
        <f t="shared" si="5"/>
        <v>0</v>
      </c>
      <c r="AM22" s="116">
        <f t="shared" si="5"/>
        <v>0</v>
      </c>
      <c r="AN22" s="116">
        <f t="shared" si="5"/>
        <v>0</v>
      </c>
      <c r="AO22" s="116">
        <f t="shared" si="5"/>
        <v>0</v>
      </c>
      <c r="AP22" s="116">
        <f t="shared" si="5"/>
        <v>0</v>
      </c>
      <c r="AQ22" s="116">
        <f t="shared" si="5"/>
        <v>0</v>
      </c>
      <c r="AR22" s="222"/>
      <c r="AS22" s="73"/>
      <c r="AT22" s="223"/>
      <c r="AU22" s="121"/>
      <c r="AV22" s="78"/>
      <c r="AW22" s="219"/>
      <c r="AX22" s="73"/>
      <c r="AY22" s="219"/>
      <c r="AZ22" s="84"/>
      <c r="BA22" s="221"/>
      <c r="BB22" s="78"/>
      <c r="BC22" s="219"/>
      <c r="BD22" s="227"/>
      <c r="BE22" s="227"/>
      <c r="BF22" s="227"/>
      <c r="BG22" s="227"/>
      <c r="BH22" s="227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</row>
    <row r="23" spans="1:85">
      <c r="A23" s="446"/>
      <c r="B23" s="73" t="s">
        <v>308</v>
      </c>
      <c r="C23" s="214"/>
      <c r="D23" s="130"/>
      <c r="E23" s="115" t="e">
        <f t="shared" si="0"/>
        <v>#N/A</v>
      </c>
      <c r="F23" s="92"/>
      <c r="G23" s="411" t="s">
        <v>87</v>
      </c>
      <c r="H23" s="93"/>
      <c r="I23" s="411" t="s">
        <v>88</v>
      </c>
      <c r="J23" s="220">
        <f t="shared" si="1"/>
        <v>0</v>
      </c>
      <c r="K23" s="412" t="s">
        <v>89</v>
      </c>
      <c r="L23" s="92"/>
      <c r="M23" s="413" t="s">
        <v>88</v>
      </c>
      <c r="N23" s="414">
        <f t="shared" si="2"/>
        <v>0</v>
      </c>
      <c r="O23" s="414">
        <f t="shared" si="5"/>
        <v>0</v>
      </c>
      <c r="P23" s="414">
        <f t="shared" si="5"/>
        <v>0</v>
      </c>
      <c r="Q23" s="414">
        <f t="shared" si="5"/>
        <v>0</v>
      </c>
      <c r="R23" s="414">
        <f t="shared" si="5"/>
        <v>0</v>
      </c>
      <c r="S23" s="414">
        <f t="shared" si="5"/>
        <v>0</v>
      </c>
      <c r="T23" s="414">
        <f t="shared" si="5"/>
        <v>0</v>
      </c>
      <c r="U23" s="414">
        <f t="shared" si="5"/>
        <v>0</v>
      </c>
      <c r="V23" s="414">
        <f t="shared" si="5"/>
        <v>0</v>
      </c>
      <c r="W23" s="414">
        <f t="shared" si="5"/>
        <v>0</v>
      </c>
      <c r="X23" s="414">
        <f t="shared" si="5"/>
        <v>0</v>
      </c>
      <c r="Y23" s="414">
        <f t="shared" si="5"/>
        <v>0</v>
      </c>
      <c r="Z23" s="414">
        <f t="shared" si="5"/>
        <v>0</v>
      </c>
      <c r="AA23" s="414">
        <f t="shared" si="5"/>
        <v>0</v>
      </c>
      <c r="AB23" s="414">
        <f t="shared" si="5"/>
        <v>0</v>
      </c>
      <c r="AC23" s="414">
        <f t="shared" si="5"/>
        <v>0</v>
      </c>
      <c r="AD23" s="414">
        <f t="shared" si="5"/>
        <v>0</v>
      </c>
      <c r="AE23" s="414">
        <f t="shared" si="5"/>
        <v>0</v>
      </c>
      <c r="AF23" s="414">
        <f t="shared" si="5"/>
        <v>0</v>
      </c>
      <c r="AG23" s="414">
        <f t="shared" si="5"/>
        <v>0</v>
      </c>
      <c r="AH23" s="414">
        <f t="shared" si="5"/>
        <v>0</v>
      </c>
      <c r="AI23" s="414">
        <f t="shared" si="5"/>
        <v>0</v>
      </c>
      <c r="AJ23" s="414">
        <f t="shared" si="5"/>
        <v>0</v>
      </c>
      <c r="AK23" s="414">
        <f t="shared" si="5"/>
        <v>0</v>
      </c>
      <c r="AL23" s="414">
        <f t="shared" si="5"/>
        <v>0</v>
      </c>
      <c r="AM23" s="414">
        <f t="shared" si="5"/>
        <v>0</v>
      </c>
      <c r="AN23" s="414">
        <f t="shared" si="5"/>
        <v>0</v>
      </c>
      <c r="AO23" s="414">
        <f t="shared" si="5"/>
        <v>0</v>
      </c>
      <c r="AP23" s="414">
        <f t="shared" si="5"/>
        <v>0</v>
      </c>
      <c r="AQ23" s="414">
        <f t="shared" si="5"/>
        <v>0</v>
      </c>
      <c r="AR23" s="222"/>
      <c r="AS23" s="73"/>
      <c r="AT23" s="223"/>
      <c r="AU23" s="121"/>
      <c r="AV23" s="78"/>
      <c r="AW23" s="219"/>
      <c r="AX23" s="73"/>
      <c r="AY23" s="219"/>
      <c r="AZ23" s="84"/>
      <c r="BA23" s="221"/>
      <c r="BB23" s="78"/>
      <c r="BC23" s="219"/>
      <c r="BD23" s="227"/>
      <c r="BE23" s="227"/>
      <c r="BF23" s="227"/>
      <c r="BG23" s="227"/>
      <c r="BH23" s="227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</row>
    <row r="24" spans="1:85">
      <c r="A24" s="23"/>
      <c r="B24" s="23"/>
      <c r="C24" s="23"/>
      <c r="D24" s="23"/>
      <c r="E24" s="212"/>
      <c r="F24" s="212"/>
      <c r="G24" s="212"/>
      <c r="H24" s="212"/>
      <c r="I24" s="212"/>
      <c r="J24" s="212"/>
      <c r="K24" s="212"/>
      <c r="L24" s="212"/>
      <c r="M24" s="212"/>
      <c r="N24" s="80"/>
      <c r="O24" s="414"/>
      <c r="P24" s="414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15"/>
      <c r="AS24" s="15"/>
      <c r="AT24" s="15"/>
      <c r="AU24" s="15"/>
      <c r="AV24" s="15"/>
      <c r="AW24" s="15"/>
      <c r="AX24" s="15"/>
      <c r="AY24" s="15"/>
      <c r="AZ24" s="15"/>
      <c r="BA24" s="152"/>
      <c r="BB24" s="227"/>
      <c r="BC24" s="227"/>
      <c r="BD24" s="152"/>
      <c r="BE24" s="152"/>
      <c r="BF24" s="152"/>
      <c r="BG24" s="152"/>
      <c r="BH24" s="152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</row>
    <row r="25" spans="1:85">
      <c r="A25" s="12" t="s">
        <v>90</v>
      </c>
      <c r="B25" s="12"/>
      <c r="C25" s="12"/>
      <c r="D25" s="12"/>
      <c r="E25" s="52"/>
      <c r="F25" s="52"/>
      <c r="G25" s="52"/>
      <c r="H25" s="52"/>
      <c r="I25" s="52"/>
      <c r="J25" s="53"/>
      <c r="K25" s="51"/>
      <c r="L25" s="54">
        <f>SUM(L10:L24)</f>
        <v>0</v>
      </c>
      <c r="M25" s="50" t="s">
        <v>88</v>
      </c>
      <c r="N25" s="118">
        <f t="shared" ref="N25:AQ25" si="6">SUM(N10:N24)</f>
        <v>0</v>
      </c>
      <c r="O25" s="118">
        <f t="shared" si="6"/>
        <v>0</v>
      </c>
      <c r="P25" s="118">
        <f t="shared" si="6"/>
        <v>0</v>
      </c>
      <c r="Q25" s="118">
        <f t="shared" si="6"/>
        <v>0</v>
      </c>
      <c r="R25" s="118">
        <f t="shared" si="6"/>
        <v>0</v>
      </c>
      <c r="S25" s="118">
        <f t="shared" si="6"/>
        <v>0</v>
      </c>
      <c r="T25" s="118">
        <f t="shared" si="6"/>
        <v>0</v>
      </c>
      <c r="U25" s="118">
        <f t="shared" si="6"/>
        <v>0</v>
      </c>
      <c r="V25" s="118">
        <f t="shared" si="6"/>
        <v>0</v>
      </c>
      <c r="W25" s="118">
        <f t="shared" si="6"/>
        <v>0</v>
      </c>
      <c r="X25" s="118">
        <f t="shared" si="6"/>
        <v>0</v>
      </c>
      <c r="Y25" s="118">
        <f t="shared" si="6"/>
        <v>0</v>
      </c>
      <c r="Z25" s="118">
        <f t="shared" si="6"/>
        <v>0</v>
      </c>
      <c r="AA25" s="118">
        <f t="shared" si="6"/>
        <v>0</v>
      </c>
      <c r="AB25" s="118">
        <f t="shared" si="6"/>
        <v>0</v>
      </c>
      <c r="AC25" s="118">
        <f t="shared" si="6"/>
        <v>0</v>
      </c>
      <c r="AD25" s="118">
        <f t="shared" si="6"/>
        <v>0</v>
      </c>
      <c r="AE25" s="118">
        <f t="shared" si="6"/>
        <v>0</v>
      </c>
      <c r="AF25" s="118">
        <f t="shared" si="6"/>
        <v>0</v>
      </c>
      <c r="AG25" s="118">
        <f t="shared" si="6"/>
        <v>0</v>
      </c>
      <c r="AH25" s="118">
        <f t="shared" si="6"/>
        <v>0</v>
      </c>
      <c r="AI25" s="118">
        <f t="shared" si="6"/>
        <v>0</v>
      </c>
      <c r="AJ25" s="118">
        <f t="shared" si="6"/>
        <v>0</v>
      </c>
      <c r="AK25" s="118">
        <f t="shared" si="6"/>
        <v>0</v>
      </c>
      <c r="AL25" s="118">
        <f t="shared" si="6"/>
        <v>0</v>
      </c>
      <c r="AM25" s="118">
        <f t="shared" si="6"/>
        <v>0</v>
      </c>
      <c r="AN25" s="118">
        <f t="shared" si="6"/>
        <v>0</v>
      </c>
      <c r="AO25" s="118">
        <f t="shared" si="6"/>
        <v>0</v>
      </c>
      <c r="AP25" s="118">
        <f t="shared" si="6"/>
        <v>0</v>
      </c>
      <c r="AQ25" s="118">
        <f t="shared" si="6"/>
        <v>0</v>
      </c>
      <c r="AR25" s="72"/>
      <c r="AS25" s="15"/>
      <c r="AT25" s="15"/>
      <c r="AU25" s="15"/>
      <c r="AV25" s="15"/>
      <c r="AW25" s="228"/>
      <c r="AX25" s="221"/>
      <c r="AY25" s="83"/>
      <c r="AZ25" s="219"/>
      <c r="BA25" s="229"/>
      <c r="BB25" s="229"/>
      <c r="BC25" s="229"/>
      <c r="BD25" s="229"/>
      <c r="BE25" s="229"/>
      <c r="BF25" s="229"/>
      <c r="BG25" s="229"/>
      <c r="BH25" s="229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</row>
    <row r="26" spans="1:85">
      <c r="E26" s="52"/>
      <c r="F26" s="52"/>
      <c r="G26" s="52"/>
      <c r="H26" s="52"/>
      <c r="I26" s="52"/>
      <c r="J26" s="52"/>
      <c r="K26" s="52"/>
      <c r="L26" s="212"/>
      <c r="M26" s="52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5"/>
      <c r="AS26" s="15"/>
      <c r="AT26" s="15"/>
      <c r="AU26" s="15"/>
      <c r="AV26" s="15"/>
      <c r="AW26" s="15"/>
      <c r="AX26" s="15"/>
      <c r="AY26" s="15"/>
      <c r="AZ26" s="15"/>
      <c r="BA26" s="223"/>
      <c r="BB26" s="152"/>
      <c r="BC26" s="152"/>
      <c r="BD26" s="152"/>
      <c r="BE26" s="152"/>
      <c r="BF26" s="152"/>
      <c r="BG26" s="152"/>
      <c r="BH26" s="152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</row>
    <row r="27" spans="1:85">
      <c r="A27" s="12" t="s">
        <v>91</v>
      </c>
      <c r="B27" s="12"/>
      <c r="C27" s="12"/>
      <c r="D27" s="12"/>
      <c r="E27" s="52"/>
      <c r="F27" s="52"/>
      <c r="G27" s="52"/>
      <c r="H27" s="52"/>
      <c r="I27" s="52"/>
      <c r="J27" s="52"/>
      <c r="K27" s="52"/>
      <c r="L27" s="52"/>
      <c r="M27" s="52"/>
      <c r="N27" s="157" t="s">
        <v>349</v>
      </c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72"/>
      <c r="AS27" s="15"/>
      <c r="AT27" s="15"/>
      <c r="AU27" s="15"/>
      <c r="AV27" s="15"/>
      <c r="AW27" s="15"/>
      <c r="AX27" s="15"/>
      <c r="AY27" s="15"/>
      <c r="AZ27" s="15"/>
      <c r="BA27" s="152"/>
      <c r="BB27" s="152"/>
      <c r="BC27" s="152"/>
      <c r="BD27" s="152"/>
      <c r="BE27" s="152"/>
      <c r="BF27" s="152"/>
      <c r="BG27" s="152"/>
      <c r="BH27" s="152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</row>
    <row r="28" spans="1:85">
      <c r="E28" s="52"/>
      <c r="F28" s="52"/>
      <c r="G28" s="52"/>
      <c r="H28" s="52"/>
      <c r="I28" s="52"/>
      <c r="J28" s="52"/>
      <c r="K28" s="52"/>
      <c r="L28" s="52"/>
      <c r="M28" s="52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5"/>
      <c r="AS28" s="15"/>
      <c r="AT28" s="15"/>
      <c r="AU28" s="15"/>
      <c r="AV28" s="15"/>
      <c r="AW28" s="15"/>
      <c r="AX28" s="15"/>
      <c r="AY28" s="15"/>
      <c r="AZ28" s="15"/>
      <c r="BA28" s="152"/>
      <c r="BB28" s="152"/>
      <c r="BC28" s="152"/>
      <c r="BD28" s="152"/>
      <c r="BE28" s="152"/>
      <c r="BF28" s="152"/>
      <c r="BG28" s="152"/>
      <c r="BH28" s="152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</row>
    <row r="29" spans="1:85">
      <c r="A29" t="s">
        <v>92</v>
      </c>
      <c r="E29" s="52"/>
      <c r="F29" s="52"/>
      <c r="G29" s="52"/>
      <c r="H29" s="52"/>
      <c r="I29" s="52"/>
      <c r="J29" s="52"/>
      <c r="K29" s="52"/>
      <c r="L29" s="52"/>
      <c r="M29" s="52"/>
      <c r="N29" s="94"/>
      <c r="O29" s="116">
        <f t="shared" ref="O29:AQ32" si="7">(+N29*$M$6)+N29</f>
        <v>0</v>
      </c>
      <c r="P29" s="116">
        <f t="shared" si="7"/>
        <v>0</v>
      </c>
      <c r="Q29" s="116">
        <f t="shared" si="7"/>
        <v>0</v>
      </c>
      <c r="R29" s="116">
        <f t="shared" si="7"/>
        <v>0</v>
      </c>
      <c r="S29" s="116">
        <f t="shared" si="7"/>
        <v>0</v>
      </c>
      <c r="T29" s="116">
        <f t="shared" si="7"/>
        <v>0</v>
      </c>
      <c r="U29" s="116">
        <f t="shared" si="7"/>
        <v>0</v>
      </c>
      <c r="V29" s="116">
        <f t="shared" si="7"/>
        <v>0</v>
      </c>
      <c r="W29" s="116">
        <f t="shared" si="7"/>
        <v>0</v>
      </c>
      <c r="X29" s="116">
        <f t="shared" si="7"/>
        <v>0</v>
      </c>
      <c r="Y29" s="116">
        <f t="shared" si="7"/>
        <v>0</v>
      </c>
      <c r="Z29" s="116">
        <f t="shared" si="7"/>
        <v>0</v>
      </c>
      <c r="AA29" s="116">
        <f t="shared" si="7"/>
        <v>0</v>
      </c>
      <c r="AB29" s="116">
        <f t="shared" si="7"/>
        <v>0</v>
      </c>
      <c r="AC29" s="116">
        <f t="shared" si="7"/>
        <v>0</v>
      </c>
      <c r="AD29" s="116">
        <f t="shared" si="7"/>
        <v>0</v>
      </c>
      <c r="AE29" s="116">
        <f t="shared" si="7"/>
        <v>0</v>
      </c>
      <c r="AF29" s="116">
        <f t="shared" si="7"/>
        <v>0</v>
      </c>
      <c r="AG29" s="116">
        <f t="shared" si="7"/>
        <v>0</v>
      </c>
      <c r="AH29" s="116">
        <f t="shared" si="7"/>
        <v>0</v>
      </c>
      <c r="AI29" s="116">
        <f t="shared" si="7"/>
        <v>0</v>
      </c>
      <c r="AJ29" s="116">
        <f t="shared" si="7"/>
        <v>0</v>
      </c>
      <c r="AK29" s="116">
        <f t="shared" si="7"/>
        <v>0</v>
      </c>
      <c r="AL29" s="116">
        <f t="shared" si="7"/>
        <v>0</v>
      </c>
      <c r="AM29" s="116">
        <f t="shared" si="7"/>
        <v>0</v>
      </c>
      <c r="AN29" s="116">
        <f t="shared" si="7"/>
        <v>0</v>
      </c>
      <c r="AO29" s="116">
        <f t="shared" si="7"/>
        <v>0</v>
      </c>
      <c r="AP29" s="116">
        <f t="shared" si="7"/>
        <v>0</v>
      </c>
      <c r="AQ29" s="116">
        <f t="shared" si="7"/>
        <v>0</v>
      </c>
      <c r="AR29" s="15"/>
      <c r="AS29" s="15"/>
      <c r="AT29" s="15"/>
      <c r="AU29" s="15"/>
      <c r="AV29" s="15"/>
      <c r="AW29" s="15"/>
      <c r="AX29" s="15"/>
      <c r="AY29" s="15"/>
      <c r="AZ29" s="15"/>
      <c r="BA29" s="223"/>
      <c r="BB29" s="227"/>
      <c r="BC29" s="227"/>
      <c r="BD29" s="227"/>
      <c r="BE29" s="227"/>
      <c r="BF29" s="227"/>
      <c r="BG29" s="227"/>
      <c r="BH29" s="227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</row>
    <row r="30" spans="1:85">
      <c r="A30" t="s">
        <v>93</v>
      </c>
      <c r="E30" s="52"/>
      <c r="F30" s="52"/>
      <c r="G30" s="52"/>
      <c r="H30" s="52"/>
      <c r="I30" s="52"/>
      <c r="J30" s="52"/>
      <c r="K30" s="52"/>
      <c r="L30" s="52"/>
      <c r="M30" s="52"/>
      <c r="N30" s="94"/>
      <c r="O30" s="116">
        <f t="shared" si="7"/>
        <v>0</v>
      </c>
      <c r="P30" s="116">
        <f t="shared" si="7"/>
        <v>0</v>
      </c>
      <c r="Q30" s="116">
        <f t="shared" si="7"/>
        <v>0</v>
      </c>
      <c r="R30" s="116">
        <f t="shared" si="7"/>
        <v>0</v>
      </c>
      <c r="S30" s="116">
        <f t="shared" si="7"/>
        <v>0</v>
      </c>
      <c r="T30" s="116">
        <f t="shared" si="7"/>
        <v>0</v>
      </c>
      <c r="U30" s="116">
        <f t="shared" si="7"/>
        <v>0</v>
      </c>
      <c r="V30" s="116">
        <f t="shared" si="7"/>
        <v>0</v>
      </c>
      <c r="W30" s="116">
        <f t="shared" si="7"/>
        <v>0</v>
      </c>
      <c r="X30" s="116">
        <f t="shared" si="7"/>
        <v>0</v>
      </c>
      <c r="Y30" s="116">
        <f t="shared" si="7"/>
        <v>0</v>
      </c>
      <c r="Z30" s="116">
        <f t="shared" si="7"/>
        <v>0</v>
      </c>
      <c r="AA30" s="116">
        <f t="shared" si="7"/>
        <v>0</v>
      </c>
      <c r="AB30" s="116">
        <f t="shared" si="7"/>
        <v>0</v>
      </c>
      <c r="AC30" s="116">
        <f t="shared" si="7"/>
        <v>0</v>
      </c>
      <c r="AD30" s="116">
        <f t="shared" si="7"/>
        <v>0</v>
      </c>
      <c r="AE30" s="116">
        <f t="shared" si="7"/>
        <v>0</v>
      </c>
      <c r="AF30" s="116">
        <f t="shared" si="7"/>
        <v>0</v>
      </c>
      <c r="AG30" s="116">
        <f t="shared" si="7"/>
        <v>0</v>
      </c>
      <c r="AH30" s="116">
        <f t="shared" si="7"/>
        <v>0</v>
      </c>
      <c r="AI30" s="116">
        <f t="shared" si="7"/>
        <v>0</v>
      </c>
      <c r="AJ30" s="116">
        <f t="shared" si="7"/>
        <v>0</v>
      </c>
      <c r="AK30" s="116">
        <f t="shared" si="7"/>
        <v>0</v>
      </c>
      <c r="AL30" s="116">
        <f t="shared" si="7"/>
        <v>0</v>
      </c>
      <c r="AM30" s="116">
        <f t="shared" si="7"/>
        <v>0</v>
      </c>
      <c r="AN30" s="116">
        <f t="shared" si="7"/>
        <v>0</v>
      </c>
      <c r="AO30" s="116">
        <f t="shared" si="7"/>
        <v>0</v>
      </c>
      <c r="AP30" s="116">
        <f t="shared" si="7"/>
        <v>0</v>
      </c>
      <c r="AQ30" s="116">
        <f t="shared" si="7"/>
        <v>0</v>
      </c>
      <c r="AR30" s="15"/>
      <c r="AS30" s="15"/>
      <c r="AT30" s="15"/>
      <c r="AU30" s="15"/>
      <c r="AV30" s="15"/>
      <c r="AW30" s="15"/>
      <c r="AX30" s="15"/>
      <c r="AY30" s="15"/>
      <c r="AZ30" s="15"/>
      <c r="BA30" s="223"/>
      <c r="BB30" s="227"/>
      <c r="BC30" s="227"/>
      <c r="BD30" s="227"/>
      <c r="BE30" s="227"/>
      <c r="BF30" s="227"/>
      <c r="BG30" s="227"/>
      <c r="BH30" s="227"/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</row>
    <row r="31" spans="1:85">
      <c r="A31" s="23" t="s">
        <v>42</v>
      </c>
      <c r="B31" s="23"/>
      <c r="C31" s="23"/>
      <c r="D31" s="23"/>
      <c r="E31" s="52"/>
      <c r="F31" s="52"/>
      <c r="G31" s="52"/>
      <c r="H31" s="52"/>
      <c r="I31" s="52"/>
      <c r="J31" s="52"/>
      <c r="K31" s="52"/>
      <c r="L31" s="52"/>
      <c r="M31" s="52"/>
      <c r="N31" s="94"/>
      <c r="O31" s="116">
        <f t="shared" si="7"/>
        <v>0</v>
      </c>
      <c r="P31" s="116">
        <f t="shared" si="7"/>
        <v>0</v>
      </c>
      <c r="Q31" s="116">
        <f t="shared" si="7"/>
        <v>0</v>
      </c>
      <c r="R31" s="116">
        <f t="shared" si="7"/>
        <v>0</v>
      </c>
      <c r="S31" s="116">
        <f t="shared" si="7"/>
        <v>0</v>
      </c>
      <c r="T31" s="116">
        <f t="shared" si="7"/>
        <v>0</v>
      </c>
      <c r="U31" s="116">
        <f t="shared" si="7"/>
        <v>0</v>
      </c>
      <c r="V31" s="116">
        <f t="shared" si="7"/>
        <v>0</v>
      </c>
      <c r="W31" s="116">
        <f t="shared" si="7"/>
        <v>0</v>
      </c>
      <c r="X31" s="116">
        <f t="shared" si="7"/>
        <v>0</v>
      </c>
      <c r="Y31" s="116">
        <f t="shared" si="7"/>
        <v>0</v>
      </c>
      <c r="Z31" s="116">
        <f t="shared" si="7"/>
        <v>0</v>
      </c>
      <c r="AA31" s="116">
        <f t="shared" si="7"/>
        <v>0</v>
      </c>
      <c r="AB31" s="116">
        <f t="shared" si="7"/>
        <v>0</v>
      </c>
      <c r="AC31" s="116">
        <f t="shared" si="7"/>
        <v>0</v>
      </c>
      <c r="AD31" s="116">
        <f t="shared" si="7"/>
        <v>0</v>
      </c>
      <c r="AE31" s="116">
        <f t="shared" si="7"/>
        <v>0</v>
      </c>
      <c r="AF31" s="116">
        <f t="shared" si="7"/>
        <v>0</v>
      </c>
      <c r="AG31" s="116">
        <f t="shared" si="7"/>
        <v>0</v>
      </c>
      <c r="AH31" s="116">
        <f t="shared" si="7"/>
        <v>0</v>
      </c>
      <c r="AI31" s="116">
        <f t="shared" si="7"/>
        <v>0</v>
      </c>
      <c r="AJ31" s="116">
        <f t="shared" si="7"/>
        <v>0</v>
      </c>
      <c r="AK31" s="116">
        <f t="shared" si="7"/>
        <v>0</v>
      </c>
      <c r="AL31" s="116">
        <f t="shared" si="7"/>
        <v>0</v>
      </c>
      <c r="AM31" s="116">
        <f t="shared" si="7"/>
        <v>0</v>
      </c>
      <c r="AN31" s="116">
        <f t="shared" si="7"/>
        <v>0</v>
      </c>
      <c r="AO31" s="116">
        <f t="shared" si="7"/>
        <v>0</v>
      </c>
      <c r="AP31" s="116">
        <f t="shared" si="7"/>
        <v>0</v>
      </c>
      <c r="AQ31" s="116">
        <f t="shared" si="7"/>
        <v>0</v>
      </c>
      <c r="AR31" s="73"/>
      <c r="AS31" s="15"/>
      <c r="AT31" s="15"/>
      <c r="AU31" s="15"/>
      <c r="AV31" s="15"/>
      <c r="AW31" s="15"/>
      <c r="AX31" s="15"/>
      <c r="AY31" s="15"/>
      <c r="AZ31" s="15"/>
      <c r="BA31" s="223"/>
      <c r="BB31" s="227"/>
      <c r="BC31" s="227"/>
      <c r="BD31" s="227"/>
      <c r="BE31" s="227"/>
      <c r="BF31" s="227"/>
      <c r="BG31" s="227"/>
      <c r="BH31" s="227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</row>
    <row r="32" spans="1:85">
      <c r="A32" s="23" t="s">
        <v>42</v>
      </c>
      <c r="B32" s="23"/>
      <c r="C32" s="23"/>
      <c r="D32" s="23"/>
      <c r="E32" s="212"/>
      <c r="F32" s="212"/>
      <c r="G32" s="212"/>
      <c r="H32" s="212"/>
      <c r="I32" s="212"/>
      <c r="J32" s="212"/>
      <c r="K32" s="212"/>
      <c r="L32" s="212"/>
      <c r="M32" s="212"/>
      <c r="N32" s="95"/>
      <c r="O32" s="414">
        <f t="shared" si="7"/>
        <v>0</v>
      </c>
      <c r="P32" s="414">
        <f t="shared" si="7"/>
        <v>0</v>
      </c>
      <c r="Q32" s="414">
        <f t="shared" si="7"/>
        <v>0</v>
      </c>
      <c r="R32" s="414">
        <f t="shared" si="7"/>
        <v>0</v>
      </c>
      <c r="S32" s="414">
        <f t="shared" si="7"/>
        <v>0</v>
      </c>
      <c r="T32" s="414">
        <f t="shared" si="7"/>
        <v>0</v>
      </c>
      <c r="U32" s="414">
        <f t="shared" si="7"/>
        <v>0</v>
      </c>
      <c r="V32" s="414">
        <f t="shared" si="7"/>
        <v>0</v>
      </c>
      <c r="W32" s="414">
        <f t="shared" si="7"/>
        <v>0</v>
      </c>
      <c r="X32" s="414">
        <f t="shared" si="7"/>
        <v>0</v>
      </c>
      <c r="Y32" s="414">
        <f t="shared" si="7"/>
        <v>0</v>
      </c>
      <c r="Z32" s="414">
        <f t="shared" si="7"/>
        <v>0</v>
      </c>
      <c r="AA32" s="414">
        <f t="shared" si="7"/>
        <v>0</v>
      </c>
      <c r="AB32" s="414">
        <f t="shared" si="7"/>
        <v>0</v>
      </c>
      <c r="AC32" s="414">
        <f t="shared" si="7"/>
        <v>0</v>
      </c>
      <c r="AD32" s="414">
        <f t="shared" si="7"/>
        <v>0</v>
      </c>
      <c r="AE32" s="414">
        <f t="shared" si="7"/>
        <v>0</v>
      </c>
      <c r="AF32" s="414">
        <f t="shared" si="7"/>
        <v>0</v>
      </c>
      <c r="AG32" s="414">
        <f t="shared" si="7"/>
        <v>0</v>
      </c>
      <c r="AH32" s="414">
        <f t="shared" si="7"/>
        <v>0</v>
      </c>
      <c r="AI32" s="414">
        <f t="shared" si="7"/>
        <v>0</v>
      </c>
      <c r="AJ32" s="414">
        <f t="shared" si="7"/>
        <v>0</v>
      </c>
      <c r="AK32" s="414">
        <f t="shared" si="7"/>
        <v>0</v>
      </c>
      <c r="AL32" s="414">
        <f t="shared" si="7"/>
        <v>0</v>
      </c>
      <c r="AM32" s="414">
        <f t="shared" si="7"/>
        <v>0</v>
      </c>
      <c r="AN32" s="414">
        <f t="shared" si="7"/>
        <v>0</v>
      </c>
      <c r="AO32" s="414">
        <f t="shared" si="7"/>
        <v>0</v>
      </c>
      <c r="AP32" s="414">
        <f t="shared" si="7"/>
        <v>0</v>
      </c>
      <c r="AQ32" s="414">
        <f t="shared" si="7"/>
        <v>0</v>
      </c>
      <c r="AR32" s="73"/>
      <c r="AS32" s="15"/>
      <c r="AT32" s="15"/>
      <c r="AU32" s="15"/>
      <c r="AV32" s="15"/>
      <c r="AW32" s="15"/>
      <c r="AX32" s="15"/>
      <c r="AY32" s="15"/>
      <c r="AZ32" s="15"/>
      <c r="BA32" s="223"/>
      <c r="BB32" s="227"/>
      <c r="BC32" s="227"/>
      <c r="BD32" s="227"/>
      <c r="BE32" s="227"/>
      <c r="BF32" s="227"/>
      <c r="BG32" s="227"/>
      <c r="BH32" s="227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</row>
    <row r="33" spans="1:82">
      <c r="A33" s="23"/>
      <c r="B33" s="23"/>
      <c r="C33" s="23"/>
      <c r="D33" s="23"/>
      <c r="E33" s="212"/>
      <c r="F33" s="212"/>
      <c r="G33" s="212"/>
      <c r="H33" s="212"/>
      <c r="I33" s="212"/>
      <c r="J33" s="212"/>
      <c r="K33" s="212"/>
      <c r="L33" s="212"/>
      <c r="M33" s="212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73"/>
      <c r="AS33" s="15"/>
      <c r="AT33" s="15"/>
      <c r="AU33" s="15"/>
      <c r="AV33" s="15"/>
      <c r="AW33" s="15"/>
      <c r="AX33" s="15"/>
      <c r="AY33" s="15"/>
      <c r="AZ33" s="15"/>
      <c r="BA33" s="152"/>
      <c r="BB33" s="152"/>
      <c r="BC33" s="152"/>
      <c r="BD33" s="152"/>
      <c r="BE33" s="152"/>
      <c r="BF33" s="152"/>
      <c r="BG33" s="152"/>
      <c r="BH33" s="152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</row>
    <row r="34" spans="1:82" s="605" customFormat="1">
      <c r="A34" s="12" t="s">
        <v>94</v>
      </c>
      <c r="B34" s="12"/>
      <c r="C34" s="12"/>
      <c r="D34" s="12"/>
      <c r="E34" s="52"/>
      <c r="F34" s="52"/>
      <c r="G34" s="52"/>
      <c r="H34" s="52"/>
      <c r="I34" s="52"/>
      <c r="J34" s="52"/>
      <c r="K34" s="52"/>
      <c r="L34" s="52"/>
      <c r="M34" s="52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</row>
    <row r="35" spans="1:82" s="605" customFormat="1">
      <c r="E35" s="52"/>
      <c r="F35" s="52"/>
      <c r="G35" s="52"/>
      <c r="H35" s="52"/>
      <c r="I35" s="52"/>
      <c r="J35" s="52"/>
      <c r="K35" s="52"/>
      <c r="L35" s="52"/>
      <c r="M35" s="52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</row>
    <row r="36" spans="1:82" s="605" customFormat="1">
      <c r="A36" s="132" t="s">
        <v>95</v>
      </c>
      <c r="E36" s="52"/>
      <c r="F36" s="52"/>
      <c r="G36" s="52"/>
      <c r="H36" s="52"/>
      <c r="I36" s="52"/>
      <c r="J36" s="52"/>
      <c r="K36" s="52"/>
      <c r="L36" s="52"/>
      <c r="M36" s="52"/>
      <c r="N36" s="94"/>
      <c r="O36" s="116">
        <f t="shared" ref="O36:AD41" si="8">(+N36*$M$6)+N36</f>
        <v>0</v>
      </c>
      <c r="P36" s="116">
        <f t="shared" si="8"/>
        <v>0</v>
      </c>
      <c r="Q36" s="116">
        <f t="shared" si="8"/>
        <v>0</v>
      </c>
      <c r="R36" s="116">
        <f t="shared" si="8"/>
        <v>0</v>
      </c>
      <c r="S36" s="116">
        <f t="shared" si="8"/>
        <v>0</v>
      </c>
      <c r="T36" s="116">
        <f t="shared" si="8"/>
        <v>0</v>
      </c>
      <c r="U36" s="116">
        <f t="shared" si="8"/>
        <v>0</v>
      </c>
      <c r="V36" s="116">
        <f t="shared" si="8"/>
        <v>0</v>
      </c>
      <c r="W36" s="116">
        <f t="shared" si="8"/>
        <v>0</v>
      </c>
      <c r="X36" s="116">
        <f t="shared" si="8"/>
        <v>0</v>
      </c>
      <c r="Y36" s="116">
        <f t="shared" si="8"/>
        <v>0</v>
      </c>
      <c r="Z36" s="116">
        <f t="shared" si="8"/>
        <v>0</v>
      </c>
      <c r="AA36" s="116">
        <f t="shared" si="8"/>
        <v>0</v>
      </c>
      <c r="AB36" s="116">
        <f t="shared" si="8"/>
        <v>0</v>
      </c>
      <c r="AC36" s="116">
        <f t="shared" si="8"/>
        <v>0</v>
      </c>
      <c r="AD36" s="116">
        <f t="shared" si="8"/>
        <v>0</v>
      </c>
      <c r="AE36" s="116">
        <f t="shared" ref="AE36:AQ41" si="9">(+AD36*$M$6)+AD36</f>
        <v>0</v>
      </c>
      <c r="AF36" s="116">
        <f t="shared" si="9"/>
        <v>0</v>
      </c>
      <c r="AG36" s="116">
        <f t="shared" si="9"/>
        <v>0</v>
      </c>
      <c r="AH36" s="116">
        <f t="shared" si="9"/>
        <v>0</v>
      </c>
      <c r="AI36" s="116">
        <f t="shared" si="9"/>
        <v>0</v>
      </c>
      <c r="AJ36" s="116">
        <f t="shared" si="9"/>
        <v>0</v>
      </c>
      <c r="AK36" s="116">
        <f t="shared" si="9"/>
        <v>0</v>
      </c>
      <c r="AL36" s="116">
        <f t="shared" si="9"/>
        <v>0</v>
      </c>
      <c r="AM36" s="116">
        <f t="shared" si="9"/>
        <v>0</v>
      </c>
      <c r="AN36" s="116">
        <f t="shared" si="9"/>
        <v>0</v>
      </c>
      <c r="AO36" s="116">
        <f t="shared" si="9"/>
        <v>0</v>
      </c>
      <c r="AP36" s="116">
        <f t="shared" si="9"/>
        <v>0</v>
      </c>
      <c r="AQ36" s="116">
        <f t="shared" si="9"/>
        <v>0</v>
      </c>
    </row>
    <row r="37" spans="1:82" s="605" customFormat="1">
      <c r="A37" s="132" t="s">
        <v>612</v>
      </c>
      <c r="E37" s="52"/>
      <c r="F37" s="52"/>
      <c r="G37" s="52"/>
      <c r="H37" s="52"/>
      <c r="I37" s="52"/>
      <c r="J37" s="52"/>
      <c r="K37" s="52"/>
      <c r="L37" s="52"/>
      <c r="M37" s="52"/>
      <c r="N37" s="94"/>
      <c r="O37" s="116">
        <f t="shared" si="8"/>
        <v>0</v>
      </c>
      <c r="P37" s="116">
        <f t="shared" si="8"/>
        <v>0</v>
      </c>
      <c r="Q37" s="116">
        <f t="shared" si="8"/>
        <v>0</v>
      </c>
      <c r="R37" s="116">
        <f t="shared" si="8"/>
        <v>0</v>
      </c>
      <c r="S37" s="116">
        <f t="shared" si="8"/>
        <v>0</v>
      </c>
      <c r="T37" s="116">
        <f t="shared" si="8"/>
        <v>0</v>
      </c>
      <c r="U37" s="116">
        <f t="shared" si="8"/>
        <v>0</v>
      </c>
      <c r="V37" s="116">
        <f t="shared" si="8"/>
        <v>0</v>
      </c>
      <c r="W37" s="116">
        <f t="shared" si="8"/>
        <v>0</v>
      </c>
      <c r="X37" s="116">
        <f t="shared" si="8"/>
        <v>0</v>
      </c>
      <c r="Y37" s="116">
        <f t="shared" si="8"/>
        <v>0</v>
      </c>
      <c r="Z37" s="116">
        <f t="shared" si="8"/>
        <v>0</v>
      </c>
      <c r="AA37" s="116">
        <f t="shared" si="8"/>
        <v>0</v>
      </c>
      <c r="AB37" s="116">
        <f t="shared" si="8"/>
        <v>0</v>
      </c>
      <c r="AC37" s="116">
        <f t="shared" si="8"/>
        <v>0</v>
      </c>
      <c r="AD37" s="116">
        <f t="shared" si="8"/>
        <v>0</v>
      </c>
      <c r="AE37" s="116">
        <f t="shared" si="9"/>
        <v>0</v>
      </c>
      <c r="AF37" s="116">
        <f t="shared" si="9"/>
        <v>0</v>
      </c>
      <c r="AG37" s="116">
        <f t="shared" si="9"/>
        <v>0</v>
      </c>
      <c r="AH37" s="116">
        <f t="shared" si="9"/>
        <v>0</v>
      </c>
      <c r="AI37" s="116">
        <f t="shared" si="9"/>
        <v>0</v>
      </c>
      <c r="AJ37" s="116">
        <f t="shared" si="9"/>
        <v>0</v>
      </c>
      <c r="AK37" s="116">
        <f t="shared" si="9"/>
        <v>0</v>
      </c>
      <c r="AL37" s="116">
        <f t="shared" si="9"/>
        <v>0</v>
      </c>
      <c r="AM37" s="116">
        <f t="shared" si="9"/>
        <v>0</v>
      </c>
      <c r="AN37" s="116">
        <f t="shared" si="9"/>
        <v>0</v>
      </c>
      <c r="AO37" s="116">
        <f t="shared" si="9"/>
        <v>0</v>
      </c>
      <c r="AP37" s="116">
        <f t="shared" si="9"/>
        <v>0</v>
      </c>
      <c r="AQ37" s="116">
        <f t="shared" si="9"/>
        <v>0</v>
      </c>
    </row>
    <row r="38" spans="1:82" s="605" customFormat="1">
      <c r="A38" s="132" t="s">
        <v>613</v>
      </c>
      <c r="E38" s="52"/>
      <c r="F38" s="52"/>
      <c r="G38" s="52"/>
      <c r="H38" s="52"/>
      <c r="I38" s="52"/>
      <c r="J38" s="52"/>
      <c r="K38" s="52"/>
      <c r="L38" s="52"/>
      <c r="M38" s="52"/>
      <c r="N38" s="94"/>
      <c r="O38" s="116">
        <f t="shared" si="8"/>
        <v>0</v>
      </c>
      <c r="P38" s="116">
        <f t="shared" si="8"/>
        <v>0</v>
      </c>
      <c r="Q38" s="116">
        <f t="shared" si="8"/>
        <v>0</v>
      </c>
      <c r="R38" s="116">
        <f t="shared" si="8"/>
        <v>0</v>
      </c>
      <c r="S38" s="116">
        <f t="shared" si="8"/>
        <v>0</v>
      </c>
      <c r="T38" s="116">
        <f t="shared" si="8"/>
        <v>0</v>
      </c>
      <c r="U38" s="116">
        <f t="shared" si="8"/>
        <v>0</v>
      </c>
      <c r="V38" s="116">
        <f t="shared" si="8"/>
        <v>0</v>
      </c>
      <c r="W38" s="116">
        <f t="shared" si="8"/>
        <v>0</v>
      </c>
      <c r="X38" s="116">
        <f t="shared" si="8"/>
        <v>0</v>
      </c>
      <c r="Y38" s="116">
        <f t="shared" si="8"/>
        <v>0</v>
      </c>
      <c r="Z38" s="116">
        <f t="shared" si="8"/>
        <v>0</v>
      </c>
      <c r="AA38" s="116">
        <f t="shared" si="8"/>
        <v>0</v>
      </c>
      <c r="AB38" s="116">
        <f t="shared" si="8"/>
        <v>0</v>
      </c>
      <c r="AC38" s="116">
        <f t="shared" si="8"/>
        <v>0</v>
      </c>
      <c r="AD38" s="116">
        <f t="shared" si="8"/>
        <v>0</v>
      </c>
      <c r="AE38" s="116">
        <f t="shared" si="9"/>
        <v>0</v>
      </c>
      <c r="AF38" s="116">
        <f t="shared" si="9"/>
        <v>0</v>
      </c>
      <c r="AG38" s="116">
        <f t="shared" si="9"/>
        <v>0</v>
      </c>
      <c r="AH38" s="116">
        <f t="shared" si="9"/>
        <v>0</v>
      </c>
      <c r="AI38" s="116">
        <f t="shared" si="9"/>
        <v>0</v>
      </c>
      <c r="AJ38" s="116">
        <f t="shared" si="9"/>
        <v>0</v>
      </c>
      <c r="AK38" s="116">
        <f t="shared" si="9"/>
        <v>0</v>
      </c>
      <c r="AL38" s="116">
        <f t="shared" si="9"/>
        <v>0</v>
      </c>
      <c r="AM38" s="116">
        <f t="shared" si="9"/>
        <v>0</v>
      </c>
      <c r="AN38" s="116">
        <f t="shared" si="9"/>
        <v>0</v>
      </c>
      <c r="AO38" s="116">
        <f t="shared" si="9"/>
        <v>0</v>
      </c>
      <c r="AP38" s="116">
        <f t="shared" si="9"/>
        <v>0</v>
      </c>
      <c r="AQ38" s="116">
        <f t="shared" si="9"/>
        <v>0</v>
      </c>
    </row>
    <row r="39" spans="1:82" s="605" customFormat="1">
      <c r="A39" s="143" t="s">
        <v>614</v>
      </c>
      <c r="B39" s="23"/>
      <c r="C39" s="23"/>
      <c r="D39" s="23"/>
      <c r="E39" s="52"/>
      <c r="F39" s="52"/>
      <c r="G39" s="52"/>
      <c r="H39" s="52"/>
      <c r="I39" s="52"/>
      <c r="J39" s="52"/>
      <c r="K39" s="52"/>
      <c r="L39" s="52"/>
      <c r="M39" s="52"/>
      <c r="N39" s="94"/>
      <c r="O39" s="116">
        <f t="shared" si="8"/>
        <v>0</v>
      </c>
      <c r="P39" s="116">
        <f t="shared" si="8"/>
        <v>0</v>
      </c>
      <c r="Q39" s="116">
        <f t="shared" si="8"/>
        <v>0</v>
      </c>
      <c r="R39" s="116">
        <f t="shared" si="8"/>
        <v>0</v>
      </c>
      <c r="S39" s="116">
        <f t="shared" si="8"/>
        <v>0</v>
      </c>
      <c r="T39" s="116">
        <f t="shared" si="8"/>
        <v>0</v>
      </c>
      <c r="U39" s="116">
        <f t="shared" si="8"/>
        <v>0</v>
      </c>
      <c r="V39" s="116">
        <f t="shared" si="8"/>
        <v>0</v>
      </c>
      <c r="W39" s="116">
        <f t="shared" si="8"/>
        <v>0</v>
      </c>
      <c r="X39" s="116">
        <f t="shared" si="8"/>
        <v>0</v>
      </c>
      <c r="Y39" s="116">
        <f t="shared" si="8"/>
        <v>0</v>
      </c>
      <c r="Z39" s="116">
        <f t="shared" si="8"/>
        <v>0</v>
      </c>
      <c r="AA39" s="116">
        <f t="shared" si="8"/>
        <v>0</v>
      </c>
      <c r="AB39" s="116">
        <f t="shared" si="8"/>
        <v>0</v>
      </c>
      <c r="AC39" s="116">
        <f t="shared" si="8"/>
        <v>0</v>
      </c>
      <c r="AD39" s="116">
        <f t="shared" si="8"/>
        <v>0</v>
      </c>
      <c r="AE39" s="116">
        <f t="shared" si="9"/>
        <v>0</v>
      </c>
      <c r="AF39" s="116">
        <f t="shared" si="9"/>
        <v>0</v>
      </c>
      <c r="AG39" s="116">
        <f t="shared" si="9"/>
        <v>0</v>
      </c>
      <c r="AH39" s="116">
        <f t="shared" si="9"/>
        <v>0</v>
      </c>
      <c r="AI39" s="116">
        <f t="shared" si="9"/>
        <v>0</v>
      </c>
      <c r="AJ39" s="116">
        <f t="shared" si="9"/>
        <v>0</v>
      </c>
      <c r="AK39" s="116">
        <f t="shared" si="9"/>
        <v>0</v>
      </c>
      <c r="AL39" s="116">
        <f t="shared" si="9"/>
        <v>0</v>
      </c>
      <c r="AM39" s="116">
        <f t="shared" si="9"/>
        <v>0</v>
      </c>
      <c r="AN39" s="116">
        <f t="shared" si="9"/>
        <v>0</v>
      </c>
      <c r="AO39" s="116">
        <f t="shared" si="9"/>
        <v>0</v>
      </c>
      <c r="AP39" s="116">
        <f t="shared" si="9"/>
        <v>0</v>
      </c>
      <c r="AQ39" s="116">
        <f t="shared" si="9"/>
        <v>0</v>
      </c>
    </row>
    <row r="40" spans="1:82" s="605" customFormat="1">
      <c r="A40" s="143" t="s">
        <v>615</v>
      </c>
      <c r="B40" s="23"/>
      <c r="C40" s="23"/>
      <c r="D40" s="23"/>
      <c r="E40" s="52"/>
      <c r="F40" s="52"/>
      <c r="G40" s="52"/>
      <c r="H40" s="52"/>
      <c r="I40" s="52"/>
      <c r="J40" s="52"/>
      <c r="K40" s="52"/>
      <c r="L40" s="52"/>
      <c r="M40" s="52"/>
      <c r="N40" s="94"/>
      <c r="O40" s="116">
        <f t="shared" si="8"/>
        <v>0</v>
      </c>
      <c r="P40" s="116">
        <f t="shared" si="8"/>
        <v>0</v>
      </c>
      <c r="Q40" s="116">
        <f t="shared" si="8"/>
        <v>0</v>
      </c>
      <c r="R40" s="116">
        <f t="shared" si="8"/>
        <v>0</v>
      </c>
      <c r="S40" s="116">
        <f t="shared" si="8"/>
        <v>0</v>
      </c>
      <c r="T40" s="116">
        <f t="shared" si="8"/>
        <v>0</v>
      </c>
      <c r="U40" s="116">
        <f t="shared" si="8"/>
        <v>0</v>
      </c>
      <c r="V40" s="116">
        <f t="shared" si="8"/>
        <v>0</v>
      </c>
      <c r="W40" s="116">
        <f t="shared" si="8"/>
        <v>0</v>
      </c>
      <c r="X40" s="116">
        <f t="shared" si="8"/>
        <v>0</v>
      </c>
      <c r="Y40" s="116">
        <f t="shared" si="8"/>
        <v>0</v>
      </c>
      <c r="Z40" s="116">
        <f t="shared" si="8"/>
        <v>0</v>
      </c>
      <c r="AA40" s="116">
        <f t="shared" si="8"/>
        <v>0</v>
      </c>
      <c r="AB40" s="116">
        <f t="shared" si="8"/>
        <v>0</v>
      </c>
      <c r="AC40" s="116">
        <f t="shared" si="8"/>
        <v>0</v>
      </c>
      <c r="AD40" s="116">
        <f t="shared" si="8"/>
        <v>0</v>
      </c>
      <c r="AE40" s="116">
        <f t="shared" si="9"/>
        <v>0</v>
      </c>
      <c r="AF40" s="116">
        <f t="shared" si="9"/>
        <v>0</v>
      </c>
      <c r="AG40" s="116">
        <f t="shared" si="9"/>
        <v>0</v>
      </c>
      <c r="AH40" s="116">
        <f t="shared" si="9"/>
        <v>0</v>
      </c>
      <c r="AI40" s="116">
        <f t="shared" si="9"/>
        <v>0</v>
      </c>
      <c r="AJ40" s="116">
        <f t="shared" si="9"/>
        <v>0</v>
      </c>
      <c r="AK40" s="116">
        <f t="shared" si="9"/>
        <v>0</v>
      </c>
      <c r="AL40" s="116">
        <f t="shared" si="9"/>
        <v>0</v>
      </c>
      <c r="AM40" s="116">
        <f t="shared" si="9"/>
        <v>0</v>
      </c>
      <c r="AN40" s="116">
        <f t="shared" si="9"/>
        <v>0</v>
      </c>
      <c r="AO40" s="116">
        <f t="shared" si="9"/>
        <v>0</v>
      </c>
      <c r="AP40" s="116">
        <f t="shared" si="9"/>
        <v>0</v>
      </c>
      <c r="AQ40" s="116">
        <f t="shared" si="9"/>
        <v>0</v>
      </c>
    </row>
    <row r="41" spans="1:82" s="605" customFormat="1">
      <c r="A41" s="314" t="s">
        <v>494</v>
      </c>
      <c r="B41" s="23"/>
      <c r="C41" s="23"/>
      <c r="D41" s="23"/>
      <c r="E41" s="52"/>
      <c r="F41" s="52"/>
      <c r="G41" s="52"/>
      <c r="H41" s="52"/>
      <c r="I41" s="52"/>
      <c r="J41" s="52"/>
      <c r="K41" s="52"/>
      <c r="L41" s="52"/>
      <c r="M41" s="52"/>
      <c r="N41" s="94"/>
      <c r="O41" s="116">
        <f t="shared" si="8"/>
        <v>0</v>
      </c>
      <c r="P41" s="116">
        <f t="shared" si="8"/>
        <v>0</v>
      </c>
      <c r="Q41" s="116">
        <f t="shared" si="8"/>
        <v>0</v>
      </c>
      <c r="R41" s="116">
        <f t="shared" si="8"/>
        <v>0</v>
      </c>
      <c r="S41" s="116">
        <f t="shared" si="8"/>
        <v>0</v>
      </c>
      <c r="T41" s="116">
        <f t="shared" si="8"/>
        <v>0</v>
      </c>
      <c r="U41" s="116">
        <f t="shared" si="8"/>
        <v>0</v>
      </c>
      <c r="V41" s="116">
        <f t="shared" si="8"/>
        <v>0</v>
      </c>
      <c r="W41" s="116">
        <f t="shared" si="8"/>
        <v>0</v>
      </c>
      <c r="X41" s="116">
        <f t="shared" si="8"/>
        <v>0</v>
      </c>
      <c r="Y41" s="116">
        <f t="shared" si="8"/>
        <v>0</v>
      </c>
      <c r="Z41" s="116">
        <f t="shared" si="8"/>
        <v>0</v>
      </c>
      <c r="AA41" s="116">
        <f t="shared" si="8"/>
        <v>0</v>
      </c>
      <c r="AB41" s="116">
        <f t="shared" si="8"/>
        <v>0</v>
      </c>
      <c r="AC41" s="116">
        <f t="shared" si="8"/>
        <v>0</v>
      </c>
      <c r="AD41" s="116">
        <f t="shared" si="8"/>
        <v>0</v>
      </c>
      <c r="AE41" s="116">
        <f t="shared" si="9"/>
        <v>0</v>
      </c>
      <c r="AF41" s="116">
        <f t="shared" si="9"/>
        <v>0</v>
      </c>
      <c r="AG41" s="116">
        <f t="shared" si="9"/>
        <v>0</v>
      </c>
      <c r="AH41" s="116">
        <f t="shared" si="9"/>
        <v>0</v>
      </c>
      <c r="AI41" s="116">
        <f t="shared" si="9"/>
        <v>0</v>
      </c>
      <c r="AJ41" s="116">
        <f t="shared" si="9"/>
        <v>0</v>
      </c>
      <c r="AK41" s="116">
        <f t="shared" si="9"/>
        <v>0</v>
      </c>
      <c r="AL41" s="116">
        <f t="shared" si="9"/>
        <v>0</v>
      </c>
      <c r="AM41" s="116">
        <f t="shared" si="9"/>
        <v>0</v>
      </c>
      <c r="AN41" s="116">
        <f t="shared" si="9"/>
        <v>0</v>
      </c>
      <c r="AO41" s="116">
        <f t="shared" si="9"/>
        <v>0</v>
      </c>
      <c r="AP41" s="116">
        <f t="shared" si="9"/>
        <v>0</v>
      </c>
      <c r="AQ41" s="116">
        <f t="shared" si="9"/>
        <v>0</v>
      </c>
    </row>
    <row r="42" spans="1:82" s="605" customFormat="1">
      <c r="A42" s="23"/>
      <c r="B42" s="23"/>
      <c r="C42" s="23"/>
      <c r="D42" s="23"/>
      <c r="E42" s="212"/>
      <c r="F42" s="212"/>
      <c r="G42" s="212"/>
      <c r="H42" s="212"/>
      <c r="I42" s="212"/>
      <c r="J42" s="212"/>
      <c r="K42" s="212"/>
      <c r="L42" s="212"/>
      <c r="M42" s="212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73"/>
      <c r="AS42" s="15"/>
      <c r="AT42" s="15"/>
      <c r="AU42" s="15"/>
      <c r="AV42" s="15"/>
      <c r="AW42" s="15"/>
      <c r="AX42" s="15"/>
      <c r="AY42" s="15"/>
      <c r="AZ42" s="15"/>
      <c r="BA42" s="152"/>
      <c r="BB42" s="152"/>
      <c r="BC42" s="152"/>
      <c r="BD42" s="152"/>
      <c r="BE42" s="152"/>
      <c r="BF42" s="152"/>
      <c r="BG42" s="152"/>
      <c r="BH42" s="152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</row>
    <row r="43" spans="1:82">
      <c r="A43" s="23"/>
      <c r="B43" s="23"/>
      <c r="C43" s="23"/>
      <c r="D43" s="23"/>
      <c r="E43" s="212"/>
      <c r="F43" s="212"/>
      <c r="G43" s="212"/>
      <c r="H43" s="212"/>
      <c r="I43" s="212"/>
      <c r="J43" s="212"/>
      <c r="K43" s="212"/>
      <c r="L43" s="212"/>
      <c r="M43" s="212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15"/>
      <c r="AS43" s="15"/>
      <c r="AT43" s="15"/>
      <c r="AU43" s="15"/>
      <c r="AV43" s="15"/>
      <c r="AW43" s="15"/>
      <c r="AX43" s="15"/>
      <c r="AY43" s="15"/>
      <c r="AZ43" s="15"/>
      <c r="BA43" s="152"/>
      <c r="BB43" s="152"/>
      <c r="BC43" s="152"/>
      <c r="BD43" s="152"/>
      <c r="BE43" s="152"/>
      <c r="BF43" s="152"/>
      <c r="BG43" s="152"/>
      <c r="BH43" s="152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</row>
    <row r="44" spans="1:82">
      <c r="A44" s="12" t="s">
        <v>146</v>
      </c>
      <c r="B44" s="12"/>
      <c r="C44" s="12"/>
      <c r="D44" s="12"/>
      <c r="E44" s="52"/>
      <c r="F44" s="52"/>
      <c r="G44" s="52"/>
      <c r="H44" s="52"/>
      <c r="I44" s="52"/>
      <c r="J44" s="52"/>
      <c r="K44" s="52"/>
      <c r="L44" s="52"/>
      <c r="M44" s="52"/>
      <c r="N44" s="117">
        <f t="shared" ref="N44:AQ44" si="10">SUM(N29:N43)</f>
        <v>0</v>
      </c>
      <c r="O44" s="118">
        <f t="shared" si="10"/>
        <v>0</v>
      </c>
      <c r="P44" s="118">
        <f t="shared" si="10"/>
        <v>0</v>
      </c>
      <c r="Q44" s="118">
        <f t="shared" si="10"/>
        <v>0</v>
      </c>
      <c r="R44" s="118">
        <f t="shared" si="10"/>
        <v>0</v>
      </c>
      <c r="S44" s="118">
        <f t="shared" si="10"/>
        <v>0</v>
      </c>
      <c r="T44" s="118">
        <f t="shared" si="10"/>
        <v>0</v>
      </c>
      <c r="U44" s="118">
        <f t="shared" si="10"/>
        <v>0</v>
      </c>
      <c r="V44" s="118">
        <f t="shared" si="10"/>
        <v>0</v>
      </c>
      <c r="W44" s="118">
        <f t="shared" si="10"/>
        <v>0</v>
      </c>
      <c r="X44" s="118">
        <f t="shared" si="10"/>
        <v>0</v>
      </c>
      <c r="Y44" s="118">
        <f t="shared" si="10"/>
        <v>0</v>
      </c>
      <c r="Z44" s="118">
        <f t="shared" si="10"/>
        <v>0</v>
      </c>
      <c r="AA44" s="118">
        <f t="shared" si="10"/>
        <v>0</v>
      </c>
      <c r="AB44" s="118">
        <f t="shared" si="10"/>
        <v>0</v>
      </c>
      <c r="AC44" s="118">
        <f t="shared" si="10"/>
        <v>0</v>
      </c>
      <c r="AD44" s="118">
        <f t="shared" si="10"/>
        <v>0</v>
      </c>
      <c r="AE44" s="118">
        <f t="shared" si="10"/>
        <v>0</v>
      </c>
      <c r="AF44" s="118">
        <f t="shared" si="10"/>
        <v>0</v>
      </c>
      <c r="AG44" s="118">
        <f t="shared" si="10"/>
        <v>0</v>
      </c>
      <c r="AH44" s="118">
        <f t="shared" si="10"/>
        <v>0</v>
      </c>
      <c r="AI44" s="118">
        <f t="shared" si="10"/>
        <v>0</v>
      </c>
      <c r="AJ44" s="118">
        <f t="shared" si="10"/>
        <v>0</v>
      </c>
      <c r="AK44" s="118">
        <f t="shared" si="10"/>
        <v>0</v>
      </c>
      <c r="AL44" s="118">
        <f t="shared" si="10"/>
        <v>0</v>
      </c>
      <c r="AM44" s="118">
        <f t="shared" si="10"/>
        <v>0</v>
      </c>
      <c r="AN44" s="118">
        <f t="shared" si="10"/>
        <v>0</v>
      </c>
      <c r="AO44" s="118">
        <f t="shared" si="10"/>
        <v>0</v>
      </c>
      <c r="AP44" s="118">
        <f t="shared" si="10"/>
        <v>0</v>
      </c>
      <c r="AQ44" s="118">
        <f t="shared" si="10"/>
        <v>0</v>
      </c>
      <c r="AR44" s="72"/>
      <c r="AS44" s="15"/>
      <c r="AT44" s="15"/>
      <c r="AU44" s="15"/>
      <c r="AV44" s="15"/>
      <c r="AW44" s="15"/>
      <c r="AX44" s="15"/>
      <c r="AY44" s="15"/>
      <c r="AZ44" s="15"/>
      <c r="BA44" s="229"/>
      <c r="BB44" s="229"/>
      <c r="BC44" s="229"/>
      <c r="BD44" s="229"/>
      <c r="BE44" s="229"/>
      <c r="BF44" s="229"/>
      <c r="BG44" s="229"/>
      <c r="BH44" s="229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</row>
    <row r="45" spans="1:82">
      <c r="E45" s="52"/>
      <c r="F45" s="52"/>
      <c r="G45" s="52"/>
      <c r="H45" s="52"/>
      <c r="I45" s="52"/>
      <c r="J45" s="52"/>
      <c r="K45" s="52"/>
      <c r="L45" s="52"/>
      <c r="M45" s="52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17"/>
      <c r="AR45" s="15"/>
      <c r="AS45" s="15"/>
      <c r="AT45" s="15"/>
      <c r="AU45" s="15"/>
      <c r="AV45" s="15"/>
      <c r="AW45" s="15"/>
      <c r="AX45" s="15"/>
      <c r="AY45" s="15"/>
      <c r="AZ45" s="15"/>
      <c r="BA45" s="152"/>
      <c r="BB45" s="152"/>
      <c r="BC45" s="152"/>
      <c r="BD45" s="152"/>
      <c r="BE45" s="152"/>
      <c r="BF45" s="152"/>
      <c r="BG45" s="152"/>
      <c r="BH45" s="152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</row>
    <row r="46" spans="1:82">
      <c r="A46" t="s">
        <v>381</v>
      </c>
      <c r="E46" s="52"/>
      <c r="F46" s="52"/>
      <c r="G46" s="52"/>
      <c r="H46" s="52"/>
      <c r="I46" s="52"/>
      <c r="J46" s="52"/>
      <c r="K46" s="52"/>
      <c r="L46" s="52"/>
      <c r="M46" s="52"/>
      <c r="N46" s="120">
        <f t="shared" ref="N46:AQ46" si="11">N25+N44</f>
        <v>0</v>
      </c>
      <c r="O46" s="120">
        <f t="shared" si="11"/>
        <v>0</v>
      </c>
      <c r="P46" s="120">
        <f t="shared" si="11"/>
        <v>0</v>
      </c>
      <c r="Q46" s="120">
        <f t="shared" si="11"/>
        <v>0</v>
      </c>
      <c r="R46" s="120">
        <f t="shared" si="11"/>
        <v>0</v>
      </c>
      <c r="S46" s="120">
        <f t="shared" si="11"/>
        <v>0</v>
      </c>
      <c r="T46" s="120">
        <f t="shared" si="11"/>
        <v>0</v>
      </c>
      <c r="U46" s="120">
        <f t="shared" si="11"/>
        <v>0</v>
      </c>
      <c r="V46" s="120">
        <f t="shared" si="11"/>
        <v>0</v>
      </c>
      <c r="W46" s="120">
        <f t="shared" si="11"/>
        <v>0</v>
      </c>
      <c r="X46" s="120">
        <f t="shared" si="11"/>
        <v>0</v>
      </c>
      <c r="Y46" s="120">
        <f t="shared" si="11"/>
        <v>0</v>
      </c>
      <c r="Z46" s="120">
        <f t="shared" si="11"/>
        <v>0</v>
      </c>
      <c r="AA46" s="120">
        <f t="shared" si="11"/>
        <v>0</v>
      </c>
      <c r="AB46" s="120">
        <f t="shared" si="11"/>
        <v>0</v>
      </c>
      <c r="AC46" s="120">
        <f t="shared" si="11"/>
        <v>0</v>
      </c>
      <c r="AD46" s="120">
        <f t="shared" si="11"/>
        <v>0</v>
      </c>
      <c r="AE46" s="120">
        <f t="shared" si="11"/>
        <v>0</v>
      </c>
      <c r="AF46" s="120">
        <f t="shared" si="11"/>
        <v>0</v>
      </c>
      <c r="AG46" s="120">
        <f t="shared" si="11"/>
        <v>0</v>
      </c>
      <c r="AH46" s="120">
        <f t="shared" si="11"/>
        <v>0</v>
      </c>
      <c r="AI46" s="120">
        <f t="shared" si="11"/>
        <v>0</v>
      </c>
      <c r="AJ46" s="120">
        <f t="shared" si="11"/>
        <v>0</v>
      </c>
      <c r="AK46" s="120">
        <f t="shared" si="11"/>
        <v>0</v>
      </c>
      <c r="AL46" s="120">
        <f t="shared" si="11"/>
        <v>0</v>
      </c>
      <c r="AM46" s="120">
        <f t="shared" si="11"/>
        <v>0</v>
      </c>
      <c r="AN46" s="120">
        <f t="shared" si="11"/>
        <v>0</v>
      </c>
      <c r="AO46" s="120">
        <f t="shared" si="11"/>
        <v>0</v>
      </c>
      <c r="AP46" s="120">
        <f t="shared" si="11"/>
        <v>0</v>
      </c>
      <c r="AQ46" s="120">
        <f t="shared" si="11"/>
        <v>0</v>
      </c>
      <c r="AR46" s="15"/>
      <c r="AS46" s="15"/>
      <c r="AT46" s="15"/>
      <c r="AU46" s="15"/>
      <c r="AV46" s="15"/>
      <c r="AW46" s="15"/>
      <c r="AX46" s="15"/>
      <c r="AY46" s="15"/>
      <c r="AZ46" s="15"/>
      <c r="BA46" s="230"/>
      <c r="BB46" s="230"/>
      <c r="BC46" s="230"/>
      <c r="BD46" s="230"/>
      <c r="BE46" s="230"/>
      <c r="BF46" s="230"/>
      <c r="BG46" s="230"/>
      <c r="BH46" s="230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</row>
    <row r="47" spans="1:82">
      <c r="E47" s="52"/>
      <c r="F47" s="52"/>
      <c r="G47" s="52"/>
      <c r="H47" s="52"/>
      <c r="I47" s="52"/>
      <c r="J47" s="52"/>
      <c r="K47" s="52"/>
      <c r="L47" s="52"/>
      <c r="M47" s="52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5"/>
      <c r="AS47" s="15"/>
      <c r="AT47" s="15"/>
      <c r="AU47" s="15"/>
      <c r="AV47" s="15"/>
      <c r="AW47" s="15"/>
      <c r="AX47" s="15"/>
      <c r="AY47" s="15"/>
      <c r="AZ47" s="15"/>
      <c r="BA47" s="152"/>
      <c r="BB47" s="152"/>
      <c r="BC47" s="152"/>
      <c r="BD47" s="152"/>
      <c r="BE47" s="152"/>
      <c r="BF47" s="152"/>
      <c r="BG47" s="152"/>
      <c r="BH47" s="152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</row>
    <row r="48" spans="1:82">
      <c r="A48" t="s">
        <v>71</v>
      </c>
      <c r="E48" s="102">
        <v>0.05</v>
      </c>
      <c r="F48" s="52"/>
      <c r="G48" s="52"/>
      <c r="H48" s="52"/>
      <c r="I48" s="52"/>
      <c r="J48" s="52"/>
      <c r="K48" s="52"/>
      <c r="L48" s="52"/>
      <c r="M48" s="52"/>
      <c r="N48" s="120">
        <f>-N46*$E$48</f>
        <v>0</v>
      </c>
      <c r="O48" s="120">
        <f t="shared" ref="O48:AQ48" si="12">-O46*$E$48</f>
        <v>0</v>
      </c>
      <c r="P48" s="120">
        <f t="shared" si="12"/>
        <v>0</v>
      </c>
      <c r="Q48" s="120">
        <f t="shared" si="12"/>
        <v>0</v>
      </c>
      <c r="R48" s="120">
        <f t="shared" si="12"/>
        <v>0</v>
      </c>
      <c r="S48" s="120">
        <f t="shared" si="12"/>
        <v>0</v>
      </c>
      <c r="T48" s="120">
        <f t="shared" si="12"/>
        <v>0</v>
      </c>
      <c r="U48" s="120">
        <f t="shared" si="12"/>
        <v>0</v>
      </c>
      <c r="V48" s="120">
        <f t="shared" si="12"/>
        <v>0</v>
      </c>
      <c r="W48" s="120">
        <f t="shared" si="12"/>
        <v>0</v>
      </c>
      <c r="X48" s="120">
        <f t="shared" si="12"/>
        <v>0</v>
      </c>
      <c r="Y48" s="120">
        <f t="shared" si="12"/>
        <v>0</v>
      </c>
      <c r="Z48" s="120">
        <f t="shared" si="12"/>
        <v>0</v>
      </c>
      <c r="AA48" s="120">
        <f t="shared" si="12"/>
        <v>0</v>
      </c>
      <c r="AB48" s="120">
        <f t="shared" si="12"/>
        <v>0</v>
      </c>
      <c r="AC48" s="120">
        <f t="shared" si="12"/>
        <v>0</v>
      </c>
      <c r="AD48" s="120">
        <f t="shared" si="12"/>
        <v>0</v>
      </c>
      <c r="AE48" s="120">
        <f t="shared" si="12"/>
        <v>0</v>
      </c>
      <c r="AF48" s="120">
        <f t="shared" si="12"/>
        <v>0</v>
      </c>
      <c r="AG48" s="120">
        <f t="shared" si="12"/>
        <v>0</v>
      </c>
      <c r="AH48" s="120">
        <f t="shared" si="12"/>
        <v>0</v>
      </c>
      <c r="AI48" s="120">
        <f t="shared" si="12"/>
        <v>0</v>
      </c>
      <c r="AJ48" s="120">
        <f t="shared" si="12"/>
        <v>0</v>
      </c>
      <c r="AK48" s="120">
        <f t="shared" si="12"/>
        <v>0</v>
      </c>
      <c r="AL48" s="120">
        <f t="shared" si="12"/>
        <v>0</v>
      </c>
      <c r="AM48" s="120">
        <f t="shared" si="12"/>
        <v>0</v>
      </c>
      <c r="AN48" s="120">
        <f t="shared" si="12"/>
        <v>0</v>
      </c>
      <c r="AO48" s="120">
        <f t="shared" si="12"/>
        <v>0</v>
      </c>
      <c r="AP48" s="120">
        <f t="shared" si="12"/>
        <v>0</v>
      </c>
      <c r="AQ48" s="120">
        <f t="shared" si="12"/>
        <v>0</v>
      </c>
      <c r="AR48" s="15"/>
      <c r="AS48" s="231"/>
      <c r="AT48" s="15"/>
      <c r="AU48" s="15"/>
      <c r="AV48" s="15"/>
      <c r="AW48" s="15"/>
      <c r="AX48" s="15"/>
      <c r="AY48" s="15"/>
      <c r="AZ48" s="15"/>
      <c r="BA48" s="230"/>
      <c r="BB48" s="230"/>
      <c r="BC48" s="230"/>
      <c r="BD48" s="230"/>
      <c r="BE48" s="230"/>
      <c r="BF48" s="230"/>
      <c r="BG48" s="230"/>
      <c r="BH48" s="230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</row>
    <row r="49" spans="1:82">
      <c r="E49" s="52"/>
      <c r="F49" s="52"/>
      <c r="G49" s="52"/>
      <c r="H49" s="52"/>
      <c r="I49" s="52"/>
      <c r="J49" s="52"/>
      <c r="K49" s="52"/>
      <c r="L49" s="52"/>
      <c r="M49" s="52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5"/>
      <c r="AS49" s="15"/>
      <c r="AT49" s="15"/>
      <c r="AU49" s="15"/>
      <c r="AV49" s="15"/>
      <c r="AW49" s="15"/>
      <c r="AX49" s="15"/>
      <c r="AY49" s="15"/>
      <c r="AZ49" s="15"/>
      <c r="BA49" s="152"/>
      <c r="BB49" s="152"/>
      <c r="BC49" s="152"/>
      <c r="BD49" s="152"/>
      <c r="BE49" s="152"/>
      <c r="BF49" s="152"/>
      <c r="BG49" s="152"/>
      <c r="BH49" s="152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</row>
    <row r="50" spans="1:82">
      <c r="A50" s="12" t="s">
        <v>70</v>
      </c>
      <c r="B50" s="12"/>
      <c r="C50" s="12"/>
      <c r="D50" s="12"/>
      <c r="E50" s="55"/>
      <c r="F50" s="52"/>
      <c r="G50" s="52"/>
      <c r="H50" s="52"/>
      <c r="I50" s="52"/>
      <c r="J50" s="52"/>
      <c r="K50" s="52"/>
      <c r="L50" s="52"/>
      <c r="M50" s="52"/>
      <c r="N50" s="118">
        <f t="shared" ref="N50:AQ50" si="13">N46+N48</f>
        <v>0</v>
      </c>
      <c r="O50" s="118">
        <f t="shared" si="13"/>
        <v>0</v>
      </c>
      <c r="P50" s="118">
        <f t="shared" si="13"/>
        <v>0</v>
      </c>
      <c r="Q50" s="118">
        <f t="shared" si="13"/>
        <v>0</v>
      </c>
      <c r="R50" s="118">
        <f t="shared" si="13"/>
        <v>0</v>
      </c>
      <c r="S50" s="118">
        <f t="shared" si="13"/>
        <v>0</v>
      </c>
      <c r="T50" s="118">
        <f t="shared" si="13"/>
        <v>0</v>
      </c>
      <c r="U50" s="118">
        <f t="shared" si="13"/>
        <v>0</v>
      </c>
      <c r="V50" s="118">
        <f t="shared" si="13"/>
        <v>0</v>
      </c>
      <c r="W50" s="118">
        <f t="shared" si="13"/>
        <v>0</v>
      </c>
      <c r="X50" s="118">
        <f t="shared" si="13"/>
        <v>0</v>
      </c>
      <c r="Y50" s="118">
        <f t="shared" si="13"/>
        <v>0</v>
      </c>
      <c r="Z50" s="118">
        <f t="shared" si="13"/>
        <v>0</v>
      </c>
      <c r="AA50" s="118">
        <f t="shared" si="13"/>
        <v>0</v>
      </c>
      <c r="AB50" s="118">
        <f t="shared" si="13"/>
        <v>0</v>
      </c>
      <c r="AC50" s="118">
        <f t="shared" si="13"/>
        <v>0</v>
      </c>
      <c r="AD50" s="118">
        <f t="shared" si="13"/>
        <v>0</v>
      </c>
      <c r="AE50" s="118">
        <f t="shared" si="13"/>
        <v>0</v>
      </c>
      <c r="AF50" s="118">
        <f t="shared" si="13"/>
        <v>0</v>
      </c>
      <c r="AG50" s="118">
        <f t="shared" si="13"/>
        <v>0</v>
      </c>
      <c r="AH50" s="118">
        <f t="shared" si="13"/>
        <v>0</v>
      </c>
      <c r="AI50" s="118">
        <f t="shared" si="13"/>
        <v>0</v>
      </c>
      <c r="AJ50" s="118">
        <f t="shared" si="13"/>
        <v>0</v>
      </c>
      <c r="AK50" s="118">
        <f t="shared" si="13"/>
        <v>0</v>
      </c>
      <c r="AL50" s="118">
        <f t="shared" si="13"/>
        <v>0</v>
      </c>
      <c r="AM50" s="118">
        <f t="shared" si="13"/>
        <v>0</v>
      </c>
      <c r="AN50" s="118">
        <f t="shared" si="13"/>
        <v>0</v>
      </c>
      <c r="AO50" s="118">
        <f t="shared" si="13"/>
        <v>0</v>
      </c>
      <c r="AP50" s="118">
        <f t="shared" si="13"/>
        <v>0</v>
      </c>
      <c r="AQ50" s="118">
        <f t="shared" si="13"/>
        <v>0</v>
      </c>
      <c r="AR50" s="72"/>
      <c r="AS50" s="72"/>
      <c r="AT50" s="15"/>
      <c r="AU50" s="15"/>
      <c r="AV50" s="15"/>
      <c r="AW50" s="15"/>
      <c r="AX50" s="15"/>
      <c r="AY50" s="15"/>
      <c r="AZ50" s="15"/>
      <c r="BA50" s="229"/>
      <c r="BB50" s="229"/>
      <c r="BC50" s="229"/>
      <c r="BD50" s="229"/>
      <c r="BE50" s="229"/>
      <c r="BF50" s="229"/>
      <c r="BG50" s="229"/>
      <c r="BH50" s="229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</row>
    <row r="51" spans="1:82"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</row>
    <row r="52" spans="1:82">
      <c r="A52" t="s">
        <v>159</v>
      </c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</row>
    <row r="53" spans="1:82">
      <c r="A53" t="s">
        <v>160</v>
      </c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</row>
    <row r="54" spans="1:82"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</row>
    <row r="55" spans="1:82"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</row>
    <row r="56" spans="1:82"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</row>
    <row r="57" spans="1:82"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</row>
    <row r="58" spans="1:82"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</row>
  </sheetData>
  <sheetProtection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5" right="0.25" top="0.68" bottom="0.62" header="0.28000000000000003" footer="0.34"/>
  <pageSetup scale="70" firstPageNumber="16" pageOrder="overThenDown" orientation="landscape" useFirstPageNumber="1" r:id="rId1"/>
  <headerFooter alignWithMargins="0">
    <oddFooter>&amp;L2012 Funding Pro Forma  &amp;C&amp;P&amp;RUpdated 01/09/2012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8"/>
  <sheetViews>
    <sheetView workbookViewId="0">
      <selection activeCell="B6" sqref="B6"/>
    </sheetView>
  </sheetViews>
  <sheetFormatPr defaultColWidth="10.28515625" defaultRowHeight="12.75"/>
  <cols>
    <col min="1" max="1" width="12.7109375" customWidth="1"/>
    <col min="2" max="2" width="17.42578125" customWidth="1"/>
    <col min="3" max="3" width="12.7109375" customWidth="1"/>
    <col min="4" max="4" width="12.85546875" customWidth="1"/>
    <col min="5" max="5" width="12.7109375" customWidth="1"/>
    <col min="6" max="6" width="17.42578125" customWidth="1"/>
    <col min="7" max="7" width="12" customWidth="1"/>
    <col min="8" max="8" width="14.140625" customWidth="1"/>
    <col min="9" max="9" width="11.140625" customWidth="1"/>
  </cols>
  <sheetData>
    <row r="1" spans="1:9">
      <c r="A1" s="3" t="s">
        <v>105</v>
      </c>
      <c r="B1" s="3"/>
      <c r="C1" s="3"/>
      <c r="D1" s="3"/>
      <c r="E1" s="3"/>
      <c r="F1" s="3"/>
      <c r="G1" s="29"/>
      <c r="H1" s="3"/>
      <c r="I1" s="3"/>
    </row>
    <row r="2" spans="1:9">
      <c r="A2" s="3" t="s">
        <v>55</v>
      </c>
      <c r="B2" s="3"/>
      <c r="C2" s="3"/>
      <c r="D2" s="3"/>
      <c r="E2" s="3"/>
      <c r="F2" s="3"/>
      <c r="G2" s="29"/>
      <c r="H2" s="3"/>
      <c r="I2" s="3"/>
    </row>
    <row r="3" spans="1:9">
      <c r="A3" s="3"/>
      <c r="G3" s="19"/>
    </row>
    <row r="4" spans="1:9">
      <c r="A4" s="2" t="s">
        <v>218</v>
      </c>
      <c r="B4">
        <f>Sources!$B$3</f>
        <v>0</v>
      </c>
      <c r="C4" s="3"/>
      <c r="D4" s="3"/>
      <c r="E4" s="3"/>
      <c r="F4" s="3"/>
      <c r="G4" s="29"/>
      <c r="H4" s="3"/>
      <c r="I4" s="3"/>
    </row>
    <row r="5" spans="1:9">
      <c r="A5" s="2" t="s">
        <v>374</v>
      </c>
      <c r="B5" s="110">
        <f>Sources!F3</f>
        <v>40909</v>
      </c>
      <c r="G5" s="42"/>
      <c r="H5" s="22"/>
      <c r="I5" s="22"/>
    </row>
    <row r="6" spans="1:9">
      <c r="A6" s="15"/>
      <c r="B6" s="15"/>
      <c r="C6" s="15"/>
      <c r="D6" s="15"/>
      <c r="E6" s="15"/>
      <c r="F6" s="15"/>
      <c r="G6" s="19"/>
    </row>
    <row r="7" spans="1:9">
      <c r="D7" s="23" t="s">
        <v>106</v>
      </c>
      <c r="E7" s="32"/>
      <c r="F7" s="23" t="s">
        <v>107</v>
      </c>
      <c r="G7" s="19"/>
    </row>
    <row r="8" spans="1:9">
      <c r="E8" s="7"/>
      <c r="G8" s="19"/>
    </row>
    <row r="9" spans="1:9">
      <c r="A9" t="s">
        <v>108</v>
      </c>
      <c r="D9" s="14">
        <f>F9</f>
        <v>0</v>
      </c>
      <c r="E9" s="20"/>
      <c r="F9" s="111"/>
      <c r="G9" s="19"/>
    </row>
    <row r="10" spans="1:9">
      <c r="A10" t="s">
        <v>109</v>
      </c>
      <c r="D10" s="16">
        <f>F10-D14</f>
        <v>-0.04</v>
      </c>
      <c r="E10" s="21"/>
      <c r="F10" s="112"/>
      <c r="G10" s="19"/>
    </row>
    <row r="11" spans="1:9">
      <c r="A11" t="s">
        <v>110</v>
      </c>
      <c r="D11">
        <f>F11</f>
        <v>1</v>
      </c>
      <c r="E11" s="7"/>
      <c r="F11" s="113">
        <v>1</v>
      </c>
      <c r="G11" s="19"/>
    </row>
    <row r="12" spans="1:9">
      <c r="A12" t="s">
        <v>111</v>
      </c>
      <c r="D12">
        <f>F12</f>
        <v>1</v>
      </c>
      <c r="E12" s="7"/>
      <c r="F12" s="113">
        <v>1</v>
      </c>
      <c r="G12" s="19"/>
    </row>
    <row r="13" spans="1:9">
      <c r="A13" t="s">
        <v>208</v>
      </c>
      <c r="D13" s="14">
        <f>PMT(D10/12,12*D11,-D9)</f>
        <v>0</v>
      </c>
      <c r="E13" s="20"/>
      <c r="F13" s="14">
        <f>PMT(F10/12,12*F11,-F9)</f>
        <v>0</v>
      </c>
      <c r="G13" s="19"/>
      <c r="H13" s="19"/>
    </row>
    <row r="14" spans="1:9">
      <c r="A14" t="s">
        <v>135</v>
      </c>
      <c r="D14" s="114">
        <v>0.04</v>
      </c>
      <c r="E14" s="21"/>
      <c r="F14" s="28"/>
      <c r="G14" s="19"/>
    </row>
    <row r="15" spans="1:9">
      <c r="A15" t="s">
        <v>209</v>
      </c>
      <c r="D15" s="14">
        <f>SUM(I32:I32:I51)</f>
        <v>0</v>
      </c>
      <c r="E15" s="20"/>
      <c r="F15" s="14"/>
      <c r="G15" s="19"/>
    </row>
    <row r="16" spans="1:9">
      <c r="A16" t="s">
        <v>210</v>
      </c>
      <c r="D16" s="113">
        <v>1</v>
      </c>
      <c r="E16" s="7"/>
      <c r="G16" s="19"/>
    </row>
    <row r="17" spans="1:9">
      <c r="A17" t="s">
        <v>211</v>
      </c>
      <c r="D17" s="14">
        <f>ROUNDUP(((+D15/D16)/D12)/12,0)</f>
        <v>0</v>
      </c>
      <c r="E17" s="20"/>
      <c r="F17" s="14"/>
      <c r="G17" s="19"/>
    </row>
    <row r="18" spans="1:9">
      <c r="A18" t="s">
        <v>212</v>
      </c>
      <c r="D18" s="14">
        <f>D17*12*D16</f>
        <v>0</v>
      </c>
      <c r="E18" s="7"/>
      <c r="F18" s="19"/>
      <c r="G18" s="19"/>
    </row>
    <row r="19" spans="1:9">
      <c r="E19" s="22"/>
      <c r="F19" s="3"/>
      <c r="G19" s="29"/>
      <c r="H19" s="3"/>
      <c r="I19" s="3"/>
    </row>
    <row r="20" spans="1:9">
      <c r="E20" s="3"/>
      <c r="F20" s="3"/>
      <c r="G20" s="29"/>
      <c r="H20" s="3"/>
      <c r="I20" s="3"/>
    </row>
    <row r="21" spans="1:9">
      <c r="A21" s="45" t="s">
        <v>112</v>
      </c>
      <c r="B21" s="46"/>
      <c r="D21" s="9">
        <f>'OAHTC Calculation'!D17</f>
        <v>0</v>
      </c>
      <c r="E21" s="9">
        <f>'OAHTC Calculation'!$D$18</f>
        <v>0</v>
      </c>
      <c r="F21" s="3"/>
      <c r="G21" s="29"/>
      <c r="H21" s="3"/>
      <c r="I21" s="3"/>
    </row>
    <row r="22" spans="1:9">
      <c r="A22" s="44" t="s">
        <v>121</v>
      </c>
      <c r="B22" s="47"/>
      <c r="D22" s="43">
        <f>ROUNDUP(((+Income!$N$25-'Income with OAHTC'!$N$25)/12)/$D$16,0)</f>
        <v>0</v>
      </c>
      <c r="E22" s="43">
        <f>Income!N25-'Income with OAHTC'!N25</f>
        <v>0</v>
      </c>
      <c r="F22" s="3"/>
      <c r="G22" s="29"/>
      <c r="H22" s="3"/>
      <c r="I22" s="3"/>
    </row>
    <row r="23" spans="1:9">
      <c r="A23" s="48" t="s">
        <v>122</v>
      </c>
      <c r="B23" s="46"/>
      <c r="D23" s="81">
        <f>D22-D21</f>
        <v>0</v>
      </c>
      <c r="E23" s="39">
        <f>+E22-E21</f>
        <v>0</v>
      </c>
      <c r="F23" s="3"/>
      <c r="G23" s="29"/>
      <c r="H23" s="3"/>
      <c r="I23" s="3"/>
    </row>
    <row r="24" spans="1:9">
      <c r="E24" s="3"/>
      <c r="F24" s="3"/>
      <c r="G24" s="29"/>
      <c r="H24" s="3"/>
      <c r="I24" s="3"/>
    </row>
    <row r="25" spans="1:9">
      <c r="E25" s="3"/>
      <c r="F25" s="3"/>
      <c r="G25" s="29"/>
      <c r="H25" s="3"/>
      <c r="I25" s="3"/>
    </row>
    <row r="26" spans="1:9">
      <c r="B26" t="s">
        <v>213</v>
      </c>
      <c r="E26" s="3" t="s">
        <v>214</v>
      </c>
      <c r="F26" s="29"/>
      <c r="G26" s="3"/>
      <c r="H26" s="3"/>
      <c r="I26" s="3"/>
    </row>
    <row r="27" spans="1:9">
      <c r="E27" s="7"/>
      <c r="F27" s="19"/>
    </row>
    <row r="28" spans="1:9">
      <c r="D28" t="s">
        <v>215</v>
      </c>
      <c r="E28" s="7"/>
      <c r="F28" s="30" t="s">
        <v>216</v>
      </c>
      <c r="G28" s="7" t="s">
        <v>217</v>
      </c>
      <c r="H28" s="7" t="s">
        <v>217</v>
      </c>
      <c r="I28" s="7" t="s">
        <v>226</v>
      </c>
    </row>
    <row r="29" spans="1:9">
      <c r="A29" s="7" t="s">
        <v>227</v>
      </c>
      <c r="B29" t="s">
        <v>228</v>
      </c>
      <c r="C29" t="s">
        <v>216</v>
      </c>
      <c r="D29" t="s">
        <v>219</v>
      </c>
      <c r="E29" s="7" t="str">
        <f>A29</f>
        <v>YEAR</v>
      </c>
      <c r="F29" s="30" t="s">
        <v>220</v>
      </c>
      <c r="G29" s="7" t="s">
        <v>228</v>
      </c>
      <c r="H29" s="7" t="s">
        <v>219</v>
      </c>
      <c r="I29" s="7" t="s">
        <v>79</v>
      </c>
    </row>
    <row r="30" spans="1:9">
      <c r="A30" s="7"/>
      <c r="E30" s="7"/>
      <c r="F30" s="19"/>
    </row>
    <row r="31" spans="1:9">
      <c r="A31" s="7"/>
      <c r="B31" s="14"/>
      <c r="C31" s="14" t="str">
        <f>IF(A31&gt;=1,-PPMT(Sources!$D$9/12,A31*12,Sources!#REF!*12,Sources!$D$7)*12,"")</f>
        <v/>
      </c>
      <c r="D31" s="14"/>
      <c r="E31" s="20"/>
      <c r="F31" s="19"/>
      <c r="G31" s="14"/>
      <c r="H31" s="14"/>
      <c r="I31" s="14"/>
    </row>
    <row r="32" spans="1:9">
      <c r="A32" s="50">
        <v>1</v>
      </c>
      <c r="B32" s="14">
        <f>IF(A32&gt;=1,-IPMT($D$10/12,A32*12,$D$11*12,$D$9,0,0)*12,"")</f>
        <v>0</v>
      </c>
      <c r="C32" s="14">
        <f>IF(A32&gt;=1,-PPMT($D$10/12,A32*12,$D$11*12,$D$9,0,0)*12,"")</f>
        <v>0</v>
      </c>
      <c r="D32" s="14">
        <f>IF(A32&gt;=1,+D9-C32,"")</f>
        <v>0</v>
      </c>
      <c r="E32" s="50">
        <f t="shared" ref="E32:E51" si="0">A32</f>
        <v>1</v>
      </c>
      <c r="F32" s="14">
        <f>IF(A32&gt;=1,+$D$9-D32,"")</f>
        <v>0</v>
      </c>
      <c r="G32" s="14">
        <f t="shared" ref="G32:G51" si="1">IF(A32&gt;=1,+$D$13*12-F32,"")</f>
        <v>0</v>
      </c>
      <c r="H32" s="14">
        <f t="shared" ref="H32:H51" si="2">IF(A32&gt;=1,+G32/$D$10,"")</f>
        <v>0</v>
      </c>
      <c r="I32" s="14">
        <f t="shared" ref="I32:I51" si="3">IF(A32&gt;=1,+H32*$D$14,"")</f>
        <v>0</v>
      </c>
    </row>
    <row r="33" spans="1:9">
      <c r="A33" s="50">
        <f>IF($D$12&gt;A32,IF(A32&gt;0,A32+1,0),0)</f>
        <v>0</v>
      </c>
      <c r="B33" s="14" t="str">
        <f t="shared" ref="B33:B51" si="4">IF(A33&gt;=1,-IPMT($D$10/12,A33*12,$D$11*12,$D$9,0,0)*12,"")</f>
        <v/>
      </c>
      <c r="C33" s="14" t="str">
        <f>IF(A33&gt;=1,-PPMT($D$10/12,A33*12,$D$11*12,$D$9,0,0)*12,"")</f>
        <v/>
      </c>
      <c r="D33" s="14" t="str">
        <f>IF(A33&gt;=1,+D32-C33,"")</f>
        <v/>
      </c>
      <c r="E33" s="50">
        <f t="shared" si="0"/>
        <v>0</v>
      </c>
      <c r="F33" s="14" t="str">
        <f t="shared" ref="F33:F51" si="5">IF(A33&gt;=1,+D32-D33,"")</f>
        <v/>
      </c>
      <c r="G33" s="14" t="str">
        <f t="shared" si="1"/>
        <v/>
      </c>
      <c r="H33" s="14" t="str">
        <f t="shared" si="2"/>
        <v/>
      </c>
      <c r="I33" s="14" t="str">
        <f t="shared" si="3"/>
        <v/>
      </c>
    </row>
    <row r="34" spans="1:9">
      <c r="A34" s="50">
        <f t="shared" ref="A34:A51" si="6">IF($D$12&gt;A33,IF(A33&gt;0,A33+1,0),0)</f>
        <v>0</v>
      </c>
      <c r="B34" s="14" t="str">
        <f t="shared" si="4"/>
        <v/>
      </c>
      <c r="C34" s="14" t="str">
        <f t="shared" ref="C34:C51" si="7">IF(A34&gt;=1,-PPMT($D$10/12,A34*12,$D$11*12,$D$9,0,0)*12,"")</f>
        <v/>
      </c>
      <c r="D34" s="14" t="str">
        <f t="shared" ref="D34:D51" si="8">IF(A34&gt;=1,+D33-C34,"")</f>
        <v/>
      </c>
      <c r="E34" s="50">
        <f t="shared" si="0"/>
        <v>0</v>
      </c>
      <c r="F34" s="14" t="str">
        <f t="shared" si="5"/>
        <v/>
      </c>
      <c r="G34" s="14" t="str">
        <f t="shared" si="1"/>
        <v/>
      </c>
      <c r="H34" s="14" t="str">
        <f t="shared" si="2"/>
        <v/>
      </c>
      <c r="I34" s="14" t="str">
        <f t="shared" si="3"/>
        <v/>
      </c>
    </row>
    <row r="35" spans="1:9">
      <c r="A35" s="50">
        <f t="shared" si="6"/>
        <v>0</v>
      </c>
      <c r="B35" s="14" t="str">
        <f t="shared" si="4"/>
        <v/>
      </c>
      <c r="C35" s="14" t="str">
        <f t="shared" si="7"/>
        <v/>
      </c>
      <c r="D35" s="14" t="str">
        <f t="shared" si="8"/>
        <v/>
      </c>
      <c r="E35" s="50">
        <f t="shared" si="0"/>
        <v>0</v>
      </c>
      <c r="F35" s="14" t="str">
        <f t="shared" si="5"/>
        <v/>
      </c>
      <c r="G35" s="14" t="str">
        <f t="shared" si="1"/>
        <v/>
      </c>
      <c r="H35" s="14" t="str">
        <f t="shared" si="2"/>
        <v/>
      </c>
      <c r="I35" s="14" t="str">
        <f t="shared" si="3"/>
        <v/>
      </c>
    </row>
    <row r="36" spans="1:9">
      <c r="A36" s="50">
        <f t="shared" si="6"/>
        <v>0</v>
      </c>
      <c r="B36" s="14" t="str">
        <f t="shared" si="4"/>
        <v/>
      </c>
      <c r="C36" s="14" t="str">
        <f t="shared" si="7"/>
        <v/>
      </c>
      <c r="D36" s="14" t="str">
        <f t="shared" si="8"/>
        <v/>
      </c>
      <c r="E36" s="50">
        <f t="shared" si="0"/>
        <v>0</v>
      </c>
      <c r="F36" s="14" t="str">
        <f t="shared" si="5"/>
        <v/>
      </c>
      <c r="G36" s="14" t="str">
        <f t="shared" si="1"/>
        <v/>
      </c>
      <c r="H36" s="14" t="str">
        <f t="shared" si="2"/>
        <v/>
      </c>
      <c r="I36" s="14" t="str">
        <f t="shared" si="3"/>
        <v/>
      </c>
    </row>
    <row r="37" spans="1:9">
      <c r="A37" s="50">
        <f t="shared" si="6"/>
        <v>0</v>
      </c>
      <c r="B37" s="14" t="str">
        <f t="shared" si="4"/>
        <v/>
      </c>
      <c r="C37" s="14" t="str">
        <f t="shared" si="7"/>
        <v/>
      </c>
      <c r="D37" s="14" t="str">
        <f t="shared" si="8"/>
        <v/>
      </c>
      <c r="E37" s="50">
        <f t="shared" si="0"/>
        <v>0</v>
      </c>
      <c r="F37" s="14" t="str">
        <f t="shared" si="5"/>
        <v/>
      </c>
      <c r="G37" s="14" t="str">
        <f t="shared" si="1"/>
        <v/>
      </c>
      <c r="H37" s="14" t="str">
        <f t="shared" si="2"/>
        <v/>
      </c>
      <c r="I37" s="14" t="str">
        <f t="shared" si="3"/>
        <v/>
      </c>
    </row>
    <row r="38" spans="1:9">
      <c r="A38" s="50">
        <f t="shared" si="6"/>
        <v>0</v>
      </c>
      <c r="B38" s="14" t="str">
        <f t="shared" si="4"/>
        <v/>
      </c>
      <c r="C38" s="14" t="str">
        <f t="shared" si="7"/>
        <v/>
      </c>
      <c r="D38" s="14" t="str">
        <f t="shared" si="8"/>
        <v/>
      </c>
      <c r="E38" s="50">
        <f t="shared" si="0"/>
        <v>0</v>
      </c>
      <c r="F38" s="14" t="str">
        <f t="shared" si="5"/>
        <v/>
      </c>
      <c r="G38" s="14" t="str">
        <f t="shared" si="1"/>
        <v/>
      </c>
      <c r="H38" s="14" t="str">
        <f t="shared" si="2"/>
        <v/>
      </c>
      <c r="I38" s="14" t="str">
        <f t="shared" si="3"/>
        <v/>
      </c>
    </row>
    <row r="39" spans="1:9">
      <c r="A39" s="50">
        <f t="shared" si="6"/>
        <v>0</v>
      </c>
      <c r="B39" s="14" t="str">
        <f t="shared" si="4"/>
        <v/>
      </c>
      <c r="C39" s="14" t="str">
        <f t="shared" si="7"/>
        <v/>
      </c>
      <c r="D39" s="14" t="str">
        <f t="shared" si="8"/>
        <v/>
      </c>
      <c r="E39" s="50">
        <f t="shared" si="0"/>
        <v>0</v>
      </c>
      <c r="F39" s="14" t="str">
        <f t="shared" si="5"/>
        <v/>
      </c>
      <c r="G39" s="14" t="str">
        <f t="shared" si="1"/>
        <v/>
      </c>
      <c r="H39" s="14" t="str">
        <f t="shared" si="2"/>
        <v/>
      </c>
      <c r="I39" s="14" t="str">
        <f t="shared" si="3"/>
        <v/>
      </c>
    </row>
    <row r="40" spans="1:9">
      <c r="A40" s="50">
        <f t="shared" si="6"/>
        <v>0</v>
      </c>
      <c r="B40" s="14" t="str">
        <f t="shared" si="4"/>
        <v/>
      </c>
      <c r="C40" s="14" t="str">
        <f t="shared" si="7"/>
        <v/>
      </c>
      <c r="D40" s="14" t="str">
        <f t="shared" si="8"/>
        <v/>
      </c>
      <c r="E40" s="50">
        <f t="shared" si="0"/>
        <v>0</v>
      </c>
      <c r="F40" s="14" t="str">
        <f t="shared" si="5"/>
        <v/>
      </c>
      <c r="G40" s="14" t="str">
        <f t="shared" si="1"/>
        <v/>
      </c>
      <c r="H40" s="14" t="str">
        <f t="shared" si="2"/>
        <v/>
      </c>
      <c r="I40" s="14" t="str">
        <f t="shared" si="3"/>
        <v/>
      </c>
    </row>
    <row r="41" spans="1:9">
      <c r="A41" s="50">
        <f t="shared" si="6"/>
        <v>0</v>
      </c>
      <c r="B41" s="14" t="str">
        <f t="shared" si="4"/>
        <v/>
      </c>
      <c r="C41" s="14" t="str">
        <f t="shared" si="7"/>
        <v/>
      </c>
      <c r="D41" s="14" t="str">
        <f t="shared" si="8"/>
        <v/>
      </c>
      <c r="E41" s="50">
        <f t="shared" si="0"/>
        <v>0</v>
      </c>
      <c r="F41" s="14" t="str">
        <f t="shared" si="5"/>
        <v/>
      </c>
      <c r="G41" s="14" t="str">
        <f t="shared" si="1"/>
        <v/>
      </c>
      <c r="H41" s="14" t="str">
        <f t="shared" si="2"/>
        <v/>
      </c>
      <c r="I41" s="14" t="str">
        <f t="shared" si="3"/>
        <v/>
      </c>
    </row>
    <row r="42" spans="1:9">
      <c r="A42" s="50">
        <f t="shared" si="6"/>
        <v>0</v>
      </c>
      <c r="B42" s="14" t="str">
        <f t="shared" si="4"/>
        <v/>
      </c>
      <c r="C42" s="14" t="str">
        <f t="shared" si="7"/>
        <v/>
      </c>
      <c r="D42" s="14" t="str">
        <f t="shared" si="8"/>
        <v/>
      </c>
      <c r="E42" s="50">
        <f t="shared" si="0"/>
        <v>0</v>
      </c>
      <c r="F42" s="14" t="str">
        <f t="shared" si="5"/>
        <v/>
      </c>
      <c r="G42" s="14" t="str">
        <f t="shared" si="1"/>
        <v/>
      </c>
      <c r="H42" s="14" t="str">
        <f t="shared" si="2"/>
        <v/>
      </c>
      <c r="I42" s="14" t="str">
        <f t="shared" si="3"/>
        <v/>
      </c>
    </row>
    <row r="43" spans="1:9">
      <c r="A43" s="50">
        <f t="shared" si="6"/>
        <v>0</v>
      </c>
      <c r="B43" s="14" t="str">
        <f t="shared" si="4"/>
        <v/>
      </c>
      <c r="C43" s="14" t="str">
        <f t="shared" si="7"/>
        <v/>
      </c>
      <c r="D43" s="14" t="str">
        <f t="shared" si="8"/>
        <v/>
      </c>
      <c r="E43" s="50">
        <f t="shared" si="0"/>
        <v>0</v>
      </c>
      <c r="F43" s="14" t="str">
        <f t="shared" si="5"/>
        <v/>
      </c>
      <c r="G43" s="14" t="str">
        <f t="shared" si="1"/>
        <v/>
      </c>
      <c r="H43" s="14" t="str">
        <f t="shared" si="2"/>
        <v/>
      </c>
      <c r="I43" s="14" t="str">
        <f t="shared" si="3"/>
        <v/>
      </c>
    </row>
    <row r="44" spans="1:9">
      <c r="A44" s="50">
        <f t="shared" si="6"/>
        <v>0</v>
      </c>
      <c r="B44" s="14" t="str">
        <f t="shared" si="4"/>
        <v/>
      </c>
      <c r="C44" s="14" t="str">
        <f t="shared" si="7"/>
        <v/>
      </c>
      <c r="D44" s="14" t="str">
        <f t="shared" si="8"/>
        <v/>
      </c>
      <c r="E44" s="50">
        <f t="shared" si="0"/>
        <v>0</v>
      </c>
      <c r="F44" s="14" t="str">
        <f t="shared" si="5"/>
        <v/>
      </c>
      <c r="G44" s="14" t="str">
        <f t="shared" si="1"/>
        <v/>
      </c>
      <c r="H44" s="14" t="str">
        <f t="shared" si="2"/>
        <v/>
      </c>
      <c r="I44" s="14" t="str">
        <f t="shared" si="3"/>
        <v/>
      </c>
    </row>
    <row r="45" spans="1:9">
      <c r="A45" s="50">
        <f t="shared" si="6"/>
        <v>0</v>
      </c>
      <c r="B45" s="14" t="str">
        <f t="shared" si="4"/>
        <v/>
      </c>
      <c r="C45" s="14" t="str">
        <f t="shared" si="7"/>
        <v/>
      </c>
      <c r="D45" s="14" t="str">
        <f t="shared" si="8"/>
        <v/>
      </c>
      <c r="E45" s="50">
        <f t="shared" si="0"/>
        <v>0</v>
      </c>
      <c r="F45" s="14" t="str">
        <f t="shared" si="5"/>
        <v/>
      </c>
      <c r="G45" s="14" t="str">
        <f t="shared" si="1"/>
        <v/>
      </c>
      <c r="H45" s="14" t="str">
        <f t="shared" si="2"/>
        <v/>
      </c>
      <c r="I45" s="14" t="str">
        <f t="shared" si="3"/>
        <v/>
      </c>
    </row>
    <row r="46" spans="1:9">
      <c r="A46" s="50">
        <f t="shared" si="6"/>
        <v>0</v>
      </c>
      <c r="B46" s="14" t="str">
        <f t="shared" si="4"/>
        <v/>
      </c>
      <c r="C46" s="14" t="str">
        <f t="shared" si="7"/>
        <v/>
      </c>
      <c r="D46" s="14" t="str">
        <f t="shared" si="8"/>
        <v/>
      </c>
      <c r="E46" s="50">
        <f t="shared" si="0"/>
        <v>0</v>
      </c>
      <c r="F46" s="14" t="str">
        <f t="shared" si="5"/>
        <v/>
      </c>
      <c r="G46" s="14" t="str">
        <f t="shared" si="1"/>
        <v/>
      </c>
      <c r="H46" s="14" t="str">
        <f t="shared" si="2"/>
        <v/>
      </c>
      <c r="I46" s="14" t="str">
        <f t="shared" si="3"/>
        <v/>
      </c>
    </row>
    <row r="47" spans="1:9">
      <c r="A47" s="50">
        <f t="shared" si="6"/>
        <v>0</v>
      </c>
      <c r="B47" s="14" t="str">
        <f t="shared" si="4"/>
        <v/>
      </c>
      <c r="C47" s="14" t="str">
        <f t="shared" si="7"/>
        <v/>
      </c>
      <c r="D47" s="14" t="str">
        <f t="shared" si="8"/>
        <v/>
      </c>
      <c r="E47" s="50">
        <f t="shared" si="0"/>
        <v>0</v>
      </c>
      <c r="F47" s="14" t="str">
        <f t="shared" si="5"/>
        <v/>
      </c>
      <c r="G47" s="14" t="str">
        <f t="shared" si="1"/>
        <v/>
      </c>
      <c r="H47" s="14" t="str">
        <f t="shared" si="2"/>
        <v/>
      </c>
      <c r="I47" s="14" t="str">
        <f t="shared" si="3"/>
        <v/>
      </c>
    </row>
    <row r="48" spans="1:9">
      <c r="A48" s="50">
        <f t="shared" si="6"/>
        <v>0</v>
      </c>
      <c r="B48" s="14" t="str">
        <f t="shared" si="4"/>
        <v/>
      </c>
      <c r="C48" s="14" t="str">
        <f t="shared" si="7"/>
        <v/>
      </c>
      <c r="D48" s="14" t="str">
        <f t="shared" si="8"/>
        <v/>
      </c>
      <c r="E48" s="50">
        <f t="shared" si="0"/>
        <v>0</v>
      </c>
      <c r="F48" s="14" t="str">
        <f t="shared" si="5"/>
        <v/>
      </c>
      <c r="G48" s="14" t="str">
        <f t="shared" si="1"/>
        <v/>
      </c>
      <c r="H48" s="14" t="str">
        <f t="shared" si="2"/>
        <v/>
      </c>
      <c r="I48" s="14" t="str">
        <f t="shared" si="3"/>
        <v/>
      </c>
    </row>
    <row r="49" spans="1:9">
      <c r="A49" s="50">
        <f t="shared" si="6"/>
        <v>0</v>
      </c>
      <c r="B49" s="14" t="str">
        <f t="shared" si="4"/>
        <v/>
      </c>
      <c r="C49" s="14" t="str">
        <f t="shared" si="7"/>
        <v/>
      </c>
      <c r="D49" s="14" t="str">
        <f t="shared" si="8"/>
        <v/>
      </c>
      <c r="E49" s="50">
        <f t="shared" si="0"/>
        <v>0</v>
      </c>
      <c r="F49" s="14" t="str">
        <f t="shared" si="5"/>
        <v/>
      </c>
      <c r="G49" s="14" t="str">
        <f t="shared" si="1"/>
        <v/>
      </c>
      <c r="H49" s="14" t="str">
        <f t="shared" si="2"/>
        <v/>
      </c>
      <c r="I49" s="14" t="str">
        <f t="shared" si="3"/>
        <v/>
      </c>
    </row>
    <row r="50" spans="1:9">
      <c r="A50" s="50">
        <f t="shared" si="6"/>
        <v>0</v>
      </c>
      <c r="B50" s="14" t="str">
        <f t="shared" si="4"/>
        <v/>
      </c>
      <c r="C50" s="14" t="str">
        <f t="shared" si="7"/>
        <v/>
      </c>
      <c r="D50" s="14" t="str">
        <f t="shared" si="8"/>
        <v/>
      </c>
      <c r="E50" s="50">
        <f t="shared" si="0"/>
        <v>0</v>
      </c>
      <c r="F50" s="14" t="str">
        <f t="shared" si="5"/>
        <v/>
      </c>
      <c r="G50" s="14" t="str">
        <f t="shared" si="1"/>
        <v/>
      </c>
      <c r="H50" s="14" t="str">
        <f t="shared" si="2"/>
        <v/>
      </c>
      <c r="I50" s="14" t="str">
        <f t="shared" si="3"/>
        <v/>
      </c>
    </row>
    <row r="51" spans="1:9">
      <c r="A51" s="50">
        <f t="shared" si="6"/>
        <v>0</v>
      </c>
      <c r="B51" s="14" t="str">
        <f t="shared" si="4"/>
        <v/>
      </c>
      <c r="C51" s="14" t="str">
        <f t="shared" si="7"/>
        <v/>
      </c>
      <c r="D51" s="14" t="str">
        <f t="shared" si="8"/>
        <v/>
      </c>
      <c r="E51" s="50">
        <f t="shared" si="0"/>
        <v>0</v>
      </c>
      <c r="F51" s="14" t="str">
        <f t="shared" si="5"/>
        <v/>
      </c>
      <c r="G51" s="14" t="str">
        <f t="shared" si="1"/>
        <v/>
      </c>
      <c r="H51" s="14" t="str">
        <f t="shared" si="2"/>
        <v/>
      </c>
      <c r="I51" s="14" t="str">
        <f t="shared" si="3"/>
        <v/>
      </c>
    </row>
    <row r="52" spans="1:9">
      <c r="B52" s="14"/>
      <c r="C52" s="14"/>
      <c r="D52" s="14"/>
      <c r="E52" s="7"/>
      <c r="F52" s="14"/>
      <c r="G52" s="14"/>
      <c r="H52" s="14"/>
      <c r="I52" s="14"/>
    </row>
    <row r="53" spans="1:9">
      <c r="B53" s="14"/>
      <c r="C53" s="14"/>
      <c r="D53" s="14"/>
      <c r="E53" s="7"/>
      <c r="F53" s="14"/>
      <c r="G53" s="14"/>
      <c r="H53" s="14"/>
      <c r="I53" s="14"/>
    </row>
    <row r="54" spans="1:9">
      <c r="B54" s="14"/>
      <c r="C54" s="14"/>
      <c r="D54" s="14"/>
      <c r="E54" s="7"/>
      <c r="F54" s="14"/>
      <c r="G54" s="14"/>
      <c r="H54" s="14"/>
      <c r="I54" s="14"/>
    </row>
    <row r="55" spans="1:9">
      <c r="B55" s="14"/>
      <c r="C55" s="14"/>
      <c r="D55" s="14"/>
      <c r="E55" s="7"/>
      <c r="F55" s="14"/>
      <c r="G55" s="14"/>
      <c r="H55" s="14"/>
      <c r="I55" s="14"/>
    </row>
    <row r="56" spans="1:9">
      <c r="B56" s="14"/>
      <c r="C56" s="14"/>
      <c r="D56" s="14"/>
      <c r="E56" s="7"/>
      <c r="F56" s="14"/>
      <c r="G56" s="14"/>
      <c r="H56" s="14"/>
      <c r="I56" s="14"/>
    </row>
    <row r="57" spans="1:9">
      <c r="B57" s="14"/>
      <c r="C57" s="14"/>
      <c r="D57" s="14"/>
      <c r="E57" s="7"/>
      <c r="F57" s="14"/>
      <c r="G57" s="14"/>
      <c r="H57" s="14"/>
      <c r="I57" s="14"/>
    </row>
    <row r="58" spans="1:9">
      <c r="B58" s="14"/>
      <c r="C58" s="14"/>
      <c r="D58" s="14"/>
      <c r="E58" s="7"/>
      <c r="F58" s="14"/>
      <c r="G58" s="14"/>
      <c r="H58" s="14"/>
      <c r="I58" s="14"/>
    </row>
    <row r="59" spans="1:9">
      <c r="B59" s="14"/>
      <c r="C59" s="14"/>
      <c r="D59" s="14"/>
      <c r="E59" s="7"/>
      <c r="F59" s="14"/>
      <c r="G59" s="14"/>
      <c r="H59" s="14"/>
      <c r="I59" s="14"/>
    </row>
    <row r="60" spans="1:9">
      <c r="B60" s="14"/>
      <c r="C60" s="14"/>
      <c r="D60" s="14"/>
      <c r="E60" s="7"/>
      <c r="F60" s="14"/>
      <c r="G60" s="14"/>
      <c r="H60" s="14"/>
      <c r="I60" s="14"/>
    </row>
    <row r="61" spans="1:9">
      <c r="B61" s="14"/>
      <c r="C61" s="14"/>
      <c r="D61" s="14"/>
      <c r="E61" s="7"/>
      <c r="F61" s="14"/>
      <c r="G61" s="14"/>
      <c r="H61" s="14"/>
      <c r="I61" s="14"/>
    </row>
    <row r="62" spans="1:9">
      <c r="B62" s="14"/>
      <c r="C62" s="14"/>
      <c r="D62" s="14"/>
      <c r="E62" s="7"/>
      <c r="F62" s="14"/>
      <c r="G62" s="14"/>
      <c r="H62" s="14"/>
      <c r="I62" s="14"/>
    </row>
    <row r="63" spans="1:9">
      <c r="B63" s="14"/>
      <c r="C63" s="14"/>
      <c r="D63" s="14"/>
      <c r="E63" s="7"/>
      <c r="F63" s="14"/>
      <c r="G63" s="14"/>
      <c r="H63" s="14"/>
      <c r="I63" s="14"/>
    </row>
    <row r="64" spans="1:9">
      <c r="B64" s="14"/>
      <c r="C64" s="14"/>
      <c r="D64" s="14"/>
      <c r="E64" s="7"/>
      <c r="F64" s="14"/>
      <c r="G64" s="14"/>
      <c r="H64" s="14"/>
      <c r="I64" s="14"/>
    </row>
    <row r="65" spans="2:9">
      <c r="B65" s="14"/>
      <c r="C65" s="14"/>
      <c r="D65" s="14"/>
      <c r="E65" s="7"/>
      <c r="F65" s="14"/>
      <c r="G65" s="14"/>
      <c r="H65" s="14"/>
      <c r="I65" s="14"/>
    </row>
    <row r="66" spans="2:9">
      <c r="B66" s="14"/>
      <c r="C66" s="14"/>
      <c r="D66" s="14"/>
      <c r="E66" s="7"/>
      <c r="F66" s="14"/>
      <c r="G66" s="14"/>
      <c r="H66" s="14"/>
      <c r="I66" s="14"/>
    </row>
    <row r="67" spans="2:9">
      <c r="B67" s="14"/>
      <c r="C67" s="14"/>
      <c r="D67" s="14"/>
      <c r="E67" s="7"/>
      <c r="F67" s="14"/>
      <c r="G67" s="14"/>
      <c r="H67" s="14"/>
      <c r="I67" s="14"/>
    </row>
    <row r="68" spans="2:9">
      <c r="B68" s="14"/>
      <c r="C68" s="14"/>
      <c r="D68" s="14"/>
      <c r="E68" s="7"/>
      <c r="F68" s="14"/>
      <c r="G68" s="14"/>
      <c r="H68" s="14"/>
      <c r="I68" s="14"/>
    </row>
    <row r="69" spans="2:9">
      <c r="B69" s="14"/>
      <c r="C69" s="14"/>
      <c r="D69" s="14"/>
      <c r="E69" s="7"/>
      <c r="F69" s="14"/>
      <c r="G69" s="14"/>
      <c r="H69" s="14"/>
      <c r="I69" s="14"/>
    </row>
    <row r="70" spans="2:9">
      <c r="B70" s="14"/>
      <c r="C70" s="14"/>
      <c r="D70" s="14"/>
      <c r="E70" s="7"/>
      <c r="F70" s="14"/>
      <c r="G70" s="14"/>
      <c r="H70" s="14"/>
      <c r="I70" s="14"/>
    </row>
    <row r="71" spans="2:9">
      <c r="B71" s="14"/>
      <c r="C71" s="14"/>
      <c r="D71" s="14"/>
      <c r="E71" s="7"/>
      <c r="F71" s="14"/>
      <c r="G71" s="14"/>
      <c r="H71" s="14"/>
      <c r="I71" s="14"/>
    </row>
    <row r="72" spans="2:9">
      <c r="B72" s="14"/>
      <c r="C72" s="14"/>
      <c r="D72" s="14"/>
      <c r="E72" s="7"/>
      <c r="F72" s="14"/>
      <c r="G72" s="14"/>
      <c r="H72" s="14"/>
      <c r="I72" s="14"/>
    </row>
    <row r="73" spans="2:9">
      <c r="B73" s="14"/>
      <c r="C73" s="14"/>
      <c r="D73" s="14"/>
      <c r="E73" s="7"/>
      <c r="F73" s="14"/>
      <c r="G73" s="14"/>
      <c r="H73" s="14"/>
      <c r="I73" s="14"/>
    </row>
    <row r="74" spans="2:9">
      <c r="B74" s="14"/>
      <c r="C74" s="14"/>
      <c r="D74" s="14"/>
      <c r="E74" s="7"/>
      <c r="F74" s="19"/>
      <c r="G74" s="14"/>
      <c r="H74" s="14"/>
      <c r="I74" s="14"/>
    </row>
    <row r="75" spans="2:9">
      <c r="B75" s="14"/>
      <c r="C75" s="14"/>
      <c r="D75" s="14"/>
      <c r="E75" s="7"/>
      <c r="F75" s="19"/>
      <c r="G75" s="14"/>
      <c r="H75" s="14"/>
      <c r="I75" s="14"/>
    </row>
    <row r="76" spans="2:9">
      <c r="B76" s="14"/>
      <c r="C76" s="14"/>
      <c r="D76" s="14"/>
      <c r="E76" s="7"/>
      <c r="F76" s="19"/>
      <c r="G76" s="14"/>
      <c r="H76" s="14"/>
      <c r="I76" s="14"/>
    </row>
    <row r="77" spans="2:9">
      <c r="B77" s="14"/>
      <c r="C77" s="14"/>
      <c r="D77" s="14"/>
      <c r="E77" s="7"/>
      <c r="F77" s="19"/>
      <c r="G77" s="19"/>
      <c r="H77" s="14"/>
      <c r="I77" s="14"/>
    </row>
    <row r="78" spans="2:9">
      <c r="B78" s="14"/>
      <c r="C78" s="14"/>
      <c r="D78" s="14"/>
      <c r="E78" s="7"/>
      <c r="F78" s="19"/>
      <c r="G78" s="19"/>
    </row>
    <row r="79" spans="2:9">
      <c r="B79" s="14"/>
      <c r="C79" s="14"/>
      <c r="D79" s="14"/>
      <c r="E79" s="7"/>
      <c r="F79" s="19"/>
      <c r="G79" s="19"/>
    </row>
    <row r="80" spans="2:9">
      <c r="B80" s="14"/>
      <c r="C80" s="14"/>
      <c r="D80" s="14"/>
      <c r="E80" s="7"/>
      <c r="F80" s="19"/>
      <c r="G80" s="19"/>
    </row>
    <row r="81" spans="2:7">
      <c r="B81" s="14"/>
      <c r="C81" s="14"/>
      <c r="D81" s="14"/>
      <c r="E81" s="7"/>
      <c r="F81" s="19"/>
      <c r="G81" s="19"/>
    </row>
    <row r="82" spans="2:7">
      <c r="B82" s="14"/>
      <c r="C82" s="14"/>
      <c r="D82" s="14"/>
      <c r="E82" s="7"/>
      <c r="F82" s="19"/>
      <c r="G82" s="19"/>
    </row>
    <row r="83" spans="2:7">
      <c r="B83" s="14"/>
      <c r="C83" s="14"/>
      <c r="E83" s="7"/>
      <c r="F83" s="19"/>
      <c r="G83" s="19"/>
    </row>
    <row r="84" spans="2:7">
      <c r="B84" s="14"/>
      <c r="C84" s="14"/>
      <c r="E84" s="7"/>
      <c r="F84" s="19"/>
      <c r="G84" s="19"/>
    </row>
    <row r="85" spans="2:7">
      <c r="B85" s="14"/>
      <c r="C85" s="14"/>
      <c r="E85" s="7"/>
      <c r="F85" s="19"/>
      <c r="G85" s="19"/>
    </row>
    <row r="86" spans="2:7">
      <c r="D86" s="14" t="str">
        <f>IF(B86&gt;=1,-PPMT($D$10/12,B86*12,$D$11*12,$D$9)*12,"")</f>
        <v/>
      </c>
      <c r="E86" s="7"/>
      <c r="G86" s="19"/>
    </row>
    <row r="87" spans="2:7">
      <c r="D87" s="14" t="str">
        <f>IF(B87&gt;=1,-PPMT($D$10/12,B87*12,$D$11*12,$D$9)*12,"")</f>
        <v/>
      </c>
      <c r="E87" s="7"/>
      <c r="G87" s="19"/>
    </row>
    <row r="88" spans="2:7">
      <c r="D88" s="14" t="str">
        <f>IF(B88&gt;=1,-PPMT($D$10/12,B88*12,$D$11*12,$D$9)*12,"")</f>
        <v/>
      </c>
      <c r="E88" s="7"/>
      <c r="G88" s="19"/>
    </row>
    <row r="89" spans="2:7">
      <c r="D89" s="14" t="str">
        <f>IF(B89&gt;=1,-PPMT($D$10/12,B89*12,$D$11*12,$D$9)*12,"")</f>
        <v/>
      </c>
      <c r="E89" s="7"/>
      <c r="G89" s="19"/>
    </row>
    <row r="90" spans="2:7">
      <c r="E90" s="7"/>
      <c r="G90" s="19"/>
    </row>
    <row r="91" spans="2:7">
      <c r="E91" s="7"/>
      <c r="G91" s="19"/>
    </row>
    <row r="92" spans="2:7">
      <c r="E92" s="7"/>
      <c r="G92" s="19"/>
    </row>
    <row r="93" spans="2:7">
      <c r="E93" s="7"/>
      <c r="G93" s="19"/>
    </row>
    <row r="94" spans="2:7">
      <c r="E94" s="7"/>
      <c r="G94" s="19"/>
    </row>
    <row r="95" spans="2:7">
      <c r="E95" s="7"/>
      <c r="G95" s="19"/>
    </row>
    <row r="96" spans="2:7">
      <c r="E96" s="7"/>
      <c r="G96" s="19"/>
    </row>
    <row r="97" spans="5:7">
      <c r="E97" s="7"/>
      <c r="G97" s="19"/>
    </row>
    <row r="98" spans="5:7">
      <c r="E98" s="7"/>
      <c r="G98" s="19"/>
    </row>
    <row r="99" spans="5:7">
      <c r="E99" s="7"/>
      <c r="G99" s="19"/>
    </row>
    <row r="100" spans="5:7">
      <c r="E100" s="7"/>
      <c r="G100" s="19"/>
    </row>
    <row r="101" spans="5:7">
      <c r="E101" s="7"/>
      <c r="G101" s="19"/>
    </row>
    <row r="102" spans="5:7">
      <c r="E102" s="7"/>
      <c r="G102" s="19"/>
    </row>
    <row r="103" spans="5:7">
      <c r="E103" s="7"/>
      <c r="G103" s="19"/>
    </row>
    <row r="104" spans="5:7">
      <c r="E104" s="7"/>
      <c r="G104" s="19"/>
    </row>
    <row r="105" spans="5:7">
      <c r="E105" s="7"/>
      <c r="G105" s="19"/>
    </row>
    <row r="106" spans="5:7">
      <c r="E106" s="7"/>
      <c r="G106" s="19"/>
    </row>
    <row r="107" spans="5:7">
      <c r="E107" s="7"/>
      <c r="G107" s="19"/>
    </row>
    <row r="108" spans="5:7">
      <c r="E108" s="7"/>
      <c r="G108" s="19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printOptions horizontalCentered="1" verticalCentered="1" gridLines="1"/>
  <pageMargins left="0.75" right="0.75" top="1" bottom="1" header="0.5" footer="0.5"/>
  <pageSetup scale="73" firstPageNumber="18" orientation="portrait" useFirstPageNumber="1" r:id="rId1"/>
  <headerFooter alignWithMargins="0">
    <oddFooter>&amp;L2012 Funding Pro Forma  &amp;C&amp;P&amp;RUpdated 01/09/2012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Z201"/>
  <sheetViews>
    <sheetView workbookViewId="0">
      <pane xSplit="1" ySplit="17" topLeftCell="B18" activePane="bottomRight" state="frozen"/>
      <selection pane="topRight" activeCell="B1" sqref="B1"/>
      <selection pane="bottomLeft" activeCell="A16" sqref="A16"/>
      <selection pane="bottomRight" activeCell="A4" sqref="A4"/>
    </sheetView>
  </sheetViews>
  <sheetFormatPr defaultColWidth="9.7109375" defaultRowHeight="12.75"/>
  <cols>
    <col min="1" max="1" width="14.7109375" style="12" customWidth="1"/>
    <col min="2" max="19" width="9.7109375" style="12"/>
    <col min="20" max="20" width="11.140625" style="12" customWidth="1"/>
    <col min="21" max="16384" width="9.7109375" style="12"/>
  </cols>
  <sheetData>
    <row r="1" spans="1:43" ht="15">
      <c r="A1" s="628" t="s">
        <v>184</v>
      </c>
      <c r="B1" s="628"/>
      <c r="C1" s="628"/>
      <c r="D1" s="628"/>
      <c r="E1" s="628"/>
      <c r="F1" s="628"/>
      <c r="G1" s="628"/>
      <c r="H1" s="628"/>
      <c r="I1" s="218"/>
      <c r="J1" s="218"/>
      <c r="K1" s="4"/>
      <c r="L1" s="4"/>
    </row>
    <row r="2" spans="1:43" ht="20.25">
      <c r="A2" s="629" t="s">
        <v>590</v>
      </c>
      <c r="B2" s="629"/>
      <c r="C2" s="629"/>
      <c r="D2" s="629"/>
      <c r="E2" s="629"/>
      <c r="F2" s="629"/>
      <c r="G2" s="629"/>
      <c r="H2" s="629"/>
      <c r="I2" s="513"/>
      <c r="J2" s="70"/>
      <c r="K2" s="3"/>
      <c r="L2" s="3"/>
    </row>
    <row r="3" spans="1:43" ht="15.75">
      <c r="A3" s="630"/>
      <c r="B3" s="630"/>
      <c r="C3" s="630"/>
      <c r="D3" s="630"/>
      <c r="E3" s="630"/>
      <c r="F3" s="630"/>
      <c r="G3" s="630"/>
      <c r="H3" s="630"/>
      <c r="I3" s="70"/>
      <c r="J3" s="70"/>
      <c r="K3"/>
      <c r="L3"/>
    </row>
    <row r="4" spans="1:43">
      <c r="B4" s="554" t="s">
        <v>591</v>
      </c>
      <c r="C4" s="72"/>
      <c r="D4" s="15"/>
      <c r="E4" s="15"/>
      <c r="F4" s="15"/>
      <c r="G4" s="15"/>
      <c r="H4" s="15"/>
      <c r="I4" s="70"/>
      <c r="J4" s="70"/>
      <c r="K4"/>
      <c r="L4"/>
    </row>
    <row r="5" spans="1:43">
      <c r="B5" s="504" t="s">
        <v>519</v>
      </c>
      <c r="C5" s="72"/>
      <c r="D5" s="15"/>
      <c r="E5" s="15"/>
      <c r="F5" s="15"/>
      <c r="G5" s="15"/>
      <c r="H5" s="15"/>
      <c r="I5"/>
      <c r="J5"/>
      <c r="K5" s="15"/>
      <c r="L5"/>
      <c r="M5"/>
      <c r="N5"/>
    </row>
    <row r="6" spans="1:43">
      <c r="B6" s="504" t="s">
        <v>229</v>
      </c>
      <c r="C6" s="72"/>
      <c r="D6" s="15"/>
      <c r="E6" s="15"/>
      <c r="F6" s="15"/>
      <c r="G6" s="15"/>
      <c r="H6" s="15"/>
      <c r="I6" s="70"/>
      <c r="J6" s="70"/>
      <c r="K6"/>
      <c r="L6"/>
    </row>
    <row r="7" spans="1:43">
      <c r="B7" s="504" t="s">
        <v>230</v>
      </c>
      <c r="C7" s="72"/>
      <c r="D7" s="15"/>
      <c r="E7" s="15"/>
      <c r="F7" s="15"/>
      <c r="G7" s="15"/>
      <c r="H7" s="15"/>
      <c r="I7" s="70"/>
      <c r="J7" s="70"/>
      <c r="K7"/>
      <c r="L7"/>
    </row>
    <row r="8" spans="1:43">
      <c r="B8" s="504" t="s">
        <v>185</v>
      </c>
      <c r="C8" s="72"/>
      <c r="D8" s="15"/>
      <c r="E8" s="15"/>
      <c r="F8" s="15"/>
      <c r="G8" s="15"/>
      <c r="H8" s="15"/>
      <c r="I8" s="70"/>
      <c r="J8" s="70"/>
      <c r="K8"/>
      <c r="L8"/>
    </row>
    <row r="9" spans="1:43">
      <c r="B9" s="504" t="s">
        <v>518</v>
      </c>
      <c r="C9" s="72"/>
      <c r="D9" s="15"/>
      <c r="E9" s="15"/>
      <c r="F9" s="15"/>
      <c r="G9" s="15"/>
      <c r="H9" s="15"/>
      <c r="I9" s="70"/>
      <c r="J9" s="70"/>
      <c r="K9"/>
      <c r="L9"/>
    </row>
    <row r="10" spans="1:43">
      <c r="B10" s="504" t="s">
        <v>354</v>
      </c>
      <c r="C10" s="72"/>
      <c r="D10" s="15"/>
      <c r="E10" s="15"/>
      <c r="F10" s="15"/>
      <c r="G10" s="15"/>
      <c r="H10" s="15"/>
      <c r="I10" s="70"/>
      <c r="J10" s="70"/>
      <c r="K10"/>
      <c r="L10"/>
    </row>
    <row r="11" spans="1:43">
      <c r="A11" s="504"/>
      <c r="B11" s="72"/>
      <c r="C11" s="72"/>
      <c r="D11" s="15"/>
      <c r="E11" s="15"/>
      <c r="F11" s="15"/>
      <c r="G11" s="15"/>
      <c r="H11" s="15"/>
      <c r="I11" s="70"/>
      <c r="J11" s="70"/>
      <c r="K11"/>
      <c r="L11"/>
    </row>
    <row r="12" spans="1:43">
      <c r="A12" s="491"/>
      <c r="B12" s="491" t="s">
        <v>546</v>
      </c>
      <c r="D12" s="15"/>
      <c r="E12" s="15"/>
      <c r="F12" s="15"/>
      <c r="G12" s="15"/>
      <c r="H12" s="15"/>
      <c r="I12" s="70"/>
      <c r="J12" s="70"/>
      <c r="K12"/>
      <c r="L12"/>
    </row>
    <row r="13" spans="1:43">
      <c r="A13" s="504"/>
      <c r="B13" s="506" t="s">
        <v>544</v>
      </c>
      <c r="C13" s="505" t="s">
        <v>541</v>
      </c>
      <c r="D13" s="15"/>
      <c r="E13" s="15"/>
      <c r="F13" s="15"/>
      <c r="G13" s="15"/>
      <c r="H13" s="15"/>
      <c r="I13" s="70"/>
      <c r="J13" s="70"/>
      <c r="K13"/>
      <c r="L13"/>
    </row>
    <row r="14" spans="1:43">
      <c r="A14"/>
      <c r="B14" s="506" t="s">
        <v>545</v>
      </c>
      <c r="C14" s="505" t="s">
        <v>589</v>
      </c>
      <c r="D14"/>
      <c r="E14"/>
      <c r="F14"/>
      <c r="G14"/>
      <c r="H14"/>
      <c r="I14"/>
      <c r="J14"/>
      <c r="K14"/>
      <c r="L14"/>
    </row>
    <row r="15" spans="1:43">
      <c r="A15"/>
      <c r="B15" s="507"/>
      <c r="C15" s="514"/>
      <c r="D15"/>
      <c r="E15"/>
      <c r="F15"/>
      <c r="G15"/>
      <c r="H15"/>
      <c r="I15"/>
      <c r="J15"/>
      <c r="K15"/>
      <c r="L15"/>
    </row>
    <row r="16" spans="1:43">
      <c r="A16" s="10"/>
      <c r="B16" s="17" t="s">
        <v>355</v>
      </c>
      <c r="C16" s="515"/>
      <c r="D16" s="17"/>
      <c r="E16" s="17"/>
      <c r="F16" s="17"/>
      <c r="G16" s="17"/>
      <c r="H16" s="441" t="s">
        <v>356</v>
      </c>
      <c r="I16" s="17"/>
      <c r="J16" s="17"/>
      <c r="K16" s="17"/>
      <c r="L16" s="17"/>
      <c r="M16" s="17"/>
      <c r="N16" s="441" t="s">
        <v>357</v>
      </c>
      <c r="O16" s="17"/>
      <c r="P16" s="17"/>
      <c r="Q16" s="17"/>
      <c r="R16" s="17"/>
      <c r="S16" s="17"/>
      <c r="T16" s="441" t="s">
        <v>324</v>
      </c>
      <c r="U16" s="17"/>
      <c r="V16" s="17"/>
      <c r="W16" s="17"/>
      <c r="X16" s="17"/>
      <c r="Y16" s="17"/>
      <c r="Z16" s="441" t="s">
        <v>325</v>
      </c>
      <c r="AA16" s="17"/>
      <c r="AB16" s="17"/>
      <c r="AC16" s="17"/>
      <c r="AD16" s="17"/>
      <c r="AE16" s="10"/>
      <c r="AF16" s="441" t="s">
        <v>360</v>
      </c>
      <c r="AG16" s="17"/>
      <c r="AH16" s="17"/>
      <c r="AI16" s="17"/>
      <c r="AJ16" s="17"/>
      <c r="AK16" s="17"/>
      <c r="AL16" s="441" t="s">
        <v>249</v>
      </c>
      <c r="AM16" s="17"/>
      <c r="AN16" s="17"/>
      <c r="AO16" s="17"/>
      <c r="AP16" s="17"/>
      <c r="AQ16" s="17"/>
    </row>
    <row r="17" spans="1:43">
      <c r="A17" s="10" t="s">
        <v>250</v>
      </c>
      <c r="B17" s="18" t="s">
        <v>86</v>
      </c>
      <c r="C17" s="516" t="s">
        <v>251</v>
      </c>
      <c r="D17" s="18" t="s">
        <v>252</v>
      </c>
      <c r="E17" s="18" t="s">
        <v>253</v>
      </c>
      <c r="F17" s="18" t="s">
        <v>254</v>
      </c>
      <c r="G17" s="18" t="s">
        <v>489</v>
      </c>
      <c r="H17" s="442" t="s">
        <v>86</v>
      </c>
      <c r="I17" s="18" t="s">
        <v>251</v>
      </c>
      <c r="J17" s="18" t="s">
        <v>252</v>
      </c>
      <c r="K17" s="18" t="s">
        <v>253</v>
      </c>
      <c r="L17" s="18" t="s">
        <v>254</v>
      </c>
      <c r="M17" s="18" t="s">
        <v>489</v>
      </c>
      <c r="N17" s="442" t="s">
        <v>86</v>
      </c>
      <c r="O17" s="18" t="s">
        <v>251</v>
      </c>
      <c r="P17" s="18" t="s">
        <v>252</v>
      </c>
      <c r="Q17" s="18" t="s">
        <v>253</v>
      </c>
      <c r="R17" s="18" t="s">
        <v>254</v>
      </c>
      <c r="S17" s="18" t="s">
        <v>489</v>
      </c>
      <c r="T17" s="442" t="s">
        <v>86</v>
      </c>
      <c r="U17" s="18" t="s">
        <v>251</v>
      </c>
      <c r="V17" s="18" t="s">
        <v>252</v>
      </c>
      <c r="W17" s="18" t="s">
        <v>253</v>
      </c>
      <c r="X17" s="18" t="s">
        <v>254</v>
      </c>
      <c r="Y17" s="18" t="s">
        <v>489</v>
      </c>
      <c r="Z17" s="442" t="s">
        <v>86</v>
      </c>
      <c r="AA17" s="18" t="s">
        <v>251</v>
      </c>
      <c r="AB17" s="18" t="s">
        <v>252</v>
      </c>
      <c r="AC17" s="18" t="s">
        <v>253</v>
      </c>
      <c r="AD17" s="18" t="s">
        <v>254</v>
      </c>
      <c r="AE17" s="18" t="s">
        <v>489</v>
      </c>
      <c r="AF17" s="442" t="s">
        <v>86</v>
      </c>
      <c r="AG17" s="18" t="s">
        <v>251</v>
      </c>
      <c r="AH17" s="18" t="s">
        <v>252</v>
      </c>
      <c r="AI17" s="18" t="s">
        <v>253</v>
      </c>
      <c r="AJ17" s="18" t="s">
        <v>254</v>
      </c>
      <c r="AK17" s="18" t="s">
        <v>489</v>
      </c>
      <c r="AL17" s="442" t="s">
        <v>86</v>
      </c>
      <c r="AM17" s="18" t="s">
        <v>251</v>
      </c>
      <c r="AN17" s="18" t="s">
        <v>252</v>
      </c>
      <c r="AO17" s="18" t="s">
        <v>253</v>
      </c>
      <c r="AP17" s="18" t="s">
        <v>254</v>
      </c>
      <c r="AQ17" s="18" t="s">
        <v>489</v>
      </c>
    </row>
    <row r="18" spans="1:43">
      <c r="A18" s="10"/>
      <c r="C18" s="517"/>
      <c r="H18" s="443"/>
      <c r="N18" s="443"/>
      <c r="T18" s="443"/>
      <c r="Z18" s="443"/>
      <c r="AF18" s="443"/>
      <c r="AL18" s="443"/>
    </row>
    <row r="19" spans="1:43">
      <c r="A19" s="128" t="s">
        <v>240</v>
      </c>
      <c r="B19" s="555">
        <v>280</v>
      </c>
      <c r="C19" s="555">
        <v>300</v>
      </c>
      <c r="D19" s="555">
        <v>360</v>
      </c>
      <c r="E19" s="555">
        <v>416</v>
      </c>
      <c r="F19" s="555">
        <v>465</v>
      </c>
      <c r="G19" s="556">
        <v>513</v>
      </c>
      <c r="H19" s="555">
        <v>327</v>
      </c>
      <c r="I19" s="555">
        <v>350</v>
      </c>
      <c r="J19" s="555">
        <v>420</v>
      </c>
      <c r="K19" s="555">
        <v>486</v>
      </c>
      <c r="L19" s="555">
        <v>542</v>
      </c>
      <c r="M19" s="556">
        <v>598</v>
      </c>
      <c r="N19" s="555">
        <v>374</v>
      </c>
      <c r="O19" s="555">
        <v>401</v>
      </c>
      <c r="P19" s="555">
        <v>481</v>
      </c>
      <c r="Q19" s="555">
        <v>555</v>
      </c>
      <c r="R19" s="555">
        <v>620</v>
      </c>
      <c r="S19" s="556">
        <v>684</v>
      </c>
      <c r="T19" s="555">
        <v>420</v>
      </c>
      <c r="U19" s="555">
        <v>451</v>
      </c>
      <c r="V19" s="555">
        <v>541</v>
      </c>
      <c r="W19" s="555">
        <v>624</v>
      </c>
      <c r="X19" s="555">
        <v>697</v>
      </c>
      <c r="Y19" s="556">
        <v>769</v>
      </c>
      <c r="Z19" s="557">
        <v>467</v>
      </c>
      <c r="AA19" s="557">
        <v>501</v>
      </c>
      <c r="AB19" s="557">
        <v>601</v>
      </c>
      <c r="AC19" s="557">
        <v>694</v>
      </c>
      <c r="AD19" s="557">
        <v>775</v>
      </c>
      <c r="AE19" s="558">
        <v>855</v>
      </c>
      <c r="AF19" s="555">
        <v>514</v>
      </c>
      <c r="AG19" s="555">
        <v>551</v>
      </c>
      <c r="AH19" s="555">
        <v>661</v>
      </c>
      <c r="AI19" s="555">
        <v>763</v>
      </c>
      <c r="AJ19" s="555">
        <v>852</v>
      </c>
      <c r="AK19" s="556">
        <v>940</v>
      </c>
      <c r="AL19" s="555">
        <v>561</v>
      </c>
      <c r="AM19" s="555">
        <v>601</v>
      </c>
      <c r="AN19" s="555">
        <v>721</v>
      </c>
      <c r="AO19" s="555">
        <v>833</v>
      </c>
      <c r="AP19" s="555">
        <v>930</v>
      </c>
      <c r="AQ19" s="556">
        <v>1026</v>
      </c>
    </row>
    <row r="20" spans="1:43">
      <c r="A20" s="128" t="s">
        <v>241</v>
      </c>
      <c r="B20" s="555">
        <v>390</v>
      </c>
      <c r="C20" s="555">
        <v>417</v>
      </c>
      <c r="D20" s="555">
        <v>501</v>
      </c>
      <c r="E20" s="555">
        <v>579</v>
      </c>
      <c r="F20" s="555">
        <v>645</v>
      </c>
      <c r="G20" s="556">
        <v>712</v>
      </c>
      <c r="H20" s="555">
        <v>455</v>
      </c>
      <c r="I20" s="555">
        <v>487</v>
      </c>
      <c r="J20" s="555">
        <v>584</v>
      </c>
      <c r="K20" s="555">
        <v>675</v>
      </c>
      <c r="L20" s="555">
        <v>753</v>
      </c>
      <c r="M20" s="556">
        <v>831</v>
      </c>
      <c r="N20" s="555">
        <v>520</v>
      </c>
      <c r="O20" s="555">
        <v>557</v>
      </c>
      <c r="P20" s="555">
        <v>668</v>
      </c>
      <c r="Q20" s="555">
        <v>772</v>
      </c>
      <c r="R20" s="555">
        <v>861</v>
      </c>
      <c r="S20" s="556">
        <v>950</v>
      </c>
      <c r="T20" s="555">
        <v>585</v>
      </c>
      <c r="U20" s="555">
        <v>626</v>
      </c>
      <c r="V20" s="555">
        <v>751</v>
      </c>
      <c r="W20" s="555">
        <v>868</v>
      </c>
      <c r="X20" s="555">
        <v>968</v>
      </c>
      <c r="Y20" s="556">
        <v>1069</v>
      </c>
      <c r="Z20" s="557">
        <v>650</v>
      </c>
      <c r="AA20" s="557">
        <v>696</v>
      </c>
      <c r="AB20" s="557">
        <v>835</v>
      </c>
      <c r="AC20" s="557">
        <v>965</v>
      </c>
      <c r="AD20" s="557">
        <v>1076</v>
      </c>
      <c r="AE20" s="558">
        <v>1188</v>
      </c>
      <c r="AF20" s="555">
        <v>715</v>
      </c>
      <c r="AG20" s="555">
        <v>765</v>
      </c>
      <c r="AH20" s="555">
        <v>918</v>
      </c>
      <c r="AI20" s="555">
        <v>1061</v>
      </c>
      <c r="AJ20" s="555">
        <v>1183</v>
      </c>
      <c r="AK20" s="556">
        <v>1306</v>
      </c>
      <c r="AL20" s="555">
        <v>780</v>
      </c>
      <c r="AM20" s="555">
        <v>835</v>
      </c>
      <c r="AN20" s="555">
        <v>1002</v>
      </c>
      <c r="AO20" s="555">
        <v>1158</v>
      </c>
      <c r="AP20" s="555">
        <v>1291</v>
      </c>
      <c r="AQ20" s="556">
        <v>1425</v>
      </c>
    </row>
    <row r="21" spans="1:43">
      <c r="A21" s="518" t="s">
        <v>242</v>
      </c>
      <c r="B21" s="555">
        <v>383</v>
      </c>
      <c r="C21" s="555">
        <v>410</v>
      </c>
      <c r="D21" s="555">
        <v>492</v>
      </c>
      <c r="E21" s="555">
        <v>569</v>
      </c>
      <c r="F21" s="555">
        <v>635</v>
      </c>
      <c r="G21" s="556">
        <v>701</v>
      </c>
      <c r="H21" s="555">
        <v>447</v>
      </c>
      <c r="I21" s="555">
        <v>479</v>
      </c>
      <c r="J21" s="555">
        <v>574</v>
      </c>
      <c r="K21" s="555">
        <v>664</v>
      </c>
      <c r="L21" s="555">
        <v>741</v>
      </c>
      <c r="M21" s="556">
        <v>818</v>
      </c>
      <c r="N21" s="555">
        <v>511</v>
      </c>
      <c r="O21" s="555">
        <v>547</v>
      </c>
      <c r="P21" s="555">
        <v>657</v>
      </c>
      <c r="Q21" s="555">
        <v>759</v>
      </c>
      <c r="R21" s="555">
        <v>847</v>
      </c>
      <c r="S21" s="556">
        <v>935</v>
      </c>
      <c r="T21" s="555">
        <v>574</v>
      </c>
      <c r="U21" s="555">
        <v>615</v>
      </c>
      <c r="V21" s="555">
        <v>739</v>
      </c>
      <c r="W21" s="555">
        <v>854</v>
      </c>
      <c r="X21" s="555">
        <v>952</v>
      </c>
      <c r="Y21" s="556">
        <v>1051</v>
      </c>
      <c r="Z21" s="557">
        <v>638</v>
      </c>
      <c r="AA21" s="557">
        <v>684</v>
      </c>
      <c r="AB21" s="557">
        <v>821</v>
      </c>
      <c r="AC21" s="557">
        <v>949</v>
      </c>
      <c r="AD21" s="557">
        <v>1058</v>
      </c>
      <c r="AE21" s="558">
        <v>1168</v>
      </c>
      <c r="AF21" s="555">
        <v>702</v>
      </c>
      <c r="AG21" s="555">
        <v>752</v>
      </c>
      <c r="AH21" s="555">
        <v>903</v>
      </c>
      <c r="AI21" s="555">
        <v>1044</v>
      </c>
      <c r="AJ21" s="555">
        <v>1164</v>
      </c>
      <c r="AK21" s="556">
        <v>1285</v>
      </c>
      <c r="AL21" s="555">
        <v>766</v>
      </c>
      <c r="AM21" s="555">
        <v>821</v>
      </c>
      <c r="AN21" s="555">
        <v>985</v>
      </c>
      <c r="AO21" s="555">
        <v>1139</v>
      </c>
      <c r="AP21" s="555">
        <v>1270</v>
      </c>
      <c r="AQ21" s="556">
        <v>1402</v>
      </c>
    </row>
    <row r="22" spans="1:43" s="519" customFormat="1">
      <c r="A22" s="518" t="s">
        <v>243</v>
      </c>
      <c r="B22" s="555">
        <v>297</v>
      </c>
      <c r="C22" s="555">
        <v>319</v>
      </c>
      <c r="D22" s="555">
        <v>383</v>
      </c>
      <c r="E22" s="555">
        <v>442</v>
      </c>
      <c r="F22" s="555">
        <v>493</v>
      </c>
      <c r="G22" s="556">
        <v>544</v>
      </c>
      <c r="H22" s="555">
        <v>347</v>
      </c>
      <c r="I22" s="555">
        <v>372</v>
      </c>
      <c r="J22" s="555">
        <v>447</v>
      </c>
      <c r="K22" s="555">
        <v>516</v>
      </c>
      <c r="L22" s="555">
        <v>575</v>
      </c>
      <c r="M22" s="556">
        <v>635</v>
      </c>
      <c r="N22" s="555">
        <v>397</v>
      </c>
      <c r="O22" s="555">
        <v>425</v>
      </c>
      <c r="P22" s="555">
        <v>511</v>
      </c>
      <c r="Q22" s="555">
        <v>590</v>
      </c>
      <c r="R22" s="555">
        <v>658</v>
      </c>
      <c r="S22" s="556">
        <v>726</v>
      </c>
      <c r="T22" s="555">
        <v>446</v>
      </c>
      <c r="U22" s="555">
        <v>478</v>
      </c>
      <c r="V22" s="555">
        <v>574</v>
      </c>
      <c r="W22" s="555">
        <v>663</v>
      </c>
      <c r="X22" s="555">
        <v>740</v>
      </c>
      <c r="Y22" s="556">
        <v>817</v>
      </c>
      <c r="Z22" s="557">
        <v>496</v>
      </c>
      <c r="AA22" s="557">
        <v>531</v>
      </c>
      <c r="AB22" s="557">
        <v>638</v>
      </c>
      <c r="AC22" s="557">
        <v>737</v>
      </c>
      <c r="AD22" s="557">
        <v>822</v>
      </c>
      <c r="AE22" s="558">
        <v>908</v>
      </c>
      <c r="AF22" s="555">
        <v>545</v>
      </c>
      <c r="AG22" s="555">
        <v>585</v>
      </c>
      <c r="AH22" s="555">
        <v>702</v>
      </c>
      <c r="AI22" s="555">
        <v>811</v>
      </c>
      <c r="AJ22" s="555">
        <v>904</v>
      </c>
      <c r="AK22" s="556">
        <v>998</v>
      </c>
      <c r="AL22" s="555">
        <v>595</v>
      </c>
      <c r="AM22" s="555">
        <v>638</v>
      </c>
      <c r="AN22" s="555">
        <v>766</v>
      </c>
      <c r="AO22" s="555">
        <v>885</v>
      </c>
      <c r="AP22" s="555">
        <v>987</v>
      </c>
      <c r="AQ22" s="556">
        <v>1089</v>
      </c>
    </row>
    <row r="23" spans="1:43" s="519" customFormat="1">
      <c r="A23" s="518" t="s">
        <v>244</v>
      </c>
      <c r="B23" s="555">
        <v>383</v>
      </c>
      <c r="C23" s="555">
        <v>410</v>
      </c>
      <c r="D23" s="555">
        <v>492</v>
      </c>
      <c r="E23" s="555">
        <v>569</v>
      </c>
      <c r="F23" s="555">
        <v>635</v>
      </c>
      <c r="G23" s="556">
        <v>701</v>
      </c>
      <c r="H23" s="555">
        <v>447</v>
      </c>
      <c r="I23" s="555">
        <v>479</v>
      </c>
      <c r="J23" s="555">
        <v>574</v>
      </c>
      <c r="K23" s="555">
        <v>664</v>
      </c>
      <c r="L23" s="555">
        <v>741</v>
      </c>
      <c r="M23" s="556">
        <v>818</v>
      </c>
      <c r="N23" s="555">
        <v>511</v>
      </c>
      <c r="O23" s="555">
        <v>547</v>
      </c>
      <c r="P23" s="555">
        <v>657</v>
      </c>
      <c r="Q23" s="555">
        <v>759</v>
      </c>
      <c r="R23" s="555">
        <v>847</v>
      </c>
      <c r="S23" s="556">
        <v>935</v>
      </c>
      <c r="T23" s="555">
        <v>574</v>
      </c>
      <c r="U23" s="555">
        <v>615</v>
      </c>
      <c r="V23" s="555">
        <v>739</v>
      </c>
      <c r="W23" s="555">
        <v>854</v>
      </c>
      <c r="X23" s="555">
        <v>952</v>
      </c>
      <c r="Y23" s="556">
        <v>1051</v>
      </c>
      <c r="Z23" s="557">
        <v>638</v>
      </c>
      <c r="AA23" s="557">
        <v>684</v>
      </c>
      <c r="AB23" s="557">
        <v>821</v>
      </c>
      <c r="AC23" s="557">
        <v>949</v>
      </c>
      <c r="AD23" s="557">
        <v>1058</v>
      </c>
      <c r="AE23" s="558">
        <v>1168</v>
      </c>
      <c r="AF23" s="555">
        <v>702</v>
      </c>
      <c r="AG23" s="555">
        <v>752</v>
      </c>
      <c r="AH23" s="555">
        <v>903</v>
      </c>
      <c r="AI23" s="555">
        <v>1044</v>
      </c>
      <c r="AJ23" s="555">
        <v>1164</v>
      </c>
      <c r="AK23" s="556">
        <v>1285</v>
      </c>
      <c r="AL23" s="555">
        <v>766</v>
      </c>
      <c r="AM23" s="555">
        <v>821</v>
      </c>
      <c r="AN23" s="555">
        <v>985</v>
      </c>
      <c r="AO23" s="555">
        <v>1139</v>
      </c>
      <c r="AP23" s="555">
        <v>1270</v>
      </c>
      <c r="AQ23" s="556">
        <v>1402</v>
      </c>
    </row>
    <row r="24" spans="1:43" s="519" customFormat="1">
      <c r="A24" s="518" t="s">
        <v>245</v>
      </c>
      <c r="B24" s="555">
        <v>280</v>
      </c>
      <c r="C24" s="555">
        <v>300</v>
      </c>
      <c r="D24" s="555">
        <v>360</v>
      </c>
      <c r="E24" s="555">
        <v>416</v>
      </c>
      <c r="F24" s="555">
        <v>465</v>
      </c>
      <c r="G24" s="556">
        <v>513</v>
      </c>
      <c r="H24" s="555">
        <v>327</v>
      </c>
      <c r="I24" s="555">
        <v>350</v>
      </c>
      <c r="J24" s="555">
        <v>420</v>
      </c>
      <c r="K24" s="555">
        <v>486</v>
      </c>
      <c r="L24" s="555">
        <v>542</v>
      </c>
      <c r="M24" s="556">
        <v>598</v>
      </c>
      <c r="N24" s="555">
        <v>374</v>
      </c>
      <c r="O24" s="555">
        <v>401</v>
      </c>
      <c r="P24" s="555">
        <v>481</v>
      </c>
      <c r="Q24" s="555">
        <v>555</v>
      </c>
      <c r="R24" s="555">
        <v>620</v>
      </c>
      <c r="S24" s="556">
        <v>684</v>
      </c>
      <c r="T24" s="555">
        <v>420</v>
      </c>
      <c r="U24" s="555">
        <v>451</v>
      </c>
      <c r="V24" s="555">
        <v>541</v>
      </c>
      <c r="W24" s="555">
        <v>624</v>
      </c>
      <c r="X24" s="555">
        <v>697</v>
      </c>
      <c r="Y24" s="556">
        <v>769</v>
      </c>
      <c r="Z24" s="557">
        <v>467</v>
      </c>
      <c r="AA24" s="557">
        <v>501</v>
      </c>
      <c r="AB24" s="557">
        <v>601</v>
      </c>
      <c r="AC24" s="557">
        <v>694</v>
      </c>
      <c r="AD24" s="557">
        <v>775</v>
      </c>
      <c r="AE24" s="558">
        <v>855</v>
      </c>
      <c r="AF24" s="555">
        <v>514</v>
      </c>
      <c r="AG24" s="555">
        <v>551</v>
      </c>
      <c r="AH24" s="555">
        <v>661</v>
      </c>
      <c r="AI24" s="555">
        <v>763</v>
      </c>
      <c r="AJ24" s="555">
        <v>852</v>
      </c>
      <c r="AK24" s="556">
        <v>940</v>
      </c>
      <c r="AL24" s="555">
        <v>561</v>
      </c>
      <c r="AM24" s="555">
        <v>601</v>
      </c>
      <c r="AN24" s="555">
        <v>721</v>
      </c>
      <c r="AO24" s="555">
        <v>833</v>
      </c>
      <c r="AP24" s="555">
        <v>930</v>
      </c>
      <c r="AQ24" s="556">
        <v>1026</v>
      </c>
    </row>
    <row r="25" spans="1:43" s="519" customFormat="1">
      <c r="A25" s="518" t="s">
        <v>246</v>
      </c>
      <c r="B25" s="555">
        <v>296</v>
      </c>
      <c r="C25" s="555">
        <v>317</v>
      </c>
      <c r="D25" s="555">
        <v>380</v>
      </c>
      <c r="E25" s="555">
        <v>439</v>
      </c>
      <c r="F25" s="555">
        <v>490</v>
      </c>
      <c r="G25" s="556">
        <v>541</v>
      </c>
      <c r="H25" s="555">
        <v>345</v>
      </c>
      <c r="I25" s="555">
        <v>370</v>
      </c>
      <c r="J25" s="555">
        <v>443</v>
      </c>
      <c r="K25" s="555">
        <v>512</v>
      </c>
      <c r="L25" s="555">
        <v>572</v>
      </c>
      <c r="M25" s="556">
        <v>631</v>
      </c>
      <c r="N25" s="555">
        <v>395</v>
      </c>
      <c r="O25" s="555">
        <v>423</v>
      </c>
      <c r="P25" s="555">
        <v>507</v>
      </c>
      <c r="Q25" s="555">
        <v>586</v>
      </c>
      <c r="R25" s="555">
        <v>654</v>
      </c>
      <c r="S25" s="556">
        <v>721</v>
      </c>
      <c r="T25" s="555">
        <v>444</v>
      </c>
      <c r="U25" s="555">
        <v>475</v>
      </c>
      <c r="V25" s="555">
        <v>570</v>
      </c>
      <c r="W25" s="555">
        <v>659</v>
      </c>
      <c r="X25" s="555">
        <v>735</v>
      </c>
      <c r="Y25" s="556">
        <v>811</v>
      </c>
      <c r="Z25" s="557">
        <v>493</v>
      </c>
      <c r="AA25" s="557">
        <v>528</v>
      </c>
      <c r="AB25" s="557">
        <v>633</v>
      </c>
      <c r="AC25" s="557">
        <v>732</v>
      </c>
      <c r="AD25" s="557">
        <v>817</v>
      </c>
      <c r="AE25" s="558">
        <v>901</v>
      </c>
      <c r="AF25" s="555">
        <v>543</v>
      </c>
      <c r="AG25" s="555">
        <v>581</v>
      </c>
      <c r="AH25" s="555">
        <v>697</v>
      </c>
      <c r="AI25" s="555">
        <v>805</v>
      </c>
      <c r="AJ25" s="555">
        <v>899</v>
      </c>
      <c r="AK25" s="556">
        <v>992</v>
      </c>
      <c r="AL25" s="555">
        <v>592</v>
      </c>
      <c r="AM25" s="555">
        <v>634</v>
      </c>
      <c r="AN25" s="555">
        <v>760</v>
      </c>
      <c r="AO25" s="555">
        <v>879</v>
      </c>
      <c r="AP25" s="555">
        <v>981</v>
      </c>
      <c r="AQ25" s="556">
        <v>1082</v>
      </c>
    </row>
    <row r="26" spans="1:43" s="519" customFormat="1">
      <c r="A26" s="518" t="s">
        <v>247</v>
      </c>
      <c r="B26" s="555">
        <v>285</v>
      </c>
      <c r="C26" s="555">
        <v>306</v>
      </c>
      <c r="D26" s="555">
        <v>367</v>
      </c>
      <c r="E26" s="555">
        <v>424</v>
      </c>
      <c r="F26" s="555">
        <v>474</v>
      </c>
      <c r="G26" s="556">
        <v>522</v>
      </c>
      <c r="H26" s="555">
        <v>333</v>
      </c>
      <c r="I26" s="555">
        <v>357</v>
      </c>
      <c r="J26" s="555">
        <v>428</v>
      </c>
      <c r="K26" s="555">
        <v>495</v>
      </c>
      <c r="L26" s="555">
        <v>553</v>
      </c>
      <c r="M26" s="556">
        <v>609</v>
      </c>
      <c r="N26" s="555">
        <v>381</v>
      </c>
      <c r="O26" s="555">
        <v>408</v>
      </c>
      <c r="P26" s="555">
        <v>490</v>
      </c>
      <c r="Q26" s="555">
        <v>566</v>
      </c>
      <c r="R26" s="555">
        <v>632</v>
      </c>
      <c r="S26" s="556">
        <v>697</v>
      </c>
      <c r="T26" s="555">
        <v>428</v>
      </c>
      <c r="U26" s="555">
        <v>459</v>
      </c>
      <c r="V26" s="555">
        <v>551</v>
      </c>
      <c r="W26" s="555">
        <v>636</v>
      </c>
      <c r="X26" s="555">
        <v>711</v>
      </c>
      <c r="Y26" s="556">
        <v>784</v>
      </c>
      <c r="Z26" s="557">
        <v>476</v>
      </c>
      <c r="AA26" s="557">
        <v>510</v>
      </c>
      <c r="AB26" s="557">
        <v>612</v>
      </c>
      <c r="AC26" s="557">
        <v>707</v>
      </c>
      <c r="AD26" s="557">
        <v>790</v>
      </c>
      <c r="AE26" s="558">
        <v>871</v>
      </c>
      <c r="AF26" s="555">
        <v>523</v>
      </c>
      <c r="AG26" s="555">
        <v>561</v>
      </c>
      <c r="AH26" s="555">
        <v>673</v>
      </c>
      <c r="AI26" s="555">
        <v>778</v>
      </c>
      <c r="AJ26" s="555">
        <v>869</v>
      </c>
      <c r="AK26" s="556">
        <v>958</v>
      </c>
      <c r="AL26" s="555">
        <v>571</v>
      </c>
      <c r="AM26" s="555">
        <v>612</v>
      </c>
      <c r="AN26" s="555">
        <v>735</v>
      </c>
      <c r="AO26" s="555">
        <v>849</v>
      </c>
      <c r="AP26" s="555">
        <v>948</v>
      </c>
      <c r="AQ26" s="556">
        <v>1045</v>
      </c>
    </row>
    <row r="27" spans="1:43" s="519" customFormat="1">
      <c r="A27" s="518" t="s">
        <v>248</v>
      </c>
      <c r="B27" s="555">
        <v>348</v>
      </c>
      <c r="C27" s="555">
        <v>373</v>
      </c>
      <c r="D27" s="555">
        <v>448</v>
      </c>
      <c r="E27" s="555">
        <v>518</v>
      </c>
      <c r="F27" s="555">
        <v>578</v>
      </c>
      <c r="G27" s="556">
        <v>637</v>
      </c>
      <c r="H27" s="555">
        <v>406</v>
      </c>
      <c r="I27" s="555">
        <v>436</v>
      </c>
      <c r="J27" s="555">
        <v>523</v>
      </c>
      <c r="K27" s="555">
        <v>604</v>
      </c>
      <c r="L27" s="555">
        <v>674</v>
      </c>
      <c r="M27" s="556">
        <v>744</v>
      </c>
      <c r="N27" s="555">
        <v>465</v>
      </c>
      <c r="O27" s="555">
        <v>498</v>
      </c>
      <c r="P27" s="555">
        <v>598</v>
      </c>
      <c r="Q27" s="555">
        <v>691</v>
      </c>
      <c r="R27" s="555">
        <v>771</v>
      </c>
      <c r="S27" s="556">
        <v>850</v>
      </c>
      <c r="T27" s="555">
        <v>523</v>
      </c>
      <c r="U27" s="555">
        <v>560</v>
      </c>
      <c r="V27" s="555">
        <v>672</v>
      </c>
      <c r="W27" s="555">
        <v>777</v>
      </c>
      <c r="X27" s="555">
        <v>867</v>
      </c>
      <c r="Y27" s="556">
        <v>956</v>
      </c>
      <c r="Z27" s="557">
        <v>581</v>
      </c>
      <c r="AA27" s="557">
        <v>623</v>
      </c>
      <c r="AB27" s="557">
        <v>747</v>
      </c>
      <c r="AC27" s="557">
        <v>863</v>
      </c>
      <c r="AD27" s="557">
        <v>963</v>
      </c>
      <c r="AE27" s="558">
        <v>1063</v>
      </c>
      <c r="AF27" s="555">
        <v>639</v>
      </c>
      <c r="AG27" s="555">
        <v>685</v>
      </c>
      <c r="AH27" s="555">
        <v>822</v>
      </c>
      <c r="AI27" s="555">
        <v>950</v>
      </c>
      <c r="AJ27" s="555">
        <v>1060</v>
      </c>
      <c r="AK27" s="556">
        <v>1169</v>
      </c>
      <c r="AL27" s="555">
        <v>697</v>
      </c>
      <c r="AM27" s="555">
        <v>747</v>
      </c>
      <c r="AN27" s="555">
        <v>897</v>
      </c>
      <c r="AO27" s="555">
        <v>1036</v>
      </c>
      <c r="AP27" s="555">
        <v>1156</v>
      </c>
      <c r="AQ27" s="556">
        <v>1275</v>
      </c>
    </row>
    <row r="28" spans="1:43" s="519" customFormat="1">
      <c r="A28" s="518" t="s">
        <v>113</v>
      </c>
      <c r="B28" s="555">
        <v>280</v>
      </c>
      <c r="C28" s="555">
        <v>300</v>
      </c>
      <c r="D28" s="555">
        <v>360</v>
      </c>
      <c r="E28" s="555">
        <v>416</v>
      </c>
      <c r="F28" s="555">
        <v>465</v>
      </c>
      <c r="G28" s="556">
        <v>513</v>
      </c>
      <c r="H28" s="555">
        <v>327</v>
      </c>
      <c r="I28" s="555">
        <v>350</v>
      </c>
      <c r="J28" s="555">
        <v>420</v>
      </c>
      <c r="K28" s="555">
        <v>486</v>
      </c>
      <c r="L28" s="555">
        <v>542</v>
      </c>
      <c r="M28" s="556">
        <v>598</v>
      </c>
      <c r="N28" s="555">
        <v>374</v>
      </c>
      <c r="O28" s="555">
        <v>401</v>
      </c>
      <c r="P28" s="555">
        <v>481</v>
      </c>
      <c r="Q28" s="555">
        <v>555</v>
      </c>
      <c r="R28" s="555">
        <v>620</v>
      </c>
      <c r="S28" s="556">
        <v>684</v>
      </c>
      <c r="T28" s="555">
        <v>420</v>
      </c>
      <c r="U28" s="555">
        <v>451</v>
      </c>
      <c r="V28" s="555">
        <v>541</v>
      </c>
      <c r="W28" s="555">
        <v>624</v>
      </c>
      <c r="X28" s="555">
        <v>697</v>
      </c>
      <c r="Y28" s="556">
        <v>769</v>
      </c>
      <c r="Z28" s="557">
        <v>467</v>
      </c>
      <c r="AA28" s="557">
        <v>501</v>
      </c>
      <c r="AB28" s="557">
        <v>601</v>
      </c>
      <c r="AC28" s="557">
        <v>694</v>
      </c>
      <c r="AD28" s="557">
        <v>775</v>
      </c>
      <c r="AE28" s="558">
        <v>855</v>
      </c>
      <c r="AF28" s="555">
        <v>514</v>
      </c>
      <c r="AG28" s="555">
        <v>551</v>
      </c>
      <c r="AH28" s="555">
        <v>661</v>
      </c>
      <c r="AI28" s="555">
        <v>763</v>
      </c>
      <c r="AJ28" s="555">
        <v>852</v>
      </c>
      <c r="AK28" s="556">
        <v>940</v>
      </c>
      <c r="AL28" s="555">
        <v>561</v>
      </c>
      <c r="AM28" s="555">
        <v>601</v>
      </c>
      <c r="AN28" s="555">
        <v>721</v>
      </c>
      <c r="AO28" s="555">
        <v>833</v>
      </c>
      <c r="AP28" s="555">
        <v>930</v>
      </c>
      <c r="AQ28" s="556">
        <v>1026</v>
      </c>
    </row>
    <row r="29" spans="1:43" s="519" customFormat="1">
      <c r="A29" s="518" t="s">
        <v>114</v>
      </c>
      <c r="B29" s="555">
        <v>287</v>
      </c>
      <c r="C29" s="555">
        <v>307</v>
      </c>
      <c r="D29" s="555">
        <v>369</v>
      </c>
      <c r="E29" s="555">
        <v>426</v>
      </c>
      <c r="F29" s="555">
        <v>475</v>
      </c>
      <c r="G29" s="556">
        <v>524</v>
      </c>
      <c r="H29" s="555">
        <v>335</v>
      </c>
      <c r="I29" s="555">
        <v>358</v>
      </c>
      <c r="J29" s="555">
        <v>430</v>
      </c>
      <c r="K29" s="555">
        <v>497</v>
      </c>
      <c r="L29" s="555">
        <v>554</v>
      </c>
      <c r="M29" s="556">
        <v>612</v>
      </c>
      <c r="N29" s="555">
        <v>383</v>
      </c>
      <c r="O29" s="555">
        <v>410</v>
      </c>
      <c r="P29" s="555">
        <v>492</v>
      </c>
      <c r="Q29" s="555">
        <v>568</v>
      </c>
      <c r="R29" s="555">
        <v>634</v>
      </c>
      <c r="S29" s="556">
        <v>699</v>
      </c>
      <c r="T29" s="555">
        <v>430</v>
      </c>
      <c r="U29" s="555">
        <v>461</v>
      </c>
      <c r="V29" s="555">
        <v>553</v>
      </c>
      <c r="W29" s="555">
        <v>639</v>
      </c>
      <c r="X29" s="555">
        <v>713</v>
      </c>
      <c r="Y29" s="556">
        <v>786</v>
      </c>
      <c r="Z29" s="557">
        <v>478</v>
      </c>
      <c r="AA29" s="557">
        <v>512</v>
      </c>
      <c r="AB29" s="557">
        <v>615</v>
      </c>
      <c r="AC29" s="557">
        <v>710</v>
      </c>
      <c r="AD29" s="557">
        <v>792</v>
      </c>
      <c r="AE29" s="558">
        <v>874</v>
      </c>
      <c r="AF29" s="555">
        <v>526</v>
      </c>
      <c r="AG29" s="555">
        <v>563</v>
      </c>
      <c r="AH29" s="555">
        <v>676</v>
      </c>
      <c r="AI29" s="555">
        <v>781</v>
      </c>
      <c r="AJ29" s="555">
        <v>871</v>
      </c>
      <c r="AK29" s="556">
        <v>961</v>
      </c>
      <c r="AL29" s="555">
        <v>574</v>
      </c>
      <c r="AM29" s="555">
        <v>615</v>
      </c>
      <c r="AN29" s="555">
        <v>738</v>
      </c>
      <c r="AO29" s="555">
        <v>852</v>
      </c>
      <c r="AP29" s="555">
        <v>951</v>
      </c>
      <c r="AQ29" s="556">
        <v>1049</v>
      </c>
    </row>
    <row r="30" spans="1:43" s="519" customFormat="1">
      <c r="A30" s="518" t="s">
        <v>115</v>
      </c>
      <c r="B30" s="555">
        <v>280</v>
      </c>
      <c r="C30" s="555">
        <v>300</v>
      </c>
      <c r="D30" s="555">
        <v>360</v>
      </c>
      <c r="E30" s="555">
        <v>416</v>
      </c>
      <c r="F30" s="555">
        <v>465</v>
      </c>
      <c r="G30" s="556">
        <v>513</v>
      </c>
      <c r="H30" s="555">
        <v>327</v>
      </c>
      <c r="I30" s="555">
        <v>350</v>
      </c>
      <c r="J30" s="555">
        <v>420</v>
      </c>
      <c r="K30" s="555">
        <v>486</v>
      </c>
      <c r="L30" s="555">
        <v>542</v>
      </c>
      <c r="M30" s="556">
        <v>598</v>
      </c>
      <c r="N30" s="555">
        <v>374</v>
      </c>
      <c r="O30" s="555">
        <v>401</v>
      </c>
      <c r="P30" s="555">
        <v>481</v>
      </c>
      <c r="Q30" s="555">
        <v>555</v>
      </c>
      <c r="R30" s="555">
        <v>620</v>
      </c>
      <c r="S30" s="556">
        <v>684</v>
      </c>
      <c r="T30" s="555">
        <v>420</v>
      </c>
      <c r="U30" s="555">
        <v>451</v>
      </c>
      <c r="V30" s="555">
        <v>541</v>
      </c>
      <c r="W30" s="555">
        <v>624</v>
      </c>
      <c r="X30" s="555">
        <v>697</v>
      </c>
      <c r="Y30" s="556">
        <v>769</v>
      </c>
      <c r="Z30" s="557">
        <v>467</v>
      </c>
      <c r="AA30" s="557">
        <v>501</v>
      </c>
      <c r="AB30" s="557">
        <v>601</v>
      </c>
      <c r="AC30" s="557">
        <v>694</v>
      </c>
      <c r="AD30" s="557">
        <v>775</v>
      </c>
      <c r="AE30" s="558">
        <v>855</v>
      </c>
      <c r="AF30" s="555">
        <v>514</v>
      </c>
      <c r="AG30" s="555">
        <v>551</v>
      </c>
      <c r="AH30" s="555">
        <v>661</v>
      </c>
      <c r="AI30" s="555">
        <v>763</v>
      </c>
      <c r="AJ30" s="555">
        <v>852</v>
      </c>
      <c r="AK30" s="556">
        <v>940</v>
      </c>
      <c r="AL30" s="555">
        <v>561</v>
      </c>
      <c r="AM30" s="555">
        <v>601</v>
      </c>
      <c r="AN30" s="555">
        <v>721</v>
      </c>
      <c r="AO30" s="555">
        <v>833</v>
      </c>
      <c r="AP30" s="555">
        <v>930</v>
      </c>
      <c r="AQ30" s="556">
        <v>1026</v>
      </c>
    </row>
    <row r="31" spans="1:43" s="519" customFormat="1">
      <c r="A31" s="518" t="s">
        <v>4</v>
      </c>
      <c r="B31" s="555">
        <v>280</v>
      </c>
      <c r="C31" s="555">
        <v>300</v>
      </c>
      <c r="D31" s="555">
        <v>360</v>
      </c>
      <c r="E31" s="555">
        <v>416</v>
      </c>
      <c r="F31" s="555">
        <v>465</v>
      </c>
      <c r="G31" s="556">
        <v>513</v>
      </c>
      <c r="H31" s="555">
        <v>327</v>
      </c>
      <c r="I31" s="555">
        <v>350</v>
      </c>
      <c r="J31" s="555">
        <v>420</v>
      </c>
      <c r="K31" s="555">
        <v>486</v>
      </c>
      <c r="L31" s="555">
        <v>542</v>
      </c>
      <c r="M31" s="556">
        <v>598</v>
      </c>
      <c r="N31" s="555">
        <v>374</v>
      </c>
      <c r="O31" s="555">
        <v>401</v>
      </c>
      <c r="P31" s="555">
        <v>481</v>
      </c>
      <c r="Q31" s="555">
        <v>555</v>
      </c>
      <c r="R31" s="555">
        <v>620</v>
      </c>
      <c r="S31" s="556">
        <v>684</v>
      </c>
      <c r="T31" s="555">
        <v>420</v>
      </c>
      <c r="U31" s="555">
        <v>451</v>
      </c>
      <c r="V31" s="555">
        <v>541</v>
      </c>
      <c r="W31" s="555">
        <v>624</v>
      </c>
      <c r="X31" s="555">
        <v>697</v>
      </c>
      <c r="Y31" s="556">
        <v>769</v>
      </c>
      <c r="Z31" s="557">
        <v>467</v>
      </c>
      <c r="AA31" s="557">
        <v>501</v>
      </c>
      <c r="AB31" s="557">
        <v>601</v>
      </c>
      <c r="AC31" s="557">
        <v>694</v>
      </c>
      <c r="AD31" s="557">
        <v>775</v>
      </c>
      <c r="AE31" s="558">
        <v>855</v>
      </c>
      <c r="AF31" s="555">
        <v>514</v>
      </c>
      <c r="AG31" s="555">
        <v>551</v>
      </c>
      <c r="AH31" s="555">
        <v>661</v>
      </c>
      <c r="AI31" s="555">
        <v>763</v>
      </c>
      <c r="AJ31" s="555">
        <v>852</v>
      </c>
      <c r="AK31" s="556">
        <v>940</v>
      </c>
      <c r="AL31" s="555">
        <v>561</v>
      </c>
      <c r="AM31" s="555">
        <v>601</v>
      </c>
      <c r="AN31" s="555">
        <v>721</v>
      </c>
      <c r="AO31" s="555">
        <v>833</v>
      </c>
      <c r="AP31" s="555">
        <v>930</v>
      </c>
      <c r="AQ31" s="556">
        <v>1026</v>
      </c>
    </row>
    <row r="32" spans="1:43" s="519" customFormat="1">
      <c r="A32" s="518" t="s">
        <v>5</v>
      </c>
      <c r="B32" s="555">
        <v>304</v>
      </c>
      <c r="C32" s="555">
        <v>326</v>
      </c>
      <c r="D32" s="555">
        <v>391</v>
      </c>
      <c r="E32" s="555">
        <v>451</v>
      </c>
      <c r="F32" s="555">
        <v>504</v>
      </c>
      <c r="G32" s="556">
        <v>556</v>
      </c>
      <c r="H32" s="555">
        <v>355</v>
      </c>
      <c r="I32" s="555">
        <v>380</v>
      </c>
      <c r="J32" s="555">
        <v>456</v>
      </c>
      <c r="K32" s="555">
        <v>527</v>
      </c>
      <c r="L32" s="555">
        <v>588</v>
      </c>
      <c r="M32" s="556">
        <v>648</v>
      </c>
      <c r="N32" s="555">
        <v>406</v>
      </c>
      <c r="O32" s="555">
        <v>435</v>
      </c>
      <c r="P32" s="555">
        <v>522</v>
      </c>
      <c r="Q32" s="555">
        <v>602</v>
      </c>
      <c r="R32" s="555">
        <v>672</v>
      </c>
      <c r="S32" s="556">
        <v>741</v>
      </c>
      <c r="T32" s="555">
        <v>456</v>
      </c>
      <c r="U32" s="555">
        <v>489</v>
      </c>
      <c r="V32" s="555">
        <v>587</v>
      </c>
      <c r="W32" s="555">
        <v>677</v>
      </c>
      <c r="X32" s="555">
        <v>756</v>
      </c>
      <c r="Y32" s="556">
        <v>834</v>
      </c>
      <c r="Z32" s="557">
        <v>507</v>
      </c>
      <c r="AA32" s="557">
        <v>543</v>
      </c>
      <c r="AB32" s="557">
        <v>652</v>
      </c>
      <c r="AC32" s="557">
        <v>753</v>
      </c>
      <c r="AD32" s="557">
        <v>840</v>
      </c>
      <c r="AE32" s="558">
        <v>926</v>
      </c>
      <c r="AF32" s="555">
        <v>558</v>
      </c>
      <c r="AG32" s="555">
        <v>598</v>
      </c>
      <c r="AH32" s="555">
        <v>717</v>
      </c>
      <c r="AI32" s="555">
        <v>828</v>
      </c>
      <c r="AJ32" s="555">
        <v>924</v>
      </c>
      <c r="AK32" s="556">
        <v>1019</v>
      </c>
      <c r="AL32" s="555">
        <v>609</v>
      </c>
      <c r="AM32" s="555">
        <v>652</v>
      </c>
      <c r="AN32" s="555">
        <v>783</v>
      </c>
      <c r="AO32" s="555">
        <v>903</v>
      </c>
      <c r="AP32" s="555">
        <v>1008</v>
      </c>
      <c r="AQ32" s="556">
        <v>1112</v>
      </c>
    </row>
    <row r="33" spans="1:52" s="519" customFormat="1">
      <c r="A33" s="518" t="s">
        <v>6</v>
      </c>
      <c r="B33" s="555">
        <v>307</v>
      </c>
      <c r="C33" s="555">
        <v>329</v>
      </c>
      <c r="D33" s="555">
        <v>395</v>
      </c>
      <c r="E33" s="555">
        <v>456</v>
      </c>
      <c r="F33" s="555">
        <v>509</v>
      </c>
      <c r="G33" s="556">
        <v>562</v>
      </c>
      <c r="H33" s="555">
        <v>358</v>
      </c>
      <c r="I33" s="555">
        <v>384</v>
      </c>
      <c r="J33" s="555">
        <v>461</v>
      </c>
      <c r="K33" s="555">
        <v>532</v>
      </c>
      <c r="L33" s="555">
        <v>594</v>
      </c>
      <c r="M33" s="556">
        <v>655</v>
      </c>
      <c r="N33" s="555">
        <v>410</v>
      </c>
      <c r="O33" s="555">
        <v>439</v>
      </c>
      <c r="P33" s="555">
        <v>527</v>
      </c>
      <c r="Q33" s="555">
        <v>608</v>
      </c>
      <c r="R33" s="555">
        <v>679</v>
      </c>
      <c r="S33" s="556">
        <v>749</v>
      </c>
      <c r="T33" s="555">
        <v>461</v>
      </c>
      <c r="U33" s="555">
        <v>493</v>
      </c>
      <c r="V33" s="555">
        <v>592</v>
      </c>
      <c r="W33" s="555">
        <v>684</v>
      </c>
      <c r="X33" s="555">
        <v>763</v>
      </c>
      <c r="Y33" s="556">
        <v>843</v>
      </c>
      <c r="Z33" s="557">
        <v>512</v>
      </c>
      <c r="AA33" s="557">
        <v>548</v>
      </c>
      <c r="AB33" s="557">
        <v>658</v>
      </c>
      <c r="AC33" s="557">
        <v>760</v>
      </c>
      <c r="AD33" s="557">
        <v>848</v>
      </c>
      <c r="AE33" s="558">
        <v>936</v>
      </c>
      <c r="AF33" s="555">
        <v>563</v>
      </c>
      <c r="AG33" s="555">
        <v>603</v>
      </c>
      <c r="AH33" s="555">
        <v>724</v>
      </c>
      <c r="AI33" s="555">
        <v>836</v>
      </c>
      <c r="AJ33" s="555">
        <v>933</v>
      </c>
      <c r="AK33" s="556">
        <v>1030</v>
      </c>
      <c r="AL33" s="555">
        <v>615</v>
      </c>
      <c r="AM33" s="555">
        <v>658</v>
      </c>
      <c r="AN33" s="555">
        <v>790</v>
      </c>
      <c r="AO33" s="555">
        <v>912</v>
      </c>
      <c r="AP33" s="555">
        <v>1018</v>
      </c>
      <c r="AQ33" s="556">
        <v>1124</v>
      </c>
    </row>
    <row r="34" spans="1:52" s="519" customFormat="1">
      <c r="A34" s="518" t="s">
        <v>7</v>
      </c>
      <c r="B34" s="555">
        <v>280</v>
      </c>
      <c r="C34" s="555">
        <v>300</v>
      </c>
      <c r="D34" s="555">
        <v>360</v>
      </c>
      <c r="E34" s="555">
        <v>416</v>
      </c>
      <c r="F34" s="555">
        <v>465</v>
      </c>
      <c r="G34" s="556">
        <v>513</v>
      </c>
      <c r="H34" s="555">
        <v>327</v>
      </c>
      <c r="I34" s="555">
        <v>350</v>
      </c>
      <c r="J34" s="555">
        <v>420</v>
      </c>
      <c r="K34" s="555">
        <v>486</v>
      </c>
      <c r="L34" s="555">
        <v>542</v>
      </c>
      <c r="M34" s="556">
        <v>598</v>
      </c>
      <c r="N34" s="555">
        <v>374</v>
      </c>
      <c r="O34" s="555">
        <v>401</v>
      </c>
      <c r="P34" s="555">
        <v>481</v>
      </c>
      <c r="Q34" s="555">
        <v>555</v>
      </c>
      <c r="R34" s="555">
        <v>620</v>
      </c>
      <c r="S34" s="556">
        <v>684</v>
      </c>
      <c r="T34" s="555">
        <v>420</v>
      </c>
      <c r="U34" s="555">
        <v>451</v>
      </c>
      <c r="V34" s="555">
        <v>541</v>
      </c>
      <c r="W34" s="555">
        <v>624</v>
      </c>
      <c r="X34" s="555">
        <v>697</v>
      </c>
      <c r="Y34" s="556">
        <v>769</v>
      </c>
      <c r="Z34" s="557">
        <v>467</v>
      </c>
      <c r="AA34" s="557">
        <v>501</v>
      </c>
      <c r="AB34" s="557">
        <v>601</v>
      </c>
      <c r="AC34" s="557">
        <v>694</v>
      </c>
      <c r="AD34" s="557">
        <v>775</v>
      </c>
      <c r="AE34" s="558">
        <v>855</v>
      </c>
      <c r="AF34" s="555">
        <v>514</v>
      </c>
      <c r="AG34" s="555">
        <v>551</v>
      </c>
      <c r="AH34" s="555">
        <v>661</v>
      </c>
      <c r="AI34" s="555">
        <v>763</v>
      </c>
      <c r="AJ34" s="555">
        <v>852</v>
      </c>
      <c r="AK34" s="556">
        <v>940</v>
      </c>
      <c r="AL34" s="555">
        <v>561</v>
      </c>
      <c r="AM34" s="555">
        <v>601</v>
      </c>
      <c r="AN34" s="555">
        <v>721</v>
      </c>
      <c r="AO34" s="555">
        <v>833</v>
      </c>
      <c r="AP34" s="555">
        <v>930</v>
      </c>
      <c r="AQ34" s="556">
        <v>1026</v>
      </c>
    </row>
    <row r="35" spans="1:52" s="519" customFormat="1">
      <c r="A35" s="518" t="s">
        <v>8</v>
      </c>
      <c r="B35" s="555">
        <v>280</v>
      </c>
      <c r="C35" s="555">
        <v>300</v>
      </c>
      <c r="D35" s="555">
        <v>360</v>
      </c>
      <c r="E35" s="555">
        <v>416</v>
      </c>
      <c r="F35" s="555">
        <v>465</v>
      </c>
      <c r="G35" s="556">
        <v>513</v>
      </c>
      <c r="H35" s="555">
        <v>327</v>
      </c>
      <c r="I35" s="555">
        <v>350</v>
      </c>
      <c r="J35" s="555">
        <v>420</v>
      </c>
      <c r="K35" s="555">
        <v>486</v>
      </c>
      <c r="L35" s="555">
        <v>542</v>
      </c>
      <c r="M35" s="556">
        <v>598</v>
      </c>
      <c r="N35" s="555">
        <v>374</v>
      </c>
      <c r="O35" s="555">
        <v>401</v>
      </c>
      <c r="P35" s="555">
        <v>481</v>
      </c>
      <c r="Q35" s="555">
        <v>555</v>
      </c>
      <c r="R35" s="555">
        <v>620</v>
      </c>
      <c r="S35" s="556">
        <v>684</v>
      </c>
      <c r="T35" s="555">
        <v>420</v>
      </c>
      <c r="U35" s="555">
        <v>451</v>
      </c>
      <c r="V35" s="555">
        <v>541</v>
      </c>
      <c r="W35" s="555">
        <v>624</v>
      </c>
      <c r="X35" s="555">
        <v>697</v>
      </c>
      <c r="Y35" s="556">
        <v>769</v>
      </c>
      <c r="Z35" s="557">
        <v>467</v>
      </c>
      <c r="AA35" s="557">
        <v>501</v>
      </c>
      <c r="AB35" s="557">
        <v>601</v>
      </c>
      <c r="AC35" s="557">
        <v>694</v>
      </c>
      <c r="AD35" s="557">
        <v>775</v>
      </c>
      <c r="AE35" s="558">
        <v>855</v>
      </c>
      <c r="AF35" s="555">
        <v>514</v>
      </c>
      <c r="AG35" s="555">
        <v>551</v>
      </c>
      <c r="AH35" s="555">
        <v>661</v>
      </c>
      <c r="AI35" s="555">
        <v>763</v>
      </c>
      <c r="AJ35" s="555">
        <v>852</v>
      </c>
      <c r="AK35" s="556">
        <v>940</v>
      </c>
      <c r="AL35" s="555">
        <v>561</v>
      </c>
      <c r="AM35" s="555">
        <v>601</v>
      </c>
      <c r="AN35" s="555">
        <v>721</v>
      </c>
      <c r="AO35" s="555">
        <v>833</v>
      </c>
      <c r="AP35" s="555">
        <v>930</v>
      </c>
      <c r="AQ35" s="556">
        <v>1026</v>
      </c>
    </row>
    <row r="36" spans="1:52" s="519" customFormat="1">
      <c r="A36" s="518" t="s">
        <v>9</v>
      </c>
      <c r="B36" s="555">
        <v>285</v>
      </c>
      <c r="C36" s="555">
        <v>306</v>
      </c>
      <c r="D36" s="555">
        <v>367</v>
      </c>
      <c r="E36" s="555">
        <v>424</v>
      </c>
      <c r="F36" s="555">
        <v>474</v>
      </c>
      <c r="G36" s="556">
        <v>522</v>
      </c>
      <c r="H36" s="555">
        <v>333</v>
      </c>
      <c r="I36" s="555">
        <v>357</v>
      </c>
      <c r="J36" s="555">
        <v>428</v>
      </c>
      <c r="K36" s="555">
        <v>495</v>
      </c>
      <c r="L36" s="555">
        <v>553</v>
      </c>
      <c r="M36" s="556">
        <v>609</v>
      </c>
      <c r="N36" s="555">
        <v>381</v>
      </c>
      <c r="O36" s="555">
        <v>408</v>
      </c>
      <c r="P36" s="555">
        <v>490</v>
      </c>
      <c r="Q36" s="555">
        <v>566</v>
      </c>
      <c r="R36" s="555">
        <v>632</v>
      </c>
      <c r="S36" s="556">
        <v>697</v>
      </c>
      <c r="T36" s="555">
        <v>428</v>
      </c>
      <c r="U36" s="555">
        <v>459</v>
      </c>
      <c r="V36" s="555">
        <v>551</v>
      </c>
      <c r="W36" s="555">
        <v>636</v>
      </c>
      <c r="X36" s="555">
        <v>711</v>
      </c>
      <c r="Y36" s="556">
        <v>784</v>
      </c>
      <c r="Z36" s="557">
        <v>476</v>
      </c>
      <c r="AA36" s="557">
        <v>510</v>
      </c>
      <c r="AB36" s="557">
        <v>612</v>
      </c>
      <c r="AC36" s="557">
        <v>707</v>
      </c>
      <c r="AD36" s="557">
        <v>790</v>
      </c>
      <c r="AE36" s="558">
        <v>871</v>
      </c>
      <c r="AF36" s="555">
        <v>523</v>
      </c>
      <c r="AG36" s="555">
        <v>561</v>
      </c>
      <c r="AH36" s="555">
        <v>673</v>
      </c>
      <c r="AI36" s="555">
        <v>778</v>
      </c>
      <c r="AJ36" s="555">
        <v>869</v>
      </c>
      <c r="AK36" s="556">
        <v>958</v>
      </c>
      <c r="AL36" s="555">
        <v>571</v>
      </c>
      <c r="AM36" s="555">
        <v>612</v>
      </c>
      <c r="AN36" s="555">
        <v>735</v>
      </c>
      <c r="AO36" s="555">
        <v>849</v>
      </c>
      <c r="AP36" s="555">
        <v>948</v>
      </c>
      <c r="AQ36" s="556">
        <v>1045</v>
      </c>
    </row>
    <row r="37" spans="1:52" s="519" customFormat="1">
      <c r="A37" s="518" t="s">
        <v>10</v>
      </c>
      <c r="B37" s="555">
        <v>280</v>
      </c>
      <c r="C37" s="555">
        <v>300</v>
      </c>
      <c r="D37" s="555">
        <v>360</v>
      </c>
      <c r="E37" s="555">
        <v>416</v>
      </c>
      <c r="F37" s="555">
        <v>465</v>
      </c>
      <c r="G37" s="556">
        <v>513</v>
      </c>
      <c r="H37" s="555">
        <v>327</v>
      </c>
      <c r="I37" s="555">
        <v>350</v>
      </c>
      <c r="J37" s="555">
        <v>420</v>
      </c>
      <c r="K37" s="555">
        <v>486</v>
      </c>
      <c r="L37" s="555">
        <v>542</v>
      </c>
      <c r="M37" s="556">
        <v>598</v>
      </c>
      <c r="N37" s="555">
        <v>374</v>
      </c>
      <c r="O37" s="555">
        <v>401</v>
      </c>
      <c r="P37" s="555">
        <v>481</v>
      </c>
      <c r="Q37" s="555">
        <v>555</v>
      </c>
      <c r="R37" s="555">
        <v>620</v>
      </c>
      <c r="S37" s="556">
        <v>684</v>
      </c>
      <c r="T37" s="555">
        <v>420</v>
      </c>
      <c r="U37" s="555">
        <v>451</v>
      </c>
      <c r="V37" s="555">
        <v>541</v>
      </c>
      <c r="W37" s="555">
        <v>624</v>
      </c>
      <c r="X37" s="555">
        <v>697</v>
      </c>
      <c r="Y37" s="556">
        <v>769</v>
      </c>
      <c r="Z37" s="557">
        <v>467</v>
      </c>
      <c r="AA37" s="557">
        <v>501</v>
      </c>
      <c r="AB37" s="557">
        <v>601</v>
      </c>
      <c r="AC37" s="557">
        <v>694</v>
      </c>
      <c r="AD37" s="557">
        <v>775</v>
      </c>
      <c r="AE37" s="558">
        <v>855</v>
      </c>
      <c r="AF37" s="555">
        <v>514</v>
      </c>
      <c r="AG37" s="555">
        <v>551</v>
      </c>
      <c r="AH37" s="555">
        <v>661</v>
      </c>
      <c r="AI37" s="555">
        <v>763</v>
      </c>
      <c r="AJ37" s="555">
        <v>852</v>
      </c>
      <c r="AK37" s="556">
        <v>940</v>
      </c>
      <c r="AL37" s="555">
        <v>561</v>
      </c>
      <c r="AM37" s="555">
        <v>601</v>
      </c>
      <c r="AN37" s="555">
        <v>721</v>
      </c>
      <c r="AO37" s="555">
        <v>833</v>
      </c>
      <c r="AP37" s="555">
        <v>930</v>
      </c>
      <c r="AQ37" s="556">
        <v>1026</v>
      </c>
    </row>
    <row r="38" spans="1:52" s="519" customFormat="1">
      <c r="A38" s="518" t="s">
        <v>11</v>
      </c>
      <c r="B38" s="555">
        <v>311</v>
      </c>
      <c r="C38" s="555">
        <v>333</v>
      </c>
      <c r="D38" s="555">
        <v>399</v>
      </c>
      <c r="E38" s="555">
        <v>462</v>
      </c>
      <c r="F38" s="555">
        <v>515</v>
      </c>
      <c r="G38" s="556">
        <v>568</v>
      </c>
      <c r="H38" s="555">
        <v>363</v>
      </c>
      <c r="I38" s="555">
        <v>388</v>
      </c>
      <c r="J38" s="555">
        <v>466</v>
      </c>
      <c r="K38" s="555">
        <v>539</v>
      </c>
      <c r="L38" s="555">
        <v>601</v>
      </c>
      <c r="M38" s="556">
        <v>663</v>
      </c>
      <c r="N38" s="555">
        <v>415</v>
      </c>
      <c r="O38" s="555">
        <v>444</v>
      </c>
      <c r="P38" s="555">
        <v>533</v>
      </c>
      <c r="Q38" s="555">
        <v>616</v>
      </c>
      <c r="R38" s="555">
        <v>687</v>
      </c>
      <c r="S38" s="556">
        <v>758</v>
      </c>
      <c r="T38" s="555">
        <v>466</v>
      </c>
      <c r="U38" s="555">
        <v>500</v>
      </c>
      <c r="V38" s="555">
        <v>599</v>
      </c>
      <c r="W38" s="555">
        <v>693</v>
      </c>
      <c r="X38" s="555">
        <v>772</v>
      </c>
      <c r="Y38" s="556">
        <v>853</v>
      </c>
      <c r="Z38" s="557">
        <v>518</v>
      </c>
      <c r="AA38" s="557">
        <v>555</v>
      </c>
      <c r="AB38" s="557">
        <v>666</v>
      </c>
      <c r="AC38" s="557">
        <v>770</v>
      </c>
      <c r="AD38" s="557">
        <v>858</v>
      </c>
      <c r="AE38" s="558">
        <v>948</v>
      </c>
      <c r="AF38" s="555">
        <v>570</v>
      </c>
      <c r="AG38" s="555">
        <v>611</v>
      </c>
      <c r="AH38" s="555">
        <v>732</v>
      </c>
      <c r="AI38" s="555">
        <v>847</v>
      </c>
      <c r="AJ38" s="555">
        <v>944</v>
      </c>
      <c r="AK38" s="556">
        <v>1042</v>
      </c>
      <c r="AL38" s="555">
        <v>622</v>
      </c>
      <c r="AM38" s="555">
        <v>666</v>
      </c>
      <c r="AN38" s="555">
        <v>799</v>
      </c>
      <c r="AO38" s="555">
        <v>924</v>
      </c>
      <c r="AP38" s="555">
        <v>1030</v>
      </c>
      <c r="AQ38" s="556">
        <v>1137</v>
      </c>
    </row>
    <row r="39" spans="1:52" s="519" customFormat="1">
      <c r="A39" s="518" t="s">
        <v>12</v>
      </c>
      <c r="B39" s="555">
        <v>292</v>
      </c>
      <c r="C39" s="555">
        <v>313</v>
      </c>
      <c r="D39" s="555">
        <v>376</v>
      </c>
      <c r="E39" s="555">
        <v>434</v>
      </c>
      <c r="F39" s="555">
        <v>485</v>
      </c>
      <c r="G39" s="556">
        <v>535</v>
      </c>
      <c r="H39" s="555">
        <v>341</v>
      </c>
      <c r="I39" s="555">
        <v>365</v>
      </c>
      <c r="J39" s="555">
        <v>439</v>
      </c>
      <c r="K39" s="555">
        <v>507</v>
      </c>
      <c r="L39" s="555">
        <v>566</v>
      </c>
      <c r="M39" s="556">
        <v>624</v>
      </c>
      <c r="N39" s="555">
        <v>390</v>
      </c>
      <c r="O39" s="555">
        <v>418</v>
      </c>
      <c r="P39" s="555">
        <v>502</v>
      </c>
      <c r="Q39" s="555">
        <v>579</v>
      </c>
      <c r="R39" s="555">
        <v>647</v>
      </c>
      <c r="S39" s="556">
        <v>713</v>
      </c>
      <c r="T39" s="555">
        <v>438</v>
      </c>
      <c r="U39" s="555">
        <v>470</v>
      </c>
      <c r="V39" s="555">
        <v>564</v>
      </c>
      <c r="W39" s="555">
        <v>651</v>
      </c>
      <c r="X39" s="555">
        <v>727</v>
      </c>
      <c r="Y39" s="556">
        <v>802</v>
      </c>
      <c r="Z39" s="557">
        <v>487</v>
      </c>
      <c r="AA39" s="557">
        <v>522</v>
      </c>
      <c r="AB39" s="557">
        <v>627</v>
      </c>
      <c r="AC39" s="557">
        <v>724</v>
      </c>
      <c r="AD39" s="557">
        <v>808</v>
      </c>
      <c r="AE39" s="558">
        <v>891</v>
      </c>
      <c r="AF39" s="555">
        <v>536</v>
      </c>
      <c r="AG39" s="555">
        <v>574</v>
      </c>
      <c r="AH39" s="555">
        <v>690</v>
      </c>
      <c r="AI39" s="555">
        <v>796</v>
      </c>
      <c r="AJ39" s="555">
        <v>889</v>
      </c>
      <c r="AK39" s="556">
        <v>981</v>
      </c>
      <c r="AL39" s="555">
        <v>585</v>
      </c>
      <c r="AM39" s="555">
        <v>627</v>
      </c>
      <c r="AN39" s="555">
        <v>753</v>
      </c>
      <c r="AO39" s="555">
        <v>869</v>
      </c>
      <c r="AP39" s="555">
        <v>970</v>
      </c>
      <c r="AQ39" s="556">
        <v>1070</v>
      </c>
      <c r="AR39" s="520"/>
      <c r="AS39" s="520"/>
      <c r="AT39" s="520"/>
      <c r="AU39" s="520"/>
      <c r="AV39" s="520"/>
      <c r="AW39" s="520"/>
      <c r="AX39" s="520"/>
      <c r="AY39" s="520"/>
      <c r="AZ39" s="520"/>
    </row>
    <row r="40" spans="1:52" s="519" customFormat="1">
      <c r="A40" s="518" t="s">
        <v>13</v>
      </c>
      <c r="B40" s="555">
        <v>308</v>
      </c>
      <c r="C40" s="555">
        <v>330</v>
      </c>
      <c r="D40" s="555">
        <v>396</v>
      </c>
      <c r="E40" s="555">
        <v>457</v>
      </c>
      <c r="F40" s="555">
        <v>510</v>
      </c>
      <c r="G40" s="556">
        <v>563</v>
      </c>
      <c r="H40" s="555">
        <v>359</v>
      </c>
      <c r="I40" s="555">
        <v>385</v>
      </c>
      <c r="J40" s="555">
        <v>462</v>
      </c>
      <c r="K40" s="555">
        <v>534</v>
      </c>
      <c r="L40" s="555">
        <v>595</v>
      </c>
      <c r="M40" s="556">
        <v>657</v>
      </c>
      <c r="N40" s="555">
        <v>411</v>
      </c>
      <c r="O40" s="555">
        <v>440</v>
      </c>
      <c r="P40" s="555">
        <v>529</v>
      </c>
      <c r="Q40" s="555">
        <v>610</v>
      </c>
      <c r="R40" s="555">
        <v>681</v>
      </c>
      <c r="S40" s="556">
        <v>751</v>
      </c>
      <c r="T40" s="555">
        <v>462</v>
      </c>
      <c r="U40" s="555">
        <v>495</v>
      </c>
      <c r="V40" s="555">
        <v>595</v>
      </c>
      <c r="W40" s="555">
        <v>686</v>
      </c>
      <c r="X40" s="555">
        <v>766</v>
      </c>
      <c r="Y40" s="556">
        <v>845</v>
      </c>
      <c r="Z40" s="557">
        <v>513</v>
      </c>
      <c r="AA40" s="557">
        <v>550</v>
      </c>
      <c r="AB40" s="557">
        <v>661</v>
      </c>
      <c r="AC40" s="557">
        <v>763</v>
      </c>
      <c r="AD40" s="557">
        <v>851</v>
      </c>
      <c r="AE40" s="558">
        <v>939</v>
      </c>
      <c r="AF40" s="555">
        <v>565</v>
      </c>
      <c r="AG40" s="555">
        <v>605</v>
      </c>
      <c r="AH40" s="555">
        <v>727</v>
      </c>
      <c r="AI40" s="555">
        <v>839</v>
      </c>
      <c r="AJ40" s="555">
        <v>936</v>
      </c>
      <c r="AK40" s="556">
        <v>1033</v>
      </c>
      <c r="AL40" s="555">
        <v>616</v>
      </c>
      <c r="AM40" s="555">
        <v>660</v>
      </c>
      <c r="AN40" s="555">
        <v>793</v>
      </c>
      <c r="AO40" s="555">
        <v>915</v>
      </c>
      <c r="AP40" s="555">
        <v>1021</v>
      </c>
      <c r="AQ40" s="556">
        <v>1127</v>
      </c>
    </row>
    <row r="41" spans="1:52" s="519" customFormat="1">
      <c r="A41" s="518" t="s">
        <v>14</v>
      </c>
      <c r="B41" s="555">
        <v>280</v>
      </c>
      <c r="C41" s="555">
        <v>300</v>
      </c>
      <c r="D41" s="555">
        <v>360</v>
      </c>
      <c r="E41" s="555">
        <v>416</v>
      </c>
      <c r="F41" s="555">
        <v>465</v>
      </c>
      <c r="G41" s="556">
        <v>513</v>
      </c>
      <c r="H41" s="555">
        <v>327</v>
      </c>
      <c r="I41" s="555">
        <v>350</v>
      </c>
      <c r="J41" s="555">
        <v>420</v>
      </c>
      <c r="K41" s="555">
        <v>486</v>
      </c>
      <c r="L41" s="555">
        <v>542</v>
      </c>
      <c r="M41" s="556">
        <v>598</v>
      </c>
      <c r="N41" s="555">
        <v>374</v>
      </c>
      <c r="O41" s="555">
        <v>401</v>
      </c>
      <c r="P41" s="555">
        <v>481</v>
      </c>
      <c r="Q41" s="555">
        <v>555</v>
      </c>
      <c r="R41" s="555">
        <v>620</v>
      </c>
      <c r="S41" s="556">
        <v>684</v>
      </c>
      <c r="T41" s="555">
        <v>420</v>
      </c>
      <c r="U41" s="555">
        <v>451</v>
      </c>
      <c r="V41" s="555">
        <v>541</v>
      </c>
      <c r="W41" s="555">
        <v>624</v>
      </c>
      <c r="X41" s="555">
        <v>697</v>
      </c>
      <c r="Y41" s="556">
        <v>769</v>
      </c>
      <c r="Z41" s="557">
        <v>467</v>
      </c>
      <c r="AA41" s="557">
        <v>501</v>
      </c>
      <c r="AB41" s="557">
        <v>601</v>
      </c>
      <c r="AC41" s="557">
        <v>694</v>
      </c>
      <c r="AD41" s="557">
        <v>775</v>
      </c>
      <c r="AE41" s="558">
        <v>855</v>
      </c>
      <c r="AF41" s="555">
        <v>514</v>
      </c>
      <c r="AG41" s="555">
        <v>551</v>
      </c>
      <c r="AH41" s="555">
        <v>661</v>
      </c>
      <c r="AI41" s="555">
        <v>763</v>
      </c>
      <c r="AJ41" s="555">
        <v>852</v>
      </c>
      <c r="AK41" s="556">
        <v>940</v>
      </c>
      <c r="AL41" s="555">
        <v>561</v>
      </c>
      <c r="AM41" s="555">
        <v>601</v>
      </c>
      <c r="AN41" s="555">
        <v>721</v>
      </c>
      <c r="AO41" s="555">
        <v>833</v>
      </c>
      <c r="AP41" s="555">
        <v>930</v>
      </c>
      <c r="AQ41" s="556">
        <v>1026</v>
      </c>
    </row>
    <row r="42" spans="1:52" s="519" customFormat="1">
      <c r="A42" s="518" t="s">
        <v>50</v>
      </c>
      <c r="B42" s="555">
        <v>315</v>
      </c>
      <c r="C42" s="555">
        <v>337</v>
      </c>
      <c r="D42" s="555">
        <v>405</v>
      </c>
      <c r="E42" s="555">
        <v>468</v>
      </c>
      <c r="F42" s="555">
        <v>522</v>
      </c>
      <c r="G42" s="556">
        <v>576</v>
      </c>
      <c r="H42" s="555">
        <v>367</v>
      </c>
      <c r="I42" s="555">
        <v>393</v>
      </c>
      <c r="J42" s="555">
        <v>472</v>
      </c>
      <c r="K42" s="555">
        <v>546</v>
      </c>
      <c r="L42" s="555">
        <v>609</v>
      </c>
      <c r="M42" s="556">
        <v>672</v>
      </c>
      <c r="N42" s="555">
        <v>420</v>
      </c>
      <c r="O42" s="555">
        <v>450</v>
      </c>
      <c r="P42" s="555">
        <v>540</v>
      </c>
      <c r="Q42" s="555">
        <v>624</v>
      </c>
      <c r="R42" s="555">
        <v>696</v>
      </c>
      <c r="S42" s="556">
        <v>768</v>
      </c>
      <c r="T42" s="555">
        <v>472</v>
      </c>
      <c r="U42" s="555">
        <v>506</v>
      </c>
      <c r="V42" s="555">
        <v>607</v>
      </c>
      <c r="W42" s="555">
        <v>702</v>
      </c>
      <c r="X42" s="555">
        <v>783</v>
      </c>
      <c r="Y42" s="556">
        <v>864</v>
      </c>
      <c r="Z42" s="557">
        <v>525</v>
      </c>
      <c r="AA42" s="557">
        <v>562</v>
      </c>
      <c r="AB42" s="557">
        <v>675</v>
      </c>
      <c r="AC42" s="557">
        <v>780</v>
      </c>
      <c r="AD42" s="557">
        <v>870</v>
      </c>
      <c r="AE42" s="558">
        <v>960</v>
      </c>
      <c r="AF42" s="555">
        <v>577</v>
      </c>
      <c r="AG42" s="555">
        <v>618</v>
      </c>
      <c r="AH42" s="555">
        <v>742</v>
      </c>
      <c r="AI42" s="555">
        <v>858</v>
      </c>
      <c r="AJ42" s="555">
        <v>957</v>
      </c>
      <c r="AK42" s="556">
        <v>1056</v>
      </c>
      <c r="AL42" s="555">
        <v>630</v>
      </c>
      <c r="AM42" s="555">
        <v>675</v>
      </c>
      <c r="AN42" s="555">
        <v>810</v>
      </c>
      <c r="AO42" s="555">
        <v>936</v>
      </c>
      <c r="AP42" s="555">
        <v>1044</v>
      </c>
      <c r="AQ42" s="556">
        <v>1152</v>
      </c>
    </row>
    <row r="43" spans="1:52" s="519" customFormat="1">
      <c r="A43" s="518" t="s">
        <v>15</v>
      </c>
      <c r="B43" s="555">
        <v>280</v>
      </c>
      <c r="C43" s="555">
        <v>300</v>
      </c>
      <c r="D43" s="555">
        <v>360</v>
      </c>
      <c r="E43" s="555">
        <v>416</v>
      </c>
      <c r="F43" s="555">
        <v>465</v>
      </c>
      <c r="G43" s="556">
        <v>513</v>
      </c>
      <c r="H43" s="555">
        <v>327</v>
      </c>
      <c r="I43" s="555">
        <v>350</v>
      </c>
      <c r="J43" s="555">
        <v>420</v>
      </c>
      <c r="K43" s="555">
        <v>486</v>
      </c>
      <c r="L43" s="555">
        <v>542</v>
      </c>
      <c r="M43" s="556">
        <v>598</v>
      </c>
      <c r="N43" s="555">
        <v>374</v>
      </c>
      <c r="O43" s="555">
        <v>401</v>
      </c>
      <c r="P43" s="555">
        <v>481</v>
      </c>
      <c r="Q43" s="555">
        <v>555</v>
      </c>
      <c r="R43" s="555">
        <v>620</v>
      </c>
      <c r="S43" s="556">
        <v>684</v>
      </c>
      <c r="T43" s="555">
        <v>420</v>
      </c>
      <c r="U43" s="555">
        <v>451</v>
      </c>
      <c r="V43" s="555">
        <v>541</v>
      </c>
      <c r="W43" s="555">
        <v>624</v>
      </c>
      <c r="X43" s="555">
        <v>697</v>
      </c>
      <c r="Y43" s="556">
        <v>769</v>
      </c>
      <c r="Z43" s="557">
        <v>467</v>
      </c>
      <c r="AA43" s="557">
        <v>501</v>
      </c>
      <c r="AB43" s="557">
        <v>601</v>
      </c>
      <c r="AC43" s="557">
        <v>694</v>
      </c>
      <c r="AD43" s="557">
        <v>775</v>
      </c>
      <c r="AE43" s="558">
        <v>855</v>
      </c>
      <c r="AF43" s="555">
        <v>514</v>
      </c>
      <c r="AG43" s="555">
        <v>551</v>
      </c>
      <c r="AH43" s="555">
        <v>661</v>
      </c>
      <c r="AI43" s="555">
        <v>763</v>
      </c>
      <c r="AJ43" s="555">
        <v>852</v>
      </c>
      <c r="AK43" s="556">
        <v>940</v>
      </c>
      <c r="AL43" s="555">
        <v>561</v>
      </c>
      <c r="AM43" s="555">
        <v>601</v>
      </c>
      <c r="AN43" s="555">
        <v>721</v>
      </c>
      <c r="AO43" s="555">
        <v>833</v>
      </c>
      <c r="AP43" s="555">
        <v>930</v>
      </c>
      <c r="AQ43" s="556">
        <v>1026</v>
      </c>
    </row>
    <row r="44" spans="1:52" s="519" customFormat="1">
      <c r="A44" s="518" t="s">
        <v>16</v>
      </c>
      <c r="B44" s="555">
        <v>383</v>
      </c>
      <c r="C44" s="555">
        <v>410</v>
      </c>
      <c r="D44" s="555">
        <v>492</v>
      </c>
      <c r="E44" s="555">
        <v>569</v>
      </c>
      <c r="F44" s="555">
        <v>635</v>
      </c>
      <c r="G44" s="556">
        <v>701</v>
      </c>
      <c r="H44" s="555">
        <v>447</v>
      </c>
      <c r="I44" s="555">
        <v>479</v>
      </c>
      <c r="J44" s="555">
        <v>574</v>
      </c>
      <c r="K44" s="555">
        <v>664</v>
      </c>
      <c r="L44" s="555">
        <v>741</v>
      </c>
      <c r="M44" s="556">
        <v>818</v>
      </c>
      <c r="N44" s="555">
        <v>511</v>
      </c>
      <c r="O44" s="555">
        <v>547</v>
      </c>
      <c r="P44" s="555">
        <v>657</v>
      </c>
      <c r="Q44" s="555">
        <v>759</v>
      </c>
      <c r="R44" s="555">
        <v>847</v>
      </c>
      <c r="S44" s="556">
        <v>935</v>
      </c>
      <c r="T44" s="555">
        <v>574</v>
      </c>
      <c r="U44" s="555">
        <v>615</v>
      </c>
      <c r="V44" s="555">
        <v>739</v>
      </c>
      <c r="W44" s="555">
        <v>854</v>
      </c>
      <c r="X44" s="555">
        <v>952</v>
      </c>
      <c r="Y44" s="556">
        <v>1051</v>
      </c>
      <c r="Z44" s="557">
        <v>638</v>
      </c>
      <c r="AA44" s="557">
        <v>684</v>
      </c>
      <c r="AB44" s="557">
        <v>821</v>
      </c>
      <c r="AC44" s="557">
        <v>949</v>
      </c>
      <c r="AD44" s="557">
        <v>1058</v>
      </c>
      <c r="AE44" s="558">
        <v>1168</v>
      </c>
      <c r="AF44" s="555">
        <v>702</v>
      </c>
      <c r="AG44" s="555">
        <v>752</v>
      </c>
      <c r="AH44" s="555">
        <v>903</v>
      </c>
      <c r="AI44" s="555">
        <v>1044</v>
      </c>
      <c r="AJ44" s="555">
        <v>1164</v>
      </c>
      <c r="AK44" s="556">
        <v>1285</v>
      </c>
      <c r="AL44" s="555">
        <v>766</v>
      </c>
      <c r="AM44" s="555">
        <v>821</v>
      </c>
      <c r="AN44" s="555">
        <v>985</v>
      </c>
      <c r="AO44" s="555">
        <v>1139</v>
      </c>
      <c r="AP44" s="555">
        <v>1270</v>
      </c>
      <c r="AQ44" s="556">
        <v>1402</v>
      </c>
    </row>
    <row r="45" spans="1:52" s="519" customFormat="1">
      <c r="A45" s="518" t="s">
        <v>17</v>
      </c>
      <c r="B45" s="555">
        <v>315</v>
      </c>
      <c r="C45" s="555">
        <v>337</v>
      </c>
      <c r="D45" s="555">
        <v>405</v>
      </c>
      <c r="E45" s="555">
        <v>468</v>
      </c>
      <c r="F45" s="555">
        <v>522</v>
      </c>
      <c r="G45" s="556">
        <v>576</v>
      </c>
      <c r="H45" s="555">
        <v>367</v>
      </c>
      <c r="I45" s="555">
        <v>393</v>
      </c>
      <c r="J45" s="555">
        <v>472</v>
      </c>
      <c r="K45" s="555">
        <v>546</v>
      </c>
      <c r="L45" s="555">
        <v>609</v>
      </c>
      <c r="M45" s="556">
        <v>672</v>
      </c>
      <c r="N45" s="555">
        <v>420</v>
      </c>
      <c r="O45" s="555">
        <v>450</v>
      </c>
      <c r="P45" s="555">
        <v>540</v>
      </c>
      <c r="Q45" s="555">
        <v>624</v>
      </c>
      <c r="R45" s="555">
        <v>696</v>
      </c>
      <c r="S45" s="556">
        <v>768</v>
      </c>
      <c r="T45" s="555">
        <v>472</v>
      </c>
      <c r="U45" s="555">
        <v>506</v>
      </c>
      <c r="V45" s="555">
        <v>607</v>
      </c>
      <c r="W45" s="555">
        <v>702</v>
      </c>
      <c r="X45" s="555">
        <v>783</v>
      </c>
      <c r="Y45" s="556">
        <v>864</v>
      </c>
      <c r="Z45" s="557">
        <v>525</v>
      </c>
      <c r="AA45" s="557">
        <v>562</v>
      </c>
      <c r="AB45" s="557">
        <v>675</v>
      </c>
      <c r="AC45" s="557">
        <v>780</v>
      </c>
      <c r="AD45" s="557">
        <v>870</v>
      </c>
      <c r="AE45" s="558">
        <v>960</v>
      </c>
      <c r="AF45" s="555">
        <v>577</v>
      </c>
      <c r="AG45" s="555">
        <v>618</v>
      </c>
      <c r="AH45" s="555">
        <v>742</v>
      </c>
      <c r="AI45" s="555">
        <v>858</v>
      </c>
      <c r="AJ45" s="555">
        <v>957</v>
      </c>
      <c r="AK45" s="556">
        <v>1056</v>
      </c>
      <c r="AL45" s="555">
        <v>630</v>
      </c>
      <c r="AM45" s="555">
        <v>675</v>
      </c>
      <c r="AN45" s="555">
        <v>810</v>
      </c>
      <c r="AO45" s="555">
        <v>936</v>
      </c>
      <c r="AP45" s="555">
        <v>1044</v>
      </c>
      <c r="AQ45" s="556">
        <v>1152</v>
      </c>
    </row>
    <row r="46" spans="1:52" s="519" customFormat="1">
      <c r="A46" s="518" t="s">
        <v>18</v>
      </c>
      <c r="B46" s="555">
        <v>280</v>
      </c>
      <c r="C46" s="555">
        <v>300</v>
      </c>
      <c r="D46" s="555">
        <v>360</v>
      </c>
      <c r="E46" s="555">
        <v>416</v>
      </c>
      <c r="F46" s="555">
        <v>465</v>
      </c>
      <c r="G46" s="556">
        <v>513</v>
      </c>
      <c r="H46" s="555">
        <v>327</v>
      </c>
      <c r="I46" s="555">
        <v>350</v>
      </c>
      <c r="J46" s="555">
        <v>420</v>
      </c>
      <c r="K46" s="555">
        <v>486</v>
      </c>
      <c r="L46" s="555">
        <v>542</v>
      </c>
      <c r="M46" s="556">
        <v>598</v>
      </c>
      <c r="N46" s="555">
        <v>374</v>
      </c>
      <c r="O46" s="555">
        <v>401</v>
      </c>
      <c r="P46" s="555">
        <v>481</v>
      </c>
      <c r="Q46" s="555">
        <v>555</v>
      </c>
      <c r="R46" s="555">
        <v>620</v>
      </c>
      <c r="S46" s="556">
        <v>684</v>
      </c>
      <c r="T46" s="555">
        <v>420</v>
      </c>
      <c r="U46" s="555">
        <v>451</v>
      </c>
      <c r="V46" s="555">
        <v>541</v>
      </c>
      <c r="W46" s="555">
        <v>624</v>
      </c>
      <c r="X46" s="555">
        <v>697</v>
      </c>
      <c r="Y46" s="556">
        <v>769</v>
      </c>
      <c r="Z46" s="557">
        <v>467</v>
      </c>
      <c r="AA46" s="557">
        <v>501</v>
      </c>
      <c r="AB46" s="557">
        <v>601</v>
      </c>
      <c r="AC46" s="557">
        <v>694</v>
      </c>
      <c r="AD46" s="557">
        <v>775</v>
      </c>
      <c r="AE46" s="558">
        <v>855</v>
      </c>
      <c r="AF46" s="555">
        <v>514</v>
      </c>
      <c r="AG46" s="555">
        <v>551</v>
      </c>
      <c r="AH46" s="555">
        <v>661</v>
      </c>
      <c r="AI46" s="555">
        <v>763</v>
      </c>
      <c r="AJ46" s="555">
        <v>852</v>
      </c>
      <c r="AK46" s="556">
        <v>940</v>
      </c>
      <c r="AL46" s="555">
        <v>561</v>
      </c>
      <c r="AM46" s="555">
        <v>601</v>
      </c>
      <c r="AN46" s="555">
        <v>721</v>
      </c>
      <c r="AO46" s="555">
        <v>833</v>
      </c>
      <c r="AP46" s="555">
        <v>930</v>
      </c>
      <c r="AQ46" s="556">
        <v>1026</v>
      </c>
    </row>
    <row r="47" spans="1:52" s="519" customFormat="1">
      <c r="A47" s="518" t="s">
        <v>19</v>
      </c>
      <c r="B47" s="555">
        <v>291</v>
      </c>
      <c r="C47" s="555">
        <v>311</v>
      </c>
      <c r="D47" s="555">
        <v>373</v>
      </c>
      <c r="E47" s="555">
        <v>431</v>
      </c>
      <c r="F47" s="555">
        <v>481</v>
      </c>
      <c r="G47" s="556">
        <v>531</v>
      </c>
      <c r="H47" s="555">
        <v>339</v>
      </c>
      <c r="I47" s="555">
        <v>363</v>
      </c>
      <c r="J47" s="555">
        <v>435</v>
      </c>
      <c r="K47" s="555">
        <v>503</v>
      </c>
      <c r="L47" s="555">
        <v>561</v>
      </c>
      <c r="M47" s="556">
        <v>619</v>
      </c>
      <c r="N47" s="555">
        <v>388</v>
      </c>
      <c r="O47" s="555">
        <v>415</v>
      </c>
      <c r="P47" s="555">
        <v>498</v>
      </c>
      <c r="Q47" s="555">
        <v>575</v>
      </c>
      <c r="R47" s="555">
        <v>642</v>
      </c>
      <c r="S47" s="556">
        <v>708</v>
      </c>
      <c r="T47" s="555">
        <v>436</v>
      </c>
      <c r="U47" s="555">
        <v>467</v>
      </c>
      <c r="V47" s="555">
        <v>560</v>
      </c>
      <c r="W47" s="555">
        <v>647</v>
      </c>
      <c r="X47" s="555">
        <v>722</v>
      </c>
      <c r="Y47" s="556">
        <v>796</v>
      </c>
      <c r="Z47" s="557">
        <v>485</v>
      </c>
      <c r="AA47" s="557">
        <v>519</v>
      </c>
      <c r="AB47" s="557">
        <v>622</v>
      </c>
      <c r="AC47" s="557">
        <v>719</v>
      </c>
      <c r="AD47" s="557">
        <v>802</v>
      </c>
      <c r="AE47" s="558">
        <v>885</v>
      </c>
      <c r="AF47" s="555">
        <v>533</v>
      </c>
      <c r="AG47" s="555">
        <v>571</v>
      </c>
      <c r="AH47" s="555">
        <v>684</v>
      </c>
      <c r="AI47" s="555">
        <v>791</v>
      </c>
      <c r="AJ47" s="555">
        <v>882</v>
      </c>
      <c r="AK47" s="556">
        <v>973</v>
      </c>
      <c r="AL47" s="555">
        <v>582</v>
      </c>
      <c r="AM47" s="555">
        <v>623</v>
      </c>
      <c r="AN47" s="555">
        <v>747</v>
      </c>
      <c r="AO47" s="555">
        <v>863</v>
      </c>
      <c r="AP47" s="555">
        <v>963</v>
      </c>
      <c r="AQ47" s="556">
        <v>1062</v>
      </c>
    </row>
    <row r="48" spans="1:52" s="519" customFormat="1">
      <c r="A48" s="518" t="s">
        <v>20</v>
      </c>
      <c r="B48" s="555">
        <v>289</v>
      </c>
      <c r="C48" s="555">
        <v>310</v>
      </c>
      <c r="D48" s="555">
        <v>372</v>
      </c>
      <c r="E48" s="555">
        <v>430</v>
      </c>
      <c r="F48" s="555">
        <v>480</v>
      </c>
      <c r="G48" s="556">
        <v>529</v>
      </c>
      <c r="H48" s="555">
        <v>337</v>
      </c>
      <c r="I48" s="555">
        <v>361</v>
      </c>
      <c r="J48" s="555">
        <v>434</v>
      </c>
      <c r="K48" s="555">
        <v>501</v>
      </c>
      <c r="L48" s="555">
        <v>560</v>
      </c>
      <c r="M48" s="556">
        <v>617</v>
      </c>
      <c r="N48" s="555">
        <v>386</v>
      </c>
      <c r="O48" s="555">
        <v>413</v>
      </c>
      <c r="P48" s="555">
        <v>496</v>
      </c>
      <c r="Q48" s="555">
        <v>573</v>
      </c>
      <c r="R48" s="555">
        <v>640</v>
      </c>
      <c r="S48" s="556">
        <v>706</v>
      </c>
      <c r="T48" s="555">
        <v>434</v>
      </c>
      <c r="U48" s="555">
        <v>465</v>
      </c>
      <c r="V48" s="555">
        <v>558</v>
      </c>
      <c r="W48" s="555">
        <v>645</v>
      </c>
      <c r="X48" s="555">
        <v>720</v>
      </c>
      <c r="Y48" s="556">
        <v>794</v>
      </c>
      <c r="Z48" s="557">
        <v>482</v>
      </c>
      <c r="AA48" s="557">
        <v>516</v>
      </c>
      <c r="AB48" s="557">
        <v>620</v>
      </c>
      <c r="AC48" s="557">
        <v>716</v>
      </c>
      <c r="AD48" s="557">
        <v>800</v>
      </c>
      <c r="AE48" s="558">
        <v>882</v>
      </c>
      <c r="AF48" s="555">
        <v>530</v>
      </c>
      <c r="AG48" s="555">
        <v>568</v>
      </c>
      <c r="AH48" s="555">
        <v>682</v>
      </c>
      <c r="AI48" s="555">
        <v>788</v>
      </c>
      <c r="AJ48" s="555">
        <v>880</v>
      </c>
      <c r="AK48" s="556">
        <v>970</v>
      </c>
      <c r="AL48" s="555">
        <v>579</v>
      </c>
      <c r="AM48" s="555">
        <v>620</v>
      </c>
      <c r="AN48" s="555">
        <v>744</v>
      </c>
      <c r="AO48" s="555">
        <v>860</v>
      </c>
      <c r="AP48" s="555">
        <v>960</v>
      </c>
      <c r="AQ48" s="556">
        <v>1059</v>
      </c>
    </row>
    <row r="49" spans="1:43" s="519" customFormat="1">
      <c r="A49" s="518" t="s">
        <v>21</v>
      </c>
      <c r="B49" s="555">
        <v>300</v>
      </c>
      <c r="C49" s="555">
        <v>321</v>
      </c>
      <c r="D49" s="555">
        <v>385</v>
      </c>
      <c r="E49" s="555">
        <v>445</v>
      </c>
      <c r="F49" s="555">
        <v>497</v>
      </c>
      <c r="G49" s="556">
        <v>548</v>
      </c>
      <c r="H49" s="555">
        <v>350</v>
      </c>
      <c r="I49" s="555">
        <v>374</v>
      </c>
      <c r="J49" s="555">
        <v>449</v>
      </c>
      <c r="K49" s="555">
        <v>519</v>
      </c>
      <c r="L49" s="555">
        <v>580</v>
      </c>
      <c r="M49" s="556">
        <v>640</v>
      </c>
      <c r="N49" s="555">
        <v>400</v>
      </c>
      <c r="O49" s="555">
        <v>428</v>
      </c>
      <c r="P49" s="555">
        <v>514</v>
      </c>
      <c r="Q49" s="555">
        <v>594</v>
      </c>
      <c r="R49" s="555">
        <v>663</v>
      </c>
      <c r="S49" s="556">
        <v>731</v>
      </c>
      <c r="T49" s="555">
        <v>450</v>
      </c>
      <c r="U49" s="555">
        <v>482</v>
      </c>
      <c r="V49" s="555">
        <v>578</v>
      </c>
      <c r="W49" s="555">
        <v>668</v>
      </c>
      <c r="X49" s="555">
        <v>745</v>
      </c>
      <c r="Y49" s="556">
        <v>822</v>
      </c>
      <c r="Z49" s="557">
        <v>500</v>
      </c>
      <c r="AA49" s="557">
        <v>535</v>
      </c>
      <c r="AB49" s="557">
        <v>642</v>
      </c>
      <c r="AC49" s="557">
        <v>742</v>
      </c>
      <c r="AD49" s="557">
        <v>828</v>
      </c>
      <c r="AE49" s="558">
        <v>914</v>
      </c>
      <c r="AF49" s="555">
        <v>550</v>
      </c>
      <c r="AG49" s="555">
        <v>589</v>
      </c>
      <c r="AH49" s="555">
        <v>706</v>
      </c>
      <c r="AI49" s="555">
        <v>816</v>
      </c>
      <c r="AJ49" s="555">
        <v>911</v>
      </c>
      <c r="AK49" s="556">
        <v>1005</v>
      </c>
      <c r="AL49" s="555">
        <v>600</v>
      </c>
      <c r="AM49" s="555">
        <v>642</v>
      </c>
      <c r="AN49" s="555">
        <v>771</v>
      </c>
      <c r="AO49" s="555">
        <v>891</v>
      </c>
      <c r="AP49" s="555">
        <v>994</v>
      </c>
      <c r="AQ49" s="556">
        <v>1097</v>
      </c>
    </row>
    <row r="50" spans="1:43" s="519" customFormat="1">
      <c r="A50" s="518" t="s">
        <v>28</v>
      </c>
      <c r="B50" s="555">
        <v>285</v>
      </c>
      <c r="C50" s="555">
        <v>305</v>
      </c>
      <c r="D50" s="555">
        <v>366</v>
      </c>
      <c r="E50" s="555">
        <v>423</v>
      </c>
      <c r="F50" s="555">
        <v>471</v>
      </c>
      <c r="G50" s="556">
        <v>520</v>
      </c>
      <c r="H50" s="555">
        <v>332</v>
      </c>
      <c r="I50" s="555">
        <v>356</v>
      </c>
      <c r="J50" s="555">
        <v>427</v>
      </c>
      <c r="K50" s="555">
        <v>493</v>
      </c>
      <c r="L50" s="555">
        <v>550</v>
      </c>
      <c r="M50" s="556">
        <v>607</v>
      </c>
      <c r="N50" s="555">
        <v>380</v>
      </c>
      <c r="O50" s="555">
        <v>407</v>
      </c>
      <c r="P50" s="555">
        <v>488</v>
      </c>
      <c r="Q50" s="555">
        <v>564</v>
      </c>
      <c r="R50" s="555">
        <v>629</v>
      </c>
      <c r="S50" s="556">
        <v>694</v>
      </c>
      <c r="T50" s="555">
        <v>427</v>
      </c>
      <c r="U50" s="555">
        <v>457</v>
      </c>
      <c r="V50" s="555">
        <v>549</v>
      </c>
      <c r="W50" s="555">
        <v>634</v>
      </c>
      <c r="X50" s="555">
        <v>707</v>
      </c>
      <c r="Y50" s="556">
        <v>781</v>
      </c>
      <c r="Z50" s="557">
        <v>475</v>
      </c>
      <c r="AA50" s="557">
        <v>508</v>
      </c>
      <c r="AB50" s="557">
        <v>610</v>
      </c>
      <c r="AC50" s="557">
        <v>705</v>
      </c>
      <c r="AD50" s="557">
        <v>786</v>
      </c>
      <c r="AE50" s="558">
        <v>868</v>
      </c>
      <c r="AF50" s="555">
        <v>522</v>
      </c>
      <c r="AG50" s="555">
        <v>559</v>
      </c>
      <c r="AH50" s="555">
        <v>671</v>
      </c>
      <c r="AI50" s="555">
        <v>775</v>
      </c>
      <c r="AJ50" s="555">
        <v>864</v>
      </c>
      <c r="AK50" s="556">
        <v>954</v>
      </c>
      <c r="AL50" s="555">
        <v>570</v>
      </c>
      <c r="AM50" s="555">
        <v>610</v>
      </c>
      <c r="AN50" s="555">
        <v>732</v>
      </c>
      <c r="AO50" s="555">
        <v>846</v>
      </c>
      <c r="AP50" s="555">
        <v>943</v>
      </c>
      <c r="AQ50" s="556">
        <v>1041</v>
      </c>
    </row>
    <row r="51" spans="1:43" s="519" customFormat="1">
      <c r="A51" s="518" t="s">
        <v>29</v>
      </c>
      <c r="B51" s="555">
        <v>282</v>
      </c>
      <c r="C51" s="555">
        <v>301</v>
      </c>
      <c r="D51" s="555">
        <v>362</v>
      </c>
      <c r="E51" s="555">
        <v>418</v>
      </c>
      <c r="F51" s="555">
        <v>466</v>
      </c>
      <c r="G51" s="556">
        <v>514</v>
      </c>
      <c r="H51" s="555">
        <v>329</v>
      </c>
      <c r="I51" s="555">
        <v>352</v>
      </c>
      <c r="J51" s="555">
        <v>422</v>
      </c>
      <c r="K51" s="555">
        <v>487</v>
      </c>
      <c r="L51" s="555">
        <v>544</v>
      </c>
      <c r="M51" s="556">
        <v>600</v>
      </c>
      <c r="N51" s="555">
        <v>376</v>
      </c>
      <c r="O51" s="555">
        <v>402</v>
      </c>
      <c r="P51" s="555">
        <v>483</v>
      </c>
      <c r="Q51" s="555">
        <v>557</v>
      </c>
      <c r="R51" s="555">
        <v>622</v>
      </c>
      <c r="S51" s="556">
        <v>686</v>
      </c>
      <c r="T51" s="555">
        <v>423</v>
      </c>
      <c r="U51" s="555">
        <v>452</v>
      </c>
      <c r="V51" s="555">
        <v>543</v>
      </c>
      <c r="W51" s="555">
        <v>627</v>
      </c>
      <c r="X51" s="555">
        <v>699</v>
      </c>
      <c r="Y51" s="556">
        <v>772</v>
      </c>
      <c r="Z51" s="557">
        <v>470</v>
      </c>
      <c r="AA51" s="557">
        <v>503</v>
      </c>
      <c r="AB51" s="557">
        <v>603</v>
      </c>
      <c r="AC51" s="557">
        <v>696</v>
      </c>
      <c r="AD51" s="557">
        <v>777</v>
      </c>
      <c r="AE51" s="558">
        <v>858</v>
      </c>
      <c r="AF51" s="555">
        <v>517</v>
      </c>
      <c r="AG51" s="555">
        <v>553</v>
      </c>
      <c r="AH51" s="555">
        <v>664</v>
      </c>
      <c r="AI51" s="555">
        <v>766</v>
      </c>
      <c r="AJ51" s="555">
        <v>855</v>
      </c>
      <c r="AK51" s="556">
        <v>943</v>
      </c>
      <c r="AL51" s="555">
        <v>564</v>
      </c>
      <c r="AM51" s="555">
        <v>603</v>
      </c>
      <c r="AN51" s="555">
        <v>724</v>
      </c>
      <c r="AO51" s="555">
        <v>836</v>
      </c>
      <c r="AP51" s="555">
        <v>933</v>
      </c>
      <c r="AQ51" s="556">
        <v>1029</v>
      </c>
    </row>
    <row r="52" spans="1:43" s="519" customFormat="1">
      <c r="A52" s="518" t="s">
        <v>30</v>
      </c>
      <c r="B52" s="555">
        <v>383</v>
      </c>
      <c r="C52" s="555">
        <v>410</v>
      </c>
      <c r="D52" s="555">
        <v>492</v>
      </c>
      <c r="E52" s="555">
        <v>569</v>
      </c>
      <c r="F52" s="555">
        <v>635</v>
      </c>
      <c r="G52" s="556">
        <v>701</v>
      </c>
      <c r="H52" s="555">
        <v>447</v>
      </c>
      <c r="I52" s="555">
        <v>479</v>
      </c>
      <c r="J52" s="555">
        <v>574</v>
      </c>
      <c r="K52" s="555">
        <v>664</v>
      </c>
      <c r="L52" s="555">
        <v>741</v>
      </c>
      <c r="M52" s="556">
        <v>818</v>
      </c>
      <c r="N52" s="555">
        <v>511</v>
      </c>
      <c r="O52" s="555">
        <v>547</v>
      </c>
      <c r="P52" s="555">
        <v>657</v>
      </c>
      <c r="Q52" s="555">
        <v>759</v>
      </c>
      <c r="R52" s="555">
        <v>847</v>
      </c>
      <c r="S52" s="556">
        <v>935</v>
      </c>
      <c r="T52" s="555">
        <v>574</v>
      </c>
      <c r="U52" s="555">
        <v>615</v>
      </c>
      <c r="V52" s="555">
        <v>739</v>
      </c>
      <c r="W52" s="555">
        <v>854</v>
      </c>
      <c r="X52" s="555">
        <v>952</v>
      </c>
      <c r="Y52" s="556">
        <v>1051</v>
      </c>
      <c r="Z52" s="557">
        <v>638</v>
      </c>
      <c r="AA52" s="557">
        <v>684</v>
      </c>
      <c r="AB52" s="557">
        <v>821</v>
      </c>
      <c r="AC52" s="557">
        <v>949</v>
      </c>
      <c r="AD52" s="557">
        <v>1058</v>
      </c>
      <c r="AE52" s="558">
        <v>1168</v>
      </c>
      <c r="AF52" s="555">
        <v>702</v>
      </c>
      <c r="AG52" s="555">
        <v>752</v>
      </c>
      <c r="AH52" s="555">
        <v>903</v>
      </c>
      <c r="AI52" s="555">
        <v>1044</v>
      </c>
      <c r="AJ52" s="555">
        <v>1164</v>
      </c>
      <c r="AK52" s="556">
        <v>1285</v>
      </c>
      <c r="AL52" s="555">
        <v>766</v>
      </c>
      <c r="AM52" s="555">
        <v>821</v>
      </c>
      <c r="AN52" s="555">
        <v>985</v>
      </c>
      <c r="AO52" s="555">
        <v>1139</v>
      </c>
      <c r="AP52" s="555">
        <v>1270</v>
      </c>
      <c r="AQ52" s="556">
        <v>1402</v>
      </c>
    </row>
    <row r="53" spans="1:43" s="519" customFormat="1">
      <c r="A53" s="518" t="s">
        <v>31</v>
      </c>
      <c r="B53" s="555">
        <v>280</v>
      </c>
      <c r="C53" s="555">
        <v>300</v>
      </c>
      <c r="D53" s="555">
        <v>360</v>
      </c>
      <c r="E53" s="555">
        <v>416</v>
      </c>
      <c r="F53" s="555">
        <v>465</v>
      </c>
      <c r="G53" s="556">
        <v>513</v>
      </c>
      <c r="H53" s="555">
        <v>327</v>
      </c>
      <c r="I53" s="555">
        <v>350</v>
      </c>
      <c r="J53" s="555">
        <v>420</v>
      </c>
      <c r="K53" s="555">
        <v>486</v>
      </c>
      <c r="L53" s="555">
        <v>542</v>
      </c>
      <c r="M53" s="556">
        <v>598</v>
      </c>
      <c r="N53" s="555">
        <v>374</v>
      </c>
      <c r="O53" s="555">
        <v>401</v>
      </c>
      <c r="P53" s="555">
        <v>481</v>
      </c>
      <c r="Q53" s="555">
        <v>555</v>
      </c>
      <c r="R53" s="555">
        <v>620</v>
      </c>
      <c r="S53" s="556">
        <v>684</v>
      </c>
      <c r="T53" s="555">
        <v>420</v>
      </c>
      <c r="U53" s="555">
        <v>451</v>
      </c>
      <c r="V53" s="555">
        <v>541</v>
      </c>
      <c r="W53" s="555">
        <v>624</v>
      </c>
      <c r="X53" s="555">
        <v>697</v>
      </c>
      <c r="Y53" s="556">
        <v>769</v>
      </c>
      <c r="Z53" s="557">
        <v>467</v>
      </c>
      <c r="AA53" s="557">
        <v>501</v>
      </c>
      <c r="AB53" s="557">
        <v>601</v>
      </c>
      <c r="AC53" s="557">
        <v>694</v>
      </c>
      <c r="AD53" s="557">
        <v>775</v>
      </c>
      <c r="AE53" s="558">
        <v>855</v>
      </c>
      <c r="AF53" s="555">
        <v>514</v>
      </c>
      <c r="AG53" s="555">
        <v>551</v>
      </c>
      <c r="AH53" s="555">
        <v>661</v>
      </c>
      <c r="AI53" s="555">
        <v>763</v>
      </c>
      <c r="AJ53" s="555">
        <v>852</v>
      </c>
      <c r="AK53" s="556">
        <v>940</v>
      </c>
      <c r="AL53" s="555">
        <v>561</v>
      </c>
      <c r="AM53" s="555">
        <v>601</v>
      </c>
      <c r="AN53" s="555">
        <v>721</v>
      </c>
      <c r="AO53" s="555">
        <v>833</v>
      </c>
      <c r="AP53" s="555">
        <v>930</v>
      </c>
      <c r="AQ53" s="556">
        <v>1026</v>
      </c>
    </row>
    <row r="54" spans="1:43">
      <c r="A54" s="518" t="s">
        <v>32</v>
      </c>
      <c r="B54" s="555">
        <v>383</v>
      </c>
      <c r="C54" s="555">
        <v>410</v>
      </c>
      <c r="D54" s="555">
        <v>492</v>
      </c>
      <c r="E54" s="555">
        <v>569</v>
      </c>
      <c r="F54" s="555">
        <v>635</v>
      </c>
      <c r="G54" s="556">
        <v>701</v>
      </c>
      <c r="H54" s="555">
        <v>447</v>
      </c>
      <c r="I54" s="555">
        <v>479</v>
      </c>
      <c r="J54" s="555">
        <v>574</v>
      </c>
      <c r="K54" s="555">
        <v>664</v>
      </c>
      <c r="L54" s="555">
        <v>741</v>
      </c>
      <c r="M54" s="556">
        <v>818</v>
      </c>
      <c r="N54" s="555">
        <v>511</v>
      </c>
      <c r="O54" s="555">
        <v>547</v>
      </c>
      <c r="P54" s="555">
        <v>657</v>
      </c>
      <c r="Q54" s="555">
        <v>759</v>
      </c>
      <c r="R54" s="555">
        <v>847</v>
      </c>
      <c r="S54" s="556">
        <v>935</v>
      </c>
      <c r="T54" s="555">
        <v>574</v>
      </c>
      <c r="U54" s="555">
        <v>615</v>
      </c>
      <c r="V54" s="555">
        <v>739</v>
      </c>
      <c r="W54" s="555">
        <v>854</v>
      </c>
      <c r="X54" s="555">
        <v>952</v>
      </c>
      <c r="Y54" s="556">
        <v>1051</v>
      </c>
      <c r="Z54" s="557">
        <v>638</v>
      </c>
      <c r="AA54" s="557">
        <v>684</v>
      </c>
      <c r="AB54" s="557">
        <v>821</v>
      </c>
      <c r="AC54" s="557">
        <v>949</v>
      </c>
      <c r="AD54" s="557">
        <v>1058</v>
      </c>
      <c r="AE54" s="558">
        <v>1168</v>
      </c>
      <c r="AF54" s="555">
        <v>702</v>
      </c>
      <c r="AG54" s="555">
        <v>752</v>
      </c>
      <c r="AH54" s="555">
        <v>903</v>
      </c>
      <c r="AI54" s="555">
        <v>1044</v>
      </c>
      <c r="AJ54" s="555">
        <v>1164</v>
      </c>
      <c r="AK54" s="556">
        <v>1285</v>
      </c>
      <c r="AL54" s="555">
        <v>766</v>
      </c>
      <c r="AM54" s="555">
        <v>821</v>
      </c>
      <c r="AN54" s="555">
        <v>985</v>
      </c>
      <c r="AO54" s="555">
        <v>1139</v>
      </c>
      <c r="AP54" s="555">
        <v>1270</v>
      </c>
      <c r="AQ54" s="556">
        <v>1402</v>
      </c>
    </row>
    <row r="55" spans="1:43">
      <c r="B55"/>
      <c r="C55"/>
      <c r="D55"/>
      <c r="E55"/>
      <c r="F55"/>
      <c r="G55"/>
      <c r="H55"/>
      <c r="I55"/>
      <c r="J55"/>
      <c r="K55"/>
      <c r="L55"/>
    </row>
    <row r="56" spans="1:43">
      <c r="A56" s="15"/>
      <c r="B56"/>
      <c r="C56"/>
      <c r="D56"/>
      <c r="E56"/>
      <c r="F56"/>
      <c r="G56"/>
      <c r="H56"/>
      <c r="I56"/>
      <c r="J56"/>
      <c r="K56"/>
      <c r="L56"/>
    </row>
    <row r="57" spans="1:43">
      <c r="A57" s="15"/>
    </row>
    <row r="58" spans="1:43">
      <c r="A58" s="15"/>
    </row>
    <row r="59" spans="1:43">
      <c r="A59" s="15"/>
    </row>
    <row r="60" spans="1:43">
      <c r="A60" s="15"/>
    </row>
    <row r="61" spans="1:43">
      <c r="A61" s="15"/>
    </row>
    <row r="62" spans="1:43">
      <c r="A62" s="15"/>
    </row>
    <row r="63" spans="1:43">
      <c r="A63" s="15"/>
    </row>
    <row r="64" spans="1:43">
      <c r="A64" s="15"/>
    </row>
    <row r="65" spans="1:1">
      <c r="A65" s="15"/>
    </row>
    <row r="66" spans="1:1">
      <c r="A66" s="15"/>
    </row>
    <row r="67" spans="1:1">
      <c r="A67" s="15"/>
    </row>
    <row r="68" spans="1:1">
      <c r="A68" s="15"/>
    </row>
    <row r="69" spans="1:1">
      <c r="A69" s="15"/>
    </row>
    <row r="70" spans="1:1">
      <c r="A70" s="15"/>
    </row>
    <row r="71" spans="1:1">
      <c r="A71" s="15"/>
    </row>
    <row r="72" spans="1:1">
      <c r="A72" s="15"/>
    </row>
    <row r="73" spans="1:1">
      <c r="A73" s="15"/>
    </row>
    <row r="74" spans="1:1">
      <c r="A74" s="15"/>
    </row>
    <row r="75" spans="1:1">
      <c r="A75" s="15"/>
    </row>
    <row r="76" spans="1:1">
      <c r="A76" s="15"/>
    </row>
    <row r="77" spans="1:1">
      <c r="A77" s="15"/>
    </row>
    <row r="78" spans="1:1">
      <c r="A78" s="15"/>
    </row>
    <row r="79" spans="1:1">
      <c r="A79" s="15"/>
    </row>
    <row r="80" spans="1:1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2">
      <c r="A97" s="15"/>
    </row>
    <row r="98" spans="1:12">
      <c r="A98" s="15"/>
    </row>
    <row r="99" spans="1:12">
      <c r="A99" s="15"/>
    </row>
    <row r="100" spans="1:12">
      <c r="A100" s="15"/>
    </row>
    <row r="101" spans="1:12">
      <c r="A101" s="15"/>
    </row>
    <row r="102" spans="1:12">
      <c r="A102" s="15"/>
    </row>
    <row r="103" spans="1:12">
      <c r="A103" s="15"/>
    </row>
    <row r="104" spans="1:12">
      <c r="A104" s="15"/>
      <c r="B104"/>
      <c r="C104"/>
      <c r="D104"/>
      <c r="E104"/>
      <c r="F104"/>
      <c r="G104"/>
      <c r="H104"/>
      <c r="I104"/>
      <c r="J104"/>
      <c r="K104"/>
      <c r="L104"/>
    </row>
    <row r="105" spans="1:12">
      <c r="A105" s="15"/>
      <c r="B105"/>
      <c r="C105"/>
      <c r="D105"/>
      <c r="E105"/>
      <c r="F105"/>
      <c r="G105"/>
      <c r="H105"/>
      <c r="I105"/>
      <c r="J105"/>
      <c r="K105"/>
      <c r="L105"/>
    </row>
    <row r="106" spans="1:12">
      <c r="A106" s="15"/>
      <c r="B106"/>
      <c r="C106"/>
      <c r="D106"/>
      <c r="E106"/>
      <c r="F106"/>
      <c r="G106"/>
      <c r="H106"/>
      <c r="I106"/>
      <c r="J106"/>
      <c r="K106"/>
      <c r="L106"/>
    </row>
    <row r="107" spans="1:12">
      <c r="A107" s="15"/>
    </row>
    <row r="108" spans="1:12">
      <c r="A108" s="15"/>
    </row>
    <row r="109" spans="1:12">
      <c r="A109" s="15"/>
    </row>
    <row r="110" spans="1:12">
      <c r="A110" s="15"/>
    </row>
    <row r="111" spans="1:12">
      <c r="A111" s="15"/>
    </row>
    <row r="112" spans="1:12">
      <c r="A112" s="15"/>
    </row>
    <row r="113" spans="1:1">
      <c r="A113" s="15"/>
    </row>
    <row r="114" spans="1:1">
      <c r="A114" s="15"/>
    </row>
    <row r="115" spans="1:1">
      <c r="A115" s="15"/>
    </row>
    <row r="116" spans="1:1">
      <c r="A116" s="15"/>
    </row>
    <row r="117" spans="1:1">
      <c r="A117" s="15"/>
    </row>
    <row r="118" spans="1:1">
      <c r="A118" s="15"/>
    </row>
    <row r="119" spans="1:1">
      <c r="A119" s="15"/>
    </row>
    <row r="120" spans="1:1">
      <c r="A120" s="15"/>
    </row>
    <row r="121" spans="1:1">
      <c r="A121" s="15"/>
    </row>
    <row r="122" spans="1:1">
      <c r="A122" s="15"/>
    </row>
    <row r="123" spans="1:1">
      <c r="A123" s="15"/>
    </row>
    <row r="124" spans="1:1">
      <c r="A124" s="15"/>
    </row>
    <row r="125" spans="1:1">
      <c r="A125" s="15"/>
    </row>
    <row r="126" spans="1:1">
      <c r="A126" s="15"/>
    </row>
    <row r="127" spans="1:1">
      <c r="A127" s="15"/>
    </row>
    <row r="128" spans="1:1">
      <c r="A128" s="15"/>
    </row>
    <row r="129" spans="1:1">
      <c r="A129" s="15"/>
    </row>
    <row r="130" spans="1:1">
      <c r="A130" s="15"/>
    </row>
    <row r="131" spans="1:1">
      <c r="A131" s="15"/>
    </row>
    <row r="132" spans="1:1">
      <c r="A132" s="15"/>
    </row>
    <row r="133" spans="1:1">
      <c r="A133" s="15"/>
    </row>
    <row r="134" spans="1:1">
      <c r="A134" s="15"/>
    </row>
    <row r="135" spans="1:1">
      <c r="A135" s="15"/>
    </row>
    <row r="136" spans="1:1">
      <c r="A136" s="15"/>
    </row>
    <row r="137" spans="1:1">
      <c r="A137" s="15"/>
    </row>
    <row r="138" spans="1:1">
      <c r="A138" s="15"/>
    </row>
    <row r="139" spans="1:1">
      <c r="A139" s="15"/>
    </row>
    <row r="140" spans="1:1">
      <c r="A140" s="15"/>
    </row>
    <row r="141" spans="1:1">
      <c r="A141" s="15"/>
    </row>
    <row r="142" spans="1:1">
      <c r="A142" s="15"/>
    </row>
    <row r="143" spans="1:1">
      <c r="A143" s="15"/>
    </row>
    <row r="144" spans="1:1">
      <c r="A144" s="15"/>
    </row>
    <row r="145" spans="1:12">
      <c r="A145" s="15"/>
    </row>
    <row r="146" spans="1:12">
      <c r="A146" s="15"/>
    </row>
    <row r="147" spans="1:12">
      <c r="A147" s="15"/>
    </row>
    <row r="148" spans="1:12">
      <c r="A148" s="15"/>
    </row>
    <row r="149" spans="1:12">
      <c r="A149" s="15"/>
    </row>
    <row r="150" spans="1:12">
      <c r="A150" s="15"/>
    </row>
    <row r="151" spans="1:12">
      <c r="A151" s="15"/>
    </row>
    <row r="152" spans="1:12">
      <c r="A152" s="15"/>
    </row>
    <row r="153" spans="1:12">
      <c r="A153" s="15"/>
    </row>
    <row r="154" spans="1:12">
      <c r="A154" s="15"/>
      <c r="B154"/>
      <c r="C154"/>
      <c r="D154"/>
      <c r="E154"/>
      <c r="F154"/>
      <c r="G154"/>
      <c r="H154"/>
      <c r="I154"/>
      <c r="J154"/>
      <c r="K154"/>
      <c r="L154"/>
    </row>
    <row r="155" spans="1:12">
      <c r="A155" s="15"/>
      <c r="B155"/>
      <c r="C155"/>
      <c r="D155"/>
      <c r="E155"/>
      <c r="F155"/>
      <c r="G155"/>
      <c r="H155"/>
      <c r="I155"/>
      <c r="J155"/>
      <c r="K155"/>
      <c r="L155"/>
    </row>
    <row r="156" spans="1:12">
      <c r="A156" s="15"/>
    </row>
    <row r="157" spans="1:12">
      <c r="A157" s="15"/>
    </row>
    <row r="158" spans="1:12">
      <c r="A158" s="15"/>
    </row>
    <row r="159" spans="1:12">
      <c r="A159" s="15"/>
    </row>
    <row r="160" spans="1:12">
      <c r="A160" s="15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</sheetData>
  <sheetProtection sheet="1" formatCells="0" formatColumns="0" formatRows="0" insertColumns="0" insertRows="0" insertHyperlinks="0" deleteColumns="0" deleteRows="0" sort="0" autoFilter="0" pivotTables="0"/>
  <mergeCells count="3">
    <mergeCell ref="A1:H1"/>
    <mergeCell ref="A2:H2"/>
    <mergeCell ref="A3:H3"/>
  </mergeCells>
  <phoneticPr fontId="6" type="noConversion"/>
  <hyperlinks>
    <hyperlink ref="C13" r:id="rId1"/>
    <hyperlink ref="C14" r:id="rId2"/>
  </hyperlinks>
  <pageMargins left="0.75" right="0.75" top="1" bottom="1" header="0.5" footer="0.5"/>
  <pageSetup scale="28" firstPageNumber="16" orientation="landscape" useFirstPageNumber="1" r:id="rId3"/>
  <headerFooter alignWithMargins="0">
    <oddFooter>&amp;L2010 Funding Pro Forma  &amp;C7-&amp;P&amp;RUpdated 03/24/2010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Q218"/>
  <sheetViews>
    <sheetView workbookViewId="0">
      <selection activeCell="A2" sqref="A2"/>
    </sheetView>
  </sheetViews>
  <sheetFormatPr defaultColWidth="10.28515625" defaultRowHeight="12.75"/>
  <cols>
    <col min="1" max="1" width="14" style="491" customWidth="1"/>
    <col min="2" max="2" width="6.85546875" style="494" customWidth="1"/>
    <col min="3" max="10" width="8.28515625" style="491" customWidth="1"/>
    <col min="11" max="11" width="11.5703125" style="491" customWidth="1"/>
    <col min="12" max="15" width="8.28515625" style="491" customWidth="1"/>
    <col min="16" max="16384" width="10.28515625" style="491"/>
  </cols>
  <sheetData>
    <row r="1" spans="1:17" s="536" customFormat="1" ht="14.25">
      <c r="B1" s="537"/>
      <c r="C1" s="537"/>
      <c r="D1" s="537"/>
      <c r="E1" s="537"/>
      <c r="F1" s="537" t="s">
        <v>184</v>
      </c>
      <c r="G1" s="537"/>
      <c r="H1" s="537"/>
      <c r="I1" s="537"/>
      <c r="J1" s="537"/>
      <c r="K1" s="537"/>
      <c r="L1" s="538"/>
      <c r="M1" s="538"/>
      <c r="N1" s="538"/>
      <c r="O1" s="538"/>
    </row>
    <row r="2" spans="1:17" s="543" customFormat="1" ht="15.75">
      <c r="A2" s="539"/>
      <c r="B2" s="540"/>
      <c r="C2" s="540"/>
      <c r="D2" s="540"/>
      <c r="E2" s="540"/>
      <c r="F2" s="540" t="s">
        <v>586</v>
      </c>
      <c r="G2" s="540"/>
      <c r="H2" s="540"/>
      <c r="I2" s="540"/>
      <c r="J2" s="540"/>
      <c r="K2" s="540"/>
      <c r="L2" s="541"/>
      <c r="M2" s="542"/>
      <c r="N2" s="542"/>
      <c r="O2" s="542"/>
    </row>
    <row r="3" spans="1:17" s="543" customFormat="1" ht="15.75">
      <c r="B3" s="540"/>
      <c r="C3" s="540"/>
      <c r="D3" s="540"/>
      <c r="E3" s="540"/>
      <c r="F3" s="540" t="s">
        <v>578</v>
      </c>
      <c r="G3" s="540"/>
      <c r="H3" s="540"/>
      <c r="I3" s="540"/>
      <c r="J3" s="540"/>
      <c r="K3" s="540"/>
      <c r="L3" s="542"/>
      <c r="M3" s="542"/>
      <c r="N3" s="542"/>
      <c r="O3" s="542"/>
    </row>
    <row r="4" spans="1:17" ht="6.75" customHeight="1">
      <c r="A4" s="492"/>
      <c r="B4" s="493"/>
    </row>
    <row r="5" spans="1:17">
      <c r="B5" s="491" t="s">
        <v>517</v>
      </c>
      <c r="Q5" s="544"/>
    </row>
    <row r="6" spans="1:17">
      <c r="B6" s="491" t="s">
        <v>587</v>
      </c>
    </row>
    <row r="7" spans="1:17">
      <c r="B7" s="491" t="s">
        <v>518</v>
      </c>
    </row>
    <row r="8" spans="1:17" ht="7.5" customHeight="1">
      <c r="B8" s="491"/>
    </row>
    <row r="9" spans="1:17">
      <c r="B9" s="491" t="s">
        <v>542</v>
      </c>
    </row>
    <row r="10" spans="1:17">
      <c r="B10" s="491" t="s">
        <v>543</v>
      </c>
    </row>
    <row r="11" spans="1:17">
      <c r="A11" s="545" t="s">
        <v>544</v>
      </c>
      <c r="B11" s="505" t="s">
        <v>588</v>
      </c>
    </row>
    <row r="12" spans="1:17">
      <c r="A12" s="545" t="s">
        <v>545</v>
      </c>
      <c r="B12" s="505" t="s">
        <v>589</v>
      </c>
      <c r="K12" s="546"/>
    </row>
    <row r="13" spans="1:17" ht="9" customHeight="1"/>
    <row r="14" spans="1:17">
      <c r="A14" s="495" t="s">
        <v>186</v>
      </c>
      <c r="B14" s="496" t="s">
        <v>187</v>
      </c>
      <c r="C14" s="495" t="s">
        <v>33</v>
      </c>
      <c r="D14" s="495" t="s">
        <v>34</v>
      </c>
      <c r="E14" s="495" t="s">
        <v>35</v>
      </c>
      <c r="F14" s="495" t="s">
        <v>36</v>
      </c>
      <c r="G14" s="495" t="s">
        <v>37</v>
      </c>
      <c r="H14" s="495" t="s">
        <v>38</v>
      </c>
      <c r="I14" s="495" t="s">
        <v>188</v>
      </c>
      <c r="J14" s="495" t="s">
        <v>189</v>
      </c>
      <c r="K14" s="497"/>
    </row>
    <row r="15" spans="1:17">
      <c r="A15" s="498"/>
      <c r="B15" s="486"/>
      <c r="C15" s="487"/>
      <c r="D15" s="487"/>
      <c r="E15" s="487"/>
      <c r="F15" s="487"/>
      <c r="G15" s="487"/>
      <c r="H15" s="487"/>
      <c r="I15" s="487"/>
      <c r="J15" s="487"/>
      <c r="K15" s="488"/>
      <c r="L15" s="492"/>
      <c r="M15" s="492"/>
      <c r="N15" s="492"/>
      <c r="O15" s="492"/>
    </row>
    <row r="16" spans="1:17">
      <c r="A16" s="521" t="s">
        <v>67</v>
      </c>
      <c r="B16" s="490">
        <v>0.3</v>
      </c>
      <c r="C16" s="499">
        <f>+C18*0.6</f>
        <v>13950</v>
      </c>
      <c r="D16" s="499">
        <f t="shared" ref="D16:J16" si="0">+D18*0.6</f>
        <v>15960</v>
      </c>
      <c r="E16" s="499">
        <f t="shared" si="0"/>
        <v>17940</v>
      </c>
      <c r="F16" s="499">
        <f t="shared" si="0"/>
        <v>19920</v>
      </c>
      <c r="G16" s="499">
        <f t="shared" si="0"/>
        <v>21540</v>
      </c>
      <c r="H16" s="499">
        <f t="shared" si="0"/>
        <v>23130</v>
      </c>
      <c r="I16" s="499">
        <f t="shared" si="0"/>
        <v>24720</v>
      </c>
      <c r="J16" s="499">
        <f t="shared" si="0"/>
        <v>26310</v>
      </c>
      <c r="K16" s="547"/>
    </row>
    <row r="17" spans="1:15">
      <c r="A17" s="489"/>
      <c r="B17" s="490">
        <v>0.4</v>
      </c>
      <c r="C17" s="499">
        <f>+C18*0.8</f>
        <v>18600</v>
      </c>
      <c r="D17" s="499">
        <f t="shared" ref="D17:J17" si="1">+D18*0.8</f>
        <v>21280</v>
      </c>
      <c r="E17" s="499">
        <f t="shared" si="1"/>
        <v>23920</v>
      </c>
      <c r="F17" s="499">
        <f t="shared" si="1"/>
        <v>26560</v>
      </c>
      <c r="G17" s="499">
        <f t="shared" si="1"/>
        <v>28720</v>
      </c>
      <c r="H17" s="499">
        <f t="shared" si="1"/>
        <v>30840</v>
      </c>
      <c r="I17" s="499">
        <f t="shared" si="1"/>
        <v>32960</v>
      </c>
      <c r="J17" s="499">
        <f t="shared" si="1"/>
        <v>35080</v>
      </c>
      <c r="K17" s="500"/>
      <c r="L17" s="501"/>
      <c r="M17" s="501"/>
      <c r="N17" s="501"/>
      <c r="O17" s="501"/>
    </row>
    <row r="18" spans="1:15">
      <c r="A18" s="489"/>
      <c r="B18" s="490">
        <v>0.5</v>
      </c>
      <c r="C18" s="523">
        <v>23250</v>
      </c>
      <c r="D18" s="523">
        <v>26600</v>
      </c>
      <c r="E18" s="523">
        <v>29900</v>
      </c>
      <c r="F18" s="523">
        <v>33200</v>
      </c>
      <c r="G18" s="523">
        <v>35900</v>
      </c>
      <c r="H18" s="523">
        <v>38550</v>
      </c>
      <c r="I18" s="523">
        <v>41200</v>
      </c>
      <c r="J18" s="523">
        <v>43850</v>
      </c>
      <c r="K18" s="547"/>
      <c r="L18" s="501"/>
      <c r="M18" s="501"/>
      <c r="N18" s="501"/>
      <c r="O18" s="501"/>
    </row>
    <row r="19" spans="1:15">
      <c r="A19" s="489"/>
      <c r="B19" s="490">
        <v>0.6</v>
      </c>
      <c r="C19" s="499">
        <f>+C18*1.2</f>
        <v>27900</v>
      </c>
      <c r="D19" s="499">
        <f t="shared" ref="D19:J19" si="2">+D18*1.2</f>
        <v>31920</v>
      </c>
      <c r="E19" s="499">
        <f t="shared" si="2"/>
        <v>35880</v>
      </c>
      <c r="F19" s="499">
        <f t="shared" si="2"/>
        <v>39840</v>
      </c>
      <c r="G19" s="499">
        <f t="shared" si="2"/>
        <v>43080</v>
      </c>
      <c r="H19" s="499">
        <f t="shared" si="2"/>
        <v>46260</v>
      </c>
      <c r="I19" s="499">
        <f t="shared" si="2"/>
        <v>49440</v>
      </c>
      <c r="J19" s="499">
        <f t="shared" si="2"/>
        <v>52620</v>
      </c>
      <c r="K19" s="500"/>
      <c r="L19" s="501"/>
      <c r="M19" s="501"/>
      <c r="N19" s="501"/>
      <c r="O19" s="501"/>
    </row>
    <row r="20" spans="1:15">
      <c r="A20" s="489"/>
      <c r="B20" s="490">
        <v>0.8</v>
      </c>
      <c r="C20" s="499">
        <f>+C18*1.6</f>
        <v>37200</v>
      </c>
      <c r="D20" s="499">
        <f t="shared" ref="D20:J20" si="3">+D18*1.6</f>
        <v>42560</v>
      </c>
      <c r="E20" s="499">
        <f t="shared" si="3"/>
        <v>47840</v>
      </c>
      <c r="F20" s="499">
        <f t="shared" si="3"/>
        <v>53120</v>
      </c>
      <c r="G20" s="499">
        <f t="shared" si="3"/>
        <v>57440</v>
      </c>
      <c r="H20" s="499">
        <f t="shared" si="3"/>
        <v>61680</v>
      </c>
      <c r="I20" s="499">
        <f t="shared" si="3"/>
        <v>65920</v>
      </c>
      <c r="J20" s="499">
        <f t="shared" si="3"/>
        <v>70160</v>
      </c>
      <c r="K20" s="547"/>
      <c r="L20" s="501"/>
      <c r="M20" s="501"/>
      <c r="N20" s="501"/>
      <c r="O20" s="501"/>
    </row>
    <row r="21" spans="1:15">
      <c r="A21" s="489"/>
      <c r="B21" s="502"/>
      <c r="C21" s="499"/>
      <c r="D21" s="499"/>
      <c r="E21" s="499"/>
      <c r="F21" s="499"/>
      <c r="G21" s="499"/>
      <c r="H21" s="499"/>
      <c r="I21" s="499"/>
      <c r="J21" s="499"/>
      <c r="K21" s="547"/>
      <c r="L21" s="501"/>
      <c r="M21" s="501"/>
      <c r="N21" s="501"/>
      <c r="O21" s="501"/>
    </row>
    <row r="22" spans="1:15">
      <c r="A22" s="521" t="s">
        <v>190</v>
      </c>
      <c r="B22" s="490">
        <v>0.3</v>
      </c>
      <c r="C22" s="548">
        <f>+C24*0.6</f>
        <v>15600</v>
      </c>
      <c r="D22" s="548">
        <f t="shared" ref="D22:J22" si="4">+D24*0.6</f>
        <v>17820</v>
      </c>
      <c r="E22" s="548">
        <f t="shared" si="4"/>
        <v>20040</v>
      </c>
      <c r="F22" s="548">
        <f t="shared" si="4"/>
        <v>22260</v>
      </c>
      <c r="G22" s="548">
        <f t="shared" si="4"/>
        <v>24060</v>
      </c>
      <c r="H22" s="548">
        <f t="shared" si="4"/>
        <v>25830</v>
      </c>
      <c r="I22" s="548">
        <f t="shared" si="4"/>
        <v>27630</v>
      </c>
      <c r="J22" s="548">
        <f t="shared" si="4"/>
        <v>29400</v>
      </c>
      <c r="K22" s="547"/>
    </row>
    <row r="23" spans="1:15">
      <c r="A23" s="489"/>
      <c r="B23" s="490">
        <v>0.4</v>
      </c>
      <c r="C23" s="499">
        <f>+C24*0.8</f>
        <v>20800</v>
      </c>
      <c r="D23" s="499">
        <f t="shared" ref="D23:J23" si="5">+D24*0.8</f>
        <v>23760</v>
      </c>
      <c r="E23" s="499">
        <f t="shared" si="5"/>
        <v>26720</v>
      </c>
      <c r="F23" s="499">
        <f t="shared" si="5"/>
        <v>29680</v>
      </c>
      <c r="G23" s="499">
        <f t="shared" si="5"/>
        <v>32080</v>
      </c>
      <c r="H23" s="499">
        <f t="shared" si="5"/>
        <v>34440</v>
      </c>
      <c r="I23" s="499">
        <f t="shared" si="5"/>
        <v>36840</v>
      </c>
      <c r="J23" s="499">
        <f t="shared" si="5"/>
        <v>39200</v>
      </c>
      <c r="K23" s="547"/>
      <c r="L23" s="501"/>
      <c r="M23" s="501"/>
      <c r="N23" s="501"/>
      <c r="O23" s="501"/>
    </row>
    <row r="24" spans="1:15">
      <c r="A24" s="489"/>
      <c r="B24" s="490">
        <v>0.5</v>
      </c>
      <c r="C24" s="523">
        <v>26000</v>
      </c>
      <c r="D24" s="523">
        <v>29700</v>
      </c>
      <c r="E24" s="523">
        <v>33400</v>
      </c>
      <c r="F24" s="523">
        <v>37100</v>
      </c>
      <c r="G24" s="523">
        <v>40100</v>
      </c>
      <c r="H24" s="523">
        <v>43050</v>
      </c>
      <c r="I24" s="523">
        <v>46050</v>
      </c>
      <c r="J24" s="523">
        <v>49000</v>
      </c>
      <c r="K24" s="547"/>
      <c r="L24" s="501"/>
      <c r="M24" s="501"/>
      <c r="N24" s="501"/>
      <c r="O24" s="501"/>
    </row>
    <row r="25" spans="1:15">
      <c r="A25" s="489"/>
      <c r="B25" s="490">
        <v>0.6</v>
      </c>
      <c r="C25" s="499">
        <f>+C24*1.2</f>
        <v>31200</v>
      </c>
      <c r="D25" s="499">
        <f t="shared" ref="D25:J25" si="6">+D24*1.2</f>
        <v>35640</v>
      </c>
      <c r="E25" s="499">
        <f t="shared" si="6"/>
        <v>40080</v>
      </c>
      <c r="F25" s="499">
        <f t="shared" si="6"/>
        <v>44520</v>
      </c>
      <c r="G25" s="499">
        <f t="shared" si="6"/>
        <v>48120</v>
      </c>
      <c r="H25" s="499">
        <f t="shared" si="6"/>
        <v>51660</v>
      </c>
      <c r="I25" s="499">
        <f t="shared" si="6"/>
        <v>55260</v>
      </c>
      <c r="J25" s="499">
        <f t="shared" si="6"/>
        <v>58800</v>
      </c>
      <c r="K25" s="547"/>
      <c r="L25" s="501"/>
      <c r="M25" s="501"/>
      <c r="N25" s="501"/>
      <c r="O25" s="501"/>
    </row>
    <row r="26" spans="1:15">
      <c r="A26" s="489"/>
      <c r="B26" s="490">
        <v>0.8</v>
      </c>
      <c r="C26" s="499">
        <f>+C24*1.6</f>
        <v>41600</v>
      </c>
      <c r="D26" s="499">
        <f t="shared" ref="D26:J26" si="7">+D24*1.6</f>
        <v>47520</v>
      </c>
      <c r="E26" s="499">
        <f t="shared" si="7"/>
        <v>53440</v>
      </c>
      <c r="F26" s="499">
        <f t="shared" si="7"/>
        <v>59360</v>
      </c>
      <c r="G26" s="499">
        <f t="shared" si="7"/>
        <v>64160</v>
      </c>
      <c r="H26" s="499">
        <f t="shared" si="7"/>
        <v>68880</v>
      </c>
      <c r="I26" s="499">
        <f t="shared" si="7"/>
        <v>73680</v>
      </c>
      <c r="J26" s="499">
        <f t="shared" si="7"/>
        <v>78400</v>
      </c>
      <c r="K26" s="547"/>
      <c r="L26" s="501"/>
      <c r="M26" s="501"/>
      <c r="N26" s="501"/>
      <c r="O26" s="501"/>
    </row>
    <row r="27" spans="1:15">
      <c r="A27" s="489"/>
      <c r="B27" s="502"/>
      <c r="C27" s="499"/>
      <c r="D27" s="499"/>
      <c r="E27" s="499"/>
      <c r="F27" s="499"/>
      <c r="G27" s="499"/>
      <c r="H27" s="499"/>
      <c r="I27" s="499"/>
      <c r="J27" s="499"/>
      <c r="K27" s="547"/>
      <c r="L27" s="501"/>
      <c r="M27" s="501"/>
      <c r="N27" s="501"/>
      <c r="O27" s="501"/>
    </row>
    <row r="28" spans="1:15">
      <c r="A28" s="521" t="s">
        <v>286</v>
      </c>
      <c r="B28" s="490">
        <v>0.3</v>
      </c>
      <c r="C28" s="499">
        <f>+C30*0.6</f>
        <v>12450</v>
      </c>
      <c r="D28" s="499">
        <f t="shared" ref="D28:J28" si="8">+D30*0.6</f>
        <v>14220</v>
      </c>
      <c r="E28" s="499">
        <f t="shared" si="8"/>
        <v>15990</v>
      </c>
      <c r="F28" s="499">
        <f t="shared" si="8"/>
        <v>17760</v>
      </c>
      <c r="G28" s="499">
        <f t="shared" si="8"/>
        <v>19200</v>
      </c>
      <c r="H28" s="499">
        <f t="shared" si="8"/>
        <v>20610</v>
      </c>
      <c r="I28" s="499">
        <f t="shared" si="8"/>
        <v>22050</v>
      </c>
      <c r="J28" s="499">
        <f t="shared" si="8"/>
        <v>23460</v>
      </c>
      <c r="K28" s="547"/>
    </row>
    <row r="29" spans="1:15">
      <c r="A29" s="489"/>
      <c r="B29" s="490">
        <v>0.4</v>
      </c>
      <c r="C29" s="499">
        <f>+C30*0.8</f>
        <v>16600</v>
      </c>
      <c r="D29" s="499">
        <f t="shared" ref="D29:J29" si="9">+D30*0.8</f>
        <v>18960</v>
      </c>
      <c r="E29" s="499">
        <f t="shared" si="9"/>
        <v>21320</v>
      </c>
      <c r="F29" s="499">
        <f t="shared" si="9"/>
        <v>23680</v>
      </c>
      <c r="G29" s="499">
        <f t="shared" si="9"/>
        <v>25600</v>
      </c>
      <c r="H29" s="499">
        <f t="shared" si="9"/>
        <v>27480</v>
      </c>
      <c r="I29" s="499">
        <f t="shared" si="9"/>
        <v>29400</v>
      </c>
      <c r="J29" s="499">
        <f t="shared" si="9"/>
        <v>31280</v>
      </c>
      <c r="K29" s="547"/>
      <c r="L29" s="501"/>
      <c r="M29" s="501"/>
      <c r="N29" s="501"/>
      <c r="O29" s="501"/>
    </row>
    <row r="30" spans="1:15">
      <c r="A30" s="489"/>
      <c r="B30" s="490">
        <v>0.5</v>
      </c>
      <c r="C30" s="523">
        <v>20750</v>
      </c>
      <c r="D30" s="523">
        <v>23700</v>
      </c>
      <c r="E30" s="523">
        <v>26650</v>
      </c>
      <c r="F30" s="523">
        <v>29600</v>
      </c>
      <c r="G30" s="523">
        <v>32000</v>
      </c>
      <c r="H30" s="523">
        <v>34350</v>
      </c>
      <c r="I30" s="523">
        <v>36750</v>
      </c>
      <c r="J30" s="523">
        <v>39100</v>
      </c>
      <c r="K30" s="547"/>
      <c r="L30" s="501"/>
      <c r="M30" s="501"/>
      <c r="N30" s="501"/>
      <c r="O30" s="501"/>
    </row>
    <row r="31" spans="1:15">
      <c r="A31" s="489"/>
      <c r="B31" s="490">
        <v>0.6</v>
      </c>
      <c r="C31" s="499">
        <f>+C30*1.2</f>
        <v>24900</v>
      </c>
      <c r="D31" s="499">
        <f t="shared" ref="D31:J31" si="10">+D30*1.2</f>
        <v>28440</v>
      </c>
      <c r="E31" s="499">
        <f t="shared" si="10"/>
        <v>31980</v>
      </c>
      <c r="F31" s="499">
        <f t="shared" si="10"/>
        <v>35520</v>
      </c>
      <c r="G31" s="499">
        <f t="shared" si="10"/>
        <v>38400</v>
      </c>
      <c r="H31" s="499">
        <f t="shared" si="10"/>
        <v>41220</v>
      </c>
      <c r="I31" s="499">
        <f t="shared" si="10"/>
        <v>44100</v>
      </c>
      <c r="J31" s="499">
        <f t="shared" si="10"/>
        <v>46920</v>
      </c>
      <c r="K31" s="547"/>
      <c r="L31" s="501"/>
      <c r="M31" s="501"/>
      <c r="N31" s="501"/>
      <c r="O31" s="501"/>
    </row>
    <row r="32" spans="1:15">
      <c r="A32" s="489"/>
      <c r="B32" s="490">
        <v>0.8</v>
      </c>
      <c r="C32" s="499">
        <f>+C30*1.6</f>
        <v>33200</v>
      </c>
      <c r="D32" s="499">
        <f t="shared" ref="D32:J32" si="11">+D30*1.6</f>
        <v>37920</v>
      </c>
      <c r="E32" s="499">
        <f t="shared" si="11"/>
        <v>42640</v>
      </c>
      <c r="F32" s="499">
        <f t="shared" si="11"/>
        <v>47360</v>
      </c>
      <c r="G32" s="499">
        <f t="shared" si="11"/>
        <v>51200</v>
      </c>
      <c r="H32" s="499">
        <f t="shared" si="11"/>
        <v>54960</v>
      </c>
      <c r="I32" s="499">
        <f t="shared" si="11"/>
        <v>58800</v>
      </c>
      <c r="J32" s="499">
        <f t="shared" si="11"/>
        <v>62560</v>
      </c>
      <c r="K32" s="547"/>
      <c r="L32" s="501"/>
      <c r="M32" s="501"/>
      <c r="N32" s="501"/>
      <c r="O32" s="501"/>
    </row>
    <row r="33" spans="1:15">
      <c r="A33" s="489"/>
      <c r="B33" s="502"/>
      <c r="C33" s="499"/>
      <c r="D33" s="499"/>
      <c r="E33" s="499"/>
      <c r="F33" s="499"/>
      <c r="G33" s="499"/>
      <c r="H33" s="499"/>
      <c r="I33" s="499"/>
      <c r="J33" s="499"/>
      <c r="K33" s="547"/>
      <c r="L33" s="501"/>
      <c r="M33" s="501"/>
      <c r="N33" s="501"/>
      <c r="O33" s="501"/>
    </row>
    <row r="34" spans="1:15">
      <c r="A34" s="521" t="s">
        <v>287</v>
      </c>
      <c r="B34" s="490">
        <v>0.3</v>
      </c>
      <c r="C34" s="499">
        <f>+C36*0.6</f>
        <v>12300</v>
      </c>
      <c r="D34" s="499">
        <f t="shared" ref="D34:J34" si="12">+D36*0.6</f>
        <v>14040</v>
      </c>
      <c r="E34" s="499">
        <f t="shared" si="12"/>
        <v>15810</v>
      </c>
      <c r="F34" s="499">
        <f t="shared" si="12"/>
        <v>17550</v>
      </c>
      <c r="G34" s="499">
        <f t="shared" si="12"/>
        <v>18960</v>
      </c>
      <c r="H34" s="499">
        <f t="shared" si="12"/>
        <v>20370</v>
      </c>
      <c r="I34" s="499">
        <f t="shared" si="12"/>
        <v>21780</v>
      </c>
      <c r="J34" s="499">
        <f t="shared" si="12"/>
        <v>23190</v>
      </c>
      <c r="K34" s="547"/>
    </row>
    <row r="35" spans="1:15">
      <c r="A35" s="489"/>
      <c r="B35" s="490">
        <v>0.4</v>
      </c>
      <c r="C35" s="499">
        <f>+C36*0.8</f>
        <v>16400</v>
      </c>
      <c r="D35" s="499">
        <f t="shared" ref="D35:J35" si="13">+D36*0.8</f>
        <v>18720</v>
      </c>
      <c r="E35" s="499">
        <f t="shared" si="13"/>
        <v>21080</v>
      </c>
      <c r="F35" s="499">
        <f t="shared" si="13"/>
        <v>23400</v>
      </c>
      <c r="G35" s="499">
        <f t="shared" si="13"/>
        <v>25280</v>
      </c>
      <c r="H35" s="499">
        <f t="shared" si="13"/>
        <v>27160</v>
      </c>
      <c r="I35" s="499">
        <f t="shared" si="13"/>
        <v>29040</v>
      </c>
      <c r="J35" s="499">
        <f t="shared" si="13"/>
        <v>30920</v>
      </c>
      <c r="K35" s="547"/>
      <c r="L35" s="501"/>
      <c r="M35" s="501"/>
      <c r="N35" s="501"/>
      <c r="O35" s="501"/>
    </row>
    <row r="36" spans="1:15">
      <c r="A36" s="489"/>
      <c r="B36" s="490">
        <v>0.5</v>
      </c>
      <c r="C36" s="523">
        <v>20500</v>
      </c>
      <c r="D36" s="523">
        <v>23400</v>
      </c>
      <c r="E36" s="523">
        <v>26350</v>
      </c>
      <c r="F36" s="523">
        <v>29250</v>
      </c>
      <c r="G36" s="523">
        <v>31600</v>
      </c>
      <c r="H36" s="523">
        <v>33950</v>
      </c>
      <c r="I36" s="523">
        <v>36300</v>
      </c>
      <c r="J36" s="523">
        <v>38650</v>
      </c>
      <c r="K36" s="547"/>
      <c r="L36" s="501"/>
      <c r="M36" s="501"/>
      <c r="N36" s="501"/>
      <c r="O36" s="501"/>
    </row>
    <row r="37" spans="1:15">
      <c r="A37" s="489"/>
      <c r="B37" s="490">
        <v>0.6</v>
      </c>
      <c r="C37" s="499">
        <f>+C36*1.2</f>
        <v>24600</v>
      </c>
      <c r="D37" s="499">
        <f t="shared" ref="D37:J37" si="14">+D36*1.2</f>
        <v>28080</v>
      </c>
      <c r="E37" s="499">
        <f t="shared" si="14"/>
        <v>31620</v>
      </c>
      <c r="F37" s="499">
        <f t="shared" si="14"/>
        <v>35100</v>
      </c>
      <c r="G37" s="499">
        <f t="shared" si="14"/>
        <v>37920</v>
      </c>
      <c r="H37" s="499">
        <f t="shared" si="14"/>
        <v>40740</v>
      </c>
      <c r="I37" s="499">
        <f t="shared" si="14"/>
        <v>43560</v>
      </c>
      <c r="J37" s="499">
        <f t="shared" si="14"/>
        <v>46380</v>
      </c>
      <c r="K37" s="547"/>
      <c r="L37" s="501"/>
      <c r="M37" s="501"/>
      <c r="N37" s="501"/>
      <c r="O37" s="501"/>
    </row>
    <row r="38" spans="1:15">
      <c r="A38" s="489"/>
      <c r="B38" s="490">
        <v>0.8</v>
      </c>
      <c r="C38" s="499">
        <f>+C36*1.6</f>
        <v>32800</v>
      </c>
      <c r="D38" s="499">
        <f t="shared" ref="D38:J38" si="15">+D36*1.6</f>
        <v>37440</v>
      </c>
      <c r="E38" s="499">
        <f t="shared" si="15"/>
        <v>42160</v>
      </c>
      <c r="F38" s="499">
        <f t="shared" si="15"/>
        <v>46800</v>
      </c>
      <c r="G38" s="499">
        <f t="shared" si="15"/>
        <v>50560</v>
      </c>
      <c r="H38" s="499">
        <f t="shared" si="15"/>
        <v>54320</v>
      </c>
      <c r="I38" s="499">
        <f t="shared" si="15"/>
        <v>58080</v>
      </c>
      <c r="J38" s="499">
        <f t="shared" si="15"/>
        <v>61840</v>
      </c>
      <c r="K38" s="547"/>
      <c r="L38" s="501"/>
      <c r="M38" s="501"/>
      <c r="N38" s="501"/>
      <c r="O38" s="501"/>
    </row>
    <row r="39" spans="1:15">
      <c r="A39" s="489"/>
      <c r="B39" s="502"/>
      <c r="C39" s="499"/>
      <c r="D39" s="499"/>
      <c r="E39" s="499"/>
      <c r="F39" s="499"/>
      <c r="G39" s="499"/>
      <c r="H39" s="499"/>
      <c r="I39" s="499"/>
      <c r="J39" s="499"/>
      <c r="K39" s="547"/>
      <c r="L39" s="501"/>
      <c r="M39" s="501"/>
      <c r="N39" s="501"/>
      <c r="O39" s="501"/>
    </row>
    <row r="40" spans="1:15">
      <c r="A40" s="521" t="s">
        <v>288</v>
      </c>
      <c r="B40" s="490">
        <v>0.3</v>
      </c>
      <c r="C40" s="499">
        <f>+C42*0.6</f>
        <v>15330</v>
      </c>
      <c r="D40" s="499">
        <f t="shared" ref="D40:J40" si="16">+D42*0.6</f>
        <v>17520</v>
      </c>
      <c r="E40" s="499">
        <f t="shared" si="16"/>
        <v>19710</v>
      </c>
      <c r="F40" s="499">
        <f t="shared" si="16"/>
        <v>21900</v>
      </c>
      <c r="G40" s="499">
        <f t="shared" si="16"/>
        <v>23670</v>
      </c>
      <c r="H40" s="499">
        <f t="shared" si="16"/>
        <v>25410</v>
      </c>
      <c r="I40" s="499">
        <f t="shared" si="16"/>
        <v>27180</v>
      </c>
      <c r="J40" s="499">
        <f t="shared" si="16"/>
        <v>28920</v>
      </c>
      <c r="K40" s="547"/>
    </row>
    <row r="41" spans="1:15">
      <c r="A41" s="521" t="s">
        <v>57</v>
      </c>
      <c r="B41" s="490">
        <v>0.4</v>
      </c>
      <c r="C41" s="499">
        <f>+C42*0.8</f>
        <v>20440</v>
      </c>
      <c r="D41" s="499">
        <f t="shared" ref="D41:J41" si="17">+D42*0.8</f>
        <v>23360</v>
      </c>
      <c r="E41" s="499">
        <f t="shared" si="17"/>
        <v>26280</v>
      </c>
      <c r="F41" s="499">
        <f t="shared" si="17"/>
        <v>29200</v>
      </c>
      <c r="G41" s="499">
        <f t="shared" si="17"/>
        <v>31560</v>
      </c>
      <c r="H41" s="499">
        <f t="shared" si="17"/>
        <v>33880</v>
      </c>
      <c r="I41" s="499">
        <f t="shared" si="17"/>
        <v>36240</v>
      </c>
      <c r="J41" s="499">
        <f t="shared" si="17"/>
        <v>38560</v>
      </c>
      <c r="K41" s="547"/>
      <c r="L41" s="501"/>
      <c r="M41" s="501"/>
      <c r="N41" s="501"/>
      <c r="O41" s="501"/>
    </row>
    <row r="42" spans="1:15">
      <c r="A42" s="521" t="s">
        <v>58</v>
      </c>
      <c r="B42" s="490">
        <v>0.5</v>
      </c>
      <c r="C42" s="523">
        <v>25550</v>
      </c>
      <c r="D42" s="523">
        <v>29200</v>
      </c>
      <c r="E42" s="523">
        <v>32850</v>
      </c>
      <c r="F42" s="523">
        <v>36500</v>
      </c>
      <c r="G42" s="523">
        <v>39450</v>
      </c>
      <c r="H42" s="523">
        <v>42350</v>
      </c>
      <c r="I42" s="523">
        <v>45300</v>
      </c>
      <c r="J42" s="523">
        <v>48200</v>
      </c>
      <c r="K42" s="547"/>
      <c r="L42" s="501"/>
      <c r="M42" s="501"/>
      <c r="N42" s="501"/>
      <c r="O42" s="501"/>
    </row>
    <row r="43" spans="1:15">
      <c r="A43" s="521" t="s">
        <v>59</v>
      </c>
      <c r="B43" s="490">
        <v>0.6</v>
      </c>
      <c r="C43" s="499">
        <f>+C42*1.2</f>
        <v>30660</v>
      </c>
      <c r="D43" s="499">
        <f t="shared" ref="D43:J43" si="18">+D42*1.2</f>
        <v>35040</v>
      </c>
      <c r="E43" s="499">
        <f t="shared" si="18"/>
        <v>39420</v>
      </c>
      <c r="F43" s="499">
        <f t="shared" si="18"/>
        <v>43800</v>
      </c>
      <c r="G43" s="499">
        <f t="shared" si="18"/>
        <v>47340</v>
      </c>
      <c r="H43" s="499">
        <f t="shared" si="18"/>
        <v>50820</v>
      </c>
      <c r="I43" s="499">
        <f t="shared" si="18"/>
        <v>54360</v>
      </c>
      <c r="J43" s="499">
        <f t="shared" si="18"/>
        <v>57840</v>
      </c>
      <c r="K43" s="547"/>
      <c r="L43" s="501"/>
      <c r="M43" s="501"/>
      <c r="N43" s="501"/>
      <c r="O43" s="501"/>
    </row>
    <row r="44" spans="1:15">
      <c r="A44" s="521" t="s">
        <v>60</v>
      </c>
      <c r="B44" s="490">
        <v>0.8</v>
      </c>
      <c r="C44" s="499">
        <f>+C42*1.6</f>
        <v>40880</v>
      </c>
      <c r="D44" s="499">
        <f t="shared" ref="D44:J44" si="19">+D42*1.6</f>
        <v>46720</v>
      </c>
      <c r="E44" s="499">
        <f t="shared" si="19"/>
        <v>52560</v>
      </c>
      <c r="F44" s="499">
        <f t="shared" si="19"/>
        <v>58400</v>
      </c>
      <c r="G44" s="499">
        <f t="shared" si="19"/>
        <v>63120</v>
      </c>
      <c r="H44" s="499">
        <f t="shared" si="19"/>
        <v>67760</v>
      </c>
      <c r="I44" s="499">
        <f t="shared" si="19"/>
        <v>72480</v>
      </c>
      <c r="J44" s="499">
        <f t="shared" si="19"/>
        <v>77120</v>
      </c>
      <c r="K44" s="547"/>
      <c r="L44" s="501"/>
      <c r="M44" s="501"/>
      <c r="N44" s="501"/>
      <c r="O44" s="501"/>
    </row>
    <row r="45" spans="1:15">
      <c r="A45" s="489"/>
      <c r="B45" s="502"/>
      <c r="C45" s="499"/>
      <c r="D45" s="499"/>
      <c r="E45" s="499"/>
      <c r="F45" s="499"/>
      <c r="G45" s="499"/>
      <c r="H45" s="499"/>
      <c r="I45" s="499"/>
      <c r="J45" s="499"/>
      <c r="K45" s="547"/>
      <c r="L45" s="501"/>
      <c r="M45" s="501"/>
      <c r="N45" s="501"/>
      <c r="O45" s="501"/>
    </row>
    <row r="46" spans="1:15">
      <c r="A46" s="521" t="s">
        <v>61</v>
      </c>
      <c r="B46" s="490">
        <v>0.3</v>
      </c>
      <c r="C46" s="499">
        <f>+C48*0.6</f>
        <v>12600</v>
      </c>
      <c r="D46" s="499">
        <f t="shared" ref="D46:J46" si="20">+D48*0.6</f>
        <v>14400</v>
      </c>
      <c r="E46" s="499">
        <f t="shared" si="20"/>
        <v>16200</v>
      </c>
      <c r="F46" s="499">
        <f t="shared" si="20"/>
        <v>18000</v>
      </c>
      <c r="G46" s="499">
        <f t="shared" si="20"/>
        <v>19440</v>
      </c>
      <c r="H46" s="499">
        <f t="shared" si="20"/>
        <v>20880</v>
      </c>
      <c r="I46" s="499">
        <f t="shared" si="20"/>
        <v>22320</v>
      </c>
      <c r="J46" s="499">
        <f t="shared" si="20"/>
        <v>23760</v>
      </c>
      <c r="K46" s="547"/>
    </row>
    <row r="47" spans="1:15">
      <c r="A47" s="489"/>
      <c r="B47" s="490">
        <v>0.4</v>
      </c>
      <c r="C47" s="499">
        <f>+C48*0.8</f>
        <v>16800</v>
      </c>
      <c r="D47" s="499">
        <f t="shared" ref="D47:J47" si="21">+D48*0.8</f>
        <v>19200</v>
      </c>
      <c r="E47" s="499">
        <f t="shared" si="21"/>
        <v>21600</v>
      </c>
      <c r="F47" s="499">
        <f t="shared" si="21"/>
        <v>24000</v>
      </c>
      <c r="G47" s="499">
        <f t="shared" si="21"/>
        <v>25920</v>
      </c>
      <c r="H47" s="499">
        <f t="shared" si="21"/>
        <v>27840</v>
      </c>
      <c r="I47" s="499">
        <f t="shared" si="21"/>
        <v>29760</v>
      </c>
      <c r="J47" s="499">
        <f t="shared" si="21"/>
        <v>31680</v>
      </c>
      <c r="K47" s="547"/>
      <c r="L47" s="501"/>
      <c r="M47" s="501"/>
      <c r="N47" s="501"/>
      <c r="O47" s="501"/>
    </row>
    <row r="48" spans="1:15">
      <c r="A48" s="489"/>
      <c r="B48" s="490">
        <v>0.5</v>
      </c>
      <c r="C48" s="523">
        <v>21000</v>
      </c>
      <c r="D48" s="523">
        <v>24000</v>
      </c>
      <c r="E48" s="523">
        <v>27000</v>
      </c>
      <c r="F48" s="523">
        <v>30000</v>
      </c>
      <c r="G48" s="523">
        <v>32400</v>
      </c>
      <c r="H48" s="523">
        <v>34800</v>
      </c>
      <c r="I48" s="523">
        <v>37200</v>
      </c>
      <c r="J48" s="523">
        <v>39600</v>
      </c>
      <c r="K48" s="547"/>
      <c r="L48" s="501"/>
      <c r="M48" s="501"/>
      <c r="N48" s="501"/>
      <c r="O48" s="501"/>
    </row>
    <row r="49" spans="1:15">
      <c r="A49" s="489"/>
      <c r="B49" s="490">
        <v>0.6</v>
      </c>
      <c r="C49" s="499">
        <f>+C48*1.2</f>
        <v>25200</v>
      </c>
      <c r="D49" s="499">
        <f t="shared" ref="D49:J49" si="22">+D48*1.2</f>
        <v>28800</v>
      </c>
      <c r="E49" s="499">
        <f t="shared" si="22"/>
        <v>32400</v>
      </c>
      <c r="F49" s="499">
        <f t="shared" si="22"/>
        <v>36000</v>
      </c>
      <c r="G49" s="499">
        <f t="shared" si="22"/>
        <v>38880</v>
      </c>
      <c r="H49" s="499">
        <f t="shared" si="22"/>
        <v>41760</v>
      </c>
      <c r="I49" s="499">
        <f t="shared" si="22"/>
        <v>44640</v>
      </c>
      <c r="J49" s="499">
        <f t="shared" si="22"/>
        <v>47520</v>
      </c>
      <c r="K49" s="547"/>
      <c r="L49" s="501"/>
      <c r="M49" s="501"/>
      <c r="N49" s="501"/>
      <c r="O49" s="501"/>
    </row>
    <row r="50" spans="1:15">
      <c r="A50" s="489"/>
      <c r="B50" s="490">
        <v>0.8</v>
      </c>
      <c r="C50" s="499">
        <f>+C48*1.6</f>
        <v>33600</v>
      </c>
      <c r="D50" s="499">
        <f t="shared" ref="D50:J50" si="23">+D48*1.6</f>
        <v>38400</v>
      </c>
      <c r="E50" s="499">
        <f t="shared" si="23"/>
        <v>43200</v>
      </c>
      <c r="F50" s="499">
        <f t="shared" si="23"/>
        <v>48000</v>
      </c>
      <c r="G50" s="499">
        <f t="shared" si="23"/>
        <v>51840</v>
      </c>
      <c r="H50" s="499">
        <f t="shared" si="23"/>
        <v>55680</v>
      </c>
      <c r="I50" s="499">
        <f t="shared" si="23"/>
        <v>59520</v>
      </c>
      <c r="J50" s="499">
        <f t="shared" si="23"/>
        <v>63360</v>
      </c>
      <c r="K50" s="547"/>
      <c r="L50" s="501"/>
      <c r="M50" s="501"/>
      <c r="N50" s="501"/>
      <c r="O50" s="501"/>
    </row>
    <row r="51" spans="1:15">
      <c r="A51" s="489"/>
      <c r="B51" s="502"/>
      <c r="C51" s="499"/>
      <c r="D51" s="499"/>
      <c r="E51" s="499"/>
      <c r="F51" s="499"/>
      <c r="G51" s="499"/>
      <c r="H51" s="499"/>
      <c r="I51" s="499"/>
      <c r="J51" s="499"/>
      <c r="K51" s="547"/>
      <c r="L51" s="501"/>
      <c r="M51" s="501"/>
      <c r="N51" s="501"/>
      <c r="O51" s="501"/>
    </row>
    <row r="52" spans="1:15">
      <c r="A52" s="521" t="s">
        <v>62</v>
      </c>
      <c r="B52" s="490">
        <v>0.3</v>
      </c>
      <c r="C52" s="499">
        <f>+C54*0.6</f>
        <v>11220</v>
      </c>
      <c r="D52" s="499">
        <f t="shared" ref="D52:J52" si="24">+D54*0.6</f>
        <v>12840</v>
      </c>
      <c r="E52" s="499">
        <f t="shared" si="24"/>
        <v>14430</v>
      </c>
      <c r="F52" s="499">
        <f t="shared" si="24"/>
        <v>16020</v>
      </c>
      <c r="G52" s="499">
        <f t="shared" si="24"/>
        <v>17310</v>
      </c>
      <c r="H52" s="499">
        <f t="shared" si="24"/>
        <v>18600</v>
      </c>
      <c r="I52" s="499">
        <f t="shared" si="24"/>
        <v>19890</v>
      </c>
      <c r="J52" s="499">
        <f t="shared" si="24"/>
        <v>21150</v>
      </c>
      <c r="K52" s="547"/>
    </row>
    <row r="53" spans="1:15">
      <c r="A53" s="489"/>
      <c r="B53" s="490">
        <v>0.4</v>
      </c>
      <c r="C53" s="499">
        <f>+C54*0.8</f>
        <v>14960</v>
      </c>
      <c r="D53" s="499">
        <f t="shared" ref="D53:J53" si="25">+D54*0.8</f>
        <v>17120</v>
      </c>
      <c r="E53" s="499">
        <f t="shared" si="25"/>
        <v>19240</v>
      </c>
      <c r="F53" s="499">
        <f t="shared" si="25"/>
        <v>21360</v>
      </c>
      <c r="G53" s="499">
        <f t="shared" si="25"/>
        <v>23080</v>
      </c>
      <c r="H53" s="499">
        <f t="shared" si="25"/>
        <v>24800</v>
      </c>
      <c r="I53" s="499">
        <f t="shared" si="25"/>
        <v>26520</v>
      </c>
      <c r="J53" s="499">
        <f t="shared" si="25"/>
        <v>28200</v>
      </c>
      <c r="K53" s="547"/>
      <c r="L53" s="501"/>
      <c r="M53" s="501"/>
      <c r="N53" s="501"/>
      <c r="O53" s="501"/>
    </row>
    <row r="54" spans="1:15">
      <c r="A54" s="549"/>
      <c r="B54" s="490">
        <v>0.5</v>
      </c>
      <c r="C54" s="523">
        <v>18700</v>
      </c>
      <c r="D54" s="523">
        <v>21400</v>
      </c>
      <c r="E54" s="523">
        <v>24050</v>
      </c>
      <c r="F54" s="523">
        <v>26700</v>
      </c>
      <c r="G54" s="523">
        <v>28850</v>
      </c>
      <c r="H54" s="523">
        <v>31000</v>
      </c>
      <c r="I54" s="523">
        <v>33150</v>
      </c>
      <c r="J54" s="523">
        <v>35250</v>
      </c>
      <c r="K54" s="547"/>
      <c r="L54" s="501"/>
      <c r="M54" s="501"/>
      <c r="N54" s="501"/>
      <c r="O54" s="501"/>
    </row>
    <row r="55" spans="1:15">
      <c r="A55" s="489"/>
      <c r="B55" s="490">
        <v>0.6</v>
      </c>
      <c r="C55" s="499">
        <f>+C54*1.2</f>
        <v>22440</v>
      </c>
      <c r="D55" s="499">
        <f t="shared" ref="D55:J55" si="26">+D54*1.2</f>
        <v>25680</v>
      </c>
      <c r="E55" s="499">
        <f t="shared" si="26"/>
        <v>28860</v>
      </c>
      <c r="F55" s="499">
        <f t="shared" si="26"/>
        <v>32040</v>
      </c>
      <c r="G55" s="499">
        <f t="shared" si="26"/>
        <v>34620</v>
      </c>
      <c r="H55" s="499">
        <f t="shared" si="26"/>
        <v>37200</v>
      </c>
      <c r="I55" s="499">
        <f t="shared" si="26"/>
        <v>39780</v>
      </c>
      <c r="J55" s="499">
        <f t="shared" si="26"/>
        <v>42300</v>
      </c>
      <c r="K55" s="547"/>
      <c r="L55" s="501"/>
      <c r="M55" s="501"/>
      <c r="N55" s="501"/>
      <c r="O55" s="501"/>
    </row>
    <row r="56" spans="1:15">
      <c r="A56" s="489"/>
      <c r="B56" s="490">
        <v>0.8</v>
      </c>
      <c r="C56" s="499">
        <f>+C54*1.6</f>
        <v>29920</v>
      </c>
      <c r="D56" s="499">
        <f t="shared" ref="D56:J56" si="27">+D54*1.6</f>
        <v>34240</v>
      </c>
      <c r="E56" s="499">
        <f t="shared" si="27"/>
        <v>38480</v>
      </c>
      <c r="F56" s="499">
        <f t="shared" si="27"/>
        <v>42720</v>
      </c>
      <c r="G56" s="499">
        <f t="shared" si="27"/>
        <v>46160</v>
      </c>
      <c r="H56" s="499">
        <f t="shared" si="27"/>
        <v>49600</v>
      </c>
      <c r="I56" s="499">
        <f t="shared" si="27"/>
        <v>53040</v>
      </c>
      <c r="J56" s="499">
        <f t="shared" si="27"/>
        <v>56400</v>
      </c>
      <c r="K56" s="547"/>
      <c r="L56" s="501"/>
      <c r="M56" s="501"/>
      <c r="N56" s="501"/>
      <c r="O56" s="501"/>
    </row>
    <row r="57" spans="1:15">
      <c r="A57" s="550"/>
      <c r="B57" s="551"/>
      <c r="C57" s="552"/>
      <c r="D57" s="552"/>
      <c r="E57" s="552"/>
      <c r="F57" s="552"/>
      <c r="G57" s="552"/>
      <c r="H57" s="552"/>
      <c r="I57" s="552"/>
      <c r="J57" s="552"/>
      <c r="K57" s="547"/>
      <c r="L57" s="501"/>
      <c r="M57" s="501"/>
      <c r="N57" s="501"/>
      <c r="O57" s="501"/>
    </row>
    <row r="58" spans="1:15">
      <c r="A58" s="495" t="s">
        <v>186</v>
      </c>
      <c r="B58" s="496" t="s">
        <v>372</v>
      </c>
      <c r="C58" s="495" t="s">
        <v>33</v>
      </c>
      <c r="D58" s="495" t="s">
        <v>34</v>
      </c>
      <c r="E58" s="495" t="s">
        <v>35</v>
      </c>
      <c r="F58" s="495" t="s">
        <v>36</v>
      </c>
      <c r="G58" s="495" t="s">
        <v>37</v>
      </c>
      <c r="H58" s="495" t="s">
        <v>38</v>
      </c>
      <c r="I58" s="495" t="s">
        <v>188</v>
      </c>
      <c r="J58" s="495" t="s">
        <v>189</v>
      </c>
      <c r="K58" s="497"/>
      <c r="L58" s="501"/>
      <c r="M58" s="501"/>
      <c r="N58" s="501"/>
      <c r="O58" s="501"/>
    </row>
    <row r="59" spans="1:15">
      <c r="A59" s="498"/>
      <c r="B59" s="486"/>
      <c r="C59" s="553"/>
      <c r="D59" s="553"/>
      <c r="E59" s="553"/>
      <c r="F59" s="553"/>
      <c r="G59" s="553"/>
      <c r="H59" s="553"/>
      <c r="I59" s="553"/>
      <c r="J59" s="553"/>
      <c r="K59" s="547"/>
      <c r="L59" s="501"/>
      <c r="M59" s="501"/>
      <c r="N59" s="501"/>
      <c r="O59" s="501"/>
    </row>
    <row r="60" spans="1:15">
      <c r="A60" s="521" t="s">
        <v>63</v>
      </c>
      <c r="B60" s="490">
        <v>0.3</v>
      </c>
      <c r="C60" s="499">
        <f>+C62*0.6</f>
        <v>11910</v>
      </c>
      <c r="D60" s="499">
        <f t="shared" ref="D60:J60" si="28">+D62*0.6</f>
        <v>13620</v>
      </c>
      <c r="E60" s="499">
        <f t="shared" si="28"/>
        <v>15330</v>
      </c>
      <c r="F60" s="499">
        <f t="shared" si="28"/>
        <v>17010</v>
      </c>
      <c r="G60" s="499">
        <f t="shared" si="28"/>
        <v>18390</v>
      </c>
      <c r="H60" s="499">
        <f t="shared" si="28"/>
        <v>19740</v>
      </c>
      <c r="I60" s="499">
        <f t="shared" si="28"/>
        <v>21120</v>
      </c>
      <c r="J60" s="499">
        <f t="shared" si="28"/>
        <v>22470</v>
      </c>
      <c r="K60" s="547"/>
    </row>
    <row r="61" spans="1:15">
      <c r="A61" s="489"/>
      <c r="B61" s="490">
        <v>0.4</v>
      </c>
      <c r="C61" s="499">
        <f>+C62*0.8</f>
        <v>15880</v>
      </c>
      <c r="D61" s="499">
        <f t="shared" ref="D61:J61" si="29">+D62*0.8</f>
        <v>18160</v>
      </c>
      <c r="E61" s="499">
        <f t="shared" si="29"/>
        <v>20440</v>
      </c>
      <c r="F61" s="499">
        <f t="shared" si="29"/>
        <v>22680</v>
      </c>
      <c r="G61" s="499">
        <f t="shared" si="29"/>
        <v>24520</v>
      </c>
      <c r="H61" s="499">
        <f t="shared" si="29"/>
        <v>26320</v>
      </c>
      <c r="I61" s="499">
        <f t="shared" si="29"/>
        <v>28160</v>
      </c>
      <c r="J61" s="499">
        <f t="shared" si="29"/>
        <v>29960</v>
      </c>
      <c r="K61" s="547"/>
      <c r="L61" s="501"/>
      <c r="M61" s="501"/>
      <c r="N61" s="501"/>
      <c r="O61" s="501"/>
    </row>
    <row r="62" spans="1:15">
      <c r="A62" s="489"/>
      <c r="B62" s="490">
        <v>0.5</v>
      </c>
      <c r="C62" s="523">
        <v>19850</v>
      </c>
      <c r="D62" s="523">
        <v>22700</v>
      </c>
      <c r="E62" s="523">
        <v>25550</v>
      </c>
      <c r="F62" s="523">
        <v>28350</v>
      </c>
      <c r="G62" s="523">
        <v>30650</v>
      </c>
      <c r="H62" s="523">
        <v>32900</v>
      </c>
      <c r="I62" s="523">
        <v>35200</v>
      </c>
      <c r="J62" s="523">
        <v>37450</v>
      </c>
      <c r="K62" s="547"/>
      <c r="L62" s="501"/>
      <c r="M62" s="501"/>
      <c r="N62" s="501"/>
      <c r="O62" s="501"/>
    </row>
    <row r="63" spans="1:15">
      <c r="A63" s="489"/>
      <c r="B63" s="490">
        <v>0.6</v>
      </c>
      <c r="C63" s="499">
        <f>+C62*1.2</f>
        <v>23820</v>
      </c>
      <c r="D63" s="499">
        <f t="shared" ref="D63:J63" si="30">+D62*1.2</f>
        <v>27240</v>
      </c>
      <c r="E63" s="499">
        <f t="shared" si="30"/>
        <v>30660</v>
      </c>
      <c r="F63" s="499">
        <f t="shared" si="30"/>
        <v>34020</v>
      </c>
      <c r="G63" s="499">
        <f t="shared" si="30"/>
        <v>36780</v>
      </c>
      <c r="H63" s="499">
        <f t="shared" si="30"/>
        <v>39480</v>
      </c>
      <c r="I63" s="499">
        <f t="shared" si="30"/>
        <v>42240</v>
      </c>
      <c r="J63" s="499">
        <f t="shared" si="30"/>
        <v>44940</v>
      </c>
      <c r="K63" s="547"/>
      <c r="L63" s="501"/>
      <c r="M63" s="501"/>
      <c r="N63" s="501"/>
      <c r="O63" s="501"/>
    </row>
    <row r="64" spans="1:15">
      <c r="A64" s="489"/>
      <c r="B64" s="490">
        <v>0.8</v>
      </c>
      <c r="C64" s="499">
        <f>+C62*1.6</f>
        <v>31760</v>
      </c>
      <c r="D64" s="499">
        <f t="shared" ref="D64:J64" si="31">+D62*1.6</f>
        <v>36320</v>
      </c>
      <c r="E64" s="499">
        <f t="shared" si="31"/>
        <v>40880</v>
      </c>
      <c r="F64" s="499">
        <f t="shared" si="31"/>
        <v>45360</v>
      </c>
      <c r="G64" s="499">
        <f t="shared" si="31"/>
        <v>49040</v>
      </c>
      <c r="H64" s="499">
        <f t="shared" si="31"/>
        <v>52640</v>
      </c>
      <c r="I64" s="499">
        <f t="shared" si="31"/>
        <v>56320</v>
      </c>
      <c r="J64" s="499">
        <f t="shared" si="31"/>
        <v>59920</v>
      </c>
      <c r="K64" s="547"/>
      <c r="L64" s="501"/>
      <c r="M64" s="501"/>
      <c r="N64" s="501"/>
      <c r="O64" s="501"/>
    </row>
    <row r="65" spans="1:15">
      <c r="A65" s="489"/>
      <c r="B65" s="502"/>
      <c r="C65" s="489"/>
      <c r="D65" s="489"/>
      <c r="E65" s="489"/>
      <c r="F65" s="489"/>
      <c r="G65" s="489"/>
      <c r="H65" s="489"/>
      <c r="I65" s="489"/>
      <c r="J65" s="489"/>
      <c r="K65" s="497"/>
    </row>
    <row r="66" spans="1:15">
      <c r="A66" s="521" t="s">
        <v>64</v>
      </c>
      <c r="B66" s="490">
        <v>0.3</v>
      </c>
      <c r="C66" s="499">
        <f>+C68*0.6</f>
        <v>11220</v>
      </c>
      <c r="D66" s="499">
        <f t="shared" ref="D66:J66" si="32">+D68*0.6</f>
        <v>12840</v>
      </c>
      <c r="E66" s="499">
        <f t="shared" si="32"/>
        <v>14430</v>
      </c>
      <c r="F66" s="499">
        <f t="shared" si="32"/>
        <v>16020</v>
      </c>
      <c r="G66" s="499">
        <f t="shared" si="32"/>
        <v>17310</v>
      </c>
      <c r="H66" s="499">
        <f t="shared" si="32"/>
        <v>18600</v>
      </c>
      <c r="I66" s="499">
        <f t="shared" si="32"/>
        <v>19890</v>
      </c>
      <c r="J66" s="499">
        <f t="shared" si="32"/>
        <v>21150</v>
      </c>
      <c r="K66" s="547"/>
    </row>
    <row r="67" spans="1:15">
      <c r="A67" s="489"/>
      <c r="B67" s="490">
        <v>0.4</v>
      </c>
      <c r="C67" s="499">
        <f>+C68*0.8</f>
        <v>14960</v>
      </c>
      <c r="D67" s="499">
        <f t="shared" ref="D67:J67" si="33">+D68*0.8</f>
        <v>17120</v>
      </c>
      <c r="E67" s="499">
        <f t="shared" si="33"/>
        <v>19240</v>
      </c>
      <c r="F67" s="499">
        <f t="shared" si="33"/>
        <v>21360</v>
      </c>
      <c r="G67" s="499">
        <f t="shared" si="33"/>
        <v>23080</v>
      </c>
      <c r="H67" s="499">
        <f t="shared" si="33"/>
        <v>24800</v>
      </c>
      <c r="I67" s="499">
        <f t="shared" si="33"/>
        <v>26520</v>
      </c>
      <c r="J67" s="499">
        <f t="shared" si="33"/>
        <v>28200</v>
      </c>
      <c r="K67" s="547"/>
      <c r="L67" s="501"/>
      <c r="M67" s="501"/>
      <c r="N67" s="501"/>
      <c r="O67" s="501"/>
    </row>
    <row r="68" spans="1:15">
      <c r="A68" s="489"/>
      <c r="B68" s="490">
        <v>0.5</v>
      </c>
      <c r="C68" s="523">
        <v>18700</v>
      </c>
      <c r="D68" s="523">
        <v>21400</v>
      </c>
      <c r="E68" s="523">
        <v>24050</v>
      </c>
      <c r="F68" s="523">
        <v>26700</v>
      </c>
      <c r="G68" s="523">
        <v>28850</v>
      </c>
      <c r="H68" s="523">
        <v>31000</v>
      </c>
      <c r="I68" s="523">
        <v>33150</v>
      </c>
      <c r="J68" s="523">
        <v>35250</v>
      </c>
      <c r="K68" s="547"/>
      <c r="L68" s="501"/>
      <c r="M68" s="501"/>
      <c r="N68" s="501"/>
      <c r="O68" s="501"/>
    </row>
    <row r="69" spans="1:15">
      <c r="A69" s="489"/>
      <c r="B69" s="490">
        <v>0.6</v>
      </c>
      <c r="C69" s="499">
        <f>+C68*1.2</f>
        <v>22440</v>
      </c>
      <c r="D69" s="499">
        <f t="shared" ref="D69:J69" si="34">+D68*1.2</f>
        <v>25680</v>
      </c>
      <c r="E69" s="499">
        <f t="shared" si="34"/>
        <v>28860</v>
      </c>
      <c r="F69" s="499">
        <f t="shared" si="34"/>
        <v>32040</v>
      </c>
      <c r="G69" s="499">
        <f t="shared" si="34"/>
        <v>34620</v>
      </c>
      <c r="H69" s="499">
        <f t="shared" si="34"/>
        <v>37200</v>
      </c>
      <c r="I69" s="499">
        <f t="shared" si="34"/>
        <v>39780</v>
      </c>
      <c r="J69" s="499">
        <f t="shared" si="34"/>
        <v>42300</v>
      </c>
      <c r="K69" s="547"/>
      <c r="L69" s="501"/>
      <c r="M69" s="501"/>
      <c r="N69" s="501"/>
      <c r="O69" s="501"/>
    </row>
    <row r="70" spans="1:15">
      <c r="A70" s="489"/>
      <c r="B70" s="490">
        <v>0.8</v>
      </c>
      <c r="C70" s="499">
        <f>+C68*1.6</f>
        <v>29920</v>
      </c>
      <c r="D70" s="499">
        <f t="shared" ref="D70:J70" si="35">+D68*1.6</f>
        <v>34240</v>
      </c>
      <c r="E70" s="499">
        <f t="shared" si="35"/>
        <v>38480</v>
      </c>
      <c r="F70" s="499">
        <f t="shared" si="35"/>
        <v>42720</v>
      </c>
      <c r="G70" s="499">
        <f t="shared" si="35"/>
        <v>46160</v>
      </c>
      <c r="H70" s="499">
        <f t="shared" si="35"/>
        <v>49600</v>
      </c>
      <c r="I70" s="499">
        <f t="shared" si="35"/>
        <v>53040</v>
      </c>
      <c r="J70" s="499">
        <f t="shared" si="35"/>
        <v>56400</v>
      </c>
      <c r="K70" s="547"/>
      <c r="L70" s="501"/>
      <c r="M70" s="501"/>
      <c r="N70" s="501"/>
      <c r="O70" s="501"/>
    </row>
    <row r="71" spans="1:15">
      <c r="A71" s="489"/>
      <c r="B71" s="502"/>
      <c r="C71" s="499"/>
      <c r="D71" s="499"/>
      <c r="E71" s="499"/>
      <c r="F71" s="499"/>
      <c r="G71" s="499"/>
      <c r="H71" s="499"/>
      <c r="I71" s="499"/>
      <c r="J71" s="499"/>
      <c r="K71" s="547"/>
      <c r="L71" s="501"/>
      <c r="M71" s="501"/>
      <c r="N71" s="501"/>
      <c r="O71" s="501"/>
    </row>
    <row r="72" spans="1:15">
      <c r="A72" s="521" t="s">
        <v>65</v>
      </c>
      <c r="B72" s="490">
        <v>0.3</v>
      </c>
      <c r="C72" s="499">
        <f>+C74*0.6</f>
        <v>11850</v>
      </c>
      <c r="D72" s="499">
        <f t="shared" ref="D72:J72" si="36">+D74*0.6</f>
        <v>13530</v>
      </c>
      <c r="E72" s="499">
        <f t="shared" si="36"/>
        <v>15210</v>
      </c>
      <c r="F72" s="499">
        <f t="shared" si="36"/>
        <v>16890</v>
      </c>
      <c r="G72" s="499">
        <f t="shared" si="36"/>
        <v>18270</v>
      </c>
      <c r="H72" s="499">
        <f t="shared" si="36"/>
        <v>19620</v>
      </c>
      <c r="I72" s="499">
        <f t="shared" si="36"/>
        <v>20970</v>
      </c>
      <c r="J72" s="499">
        <f t="shared" si="36"/>
        <v>22320</v>
      </c>
      <c r="K72" s="547"/>
    </row>
    <row r="73" spans="1:15">
      <c r="A73" s="489"/>
      <c r="B73" s="490">
        <v>0.4</v>
      </c>
      <c r="C73" s="499">
        <f>+C74*0.8</f>
        <v>15800</v>
      </c>
      <c r="D73" s="499">
        <f t="shared" ref="D73:J73" si="37">+D74*0.8</f>
        <v>18040</v>
      </c>
      <c r="E73" s="499">
        <f t="shared" si="37"/>
        <v>20280</v>
      </c>
      <c r="F73" s="499">
        <f t="shared" si="37"/>
        <v>22520</v>
      </c>
      <c r="G73" s="499">
        <f t="shared" si="37"/>
        <v>24360</v>
      </c>
      <c r="H73" s="499">
        <f t="shared" si="37"/>
        <v>26160</v>
      </c>
      <c r="I73" s="499">
        <f t="shared" si="37"/>
        <v>27960</v>
      </c>
      <c r="J73" s="499">
        <f t="shared" si="37"/>
        <v>29760</v>
      </c>
      <c r="K73" s="547"/>
      <c r="L73" s="501"/>
      <c r="M73" s="501"/>
      <c r="N73" s="501"/>
      <c r="O73" s="501"/>
    </row>
    <row r="74" spans="1:15">
      <c r="A74" s="489"/>
      <c r="B74" s="490">
        <v>0.5</v>
      </c>
      <c r="C74" s="523">
        <v>19750</v>
      </c>
      <c r="D74" s="523">
        <v>22550</v>
      </c>
      <c r="E74" s="523">
        <v>25350</v>
      </c>
      <c r="F74" s="523">
        <v>28150</v>
      </c>
      <c r="G74" s="523">
        <v>30450</v>
      </c>
      <c r="H74" s="523">
        <v>32700</v>
      </c>
      <c r="I74" s="523">
        <v>34950</v>
      </c>
      <c r="J74" s="523">
        <v>37200</v>
      </c>
      <c r="K74" s="547"/>
      <c r="L74" s="501"/>
      <c r="M74" s="501"/>
      <c r="N74" s="501"/>
      <c r="O74" s="501"/>
    </row>
    <row r="75" spans="1:15">
      <c r="A75" s="489"/>
      <c r="B75" s="490">
        <v>0.6</v>
      </c>
      <c r="C75" s="499">
        <f>+C74*1.2</f>
        <v>23700</v>
      </c>
      <c r="D75" s="499">
        <f t="shared" ref="D75:J75" si="38">+D74*1.2</f>
        <v>27060</v>
      </c>
      <c r="E75" s="499">
        <f t="shared" si="38"/>
        <v>30420</v>
      </c>
      <c r="F75" s="499">
        <f t="shared" si="38"/>
        <v>33780</v>
      </c>
      <c r="G75" s="499">
        <f t="shared" si="38"/>
        <v>36540</v>
      </c>
      <c r="H75" s="499">
        <f t="shared" si="38"/>
        <v>39240</v>
      </c>
      <c r="I75" s="499">
        <f t="shared" si="38"/>
        <v>41940</v>
      </c>
      <c r="J75" s="499">
        <f t="shared" si="38"/>
        <v>44640</v>
      </c>
      <c r="K75" s="547"/>
      <c r="L75" s="501"/>
      <c r="M75" s="501"/>
      <c r="N75" s="501"/>
      <c r="O75" s="501"/>
    </row>
    <row r="76" spans="1:15">
      <c r="A76" s="489"/>
      <c r="B76" s="490">
        <v>0.8</v>
      </c>
      <c r="C76" s="499">
        <f>+C74*1.6</f>
        <v>31600</v>
      </c>
      <c r="D76" s="499">
        <f t="shared" ref="D76:J76" si="39">+D74*1.6</f>
        <v>36080</v>
      </c>
      <c r="E76" s="499">
        <f t="shared" si="39"/>
        <v>40560</v>
      </c>
      <c r="F76" s="499">
        <f t="shared" si="39"/>
        <v>45040</v>
      </c>
      <c r="G76" s="499">
        <f t="shared" si="39"/>
        <v>48720</v>
      </c>
      <c r="H76" s="499">
        <f t="shared" si="39"/>
        <v>52320</v>
      </c>
      <c r="I76" s="499">
        <f t="shared" si="39"/>
        <v>55920</v>
      </c>
      <c r="J76" s="499">
        <f t="shared" si="39"/>
        <v>59520</v>
      </c>
      <c r="K76" s="547"/>
      <c r="L76" s="501"/>
      <c r="M76" s="501"/>
      <c r="N76" s="501"/>
      <c r="O76" s="501"/>
    </row>
    <row r="77" spans="1:15">
      <c r="A77" s="489"/>
      <c r="B77" s="502"/>
      <c r="C77" s="499"/>
      <c r="D77" s="499"/>
      <c r="E77" s="499"/>
      <c r="F77" s="499"/>
      <c r="G77" s="499"/>
      <c r="H77" s="499"/>
      <c r="I77" s="499"/>
      <c r="J77" s="499"/>
      <c r="K77" s="547"/>
      <c r="L77" s="501"/>
      <c r="M77" s="501"/>
      <c r="N77" s="501"/>
      <c r="O77" s="501"/>
    </row>
    <row r="78" spans="1:15">
      <c r="A78" s="521" t="s">
        <v>66</v>
      </c>
      <c r="B78" s="490">
        <v>0.3</v>
      </c>
      <c r="C78" s="499">
        <f>+C80*0.6</f>
        <v>11430</v>
      </c>
      <c r="D78" s="499">
        <f t="shared" ref="D78:J78" si="40">+D80*0.6</f>
        <v>13080</v>
      </c>
      <c r="E78" s="499">
        <f t="shared" si="40"/>
        <v>14700</v>
      </c>
      <c r="F78" s="499">
        <f t="shared" si="40"/>
        <v>16320</v>
      </c>
      <c r="G78" s="499">
        <f t="shared" si="40"/>
        <v>17640</v>
      </c>
      <c r="H78" s="499">
        <f t="shared" si="40"/>
        <v>18960</v>
      </c>
      <c r="I78" s="499">
        <f t="shared" si="40"/>
        <v>20250</v>
      </c>
      <c r="J78" s="499">
        <f t="shared" si="40"/>
        <v>21570</v>
      </c>
      <c r="K78" s="547"/>
    </row>
    <row r="79" spans="1:15">
      <c r="A79" s="489"/>
      <c r="B79" s="490">
        <v>0.4</v>
      </c>
      <c r="C79" s="499">
        <f>+C80*0.8</f>
        <v>15240</v>
      </c>
      <c r="D79" s="499">
        <f t="shared" ref="D79:J79" si="41">+D80*0.8</f>
        <v>17440</v>
      </c>
      <c r="E79" s="499">
        <f t="shared" si="41"/>
        <v>19600</v>
      </c>
      <c r="F79" s="499">
        <f t="shared" si="41"/>
        <v>21760</v>
      </c>
      <c r="G79" s="499">
        <f t="shared" si="41"/>
        <v>23520</v>
      </c>
      <c r="H79" s="499">
        <f t="shared" si="41"/>
        <v>25280</v>
      </c>
      <c r="I79" s="499">
        <f t="shared" si="41"/>
        <v>27000</v>
      </c>
      <c r="J79" s="499">
        <f t="shared" si="41"/>
        <v>28760</v>
      </c>
      <c r="K79" s="547"/>
      <c r="L79" s="501"/>
      <c r="M79" s="501"/>
      <c r="N79" s="501"/>
      <c r="O79" s="501"/>
    </row>
    <row r="80" spans="1:15">
      <c r="A80" s="489"/>
      <c r="B80" s="490">
        <v>0.5</v>
      </c>
      <c r="C80" s="523">
        <v>19050</v>
      </c>
      <c r="D80" s="523">
        <v>21800</v>
      </c>
      <c r="E80" s="523">
        <v>24500</v>
      </c>
      <c r="F80" s="523">
        <v>27200</v>
      </c>
      <c r="G80" s="523">
        <v>29400</v>
      </c>
      <c r="H80" s="523">
        <v>31600</v>
      </c>
      <c r="I80" s="523">
        <v>33750</v>
      </c>
      <c r="J80" s="523">
        <v>35950</v>
      </c>
      <c r="K80" s="547"/>
      <c r="L80" s="501"/>
      <c r="M80" s="501"/>
      <c r="N80" s="501"/>
      <c r="O80" s="501"/>
    </row>
    <row r="81" spans="1:15">
      <c r="A81" s="489"/>
      <c r="B81" s="490">
        <v>0.6</v>
      </c>
      <c r="C81" s="499">
        <f>+C80*1.2</f>
        <v>22860</v>
      </c>
      <c r="D81" s="499">
        <f t="shared" ref="D81:J81" si="42">+D80*1.2</f>
        <v>26160</v>
      </c>
      <c r="E81" s="499">
        <f t="shared" si="42"/>
        <v>29400</v>
      </c>
      <c r="F81" s="499">
        <f t="shared" si="42"/>
        <v>32640</v>
      </c>
      <c r="G81" s="499">
        <f t="shared" si="42"/>
        <v>35280</v>
      </c>
      <c r="H81" s="499">
        <f t="shared" si="42"/>
        <v>37920</v>
      </c>
      <c r="I81" s="499">
        <f t="shared" si="42"/>
        <v>40500</v>
      </c>
      <c r="J81" s="499">
        <f t="shared" si="42"/>
        <v>43140</v>
      </c>
      <c r="K81" s="547"/>
      <c r="L81" s="501"/>
      <c r="M81" s="501"/>
      <c r="N81" s="501"/>
      <c r="O81" s="501"/>
    </row>
    <row r="82" spans="1:15">
      <c r="A82" s="489"/>
      <c r="B82" s="490">
        <v>0.8</v>
      </c>
      <c r="C82" s="499">
        <f>+C80*1.6</f>
        <v>30480</v>
      </c>
      <c r="D82" s="499">
        <f t="shared" ref="D82:J82" si="43">+D80*1.6</f>
        <v>34880</v>
      </c>
      <c r="E82" s="499">
        <f t="shared" si="43"/>
        <v>39200</v>
      </c>
      <c r="F82" s="499">
        <f t="shared" si="43"/>
        <v>43520</v>
      </c>
      <c r="G82" s="499">
        <f t="shared" si="43"/>
        <v>47040</v>
      </c>
      <c r="H82" s="499">
        <f t="shared" si="43"/>
        <v>50560</v>
      </c>
      <c r="I82" s="499">
        <f t="shared" si="43"/>
        <v>54000</v>
      </c>
      <c r="J82" s="499">
        <f t="shared" si="43"/>
        <v>57520</v>
      </c>
      <c r="K82" s="547"/>
      <c r="L82" s="501"/>
      <c r="M82" s="501"/>
      <c r="N82" s="501"/>
      <c r="O82" s="501"/>
    </row>
    <row r="83" spans="1:15">
      <c r="A83" s="489"/>
      <c r="B83" s="502"/>
      <c r="C83" s="499"/>
      <c r="D83" s="499"/>
      <c r="E83" s="499"/>
      <c r="F83" s="499"/>
      <c r="G83" s="499"/>
      <c r="H83" s="499"/>
      <c r="I83" s="499"/>
      <c r="J83" s="499"/>
      <c r="K83" s="547"/>
      <c r="L83" s="501"/>
      <c r="M83" s="501"/>
      <c r="N83" s="501"/>
      <c r="O83" s="501"/>
    </row>
    <row r="84" spans="1:15">
      <c r="A84" s="521" t="s">
        <v>191</v>
      </c>
      <c r="B84" s="490">
        <v>0.3</v>
      </c>
      <c r="C84" s="499">
        <f>+C86*0.6</f>
        <v>11220</v>
      </c>
      <c r="D84" s="499">
        <f t="shared" ref="D84:J84" si="44">+D86*0.6</f>
        <v>12840</v>
      </c>
      <c r="E84" s="499">
        <f t="shared" si="44"/>
        <v>14430</v>
      </c>
      <c r="F84" s="499">
        <f t="shared" si="44"/>
        <v>16020</v>
      </c>
      <c r="G84" s="499">
        <f t="shared" si="44"/>
        <v>17310</v>
      </c>
      <c r="H84" s="499">
        <f t="shared" si="44"/>
        <v>18600</v>
      </c>
      <c r="I84" s="499">
        <f t="shared" si="44"/>
        <v>19890</v>
      </c>
      <c r="J84" s="499">
        <f t="shared" si="44"/>
        <v>21150</v>
      </c>
      <c r="K84" s="547"/>
    </row>
    <row r="85" spans="1:15">
      <c r="A85" s="489"/>
      <c r="B85" s="490">
        <v>0.4</v>
      </c>
      <c r="C85" s="499">
        <f t="shared" ref="C85:J85" si="45">+C86*0.8</f>
        <v>14960</v>
      </c>
      <c r="D85" s="499">
        <f t="shared" si="45"/>
        <v>17120</v>
      </c>
      <c r="E85" s="499">
        <f t="shared" si="45"/>
        <v>19240</v>
      </c>
      <c r="F85" s="499">
        <f t="shared" si="45"/>
        <v>21360</v>
      </c>
      <c r="G85" s="499">
        <f t="shared" si="45"/>
        <v>23080</v>
      </c>
      <c r="H85" s="499">
        <f t="shared" si="45"/>
        <v>24800</v>
      </c>
      <c r="I85" s="499">
        <f t="shared" si="45"/>
        <v>26520</v>
      </c>
      <c r="J85" s="499">
        <f t="shared" si="45"/>
        <v>28200</v>
      </c>
      <c r="K85" s="547"/>
      <c r="L85" s="501"/>
      <c r="M85" s="501"/>
      <c r="N85" s="501"/>
      <c r="O85" s="501"/>
    </row>
    <row r="86" spans="1:15">
      <c r="A86" s="489"/>
      <c r="B86" s="490">
        <v>0.5</v>
      </c>
      <c r="C86" s="523">
        <v>18700</v>
      </c>
      <c r="D86" s="523">
        <v>21400</v>
      </c>
      <c r="E86" s="523">
        <v>24050</v>
      </c>
      <c r="F86" s="523">
        <v>26700</v>
      </c>
      <c r="G86" s="523">
        <v>28850</v>
      </c>
      <c r="H86" s="523">
        <v>31000</v>
      </c>
      <c r="I86" s="523">
        <v>33150</v>
      </c>
      <c r="J86" s="523">
        <v>35250</v>
      </c>
      <c r="K86" s="547"/>
      <c r="L86" s="501"/>
      <c r="M86" s="501"/>
      <c r="N86" s="501"/>
      <c r="O86" s="501"/>
    </row>
    <row r="87" spans="1:15">
      <c r="A87" s="489"/>
      <c r="B87" s="490">
        <v>0.6</v>
      </c>
      <c r="C87" s="499">
        <f t="shared" ref="C87:J87" si="46">+C86*1.2</f>
        <v>22440</v>
      </c>
      <c r="D87" s="499">
        <f t="shared" si="46"/>
        <v>25680</v>
      </c>
      <c r="E87" s="499">
        <f t="shared" si="46"/>
        <v>28860</v>
      </c>
      <c r="F87" s="499">
        <f t="shared" si="46"/>
        <v>32040</v>
      </c>
      <c r="G87" s="499">
        <f t="shared" si="46"/>
        <v>34620</v>
      </c>
      <c r="H87" s="499">
        <f t="shared" si="46"/>
        <v>37200</v>
      </c>
      <c r="I87" s="499">
        <f t="shared" si="46"/>
        <v>39780</v>
      </c>
      <c r="J87" s="499">
        <f t="shared" si="46"/>
        <v>42300</v>
      </c>
      <c r="K87" s="547"/>
      <c r="L87" s="501"/>
      <c r="M87" s="501"/>
      <c r="N87" s="501"/>
      <c r="O87" s="501"/>
    </row>
    <row r="88" spans="1:15">
      <c r="A88" s="489"/>
      <c r="B88" s="490">
        <v>0.8</v>
      </c>
      <c r="C88" s="499">
        <f>+C86*1.6</f>
        <v>29920</v>
      </c>
      <c r="D88" s="499">
        <f t="shared" ref="D88:J88" si="47">+D86*1.6</f>
        <v>34240</v>
      </c>
      <c r="E88" s="499">
        <f t="shared" si="47"/>
        <v>38480</v>
      </c>
      <c r="F88" s="499">
        <f t="shared" si="47"/>
        <v>42720</v>
      </c>
      <c r="G88" s="499">
        <f t="shared" si="47"/>
        <v>46160</v>
      </c>
      <c r="H88" s="499">
        <f t="shared" si="47"/>
        <v>49600</v>
      </c>
      <c r="I88" s="499">
        <f t="shared" si="47"/>
        <v>53040</v>
      </c>
      <c r="J88" s="499">
        <f t="shared" si="47"/>
        <v>56400</v>
      </c>
      <c r="K88" s="547"/>
      <c r="L88" s="501"/>
      <c r="M88" s="501"/>
      <c r="N88" s="501"/>
      <c r="O88" s="501"/>
    </row>
    <row r="89" spans="1:15">
      <c r="A89" s="489"/>
      <c r="B89" s="502"/>
      <c r="C89" s="499"/>
      <c r="D89" s="499"/>
      <c r="E89" s="499"/>
      <c r="F89" s="499"/>
      <c r="G89" s="499"/>
      <c r="H89" s="499"/>
      <c r="I89" s="499"/>
      <c r="J89" s="499"/>
      <c r="K89" s="547"/>
      <c r="L89" s="501"/>
      <c r="M89" s="501"/>
      <c r="N89" s="501"/>
      <c r="O89" s="501"/>
    </row>
    <row r="90" spans="1:15">
      <c r="A90" s="521" t="s">
        <v>192</v>
      </c>
      <c r="B90" s="490">
        <v>0.3</v>
      </c>
      <c r="C90" s="499">
        <f>+C92*0.6</f>
        <v>11490</v>
      </c>
      <c r="D90" s="499">
        <f t="shared" ref="D90:J90" si="48">+D92*0.6</f>
        <v>13110</v>
      </c>
      <c r="E90" s="499">
        <f t="shared" si="48"/>
        <v>14760</v>
      </c>
      <c r="F90" s="499">
        <f t="shared" si="48"/>
        <v>16380</v>
      </c>
      <c r="G90" s="499">
        <f t="shared" si="48"/>
        <v>17700</v>
      </c>
      <c r="H90" s="499">
        <f t="shared" si="48"/>
        <v>19020</v>
      </c>
      <c r="I90" s="499">
        <f t="shared" si="48"/>
        <v>20340</v>
      </c>
      <c r="J90" s="499">
        <f t="shared" si="48"/>
        <v>21630</v>
      </c>
      <c r="K90" s="547"/>
    </row>
    <row r="91" spans="1:15">
      <c r="A91" s="489"/>
      <c r="B91" s="490">
        <v>0.4</v>
      </c>
      <c r="C91" s="499">
        <f>+C92*0.8</f>
        <v>15320</v>
      </c>
      <c r="D91" s="499">
        <f t="shared" ref="D91:J91" si="49">+D92*0.8</f>
        <v>17480</v>
      </c>
      <c r="E91" s="499">
        <f t="shared" si="49"/>
        <v>19680</v>
      </c>
      <c r="F91" s="499">
        <f t="shared" si="49"/>
        <v>21840</v>
      </c>
      <c r="G91" s="499">
        <f t="shared" si="49"/>
        <v>23600</v>
      </c>
      <c r="H91" s="499">
        <f t="shared" si="49"/>
        <v>25360</v>
      </c>
      <c r="I91" s="499">
        <f t="shared" si="49"/>
        <v>27120</v>
      </c>
      <c r="J91" s="499">
        <f t="shared" si="49"/>
        <v>28840</v>
      </c>
      <c r="K91" s="547"/>
      <c r="L91" s="501"/>
      <c r="M91" s="501"/>
      <c r="N91" s="501"/>
      <c r="O91" s="501"/>
    </row>
    <row r="92" spans="1:15">
      <c r="A92" s="489"/>
      <c r="B92" s="490">
        <v>0.5</v>
      </c>
      <c r="C92" s="523">
        <v>19150</v>
      </c>
      <c r="D92" s="523">
        <v>21850</v>
      </c>
      <c r="E92" s="523">
        <v>24600</v>
      </c>
      <c r="F92" s="523">
        <v>27300</v>
      </c>
      <c r="G92" s="523">
        <v>29500</v>
      </c>
      <c r="H92" s="523">
        <v>31700</v>
      </c>
      <c r="I92" s="523">
        <v>33900</v>
      </c>
      <c r="J92" s="523">
        <v>36050</v>
      </c>
      <c r="K92" s="547"/>
      <c r="L92" s="501"/>
      <c r="M92" s="501"/>
      <c r="N92" s="501"/>
      <c r="O92" s="501"/>
    </row>
    <row r="93" spans="1:15">
      <c r="A93" s="489"/>
      <c r="B93" s="490">
        <v>0.6</v>
      </c>
      <c r="C93" s="499">
        <f>+C92*1.2</f>
        <v>22980</v>
      </c>
      <c r="D93" s="499">
        <f t="shared" ref="D93:J93" si="50">+D92*1.2</f>
        <v>26220</v>
      </c>
      <c r="E93" s="499">
        <f t="shared" si="50"/>
        <v>29520</v>
      </c>
      <c r="F93" s="499">
        <f t="shared" si="50"/>
        <v>32760</v>
      </c>
      <c r="G93" s="499">
        <f t="shared" si="50"/>
        <v>35400</v>
      </c>
      <c r="H93" s="499">
        <f t="shared" si="50"/>
        <v>38040</v>
      </c>
      <c r="I93" s="499">
        <f t="shared" si="50"/>
        <v>40680</v>
      </c>
      <c r="J93" s="499">
        <f t="shared" si="50"/>
        <v>43260</v>
      </c>
      <c r="K93" s="547"/>
      <c r="L93" s="501"/>
      <c r="M93" s="501"/>
      <c r="N93" s="501"/>
      <c r="O93" s="501"/>
    </row>
    <row r="94" spans="1:15">
      <c r="A94" s="489"/>
      <c r="B94" s="490">
        <v>0.8</v>
      </c>
      <c r="C94" s="499">
        <f>+C92*1.6</f>
        <v>30640</v>
      </c>
      <c r="D94" s="499">
        <f t="shared" ref="D94:J94" si="51">+D92*1.6</f>
        <v>34960</v>
      </c>
      <c r="E94" s="499">
        <f t="shared" si="51"/>
        <v>39360</v>
      </c>
      <c r="F94" s="499">
        <f t="shared" si="51"/>
        <v>43680</v>
      </c>
      <c r="G94" s="499">
        <f t="shared" si="51"/>
        <v>47200</v>
      </c>
      <c r="H94" s="499">
        <f t="shared" si="51"/>
        <v>50720</v>
      </c>
      <c r="I94" s="499">
        <f t="shared" si="51"/>
        <v>54240</v>
      </c>
      <c r="J94" s="499">
        <f t="shared" si="51"/>
        <v>57680</v>
      </c>
      <c r="K94" s="547"/>
      <c r="L94" s="501"/>
      <c r="M94" s="501"/>
      <c r="N94" s="501"/>
      <c r="O94" s="501"/>
    </row>
    <row r="95" spans="1:15">
      <c r="A95" s="489"/>
      <c r="B95" s="502"/>
      <c r="C95" s="489"/>
      <c r="D95" s="489"/>
      <c r="E95" s="489"/>
      <c r="F95" s="489"/>
      <c r="G95" s="489"/>
      <c r="H95" s="489"/>
      <c r="I95" s="489"/>
      <c r="J95" s="489"/>
      <c r="K95" s="497"/>
      <c r="L95" s="501"/>
      <c r="M95" s="501"/>
      <c r="N95" s="501"/>
      <c r="O95" s="501"/>
    </row>
    <row r="96" spans="1:15">
      <c r="A96" s="521" t="s">
        <v>193</v>
      </c>
      <c r="B96" s="490">
        <v>0.3</v>
      </c>
      <c r="C96" s="499">
        <f>+C98*0.6</f>
        <v>11220</v>
      </c>
      <c r="D96" s="499">
        <f t="shared" ref="D96:J96" si="52">+D98*0.6</f>
        <v>12840</v>
      </c>
      <c r="E96" s="499">
        <f t="shared" si="52"/>
        <v>14430</v>
      </c>
      <c r="F96" s="499">
        <f t="shared" si="52"/>
        <v>16020</v>
      </c>
      <c r="G96" s="499">
        <f t="shared" si="52"/>
        <v>17310</v>
      </c>
      <c r="H96" s="499">
        <f t="shared" si="52"/>
        <v>18600</v>
      </c>
      <c r="I96" s="499">
        <f t="shared" si="52"/>
        <v>19890</v>
      </c>
      <c r="J96" s="499">
        <f t="shared" si="52"/>
        <v>21150</v>
      </c>
      <c r="K96" s="547"/>
    </row>
    <row r="97" spans="1:15">
      <c r="A97" s="489"/>
      <c r="B97" s="490">
        <v>0.4</v>
      </c>
      <c r="C97" s="499">
        <f t="shared" ref="C97:J97" si="53">+C98*0.8</f>
        <v>14960</v>
      </c>
      <c r="D97" s="499">
        <f t="shared" si="53"/>
        <v>17120</v>
      </c>
      <c r="E97" s="499">
        <f t="shared" si="53"/>
        <v>19240</v>
      </c>
      <c r="F97" s="499">
        <f t="shared" si="53"/>
        <v>21360</v>
      </c>
      <c r="G97" s="499">
        <f t="shared" si="53"/>
        <v>23080</v>
      </c>
      <c r="H97" s="499">
        <f t="shared" si="53"/>
        <v>24800</v>
      </c>
      <c r="I97" s="499">
        <f t="shared" si="53"/>
        <v>26520</v>
      </c>
      <c r="J97" s="499">
        <f t="shared" si="53"/>
        <v>28200</v>
      </c>
      <c r="K97" s="547"/>
      <c r="L97" s="501"/>
      <c r="M97" s="501"/>
      <c r="N97" s="501"/>
      <c r="O97" s="501"/>
    </row>
    <row r="98" spans="1:15">
      <c r="A98" s="489"/>
      <c r="B98" s="490">
        <v>0.5</v>
      </c>
      <c r="C98" s="523">
        <v>18700</v>
      </c>
      <c r="D98" s="523">
        <v>21400</v>
      </c>
      <c r="E98" s="523">
        <v>24050</v>
      </c>
      <c r="F98" s="523">
        <v>26700</v>
      </c>
      <c r="G98" s="523">
        <v>28850</v>
      </c>
      <c r="H98" s="523">
        <v>31000</v>
      </c>
      <c r="I98" s="523">
        <v>33150</v>
      </c>
      <c r="J98" s="523">
        <v>35250</v>
      </c>
      <c r="K98" s="547"/>
      <c r="L98" s="501"/>
      <c r="M98" s="501"/>
      <c r="N98" s="501"/>
      <c r="O98" s="501"/>
    </row>
    <row r="99" spans="1:15">
      <c r="A99" s="489"/>
      <c r="B99" s="490">
        <v>0.6</v>
      </c>
      <c r="C99" s="499">
        <f t="shared" ref="C99:J99" si="54">+C98*1.2</f>
        <v>22440</v>
      </c>
      <c r="D99" s="499">
        <f t="shared" si="54"/>
        <v>25680</v>
      </c>
      <c r="E99" s="499">
        <f t="shared" si="54"/>
        <v>28860</v>
      </c>
      <c r="F99" s="499">
        <f t="shared" si="54"/>
        <v>32040</v>
      </c>
      <c r="G99" s="499">
        <f t="shared" si="54"/>
        <v>34620</v>
      </c>
      <c r="H99" s="499">
        <f t="shared" si="54"/>
        <v>37200</v>
      </c>
      <c r="I99" s="499">
        <f t="shared" si="54"/>
        <v>39780</v>
      </c>
      <c r="J99" s="499">
        <f t="shared" si="54"/>
        <v>42300</v>
      </c>
      <c r="K99" s="547"/>
      <c r="L99" s="501"/>
      <c r="M99" s="501"/>
      <c r="N99" s="501"/>
      <c r="O99" s="501"/>
    </row>
    <row r="100" spans="1:15">
      <c r="A100" s="489"/>
      <c r="B100" s="490">
        <v>0.8</v>
      </c>
      <c r="C100" s="499">
        <f>+C98*1.6</f>
        <v>29920</v>
      </c>
      <c r="D100" s="499">
        <f t="shared" ref="D100:J100" si="55">+D98*1.6</f>
        <v>34240</v>
      </c>
      <c r="E100" s="499">
        <f t="shared" si="55"/>
        <v>38480</v>
      </c>
      <c r="F100" s="499">
        <f t="shared" si="55"/>
        <v>42720</v>
      </c>
      <c r="G100" s="499">
        <f t="shared" si="55"/>
        <v>46160</v>
      </c>
      <c r="H100" s="499">
        <f t="shared" si="55"/>
        <v>49600</v>
      </c>
      <c r="I100" s="499">
        <f t="shared" si="55"/>
        <v>53040</v>
      </c>
      <c r="J100" s="499">
        <f t="shared" si="55"/>
        <v>56400</v>
      </c>
      <c r="K100" s="547"/>
      <c r="L100" s="501"/>
      <c r="M100" s="501"/>
      <c r="N100" s="501"/>
      <c r="O100" s="501"/>
    </row>
    <row r="101" spans="1:15">
      <c r="A101" s="489"/>
      <c r="B101" s="502"/>
      <c r="C101" s="499"/>
      <c r="D101" s="499"/>
      <c r="E101" s="499"/>
      <c r="F101" s="499"/>
      <c r="G101" s="499"/>
      <c r="H101" s="499"/>
      <c r="I101" s="499"/>
      <c r="J101" s="499"/>
      <c r="K101" s="547"/>
      <c r="L101" s="501"/>
      <c r="M101" s="501"/>
      <c r="N101" s="501"/>
      <c r="O101" s="501"/>
    </row>
    <row r="102" spans="1:15">
      <c r="A102" s="521" t="s">
        <v>194</v>
      </c>
      <c r="B102" s="490">
        <v>0.3</v>
      </c>
      <c r="C102" s="499">
        <f>+C104*0.6</f>
        <v>11220</v>
      </c>
      <c r="D102" s="499">
        <f t="shared" ref="D102:J102" si="56">+D104*0.6</f>
        <v>12840</v>
      </c>
      <c r="E102" s="499">
        <f t="shared" si="56"/>
        <v>14430</v>
      </c>
      <c r="F102" s="499">
        <f t="shared" si="56"/>
        <v>16020</v>
      </c>
      <c r="G102" s="499">
        <f t="shared" si="56"/>
        <v>17310</v>
      </c>
      <c r="H102" s="499">
        <f t="shared" si="56"/>
        <v>18600</v>
      </c>
      <c r="I102" s="499">
        <f t="shared" si="56"/>
        <v>19890</v>
      </c>
      <c r="J102" s="499">
        <f t="shared" si="56"/>
        <v>21150</v>
      </c>
      <c r="K102" s="547"/>
    </row>
    <row r="103" spans="1:15">
      <c r="A103" s="489"/>
      <c r="B103" s="490">
        <v>0.4</v>
      </c>
      <c r="C103" s="499">
        <f t="shared" ref="C103:J103" si="57">+C104*0.8</f>
        <v>14960</v>
      </c>
      <c r="D103" s="499">
        <f t="shared" si="57"/>
        <v>17120</v>
      </c>
      <c r="E103" s="499">
        <f t="shared" si="57"/>
        <v>19240</v>
      </c>
      <c r="F103" s="499">
        <f t="shared" si="57"/>
        <v>21360</v>
      </c>
      <c r="G103" s="499">
        <f t="shared" si="57"/>
        <v>23080</v>
      </c>
      <c r="H103" s="499">
        <f t="shared" si="57"/>
        <v>24800</v>
      </c>
      <c r="I103" s="499">
        <f t="shared" si="57"/>
        <v>26520</v>
      </c>
      <c r="J103" s="499">
        <f t="shared" si="57"/>
        <v>28200</v>
      </c>
      <c r="K103" s="547"/>
      <c r="L103" s="501"/>
      <c r="M103" s="501"/>
      <c r="N103" s="501"/>
      <c r="O103" s="501"/>
    </row>
    <row r="104" spans="1:15">
      <c r="A104" s="489"/>
      <c r="B104" s="490">
        <v>0.5</v>
      </c>
      <c r="C104" s="523">
        <v>18700</v>
      </c>
      <c r="D104" s="523">
        <v>21400</v>
      </c>
      <c r="E104" s="523">
        <v>24050</v>
      </c>
      <c r="F104" s="523">
        <v>26700</v>
      </c>
      <c r="G104" s="523">
        <v>28850</v>
      </c>
      <c r="H104" s="523">
        <v>31000</v>
      </c>
      <c r="I104" s="523">
        <v>33150</v>
      </c>
      <c r="J104" s="523">
        <v>35250</v>
      </c>
      <c r="K104" s="547"/>
      <c r="L104" s="501"/>
      <c r="M104" s="501"/>
      <c r="N104" s="501"/>
      <c r="O104" s="501"/>
    </row>
    <row r="105" spans="1:15">
      <c r="A105" s="489"/>
      <c r="B105" s="490">
        <v>0.6</v>
      </c>
      <c r="C105" s="499">
        <f t="shared" ref="C105:J105" si="58">+C104*1.2</f>
        <v>22440</v>
      </c>
      <c r="D105" s="499">
        <f t="shared" si="58"/>
        <v>25680</v>
      </c>
      <c r="E105" s="499">
        <f t="shared" si="58"/>
        <v>28860</v>
      </c>
      <c r="F105" s="499">
        <f t="shared" si="58"/>
        <v>32040</v>
      </c>
      <c r="G105" s="499">
        <f t="shared" si="58"/>
        <v>34620</v>
      </c>
      <c r="H105" s="499">
        <f t="shared" si="58"/>
        <v>37200</v>
      </c>
      <c r="I105" s="499">
        <f t="shared" si="58"/>
        <v>39780</v>
      </c>
      <c r="J105" s="499">
        <f t="shared" si="58"/>
        <v>42300</v>
      </c>
      <c r="K105" s="547"/>
      <c r="L105" s="501"/>
      <c r="M105" s="501"/>
      <c r="N105" s="501"/>
      <c r="O105" s="501"/>
    </row>
    <row r="106" spans="1:15">
      <c r="A106" s="489"/>
      <c r="B106" s="490">
        <v>0.8</v>
      </c>
      <c r="C106" s="499">
        <f>+C104*1.6</f>
        <v>29920</v>
      </c>
      <c r="D106" s="499">
        <f t="shared" ref="D106:J106" si="59">+D104*1.6</f>
        <v>34240</v>
      </c>
      <c r="E106" s="499">
        <f t="shared" si="59"/>
        <v>38480</v>
      </c>
      <c r="F106" s="499">
        <f t="shared" si="59"/>
        <v>42720</v>
      </c>
      <c r="G106" s="499">
        <f t="shared" si="59"/>
        <v>46160</v>
      </c>
      <c r="H106" s="499">
        <f t="shared" si="59"/>
        <v>49600</v>
      </c>
      <c r="I106" s="499">
        <f t="shared" si="59"/>
        <v>53040</v>
      </c>
      <c r="J106" s="499">
        <f t="shared" si="59"/>
        <v>56400</v>
      </c>
      <c r="K106" s="547"/>
      <c r="L106" s="501"/>
      <c r="M106" s="501"/>
      <c r="N106" s="501"/>
      <c r="O106" s="501"/>
    </row>
    <row r="107" spans="1:15">
      <c r="A107" s="489"/>
      <c r="B107" s="502"/>
      <c r="C107" s="499"/>
      <c r="D107" s="499"/>
      <c r="E107" s="499"/>
      <c r="F107" s="499"/>
      <c r="G107" s="499"/>
      <c r="H107" s="499"/>
      <c r="I107" s="499"/>
      <c r="J107" s="499"/>
      <c r="K107" s="547"/>
      <c r="L107" s="501"/>
      <c r="M107" s="501"/>
      <c r="N107" s="501"/>
      <c r="O107" s="501"/>
    </row>
    <row r="108" spans="1:15">
      <c r="A108" s="521" t="s">
        <v>195</v>
      </c>
      <c r="B108" s="490">
        <v>0.3</v>
      </c>
      <c r="C108" s="499">
        <f>+C110*0.6</f>
        <v>12180</v>
      </c>
      <c r="D108" s="499">
        <f t="shared" ref="D108:J108" si="60">+D110*0.6</f>
        <v>13920</v>
      </c>
      <c r="E108" s="499">
        <f t="shared" si="60"/>
        <v>15660</v>
      </c>
      <c r="F108" s="499">
        <f t="shared" si="60"/>
        <v>17370</v>
      </c>
      <c r="G108" s="499">
        <f t="shared" si="60"/>
        <v>18780</v>
      </c>
      <c r="H108" s="499">
        <f t="shared" si="60"/>
        <v>20160</v>
      </c>
      <c r="I108" s="499">
        <f t="shared" si="60"/>
        <v>21540</v>
      </c>
      <c r="J108" s="499">
        <f t="shared" si="60"/>
        <v>22950</v>
      </c>
      <c r="K108" s="547"/>
    </row>
    <row r="109" spans="1:15">
      <c r="A109" s="489"/>
      <c r="B109" s="490">
        <v>0.4</v>
      </c>
      <c r="C109" s="499">
        <f>+C110*0.8</f>
        <v>16240</v>
      </c>
      <c r="D109" s="499">
        <f t="shared" ref="D109:J109" si="61">+D110*0.8</f>
        <v>18560</v>
      </c>
      <c r="E109" s="499">
        <f t="shared" si="61"/>
        <v>20880</v>
      </c>
      <c r="F109" s="499">
        <f t="shared" si="61"/>
        <v>23160</v>
      </c>
      <c r="G109" s="499">
        <f t="shared" si="61"/>
        <v>25040</v>
      </c>
      <c r="H109" s="499">
        <f t="shared" si="61"/>
        <v>26880</v>
      </c>
      <c r="I109" s="499">
        <f t="shared" si="61"/>
        <v>28720</v>
      </c>
      <c r="J109" s="499">
        <f t="shared" si="61"/>
        <v>30600</v>
      </c>
      <c r="K109" s="547"/>
      <c r="L109" s="501"/>
      <c r="M109" s="501"/>
      <c r="N109" s="501"/>
      <c r="O109" s="501"/>
    </row>
    <row r="110" spans="1:15">
      <c r="A110" s="489"/>
      <c r="B110" s="490">
        <v>0.5</v>
      </c>
      <c r="C110" s="523">
        <v>20300</v>
      </c>
      <c r="D110" s="523">
        <v>23200</v>
      </c>
      <c r="E110" s="523">
        <v>26100</v>
      </c>
      <c r="F110" s="523">
        <v>28950</v>
      </c>
      <c r="G110" s="523">
        <v>31300</v>
      </c>
      <c r="H110" s="523">
        <v>33600</v>
      </c>
      <c r="I110" s="523">
        <v>35900</v>
      </c>
      <c r="J110" s="523">
        <v>38250</v>
      </c>
      <c r="K110" s="547"/>
      <c r="L110" s="501"/>
      <c r="M110" s="501"/>
      <c r="N110" s="501"/>
      <c r="O110" s="501"/>
    </row>
    <row r="111" spans="1:15">
      <c r="A111" s="489"/>
      <c r="B111" s="490">
        <v>0.6</v>
      </c>
      <c r="C111" s="499">
        <f>+C110*1.2</f>
        <v>24360</v>
      </c>
      <c r="D111" s="499">
        <f t="shared" ref="D111:J111" si="62">+D110*1.2</f>
        <v>27840</v>
      </c>
      <c r="E111" s="499">
        <f t="shared" si="62"/>
        <v>31320</v>
      </c>
      <c r="F111" s="499">
        <f t="shared" si="62"/>
        <v>34740</v>
      </c>
      <c r="G111" s="499">
        <f t="shared" si="62"/>
        <v>37560</v>
      </c>
      <c r="H111" s="499">
        <f t="shared" si="62"/>
        <v>40320</v>
      </c>
      <c r="I111" s="499">
        <f t="shared" si="62"/>
        <v>43080</v>
      </c>
      <c r="J111" s="499">
        <f t="shared" si="62"/>
        <v>45900</v>
      </c>
      <c r="K111" s="547"/>
      <c r="L111" s="501"/>
      <c r="M111" s="501"/>
      <c r="N111" s="501"/>
      <c r="O111" s="501"/>
    </row>
    <row r="112" spans="1:15">
      <c r="A112" s="489"/>
      <c r="B112" s="490">
        <v>0.8</v>
      </c>
      <c r="C112" s="499">
        <f>+C110*1.6</f>
        <v>32480</v>
      </c>
      <c r="D112" s="499">
        <f t="shared" ref="D112:J112" si="63">+D110*1.6</f>
        <v>37120</v>
      </c>
      <c r="E112" s="499">
        <f t="shared" si="63"/>
        <v>41760</v>
      </c>
      <c r="F112" s="499">
        <f t="shared" si="63"/>
        <v>46320</v>
      </c>
      <c r="G112" s="499">
        <f t="shared" si="63"/>
        <v>50080</v>
      </c>
      <c r="H112" s="499">
        <f t="shared" si="63"/>
        <v>53760</v>
      </c>
      <c r="I112" s="499">
        <f t="shared" si="63"/>
        <v>57440</v>
      </c>
      <c r="J112" s="499">
        <f t="shared" si="63"/>
        <v>61200</v>
      </c>
      <c r="K112" s="547"/>
      <c r="L112" s="501"/>
      <c r="M112" s="501"/>
      <c r="N112" s="501"/>
      <c r="O112" s="501"/>
    </row>
    <row r="113" spans="1:15">
      <c r="A113" s="489"/>
      <c r="B113" s="490"/>
      <c r="C113" s="499"/>
      <c r="D113" s="499"/>
      <c r="E113" s="499"/>
      <c r="F113" s="499"/>
      <c r="G113" s="499"/>
      <c r="H113" s="499"/>
      <c r="I113" s="499"/>
      <c r="J113" s="499"/>
      <c r="K113" s="547"/>
      <c r="L113" s="501"/>
      <c r="M113" s="501"/>
      <c r="N113" s="501"/>
      <c r="O113" s="501"/>
    </row>
    <row r="114" spans="1:15">
      <c r="A114" s="495" t="s">
        <v>186</v>
      </c>
      <c r="B114" s="496" t="s">
        <v>372</v>
      </c>
      <c r="C114" s="495" t="s">
        <v>33</v>
      </c>
      <c r="D114" s="495" t="s">
        <v>34</v>
      </c>
      <c r="E114" s="495" t="s">
        <v>35</v>
      </c>
      <c r="F114" s="495" t="s">
        <v>36</v>
      </c>
      <c r="G114" s="495" t="s">
        <v>37</v>
      </c>
      <c r="H114" s="495" t="s">
        <v>38</v>
      </c>
      <c r="I114" s="495" t="s">
        <v>188</v>
      </c>
      <c r="J114" s="495" t="s">
        <v>189</v>
      </c>
      <c r="K114" s="497"/>
      <c r="L114" s="501"/>
      <c r="M114" s="501"/>
      <c r="N114" s="501"/>
      <c r="O114" s="501"/>
    </row>
    <row r="115" spans="1:15">
      <c r="A115" s="498"/>
      <c r="B115" s="486"/>
      <c r="C115" s="498"/>
      <c r="D115" s="498"/>
      <c r="E115" s="498"/>
      <c r="F115" s="498"/>
      <c r="G115" s="498"/>
      <c r="H115" s="498"/>
      <c r="I115" s="498"/>
      <c r="J115" s="498"/>
      <c r="K115" s="497"/>
      <c r="L115" s="501"/>
      <c r="M115" s="501"/>
      <c r="N115" s="501"/>
      <c r="O115" s="501"/>
    </row>
    <row r="116" spans="1:15">
      <c r="A116" s="521" t="s">
        <v>196</v>
      </c>
      <c r="B116" s="490">
        <v>0.3</v>
      </c>
      <c r="C116" s="499">
        <f>+C118*0.6</f>
        <v>11220</v>
      </c>
      <c r="D116" s="499">
        <f t="shared" ref="D116:J116" si="64">+D118*0.6</f>
        <v>12840</v>
      </c>
      <c r="E116" s="499">
        <f t="shared" si="64"/>
        <v>14430</v>
      </c>
      <c r="F116" s="499">
        <f t="shared" si="64"/>
        <v>16020</v>
      </c>
      <c r="G116" s="499">
        <f t="shared" si="64"/>
        <v>17310</v>
      </c>
      <c r="H116" s="499">
        <f t="shared" si="64"/>
        <v>18600</v>
      </c>
      <c r="I116" s="499">
        <f t="shared" si="64"/>
        <v>19890</v>
      </c>
      <c r="J116" s="499">
        <f t="shared" si="64"/>
        <v>21150</v>
      </c>
      <c r="K116" s="547"/>
    </row>
    <row r="117" spans="1:15">
      <c r="A117" s="489"/>
      <c r="B117" s="490">
        <v>0.4</v>
      </c>
      <c r="C117" s="499">
        <f t="shared" ref="C117:J117" si="65">+C118*0.8</f>
        <v>14960</v>
      </c>
      <c r="D117" s="499">
        <f t="shared" si="65"/>
        <v>17120</v>
      </c>
      <c r="E117" s="499">
        <f t="shared" si="65"/>
        <v>19240</v>
      </c>
      <c r="F117" s="499">
        <f t="shared" si="65"/>
        <v>21360</v>
      </c>
      <c r="G117" s="499">
        <f t="shared" si="65"/>
        <v>23080</v>
      </c>
      <c r="H117" s="499">
        <f t="shared" si="65"/>
        <v>24800</v>
      </c>
      <c r="I117" s="499">
        <f t="shared" si="65"/>
        <v>26520</v>
      </c>
      <c r="J117" s="499">
        <f t="shared" si="65"/>
        <v>28200</v>
      </c>
      <c r="K117" s="547"/>
      <c r="L117" s="501"/>
      <c r="M117" s="501"/>
      <c r="N117" s="501"/>
      <c r="O117" s="501"/>
    </row>
    <row r="118" spans="1:15">
      <c r="A118" s="489"/>
      <c r="B118" s="490">
        <v>0.5</v>
      </c>
      <c r="C118" s="523">
        <v>18700</v>
      </c>
      <c r="D118" s="523">
        <v>21400</v>
      </c>
      <c r="E118" s="523">
        <v>24050</v>
      </c>
      <c r="F118" s="523">
        <v>26700</v>
      </c>
      <c r="G118" s="523">
        <v>28850</v>
      </c>
      <c r="H118" s="523">
        <v>31000</v>
      </c>
      <c r="I118" s="523">
        <v>33150</v>
      </c>
      <c r="J118" s="523">
        <v>35250</v>
      </c>
      <c r="K118" s="547"/>
      <c r="L118" s="501"/>
      <c r="M118" s="501"/>
      <c r="N118" s="501"/>
      <c r="O118" s="501"/>
    </row>
    <row r="119" spans="1:15">
      <c r="A119" s="489"/>
      <c r="B119" s="490">
        <v>0.6</v>
      </c>
      <c r="C119" s="499">
        <f t="shared" ref="C119:J119" si="66">+C118*1.2</f>
        <v>22440</v>
      </c>
      <c r="D119" s="499">
        <f t="shared" si="66"/>
        <v>25680</v>
      </c>
      <c r="E119" s="499">
        <f t="shared" si="66"/>
        <v>28860</v>
      </c>
      <c r="F119" s="499">
        <f t="shared" si="66"/>
        <v>32040</v>
      </c>
      <c r="G119" s="499">
        <f t="shared" si="66"/>
        <v>34620</v>
      </c>
      <c r="H119" s="499">
        <f t="shared" si="66"/>
        <v>37200</v>
      </c>
      <c r="I119" s="499">
        <f t="shared" si="66"/>
        <v>39780</v>
      </c>
      <c r="J119" s="499">
        <f t="shared" si="66"/>
        <v>42300</v>
      </c>
      <c r="K119" s="547"/>
      <c r="L119" s="501"/>
      <c r="M119" s="501"/>
      <c r="N119" s="501"/>
      <c r="O119" s="501"/>
    </row>
    <row r="120" spans="1:15">
      <c r="A120" s="489"/>
      <c r="B120" s="490">
        <v>0.8</v>
      </c>
      <c r="C120" s="499">
        <f>+C118*1.6</f>
        <v>29920</v>
      </c>
      <c r="D120" s="499">
        <f t="shared" ref="D120:J120" si="67">+D118*1.6</f>
        <v>34240</v>
      </c>
      <c r="E120" s="499">
        <f t="shared" si="67"/>
        <v>38480</v>
      </c>
      <c r="F120" s="499">
        <f t="shared" si="67"/>
        <v>42720</v>
      </c>
      <c r="G120" s="499">
        <f t="shared" si="67"/>
        <v>46160</v>
      </c>
      <c r="H120" s="499">
        <f t="shared" si="67"/>
        <v>49600</v>
      </c>
      <c r="I120" s="499">
        <f t="shared" si="67"/>
        <v>53040</v>
      </c>
      <c r="J120" s="499">
        <f t="shared" si="67"/>
        <v>56400</v>
      </c>
      <c r="K120" s="547"/>
      <c r="L120" s="501"/>
      <c r="M120" s="501"/>
      <c r="N120" s="501"/>
      <c r="O120" s="501"/>
    </row>
    <row r="121" spans="1:15">
      <c r="A121" s="489"/>
      <c r="B121" s="502"/>
      <c r="C121" s="499"/>
      <c r="D121" s="499"/>
      <c r="E121" s="499"/>
      <c r="F121" s="499"/>
      <c r="G121" s="499"/>
      <c r="H121" s="499"/>
      <c r="I121" s="499"/>
      <c r="J121" s="499"/>
      <c r="K121" s="547"/>
      <c r="L121" s="501"/>
      <c r="M121" s="501"/>
      <c r="N121" s="501"/>
      <c r="O121" s="501"/>
    </row>
    <row r="122" spans="1:15">
      <c r="A122" s="521" t="s">
        <v>289</v>
      </c>
      <c r="B122" s="490">
        <v>0.3</v>
      </c>
      <c r="C122" s="499">
        <f>+C124*0.6</f>
        <v>11220</v>
      </c>
      <c r="D122" s="499">
        <f t="shared" ref="D122:J122" si="68">+D124*0.6</f>
        <v>12840</v>
      </c>
      <c r="E122" s="499">
        <f t="shared" si="68"/>
        <v>14430</v>
      </c>
      <c r="F122" s="499">
        <f t="shared" si="68"/>
        <v>16020</v>
      </c>
      <c r="G122" s="499">
        <f t="shared" si="68"/>
        <v>17310</v>
      </c>
      <c r="H122" s="499">
        <f t="shared" si="68"/>
        <v>18600</v>
      </c>
      <c r="I122" s="499">
        <f t="shared" si="68"/>
        <v>19890</v>
      </c>
      <c r="J122" s="499">
        <f t="shared" si="68"/>
        <v>21150</v>
      </c>
      <c r="K122" s="547"/>
    </row>
    <row r="123" spans="1:15">
      <c r="A123" s="489"/>
      <c r="B123" s="490">
        <v>0.4</v>
      </c>
      <c r="C123" s="499">
        <f t="shared" ref="C123:J123" si="69">+C124*0.8</f>
        <v>14960</v>
      </c>
      <c r="D123" s="499">
        <f t="shared" si="69"/>
        <v>17120</v>
      </c>
      <c r="E123" s="499">
        <f t="shared" si="69"/>
        <v>19240</v>
      </c>
      <c r="F123" s="499">
        <f t="shared" si="69"/>
        <v>21360</v>
      </c>
      <c r="G123" s="499">
        <f t="shared" si="69"/>
        <v>23080</v>
      </c>
      <c r="H123" s="499">
        <f t="shared" si="69"/>
        <v>24800</v>
      </c>
      <c r="I123" s="499">
        <f t="shared" si="69"/>
        <v>26520</v>
      </c>
      <c r="J123" s="499">
        <f t="shared" si="69"/>
        <v>28200</v>
      </c>
      <c r="K123" s="547"/>
      <c r="L123" s="501"/>
      <c r="M123" s="501"/>
      <c r="N123" s="501"/>
      <c r="O123" s="501"/>
    </row>
    <row r="124" spans="1:15">
      <c r="A124" s="489"/>
      <c r="B124" s="490">
        <v>0.5</v>
      </c>
      <c r="C124" s="523">
        <v>18700</v>
      </c>
      <c r="D124" s="523">
        <v>21400</v>
      </c>
      <c r="E124" s="523">
        <v>24050</v>
      </c>
      <c r="F124" s="523">
        <v>26700</v>
      </c>
      <c r="G124" s="523">
        <v>28850</v>
      </c>
      <c r="H124" s="523">
        <v>31000</v>
      </c>
      <c r="I124" s="523">
        <v>33150</v>
      </c>
      <c r="J124" s="523">
        <v>35250</v>
      </c>
      <c r="K124" s="547"/>
      <c r="L124" s="501"/>
      <c r="M124" s="501"/>
      <c r="N124" s="501"/>
      <c r="O124" s="501"/>
    </row>
    <row r="125" spans="1:15">
      <c r="A125" s="489"/>
      <c r="B125" s="490">
        <v>0.6</v>
      </c>
      <c r="C125" s="499">
        <f t="shared" ref="C125:J125" si="70">+C124*1.2</f>
        <v>22440</v>
      </c>
      <c r="D125" s="499">
        <f t="shared" si="70"/>
        <v>25680</v>
      </c>
      <c r="E125" s="499">
        <f t="shared" si="70"/>
        <v>28860</v>
      </c>
      <c r="F125" s="499">
        <f t="shared" si="70"/>
        <v>32040</v>
      </c>
      <c r="G125" s="499">
        <f t="shared" si="70"/>
        <v>34620</v>
      </c>
      <c r="H125" s="499">
        <f t="shared" si="70"/>
        <v>37200</v>
      </c>
      <c r="I125" s="499">
        <f t="shared" si="70"/>
        <v>39780</v>
      </c>
      <c r="J125" s="499">
        <f t="shared" si="70"/>
        <v>42300</v>
      </c>
      <c r="K125" s="547"/>
      <c r="L125" s="501"/>
      <c r="M125" s="501"/>
      <c r="N125" s="501"/>
      <c r="O125" s="501"/>
    </row>
    <row r="126" spans="1:15">
      <c r="A126" s="489"/>
      <c r="B126" s="490">
        <v>0.8</v>
      </c>
      <c r="C126" s="499">
        <f>+C124*1.6</f>
        <v>29920</v>
      </c>
      <c r="D126" s="499">
        <f t="shared" ref="D126:J126" si="71">+D124*1.6</f>
        <v>34240</v>
      </c>
      <c r="E126" s="499">
        <f t="shared" si="71"/>
        <v>38480</v>
      </c>
      <c r="F126" s="499">
        <f t="shared" si="71"/>
        <v>42720</v>
      </c>
      <c r="G126" s="499">
        <f t="shared" si="71"/>
        <v>46160</v>
      </c>
      <c r="H126" s="499">
        <f t="shared" si="71"/>
        <v>49600</v>
      </c>
      <c r="I126" s="499">
        <f t="shared" si="71"/>
        <v>53040</v>
      </c>
      <c r="J126" s="499">
        <f t="shared" si="71"/>
        <v>56400</v>
      </c>
      <c r="K126" s="547"/>
      <c r="L126" s="501"/>
      <c r="M126" s="501"/>
      <c r="N126" s="501"/>
      <c r="O126" s="501"/>
    </row>
    <row r="127" spans="1:15">
      <c r="A127" s="489"/>
      <c r="B127" s="502"/>
      <c r="C127" s="499"/>
      <c r="D127" s="499"/>
      <c r="E127" s="499"/>
      <c r="F127" s="499"/>
      <c r="G127" s="499"/>
      <c r="H127" s="499"/>
      <c r="I127" s="499"/>
      <c r="J127" s="499"/>
      <c r="K127" s="547"/>
      <c r="L127" s="501"/>
      <c r="M127" s="501"/>
      <c r="N127" s="501"/>
      <c r="O127" s="501"/>
    </row>
    <row r="128" spans="1:15">
      <c r="A128" s="521" t="s">
        <v>290</v>
      </c>
      <c r="B128" s="490">
        <v>0.3</v>
      </c>
      <c r="C128" s="499">
        <f>+C130*0.6</f>
        <v>11430</v>
      </c>
      <c r="D128" s="499">
        <f t="shared" ref="D128:J128" si="72">+D130*0.6</f>
        <v>13080</v>
      </c>
      <c r="E128" s="499">
        <f t="shared" si="72"/>
        <v>14700</v>
      </c>
      <c r="F128" s="499">
        <f t="shared" si="72"/>
        <v>16320</v>
      </c>
      <c r="G128" s="499">
        <f t="shared" si="72"/>
        <v>17640</v>
      </c>
      <c r="H128" s="499">
        <f t="shared" si="72"/>
        <v>18960</v>
      </c>
      <c r="I128" s="499">
        <f t="shared" si="72"/>
        <v>20250</v>
      </c>
      <c r="J128" s="499">
        <f t="shared" si="72"/>
        <v>21570</v>
      </c>
      <c r="K128" s="547"/>
    </row>
    <row r="129" spans="1:15">
      <c r="A129" s="489"/>
      <c r="B129" s="490">
        <v>0.4</v>
      </c>
      <c r="C129" s="499">
        <f>+C130*0.8</f>
        <v>15240</v>
      </c>
      <c r="D129" s="499">
        <f t="shared" ref="D129:J129" si="73">+D130*0.8</f>
        <v>17440</v>
      </c>
      <c r="E129" s="499">
        <f t="shared" si="73"/>
        <v>19600</v>
      </c>
      <c r="F129" s="499">
        <f t="shared" si="73"/>
        <v>21760</v>
      </c>
      <c r="G129" s="499">
        <f t="shared" si="73"/>
        <v>23520</v>
      </c>
      <c r="H129" s="499">
        <f t="shared" si="73"/>
        <v>25280</v>
      </c>
      <c r="I129" s="499">
        <f t="shared" si="73"/>
        <v>27000</v>
      </c>
      <c r="J129" s="499">
        <f t="shared" si="73"/>
        <v>28760</v>
      </c>
      <c r="K129" s="547"/>
      <c r="L129" s="501"/>
      <c r="M129" s="501"/>
      <c r="N129" s="501"/>
      <c r="O129" s="501"/>
    </row>
    <row r="130" spans="1:15">
      <c r="A130" s="489"/>
      <c r="B130" s="490">
        <v>0.5</v>
      </c>
      <c r="C130" s="523">
        <v>19050</v>
      </c>
      <c r="D130" s="523">
        <v>21800</v>
      </c>
      <c r="E130" s="523">
        <v>24500</v>
      </c>
      <c r="F130" s="523">
        <v>27200</v>
      </c>
      <c r="G130" s="523">
        <v>29400</v>
      </c>
      <c r="H130" s="523">
        <v>31600</v>
      </c>
      <c r="I130" s="523">
        <v>33750</v>
      </c>
      <c r="J130" s="523">
        <v>35950</v>
      </c>
      <c r="K130" s="547"/>
      <c r="L130" s="501"/>
      <c r="M130" s="501"/>
      <c r="N130" s="501"/>
      <c r="O130" s="501"/>
    </row>
    <row r="131" spans="1:15">
      <c r="A131" s="489"/>
      <c r="B131" s="490">
        <v>0.6</v>
      </c>
      <c r="C131" s="499">
        <f>+C130*1.2</f>
        <v>22860</v>
      </c>
      <c r="D131" s="499">
        <f t="shared" ref="D131:J131" si="74">+D130*1.2</f>
        <v>26160</v>
      </c>
      <c r="E131" s="499">
        <f t="shared" si="74"/>
        <v>29400</v>
      </c>
      <c r="F131" s="499">
        <f t="shared" si="74"/>
        <v>32640</v>
      </c>
      <c r="G131" s="499">
        <f t="shared" si="74"/>
        <v>35280</v>
      </c>
      <c r="H131" s="499">
        <f t="shared" si="74"/>
        <v>37920</v>
      </c>
      <c r="I131" s="499">
        <f t="shared" si="74"/>
        <v>40500</v>
      </c>
      <c r="J131" s="499">
        <f t="shared" si="74"/>
        <v>43140</v>
      </c>
      <c r="K131" s="547"/>
      <c r="L131" s="501"/>
      <c r="M131" s="501"/>
      <c r="N131" s="501"/>
      <c r="O131" s="501"/>
    </row>
    <row r="132" spans="1:15">
      <c r="A132" s="489"/>
      <c r="B132" s="490">
        <v>0.8</v>
      </c>
      <c r="C132" s="499">
        <f>+C130*1.6</f>
        <v>30480</v>
      </c>
      <c r="D132" s="499">
        <f t="shared" ref="D132:J132" si="75">+D130*1.6</f>
        <v>34880</v>
      </c>
      <c r="E132" s="499">
        <f t="shared" si="75"/>
        <v>39200</v>
      </c>
      <c r="F132" s="499">
        <f t="shared" si="75"/>
        <v>43520</v>
      </c>
      <c r="G132" s="499">
        <f t="shared" si="75"/>
        <v>47040</v>
      </c>
      <c r="H132" s="499">
        <f t="shared" si="75"/>
        <v>50560</v>
      </c>
      <c r="I132" s="499">
        <f t="shared" si="75"/>
        <v>54000</v>
      </c>
      <c r="J132" s="499">
        <f t="shared" si="75"/>
        <v>57520</v>
      </c>
      <c r="K132" s="547"/>
      <c r="L132" s="501"/>
      <c r="M132" s="501"/>
      <c r="N132" s="501"/>
      <c r="O132" s="501"/>
    </row>
    <row r="133" spans="1:15">
      <c r="A133" s="489"/>
      <c r="B133" s="502"/>
      <c r="C133" s="499"/>
      <c r="D133" s="499"/>
      <c r="E133" s="499"/>
      <c r="F133" s="499"/>
      <c r="G133" s="499"/>
      <c r="H133" s="499"/>
      <c r="I133" s="499"/>
      <c r="J133" s="499"/>
      <c r="K133" s="547"/>
      <c r="L133" s="501"/>
      <c r="M133" s="501"/>
      <c r="N133" s="501"/>
      <c r="O133" s="501"/>
    </row>
    <row r="134" spans="1:15">
      <c r="A134" s="521" t="s">
        <v>291</v>
      </c>
      <c r="B134" s="490">
        <v>0.3</v>
      </c>
      <c r="C134" s="499">
        <f>+C136*0.6</f>
        <v>11220</v>
      </c>
      <c r="D134" s="499">
        <f t="shared" ref="D134:J134" si="76">+D136*0.6</f>
        <v>12840</v>
      </c>
      <c r="E134" s="499">
        <f t="shared" si="76"/>
        <v>14430</v>
      </c>
      <c r="F134" s="499">
        <f t="shared" si="76"/>
        <v>16020</v>
      </c>
      <c r="G134" s="499">
        <f t="shared" si="76"/>
        <v>17310</v>
      </c>
      <c r="H134" s="499">
        <f t="shared" si="76"/>
        <v>18600</v>
      </c>
      <c r="I134" s="499">
        <f t="shared" si="76"/>
        <v>19890</v>
      </c>
      <c r="J134" s="499">
        <f t="shared" si="76"/>
        <v>21150</v>
      </c>
      <c r="K134" s="547"/>
    </row>
    <row r="135" spans="1:15">
      <c r="A135" s="489"/>
      <c r="B135" s="490">
        <v>0.4</v>
      </c>
      <c r="C135" s="499">
        <f t="shared" ref="C135:J135" si="77">+C136*0.8</f>
        <v>14960</v>
      </c>
      <c r="D135" s="499">
        <f t="shared" si="77"/>
        <v>17120</v>
      </c>
      <c r="E135" s="499">
        <f t="shared" si="77"/>
        <v>19240</v>
      </c>
      <c r="F135" s="499">
        <f t="shared" si="77"/>
        <v>21360</v>
      </c>
      <c r="G135" s="499">
        <f t="shared" si="77"/>
        <v>23080</v>
      </c>
      <c r="H135" s="499">
        <f t="shared" si="77"/>
        <v>24800</v>
      </c>
      <c r="I135" s="499">
        <f t="shared" si="77"/>
        <v>26520</v>
      </c>
      <c r="J135" s="499">
        <f t="shared" si="77"/>
        <v>28200</v>
      </c>
      <c r="K135" s="547"/>
      <c r="L135" s="501"/>
      <c r="M135" s="501"/>
      <c r="N135" s="501"/>
      <c r="O135" s="501"/>
    </row>
    <row r="136" spans="1:15">
      <c r="A136" s="489"/>
      <c r="B136" s="490">
        <v>0.5</v>
      </c>
      <c r="C136" s="523">
        <v>18700</v>
      </c>
      <c r="D136" s="523">
        <v>21400</v>
      </c>
      <c r="E136" s="523">
        <v>24050</v>
      </c>
      <c r="F136" s="523">
        <v>26700</v>
      </c>
      <c r="G136" s="523">
        <v>28850</v>
      </c>
      <c r="H136" s="523">
        <v>31000</v>
      </c>
      <c r="I136" s="523">
        <v>33150</v>
      </c>
      <c r="J136" s="523">
        <v>35250</v>
      </c>
      <c r="K136" s="547"/>
      <c r="L136" s="501"/>
      <c r="M136" s="501"/>
      <c r="N136" s="501"/>
      <c r="O136" s="501"/>
    </row>
    <row r="137" spans="1:15">
      <c r="A137" s="489"/>
      <c r="B137" s="490">
        <v>0.6</v>
      </c>
      <c r="C137" s="499">
        <f t="shared" ref="C137:J137" si="78">+C136*1.2</f>
        <v>22440</v>
      </c>
      <c r="D137" s="499">
        <f t="shared" si="78"/>
        <v>25680</v>
      </c>
      <c r="E137" s="499">
        <f t="shared" si="78"/>
        <v>28860</v>
      </c>
      <c r="F137" s="499">
        <f t="shared" si="78"/>
        <v>32040</v>
      </c>
      <c r="G137" s="499">
        <f t="shared" si="78"/>
        <v>34620</v>
      </c>
      <c r="H137" s="499">
        <f t="shared" si="78"/>
        <v>37200</v>
      </c>
      <c r="I137" s="499">
        <f t="shared" si="78"/>
        <v>39780</v>
      </c>
      <c r="J137" s="499">
        <f t="shared" si="78"/>
        <v>42300</v>
      </c>
      <c r="K137" s="547"/>
      <c r="L137" s="501"/>
      <c r="M137" s="501"/>
      <c r="N137" s="501"/>
      <c r="O137" s="501"/>
    </row>
    <row r="138" spans="1:15">
      <c r="A138" s="489"/>
      <c r="B138" s="490">
        <v>0.8</v>
      </c>
      <c r="C138" s="499">
        <f>+C136*1.6</f>
        <v>29920</v>
      </c>
      <c r="D138" s="499">
        <f t="shared" ref="D138:J138" si="79">+D136*1.6</f>
        <v>34240</v>
      </c>
      <c r="E138" s="499">
        <f t="shared" si="79"/>
        <v>38480</v>
      </c>
      <c r="F138" s="499">
        <f t="shared" si="79"/>
        <v>42720</v>
      </c>
      <c r="G138" s="499">
        <f t="shared" si="79"/>
        <v>46160</v>
      </c>
      <c r="H138" s="499">
        <f t="shared" si="79"/>
        <v>49600</v>
      </c>
      <c r="I138" s="499">
        <f t="shared" si="79"/>
        <v>53040</v>
      </c>
      <c r="J138" s="499">
        <f t="shared" si="79"/>
        <v>56400</v>
      </c>
      <c r="K138" s="547"/>
      <c r="L138" s="501"/>
      <c r="M138" s="501"/>
      <c r="N138" s="501"/>
      <c r="O138" s="501"/>
    </row>
    <row r="139" spans="1:15">
      <c r="A139" s="489"/>
      <c r="B139" s="502"/>
      <c r="C139" s="499"/>
      <c r="D139" s="499"/>
      <c r="E139" s="499"/>
      <c r="F139" s="499"/>
      <c r="G139" s="499"/>
      <c r="H139" s="499"/>
      <c r="I139" s="499"/>
      <c r="J139" s="499"/>
      <c r="K139" s="547"/>
      <c r="L139" s="501"/>
      <c r="M139" s="501"/>
      <c r="N139" s="501"/>
      <c r="O139" s="501"/>
    </row>
    <row r="140" spans="1:15">
      <c r="A140" s="521" t="s">
        <v>292</v>
      </c>
      <c r="B140" s="490">
        <v>0.3</v>
      </c>
      <c r="C140" s="499">
        <f>+C142*0.6</f>
        <v>11700</v>
      </c>
      <c r="D140" s="499">
        <f t="shared" ref="D140:J140" si="80">+D142*0.6</f>
        <v>13380</v>
      </c>
      <c r="E140" s="499">
        <f t="shared" si="80"/>
        <v>15060</v>
      </c>
      <c r="F140" s="499">
        <f t="shared" si="80"/>
        <v>16710</v>
      </c>
      <c r="G140" s="499">
        <f t="shared" si="80"/>
        <v>18060</v>
      </c>
      <c r="H140" s="499">
        <f t="shared" si="80"/>
        <v>19410</v>
      </c>
      <c r="I140" s="499">
        <f t="shared" si="80"/>
        <v>20730</v>
      </c>
      <c r="J140" s="499">
        <f t="shared" si="80"/>
        <v>22080</v>
      </c>
      <c r="K140" s="547"/>
    </row>
    <row r="141" spans="1:15">
      <c r="A141" s="489"/>
      <c r="B141" s="490">
        <v>0.4</v>
      </c>
      <c r="C141" s="499">
        <f>+C142*0.8</f>
        <v>15600</v>
      </c>
      <c r="D141" s="499">
        <f t="shared" ref="D141:J141" si="81">+D142*0.8</f>
        <v>17840</v>
      </c>
      <c r="E141" s="499">
        <f t="shared" si="81"/>
        <v>20080</v>
      </c>
      <c r="F141" s="499">
        <f t="shared" si="81"/>
        <v>22280</v>
      </c>
      <c r="G141" s="499">
        <f t="shared" si="81"/>
        <v>24080</v>
      </c>
      <c r="H141" s="499">
        <f t="shared" si="81"/>
        <v>25880</v>
      </c>
      <c r="I141" s="499">
        <f t="shared" si="81"/>
        <v>27640</v>
      </c>
      <c r="J141" s="499">
        <f t="shared" si="81"/>
        <v>29440</v>
      </c>
      <c r="K141" s="547"/>
      <c r="L141" s="501"/>
      <c r="M141" s="501"/>
      <c r="N141" s="501"/>
      <c r="O141" s="501"/>
    </row>
    <row r="142" spans="1:15">
      <c r="A142" s="489"/>
      <c r="B142" s="490">
        <v>0.5</v>
      </c>
      <c r="C142" s="523">
        <v>19500</v>
      </c>
      <c r="D142" s="523">
        <v>22300</v>
      </c>
      <c r="E142" s="523">
        <v>25100</v>
      </c>
      <c r="F142" s="523">
        <v>27850</v>
      </c>
      <c r="G142" s="523">
        <v>30100</v>
      </c>
      <c r="H142" s="523">
        <v>32350</v>
      </c>
      <c r="I142" s="523">
        <v>34550</v>
      </c>
      <c r="J142" s="523">
        <v>36800</v>
      </c>
      <c r="K142" s="547"/>
      <c r="L142" s="501"/>
      <c r="M142" s="501"/>
      <c r="N142" s="501"/>
      <c r="O142" s="501"/>
    </row>
    <row r="143" spans="1:15">
      <c r="A143" s="489"/>
      <c r="B143" s="490">
        <v>0.6</v>
      </c>
      <c r="C143" s="499">
        <f>+C142*1.2</f>
        <v>23400</v>
      </c>
      <c r="D143" s="499">
        <f t="shared" ref="D143:J143" si="82">+D142*1.2</f>
        <v>26760</v>
      </c>
      <c r="E143" s="499">
        <f t="shared" si="82"/>
        <v>30120</v>
      </c>
      <c r="F143" s="499">
        <f t="shared" si="82"/>
        <v>33420</v>
      </c>
      <c r="G143" s="499">
        <f t="shared" si="82"/>
        <v>36120</v>
      </c>
      <c r="H143" s="499">
        <f t="shared" si="82"/>
        <v>38820</v>
      </c>
      <c r="I143" s="499">
        <f t="shared" si="82"/>
        <v>41460</v>
      </c>
      <c r="J143" s="499">
        <f t="shared" si="82"/>
        <v>44160</v>
      </c>
      <c r="K143" s="547"/>
      <c r="L143" s="501"/>
      <c r="M143" s="501"/>
      <c r="N143" s="501"/>
      <c r="O143" s="501"/>
    </row>
    <row r="144" spans="1:15">
      <c r="A144" s="489"/>
      <c r="B144" s="490">
        <v>0.8</v>
      </c>
      <c r="C144" s="499">
        <f>+C142*1.6</f>
        <v>31200</v>
      </c>
      <c r="D144" s="499">
        <f t="shared" ref="D144:J144" si="83">+D142*1.6</f>
        <v>35680</v>
      </c>
      <c r="E144" s="499">
        <f t="shared" si="83"/>
        <v>40160</v>
      </c>
      <c r="F144" s="499">
        <f t="shared" si="83"/>
        <v>44560</v>
      </c>
      <c r="G144" s="499">
        <f t="shared" si="83"/>
        <v>48160</v>
      </c>
      <c r="H144" s="499">
        <f t="shared" si="83"/>
        <v>51760</v>
      </c>
      <c r="I144" s="499">
        <f t="shared" si="83"/>
        <v>55280</v>
      </c>
      <c r="J144" s="499">
        <f t="shared" si="83"/>
        <v>58880</v>
      </c>
      <c r="K144" s="547"/>
      <c r="L144" s="501"/>
      <c r="M144" s="501"/>
      <c r="N144" s="501"/>
      <c r="O144" s="501"/>
    </row>
    <row r="145" spans="1:15">
      <c r="A145" s="489"/>
      <c r="B145" s="502"/>
      <c r="C145" s="499"/>
      <c r="D145" s="499"/>
      <c r="E145" s="499"/>
      <c r="F145" s="499"/>
      <c r="G145" s="499"/>
      <c r="H145" s="499"/>
      <c r="I145" s="499"/>
      <c r="J145" s="499"/>
      <c r="K145" s="547"/>
      <c r="L145" s="501"/>
      <c r="M145" s="501"/>
      <c r="N145" s="501"/>
      <c r="O145" s="501"/>
    </row>
    <row r="146" spans="1:15">
      <c r="A146" s="521" t="s">
        <v>293</v>
      </c>
      <c r="B146" s="490">
        <v>0.3</v>
      </c>
      <c r="C146" s="499">
        <f>+C148*0.6</f>
        <v>12330</v>
      </c>
      <c r="D146" s="499">
        <f t="shared" ref="D146:J146" si="84">+D148*0.6</f>
        <v>14100</v>
      </c>
      <c r="E146" s="499">
        <f t="shared" si="84"/>
        <v>15870</v>
      </c>
      <c r="F146" s="499">
        <f t="shared" si="84"/>
        <v>17610</v>
      </c>
      <c r="G146" s="499">
        <f t="shared" si="84"/>
        <v>19020</v>
      </c>
      <c r="H146" s="499">
        <f t="shared" si="84"/>
        <v>20430</v>
      </c>
      <c r="I146" s="499">
        <f t="shared" si="84"/>
        <v>21840</v>
      </c>
      <c r="J146" s="499">
        <f t="shared" si="84"/>
        <v>23250</v>
      </c>
      <c r="K146" s="547"/>
    </row>
    <row r="147" spans="1:15">
      <c r="A147" s="489"/>
      <c r="B147" s="490">
        <v>0.4</v>
      </c>
      <c r="C147" s="499">
        <f>+C148*0.8</f>
        <v>16440</v>
      </c>
      <c r="D147" s="499">
        <f t="shared" ref="D147:J147" si="85">+D148*0.8</f>
        <v>18800</v>
      </c>
      <c r="E147" s="499">
        <f t="shared" si="85"/>
        <v>21160</v>
      </c>
      <c r="F147" s="499">
        <f t="shared" si="85"/>
        <v>23480</v>
      </c>
      <c r="G147" s="499">
        <f t="shared" si="85"/>
        <v>25360</v>
      </c>
      <c r="H147" s="499">
        <f t="shared" si="85"/>
        <v>27240</v>
      </c>
      <c r="I147" s="499">
        <f t="shared" si="85"/>
        <v>29120</v>
      </c>
      <c r="J147" s="499">
        <f t="shared" si="85"/>
        <v>31000</v>
      </c>
      <c r="K147" s="547"/>
      <c r="L147" s="501"/>
      <c r="M147" s="501"/>
      <c r="N147" s="501"/>
      <c r="O147" s="501"/>
    </row>
    <row r="148" spans="1:15">
      <c r="A148" s="489"/>
      <c r="B148" s="490">
        <v>0.5</v>
      </c>
      <c r="C148" s="523">
        <v>20550</v>
      </c>
      <c r="D148" s="523">
        <v>23500</v>
      </c>
      <c r="E148" s="523">
        <v>26450</v>
      </c>
      <c r="F148" s="523">
        <v>29350</v>
      </c>
      <c r="G148" s="523">
        <v>31700</v>
      </c>
      <c r="H148" s="523">
        <v>34050</v>
      </c>
      <c r="I148" s="523">
        <v>36400</v>
      </c>
      <c r="J148" s="523">
        <v>38750</v>
      </c>
      <c r="K148" s="547"/>
      <c r="L148" s="501"/>
      <c r="M148" s="501"/>
      <c r="N148" s="501"/>
      <c r="O148" s="501"/>
    </row>
    <row r="149" spans="1:15">
      <c r="A149" s="489"/>
      <c r="B149" s="490">
        <v>0.6</v>
      </c>
      <c r="C149" s="499">
        <f>+C148*1.2</f>
        <v>24660</v>
      </c>
      <c r="D149" s="499">
        <f t="shared" ref="D149:J149" si="86">+D148*1.2</f>
        <v>28200</v>
      </c>
      <c r="E149" s="499">
        <f t="shared" si="86"/>
        <v>31740</v>
      </c>
      <c r="F149" s="499">
        <f t="shared" si="86"/>
        <v>35220</v>
      </c>
      <c r="G149" s="499">
        <f t="shared" si="86"/>
        <v>38040</v>
      </c>
      <c r="H149" s="499">
        <f t="shared" si="86"/>
        <v>40860</v>
      </c>
      <c r="I149" s="499">
        <f t="shared" si="86"/>
        <v>43680</v>
      </c>
      <c r="J149" s="499">
        <f t="shared" si="86"/>
        <v>46500</v>
      </c>
      <c r="K149" s="547"/>
      <c r="L149" s="501"/>
      <c r="M149" s="501"/>
      <c r="N149" s="501"/>
      <c r="O149" s="501"/>
    </row>
    <row r="150" spans="1:15">
      <c r="A150" s="489"/>
      <c r="B150" s="490">
        <v>0.8</v>
      </c>
      <c r="C150" s="499">
        <f>+C148*1.6</f>
        <v>32880</v>
      </c>
      <c r="D150" s="499">
        <f t="shared" ref="D150:J150" si="87">+D148*1.6</f>
        <v>37600</v>
      </c>
      <c r="E150" s="499">
        <f t="shared" si="87"/>
        <v>42320</v>
      </c>
      <c r="F150" s="499">
        <f t="shared" si="87"/>
        <v>46960</v>
      </c>
      <c r="G150" s="499">
        <f t="shared" si="87"/>
        <v>50720</v>
      </c>
      <c r="H150" s="499">
        <f t="shared" si="87"/>
        <v>54480</v>
      </c>
      <c r="I150" s="499">
        <f t="shared" si="87"/>
        <v>58240</v>
      </c>
      <c r="J150" s="499">
        <f t="shared" si="87"/>
        <v>62000</v>
      </c>
      <c r="K150" s="547"/>
      <c r="L150" s="501"/>
      <c r="M150" s="501"/>
      <c r="N150" s="501"/>
      <c r="O150" s="501"/>
    </row>
    <row r="151" spans="1:15">
      <c r="A151" s="489"/>
      <c r="B151" s="502"/>
      <c r="C151" s="499"/>
      <c r="D151" s="499"/>
      <c r="E151" s="499"/>
      <c r="F151" s="499"/>
      <c r="G151" s="499"/>
      <c r="H151" s="499"/>
      <c r="I151" s="499"/>
      <c r="J151" s="499"/>
      <c r="K151" s="547"/>
      <c r="L151" s="501"/>
      <c r="M151" s="501"/>
      <c r="N151" s="501"/>
      <c r="O151" s="501"/>
    </row>
    <row r="152" spans="1:15">
      <c r="A152" s="521" t="s">
        <v>294</v>
      </c>
      <c r="B152" s="490">
        <v>0.3</v>
      </c>
      <c r="C152" s="499">
        <f>+C154*0.6</f>
        <v>11220</v>
      </c>
      <c r="D152" s="499">
        <f t="shared" ref="D152:J152" si="88">+D154*0.6</f>
        <v>12840</v>
      </c>
      <c r="E152" s="499">
        <f t="shared" si="88"/>
        <v>14430</v>
      </c>
      <c r="F152" s="499">
        <f t="shared" si="88"/>
        <v>16020</v>
      </c>
      <c r="G152" s="499">
        <f t="shared" si="88"/>
        <v>17310</v>
      </c>
      <c r="H152" s="499">
        <f t="shared" si="88"/>
        <v>18600</v>
      </c>
      <c r="I152" s="499">
        <f t="shared" si="88"/>
        <v>19890</v>
      </c>
      <c r="J152" s="499">
        <f t="shared" si="88"/>
        <v>21150</v>
      </c>
      <c r="K152" s="547"/>
    </row>
    <row r="153" spans="1:15">
      <c r="A153" s="489"/>
      <c r="B153" s="490">
        <v>0.4</v>
      </c>
      <c r="C153" s="499">
        <f t="shared" ref="C153:J153" si="89">+C154*0.8</f>
        <v>14960</v>
      </c>
      <c r="D153" s="499">
        <f t="shared" si="89"/>
        <v>17120</v>
      </c>
      <c r="E153" s="499">
        <f t="shared" si="89"/>
        <v>19240</v>
      </c>
      <c r="F153" s="499">
        <f t="shared" si="89"/>
        <v>21360</v>
      </c>
      <c r="G153" s="499">
        <f t="shared" si="89"/>
        <v>23080</v>
      </c>
      <c r="H153" s="499">
        <f t="shared" si="89"/>
        <v>24800</v>
      </c>
      <c r="I153" s="499">
        <f t="shared" si="89"/>
        <v>26520</v>
      </c>
      <c r="J153" s="499">
        <f t="shared" si="89"/>
        <v>28200</v>
      </c>
      <c r="K153" s="547"/>
      <c r="L153" s="501"/>
      <c r="M153" s="501"/>
      <c r="N153" s="501"/>
      <c r="O153" s="501"/>
    </row>
    <row r="154" spans="1:15">
      <c r="A154" s="489"/>
      <c r="B154" s="490">
        <v>0.5</v>
      </c>
      <c r="C154" s="523">
        <v>18700</v>
      </c>
      <c r="D154" s="523">
        <v>21400</v>
      </c>
      <c r="E154" s="523">
        <v>24050</v>
      </c>
      <c r="F154" s="523">
        <v>26700</v>
      </c>
      <c r="G154" s="523">
        <v>28850</v>
      </c>
      <c r="H154" s="523">
        <v>31000</v>
      </c>
      <c r="I154" s="523">
        <v>33150</v>
      </c>
      <c r="J154" s="523">
        <v>35250</v>
      </c>
      <c r="K154" s="547"/>
      <c r="L154" s="501"/>
      <c r="M154" s="501"/>
      <c r="N154" s="501"/>
      <c r="O154" s="501"/>
    </row>
    <row r="155" spans="1:15">
      <c r="A155" s="489"/>
      <c r="B155" s="490">
        <v>0.6</v>
      </c>
      <c r="C155" s="499">
        <f t="shared" ref="C155:J155" si="90">+C154*1.2</f>
        <v>22440</v>
      </c>
      <c r="D155" s="499">
        <f t="shared" si="90"/>
        <v>25680</v>
      </c>
      <c r="E155" s="499">
        <f t="shared" si="90"/>
        <v>28860</v>
      </c>
      <c r="F155" s="499">
        <f t="shared" si="90"/>
        <v>32040</v>
      </c>
      <c r="G155" s="499">
        <f t="shared" si="90"/>
        <v>34620</v>
      </c>
      <c r="H155" s="499">
        <f t="shared" si="90"/>
        <v>37200</v>
      </c>
      <c r="I155" s="499">
        <f t="shared" si="90"/>
        <v>39780</v>
      </c>
      <c r="J155" s="499">
        <f t="shared" si="90"/>
        <v>42300</v>
      </c>
      <c r="K155" s="547"/>
      <c r="L155" s="501"/>
      <c r="M155" s="501"/>
      <c r="N155" s="501"/>
      <c r="O155" s="501"/>
    </row>
    <row r="156" spans="1:15">
      <c r="A156" s="489"/>
      <c r="B156" s="490">
        <v>0.8</v>
      </c>
      <c r="C156" s="499">
        <f>+C154*1.6</f>
        <v>29920</v>
      </c>
      <c r="D156" s="499">
        <f t="shared" ref="D156:J156" si="91">+D154*1.6</f>
        <v>34240</v>
      </c>
      <c r="E156" s="499">
        <f t="shared" si="91"/>
        <v>38480</v>
      </c>
      <c r="F156" s="499">
        <f t="shared" si="91"/>
        <v>42720</v>
      </c>
      <c r="G156" s="499">
        <f t="shared" si="91"/>
        <v>46160</v>
      </c>
      <c r="H156" s="499">
        <f t="shared" si="91"/>
        <v>49600</v>
      </c>
      <c r="I156" s="499">
        <f t="shared" si="91"/>
        <v>53040</v>
      </c>
      <c r="J156" s="499">
        <f t="shared" si="91"/>
        <v>56400</v>
      </c>
      <c r="K156" s="547"/>
      <c r="L156" s="501"/>
      <c r="M156" s="501"/>
      <c r="N156" s="501"/>
      <c r="O156" s="501"/>
    </row>
    <row r="157" spans="1:15">
      <c r="A157" s="489"/>
      <c r="B157" s="502"/>
      <c r="C157" s="499"/>
      <c r="D157" s="499"/>
      <c r="E157" s="499"/>
      <c r="F157" s="499"/>
      <c r="G157" s="499"/>
      <c r="H157" s="499"/>
      <c r="I157" s="499"/>
      <c r="J157" s="499"/>
      <c r="K157" s="547"/>
      <c r="L157" s="501"/>
      <c r="M157" s="501"/>
      <c r="N157" s="501"/>
      <c r="O157" s="501"/>
    </row>
    <row r="158" spans="1:15">
      <c r="A158" s="521" t="s">
        <v>295</v>
      </c>
      <c r="B158" s="490">
        <v>0.3</v>
      </c>
      <c r="C158" s="499">
        <f>+C160*0.6</f>
        <v>11220</v>
      </c>
      <c r="D158" s="499">
        <f t="shared" ref="D158:J158" si="92">+D160*0.6</f>
        <v>12840</v>
      </c>
      <c r="E158" s="499">
        <f t="shared" si="92"/>
        <v>14430</v>
      </c>
      <c r="F158" s="499">
        <f t="shared" si="92"/>
        <v>16020</v>
      </c>
      <c r="G158" s="499">
        <f t="shared" si="92"/>
        <v>17310</v>
      </c>
      <c r="H158" s="499">
        <f t="shared" si="92"/>
        <v>18600</v>
      </c>
      <c r="I158" s="499">
        <f t="shared" si="92"/>
        <v>19890</v>
      </c>
      <c r="J158" s="499">
        <f t="shared" si="92"/>
        <v>21150</v>
      </c>
      <c r="K158" s="547"/>
    </row>
    <row r="159" spans="1:15">
      <c r="A159" s="489"/>
      <c r="B159" s="490">
        <v>0.4</v>
      </c>
      <c r="C159" s="499">
        <f t="shared" ref="C159:J159" si="93">+C160*0.8</f>
        <v>14960</v>
      </c>
      <c r="D159" s="499">
        <f t="shared" si="93"/>
        <v>17120</v>
      </c>
      <c r="E159" s="499">
        <f t="shared" si="93"/>
        <v>19240</v>
      </c>
      <c r="F159" s="499">
        <f t="shared" si="93"/>
        <v>21360</v>
      </c>
      <c r="G159" s="499">
        <f t="shared" si="93"/>
        <v>23080</v>
      </c>
      <c r="H159" s="499">
        <f t="shared" si="93"/>
        <v>24800</v>
      </c>
      <c r="I159" s="499">
        <f t="shared" si="93"/>
        <v>26520</v>
      </c>
      <c r="J159" s="499">
        <f t="shared" si="93"/>
        <v>28200</v>
      </c>
      <c r="K159" s="547"/>
      <c r="L159" s="501"/>
      <c r="M159" s="501"/>
      <c r="N159" s="501"/>
      <c r="O159" s="501"/>
    </row>
    <row r="160" spans="1:15">
      <c r="A160" s="489"/>
      <c r="B160" s="490">
        <v>0.5</v>
      </c>
      <c r="C160" s="523">
        <v>18700</v>
      </c>
      <c r="D160" s="523">
        <v>21400</v>
      </c>
      <c r="E160" s="523">
        <v>24050</v>
      </c>
      <c r="F160" s="523">
        <v>26700</v>
      </c>
      <c r="G160" s="523">
        <v>28850</v>
      </c>
      <c r="H160" s="523">
        <v>31000</v>
      </c>
      <c r="I160" s="523">
        <v>33150</v>
      </c>
      <c r="J160" s="523">
        <v>35250</v>
      </c>
      <c r="K160" s="547"/>
      <c r="L160" s="501"/>
      <c r="M160" s="501"/>
      <c r="N160" s="501"/>
      <c r="O160" s="501"/>
    </row>
    <row r="161" spans="1:15">
      <c r="A161" s="489"/>
      <c r="B161" s="490">
        <v>0.6</v>
      </c>
      <c r="C161" s="499">
        <f t="shared" ref="C161:J161" si="94">+C160*1.2</f>
        <v>22440</v>
      </c>
      <c r="D161" s="499">
        <f t="shared" si="94"/>
        <v>25680</v>
      </c>
      <c r="E161" s="499">
        <f t="shared" si="94"/>
        <v>28860</v>
      </c>
      <c r="F161" s="499">
        <f t="shared" si="94"/>
        <v>32040</v>
      </c>
      <c r="G161" s="499">
        <f t="shared" si="94"/>
        <v>34620</v>
      </c>
      <c r="H161" s="499">
        <f t="shared" si="94"/>
        <v>37200</v>
      </c>
      <c r="I161" s="499">
        <f t="shared" si="94"/>
        <v>39780</v>
      </c>
      <c r="J161" s="499">
        <f t="shared" si="94"/>
        <v>42300</v>
      </c>
      <c r="K161" s="547"/>
      <c r="L161" s="501"/>
      <c r="M161" s="501"/>
      <c r="N161" s="501"/>
      <c r="O161" s="501"/>
    </row>
    <row r="162" spans="1:15">
      <c r="A162" s="489"/>
      <c r="B162" s="490">
        <v>0.8</v>
      </c>
      <c r="C162" s="499">
        <f>+C160*1.6</f>
        <v>29920</v>
      </c>
      <c r="D162" s="499">
        <f t="shared" ref="D162:J162" si="95">+D160*1.6</f>
        <v>34240</v>
      </c>
      <c r="E162" s="499">
        <f t="shared" si="95"/>
        <v>38480</v>
      </c>
      <c r="F162" s="499">
        <f t="shared" si="95"/>
        <v>42720</v>
      </c>
      <c r="G162" s="499">
        <f t="shared" si="95"/>
        <v>46160</v>
      </c>
      <c r="H162" s="499">
        <f t="shared" si="95"/>
        <v>49600</v>
      </c>
      <c r="I162" s="499">
        <f t="shared" si="95"/>
        <v>53040</v>
      </c>
      <c r="J162" s="499">
        <f t="shared" si="95"/>
        <v>56400</v>
      </c>
      <c r="K162" s="547"/>
      <c r="L162" s="501"/>
      <c r="M162" s="501"/>
      <c r="N162" s="501"/>
      <c r="O162" s="501"/>
    </row>
    <row r="163" spans="1:15">
      <c r="A163" s="489"/>
      <c r="B163" s="502"/>
      <c r="C163" s="499"/>
      <c r="D163" s="499"/>
      <c r="E163" s="499"/>
      <c r="F163" s="499"/>
      <c r="G163" s="499"/>
      <c r="H163" s="499"/>
      <c r="I163" s="499"/>
      <c r="J163" s="499"/>
      <c r="K163" s="547"/>
      <c r="L163" s="501"/>
      <c r="M163" s="501"/>
      <c r="N163" s="501"/>
      <c r="O163" s="501"/>
    </row>
    <row r="164" spans="1:15">
      <c r="A164" s="521" t="s">
        <v>296</v>
      </c>
      <c r="B164" s="490">
        <v>0.3</v>
      </c>
      <c r="C164" s="499">
        <f>+C166*0.6</f>
        <v>11220</v>
      </c>
      <c r="D164" s="499">
        <f t="shared" ref="D164:J164" si="96">+D166*0.6</f>
        <v>12840</v>
      </c>
      <c r="E164" s="499">
        <f t="shared" si="96"/>
        <v>14430</v>
      </c>
      <c r="F164" s="499">
        <f t="shared" si="96"/>
        <v>16020</v>
      </c>
      <c r="G164" s="499">
        <f t="shared" si="96"/>
        <v>17310</v>
      </c>
      <c r="H164" s="499">
        <f t="shared" si="96"/>
        <v>18600</v>
      </c>
      <c r="I164" s="499">
        <f t="shared" si="96"/>
        <v>19890</v>
      </c>
      <c r="J164" s="499">
        <f t="shared" si="96"/>
        <v>21150</v>
      </c>
      <c r="K164" s="547"/>
    </row>
    <row r="165" spans="1:15">
      <c r="A165" s="489"/>
      <c r="B165" s="490">
        <v>0.4</v>
      </c>
      <c r="C165" s="499">
        <f t="shared" ref="C165:J165" si="97">+C166*0.8</f>
        <v>14960</v>
      </c>
      <c r="D165" s="499">
        <f t="shared" si="97"/>
        <v>17120</v>
      </c>
      <c r="E165" s="499">
        <f t="shared" si="97"/>
        <v>19240</v>
      </c>
      <c r="F165" s="499">
        <f t="shared" si="97"/>
        <v>21360</v>
      </c>
      <c r="G165" s="499">
        <f t="shared" si="97"/>
        <v>23080</v>
      </c>
      <c r="H165" s="499">
        <f t="shared" si="97"/>
        <v>24800</v>
      </c>
      <c r="I165" s="499">
        <f t="shared" si="97"/>
        <v>26520</v>
      </c>
      <c r="J165" s="499">
        <f t="shared" si="97"/>
        <v>28200</v>
      </c>
      <c r="K165" s="547"/>
      <c r="L165" s="501"/>
      <c r="M165" s="501"/>
      <c r="N165" s="501"/>
      <c r="O165" s="501"/>
    </row>
    <row r="166" spans="1:15">
      <c r="A166" s="489"/>
      <c r="B166" s="490">
        <v>0.5</v>
      </c>
      <c r="C166" s="523">
        <v>18700</v>
      </c>
      <c r="D166" s="523">
        <v>21400</v>
      </c>
      <c r="E166" s="523">
        <v>24050</v>
      </c>
      <c r="F166" s="523">
        <v>26700</v>
      </c>
      <c r="G166" s="523">
        <v>28850</v>
      </c>
      <c r="H166" s="523">
        <v>31000</v>
      </c>
      <c r="I166" s="523">
        <v>33150</v>
      </c>
      <c r="J166" s="523">
        <v>35250</v>
      </c>
      <c r="K166" s="547"/>
      <c r="L166" s="501"/>
      <c r="M166" s="501"/>
      <c r="N166" s="501"/>
      <c r="O166" s="501"/>
    </row>
    <row r="167" spans="1:15">
      <c r="A167" s="489"/>
      <c r="B167" s="490">
        <v>0.6</v>
      </c>
      <c r="C167" s="499">
        <f t="shared" ref="C167:J167" si="98">+C166*1.2</f>
        <v>22440</v>
      </c>
      <c r="D167" s="499">
        <f t="shared" si="98"/>
        <v>25680</v>
      </c>
      <c r="E167" s="499">
        <f t="shared" si="98"/>
        <v>28860</v>
      </c>
      <c r="F167" s="499">
        <f t="shared" si="98"/>
        <v>32040</v>
      </c>
      <c r="G167" s="499">
        <f t="shared" si="98"/>
        <v>34620</v>
      </c>
      <c r="H167" s="499">
        <f t="shared" si="98"/>
        <v>37200</v>
      </c>
      <c r="I167" s="499">
        <f t="shared" si="98"/>
        <v>39780</v>
      </c>
      <c r="J167" s="499">
        <f t="shared" si="98"/>
        <v>42300</v>
      </c>
      <c r="K167" s="547"/>
      <c r="L167" s="501"/>
      <c r="M167" s="501"/>
      <c r="N167" s="501"/>
      <c r="O167" s="501"/>
    </row>
    <row r="168" spans="1:15">
      <c r="A168" s="489"/>
      <c r="B168" s="490">
        <v>0.8</v>
      </c>
      <c r="C168" s="499">
        <f>+C166*1.6</f>
        <v>29920</v>
      </c>
      <c r="D168" s="499">
        <f t="shared" ref="D168:J168" si="99">+D166*1.6</f>
        <v>34240</v>
      </c>
      <c r="E168" s="499">
        <f t="shared" si="99"/>
        <v>38480</v>
      </c>
      <c r="F168" s="499">
        <f t="shared" si="99"/>
        <v>42720</v>
      </c>
      <c r="G168" s="499">
        <f t="shared" si="99"/>
        <v>46160</v>
      </c>
      <c r="H168" s="499">
        <f t="shared" si="99"/>
        <v>49600</v>
      </c>
      <c r="I168" s="499">
        <f t="shared" si="99"/>
        <v>53040</v>
      </c>
      <c r="J168" s="499">
        <f t="shared" si="99"/>
        <v>56400</v>
      </c>
      <c r="K168" s="547"/>
      <c r="L168" s="501"/>
      <c r="M168" s="501"/>
      <c r="N168" s="501"/>
      <c r="O168" s="501"/>
    </row>
    <row r="169" spans="1:15">
      <c r="A169" s="489"/>
      <c r="B169" s="490"/>
      <c r="C169" s="499"/>
      <c r="D169" s="499"/>
      <c r="E169" s="499"/>
      <c r="F169" s="499"/>
      <c r="G169" s="499"/>
      <c r="H169" s="499"/>
      <c r="I169" s="499"/>
      <c r="J169" s="499"/>
      <c r="K169" s="547"/>
      <c r="L169" s="501"/>
      <c r="M169" s="501"/>
      <c r="N169" s="501"/>
      <c r="O169" s="501"/>
    </row>
    <row r="170" spans="1:15">
      <c r="A170" s="495" t="s">
        <v>186</v>
      </c>
      <c r="B170" s="496" t="s">
        <v>372</v>
      </c>
      <c r="C170" s="495" t="s">
        <v>33</v>
      </c>
      <c r="D170" s="495" t="s">
        <v>34</v>
      </c>
      <c r="E170" s="495" t="s">
        <v>35</v>
      </c>
      <c r="F170" s="495" t="s">
        <v>36</v>
      </c>
      <c r="G170" s="495" t="s">
        <v>37</v>
      </c>
      <c r="H170" s="495" t="s">
        <v>38</v>
      </c>
      <c r="I170" s="495" t="s">
        <v>188</v>
      </c>
      <c r="J170" s="495" t="s">
        <v>189</v>
      </c>
      <c r="K170" s="497"/>
      <c r="L170" s="501"/>
      <c r="M170" s="501"/>
      <c r="N170" s="501"/>
      <c r="O170" s="501"/>
    </row>
    <row r="171" spans="1:15">
      <c r="A171" s="498"/>
      <c r="B171" s="486"/>
      <c r="C171" s="498"/>
      <c r="D171" s="498"/>
      <c r="E171" s="498"/>
      <c r="F171" s="498"/>
      <c r="G171" s="498"/>
      <c r="H171" s="498"/>
      <c r="I171" s="498"/>
      <c r="J171" s="498"/>
      <c r="K171" s="497"/>
      <c r="L171" s="501"/>
      <c r="M171" s="501"/>
      <c r="N171" s="501"/>
      <c r="O171" s="501"/>
    </row>
    <row r="172" spans="1:15">
      <c r="A172" s="521" t="s">
        <v>297</v>
      </c>
      <c r="B172" s="490">
        <v>0.3</v>
      </c>
      <c r="C172" s="499">
        <f>+C174*0.6</f>
        <v>11640</v>
      </c>
      <c r="D172" s="499">
        <f t="shared" ref="D172:J172" si="100">+D174*0.6</f>
        <v>13290</v>
      </c>
      <c r="E172" s="499">
        <f t="shared" si="100"/>
        <v>14940</v>
      </c>
      <c r="F172" s="499">
        <f t="shared" si="100"/>
        <v>16590</v>
      </c>
      <c r="G172" s="499">
        <f t="shared" si="100"/>
        <v>17940</v>
      </c>
      <c r="H172" s="499">
        <f t="shared" si="100"/>
        <v>19260</v>
      </c>
      <c r="I172" s="499">
        <f t="shared" si="100"/>
        <v>20580</v>
      </c>
      <c r="J172" s="499">
        <f t="shared" si="100"/>
        <v>21900</v>
      </c>
      <c r="K172" s="547"/>
    </row>
    <row r="173" spans="1:15">
      <c r="A173" s="489"/>
      <c r="B173" s="490">
        <v>0.4</v>
      </c>
      <c r="C173" s="499">
        <f>+C174*0.8</f>
        <v>15520</v>
      </c>
      <c r="D173" s="499">
        <f t="shared" ref="D173:J173" si="101">+D174*0.8</f>
        <v>17720</v>
      </c>
      <c r="E173" s="499">
        <f t="shared" si="101"/>
        <v>19920</v>
      </c>
      <c r="F173" s="499">
        <f t="shared" si="101"/>
        <v>22120</v>
      </c>
      <c r="G173" s="499">
        <f t="shared" si="101"/>
        <v>23920</v>
      </c>
      <c r="H173" s="499">
        <f t="shared" si="101"/>
        <v>25680</v>
      </c>
      <c r="I173" s="499">
        <f t="shared" si="101"/>
        <v>27440</v>
      </c>
      <c r="J173" s="499">
        <f t="shared" si="101"/>
        <v>29200</v>
      </c>
      <c r="K173" s="547"/>
      <c r="L173" s="501"/>
      <c r="M173" s="501"/>
      <c r="N173" s="501"/>
      <c r="O173" s="501"/>
    </row>
    <row r="174" spans="1:15">
      <c r="A174" s="489"/>
      <c r="B174" s="490">
        <v>0.5</v>
      </c>
      <c r="C174" s="523">
        <v>19400</v>
      </c>
      <c r="D174" s="523">
        <v>22150</v>
      </c>
      <c r="E174" s="523">
        <v>24900</v>
      </c>
      <c r="F174" s="523">
        <v>27650</v>
      </c>
      <c r="G174" s="523">
        <v>29900</v>
      </c>
      <c r="H174" s="523">
        <v>32100</v>
      </c>
      <c r="I174" s="523">
        <v>34300</v>
      </c>
      <c r="J174" s="523">
        <v>36500</v>
      </c>
      <c r="K174" s="547"/>
      <c r="L174" s="501"/>
      <c r="M174" s="501"/>
      <c r="N174" s="501"/>
      <c r="O174" s="501"/>
    </row>
    <row r="175" spans="1:15">
      <c r="A175" s="489"/>
      <c r="B175" s="490">
        <v>0.6</v>
      </c>
      <c r="C175" s="499">
        <f>+C174*1.2</f>
        <v>23280</v>
      </c>
      <c r="D175" s="499">
        <f t="shared" ref="D175:J175" si="102">+D174*1.2</f>
        <v>26580</v>
      </c>
      <c r="E175" s="499">
        <f t="shared" si="102"/>
        <v>29880</v>
      </c>
      <c r="F175" s="499">
        <f t="shared" si="102"/>
        <v>33180</v>
      </c>
      <c r="G175" s="499">
        <f t="shared" si="102"/>
        <v>35880</v>
      </c>
      <c r="H175" s="499">
        <f t="shared" si="102"/>
        <v>38520</v>
      </c>
      <c r="I175" s="499">
        <f t="shared" si="102"/>
        <v>41160</v>
      </c>
      <c r="J175" s="499">
        <f t="shared" si="102"/>
        <v>43800</v>
      </c>
      <c r="K175" s="547"/>
      <c r="L175" s="501"/>
      <c r="M175" s="501"/>
      <c r="N175" s="501"/>
      <c r="O175" s="501"/>
    </row>
    <row r="176" spans="1:15">
      <c r="A176" s="489"/>
      <c r="B176" s="490">
        <v>0.8</v>
      </c>
      <c r="C176" s="499">
        <f>+C174*1.6</f>
        <v>31040</v>
      </c>
      <c r="D176" s="499">
        <f t="shared" ref="D176:J176" si="103">+D174*1.6</f>
        <v>35440</v>
      </c>
      <c r="E176" s="499">
        <f t="shared" si="103"/>
        <v>39840</v>
      </c>
      <c r="F176" s="499">
        <f t="shared" si="103"/>
        <v>44240</v>
      </c>
      <c r="G176" s="499">
        <f t="shared" si="103"/>
        <v>47840</v>
      </c>
      <c r="H176" s="499">
        <f t="shared" si="103"/>
        <v>51360</v>
      </c>
      <c r="I176" s="499">
        <f t="shared" si="103"/>
        <v>54880</v>
      </c>
      <c r="J176" s="499">
        <f t="shared" si="103"/>
        <v>58400</v>
      </c>
      <c r="K176" s="547"/>
      <c r="L176" s="501"/>
      <c r="M176" s="501"/>
      <c r="N176" s="501"/>
      <c r="O176" s="501"/>
    </row>
    <row r="177" spans="1:15">
      <c r="A177" s="489"/>
      <c r="B177" s="502"/>
      <c r="C177" s="499"/>
      <c r="D177" s="499"/>
      <c r="E177" s="499"/>
      <c r="F177" s="499"/>
      <c r="G177" s="499"/>
      <c r="H177" s="499"/>
      <c r="I177" s="499"/>
      <c r="J177" s="499"/>
      <c r="K177" s="547"/>
      <c r="L177" s="501"/>
      <c r="M177" s="501"/>
      <c r="N177" s="501"/>
      <c r="O177" s="501"/>
    </row>
    <row r="178" spans="1:15">
      <c r="A178" s="521" t="s">
        <v>298</v>
      </c>
      <c r="B178" s="490">
        <v>0.3</v>
      </c>
      <c r="C178" s="499">
        <f>+C180*0.6</f>
        <v>11580</v>
      </c>
      <c r="D178" s="499">
        <f t="shared" ref="D178:J178" si="104">+D180*0.6</f>
        <v>13230</v>
      </c>
      <c r="E178" s="499">
        <f t="shared" si="104"/>
        <v>14880</v>
      </c>
      <c r="F178" s="499">
        <f t="shared" si="104"/>
        <v>16530</v>
      </c>
      <c r="G178" s="499">
        <f t="shared" si="104"/>
        <v>17880</v>
      </c>
      <c r="H178" s="499">
        <f t="shared" si="104"/>
        <v>19200</v>
      </c>
      <c r="I178" s="499">
        <f t="shared" si="104"/>
        <v>20520</v>
      </c>
      <c r="J178" s="499">
        <f t="shared" si="104"/>
        <v>21840</v>
      </c>
      <c r="K178" s="547"/>
    </row>
    <row r="179" spans="1:15">
      <c r="A179" s="489"/>
      <c r="B179" s="490">
        <v>0.4</v>
      </c>
      <c r="C179" s="499">
        <f>+C180*0.8</f>
        <v>15440</v>
      </c>
      <c r="D179" s="499">
        <f t="shared" ref="D179:J179" si="105">+D180*0.8</f>
        <v>17640</v>
      </c>
      <c r="E179" s="499">
        <f t="shared" si="105"/>
        <v>19840</v>
      </c>
      <c r="F179" s="499">
        <f t="shared" si="105"/>
        <v>22040</v>
      </c>
      <c r="G179" s="499">
        <f t="shared" si="105"/>
        <v>23840</v>
      </c>
      <c r="H179" s="499">
        <f t="shared" si="105"/>
        <v>25600</v>
      </c>
      <c r="I179" s="499">
        <f t="shared" si="105"/>
        <v>27360</v>
      </c>
      <c r="J179" s="499">
        <f t="shared" si="105"/>
        <v>29120</v>
      </c>
      <c r="K179" s="547"/>
      <c r="L179" s="501"/>
      <c r="M179" s="501"/>
      <c r="N179" s="501"/>
      <c r="O179" s="501"/>
    </row>
    <row r="180" spans="1:15">
      <c r="A180" s="489"/>
      <c r="B180" s="490">
        <v>0.5</v>
      </c>
      <c r="C180" s="523">
        <v>19300</v>
      </c>
      <c r="D180" s="523">
        <v>22050</v>
      </c>
      <c r="E180" s="523">
        <v>24800</v>
      </c>
      <c r="F180" s="523">
        <v>27550</v>
      </c>
      <c r="G180" s="523">
        <v>29800</v>
      </c>
      <c r="H180" s="523">
        <v>32000</v>
      </c>
      <c r="I180" s="523">
        <v>34200</v>
      </c>
      <c r="J180" s="523">
        <v>36400</v>
      </c>
      <c r="K180" s="547"/>
      <c r="L180" s="501"/>
      <c r="M180" s="501"/>
      <c r="N180" s="501"/>
      <c r="O180" s="501"/>
    </row>
    <row r="181" spans="1:15">
      <c r="A181" s="489"/>
      <c r="B181" s="490">
        <v>0.6</v>
      </c>
      <c r="C181" s="499">
        <f>+C180*1.2</f>
        <v>23160</v>
      </c>
      <c r="D181" s="499">
        <f t="shared" ref="D181:J181" si="106">+D180*1.2</f>
        <v>26460</v>
      </c>
      <c r="E181" s="499">
        <f t="shared" si="106"/>
        <v>29760</v>
      </c>
      <c r="F181" s="499">
        <f t="shared" si="106"/>
        <v>33060</v>
      </c>
      <c r="G181" s="499">
        <f t="shared" si="106"/>
        <v>35760</v>
      </c>
      <c r="H181" s="499">
        <f t="shared" si="106"/>
        <v>38400</v>
      </c>
      <c r="I181" s="499">
        <f t="shared" si="106"/>
        <v>41040</v>
      </c>
      <c r="J181" s="499">
        <f t="shared" si="106"/>
        <v>43680</v>
      </c>
      <c r="K181" s="547"/>
      <c r="L181" s="501"/>
      <c r="M181" s="501"/>
      <c r="N181" s="501"/>
      <c r="O181" s="501"/>
    </row>
    <row r="182" spans="1:15">
      <c r="A182" s="489"/>
      <c r="B182" s="490">
        <v>0.8</v>
      </c>
      <c r="C182" s="499">
        <f>+C180*1.6</f>
        <v>30880</v>
      </c>
      <c r="D182" s="499">
        <f t="shared" ref="D182:J182" si="107">+D180*1.6</f>
        <v>35280</v>
      </c>
      <c r="E182" s="499">
        <f t="shared" si="107"/>
        <v>39680</v>
      </c>
      <c r="F182" s="499">
        <f t="shared" si="107"/>
        <v>44080</v>
      </c>
      <c r="G182" s="499">
        <f t="shared" si="107"/>
        <v>47680</v>
      </c>
      <c r="H182" s="499">
        <f t="shared" si="107"/>
        <v>51200</v>
      </c>
      <c r="I182" s="499">
        <f t="shared" si="107"/>
        <v>54720</v>
      </c>
      <c r="J182" s="499">
        <f t="shared" si="107"/>
        <v>58240</v>
      </c>
      <c r="K182" s="547"/>
      <c r="L182" s="501"/>
      <c r="M182" s="501"/>
      <c r="N182" s="501"/>
      <c r="O182" s="501"/>
    </row>
    <row r="183" spans="1:15">
      <c r="A183" s="489"/>
      <c r="B183" s="502"/>
      <c r="C183" s="499"/>
      <c r="D183" s="499"/>
      <c r="E183" s="499"/>
      <c r="F183" s="499"/>
      <c r="G183" s="499"/>
      <c r="H183" s="499"/>
      <c r="I183" s="499"/>
      <c r="J183" s="499"/>
      <c r="K183" s="547"/>
      <c r="L183" s="501"/>
      <c r="M183" s="501"/>
      <c r="N183" s="501"/>
      <c r="O183" s="501"/>
    </row>
    <row r="184" spans="1:15">
      <c r="A184" s="521" t="s">
        <v>299</v>
      </c>
      <c r="B184" s="490">
        <v>0.3</v>
      </c>
      <c r="C184" s="499">
        <f>+C186*0.6</f>
        <v>12000</v>
      </c>
      <c r="D184" s="499">
        <f t="shared" ref="D184:J184" si="108">+D186*0.6</f>
        <v>13710</v>
      </c>
      <c r="E184" s="499">
        <f t="shared" si="108"/>
        <v>15420</v>
      </c>
      <c r="F184" s="499">
        <f t="shared" si="108"/>
        <v>17130</v>
      </c>
      <c r="G184" s="499">
        <f t="shared" si="108"/>
        <v>18510</v>
      </c>
      <c r="H184" s="499">
        <f t="shared" si="108"/>
        <v>19890</v>
      </c>
      <c r="I184" s="499">
        <f t="shared" si="108"/>
        <v>21270</v>
      </c>
      <c r="J184" s="499">
        <f t="shared" si="108"/>
        <v>22620</v>
      </c>
      <c r="K184" s="547"/>
    </row>
    <row r="185" spans="1:15">
      <c r="A185" s="489"/>
      <c r="B185" s="490">
        <v>0.4</v>
      </c>
      <c r="C185" s="552">
        <f>+C186*0.8</f>
        <v>16000</v>
      </c>
      <c r="D185" s="552">
        <f t="shared" ref="D185:J185" si="109">+D186*0.8</f>
        <v>18280</v>
      </c>
      <c r="E185" s="552">
        <f t="shared" si="109"/>
        <v>20560</v>
      </c>
      <c r="F185" s="552">
        <f t="shared" si="109"/>
        <v>22840</v>
      </c>
      <c r="G185" s="552">
        <f t="shared" si="109"/>
        <v>24680</v>
      </c>
      <c r="H185" s="552">
        <f t="shared" si="109"/>
        <v>26520</v>
      </c>
      <c r="I185" s="552">
        <f t="shared" si="109"/>
        <v>28360</v>
      </c>
      <c r="J185" s="552">
        <f t="shared" si="109"/>
        <v>30160</v>
      </c>
      <c r="K185" s="547"/>
      <c r="L185" s="501"/>
      <c r="M185" s="501"/>
      <c r="N185" s="501"/>
      <c r="O185" s="501"/>
    </row>
    <row r="186" spans="1:15">
      <c r="A186" s="489"/>
      <c r="B186" s="490">
        <v>0.5</v>
      </c>
      <c r="C186" s="522">
        <v>20000</v>
      </c>
      <c r="D186" s="522">
        <v>22850</v>
      </c>
      <c r="E186" s="522">
        <v>25700</v>
      </c>
      <c r="F186" s="522">
        <v>28550</v>
      </c>
      <c r="G186" s="522">
        <v>30850</v>
      </c>
      <c r="H186" s="522">
        <v>33150</v>
      </c>
      <c r="I186" s="522">
        <v>35450</v>
      </c>
      <c r="J186" s="522">
        <v>37700</v>
      </c>
      <c r="K186" s="547"/>
      <c r="L186" s="501"/>
      <c r="M186" s="501"/>
      <c r="N186" s="501"/>
      <c r="O186" s="501"/>
    </row>
    <row r="187" spans="1:15">
      <c r="A187" s="489"/>
      <c r="B187" s="490">
        <v>0.6</v>
      </c>
      <c r="C187" s="553">
        <f>+C186*1.2</f>
        <v>24000</v>
      </c>
      <c r="D187" s="553">
        <f t="shared" ref="D187:J187" si="110">+D186*1.2</f>
        <v>27420</v>
      </c>
      <c r="E187" s="553">
        <f t="shared" si="110"/>
        <v>30840</v>
      </c>
      <c r="F187" s="553">
        <f t="shared" si="110"/>
        <v>34260</v>
      </c>
      <c r="G187" s="553">
        <f t="shared" si="110"/>
        <v>37020</v>
      </c>
      <c r="H187" s="553">
        <f t="shared" si="110"/>
        <v>39780</v>
      </c>
      <c r="I187" s="553">
        <f t="shared" si="110"/>
        <v>42540</v>
      </c>
      <c r="J187" s="553">
        <f t="shared" si="110"/>
        <v>45240</v>
      </c>
      <c r="K187" s="547"/>
      <c r="L187" s="501"/>
      <c r="M187" s="501"/>
      <c r="N187" s="501"/>
      <c r="O187" s="501"/>
    </row>
    <row r="188" spans="1:15">
      <c r="A188" s="489"/>
      <c r="B188" s="490">
        <v>0.8</v>
      </c>
      <c r="C188" s="499">
        <f>+C186*1.6</f>
        <v>32000</v>
      </c>
      <c r="D188" s="499">
        <f t="shared" ref="D188:J188" si="111">+D186*1.6</f>
        <v>36560</v>
      </c>
      <c r="E188" s="499">
        <f t="shared" si="111"/>
        <v>41120</v>
      </c>
      <c r="F188" s="499">
        <f t="shared" si="111"/>
        <v>45680</v>
      </c>
      <c r="G188" s="499">
        <f t="shared" si="111"/>
        <v>49360</v>
      </c>
      <c r="H188" s="499">
        <f t="shared" si="111"/>
        <v>53040</v>
      </c>
      <c r="I188" s="499">
        <f t="shared" si="111"/>
        <v>56720</v>
      </c>
      <c r="J188" s="499">
        <f t="shared" si="111"/>
        <v>60320</v>
      </c>
      <c r="K188" s="547"/>
      <c r="L188" s="501"/>
      <c r="M188" s="501"/>
      <c r="N188" s="501"/>
      <c r="O188" s="501"/>
    </row>
    <row r="189" spans="1:15">
      <c r="A189" s="489"/>
      <c r="B189" s="502"/>
      <c r="C189" s="499"/>
      <c r="D189" s="499"/>
      <c r="E189" s="499"/>
      <c r="F189" s="499"/>
      <c r="G189" s="499"/>
      <c r="H189" s="499"/>
      <c r="I189" s="499"/>
      <c r="J189" s="499"/>
      <c r="K189" s="547"/>
      <c r="L189" s="501"/>
      <c r="M189" s="501"/>
      <c r="N189" s="501"/>
      <c r="O189" s="501"/>
    </row>
    <row r="190" spans="1:15">
      <c r="A190" s="521" t="s">
        <v>300</v>
      </c>
      <c r="B190" s="490">
        <v>0.3</v>
      </c>
      <c r="C190" s="499">
        <f>+C192*0.6</f>
        <v>11400</v>
      </c>
      <c r="D190" s="499">
        <f t="shared" ref="D190:J190" si="112">+D192*0.6</f>
        <v>13020</v>
      </c>
      <c r="E190" s="499">
        <f t="shared" si="112"/>
        <v>14640</v>
      </c>
      <c r="F190" s="499">
        <f t="shared" si="112"/>
        <v>16260</v>
      </c>
      <c r="G190" s="499">
        <f t="shared" si="112"/>
        <v>17580</v>
      </c>
      <c r="H190" s="499">
        <f t="shared" si="112"/>
        <v>18870</v>
      </c>
      <c r="I190" s="499">
        <f t="shared" si="112"/>
        <v>20190</v>
      </c>
      <c r="J190" s="499">
        <f t="shared" si="112"/>
        <v>21480</v>
      </c>
      <c r="K190" s="547"/>
    </row>
    <row r="191" spans="1:15">
      <c r="A191" s="489"/>
      <c r="B191" s="490">
        <v>0.4</v>
      </c>
      <c r="C191" s="499">
        <f>+C192*0.8</f>
        <v>15200</v>
      </c>
      <c r="D191" s="499">
        <f t="shared" ref="D191:J191" si="113">+D192*0.8</f>
        <v>17360</v>
      </c>
      <c r="E191" s="499">
        <f t="shared" si="113"/>
        <v>19520</v>
      </c>
      <c r="F191" s="499">
        <f t="shared" si="113"/>
        <v>21680</v>
      </c>
      <c r="G191" s="499">
        <f t="shared" si="113"/>
        <v>23440</v>
      </c>
      <c r="H191" s="499">
        <f t="shared" si="113"/>
        <v>25160</v>
      </c>
      <c r="I191" s="499">
        <f t="shared" si="113"/>
        <v>26920</v>
      </c>
      <c r="J191" s="499">
        <f t="shared" si="113"/>
        <v>28640</v>
      </c>
      <c r="K191" s="547"/>
      <c r="L191" s="501"/>
      <c r="M191" s="501"/>
      <c r="N191" s="501"/>
      <c r="O191" s="501"/>
    </row>
    <row r="192" spans="1:15">
      <c r="A192" s="489"/>
      <c r="B192" s="490">
        <v>0.5</v>
      </c>
      <c r="C192" s="523">
        <v>19000</v>
      </c>
      <c r="D192" s="523">
        <v>21700</v>
      </c>
      <c r="E192" s="523">
        <v>24400</v>
      </c>
      <c r="F192" s="523">
        <v>27100</v>
      </c>
      <c r="G192" s="523">
        <v>29300</v>
      </c>
      <c r="H192" s="523">
        <v>31450</v>
      </c>
      <c r="I192" s="523">
        <v>33650</v>
      </c>
      <c r="J192" s="523">
        <v>35800</v>
      </c>
      <c r="K192" s="547"/>
      <c r="L192" s="501"/>
      <c r="M192" s="501"/>
      <c r="N192" s="501"/>
      <c r="O192" s="501"/>
    </row>
    <row r="193" spans="1:15">
      <c r="A193" s="489"/>
      <c r="B193" s="490">
        <v>0.6</v>
      </c>
      <c r="C193" s="499">
        <f>+C192*1.2</f>
        <v>22800</v>
      </c>
      <c r="D193" s="499">
        <f t="shared" ref="D193:J193" si="114">+D192*1.2</f>
        <v>26040</v>
      </c>
      <c r="E193" s="499">
        <f t="shared" si="114"/>
        <v>29280</v>
      </c>
      <c r="F193" s="499">
        <f t="shared" si="114"/>
        <v>32520</v>
      </c>
      <c r="G193" s="499">
        <f t="shared" si="114"/>
        <v>35160</v>
      </c>
      <c r="H193" s="499">
        <f t="shared" si="114"/>
        <v>37740</v>
      </c>
      <c r="I193" s="499">
        <f t="shared" si="114"/>
        <v>40380</v>
      </c>
      <c r="J193" s="499">
        <f t="shared" si="114"/>
        <v>42960</v>
      </c>
      <c r="K193" s="547"/>
      <c r="L193" s="501"/>
      <c r="M193" s="501"/>
      <c r="N193" s="501"/>
      <c r="O193" s="501"/>
    </row>
    <row r="194" spans="1:15">
      <c r="A194" s="489"/>
      <c r="B194" s="490">
        <v>0.8</v>
      </c>
      <c r="C194" s="499">
        <f>+C192*1.6</f>
        <v>30400</v>
      </c>
      <c r="D194" s="499">
        <f t="shared" ref="D194:J194" si="115">+D192*1.6</f>
        <v>34720</v>
      </c>
      <c r="E194" s="499">
        <f t="shared" si="115"/>
        <v>39040</v>
      </c>
      <c r="F194" s="499">
        <f t="shared" si="115"/>
        <v>43360</v>
      </c>
      <c r="G194" s="499">
        <f t="shared" si="115"/>
        <v>46880</v>
      </c>
      <c r="H194" s="499">
        <f t="shared" si="115"/>
        <v>50320</v>
      </c>
      <c r="I194" s="499">
        <f t="shared" si="115"/>
        <v>53840</v>
      </c>
      <c r="J194" s="499">
        <f t="shared" si="115"/>
        <v>57280</v>
      </c>
      <c r="K194" s="547"/>
      <c r="L194" s="501"/>
      <c r="M194" s="501"/>
      <c r="N194" s="501"/>
      <c r="O194" s="501"/>
    </row>
    <row r="195" spans="1:15">
      <c r="A195" s="489"/>
      <c r="B195" s="502"/>
      <c r="C195" s="499"/>
      <c r="D195" s="499"/>
      <c r="E195" s="499"/>
      <c r="F195" s="499"/>
      <c r="G195" s="499"/>
      <c r="H195" s="499"/>
      <c r="I195" s="499"/>
      <c r="J195" s="499"/>
      <c r="K195" s="547"/>
      <c r="L195" s="501"/>
      <c r="M195" s="501"/>
      <c r="N195" s="501"/>
      <c r="O195" s="501"/>
    </row>
    <row r="196" spans="1:15">
      <c r="A196" s="521" t="s">
        <v>301</v>
      </c>
      <c r="B196" s="490">
        <v>0.3</v>
      </c>
      <c r="C196" s="499">
        <f>+C198*0.6</f>
        <v>11280</v>
      </c>
      <c r="D196" s="499">
        <f t="shared" ref="D196:J196" si="116">+D198*0.6</f>
        <v>12870</v>
      </c>
      <c r="E196" s="499">
        <f t="shared" si="116"/>
        <v>14490</v>
      </c>
      <c r="F196" s="499">
        <f t="shared" si="116"/>
        <v>16080</v>
      </c>
      <c r="G196" s="499">
        <f t="shared" si="116"/>
        <v>17370</v>
      </c>
      <c r="H196" s="499">
        <f t="shared" si="116"/>
        <v>18660</v>
      </c>
      <c r="I196" s="499">
        <f t="shared" si="116"/>
        <v>19950</v>
      </c>
      <c r="J196" s="499">
        <f t="shared" si="116"/>
        <v>21240</v>
      </c>
      <c r="K196" s="547"/>
    </row>
    <row r="197" spans="1:15">
      <c r="A197" s="489"/>
      <c r="B197" s="490">
        <v>0.4</v>
      </c>
      <c r="C197" s="499">
        <f>+C198*0.8</f>
        <v>15040</v>
      </c>
      <c r="D197" s="499">
        <f t="shared" ref="D197:J197" si="117">+D198*0.8</f>
        <v>17160</v>
      </c>
      <c r="E197" s="499">
        <f t="shared" si="117"/>
        <v>19320</v>
      </c>
      <c r="F197" s="499">
        <f t="shared" si="117"/>
        <v>21440</v>
      </c>
      <c r="G197" s="499">
        <f t="shared" si="117"/>
        <v>23160</v>
      </c>
      <c r="H197" s="499">
        <f t="shared" si="117"/>
        <v>24880</v>
      </c>
      <c r="I197" s="499">
        <f t="shared" si="117"/>
        <v>26600</v>
      </c>
      <c r="J197" s="499">
        <f t="shared" si="117"/>
        <v>28320</v>
      </c>
      <c r="K197" s="547"/>
      <c r="L197" s="501"/>
      <c r="M197" s="501"/>
      <c r="N197" s="501"/>
      <c r="O197" s="501"/>
    </row>
    <row r="198" spans="1:15">
      <c r="A198" s="489"/>
      <c r="B198" s="490">
        <v>0.5</v>
      </c>
      <c r="C198" s="523">
        <v>18800</v>
      </c>
      <c r="D198" s="523">
        <v>21450</v>
      </c>
      <c r="E198" s="523">
        <v>24150</v>
      </c>
      <c r="F198" s="523">
        <v>26800</v>
      </c>
      <c r="G198" s="523">
        <v>28950</v>
      </c>
      <c r="H198" s="523">
        <v>31100</v>
      </c>
      <c r="I198" s="523">
        <v>33250</v>
      </c>
      <c r="J198" s="523">
        <v>35400</v>
      </c>
      <c r="K198" s="547"/>
      <c r="L198" s="501"/>
      <c r="M198" s="501"/>
      <c r="N198" s="501"/>
      <c r="O198" s="501"/>
    </row>
    <row r="199" spans="1:15">
      <c r="A199" s="489"/>
      <c r="B199" s="490">
        <v>0.6</v>
      </c>
      <c r="C199" s="499">
        <f>+C198*1.2</f>
        <v>22560</v>
      </c>
      <c r="D199" s="499">
        <f t="shared" ref="D199:J199" si="118">+D198*1.2</f>
        <v>25740</v>
      </c>
      <c r="E199" s="499">
        <f t="shared" si="118"/>
        <v>28980</v>
      </c>
      <c r="F199" s="499">
        <f t="shared" si="118"/>
        <v>32160</v>
      </c>
      <c r="G199" s="499">
        <f t="shared" si="118"/>
        <v>34740</v>
      </c>
      <c r="H199" s="499">
        <f t="shared" si="118"/>
        <v>37320</v>
      </c>
      <c r="I199" s="499">
        <f t="shared" si="118"/>
        <v>39900</v>
      </c>
      <c r="J199" s="499">
        <f t="shared" si="118"/>
        <v>42480</v>
      </c>
      <c r="K199" s="547"/>
      <c r="L199" s="501"/>
      <c r="M199" s="501"/>
      <c r="N199" s="501"/>
      <c r="O199" s="501"/>
    </row>
    <row r="200" spans="1:15">
      <c r="A200" s="489"/>
      <c r="B200" s="490">
        <v>0.8</v>
      </c>
      <c r="C200" s="499">
        <f>+C198*1.6</f>
        <v>30080</v>
      </c>
      <c r="D200" s="499">
        <f t="shared" ref="D200:J200" si="119">+D198*1.6</f>
        <v>34320</v>
      </c>
      <c r="E200" s="499">
        <f t="shared" si="119"/>
        <v>38640</v>
      </c>
      <c r="F200" s="499">
        <f t="shared" si="119"/>
        <v>42880</v>
      </c>
      <c r="G200" s="499">
        <f t="shared" si="119"/>
        <v>46320</v>
      </c>
      <c r="H200" s="499">
        <f t="shared" si="119"/>
        <v>49760</v>
      </c>
      <c r="I200" s="499">
        <f t="shared" si="119"/>
        <v>53200</v>
      </c>
      <c r="J200" s="499">
        <f t="shared" si="119"/>
        <v>56640</v>
      </c>
      <c r="K200" s="547"/>
      <c r="L200" s="501"/>
      <c r="M200" s="501"/>
      <c r="N200" s="501"/>
      <c r="O200" s="501"/>
    </row>
    <row r="201" spans="1:15">
      <c r="A201" s="489"/>
      <c r="B201" s="502"/>
      <c r="C201" s="499"/>
      <c r="D201" s="499"/>
      <c r="E201" s="499"/>
      <c r="F201" s="499"/>
      <c r="G201" s="499"/>
      <c r="H201" s="499"/>
      <c r="I201" s="499"/>
      <c r="J201" s="499"/>
      <c r="K201" s="547"/>
      <c r="L201" s="501"/>
      <c r="M201" s="501"/>
      <c r="N201" s="501"/>
      <c r="O201" s="501"/>
    </row>
    <row r="202" spans="1:15">
      <c r="A202" s="521" t="s">
        <v>302</v>
      </c>
      <c r="B202" s="490">
        <v>0.3</v>
      </c>
      <c r="C202" s="499">
        <f>+C204*0.6</f>
        <v>11220</v>
      </c>
      <c r="D202" s="499">
        <f t="shared" ref="D202:J202" si="120">+D204*0.6</f>
        <v>12840</v>
      </c>
      <c r="E202" s="499">
        <f t="shared" si="120"/>
        <v>14430</v>
      </c>
      <c r="F202" s="499">
        <f t="shared" si="120"/>
        <v>16020</v>
      </c>
      <c r="G202" s="499">
        <f t="shared" si="120"/>
        <v>17310</v>
      </c>
      <c r="H202" s="499">
        <f t="shared" si="120"/>
        <v>18600</v>
      </c>
      <c r="I202" s="499">
        <f t="shared" si="120"/>
        <v>19890</v>
      </c>
      <c r="J202" s="499">
        <f t="shared" si="120"/>
        <v>21150</v>
      </c>
      <c r="K202" s="547"/>
    </row>
    <row r="203" spans="1:15">
      <c r="A203" s="489"/>
      <c r="B203" s="490">
        <v>0.4</v>
      </c>
      <c r="C203" s="499">
        <f t="shared" ref="C203:J203" si="121">+C204*0.8</f>
        <v>14960</v>
      </c>
      <c r="D203" s="499">
        <f t="shared" si="121"/>
        <v>17120</v>
      </c>
      <c r="E203" s="499">
        <f t="shared" si="121"/>
        <v>19240</v>
      </c>
      <c r="F203" s="499">
        <f t="shared" si="121"/>
        <v>21360</v>
      </c>
      <c r="G203" s="499">
        <f t="shared" si="121"/>
        <v>23080</v>
      </c>
      <c r="H203" s="499">
        <f t="shared" si="121"/>
        <v>24800</v>
      </c>
      <c r="I203" s="499">
        <f t="shared" si="121"/>
        <v>26520</v>
      </c>
      <c r="J203" s="499">
        <f t="shared" si="121"/>
        <v>28200</v>
      </c>
      <c r="K203" s="547"/>
      <c r="L203" s="501"/>
      <c r="M203" s="501"/>
      <c r="N203" s="501"/>
      <c r="O203" s="501"/>
    </row>
    <row r="204" spans="1:15">
      <c r="A204" s="489"/>
      <c r="B204" s="490">
        <v>0.5</v>
      </c>
      <c r="C204" s="523">
        <v>18700</v>
      </c>
      <c r="D204" s="523">
        <v>21400</v>
      </c>
      <c r="E204" s="523">
        <v>24050</v>
      </c>
      <c r="F204" s="523">
        <v>26700</v>
      </c>
      <c r="G204" s="523">
        <v>28850</v>
      </c>
      <c r="H204" s="523">
        <v>31000</v>
      </c>
      <c r="I204" s="523">
        <v>33150</v>
      </c>
      <c r="J204" s="523">
        <v>35250</v>
      </c>
      <c r="K204" s="547"/>
      <c r="L204" s="501"/>
      <c r="M204" s="501"/>
      <c r="N204" s="501"/>
      <c r="O204" s="501"/>
    </row>
    <row r="205" spans="1:15">
      <c r="A205" s="489"/>
      <c r="B205" s="490">
        <v>0.6</v>
      </c>
      <c r="C205" s="499">
        <f t="shared" ref="C205:J205" si="122">+C204*1.2</f>
        <v>22440</v>
      </c>
      <c r="D205" s="499">
        <f t="shared" si="122"/>
        <v>25680</v>
      </c>
      <c r="E205" s="499">
        <f t="shared" si="122"/>
        <v>28860</v>
      </c>
      <c r="F205" s="499">
        <f t="shared" si="122"/>
        <v>32040</v>
      </c>
      <c r="G205" s="499">
        <f t="shared" si="122"/>
        <v>34620</v>
      </c>
      <c r="H205" s="499">
        <f t="shared" si="122"/>
        <v>37200</v>
      </c>
      <c r="I205" s="499">
        <f t="shared" si="122"/>
        <v>39780</v>
      </c>
      <c r="J205" s="499">
        <f t="shared" si="122"/>
        <v>42300</v>
      </c>
      <c r="K205" s="547"/>
      <c r="L205" s="501"/>
      <c r="M205" s="501"/>
      <c r="N205" s="501"/>
      <c r="O205" s="501"/>
    </row>
    <row r="206" spans="1:15">
      <c r="A206" s="489"/>
      <c r="B206" s="490">
        <v>0.8</v>
      </c>
      <c r="C206" s="499">
        <f>+C204*1.6</f>
        <v>29920</v>
      </c>
      <c r="D206" s="499">
        <f t="shared" ref="D206:J206" si="123">+D204*1.6</f>
        <v>34240</v>
      </c>
      <c r="E206" s="499">
        <f t="shared" si="123"/>
        <v>38480</v>
      </c>
      <c r="F206" s="499">
        <f t="shared" si="123"/>
        <v>42720</v>
      </c>
      <c r="G206" s="499">
        <f t="shared" si="123"/>
        <v>46160</v>
      </c>
      <c r="H206" s="499">
        <f t="shared" si="123"/>
        <v>49600</v>
      </c>
      <c r="I206" s="499">
        <f t="shared" si="123"/>
        <v>53040</v>
      </c>
      <c r="J206" s="499">
        <f t="shared" si="123"/>
        <v>56400</v>
      </c>
      <c r="K206" s="547"/>
      <c r="L206" s="501"/>
      <c r="M206" s="501"/>
      <c r="N206" s="501"/>
      <c r="O206" s="501"/>
    </row>
    <row r="207" spans="1:15">
      <c r="C207" s="501"/>
      <c r="D207" s="501"/>
      <c r="E207" s="501"/>
      <c r="F207" s="501"/>
      <c r="G207" s="501"/>
      <c r="H207" s="501"/>
      <c r="I207" s="501"/>
      <c r="J207" s="501"/>
      <c r="K207" s="501"/>
      <c r="L207" s="501"/>
      <c r="M207" s="501"/>
      <c r="N207" s="501"/>
      <c r="O207" s="501"/>
    </row>
    <row r="208" spans="1:15">
      <c r="K208" s="501"/>
      <c r="L208" s="501"/>
      <c r="M208" s="501"/>
      <c r="N208" s="501"/>
      <c r="O208" s="501"/>
    </row>
    <row r="218" spans="1:1">
      <c r="A218" s="503"/>
    </row>
  </sheetData>
  <sheetProtection sheet="1" formatCells="0" formatColumns="0" formatRows="0" insertColumns="0" insertRows="0" insertHyperlinks="0" deleteColumns="0" deleteRows="0" sort="0" autoFilter="0" pivotTables="0"/>
  <phoneticPr fontId="6" type="noConversion"/>
  <hyperlinks>
    <hyperlink ref="B12" r:id="rId1"/>
  </hyperlinks>
  <printOptions horizontalCentered="1"/>
  <pageMargins left="0.56000000000000005" right="0.36" top="0.56000000000000005" bottom="0.76" header="0.32" footer="0.5"/>
  <pageSetup firstPageNumber="19" orientation="portrait" useFirstPageNumber="1" r:id="rId2"/>
  <headerFooter alignWithMargins="0">
    <oddFooter>&amp;L2010 Funding Pro Forma  &amp;C&amp;P&amp;RUpdated 03/24/2010</oddFooter>
  </headerFooter>
  <rowBreaks count="3" manualBreakCount="3">
    <brk id="57" max="10" man="1"/>
    <brk id="113" max="10" man="1"/>
    <brk id="169" max="1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32"/>
  <sheetViews>
    <sheetView workbookViewId="0">
      <selection activeCell="I6" sqref="I6"/>
    </sheetView>
  </sheetViews>
  <sheetFormatPr defaultColWidth="10.28515625" defaultRowHeight="12.75"/>
  <cols>
    <col min="1" max="1" width="23.7109375" customWidth="1"/>
    <col min="2" max="6" width="8.28515625" customWidth="1"/>
    <col min="7" max="7" width="8.140625" customWidth="1"/>
    <col min="8" max="9" width="8.28515625" customWidth="1"/>
  </cols>
  <sheetData>
    <row r="1" spans="1:12" ht="15">
      <c r="A1" s="631" t="s">
        <v>184</v>
      </c>
      <c r="B1" s="631"/>
      <c r="C1" s="631"/>
      <c r="D1" s="631"/>
      <c r="E1" s="631"/>
      <c r="F1" s="631"/>
      <c r="G1" s="631"/>
      <c r="H1" s="631"/>
      <c r="I1" s="631"/>
      <c r="J1" s="4"/>
      <c r="K1" s="4"/>
      <c r="L1" s="4"/>
    </row>
    <row r="2" spans="1:12" ht="18">
      <c r="A2" s="632" t="s">
        <v>520</v>
      </c>
      <c r="B2" s="632"/>
      <c r="C2" s="632"/>
      <c r="D2" s="632"/>
      <c r="E2" s="632"/>
      <c r="F2" s="632"/>
      <c r="G2" s="632"/>
      <c r="H2" s="632"/>
      <c r="I2" s="632"/>
    </row>
    <row r="3" spans="1:12" ht="18">
      <c r="A3" s="585"/>
      <c r="B3" s="524"/>
      <c r="C3" s="524"/>
      <c r="D3" s="524"/>
      <c r="E3" s="524"/>
      <c r="F3" s="524"/>
      <c r="G3" s="524"/>
      <c r="H3" s="524"/>
      <c r="I3" s="524"/>
    </row>
    <row r="4" spans="1:12">
      <c r="B4" s="13" t="s">
        <v>645</v>
      </c>
    </row>
    <row r="5" spans="1:12">
      <c r="B5" s="609" t="s">
        <v>646</v>
      </c>
      <c r="C5" s="15"/>
      <c r="D5" s="15"/>
      <c r="E5" s="15"/>
      <c r="F5" s="15"/>
      <c r="G5" s="15"/>
      <c r="H5" s="15"/>
      <c r="I5" s="15"/>
    </row>
    <row r="7" spans="1:12">
      <c r="A7" s="586" t="s">
        <v>186</v>
      </c>
      <c r="B7" s="586"/>
      <c r="C7" s="525" t="s">
        <v>521</v>
      </c>
      <c r="D7" s="525" t="s">
        <v>522</v>
      </c>
      <c r="E7" s="525" t="s">
        <v>523</v>
      </c>
      <c r="F7" s="525" t="s">
        <v>524</v>
      </c>
      <c r="G7" s="525" t="s">
        <v>525</v>
      </c>
      <c r="H7" s="525" t="s">
        <v>526</v>
      </c>
      <c r="I7" s="525" t="s">
        <v>527</v>
      </c>
    </row>
    <row r="8" spans="1:12">
      <c r="B8" s="587"/>
      <c r="C8" s="588"/>
    </row>
    <row r="9" spans="1:12">
      <c r="A9" s="12" t="s">
        <v>528</v>
      </c>
      <c r="B9" s="526" t="s">
        <v>529</v>
      </c>
      <c r="C9" s="589">
        <v>572</v>
      </c>
      <c r="D9" s="19">
        <v>664</v>
      </c>
      <c r="E9" s="19">
        <v>792</v>
      </c>
      <c r="F9" s="19">
        <v>1154</v>
      </c>
      <c r="G9" s="19">
        <v>1190</v>
      </c>
      <c r="H9" s="19">
        <v>1369</v>
      </c>
      <c r="I9" s="19">
        <v>1547</v>
      </c>
    </row>
    <row r="10" spans="1:12">
      <c r="A10" t="s">
        <v>67</v>
      </c>
      <c r="B10" s="526" t="s">
        <v>530</v>
      </c>
      <c r="C10" s="589">
        <v>572</v>
      </c>
      <c r="D10" s="19">
        <v>614</v>
      </c>
      <c r="E10" s="19">
        <v>737</v>
      </c>
      <c r="F10" s="19">
        <v>851</v>
      </c>
      <c r="G10" s="19">
        <v>950</v>
      </c>
      <c r="H10" s="19">
        <v>1048</v>
      </c>
      <c r="I10" s="19">
        <v>1146</v>
      </c>
    </row>
    <row r="11" spans="1:12">
      <c r="B11" s="526" t="s">
        <v>531</v>
      </c>
      <c r="C11" s="589">
        <v>572</v>
      </c>
      <c r="D11" s="19">
        <v>664</v>
      </c>
      <c r="E11" s="19">
        <v>792</v>
      </c>
      <c r="F11" s="19">
        <v>1074</v>
      </c>
      <c r="G11" s="19">
        <v>1179</v>
      </c>
      <c r="H11" s="19">
        <v>1282</v>
      </c>
      <c r="I11" s="19">
        <v>1385</v>
      </c>
    </row>
    <row r="12" spans="1:12">
      <c r="B12" s="526"/>
      <c r="C12" s="589"/>
      <c r="D12" s="19"/>
      <c r="E12" s="19"/>
      <c r="F12" s="19"/>
      <c r="G12" s="19"/>
      <c r="H12" s="19"/>
      <c r="I12" s="19"/>
    </row>
    <row r="13" spans="1:12">
      <c r="A13" s="12" t="s">
        <v>532</v>
      </c>
      <c r="B13" s="526" t="s">
        <v>529</v>
      </c>
      <c r="C13" s="590">
        <v>537</v>
      </c>
      <c r="D13" s="19">
        <v>651</v>
      </c>
      <c r="E13" s="19">
        <v>811</v>
      </c>
      <c r="F13" s="19">
        <v>1178</v>
      </c>
      <c r="G13" s="19">
        <v>1355</v>
      </c>
      <c r="H13" s="19">
        <v>1558</v>
      </c>
      <c r="I13" s="19">
        <v>1762</v>
      </c>
    </row>
    <row r="14" spans="1:12">
      <c r="A14" t="s">
        <v>190</v>
      </c>
      <c r="B14" s="526" t="s">
        <v>530</v>
      </c>
      <c r="C14" s="589">
        <v>537</v>
      </c>
      <c r="D14" s="19">
        <v>651</v>
      </c>
      <c r="E14" s="19">
        <v>811</v>
      </c>
      <c r="F14" s="19">
        <v>951</v>
      </c>
      <c r="G14" s="19">
        <v>1062</v>
      </c>
      <c r="H14" s="19">
        <v>1171</v>
      </c>
      <c r="I14" s="19">
        <v>1281</v>
      </c>
    </row>
    <row r="15" spans="1:12">
      <c r="B15" s="526" t="s">
        <v>531</v>
      </c>
      <c r="C15" s="589">
        <v>537</v>
      </c>
      <c r="D15" s="19">
        <v>651</v>
      </c>
      <c r="E15" s="19">
        <v>811</v>
      </c>
      <c r="F15" s="19">
        <v>1178</v>
      </c>
      <c r="G15" s="591">
        <v>1324</v>
      </c>
      <c r="H15" s="19">
        <v>1442</v>
      </c>
      <c r="I15" s="19">
        <v>1560</v>
      </c>
    </row>
    <row r="16" spans="1:12">
      <c r="B16" s="526"/>
      <c r="C16" s="589"/>
      <c r="D16" s="19"/>
      <c r="E16" s="19"/>
      <c r="F16" s="19"/>
      <c r="G16" s="19"/>
      <c r="H16" s="19"/>
      <c r="I16" s="19"/>
    </row>
    <row r="17" spans="1:9">
      <c r="A17" s="12" t="s">
        <v>533</v>
      </c>
      <c r="B17" s="526" t="s">
        <v>529</v>
      </c>
      <c r="C17" s="589">
        <v>523</v>
      </c>
      <c r="D17" s="19">
        <v>634</v>
      </c>
      <c r="E17" s="19">
        <v>803</v>
      </c>
      <c r="F17" s="19">
        <v>1123</v>
      </c>
      <c r="G17" s="591">
        <v>1250</v>
      </c>
      <c r="H17" s="19">
        <v>1438</v>
      </c>
      <c r="I17" s="19">
        <v>1625</v>
      </c>
    </row>
    <row r="18" spans="1:9">
      <c r="A18" t="s">
        <v>286</v>
      </c>
      <c r="B18" s="526" t="s">
        <v>530</v>
      </c>
      <c r="C18" s="589">
        <v>511</v>
      </c>
      <c r="D18" s="19">
        <v>548</v>
      </c>
      <c r="E18" s="19">
        <v>657</v>
      </c>
      <c r="F18" s="19">
        <v>759</v>
      </c>
      <c r="G18" s="591">
        <v>847</v>
      </c>
      <c r="H18" s="19">
        <v>935</v>
      </c>
      <c r="I18" s="19">
        <v>1022</v>
      </c>
    </row>
    <row r="19" spans="1:9">
      <c r="B19" s="526" t="s">
        <v>531</v>
      </c>
      <c r="C19" s="589">
        <v>523</v>
      </c>
      <c r="D19" s="19">
        <v>634</v>
      </c>
      <c r="E19" s="19">
        <v>803</v>
      </c>
      <c r="F19" s="19">
        <v>953</v>
      </c>
      <c r="G19" s="591">
        <v>1044</v>
      </c>
      <c r="H19" s="19">
        <v>1133</v>
      </c>
      <c r="I19" s="19">
        <v>1222</v>
      </c>
    </row>
    <row r="20" spans="1:9">
      <c r="B20" s="526"/>
      <c r="C20" s="589"/>
      <c r="D20" s="19"/>
      <c r="E20" s="19"/>
      <c r="F20" s="19"/>
      <c r="G20" s="19"/>
      <c r="H20" s="19"/>
      <c r="I20" s="19"/>
    </row>
    <row r="21" spans="1:9">
      <c r="A21" s="12" t="s">
        <v>534</v>
      </c>
      <c r="B21" s="526" t="s">
        <v>529</v>
      </c>
      <c r="C21" s="589">
        <v>529</v>
      </c>
      <c r="D21" s="19">
        <v>629</v>
      </c>
      <c r="E21" s="19">
        <v>790</v>
      </c>
      <c r="F21" s="19">
        <v>1149</v>
      </c>
      <c r="G21" s="591">
        <v>1183</v>
      </c>
      <c r="H21" s="19">
        <v>1360</v>
      </c>
      <c r="I21" s="19">
        <v>1538</v>
      </c>
    </row>
    <row r="22" spans="1:9">
      <c r="A22" t="s">
        <v>287</v>
      </c>
      <c r="B22" s="526" t="s">
        <v>530</v>
      </c>
      <c r="C22" s="589">
        <v>505</v>
      </c>
      <c r="D22" s="19">
        <v>541</v>
      </c>
      <c r="E22" s="19">
        <v>650</v>
      </c>
      <c r="F22" s="19">
        <v>750</v>
      </c>
      <c r="G22" s="591">
        <v>837</v>
      </c>
      <c r="H22" s="19">
        <v>923</v>
      </c>
      <c r="I22" s="19">
        <v>1009</v>
      </c>
    </row>
    <row r="23" spans="1:9">
      <c r="B23" s="526" t="s">
        <v>531</v>
      </c>
      <c r="C23" s="589">
        <v>529</v>
      </c>
      <c r="D23" s="19">
        <v>629</v>
      </c>
      <c r="E23" s="19">
        <v>790</v>
      </c>
      <c r="F23" s="19">
        <v>941</v>
      </c>
      <c r="G23" s="591">
        <v>1030</v>
      </c>
      <c r="H23" s="19">
        <v>1118</v>
      </c>
      <c r="I23" s="19">
        <v>1207</v>
      </c>
    </row>
    <row r="24" spans="1:9">
      <c r="B24" s="526"/>
      <c r="C24" s="589"/>
      <c r="D24" s="19"/>
      <c r="E24" s="19"/>
      <c r="F24" s="19"/>
      <c r="G24" s="19"/>
      <c r="H24" s="19"/>
      <c r="I24" s="19"/>
    </row>
    <row r="25" spans="1:9">
      <c r="A25" s="12" t="s">
        <v>535</v>
      </c>
      <c r="B25" s="526" t="s">
        <v>529</v>
      </c>
      <c r="C25" s="589">
        <v>665</v>
      </c>
      <c r="D25" s="19">
        <v>771</v>
      </c>
      <c r="E25" s="19">
        <v>891</v>
      </c>
      <c r="F25" s="19">
        <v>1297</v>
      </c>
      <c r="G25" s="19">
        <v>1558</v>
      </c>
      <c r="H25" s="19">
        <v>1792</v>
      </c>
      <c r="I25" s="19">
        <v>2025</v>
      </c>
    </row>
    <row r="26" spans="1:9">
      <c r="A26" t="s">
        <v>536</v>
      </c>
      <c r="B26" s="526" t="s">
        <v>530</v>
      </c>
      <c r="C26" s="589">
        <v>638</v>
      </c>
      <c r="D26" s="19">
        <v>684</v>
      </c>
      <c r="E26" s="19">
        <v>821</v>
      </c>
      <c r="F26" s="19">
        <v>949</v>
      </c>
      <c r="G26" s="19">
        <v>1058</v>
      </c>
      <c r="H26" s="19">
        <v>1168</v>
      </c>
      <c r="I26" s="591">
        <v>1277</v>
      </c>
    </row>
    <row r="27" spans="1:9">
      <c r="A27" t="s">
        <v>537</v>
      </c>
      <c r="B27" s="526" t="s">
        <v>531</v>
      </c>
      <c r="C27" s="589">
        <v>675</v>
      </c>
      <c r="D27" s="19">
        <v>783</v>
      </c>
      <c r="E27" s="19">
        <v>905</v>
      </c>
      <c r="F27" s="19">
        <v>1200</v>
      </c>
      <c r="G27" s="591">
        <v>1319</v>
      </c>
      <c r="H27" s="19">
        <v>1437</v>
      </c>
      <c r="I27" s="19">
        <v>1555</v>
      </c>
    </row>
    <row r="28" spans="1:9">
      <c r="A28" t="s">
        <v>538</v>
      </c>
      <c r="B28" s="526"/>
      <c r="C28" s="589"/>
      <c r="D28" s="19"/>
      <c r="E28" s="19"/>
      <c r="F28" s="19"/>
      <c r="G28" s="19"/>
      <c r="H28" s="19"/>
      <c r="I28" s="19"/>
    </row>
    <row r="29" spans="1:9">
      <c r="B29" s="526"/>
      <c r="C29" s="589"/>
      <c r="D29" s="19"/>
      <c r="E29" s="19"/>
      <c r="F29" s="19"/>
      <c r="G29" s="19"/>
      <c r="H29" s="19"/>
      <c r="I29" s="19"/>
    </row>
    <row r="30" spans="1:9">
      <c r="A30" s="12" t="s">
        <v>539</v>
      </c>
      <c r="B30" s="526" t="s">
        <v>529</v>
      </c>
      <c r="C30" s="589">
        <v>536</v>
      </c>
      <c r="D30" s="19">
        <v>595</v>
      </c>
      <c r="E30" s="19">
        <v>712</v>
      </c>
      <c r="F30" s="19">
        <v>1035</v>
      </c>
      <c r="G30" s="19">
        <v>1248</v>
      </c>
      <c r="H30" s="19">
        <v>1435</v>
      </c>
      <c r="I30" s="19">
        <v>1622</v>
      </c>
    </row>
    <row r="31" spans="1:9">
      <c r="A31" t="s">
        <v>540</v>
      </c>
      <c r="B31" s="526" t="s">
        <v>530</v>
      </c>
      <c r="C31" s="589">
        <v>518</v>
      </c>
      <c r="D31" s="19">
        <v>555</v>
      </c>
      <c r="E31" s="19">
        <v>666</v>
      </c>
      <c r="F31" s="19">
        <v>770</v>
      </c>
      <c r="G31" s="19">
        <v>858</v>
      </c>
      <c r="H31" s="19">
        <v>948</v>
      </c>
      <c r="I31" s="19">
        <v>1036</v>
      </c>
    </row>
    <row r="32" spans="1:9">
      <c r="B32" s="526" t="s">
        <v>531</v>
      </c>
      <c r="C32" s="589">
        <v>536</v>
      </c>
      <c r="D32" s="19">
        <v>595</v>
      </c>
      <c r="E32" s="19">
        <v>712</v>
      </c>
      <c r="F32" s="19">
        <v>967</v>
      </c>
      <c r="G32" s="19">
        <v>1060</v>
      </c>
      <c r="H32" s="19">
        <v>1151</v>
      </c>
      <c r="I32" s="19">
        <v>1242</v>
      </c>
    </row>
    <row r="33" spans="1:9">
      <c r="B33" s="526"/>
      <c r="C33" s="589"/>
      <c r="D33" s="19"/>
      <c r="E33" s="19"/>
      <c r="F33" s="19"/>
      <c r="G33" s="19"/>
      <c r="H33" s="19"/>
      <c r="I33" s="19"/>
    </row>
    <row r="34" spans="1:9">
      <c r="A34" t="s">
        <v>62</v>
      </c>
      <c r="B34" s="526" t="s">
        <v>529</v>
      </c>
      <c r="C34" s="589">
        <v>419</v>
      </c>
      <c r="D34" s="19">
        <v>488</v>
      </c>
      <c r="E34" s="19">
        <v>644</v>
      </c>
      <c r="F34" s="19">
        <v>937</v>
      </c>
      <c r="G34" s="19">
        <v>965</v>
      </c>
      <c r="H34" s="19">
        <v>1110</v>
      </c>
      <c r="I34" s="19">
        <v>1255</v>
      </c>
    </row>
    <row r="35" spans="1:9">
      <c r="B35" s="526" t="s">
        <v>530</v>
      </c>
      <c r="C35" s="589">
        <v>419</v>
      </c>
      <c r="D35" s="19">
        <v>488</v>
      </c>
      <c r="E35" s="19">
        <v>593</v>
      </c>
      <c r="F35" s="19">
        <v>685</v>
      </c>
      <c r="G35" s="19">
        <v>765</v>
      </c>
      <c r="H35" s="19">
        <v>843</v>
      </c>
      <c r="I35" s="19">
        <v>922</v>
      </c>
    </row>
    <row r="36" spans="1:9">
      <c r="B36" s="526" t="s">
        <v>531</v>
      </c>
      <c r="C36" s="589">
        <v>419</v>
      </c>
      <c r="D36" s="19">
        <v>488</v>
      </c>
      <c r="E36" s="19">
        <v>644</v>
      </c>
      <c r="F36" s="19">
        <v>857</v>
      </c>
      <c r="G36" s="19">
        <v>936</v>
      </c>
      <c r="H36" s="19">
        <v>1015</v>
      </c>
      <c r="I36" s="19">
        <v>1093</v>
      </c>
    </row>
    <row r="37" spans="1:9">
      <c r="B37" s="526"/>
      <c r="C37" s="589"/>
      <c r="D37" s="19"/>
      <c r="E37" s="19"/>
      <c r="F37" s="19"/>
      <c r="G37" s="19"/>
      <c r="H37" s="19"/>
      <c r="I37" s="19"/>
    </row>
    <row r="38" spans="1:9">
      <c r="A38" t="s">
        <v>63</v>
      </c>
      <c r="B38" s="526" t="s">
        <v>529</v>
      </c>
      <c r="C38" s="589">
        <v>474</v>
      </c>
      <c r="D38" s="19">
        <v>589</v>
      </c>
      <c r="E38" s="19">
        <v>728</v>
      </c>
      <c r="F38" s="19">
        <v>1053</v>
      </c>
      <c r="G38" s="19">
        <v>1086</v>
      </c>
      <c r="H38" s="19">
        <v>1249</v>
      </c>
      <c r="I38" s="19">
        <v>1412</v>
      </c>
    </row>
    <row r="39" spans="1:9">
      <c r="B39" s="526" t="s">
        <v>530</v>
      </c>
      <c r="C39" s="589">
        <v>474</v>
      </c>
      <c r="D39" s="19">
        <v>531</v>
      </c>
      <c r="E39" s="19">
        <v>637</v>
      </c>
      <c r="F39" s="19">
        <v>736</v>
      </c>
      <c r="G39" s="19">
        <v>821</v>
      </c>
      <c r="H39" s="19">
        <v>906</v>
      </c>
      <c r="I39" s="19">
        <v>990</v>
      </c>
    </row>
    <row r="40" spans="1:9">
      <c r="B40" s="526" t="s">
        <v>531</v>
      </c>
      <c r="C40" s="589">
        <v>474</v>
      </c>
      <c r="D40" s="19">
        <v>589</v>
      </c>
      <c r="E40" s="19">
        <v>728</v>
      </c>
      <c r="F40" s="19">
        <v>923</v>
      </c>
      <c r="G40" s="19">
        <v>1010</v>
      </c>
      <c r="H40" s="19">
        <v>1096</v>
      </c>
      <c r="I40" s="19">
        <v>1182</v>
      </c>
    </row>
    <row r="41" spans="1:9">
      <c r="B41" s="526"/>
      <c r="C41" s="589"/>
      <c r="D41" s="19"/>
      <c r="E41" s="19"/>
      <c r="F41" s="19"/>
      <c r="G41" s="19"/>
      <c r="H41" s="19"/>
      <c r="I41" s="19"/>
    </row>
    <row r="42" spans="1:9">
      <c r="A42" t="s">
        <v>64</v>
      </c>
      <c r="B42" s="526" t="s">
        <v>529</v>
      </c>
      <c r="C42" s="589">
        <v>458</v>
      </c>
      <c r="D42" s="19">
        <v>555</v>
      </c>
      <c r="E42" s="19">
        <v>704</v>
      </c>
      <c r="F42" s="19">
        <v>934</v>
      </c>
      <c r="G42" s="19">
        <v>1076</v>
      </c>
      <c r="H42" s="19">
        <v>1237</v>
      </c>
      <c r="I42" s="19">
        <v>1399</v>
      </c>
    </row>
    <row r="43" spans="1:9">
      <c r="B43" s="526" t="s">
        <v>530</v>
      </c>
      <c r="C43" s="589">
        <v>458</v>
      </c>
      <c r="D43" s="19">
        <v>494</v>
      </c>
      <c r="E43" s="19">
        <v>593</v>
      </c>
      <c r="F43" s="19">
        <v>685</v>
      </c>
      <c r="G43" s="19">
        <v>765</v>
      </c>
      <c r="H43" s="19">
        <v>843</v>
      </c>
      <c r="I43" s="19">
        <v>922</v>
      </c>
    </row>
    <row r="44" spans="1:9">
      <c r="B44" s="526" t="s">
        <v>531</v>
      </c>
      <c r="C44" s="589">
        <v>458</v>
      </c>
      <c r="D44" s="19">
        <v>555</v>
      </c>
      <c r="E44" s="19">
        <v>704</v>
      </c>
      <c r="F44" s="19">
        <v>857</v>
      </c>
      <c r="G44" s="19">
        <v>936</v>
      </c>
      <c r="H44" s="19">
        <v>1015</v>
      </c>
      <c r="I44" s="19">
        <v>1093</v>
      </c>
    </row>
    <row r="45" spans="1:9">
      <c r="B45" s="526"/>
      <c r="C45" s="589"/>
      <c r="D45" s="19"/>
      <c r="E45" s="19"/>
      <c r="F45" s="19"/>
      <c r="G45" s="19"/>
      <c r="H45" s="19"/>
      <c r="I45" s="19"/>
    </row>
    <row r="46" spans="1:9">
      <c r="A46" t="s">
        <v>65</v>
      </c>
      <c r="B46" s="526" t="s">
        <v>529</v>
      </c>
      <c r="C46" s="589">
        <v>451</v>
      </c>
      <c r="D46" s="19">
        <v>580</v>
      </c>
      <c r="E46" s="19">
        <v>694</v>
      </c>
      <c r="F46" s="19">
        <v>939</v>
      </c>
      <c r="G46" s="19">
        <v>1099</v>
      </c>
      <c r="H46" s="19">
        <v>1264</v>
      </c>
      <c r="I46" s="19">
        <v>1429</v>
      </c>
    </row>
    <row r="47" spans="1:9">
      <c r="B47" s="526" t="s">
        <v>530</v>
      </c>
      <c r="C47" s="589">
        <v>451</v>
      </c>
      <c r="D47" s="19">
        <v>508</v>
      </c>
      <c r="E47" s="19">
        <v>610</v>
      </c>
      <c r="F47" s="19">
        <v>705</v>
      </c>
      <c r="G47" s="19">
        <v>786</v>
      </c>
      <c r="H47" s="19">
        <v>868</v>
      </c>
      <c r="I47" s="19">
        <v>948</v>
      </c>
    </row>
    <row r="48" spans="1:9">
      <c r="B48" s="526" t="s">
        <v>531</v>
      </c>
      <c r="C48" s="589">
        <v>451</v>
      </c>
      <c r="D48" s="19">
        <v>580</v>
      </c>
      <c r="E48" s="19">
        <v>694</v>
      </c>
      <c r="F48" s="19">
        <v>883</v>
      </c>
      <c r="G48" s="19">
        <v>965</v>
      </c>
      <c r="H48" s="19">
        <v>1047</v>
      </c>
      <c r="I48" s="19">
        <v>1128</v>
      </c>
    </row>
    <row r="49" spans="1:9">
      <c r="B49" s="526"/>
      <c r="C49" s="589"/>
      <c r="D49" s="19"/>
      <c r="E49" s="19"/>
      <c r="F49" s="19"/>
      <c r="G49" s="19"/>
      <c r="H49" s="19"/>
      <c r="I49" s="19"/>
    </row>
    <row r="50" spans="1:9">
      <c r="A50" t="s">
        <v>66</v>
      </c>
      <c r="B50" s="526" t="s">
        <v>529</v>
      </c>
      <c r="C50" s="589">
        <v>517</v>
      </c>
      <c r="D50" s="19">
        <v>595</v>
      </c>
      <c r="E50" s="19">
        <v>702</v>
      </c>
      <c r="F50" s="19">
        <v>1026</v>
      </c>
      <c r="G50" s="19">
        <v>1238</v>
      </c>
      <c r="H50" s="19">
        <v>1424</v>
      </c>
      <c r="I50" s="19">
        <v>1609</v>
      </c>
    </row>
    <row r="51" spans="1:9">
      <c r="B51" s="526" t="s">
        <v>530</v>
      </c>
      <c r="C51" s="589">
        <v>465</v>
      </c>
      <c r="D51" s="19">
        <v>498</v>
      </c>
      <c r="E51" s="19">
        <v>597</v>
      </c>
      <c r="F51" s="19">
        <v>690</v>
      </c>
      <c r="G51" s="19">
        <v>770</v>
      </c>
      <c r="H51" s="19">
        <v>850</v>
      </c>
      <c r="I51" s="19">
        <v>929</v>
      </c>
    </row>
    <row r="52" spans="1:9">
      <c r="B52" s="526" t="s">
        <v>531</v>
      </c>
      <c r="C52" s="589">
        <v>517</v>
      </c>
      <c r="D52" s="19">
        <v>595</v>
      </c>
      <c r="E52" s="19">
        <v>702</v>
      </c>
      <c r="F52" s="19">
        <v>864</v>
      </c>
      <c r="G52" s="19">
        <v>944</v>
      </c>
      <c r="H52" s="19">
        <v>1022</v>
      </c>
      <c r="I52" s="19">
        <v>1102</v>
      </c>
    </row>
    <row r="53" spans="1:9">
      <c r="B53" s="526"/>
      <c r="C53" s="589"/>
      <c r="D53" s="19"/>
      <c r="E53" s="19"/>
      <c r="F53" s="19"/>
      <c r="G53" s="19"/>
      <c r="H53" s="19"/>
      <c r="I53" s="19"/>
    </row>
    <row r="54" spans="1:9">
      <c r="A54" t="s">
        <v>191</v>
      </c>
      <c r="B54" s="526" t="s">
        <v>529</v>
      </c>
      <c r="C54" s="589">
        <v>447</v>
      </c>
      <c r="D54" s="19">
        <v>532</v>
      </c>
      <c r="E54" s="19">
        <v>687</v>
      </c>
      <c r="F54" s="19">
        <v>932</v>
      </c>
      <c r="G54" s="19">
        <v>1153</v>
      </c>
      <c r="H54" s="19">
        <v>1326</v>
      </c>
      <c r="I54" s="19">
        <v>1499</v>
      </c>
    </row>
    <row r="55" spans="1:9">
      <c r="B55" s="526" t="s">
        <v>530</v>
      </c>
      <c r="C55" s="589">
        <v>447</v>
      </c>
      <c r="D55" s="19">
        <v>494</v>
      </c>
      <c r="E55" s="19">
        <v>593</v>
      </c>
      <c r="F55" s="19">
        <v>685</v>
      </c>
      <c r="G55" s="19">
        <v>765</v>
      </c>
      <c r="H55" s="19">
        <v>843</v>
      </c>
      <c r="I55" s="19">
        <v>922</v>
      </c>
    </row>
    <row r="56" spans="1:9">
      <c r="B56" s="526" t="s">
        <v>531</v>
      </c>
      <c r="C56" s="589">
        <v>447</v>
      </c>
      <c r="D56" s="19">
        <v>532</v>
      </c>
      <c r="E56" s="19">
        <v>687</v>
      </c>
      <c r="F56" s="19">
        <v>857</v>
      </c>
      <c r="G56" s="19">
        <v>936</v>
      </c>
      <c r="H56" s="19">
        <v>1015</v>
      </c>
      <c r="I56" s="19">
        <v>1093</v>
      </c>
    </row>
    <row r="57" spans="1:9">
      <c r="B57" s="526"/>
      <c r="C57" s="589"/>
      <c r="D57" s="19"/>
      <c r="E57" s="19"/>
      <c r="G57" s="19"/>
      <c r="H57" s="19"/>
      <c r="I57" s="19"/>
    </row>
    <row r="58" spans="1:9">
      <c r="A58" t="s">
        <v>192</v>
      </c>
      <c r="B58" s="526" t="s">
        <v>529</v>
      </c>
      <c r="C58" s="589">
        <v>485</v>
      </c>
      <c r="D58" s="19">
        <v>568</v>
      </c>
      <c r="E58" s="19">
        <v>686</v>
      </c>
      <c r="F58" s="19">
        <v>930</v>
      </c>
      <c r="G58" s="19">
        <v>1087</v>
      </c>
      <c r="H58" s="19">
        <v>1250</v>
      </c>
      <c r="I58" s="19">
        <v>1413</v>
      </c>
    </row>
    <row r="59" spans="1:9">
      <c r="B59" s="526" t="s">
        <v>530</v>
      </c>
      <c r="C59" s="589">
        <v>471</v>
      </c>
      <c r="D59" s="19">
        <v>505</v>
      </c>
      <c r="E59" s="19">
        <v>606</v>
      </c>
      <c r="F59" s="19">
        <v>700</v>
      </c>
      <c r="G59" s="19">
        <v>781</v>
      </c>
      <c r="H59" s="19">
        <v>861</v>
      </c>
      <c r="I59" s="19">
        <v>941</v>
      </c>
    </row>
    <row r="60" spans="1:9">
      <c r="B60" s="526" t="s">
        <v>531</v>
      </c>
      <c r="C60" s="589">
        <v>485</v>
      </c>
      <c r="D60" s="19">
        <v>568</v>
      </c>
      <c r="E60" s="19">
        <v>686</v>
      </c>
      <c r="F60" s="19">
        <v>875</v>
      </c>
      <c r="G60" s="19">
        <v>956</v>
      </c>
      <c r="H60" s="19">
        <v>1037</v>
      </c>
      <c r="I60" s="19">
        <v>1117</v>
      </c>
    </row>
    <row r="61" spans="1:9">
      <c r="B61" s="526"/>
      <c r="C61" s="589"/>
      <c r="D61" s="19"/>
      <c r="E61" s="19"/>
      <c r="F61" s="19"/>
      <c r="G61" s="19"/>
      <c r="H61" s="19"/>
      <c r="I61" s="19"/>
    </row>
    <row r="62" spans="1:9">
      <c r="A62" t="s">
        <v>193</v>
      </c>
      <c r="B62" s="526" t="s">
        <v>529</v>
      </c>
      <c r="C62" s="589">
        <v>485</v>
      </c>
      <c r="D62" s="19">
        <v>568</v>
      </c>
      <c r="E62" s="19">
        <v>686</v>
      </c>
      <c r="F62" s="19">
        <v>930</v>
      </c>
      <c r="G62" s="19">
        <v>1087</v>
      </c>
      <c r="H62" s="19">
        <v>1250</v>
      </c>
      <c r="I62" s="19">
        <v>1413</v>
      </c>
    </row>
    <row r="63" spans="1:9">
      <c r="B63" s="526" t="s">
        <v>530</v>
      </c>
      <c r="C63" s="589">
        <v>461</v>
      </c>
      <c r="D63" s="19">
        <v>494</v>
      </c>
      <c r="E63" s="19">
        <v>593</v>
      </c>
      <c r="F63" s="19">
        <v>685</v>
      </c>
      <c r="G63" s="19">
        <v>765</v>
      </c>
      <c r="H63" s="19">
        <v>843</v>
      </c>
      <c r="I63" s="19">
        <v>922</v>
      </c>
    </row>
    <row r="64" spans="1:9">
      <c r="B64" s="526" t="s">
        <v>531</v>
      </c>
      <c r="C64" s="589">
        <v>485</v>
      </c>
      <c r="D64" s="19">
        <v>568</v>
      </c>
      <c r="E64" s="19">
        <v>686</v>
      </c>
      <c r="F64" s="19">
        <v>857</v>
      </c>
      <c r="G64" s="19">
        <v>936</v>
      </c>
      <c r="H64" s="19">
        <v>1015</v>
      </c>
      <c r="I64" s="19">
        <v>1093</v>
      </c>
    </row>
    <row r="65" spans="1:9">
      <c r="B65" s="526"/>
      <c r="C65" s="589"/>
      <c r="D65" s="19"/>
      <c r="E65" s="19"/>
      <c r="F65" s="19"/>
      <c r="G65" s="19"/>
      <c r="H65" s="19"/>
      <c r="I65" s="19"/>
    </row>
    <row r="66" spans="1:9">
      <c r="A66" t="s">
        <v>194</v>
      </c>
      <c r="B66" s="526" t="s">
        <v>529</v>
      </c>
      <c r="C66" s="589">
        <v>434</v>
      </c>
      <c r="D66" s="19">
        <v>505</v>
      </c>
      <c r="E66" s="19">
        <v>635</v>
      </c>
      <c r="F66" s="19">
        <v>878</v>
      </c>
      <c r="G66" s="19">
        <v>933</v>
      </c>
      <c r="H66" s="19">
        <v>1073</v>
      </c>
      <c r="I66" s="19">
        <v>1213</v>
      </c>
    </row>
    <row r="67" spans="1:9">
      <c r="B67" s="526" t="s">
        <v>530</v>
      </c>
      <c r="C67" s="589">
        <v>434</v>
      </c>
      <c r="D67" s="19">
        <v>494</v>
      </c>
      <c r="E67" s="19">
        <v>593</v>
      </c>
      <c r="F67" s="19">
        <v>685</v>
      </c>
      <c r="G67" s="19">
        <v>765</v>
      </c>
      <c r="H67" s="19">
        <v>843</v>
      </c>
      <c r="I67" s="19">
        <v>922</v>
      </c>
    </row>
    <row r="68" spans="1:9">
      <c r="B68" s="526" t="s">
        <v>531</v>
      </c>
      <c r="C68" s="589">
        <v>434</v>
      </c>
      <c r="D68" s="19">
        <v>505</v>
      </c>
      <c r="E68" s="19">
        <v>635</v>
      </c>
      <c r="F68" s="19">
        <v>857</v>
      </c>
      <c r="G68" s="19">
        <v>933</v>
      </c>
      <c r="H68" s="19">
        <v>1015</v>
      </c>
      <c r="I68" s="19">
        <v>1093</v>
      </c>
    </row>
    <row r="69" spans="1:9">
      <c r="B69" s="526"/>
      <c r="C69" s="589"/>
      <c r="D69" s="19"/>
      <c r="E69" s="19"/>
      <c r="F69" s="19"/>
      <c r="G69" s="19"/>
      <c r="H69" s="19"/>
      <c r="I69" s="19"/>
    </row>
    <row r="70" spans="1:9">
      <c r="A70" t="s">
        <v>195</v>
      </c>
      <c r="B70" s="526" t="s">
        <v>529</v>
      </c>
      <c r="C70" s="589">
        <v>487</v>
      </c>
      <c r="D70" s="19">
        <v>602</v>
      </c>
      <c r="E70" s="19">
        <v>750</v>
      </c>
      <c r="F70" s="19">
        <v>1067</v>
      </c>
      <c r="G70" s="19">
        <v>1101</v>
      </c>
      <c r="H70" s="19">
        <v>1266</v>
      </c>
      <c r="I70" s="19">
        <v>1431</v>
      </c>
    </row>
    <row r="71" spans="1:9">
      <c r="B71" s="526" t="s">
        <v>530</v>
      </c>
      <c r="C71" s="589">
        <v>483</v>
      </c>
      <c r="D71" s="19">
        <v>518</v>
      </c>
      <c r="E71" s="19">
        <v>621</v>
      </c>
      <c r="F71" s="19">
        <v>718</v>
      </c>
      <c r="G71" s="19">
        <v>801</v>
      </c>
      <c r="H71" s="19">
        <v>883</v>
      </c>
      <c r="I71" s="19">
        <v>966</v>
      </c>
    </row>
    <row r="72" spans="1:9">
      <c r="B72" s="526" t="s">
        <v>531</v>
      </c>
      <c r="C72" s="589">
        <v>487</v>
      </c>
      <c r="D72" s="19">
        <v>602</v>
      </c>
      <c r="E72" s="19">
        <v>750</v>
      </c>
      <c r="F72" s="19">
        <v>900</v>
      </c>
      <c r="G72" s="19">
        <v>984</v>
      </c>
      <c r="H72" s="19">
        <v>1067</v>
      </c>
      <c r="I72" s="19">
        <v>1151</v>
      </c>
    </row>
    <row r="73" spans="1:9">
      <c r="B73" s="526"/>
      <c r="C73" s="589"/>
      <c r="D73" s="19"/>
      <c r="E73" s="19"/>
      <c r="F73" s="19"/>
      <c r="G73" s="19"/>
      <c r="H73" s="19"/>
      <c r="I73" s="19"/>
    </row>
    <row r="74" spans="1:9">
      <c r="A74" t="s">
        <v>196</v>
      </c>
      <c r="B74" s="526" t="s">
        <v>529</v>
      </c>
      <c r="C74" s="589">
        <v>538</v>
      </c>
      <c r="D74" s="19">
        <v>573</v>
      </c>
      <c r="E74" s="19">
        <v>649</v>
      </c>
      <c r="F74" s="19">
        <v>944</v>
      </c>
      <c r="G74" s="19">
        <v>1062</v>
      </c>
      <c r="H74" s="19">
        <v>1221</v>
      </c>
      <c r="I74" s="19">
        <v>1381</v>
      </c>
    </row>
    <row r="75" spans="1:9">
      <c r="B75" s="526" t="s">
        <v>530</v>
      </c>
      <c r="C75" s="589">
        <v>461</v>
      </c>
      <c r="D75" s="19">
        <v>494</v>
      </c>
      <c r="E75" s="19">
        <v>593</v>
      </c>
      <c r="F75" s="19">
        <v>685</v>
      </c>
      <c r="G75" s="19">
        <v>765</v>
      </c>
      <c r="H75" s="19">
        <v>843</v>
      </c>
      <c r="I75" s="19">
        <v>922</v>
      </c>
    </row>
    <row r="76" spans="1:9">
      <c r="B76" s="526" t="s">
        <v>531</v>
      </c>
      <c r="C76" s="589">
        <v>538</v>
      </c>
      <c r="D76" s="19">
        <v>573</v>
      </c>
      <c r="E76" s="19">
        <v>649</v>
      </c>
      <c r="F76" s="19">
        <v>857</v>
      </c>
      <c r="G76" s="19">
        <v>936</v>
      </c>
      <c r="H76" s="19">
        <v>1015</v>
      </c>
      <c r="I76" s="19">
        <v>1093</v>
      </c>
    </row>
    <row r="77" spans="1:9">
      <c r="B77" s="526"/>
      <c r="C77" s="589"/>
      <c r="D77" s="19"/>
      <c r="E77" s="19"/>
      <c r="F77" s="19"/>
      <c r="G77" s="19"/>
      <c r="H77" s="19"/>
      <c r="I77" s="19"/>
    </row>
    <row r="78" spans="1:9">
      <c r="A78" t="s">
        <v>289</v>
      </c>
      <c r="B78" s="526" t="s">
        <v>529</v>
      </c>
      <c r="C78" s="589">
        <v>521</v>
      </c>
      <c r="D78" s="19">
        <v>597</v>
      </c>
      <c r="E78" s="19">
        <v>722</v>
      </c>
      <c r="F78" s="19">
        <v>1027</v>
      </c>
      <c r="G78" s="19">
        <v>1139</v>
      </c>
      <c r="H78" s="19">
        <v>1310</v>
      </c>
      <c r="I78" s="19">
        <v>1481</v>
      </c>
    </row>
    <row r="79" spans="1:9">
      <c r="B79" s="526" t="s">
        <v>530</v>
      </c>
      <c r="C79" s="589">
        <v>461</v>
      </c>
      <c r="D79" s="19">
        <v>494</v>
      </c>
      <c r="E79" s="19">
        <v>593</v>
      </c>
      <c r="F79" s="19">
        <v>685</v>
      </c>
      <c r="G79" s="19">
        <v>765</v>
      </c>
      <c r="H79" s="19">
        <v>843</v>
      </c>
      <c r="I79" s="19">
        <v>922</v>
      </c>
    </row>
    <row r="80" spans="1:9">
      <c r="B80" s="526" t="s">
        <v>531</v>
      </c>
      <c r="C80" s="589">
        <v>521</v>
      </c>
      <c r="D80" s="19">
        <v>597</v>
      </c>
      <c r="E80" s="19">
        <v>722</v>
      </c>
      <c r="F80" s="19">
        <v>857</v>
      </c>
      <c r="G80" s="19">
        <v>936</v>
      </c>
      <c r="H80" s="19">
        <v>1015</v>
      </c>
      <c r="I80" s="19">
        <v>1093</v>
      </c>
    </row>
    <row r="81" spans="1:9">
      <c r="B81" s="526"/>
      <c r="C81" s="589"/>
      <c r="D81" s="19"/>
      <c r="E81" s="19"/>
      <c r="F81" s="19"/>
      <c r="G81" s="19"/>
      <c r="H81" s="19"/>
      <c r="I81" s="19"/>
    </row>
    <row r="82" spans="1:9">
      <c r="A82" t="s">
        <v>290</v>
      </c>
      <c r="B82" s="526" t="s">
        <v>529</v>
      </c>
      <c r="C82" s="589">
        <v>432</v>
      </c>
      <c r="D82" s="19">
        <v>506</v>
      </c>
      <c r="E82" s="19">
        <v>645</v>
      </c>
      <c r="F82" s="19">
        <v>902</v>
      </c>
      <c r="G82" s="19">
        <v>1002</v>
      </c>
      <c r="H82" s="19">
        <v>1152</v>
      </c>
      <c r="I82" s="19">
        <v>1303</v>
      </c>
    </row>
    <row r="83" spans="1:9">
      <c r="B83" s="526" t="s">
        <v>530</v>
      </c>
      <c r="C83" s="590">
        <v>432</v>
      </c>
      <c r="D83" s="19">
        <v>503</v>
      </c>
      <c r="E83" s="19">
        <v>603</v>
      </c>
      <c r="F83" s="19">
        <v>696</v>
      </c>
      <c r="G83" s="19">
        <v>777</v>
      </c>
      <c r="H83" s="19">
        <v>858</v>
      </c>
      <c r="I83" s="19">
        <v>938</v>
      </c>
    </row>
    <row r="84" spans="1:9">
      <c r="B84" s="526" t="s">
        <v>531</v>
      </c>
      <c r="C84" s="589">
        <v>432</v>
      </c>
      <c r="D84" s="19">
        <v>506</v>
      </c>
      <c r="E84" s="19">
        <v>645</v>
      </c>
      <c r="F84" s="19">
        <v>872</v>
      </c>
      <c r="G84" s="19">
        <v>954</v>
      </c>
      <c r="H84" s="19">
        <v>1034</v>
      </c>
      <c r="I84" s="19">
        <v>1114</v>
      </c>
    </row>
    <row r="85" spans="1:9">
      <c r="B85" s="526"/>
      <c r="C85" s="589"/>
      <c r="D85" s="19"/>
      <c r="E85" s="19"/>
      <c r="F85" s="19"/>
      <c r="G85" s="19"/>
      <c r="H85" s="19"/>
      <c r="I85" s="19"/>
    </row>
    <row r="86" spans="1:9">
      <c r="A86" t="s">
        <v>291</v>
      </c>
      <c r="B86" s="526" t="s">
        <v>529</v>
      </c>
      <c r="C86" s="589">
        <v>434</v>
      </c>
      <c r="D86" s="19">
        <v>505</v>
      </c>
      <c r="E86" s="19">
        <v>635</v>
      </c>
      <c r="F86" s="19">
        <v>878</v>
      </c>
      <c r="G86" s="19">
        <v>933</v>
      </c>
      <c r="H86" s="19">
        <v>1073</v>
      </c>
      <c r="I86" s="19">
        <v>1213</v>
      </c>
    </row>
    <row r="87" spans="1:9">
      <c r="B87" s="526" t="s">
        <v>530</v>
      </c>
      <c r="C87" s="590">
        <v>434</v>
      </c>
      <c r="D87" s="19">
        <v>494</v>
      </c>
      <c r="E87" s="19">
        <v>593</v>
      </c>
      <c r="F87" s="19">
        <v>685</v>
      </c>
      <c r="G87" s="19">
        <v>765</v>
      </c>
      <c r="H87" s="19">
        <v>843</v>
      </c>
      <c r="I87" s="19">
        <v>922</v>
      </c>
    </row>
    <row r="88" spans="1:9">
      <c r="B88" s="526" t="s">
        <v>531</v>
      </c>
      <c r="C88" s="590">
        <v>434</v>
      </c>
      <c r="D88" s="19">
        <v>505</v>
      </c>
      <c r="E88" s="19">
        <v>635</v>
      </c>
      <c r="F88" s="19">
        <v>857</v>
      </c>
      <c r="G88" s="19">
        <v>933</v>
      </c>
      <c r="H88" s="19">
        <v>1015</v>
      </c>
      <c r="I88" s="19">
        <v>1093</v>
      </c>
    </row>
    <row r="89" spans="1:9">
      <c r="B89" s="526"/>
      <c r="C89" s="589"/>
      <c r="D89" s="19"/>
      <c r="E89" s="19"/>
      <c r="F89" s="19"/>
      <c r="G89" s="19"/>
      <c r="H89" s="19"/>
      <c r="I89" s="19"/>
    </row>
    <row r="90" spans="1:9">
      <c r="A90" t="s">
        <v>292</v>
      </c>
      <c r="B90" s="526" t="s">
        <v>529</v>
      </c>
      <c r="C90" s="589">
        <v>538</v>
      </c>
      <c r="D90" s="19">
        <v>614</v>
      </c>
      <c r="E90" s="19">
        <v>783</v>
      </c>
      <c r="F90" s="19">
        <v>1085</v>
      </c>
      <c r="G90" s="19">
        <v>1225</v>
      </c>
      <c r="H90" s="19">
        <v>1409</v>
      </c>
      <c r="I90" s="19">
        <v>1593</v>
      </c>
    </row>
    <row r="91" spans="1:9">
      <c r="B91" s="526" t="s">
        <v>530</v>
      </c>
      <c r="C91" s="589">
        <v>465</v>
      </c>
      <c r="D91" s="19">
        <v>498</v>
      </c>
      <c r="E91" s="19">
        <v>597</v>
      </c>
      <c r="F91" s="19">
        <v>690</v>
      </c>
      <c r="G91" s="19">
        <v>770</v>
      </c>
      <c r="H91" s="19">
        <v>850</v>
      </c>
      <c r="I91" s="19">
        <v>929</v>
      </c>
    </row>
    <row r="92" spans="1:9">
      <c r="B92" s="526" t="s">
        <v>531</v>
      </c>
      <c r="C92" s="589">
        <v>538</v>
      </c>
      <c r="D92" s="19">
        <v>614</v>
      </c>
      <c r="E92" s="19">
        <v>754</v>
      </c>
      <c r="F92" s="19">
        <v>864</v>
      </c>
      <c r="G92" s="19">
        <v>944</v>
      </c>
      <c r="H92" s="19">
        <v>1022</v>
      </c>
      <c r="I92" s="19">
        <v>1102</v>
      </c>
    </row>
    <row r="93" spans="1:9">
      <c r="B93" s="526"/>
      <c r="C93" s="589"/>
      <c r="D93" s="19"/>
      <c r="E93" s="19"/>
      <c r="F93" s="19"/>
      <c r="G93" s="19"/>
      <c r="H93" s="19"/>
      <c r="I93" s="19"/>
    </row>
    <row r="94" spans="1:9">
      <c r="A94" t="s">
        <v>293</v>
      </c>
      <c r="B94" s="526" t="s">
        <v>529</v>
      </c>
      <c r="C94" s="589">
        <v>514</v>
      </c>
      <c r="D94" s="19">
        <v>623</v>
      </c>
      <c r="E94" s="19">
        <v>777</v>
      </c>
      <c r="F94" s="19">
        <v>1071</v>
      </c>
      <c r="G94" s="19">
        <v>1326</v>
      </c>
      <c r="H94" s="19">
        <v>1525</v>
      </c>
      <c r="I94" s="19">
        <v>1724</v>
      </c>
    </row>
    <row r="95" spans="1:9">
      <c r="B95" s="526" t="s">
        <v>530</v>
      </c>
      <c r="C95" s="589">
        <v>507</v>
      </c>
      <c r="D95" s="19">
        <v>543</v>
      </c>
      <c r="E95" s="19">
        <v>652</v>
      </c>
      <c r="F95" s="19">
        <v>753</v>
      </c>
      <c r="G95" s="19">
        <v>840</v>
      </c>
      <c r="H95" s="19">
        <v>926</v>
      </c>
      <c r="I95" s="19">
        <v>1013</v>
      </c>
    </row>
    <row r="96" spans="1:9">
      <c r="B96" s="526" t="s">
        <v>531</v>
      </c>
      <c r="C96" s="589">
        <v>514</v>
      </c>
      <c r="D96" s="19">
        <v>623</v>
      </c>
      <c r="E96" s="19">
        <v>777</v>
      </c>
      <c r="F96" s="19">
        <v>945</v>
      </c>
      <c r="G96" s="19">
        <v>1035</v>
      </c>
      <c r="H96" s="19">
        <v>1123</v>
      </c>
      <c r="I96" s="19">
        <v>1212</v>
      </c>
    </row>
    <row r="97" spans="1:9">
      <c r="B97" s="526"/>
      <c r="C97" s="589"/>
      <c r="D97" s="19"/>
      <c r="E97" s="19"/>
      <c r="F97" s="19"/>
      <c r="G97" s="19"/>
      <c r="H97" s="19"/>
      <c r="I97" s="19"/>
    </row>
    <row r="98" spans="1:9">
      <c r="A98" t="s">
        <v>294</v>
      </c>
      <c r="B98" s="526" t="s">
        <v>529</v>
      </c>
      <c r="C98" s="589">
        <v>459</v>
      </c>
      <c r="D98" s="19">
        <v>524</v>
      </c>
      <c r="E98" s="19">
        <v>638</v>
      </c>
      <c r="F98" s="19">
        <v>923</v>
      </c>
      <c r="G98" s="19">
        <v>949</v>
      </c>
      <c r="H98" s="19">
        <v>1091</v>
      </c>
      <c r="I98" s="19">
        <v>1234</v>
      </c>
    </row>
    <row r="99" spans="1:9">
      <c r="B99" s="526" t="s">
        <v>530</v>
      </c>
      <c r="C99" s="589">
        <v>459</v>
      </c>
      <c r="D99" s="19">
        <v>494</v>
      </c>
      <c r="E99" s="19">
        <v>593</v>
      </c>
      <c r="F99" s="19">
        <v>685</v>
      </c>
      <c r="G99" s="19">
        <v>765</v>
      </c>
      <c r="H99" s="19">
        <v>843</v>
      </c>
      <c r="I99" s="19">
        <v>922</v>
      </c>
    </row>
    <row r="100" spans="1:9">
      <c r="B100" s="526" t="s">
        <v>531</v>
      </c>
      <c r="C100" s="589">
        <v>459</v>
      </c>
      <c r="D100" s="19">
        <v>524</v>
      </c>
      <c r="E100" s="19">
        <v>638</v>
      </c>
      <c r="F100" s="19">
        <v>857</v>
      </c>
      <c r="G100" s="19">
        <v>936</v>
      </c>
      <c r="H100" s="19">
        <v>1015</v>
      </c>
      <c r="I100" s="19">
        <v>1093</v>
      </c>
    </row>
    <row r="101" spans="1:9">
      <c r="B101" s="526"/>
      <c r="C101" s="589"/>
      <c r="D101" s="19"/>
      <c r="E101" s="19"/>
      <c r="F101" s="19"/>
      <c r="G101" s="19"/>
      <c r="H101" s="19"/>
      <c r="I101" s="19"/>
    </row>
    <row r="102" spans="1:9">
      <c r="A102" t="s">
        <v>295</v>
      </c>
      <c r="B102" s="526" t="s">
        <v>529</v>
      </c>
      <c r="C102" s="589">
        <v>485</v>
      </c>
      <c r="D102" s="19">
        <v>568</v>
      </c>
      <c r="E102" s="19">
        <v>686</v>
      </c>
      <c r="F102" s="19">
        <v>930</v>
      </c>
      <c r="G102" s="19">
        <v>1087</v>
      </c>
      <c r="H102" s="19">
        <v>1250</v>
      </c>
      <c r="I102" s="19">
        <v>1413</v>
      </c>
    </row>
    <row r="103" spans="1:9">
      <c r="B103" s="526" t="s">
        <v>530</v>
      </c>
      <c r="C103" s="589">
        <v>461</v>
      </c>
      <c r="D103" s="19">
        <v>494</v>
      </c>
      <c r="E103" s="19">
        <v>593</v>
      </c>
      <c r="F103" s="19">
        <v>685</v>
      </c>
      <c r="G103" s="19">
        <v>765</v>
      </c>
      <c r="H103" s="19">
        <v>843</v>
      </c>
      <c r="I103" s="19">
        <v>922</v>
      </c>
    </row>
    <row r="104" spans="1:9">
      <c r="B104" s="526" t="s">
        <v>531</v>
      </c>
      <c r="C104" s="589">
        <v>485</v>
      </c>
      <c r="D104" s="19">
        <v>568</v>
      </c>
      <c r="E104" s="19">
        <v>686</v>
      </c>
      <c r="F104" s="19">
        <v>857</v>
      </c>
      <c r="G104" s="19">
        <v>936</v>
      </c>
      <c r="H104" s="19">
        <v>1015</v>
      </c>
      <c r="I104" s="19">
        <v>1093</v>
      </c>
    </row>
    <row r="105" spans="1:9">
      <c r="B105" s="526"/>
      <c r="C105" s="589"/>
      <c r="D105" s="19"/>
      <c r="E105" s="19"/>
      <c r="F105" s="19"/>
      <c r="G105" s="19"/>
      <c r="H105" s="19"/>
      <c r="I105" s="19"/>
    </row>
    <row r="106" spans="1:9">
      <c r="A106" t="s">
        <v>296</v>
      </c>
      <c r="B106" s="526" t="s">
        <v>529</v>
      </c>
      <c r="C106" s="589">
        <v>485</v>
      </c>
      <c r="D106" s="19">
        <v>568</v>
      </c>
      <c r="E106" s="19">
        <v>686</v>
      </c>
      <c r="F106" s="19">
        <v>930</v>
      </c>
      <c r="G106" s="19">
        <v>1087</v>
      </c>
      <c r="H106" s="19">
        <v>1250</v>
      </c>
      <c r="I106" s="19">
        <v>1413</v>
      </c>
    </row>
    <row r="107" spans="1:9">
      <c r="B107" s="526" t="s">
        <v>530</v>
      </c>
      <c r="C107" s="589">
        <v>470</v>
      </c>
      <c r="D107" s="19">
        <v>506</v>
      </c>
      <c r="E107" s="19">
        <v>607</v>
      </c>
      <c r="F107" s="19">
        <v>701</v>
      </c>
      <c r="G107" s="19">
        <v>782</v>
      </c>
      <c r="H107" s="19">
        <v>863</v>
      </c>
      <c r="I107" s="19">
        <v>943</v>
      </c>
    </row>
    <row r="108" spans="1:9">
      <c r="B108" s="526" t="s">
        <v>531</v>
      </c>
      <c r="C108" s="589">
        <v>485</v>
      </c>
      <c r="D108" s="19">
        <v>568</v>
      </c>
      <c r="E108" s="19">
        <v>686</v>
      </c>
      <c r="F108" s="19">
        <v>878</v>
      </c>
      <c r="G108" s="19">
        <v>960</v>
      </c>
      <c r="H108" s="19">
        <v>1041</v>
      </c>
      <c r="I108" s="19">
        <v>1121</v>
      </c>
    </row>
    <row r="109" spans="1:9">
      <c r="B109" s="526"/>
      <c r="C109" s="589"/>
      <c r="D109" s="19"/>
      <c r="E109" s="19"/>
      <c r="F109" s="19"/>
      <c r="G109" s="19"/>
      <c r="H109" s="19"/>
      <c r="I109" s="19"/>
    </row>
    <row r="110" spans="1:9">
      <c r="A110" t="s">
        <v>297</v>
      </c>
      <c r="B110" s="526" t="s">
        <v>529</v>
      </c>
      <c r="C110" s="589">
        <v>498</v>
      </c>
      <c r="D110" s="19">
        <v>595</v>
      </c>
      <c r="E110" s="19">
        <v>765</v>
      </c>
      <c r="F110" s="19">
        <v>1069</v>
      </c>
      <c r="G110" s="19">
        <v>1102</v>
      </c>
      <c r="H110" s="19">
        <v>1267</v>
      </c>
      <c r="I110" s="19">
        <v>1433</v>
      </c>
    </row>
    <row r="111" spans="1:9">
      <c r="B111" s="526" t="s">
        <v>530</v>
      </c>
      <c r="C111" s="589">
        <v>468</v>
      </c>
      <c r="D111" s="19">
        <v>501</v>
      </c>
      <c r="E111" s="19">
        <v>602</v>
      </c>
      <c r="F111" s="19">
        <v>695</v>
      </c>
      <c r="G111" s="19">
        <v>776</v>
      </c>
      <c r="H111" s="19">
        <v>856</v>
      </c>
      <c r="I111" s="19">
        <v>936</v>
      </c>
    </row>
    <row r="112" spans="1:9">
      <c r="B112" s="526" t="s">
        <v>531</v>
      </c>
      <c r="C112" s="589">
        <v>498</v>
      </c>
      <c r="D112" s="19">
        <v>595</v>
      </c>
      <c r="E112" s="19">
        <v>762</v>
      </c>
      <c r="F112" s="19">
        <v>871</v>
      </c>
      <c r="G112" s="19">
        <v>953</v>
      </c>
      <c r="H112" s="19">
        <v>1032</v>
      </c>
      <c r="I112" s="19">
        <v>1112</v>
      </c>
    </row>
    <row r="113" spans="1:9">
      <c r="B113" s="526"/>
      <c r="C113" s="589"/>
      <c r="D113" s="19"/>
      <c r="E113" s="19"/>
      <c r="F113" s="19"/>
      <c r="G113" s="19"/>
      <c r="H113" s="19"/>
      <c r="I113" s="19"/>
    </row>
    <row r="114" spans="1:9">
      <c r="A114" t="s">
        <v>298</v>
      </c>
      <c r="B114" s="526" t="s">
        <v>529</v>
      </c>
      <c r="C114" s="589">
        <v>450</v>
      </c>
      <c r="D114" s="19">
        <v>513</v>
      </c>
      <c r="E114" s="19">
        <v>656</v>
      </c>
      <c r="F114" s="19">
        <v>921</v>
      </c>
      <c r="G114" s="19">
        <v>1027</v>
      </c>
      <c r="H114" s="19">
        <v>1181</v>
      </c>
      <c r="I114" s="19">
        <v>1335</v>
      </c>
    </row>
    <row r="115" spans="1:9">
      <c r="B115" s="526" t="s">
        <v>530</v>
      </c>
      <c r="C115" s="589">
        <v>450</v>
      </c>
      <c r="D115" s="19">
        <v>510</v>
      </c>
      <c r="E115" s="19">
        <v>612</v>
      </c>
      <c r="F115" s="19">
        <v>707</v>
      </c>
      <c r="G115" s="19">
        <v>790</v>
      </c>
      <c r="H115" s="19">
        <v>871</v>
      </c>
      <c r="I115" s="19">
        <v>952</v>
      </c>
    </row>
    <row r="116" spans="1:9">
      <c r="B116" s="526" t="s">
        <v>531</v>
      </c>
      <c r="C116" s="589">
        <v>450</v>
      </c>
      <c r="D116" s="19">
        <v>513</v>
      </c>
      <c r="E116" s="19">
        <v>656</v>
      </c>
      <c r="F116" s="19">
        <v>885</v>
      </c>
      <c r="G116" s="19">
        <v>969</v>
      </c>
      <c r="H116" s="19">
        <v>1050</v>
      </c>
      <c r="I116" s="19">
        <v>1131</v>
      </c>
    </row>
    <row r="117" spans="1:9">
      <c r="B117" s="526"/>
      <c r="C117" s="589"/>
      <c r="D117" s="19"/>
      <c r="E117" s="19"/>
      <c r="F117" s="19"/>
      <c r="G117" s="19"/>
      <c r="H117" s="19"/>
      <c r="I117" s="19"/>
    </row>
    <row r="118" spans="1:9">
      <c r="A118" t="s">
        <v>299</v>
      </c>
      <c r="B118" s="526" t="s">
        <v>529</v>
      </c>
      <c r="C118" s="589">
        <v>430</v>
      </c>
      <c r="D118" s="19">
        <v>501</v>
      </c>
      <c r="E118" s="19">
        <v>661</v>
      </c>
      <c r="F118" s="19">
        <v>964</v>
      </c>
      <c r="G118" s="19">
        <v>992</v>
      </c>
      <c r="H118" s="19">
        <v>1141</v>
      </c>
      <c r="I118" s="19">
        <v>1290</v>
      </c>
    </row>
    <row r="119" spans="1:9">
      <c r="B119" s="526" t="s">
        <v>530</v>
      </c>
      <c r="C119" s="589">
        <v>430</v>
      </c>
      <c r="D119" s="19">
        <v>501</v>
      </c>
      <c r="E119" s="19">
        <v>625</v>
      </c>
      <c r="F119" s="19">
        <v>721</v>
      </c>
      <c r="G119" s="19">
        <v>805</v>
      </c>
      <c r="H119" s="19">
        <v>888</v>
      </c>
      <c r="I119" s="19">
        <v>971</v>
      </c>
    </row>
    <row r="120" spans="1:9">
      <c r="B120" s="526" t="s">
        <v>531</v>
      </c>
      <c r="C120" s="589">
        <v>430</v>
      </c>
      <c r="D120" s="19">
        <v>501</v>
      </c>
      <c r="E120" s="19">
        <v>661</v>
      </c>
      <c r="F120" s="19">
        <v>905</v>
      </c>
      <c r="G120" s="19">
        <v>990</v>
      </c>
      <c r="H120" s="19">
        <v>1074</v>
      </c>
      <c r="I120" s="19">
        <v>1158</v>
      </c>
    </row>
    <row r="121" spans="1:9">
      <c r="B121" s="526"/>
      <c r="C121" s="589"/>
      <c r="D121" s="19"/>
      <c r="E121" s="19"/>
      <c r="F121" s="19"/>
      <c r="G121" s="19"/>
      <c r="H121" s="19"/>
      <c r="I121" s="19"/>
    </row>
    <row r="122" spans="1:9">
      <c r="A122" t="s">
        <v>300</v>
      </c>
      <c r="B122" s="526" t="s">
        <v>529</v>
      </c>
      <c r="C122" s="589">
        <v>426</v>
      </c>
      <c r="D122" s="19">
        <v>496</v>
      </c>
      <c r="E122" s="19">
        <v>655</v>
      </c>
      <c r="F122" s="19">
        <v>937</v>
      </c>
      <c r="G122" s="19">
        <v>1007</v>
      </c>
      <c r="H122" s="19">
        <v>1158</v>
      </c>
      <c r="I122" s="19">
        <v>1309</v>
      </c>
    </row>
    <row r="123" spans="1:9">
      <c r="B123" s="526" t="s">
        <v>530</v>
      </c>
      <c r="C123" s="589">
        <v>426</v>
      </c>
      <c r="D123" s="19">
        <v>496</v>
      </c>
      <c r="E123" s="19">
        <v>597</v>
      </c>
      <c r="F123" s="19">
        <v>690</v>
      </c>
      <c r="G123" s="19">
        <v>770</v>
      </c>
      <c r="H123" s="19">
        <v>850</v>
      </c>
      <c r="I123" s="19">
        <v>929</v>
      </c>
    </row>
    <row r="124" spans="1:9">
      <c r="B124" s="526" t="s">
        <v>531</v>
      </c>
      <c r="C124" s="589">
        <v>426</v>
      </c>
      <c r="D124" s="19">
        <v>496</v>
      </c>
      <c r="E124" s="19">
        <v>655</v>
      </c>
      <c r="F124" s="19">
        <v>864</v>
      </c>
      <c r="G124" s="19">
        <v>944</v>
      </c>
      <c r="H124" s="19">
        <v>1022</v>
      </c>
      <c r="I124" s="19">
        <v>1102</v>
      </c>
    </row>
    <row r="125" spans="1:9">
      <c r="B125" s="526"/>
      <c r="C125" s="589"/>
      <c r="D125" s="19"/>
      <c r="E125" s="19"/>
      <c r="F125" s="19"/>
      <c r="G125" s="19"/>
      <c r="H125" s="19"/>
      <c r="I125" s="19"/>
    </row>
    <row r="126" spans="1:9">
      <c r="A126" t="s">
        <v>301</v>
      </c>
      <c r="B126" s="526" t="s">
        <v>529</v>
      </c>
      <c r="C126" s="589">
        <v>499</v>
      </c>
      <c r="D126" s="19">
        <v>559</v>
      </c>
      <c r="E126" s="19">
        <v>696</v>
      </c>
      <c r="F126" s="19">
        <v>989</v>
      </c>
      <c r="G126" s="19">
        <v>1224</v>
      </c>
      <c r="H126" s="19">
        <v>1408</v>
      </c>
      <c r="I126" s="19">
        <v>1591</v>
      </c>
    </row>
    <row r="127" spans="1:9">
      <c r="B127" s="526" t="s">
        <v>530</v>
      </c>
      <c r="C127" s="589">
        <v>470</v>
      </c>
      <c r="D127" s="19">
        <v>503</v>
      </c>
      <c r="E127" s="19">
        <v>603</v>
      </c>
      <c r="F127" s="19">
        <v>696</v>
      </c>
      <c r="G127" s="19">
        <v>777</v>
      </c>
      <c r="H127" s="19">
        <v>858</v>
      </c>
      <c r="I127" s="19">
        <v>938</v>
      </c>
    </row>
    <row r="128" spans="1:9">
      <c r="B128" s="526" t="s">
        <v>531</v>
      </c>
      <c r="C128" s="589">
        <v>499</v>
      </c>
      <c r="D128" s="19">
        <v>559</v>
      </c>
      <c r="E128" s="19">
        <v>696</v>
      </c>
      <c r="F128" s="19">
        <v>872</v>
      </c>
      <c r="G128" s="19">
        <v>954</v>
      </c>
      <c r="H128" s="19">
        <v>1034</v>
      </c>
      <c r="I128" s="19">
        <v>1114</v>
      </c>
    </row>
    <row r="129" spans="1:9">
      <c r="B129" s="526"/>
      <c r="C129" s="589"/>
      <c r="D129" s="19"/>
      <c r="E129" s="19"/>
      <c r="F129" s="19"/>
      <c r="G129" s="19"/>
      <c r="H129" s="19"/>
      <c r="I129" s="19"/>
    </row>
    <row r="130" spans="1:9">
      <c r="A130" t="s">
        <v>302</v>
      </c>
      <c r="B130" s="526" t="s">
        <v>529</v>
      </c>
      <c r="C130" s="589">
        <v>485</v>
      </c>
      <c r="D130" s="19">
        <v>568</v>
      </c>
      <c r="E130" s="19">
        <v>686</v>
      </c>
      <c r="F130" s="19">
        <v>930</v>
      </c>
      <c r="G130" s="19">
        <v>1087</v>
      </c>
      <c r="H130" s="19">
        <v>1250</v>
      </c>
      <c r="I130" s="19">
        <v>1413</v>
      </c>
    </row>
    <row r="131" spans="1:9">
      <c r="B131" s="526" t="s">
        <v>530</v>
      </c>
      <c r="C131" s="589">
        <v>461</v>
      </c>
      <c r="D131" s="19">
        <v>494</v>
      </c>
      <c r="E131" s="19">
        <v>593</v>
      </c>
      <c r="F131" s="19">
        <v>685</v>
      </c>
      <c r="G131" s="19">
        <v>765</v>
      </c>
      <c r="H131" s="19">
        <v>843</v>
      </c>
      <c r="I131" s="19">
        <v>922</v>
      </c>
    </row>
    <row r="132" spans="1:9">
      <c r="B132" s="526" t="s">
        <v>531</v>
      </c>
      <c r="C132" s="589">
        <v>485</v>
      </c>
      <c r="D132" s="19">
        <v>568</v>
      </c>
      <c r="E132" s="19">
        <v>686</v>
      </c>
      <c r="F132" s="19">
        <v>857</v>
      </c>
      <c r="G132" s="19">
        <v>936</v>
      </c>
      <c r="H132" s="19">
        <v>1015</v>
      </c>
      <c r="I132" s="19">
        <v>1093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I1"/>
    <mergeCell ref="A2:I2"/>
  </mergeCells>
  <phoneticPr fontId="6" type="noConversion"/>
  <pageMargins left="0.75" right="0.75" top="0.59" bottom="0.75" header="0.39" footer="0.5"/>
  <pageSetup scale="83" firstPageNumber="17" fitToHeight="2" orientation="portrait" useFirstPageNumber="1" r:id="rId1"/>
  <headerFooter alignWithMargins="0">
    <oddFooter>&amp;L2010 Funding Pro Forma  &amp;C&amp;P&amp;RUpdated 03/24/2010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Q204"/>
  <sheetViews>
    <sheetView workbookViewId="0">
      <selection activeCell="A4" sqref="A4"/>
    </sheetView>
  </sheetViews>
  <sheetFormatPr defaultColWidth="10.28515625" defaultRowHeight="12.75"/>
  <cols>
    <col min="1" max="1" width="14" style="560" customWidth="1"/>
    <col min="2" max="2" width="6.85546875" style="564" customWidth="1"/>
    <col min="3" max="15" width="8.28515625" style="560" customWidth="1"/>
    <col min="16" max="16384" width="10.28515625" style="560"/>
  </cols>
  <sheetData>
    <row r="1" spans="1:17" ht="15" customHeight="1">
      <c r="A1" s="633" t="s">
        <v>184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559"/>
      <c r="M1" s="559"/>
      <c r="N1" s="559"/>
      <c r="O1" s="559"/>
    </row>
    <row r="2" spans="1:17" ht="18" customHeight="1">
      <c r="A2" s="634" t="s">
        <v>592</v>
      </c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559"/>
      <c r="M2" s="559"/>
      <c r="N2" s="559"/>
      <c r="O2" s="559"/>
    </row>
    <row r="3" spans="1:17" ht="15" customHeight="1">
      <c r="A3" s="635" t="s">
        <v>579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559"/>
      <c r="M3" s="559"/>
      <c r="N3" s="559"/>
      <c r="O3" s="559"/>
    </row>
    <row r="4" spans="1:17">
      <c r="A4" s="561"/>
      <c r="B4" s="562"/>
    </row>
    <row r="5" spans="1:17">
      <c r="B5" s="560" t="s">
        <v>580</v>
      </c>
      <c r="Q5" s="563"/>
    </row>
    <row r="6" spans="1:17">
      <c r="B6" s="560" t="s">
        <v>593</v>
      </c>
    </row>
    <row r="7" spans="1:17">
      <c r="B7" s="560" t="s">
        <v>581</v>
      </c>
    </row>
    <row r="9" spans="1:17">
      <c r="A9" s="565" t="s">
        <v>186</v>
      </c>
      <c r="B9" s="566" t="s">
        <v>187</v>
      </c>
      <c r="C9" s="565" t="s">
        <v>33</v>
      </c>
      <c r="D9" s="565" t="s">
        <v>34</v>
      </c>
      <c r="E9" s="565" t="s">
        <v>35</v>
      </c>
      <c r="F9" s="565" t="s">
        <v>36</v>
      </c>
      <c r="G9" s="565" t="s">
        <v>37</v>
      </c>
      <c r="H9" s="565" t="s">
        <v>38</v>
      </c>
      <c r="I9" s="565" t="s">
        <v>188</v>
      </c>
      <c r="J9" s="565" t="s">
        <v>189</v>
      </c>
      <c r="K9" s="567"/>
    </row>
    <row r="10" spans="1:17">
      <c r="A10" s="568"/>
      <c r="B10" s="569"/>
      <c r="C10" s="570"/>
      <c r="D10" s="570"/>
      <c r="E10" s="570"/>
      <c r="F10" s="570"/>
      <c r="G10" s="570"/>
      <c r="H10" s="570"/>
      <c r="I10" s="570"/>
      <c r="J10" s="570"/>
      <c r="K10" s="571"/>
      <c r="L10" s="503"/>
      <c r="M10" s="503"/>
      <c r="N10" s="503"/>
      <c r="O10" s="503"/>
    </row>
    <row r="11" spans="1:17">
      <c r="A11" s="572" t="s">
        <v>67</v>
      </c>
      <c r="B11" s="573">
        <v>0.3</v>
      </c>
      <c r="C11" s="574">
        <v>13800</v>
      </c>
      <c r="D11" s="574">
        <v>15750</v>
      </c>
      <c r="E11" s="574">
        <v>17700</v>
      </c>
      <c r="F11" s="574">
        <v>19650</v>
      </c>
      <c r="G11" s="574">
        <v>21250</v>
      </c>
      <c r="H11" s="574">
        <v>22800</v>
      </c>
      <c r="I11" s="574">
        <v>24400</v>
      </c>
      <c r="J11" s="574">
        <v>25950</v>
      </c>
      <c r="K11" s="575"/>
    </row>
    <row r="12" spans="1:17">
      <c r="A12" s="572"/>
      <c r="B12" s="576">
        <v>0.4</v>
      </c>
      <c r="C12" s="548">
        <f>(+C13*2)*0.4</f>
        <v>18360</v>
      </c>
      <c r="D12" s="548">
        <f t="shared" ref="D12:J12" si="0">(+D13*2)*0.4</f>
        <v>20960</v>
      </c>
      <c r="E12" s="548">
        <f t="shared" si="0"/>
        <v>23600</v>
      </c>
      <c r="F12" s="548">
        <f t="shared" si="0"/>
        <v>26200</v>
      </c>
      <c r="G12" s="548">
        <f t="shared" si="0"/>
        <v>28320</v>
      </c>
      <c r="H12" s="548">
        <f t="shared" si="0"/>
        <v>30400</v>
      </c>
      <c r="I12" s="548">
        <f t="shared" si="0"/>
        <v>32520</v>
      </c>
      <c r="J12" s="548">
        <f t="shared" si="0"/>
        <v>34600</v>
      </c>
      <c r="K12" s="577"/>
      <c r="L12" s="578"/>
      <c r="M12" s="578"/>
      <c r="N12" s="578"/>
      <c r="O12" s="578"/>
    </row>
    <row r="13" spans="1:17">
      <c r="A13" s="572"/>
      <c r="B13" s="576">
        <v>0.5</v>
      </c>
      <c r="C13" s="574">
        <v>22950</v>
      </c>
      <c r="D13" s="574">
        <v>26200</v>
      </c>
      <c r="E13" s="574">
        <v>29500</v>
      </c>
      <c r="F13" s="574">
        <v>32750</v>
      </c>
      <c r="G13" s="574">
        <v>35400</v>
      </c>
      <c r="H13" s="574">
        <v>38000</v>
      </c>
      <c r="I13" s="574">
        <v>40650</v>
      </c>
      <c r="J13" s="574">
        <v>43250</v>
      </c>
      <c r="K13" s="575"/>
      <c r="L13" s="578"/>
      <c r="M13" s="578"/>
      <c r="N13" s="578"/>
      <c r="O13" s="578"/>
    </row>
    <row r="14" spans="1:17">
      <c r="A14" s="572"/>
      <c r="B14" s="576">
        <v>0.6</v>
      </c>
      <c r="C14" s="548">
        <f>(+C13*2)*0.6</f>
        <v>27540</v>
      </c>
      <c r="D14" s="548">
        <f t="shared" ref="D14:J14" si="1">(+D13*2)*0.6</f>
        <v>31440</v>
      </c>
      <c r="E14" s="548">
        <f t="shared" si="1"/>
        <v>35400</v>
      </c>
      <c r="F14" s="548">
        <f t="shared" si="1"/>
        <v>39300</v>
      </c>
      <c r="G14" s="548">
        <f t="shared" si="1"/>
        <v>42480</v>
      </c>
      <c r="H14" s="548">
        <f t="shared" si="1"/>
        <v>45600</v>
      </c>
      <c r="I14" s="548">
        <f t="shared" si="1"/>
        <v>48780</v>
      </c>
      <c r="J14" s="548">
        <f t="shared" si="1"/>
        <v>51900</v>
      </c>
      <c r="K14" s="577"/>
      <c r="L14" s="578"/>
      <c r="M14" s="578"/>
      <c r="N14" s="578"/>
      <c r="O14" s="578"/>
    </row>
    <row r="15" spans="1:17">
      <c r="A15" s="572"/>
      <c r="B15" s="576">
        <v>0.8</v>
      </c>
      <c r="C15" s="574">
        <v>36700</v>
      </c>
      <c r="D15" s="574">
        <v>41950</v>
      </c>
      <c r="E15" s="574">
        <v>47200</v>
      </c>
      <c r="F15" s="574">
        <v>52400</v>
      </c>
      <c r="G15" s="574">
        <v>56600</v>
      </c>
      <c r="H15" s="574">
        <v>60800</v>
      </c>
      <c r="I15" s="574">
        <v>65000</v>
      </c>
      <c r="J15" s="574">
        <v>69200</v>
      </c>
      <c r="K15" s="575"/>
      <c r="L15" s="578"/>
      <c r="M15" s="578"/>
      <c r="N15" s="578"/>
      <c r="O15" s="578"/>
    </row>
    <row r="16" spans="1:17">
      <c r="A16" s="572"/>
      <c r="B16" s="579"/>
      <c r="C16" s="548"/>
      <c r="D16" s="548"/>
      <c r="E16" s="548"/>
      <c r="F16" s="548"/>
      <c r="G16" s="548"/>
      <c r="H16" s="548"/>
      <c r="I16" s="548"/>
      <c r="J16" s="548"/>
      <c r="K16" s="575"/>
      <c r="L16" s="578"/>
      <c r="M16" s="578"/>
      <c r="N16" s="578"/>
      <c r="O16" s="578"/>
    </row>
    <row r="17" spans="1:15">
      <c r="A17" s="572" t="s">
        <v>190</v>
      </c>
      <c r="B17" s="576">
        <v>0.3</v>
      </c>
      <c r="C17" s="574">
        <v>15400</v>
      </c>
      <c r="D17" s="574">
        <v>17600</v>
      </c>
      <c r="E17" s="574">
        <v>19800</v>
      </c>
      <c r="F17" s="574">
        <v>21950</v>
      </c>
      <c r="G17" s="574">
        <v>23750</v>
      </c>
      <c r="H17" s="574">
        <v>25500</v>
      </c>
      <c r="I17" s="574">
        <v>27250</v>
      </c>
      <c r="J17" s="574">
        <v>29000</v>
      </c>
      <c r="K17" s="575"/>
    </row>
    <row r="18" spans="1:15">
      <c r="A18" s="572"/>
      <c r="B18" s="576">
        <v>0.4</v>
      </c>
      <c r="C18" s="548">
        <f t="shared" ref="C18:J18" si="2">(+C19*2)*0.4</f>
        <v>20520</v>
      </c>
      <c r="D18" s="548">
        <f t="shared" si="2"/>
        <v>23440</v>
      </c>
      <c r="E18" s="548">
        <f t="shared" si="2"/>
        <v>26360</v>
      </c>
      <c r="F18" s="548">
        <f t="shared" si="2"/>
        <v>29280</v>
      </c>
      <c r="G18" s="548">
        <f t="shared" si="2"/>
        <v>31640</v>
      </c>
      <c r="H18" s="548">
        <f t="shared" si="2"/>
        <v>34000</v>
      </c>
      <c r="I18" s="548">
        <f t="shared" si="2"/>
        <v>36320</v>
      </c>
      <c r="J18" s="548">
        <f t="shared" si="2"/>
        <v>38680</v>
      </c>
      <c r="K18" s="575"/>
      <c r="L18" s="578"/>
      <c r="M18" s="578"/>
      <c r="N18" s="578"/>
      <c r="O18" s="578"/>
    </row>
    <row r="19" spans="1:15">
      <c r="A19" s="572"/>
      <c r="B19" s="576">
        <v>0.5</v>
      </c>
      <c r="C19" s="574">
        <v>25650</v>
      </c>
      <c r="D19" s="574">
        <v>29300</v>
      </c>
      <c r="E19" s="574">
        <v>32950</v>
      </c>
      <c r="F19" s="574">
        <v>36600</v>
      </c>
      <c r="G19" s="574">
        <v>39550</v>
      </c>
      <c r="H19" s="574">
        <v>42500</v>
      </c>
      <c r="I19" s="574">
        <v>45400</v>
      </c>
      <c r="J19" s="574">
        <v>48350</v>
      </c>
      <c r="K19" s="575"/>
      <c r="L19" s="578"/>
      <c r="M19" s="578"/>
      <c r="N19" s="578"/>
      <c r="O19" s="578"/>
    </row>
    <row r="20" spans="1:15">
      <c r="A20" s="572"/>
      <c r="B20" s="576">
        <v>0.6</v>
      </c>
      <c r="C20" s="548">
        <f t="shared" ref="C20:J20" si="3">(+C19*2)*0.6</f>
        <v>30780</v>
      </c>
      <c r="D20" s="548">
        <f t="shared" si="3"/>
        <v>35160</v>
      </c>
      <c r="E20" s="548">
        <f t="shared" si="3"/>
        <v>39540</v>
      </c>
      <c r="F20" s="548">
        <f t="shared" si="3"/>
        <v>43920</v>
      </c>
      <c r="G20" s="548">
        <f t="shared" si="3"/>
        <v>47460</v>
      </c>
      <c r="H20" s="548">
        <f t="shared" si="3"/>
        <v>51000</v>
      </c>
      <c r="I20" s="548">
        <f t="shared" si="3"/>
        <v>54480</v>
      </c>
      <c r="J20" s="548">
        <f t="shared" si="3"/>
        <v>58020</v>
      </c>
      <c r="K20" s="575"/>
      <c r="L20" s="578"/>
      <c r="M20" s="578"/>
      <c r="N20" s="578"/>
      <c r="O20" s="578"/>
    </row>
    <row r="21" spans="1:15">
      <c r="A21" s="572"/>
      <c r="B21" s="576">
        <v>0.8</v>
      </c>
      <c r="C21" s="574">
        <v>41000</v>
      </c>
      <c r="D21" s="574">
        <v>46850</v>
      </c>
      <c r="E21" s="574">
        <v>52700</v>
      </c>
      <c r="F21" s="574">
        <v>58550</v>
      </c>
      <c r="G21" s="574">
        <v>63250</v>
      </c>
      <c r="H21" s="574">
        <v>67950</v>
      </c>
      <c r="I21" s="574">
        <v>72650</v>
      </c>
      <c r="J21" s="574">
        <v>77300</v>
      </c>
      <c r="K21" s="575"/>
      <c r="L21" s="578"/>
      <c r="M21" s="578"/>
      <c r="N21" s="578"/>
      <c r="O21" s="578"/>
    </row>
    <row r="22" spans="1:15">
      <c r="A22" s="572"/>
      <c r="B22" s="579"/>
      <c r="C22" s="548"/>
      <c r="D22" s="548"/>
      <c r="E22" s="548"/>
      <c r="F22" s="548"/>
      <c r="G22" s="548"/>
      <c r="H22" s="548"/>
      <c r="I22" s="548"/>
      <c r="J22" s="548"/>
      <c r="K22" s="575"/>
      <c r="L22" s="578"/>
      <c r="M22" s="578"/>
      <c r="N22" s="578"/>
      <c r="O22" s="578"/>
    </row>
    <row r="23" spans="1:15">
      <c r="A23" s="572" t="s">
        <v>286</v>
      </c>
      <c r="B23" s="576">
        <v>0.3</v>
      </c>
      <c r="C23" s="574">
        <v>12250</v>
      </c>
      <c r="D23" s="574">
        <v>14000</v>
      </c>
      <c r="E23" s="574">
        <v>15750</v>
      </c>
      <c r="F23" s="574">
        <v>17500</v>
      </c>
      <c r="G23" s="574">
        <v>18900</v>
      </c>
      <c r="H23" s="574">
        <v>20300</v>
      </c>
      <c r="I23" s="574">
        <v>21700</v>
      </c>
      <c r="J23" s="574">
        <v>23100</v>
      </c>
      <c r="K23" s="575"/>
    </row>
    <row r="24" spans="1:15">
      <c r="A24" s="572"/>
      <c r="B24" s="576">
        <v>0.4</v>
      </c>
      <c r="C24" s="548">
        <f t="shared" ref="C24:J24" si="4">(+C25*2)*0.4</f>
        <v>16360</v>
      </c>
      <c r="D24" s="548">
        <f t="shared" si="4"/>
        <v>18720</v>
      </c>
      <c r="E24" s="548">
        <f t="shared" si="4"/>
        <v>21040</v>
      </c>
      <c r="F24" s="548">
        <f t="shared" si="4"/>
        <v>23360</v>
      </c>
      <c r="G24" s="548">
        <f t="shared" si="4"/>
        <v>25240</v>
      </c>
      <c r="H24" s="548">
        <f t="shared" si="4"/>
        <v>27120</v>
      </c>
      <c r="I24" s="548">
        <f t="shared" si="4"/>
        <v>29000</v>
      </c>
      <c r="J24" s="548">
        <f t="shared" si="4"/>
        <v>30840</v>
      </c>
      <c r="K24" s="575"/>
      <c r="L24" s="578"/>
      <c r="M24" s="578"/>
      <c r="N24" s="578"/>
      <c r="O24" s="578"/>
    </row>
    <row r="25" spans="1:15">
      <c r="A25" s="572"/>
      <c r="B25" s="576">
        <v>0.5</v>
      </c>
      <c r="C25" s="574">
        <v>20450</v>
      </c>
      <c r="D25" s="574">
        <v>23400</v>
      </c>
      <c r="E25" s="574">
        <v>26300</v>
      </c>
      <c r="F25" s="574">
        <v>29200</v>
      </c>
      <c r="G25" s="574">
        <v>31550</v>
      </c>
      <c r="H25" s="574">
        <v>33900</v>
      </c>
      <c r="I25" s="574">
        <v>36250</v>
      </c>
      <c r="J25" s="574">
        <v>38550</v>
      </c>
      <c r="K25" s="575"/>
      <c r="L25" s="578"/>
      <c r="M25" s="578"/>
      <c r="N25" s="578"/>
      <c r="O25" s="578"/>
    </row>
    <row r="26" spans="1:15">
      <c r="A26" s="572"/>
      <c r="B26" s="576">
        <v>0.6</v>
      </c>
      <c r="C26" s="548">
        <f t="shared" ref="C26:J26" si="5">(+C25*2)*0.6</f>
        <v>24540</v>
      </c>
      <c r="D26" s="548">
        <f t="shared" si="5"/>
        <v>28080</v>
      </c>
      <c r="E26" s="548">
        <f t="shared" si="5"/>
        <v>31560</v>
      </c>
      <c r="F26" s="548">
        <f t="shared" si="5"/>
        <v>35040</v>
      </c>
      <c r="G26" s="548">
        <f t="shared" si="5"/>
        <v>37860</v>
      </c>
      <c r="H26" s="548">
        <f t="shared" si="5"/>
        <v>40680</v>
      </c>
      <c r="I26" s="548">
        <f t="shared" si="5"/>
        <v>43500</v>
      </c>
      <c r="J26" s="548">
        <f t="shared" si="5"/>
        <v>46260</v>
      </c>
      <c r="K26" s="575"/>
      <c r="L26" s="578"/>
      <c r="M26" s="578"/>
      <c r="N26" s="578"/>
      <c r="O26" s="578"/>
    </row>
    <row r="27" spans="1:15">
      <c r="A27" s="572"/>
      <c r="B27" s="576">
        <v>0.8</v>
      </c>
      <c r="C27" s="574">
        <v>32700</v>
      </c>
      <c r="D27" s="574">
        <v>37400</v>
      </c>
      <c r="E27" s="574">
        <v>42050</v>
      </c>
      <c r="F27" s="574">
        <v>46700</v>
      </c>
      <c r="G27" s="574">
        <v>50450</v>
      </c>
      <c r="H27" s="574">
        <v>54200</v>
      </c>
      <c r="I27" s="574">
        <v>57950</v>
      </c>
      <c r="J27" s="574">
        <v>61650</v>
      </c>
      <c r="K27" s="575"/>
      <c r="L27" s="578"/>
      <c r="M27" s="578"/>
      <c r="N27" s="578"/>
      <c r="O27" s="578"/>
    </row>
    <row r="28" spans="1:15">
      <c r="A28" s="572"/>
      <c r="B28" s="579"/>
      <c r="C28" s="548"/>
      <c r="D28" s="548"/>
      <c r="E28" s="548"/>
      <c r="F28" s="548"/>
      <c r="G28" s="548"/>
      <c r="H28" s="548"/>
      <c r="I28" s="548"/>
      <c r="J28" s="548"/>
      <c r="K28" s="575"/>
      <c r="L28" s="578"/>
      <c r="M28" s="578"/>
      <c r="N28" s="578"/>
      <c r="O28" s="578"/>
    </row>
    <row r="29" spans="1:15">
      <c r="A29" s="572" t="s">
        <v>287</v>
      </c>
      <c r="B29" s="576">
        <v>0.3</v>
      </c>
      <c r="C29" s="574">
        <v>12150</v>
      </c>
      <c r="D29" s="574">
        <v>13850</v>
      </c>
      <c r="E29" s="574">
        <v>15600</v>
      </c>
      <c r="F29" s="574">
        <v>17300</v>
      </c>
      <c r="G29" s="574">
        <v>18700</v>
      </c>
      <c r="H29" s="574">
        <v>20100</v>
      </c>
      <c r="I29" s="574">
        <v>21500</v>
      </c>
      <c r="J29" s="574">
        <v>22850</v>
      </c>
      <c r="K29" s="575"/>
    </row>
    <row r="30" spans="1:15">
      <c r="A30" s="572"/>
      <c r="B30" s="576">
        <v>0.4</v>
      </c>
      <c r="C30" s="548">
        <f t="shared" ref="C30:J30" si="6">(+C31*2)*0.4</f>
        <v>16160</v>
      </c>
      <c r="D30" s="548">
        <f t="shared" si="6"/>
        <v>18480</v>
      </c>
      <c r="E30" s="548">
        <f t="shared" si="6"/>
        <v>20800</v>
      </c>
      <c r="F30" s="548">
        <f t="shared" si="6"/>
        <v>23080</v>
      </c>
      <c r="G30" s="548">
        <f t="shared" si="6"/>
        <v>24960</v>
      </c>
      <c r="H30" s="548">
        <f t="shared" si="6"/>
        <v>26800</v>
      </c>
      <c r="I30" s="548">
        <f t="shared" si="6"/>
        <v>28640</v>
      </c>
      <c r="J30" s="548">
        <f t="shared" si="6"/>
        <v>30480</v>
      </c>
      <c r="K30" s="575"/>
      <c r="L30" s="578"/>
      <c r="M30" s="578"/>
      <c r="N30" s="578"/>
      <c r="O30" s="578"/>
    </row>
    <row r="31" spans="1:15">
      <c r="A31" s="572"/>
      <c r="B31" s="576">
        <v>0.5</v>
      </c>
      <c r="C31" s="574">
        <v>20200</v>
      </c>
      <c r="D31" s="574">
        <v>23100</v>
      </c>
      <c r="E31" s="574">
        <v>26000</v>
      </c>
      <c r="F31" s="574">
        <v>28850</v>
      </c>
      <c r="G31" s="574">
        <v>31200</v>
      </c>
      <c r="H31" s="574">
        <v>33500</v>
      </c>
      <c r="I31" s="574">
        <v>35800</v>
      </c>
      <c r="J31" s="574">
        <v>38100</v>
      </c>
      <c r="K31" s="575"/>
      <c r="L31" s="578"/>
      <c r="M31" s="578"/>
      <c r="N31" s="578"/>
      <c r="O31" s="578"/>
    </row>
    <row r="32" spans="1:15">
      <c r="A32" s="572"/>
      <c r="B32" s="576">
        <v>0.6</v>
      </c>
      <c r="C32" s="548">
        <f t="shared" ref="C32:J32" si="7">(+C31*2)*0.6</f>
        <v>24240</v>
      </c>
      <c r="D32" s="548">
        <f t="shared" si="7"/>
        <v>27720</v>
      </c>
      <c r="E32" s="548">
        <f t="shared" si="7"/>
        <v>31200</v>
      </c>
      <c r="F32" s="548">
        <f t="shared" si="7"/>
        <v>34620</v>
      </c>
      <c r="G32" s="548">
        <f t="shared" si="7"/>
        <v>37440</v>
      </c>
      <c r="H32" s="548">
        <f t="shared" si="7"/>
        <v>40200</v>
      </c>
      <c r="I32" s="548">
        <f t="shared" si="7"/>
        <v>42960</v>
      </c>
      <c r="J32" s="548">
        <f t="shared" si="7"/>
        <v>45720</v>
      </c>
      <c r="K32" s="575"/>
      <c r="L32" s="578"/>
      <c r="M32" s="578"/>
      <c r="N32" s="578"/>
      <c r="O32" s="578"/>
    </row>
    <row r="33" spans="1:15">
      <c r="A33" s="572"/>
      <c r="B33" s="576">
        <v>0.8</v>
      </c>
      <c r="C33" s="574">
        <v>32350</v>
      </c>
      <c r="D33" s="574">
        <v>36950</v>
      </c>
      <c r="E33" s="574">
        <v>41550</v>
      </c>
      <c r="F33" s="574">
        <v>46150</v>
      </c>
      <c r="G33" s="574">
        <v>49850</v>
      </c>
      <c r="H33" s="574">
        <v>53550</v>
      </c>
      <c r="I33" s="574">
        <v>57250</v>
      </c>
      <c r="J33" s="574">
        <v>60950</v>
      </c>
      <c r="K33" s="575"/>
      <c r="L33" s="578"/>
      <c r="M33" s="578"/>
      <c r="N33" s="578"/>
      <c r="O33" s="578"/>
    </row>
    <row r="34" spans="1:15">
      <c r="A34" s="572"/>
      <c r="B34" s="579"/>
      <c r="C34" s="548"/>
      <c r="D34" s="548"/>
      <c r="E34" s="548"/>
      <c r="F34" s="548"/>
      <c r="G34" s="548"/>
      <c r="H34" s="548"/>
      <c r="I34" s="548"/>
      <c r="J34" s="548"/>
      <c r="K34" s="575"/>
      <c r="L34" s="578"/>
      <c r="M34" s="578"/>
      <c r="N34" s="578"/>
      <c r="O34" s="578"/>
    </row>
    <row r="35" spans="1:15">
      <c r="A35" s="572" t="s">
        <v>288</v>
      </c>
      <c r="B35" s="576">
        <v>0.3</v>
      </c>
      <c r="C35" s="574">
        <v>15150</v>
      </c>
      <c r="D35" s="574">
        <v>17300</v>
      </c>
      <c r="E35" s="574">
        <v>19450</v>
      </c>
      <c r="F35" s="574">
        <v>21600</v>
      </c>
      <c r="G35" s="574">
        <v>23350</v>
      </c>
      <c r="H35" s="574">
        <v>25100</v>
      </c>
      <c r="I35" s="574">
        <v>26800</v>
      </c>
      <c r="J35" s="574">
        <v>28550</v>
      </c>
      <c r="K35" s="575"/>
    </row>
    <row r="36" spans="1:15">
      <c r="A36" s="572" t="s">
        <v>57</v>
      </c>
      <c r="B36" s="576">
        <v>0.4</v>
      </c>
      <c r="C36" s="548">
        <f t="shared" ref="C36:J36" si="8">(+C37*2)*0.4</f>
        <v>20160</v>
      </c>
      <c r="D36" s="548">
        <f t="shared" si="8"/>
        <v>23040</v>
      </c>
      <c r="E36" s="548">
        <f t="shared" si="8"/>
        <v>25920</v>
      </c>
      <c r="F36" s="548">
        <f t="shared" si="8"/>
        <v>28800</v>
      </c>
      <c r="G36" s="548">
        <f t="shared" si="8"/>
        <v>31120</v>
      </c>
      <c r="H36" s="548">
        <f t="shared" si="8"/>
        <v>33440</v>
      </c>
      <c r="I36" s="548">
        <f t="shared" si="8"/>
        <v>35720</v>
      </c>
      <c r="J36" s="548">
        <f t="shared" si="8"/>
        <v>38040</v>
      </c>
      <c r="K36" s="575"/>
      <c r="L36" s="578"/>
      <c r="M36" s="578"/>
      <c r="N36" s="578"/>
      <c r="O36" s="578"/>
    </row>
    <row r="37" spans="1:15">
      <c r="A37" s="572" t="s">
        <v>58</v>
      </c>
      <c r="B37" s="576">
        <v>0.5</v>
      </c>
      <c r="C37" s="574">
        <v>25200</v>
      </c>
      <c r="D37" s="574">
        <v>28800</v>
      </c>
      <c r="E37" s="574">
        <v>32400</v>
      </c>
      <c r="F37" s="574">
        <v>36000</v>
      </c>
      <c r="G37" s="574">
        <v>38900</v>
      </c>
      <c r="H37" s="574">
        <v>41800</v>
      </c>
      <c r="I37" s="574">
        <v>44650</v>
      </c>
      <c r="J37" s="574">
        <v>47550</v>
      </c>
      <c r="K37" s="575"/>
      <c r="L37" s="578"/>
      <c r="M37" s="578"/>
      <c r="N37" s="578"/>
      <c r="O37" s="578"/>
    </row>
    <row r="38" spans="1:15">
      <c r="A38" s="572" t="s">
        <v>59</v>
      </c>
      <c r="B38" s="576">
        <v>0.6</v>
      </c>
      <c r="C38" s="548">
        <f t="shared" ref="C38:J38" si="9">(+C37*2)*0.6</f>
        <v>30240</v>
      </c>
      <c r="D38" s="548">
        <f t="shared" si="9"/>
        <v>34560</v>
      </c>
      <c r="E38" s="548">
        <f t="shared" si="9"/>
        <v>38880</v>
      </c>
      <c r="F38" s="548">
        <f t="shared" si="9"/>
        <v>43200</v>
      </c>
      <c r="G38" s="548">
        <f t="shared" si="9"/>
        <v>46680</v>
      </c>
      <c r="H38" s="548">
        <f t="shared" si="9"/>
        <v>50160</v>
      </c>
      <c r="I38" s="548">
        <f t="shared" si="9"/>
        <v>53580</v>
      </c>
      <c r="J38" s="548">
        <f t="shared" si="9"/>
        <v>57060</v>
      </c>
      <c r="K38" s="575"/>
      <c r="L38" s="578"/>
      <c r="M38" s="578"/>
      <c r="N38" s="578"/>
      <c r="O38" s="578"/>
    </row>
    <row r="39" spans="1:15">
      <c r="A39" s="572" t="s">
        <v>60</v>
      </c>
      <c r="B39" s="576">
        <v>0.8</v>
      </c>
      <c r="C39" s="574">
        <v>40350</v>
      </c>
      <c r="D39" s="574">
        <v>46100</v>
      </c>
      <c r="E39" s="574">
        <v>51850</v>
      </c>
      <c r="F39" s="574">
        <v>57600</v>
      </c>
      <c r="G39" s="574">
        <v>62250</v>
      </c>
      <c r="H39" s="574">
        <v>66850</v>
      </c>
      <c r="I39" s="574">
        <v>71450</v>
      </c>
      <c r="J39" s="574">
        <v>76050</v>
      </c>
      <c r="K39" s="575"/>
      <c r="L39" s="578"/>
      <c r="M39" s="578"/>
      <c r="N39" s="578"/>
      <c r="O39" s="578"/>
    </row>
    <row r="40" spans="1:15">
      <c r="A40" s="572"/>
      <c r="B40" s="579"/>
      <c r="C40" s="548"/>
      <c r="D40" s="548"/>
      <c r="E40" s="548"/>
      <c r="F40" s="548"/>
      <c r="G40" s="548"/>
      <c r="H40" s="548"/>
      <c r="I40" s="548"/>
      <c r="J40" s="548"/>
      <c r="K40" s="575"/>
      <c r="L40" s="578"/>
      <c r="M40" s="578"/>
      <c r="N40" s="578"/>
      <c r="O40" s="578"/>
    </row>
    <row r="41" spans="1:15">
      <c r="A41" s="572" t="s">
        <v>61</v>
      </c>
      <c r="B41" s="576">
        <v>0.3</v>
      </c>
      <c r="C41" s="574">
        <v>12450</v>
      </c>
      <c r="D41" s="574">
        <v>14200</v>
      </c>
      <c r="E41" s="574">
        <v>16000</v>
      </c>
      <c r="F41" s="574">
        <v>17750</v>
      </c>
      <c r="G41" s="574">
        <v>19200</v>
      </c>
      <c r="H41" s="574">
        <v>20600</v>
      </c>
      <c r="I41" s="574">
        <v>22050</v>
      </c>
      <c r="J41" s="574">
        <v>23450</v>
      </c>
      <c r="K41" s="575"/>
    </row>
    <row r="42" spans="1:15">
      <c r="A42" s="572"/>
      <c r="B42" s="576">
        <v>0.4</v>
      </c>
      <c r="C42" s="548">
        <f t="shared" ref="C42:J42" si="10">(+C43*2)*0.4</f>
        <v>16600</v>
      </c>
      <c r="D42" s="548">
        <f t="shared" si="10"/>
        <v>18960</v>
      </c>
      <c r="E42" s="548">
        <f t="shared" si="10"/>
        <v>21320</v>
      </c>
      <c r="F42" s="548">
        <f t="shared" si="10"/>
        <v>23680</v>
      </c>
      <c r="G42" s="548">
        <f t="shared" si="10"/>
        <v>25600</v>
      </c>
      <c r="H42" s="548">
        <f t="shared" si="10"/>
        <v>27480</v>
      </c>
      <c r="I42" s="548">
        <f t="shared" si="10"/>
        <v>29400</v>
      </c>
      <c r="J42" s="548">
        <f t="shared" si="10"/>
        <v>31280</v>
      </c>
      <c r="K42" s="575"/>
      <c r="L42" s="578"/>
      <c r="M42" s="578"/>
      <c r="N42" s="578"/>
      <c r="O42" s="578"/>
    </row>
    <row r="43" spans="1:15">
      <c r="A43" s="572"/>
      <c r="B43" s="576">
        <v>0.5</v>
      </c>
      <c r="C43" s="574">
        <v>20750</v>
      </c>
      <c r="D43" s="574">
        <v>23700</v>
      </c>
      <c r="E43" s="574">
        <v>26650</v>
      </c>
      <c r="F43" s="574">
        <v>29600</v>
      </c>
      <c r="G43" s="574">
        <v>32000</v>
      </c>
      <c r="H43" s="574">
        <v>34350</v>
      </c>
      <c r="I43" s="574">
        <v>36750</v>
      </c>
      <c r="J43" s="574">
        <v>39100</v>
      </c>
      <c r="K43" s="575"/>
      <c r="L43" s="578"/>
      <c r="M43" s="578"/>
      <c r="N43" s="578"/>
      <c r="O43" s="578"/>
    </row>
    <row r="44" spans="1:15">
      <c r="A44" s="572"/>
      <c r="B44" s="576">
        <v>0.6</v>
      </c>
      <c r="C44" s="548">
        <f t="shared" ref="C44:J44" si="11">(+C43*2)*0.6</f>
        <v>24900</v>
      </c>
      <c r="D44" s="548">
        <f t="shared" si="11"/>
        <v>28440</v>
      </c>
      <c r="E44" s="548">
        <f t="shared" si="11"/>
        <v>31980</v>
      </c>
      <c r="F44" s="548">
        <f t="shared" si="11"/>
        <v>35520</v>
      </c>
      <c r="G44" s="548">
        <f t="shared" si="11"/>
        <v>38400</v>
      </c>
      <c r="H44" s="548">
        <f t="shared" si="11"/>
        <v>41220</v>
      </c>
      <c r="I44" s="548">
        <f t="shared" si="11"/>
        <v>44100</v>
      </c>
      <c r="J44" s="548">
        <f t="shared" si="11"/>
        <v>46920</v>
      </c>
      <c r="K44" s="575"/>
      <c r="L44" s="578"/>
      <c r="M44" s="578"/>
      <c r="N44" s="578"/>
      <c r="O44" s="578"/>
    </row>
    <row r="45" spans="1:15">
      <c r="A45" s="572"/>
      <c r="B45" s="576">
        <v>0.8</v>
      </c>
      <c r="C45" s="574">
        <v>33150</v>
      </c>
      <c r="D45" s="574">
        <v>37900</v>
      </c>
      <c r="E45" s="574">
        <v>42650</v>
      </c>
      <c r="F45" s="574">
        <v>47350</v>
      </c>
      <c r="G45" s="574">
        <v>51150</v>
      </c>
      <c r="H45" s="574">
        <v>54950</v>
      </c>
      <c r="I45" s="574">
        <v>58750</v>
      </c>
      <c r="J45" s="574">
        <v>62550</v>
      </c>
      <c r="K45" s="575"/>
      <c r="L45" s="578"/>
      <c r="M45" s="578"/>
      <c r="N45" s="578"/>
      <c r="O45" s="578"/>
    </row>
    <row r="46" spans="1:15">
      <c r="A46" s="572"/>
      <c r="B46" s="579"/>
      <c r="C46" s="548"/>
      <c r="D46" s="548"/>
      <c r="E46" s="548"/>
      <c r="F46" s="548"/>
      <c r="G46" s="548"/>
      <c r="H46" s="548"/>
      <c r="I46" s="548"/>
      <c r="J46" s="548"/>
      <c r="K46" s="575"/>
      <c r="L46" s="578"/>
      <c r="M46" s="578"/>
      <c r="N46" s="578"/>
      <c r="O46" s="578"/>
    </row>
    <row r="47" spans="1:15">
      <c r="A47" s="572" t="s">
        <v>62</v>
      </c>
      <c r="B47" s="576">
        <v>0.3</v>
      </c>
      <c r="C47" s="574">
        <v>11100</v>
      </c>
      <c r="D47" s="574">
        <v>12650</v>
      </c>
      <c r="E47" s="574">
        <v>14250</v>
      </c>
      <c r="F47" s="574">
        <v>15800</v>
      </c>
      <c r="G47" s="574">
        <v>17100</v>
      </c>
      <c r="H47" s="574">
        <v>18350</v>
      </c>
      <c r="I47" s="574">
        <v>19600</v>
      </c>
      <c r="J47" s="574">
        <v>20900</v>
      </c>
      <c r="K47" s="575"/>
    </row>
    <row r="48" spans="1:15">
      <c r="A48" s="572"/>
      <c r="B48" s="576">
        <v>0.4</v>
      </c>
      <c r="C48" s="548">
        <f t="shared" ref="C48:J48" si="12">(+C49*2)*0.4</f>
        <v>14760</v>
      </c>
      <c r="D48" s="548">
        <f t="shared" si="12"/>
        <v>16880</v>
      </c>
      <c r="E48" s="548">
        <f t="shared" si="12"/>
        <v>19000</v>
      </c>
      <c r="F48" s="548">
        <f t="shared" si="12"/>
        <v>21080</v>
      </c>
      <c r="G48" s="548">
        <f t="shared" si="12"/>
        <v>22800</v>
      </c>
      <c r="H48" s="548">
        <f t="shared" si="12"/>
        <v>24480</v>
      </c>
      <c r="I48" s="548">
        <f t="shared" si="12"/>
        <v>26160</v>
      </c>
      <c r="J48" s="548">
        <f t="shared" si="12"/>
        <v>27840</v>
      </c>
      <c r="K48" s="575"/>
      <c r="L48" s="578"/>
      <c r="M48" s="578"/>
      <c r="N48" s="578"/>
      <c r="O48" s="578"/>
    </row>
    <row r="49" spans="1:15">
      <c r="A49" s="572"/>
      <c r="B49" s="576">
        <v>0.5</v>
      </c>
      <c r="C49" s="574">
        <v>18450</v>
      </c>
      <c r="D49" s="574">
        <v>21100</v>
      </c>
      <c r="E49" s="574">
        <v>23750</v>
      </c>
      <c r="F49" s="574">
        <v>26350</v>
      </c>
      <c r="G49" s="574">
        <v>28500</v>
      </c>
      <c r="H49" s="574">
        <v>30600</v>
      </c>
      <c r="I49" s="574">
        <v>32700</v>
      </c>
      <c r="J49" s="574">
        <v>34800</v>
      </c>
      <c r="K49" s="575"/>
      <c r="L49" s="578"/>
      <c r="M49" s="578"/>
      <c r="N49" s="578"/>
      <c r="O49" s="578"/>
    </row>
    <row r="50" spans="1:15">
      <c r="A50" s="572"/>
      <c r="B50" s="576">
        <v>0.6</v>
      </c>
      <c r="C50" s="548">
        <f t="shared" ref="C50:J50" si="13">(+C49*2)*0.6</f>
        <v>22140</v>
      </c>
      <c r="D50" s="548">
        <f t="shared" si="13"/>
        <v>25320</v>
      </c>
      <c r="E50" s="548">
        <f t="shared" si="13"/>
        <v>28500</v>
      </c>
      <c r="F50" s="548">
        <f t="shared" si="13"/>
        <v>31620</v>
      </c>
      <c r="G50" s="548">
        <f t="shared" si="13"/>
        <v>34200</v>
      </c>
      <c r="H50" s="548">
        <f t="shared" si="13"/>
        <v>36720</v>
      </c>
      <c r="I50" s="548">
        <f t="shared" si="13"/>
        <v>39240</v>
      </c>
      <c r="J50" s="548">
        <f t="shared" si="13"/>
        <v>41760</v>
      </c>
      <c r="K50" s="575"/>
      <c r="L50" s="578"/>
      <c r="M50" s="578"/>
      <c r="N50" s="578"/>
      <c r="O50" s="578"/>
    </row>
    <row r="51" spans="1:15">
      <c r="A51" s="572"/>
      <c r="B51" s="576">
        <v>0.8</v>
      </c>
      <c r="C51" s="580">
        <v>29550</v>
      </c>
      <c r="D51" s="580">
        <v>33750</v>
      </c>
      <c r="E51" s="580">
        <v>37950</v>
      </c>
      <c r="F51" s="580">
        <v>42150</v>
      </c>
      <c r="G51" s="580">
        <v>45550</v>
      </c>
      <c r="H51" s="580">
        <v>48900</v>
      </c>
      <c r="I51" s="580">
        <v>52300</v>
      </c>
      <c r="J51" s="580">
        <v>55650</v>
      </c>
      <c r="K51" s="575"/>
      <c r="L51" s="578"/>
      <c r="M51" s="578"/>
      <c r="N51" s="578"/>
      <c r="O51" s="578"/>
    </row>
    <row r="52" spans="1:15">
      <c r="A52" s="572"/>
      <c r="B52" s="579"/>
      <c r="C52" s="548"/>
      <c r="D52" s="548"/>
      <c r="E52" s="548"/>
      <c r="F52" s="548"/>
      <c r="G52" s="548"/>
      <c r="H52" s="548"/>
      <c r="I52" s="548"/>
      <c r="J52" s="548"/>
      <c r="K52" s="575"/>
      <c r="L52" s="578"/>
      <c r="M52" s="578"/>
      <c r="N52" s="578"/>
      <c r="O52" s="578"/>
    </row>
    <row r="53" spans="1:15">
      <c r="A53" s="565" t="s">
        <v>186</v>
      </c>
      <c r="B53" s="566" t="s">
        <v>372</v>
      </c>
      <c r="C53" s="565" t="s">
        <v>33</v>
      </c>
      <c r="D53" s="565" t="s">
        <v>34</v>
      </c>
      <c r="E53" s="565" t="s">
        <v>35</v>
      </c>
      <c r="F53" s="565" t="s">
        <v>36</v>
      </c>
      <c r="G53" s="565" t="s">
        <v>37</v>
      </c>
      <c r="H53" s="565" t="s">
        <v>38</v>
      </c>
      <c r="I53" s="565" t="s">
        <v>188</v>
      </c>
      <c r="J53" s="565" t="s">
        <v>189</v>
      </c>
      <c r="K53" s="567"/>
      <c r="L53" s="578"/>
      <c r="M53" s="578"/>
      <c r="N53" s="578"/>
      <c r="O53" s="578"/>
    </row>
    <row r="54" spans="1:15">
      <c r="A54" s="568"/>
      <c r="B54" s="581"/>
      <c r="C54" s="582"/>
      <c r="D54" s="582"/>
      <c r="E54" s="582"/>
      <c r="F54" s="582"/>
      <c r="G54" s="582"/>
      <c r="H54" s="582"/>
      <c r="I54" s="582"/>
      <c r="J54" s="582"/>
      <c r="K54" s="575"/>
      <c r="L54" s="578"/>
      <c r="M54" s="578"/>
      <c r="N54" s="578"/>
      <c r="O54" s="578"/>
    </row>
    <row r="55" spans="1:15">
      <c r="A55" s="572" t="s">
        <v>63</v>
      </c>
      <c r="B55" s="576">
        <v>0.3</v>
      </c>
      <c r="C55" s="583">
        <v>11750</v>
      </c>
      <c r="D55" s="583">
        <v>13400</v>
      </c>
      <c r="E55" s="583">
        <v>15100</v>
      </c>
      <c r="F55" s="583">
        <v>16750</v>
      </c>
      <c r="G55" s="583">
        <v>18100</v>
      </c>
      <c r="H55" s="583">
        <v>19450</v>
      </c>
      <c r="I55" s="583">
        <v>20800</v>
      </c>
      <c r="J55" s="583">
        <v>22150</v>
      </c>
      <c r="K55" s="575"/>
    </row>
    <row r="56" spans="1:15">
      <c r="A56" s="572"/>
      <c r="B56" s="576">
        <v>0.4</v>
      </c>
      <c r="C56" s="548">
        <f t="shared" ref="C56:J56" si="14">(+C57*2)*0.4</f>
        <v>15680</v>
      </c>
      <c r="D56" s="548">
        <f t="shared" si="14"/>
        <v>17920</v>
      </c>
      <c r="E56" s="548">
        <f t="shared" si="14"/>
        <v>20160</v>
      </c>
      <c r="F56" s="548">
        <f t="shared" si="14"/>
        <v>22360</v>
      </c>
      <c r="G56" s="548">
        <f t="shared" si="14"/>
        <v>24160</v>
      </c>
      <c r="H56" s="548">
        <f t="shared" si="14"/>
        <v>25960</v>
      </c>
      <c r="I56" s="548">
        <f t="shared" si="14"/>
        <v>27760</v>
      </c>
      <c r="J56" s="548">
        <f t="shared" si="14"/>
        <v>29520</v>
      </c>
      <c r="K56" s="575"/>
      <c r="L56" s="578"/>
      <c r="M56" s="578"/>
      <c r="N56" s="578"/>
      <c r="O56" s="578"/>
    </row>
    <row r="57" spans="1:15">
      <c r="A57" s="572"/>
      <c r="B57" s="576">
        <v>0.5</v>
      </c>
      <c r="C57" s="574">
        <v>19600</v>
      </c>
      <c r="D57" s="574">
        <v>22400</v>
      </c>
      <c r="E57" s="574">
        <v>25200</v>
      </c>
      <c r="F57" s="574">
        <v>27950</v>
      </c>
      <c r="G57" s="574">
        <v>30200</v>
      </c>
      <c r="H57" s="574">
        <v>32450</v>
      </c>
      <c r="I57" s="574">
        <v>34700</v>
      </c>
      <c r="J57" s="574">
        <v>36900</v>
      </c>
      <c r="K57" s="575"/>
      <c r="L57" s="578"/>
      <c r="M57" s="578"/>
      <c r="N57" s="578"/>
      <c r="O57" s="578"/>
    </row>
    <row r="58" spans="1:15">
      <c r="A58" s="572"/>
      <c r="B58" s="576">
        <v>0.6</v>
      </c>
      <c r="C58" s="548">
        <f t="shared" ref="C58:J58" si="15">(+C57*2)*0.6</f>
        <v>23520</v>
      </c>
      <c r="D58" s="548">
        <f t="shared" si="15"/>
        <v>26880</v>
      </c>
      <c r="E58" s="548">
        <f t="shared" si="15"/>
        <v>30240</v>
      </c>
      <c r="F58" s="548">
        <f t="shared" si="15"/>
        <v>33540</v>
      </c>
      <c r="G58" s="548">
        <f t="shared" si="15"/>
        <v>36240</v>
      </c>
      <c r="H58" s="548">
        <f t="shared" si="15"/>
        <v>38940</v>
      </c>
      <c r="I58" s="548">
        <f t="shared" si="15"/>
        <v>41640</v>
      </c>
      <c r="J58" s="548">
        <f t="shared" si="15"/>
        <v>44280</v>
      </c>
      <c r="K58" s="575"/>
      <c r="L58" s="578"/>
      <c r="M58" s="578"/>
      <c r="N58" s="578"/>
      <c r="O58" s="578"/>
    </row>
    <row r="59" spans="1:15">
      <c r="A59" s="572"/>
      <c r="B59" s="576">
        <v>0.8</v>
      </c>
      <c r="C59" s="574">
        <v>31300</v>
      </c>
      <c r="D59" s="574">
        <v>35800</v>
      </c>
      <c r="E59" s="574">
        <v>40250</v>
      </c>
      <c r="F59" s="574">
        <v>44700</v>
      </c>
      <c r="G59" s="574">
        <v>48300</v>
      </c>
      <c r="H59" s="574">
        <v>51900</v>
      </c>
      <c r="I59" s="574">
        <v>55450</v>
      </c>
      <c r="J59" s="574">
        <v>59050</v>
      </c>
      <c r="K59" s="575"/>
      <c r="L59" s="578"/>
      <c r="M59" s="578"/>
      <c r="N59" s="578"/>
      <c r="O59" s="578"/>
    </row>
    <row r="60" spans="1:15">
      <c r="A60" s="572"/>
      <c r="B60" s="579"/>
      <c r="C60" s="572"/>
      <c r="D60" s="572"/>
      <c r="E60" s="572"/>
      <c r="F60" s="572"/>
      <c r="G60" s="572"/>
      <c r="H60" s="572"/>
      <c r="I60" s="572"/>
      <c r="J60" s="572"/>
      <c r="K60" s="567"/>
    </row>
    <row r="61" spans="1:15">
      <c r="A61" s="572" t="s">
        <v>64</v>
      </c>
      <c r="B61" s="576">
        <v>0.3</v>
      </c>
      <c r="C61" s="574">
        <v>11100</v>
      </c>
      <c r="D61" s="574">
        <v>12650</v>
      </c>
      <c r="E61" s="574">
        <v>14250</v>
      </c>
      <c r="F61" s="574">
        <v>15800</v>
      </c>
      <c r="G61" s="574">
        <v>17100</v>
      </c>
      <c r="H61" s="574">
        <v>18350</v>
      </c>
      <c r="I61" s="574">
        <v>19600</v>
      </c>
      <c r="J61" s="574">
        <v>20900</v>
      </c>
      <c r="K61" s="575"/>
    </row>
    <row r="62" spans="1:15">
      <c r="A62" s="572"/>
      <c r="B62" s="576">
        <v>0.4</v>
      </c>
      <c r="C62" s="548">
        <f t="shared" ref="C62:J62" si="16">(+C63*2)*0.4</f>
        <v>14760</v>
      </c>
      <c r="D62" s="548">
        <f t="shared" si="16"/>
        <v>16880</v>
      </c>
      <c r="E62" s="548">
        <f t="shared" si="16"/>
        <v>19000</v>
      </c>
      <c r="F62" s="548">
        <f t="shared" si="16"/>
        <v>21080</v>
      </c>
      <c r="G62" s="548">
        <f t="shared" si="16"/>
        <v>22800</v>
      </c>
      <c r="H62" s="548">
        <f t="shared" si="16"/>
        <v>24480</v>
      </c>
      <c r="I62" s="548">
        <f t="shared" si="16"/>
        <v>26160</v>
      </c>
      <c r="J62" s="548">
        <f t="shared" si="16"/>
        <v>27840</v>
      </c>
      <c r="K62" s="575"/>
      <c r="L62" s="578"/>
      <c r="M62" s="578"/>
      <c r="N62" s="578"/>
      <c r="O62" s="578"/>
    </row>
    <row r="63" spans="1:15">
      <c r="A63" s="572"/>
      <c r="B63" s="576">
        <v>0.5</v>
      </c>
      <c r="C63" s="574">
        <v>18450</v>
      </c>
      <c r="D63" s="574">
        <v>21100</v>
      </c>
      <c r="E63" s="574">
        <v>23750</v>
      </c>
      <c r="F63" s="574">
        <v>26350</v>
      </c>
      <c r="G63" s="574">
        <v>28500</v>
      </c>
      <c r="H63" s="574">
        <v>30600</v>
      </c>
      <c r="I63" s="574">
        <v>32700</v>
      </c>
      <c r="J63" s="574">
        <v>34800</v>
      </c>
      <c r="K63" s="575"/>
      <c r="L63" s="578"/>
      <c r="M63" s="578"/>
      <c r="N63" s="578"/>
      <c r="O63" s="578"/>
    </row>
    <row r="64" spans="1:15">
      <c r="A64" s="572"/>
      <c r="B64" s="576">
        <v>0.6</v>
      </c>
      <c r="C64" s="548">
        <f t="shared" ref="C64:J64" si="17">(+C63*2)*0.6</f>
        <v>22140</v>
      </c>
      <c r="D64" s="548">
        <f t="shared" si="17"/>
        <v>25320</v>
      </c>
      <c r="E64" s="548">
        <f t="shared" si="17"/>
        <v>28500</v>
      </c>
      <c r="F64" s="548">
        <f t="shared" si="17"/>
        <v>31620</v>
      </c>
      <c r="G64" s="548">
        <f t="shared" si="17"/>
        <v>34200</v>
      </c>
      <c r="H64" s="548">
        <f t="shared" si="17"/>
        <v>36720</v>
      </c>
      <c r="I64" s="548">
        <f t="shared" si="17"/>
        <v>39240</v>
      </c>
      <c r="J64" s="548">
        <f t="shared" si="17"/>
        <v>41760</v>
      </c>
      <c r="K64" s="575"/>
      <c r="L64" s="578"/>
      <c r="M64" s="578"/>
      <c r="N64" s="578"/>
      <c r="O64" s="578"/>
    </row>
    <row r="65" spans="1:15">
      <c r="A65" s="572"/>
      <c r="B65" s="576">
        <v>0.8</v>
      </c>
      <c r="C65" s="574">
        <v>29550</v>
      </c>
      <c r="D65" s="574">
        <v>33750</v>
      </c>
      <c r="E65" s="574">
        <v>37950</v>
      </c>
      <c r="F65" s="574">
        <v>42150</v>
      </c>
      <c r="G65" s="574">
        <v>45550</v>
      </c>
      <c r="H65" s="574">
        <v>48900</v>
      </c>
      <c r="I65" s="574">
        <v>52300</v>
      </c>
      <c r="J65" s="574">
        <v>55650</v>
      </c>
      <c r="K65" s="575"/>
      <c r="L65" s="578"/>
      <c r="M65" s="578"/>
      <c r="N65" s="578"/>
      <c r="O65" s="578"/>
    </row>
    <row r="66" spans="1:15">
      <c r="A66" s="572"/>
      <c r="B66" s="579"/>
      <c r="C66" s="548"/>
      <c r="D66" s="548"/>
      <c r="E66" s="548"/>
      <c r="F66" s="548"/>
      <c r="G66" s="548"/>
      <c r="H66" s="548"/>
      <c r="I66" s="548"/>
      <c r="J66" s="548"/>
      <c r="K66" s="575"/>
      <c r="L66" s="578"/>
      <c r="M66" s="578"/>
      <c r="N66" s="578"/>
      <c r="O66" s="578"/>
    </row>
    <row r="67" spans="1:15">
      <c r="A67" s="572" t="s">
        <v>65</v>
      </c>
      <c r="B67" s="576">
        <v>0.3</v>
      </c>
      <c r="C67" s="574">
        <v>11400</v>
      </c>
      <c r="D67" s="574">
        <v>13000</v>
      </c>
      <c r="E67" s="574">
        <v>14650</v>
      </c>
      <c r="F67" s="574">
        <v>16250</v>
      </c>
      <c r="G67" s="574">
        <v>17550</v>
      </c>
      <c r="H67" s="574">
        <v>18850</v>
      </c>
      <c r="I67" s="574">
        <v>20150</v>
      </c>
      <c r="J67" s="574">
        <v>21450</v>
      </c>
      <c r="K67" s="575"/>
    </row>
    <row r="68" spans="1:15">
      <c r="A68" s="572"/>
      <c r="B68" s="576">
        <v>0.4</v>
      </c>
      <c r="C68" s="548">
        <f t="shared" ref="C68:J68" si="18">(+C69*2)*0.4</f>
        <v>15200</v>
      </c>
      <c r="D68" s="548">
        <f t="shared" si="18"/>
        <v>17360</v>
      </c>
      <c r="E68" s="548">
        <f t="shared" si="18"/>
        <v>19520</v>
      </c>
      <c r="F68" s="548">
        <f t="shared" si="18"/>
        <v>21680</v>
      </c>
      <c r="G68" s="548">
        <f t="shared" si="18"/>
        <v>23440</v>
      </c>
      <c r="H68" s="548">
        <f t="shared" si="18"/>
        <v>25160</v>
      </c>
      <c r="I68" s="548">
        <f t="shared" si="18"/>
        <v>26920</v>
      </c>
      <c r="J68" s="548">
        <f t="shared" si="18"/>
        <v>28640</v>
      </c>
      <c r="K68" s="575"/>
      <c r="L68" s="578"/>
      <c r="M68" s="578"/>
      <c r="N68" s="578"/>
      <c r="O68" s="578"/>
    </row>
    <row r="69" spans="1:15">
      <c r="A69" s="572"/>
      <c r="B69" s="576">
        <v>0.5</v>
      </c>
      <c r="C69" s="574">
        <v>19000</v>
      </c>
      <c r="D69" s="574">
        <v>21700</v>
      </c>
      <c r="E69" s="574">
        <v>24400</v>
      </c>
      <c r="F69" s="574">
        <v>27100</v>
      </c>
      <c r="G69" s="574">
        <v>29300</v>
      </c>
      <c r="H69" s="574">
        <v>31450</v>
      </c>
      <c r="I69" s="574">
        <v>33650</v>
      </c>
      <c r="J69" s="574">
        <v>35800</v>
      </c>
      <c r="K69" s="575"/>
      <c r="L69" s="578"/>
      <c r="M69" s="578"/>
      <c r="N69" s="578"/>
      <c r="O69" s="578"/>
    </row>
    <row r="70" spans="1:15">
      <c r="A70" s="572"/>
      <c r="B70" s="576">
        <v>0.6</v>
      </c>
      <c r="C70" s="548">
        <f t="shared" ref="C70:J70" si="19">(+C69*2)*0.6</f>
        <v>22800</v>
      </c>
      <c r="D70" s="548">
        <f t="shared" si="19"/>
        <v>26040</v>
      </c>
      <c r="E70" s="548">
        <f t="shared" si="19"/>
        <v>29280</v>
      </c>
      <c r="F70" s="548">
        <f t="shared" si="19"/>
        <v>32520</v>
      </c>
      <c r="G70" s="548">
        <f t="shared" si="19"/>
        <v>35160</v>
      </c>
      <c r="H70" s="548">
        <f t="shared" si="19"/>
        <v>37740</v>
      </c>
      <c r="I70" s="548">
        <f t="shared" si="19"/>
        <v>40380</v>
      </c>
      <c r="J70" s="548">
        <f t="shared" si="19"/>
        <v>42960</v>
      </c>
      <c r="K70" s="575"/>
      <c r="L70" s="578"/>
      <c r="M70" s="578"/>
      <c r="N70" s="578"/>
      <c r="O70" s="578"/>
    </row>
    <row r="71" spans="1:15">
      <c r="A71" s="572"/>
      <c r="B71" s="576">
        <v>0.8</v>
      </c>
      <c r="C71" s="574">
        <v>30350</v>
      </c>
      <c r="D71" s="574">
        <v>34700</v>
      </c>
      <c r="E71" s="574">
        <v>39050</v>
      </c>
      <c r="F71" s="574">
        <v>43350</v>
      </c>
      <c r="G71" s="574">
        <v>46850</v>
      </c>
      <c r="H71" s="574">
        <v>50300</v>
      </c>
      <c r="I71" s="574">
        <v>53800</v>
      </c>
      <c r="J71" s="574">
        <v>57250</v>
      </c>
      <c r="K71" s="575"/>
      <c r="L71" s="578"/>
      <c r="M71" s="578"/>
      <c r="N71" s="578"/>
      <c r="O71" s="578"/>
    </row>
    <row r="72" spans="1:15">
      <c r="A72" s="572"/>
      <c r="B72" s="579"/>
      <c r="C72" s="548"/>
      <c r="D72" s="548"/>
      <c r="E72" s="548"/>
      <c r="F72" s="548"/>
      <c r="G72" s="548"/>
      <c r="H72" s="548"/>
      <c r="I72" s="548"/>
      <c r="J72" s="548"/>
      <c r="K72" s="575"/>
      <c r="L72" s="578"/>
      <c r="M72" s="578"/>
      <c r="N72" s="578"/>
      <c r="O72" s="578"/>
    </row>
    <row r="73" spans="1:15">
      <c r="A73" s="572" t="s">
        <v>66</v>
      </c>
      <c r="B73" s="576">
        <v>0.3</v>
      </c>
      <c r="C73" s="574">
        <v>11200</v>
      </c>
      <c r="D73" s="574">
        <v>12800</v>
      </c>
      <c r="E73" s="574">
        <v>14400</v>
      </c>
      <c r="F73" s="574">
        <v>15950</v>
      </c>
      <c r="G73" s="574">
        <v>17250</v>
      </c>
      <c r="H73" s="574">
        <v>18550</v>
      </c>
      <c r="I73" s="574">
        <v>19800</v>
      </c>
      <c r="J73" s="574">
        <v>21100</v>
      </c>
      <c r="K73" s="575"/>
    </row>
    <row r="74" spans="1:15">
      <c r="A74" s="572"/>
      <c r="B74" s="576">
        <v>0.4</v>
      </c>
      <c r="C74" s="548">
        <f t="shared" ref="C74:J74" si="20">(+C75*2)*0.4</f>
        <v>14880</v>
      </c>
      <c r="D74" s="548">
        <f t="shared" si="20"/>
        <v>17000</v>
      </c>
      <c r="E74" s="548">
        <f t="shared" si="20"/>
        <v>19120</v>
      </c>
      <c r="F74" s="548">
        <f t="shared" si="20"/>
        <v>21240</v>
      </c>
      <c r="G74" s="548">
        <f t="shared" si="20"/>
        <v>22960</v>
      </c>
      <c r="H74" s="548">
        <f t="shared" si="20"/>
        <v>24640</v>
      </c>
      <c r="I74" s="548">
        <f t="shared" si="20"/>
        <v>26360</v>
      </c>
      <c r="J74" s="548">
        <f t="shared" si="20"/>
        <v>28040</v>
      </c>
      <c r="K74" s="575"/>
      <c r="L74" s="578"/>
      <c r="M74" s="578"/>
      <c r="N74" s="578"/>
      <c r="O74" s="578"/>
    </row>
    <row r="75" spans="1:15">
      <c r="A75" s="572"/>
      <c r="B75" s="576">
        <v>0.5</v>
      </c>
      <c r="C75" s="574">
        <v>18600</v>
      </c>
      <c r="D75" s="574">
        <v>21250</v>
      </c>
      <c r="E75" s="574">
        <v>23900</v>
      </c>
      <c r="F75" s="574">
        <v>26550</v>
      </c>
      <c r="G75" s="574">
        <v>28700</v>
      </c>
      <c r="H75" s="574">
        <v>30800</v>
      </c>
      <c r="I75" s="574">
        <v>32950</v>
      </c>
      <c r="J75" s="574">
        <v>35050</v>
      </c>
      <c r="K75" s="575"/>
      <c r="L75" s="578"/>
      <c r="M75" s="578"/>
      <c r="N75" s="578"/>
      <c r="O75" s="578"/>
    </row>
    <row r="76" spans="1:15">
      <c r="A76" s="572"/>
      <c r="B76" s="576">
        <v>0.6</v>
      </c>
      <c r="C76" s="548">
        <f t="shared" ref="C76:J76" si="21">(+C75*2)*0.6</f>
        <v>22320</v>
      </c>
      <c r="D76" s="548">
        <f t="shared" si="21"/>
        <v>25500</v>
      </c>
      <c r="E76" s="548">
        <f t="shared" si="21"/>
        <v>28680</v>
      </c>
      <c r="F76" s="548">
        <f t="shared" si="21"/>
        <v>31860</v>
      </c>
      <c r="G76" s="548">
        <f t="shared" si="21"/>
        <v>34440</v>
      </c>
      <c r="H76" s="548">
        <f t="shared" si="21"/>
        <v>36960</v>
      </c>
      <c r="I76" s="548">
        <f t="shared" si="21"/>
        <v>39540</v>
      </c>
      <c r="J76" s="548">
        <f t="shared" si="21"/>
        <v>42060</v>
      </c>
      <c r="K76" s="575"/>
      <c r="L76" s="578"/>
      <c r="M76" s="578"/>
      <c r="N76" s="578"/>
      <c r="O76" s="578"/>
    </row>
    <row r="77" spans="1:15">
      <c r="A77" s="572"/>
      <c r="B77" s="576">
        <v>0.8</v>
      </c>
      <c r="C77" s="574">
        <v>29750</v>
      </c>
      <c r="D77" s="574">
        <v>34000</v>
      </c>
      <c r="E77" s="574">
        <v>38250</v>
      </c>
      <c r="F77" s="574">
        <v>42500</v>
      </c>
      <c r="G77" s="574">
        <v>45900</v>
      </c>
      <c r="H77" s="574">
        <v>49300</v>
      </c>
      <c r="I77" s="574">
        <v>52700</v>
      </c>
      <c r="J77" s="574">
        <v>56100</v>
      </c>
      <c r="K77" s="575"/>
      <c r="L77" s="578"/>
      <c r="M77" s="578"/>
      <c r="N77" s="578"/>
      <c r="O77" s="578"/>
    </row>
    <row r="78" spans="1:15">
      <c r="A78" s="572"/>
      <c r="B78" s="579"/>
      <c r="C78" s="548"/>
      <c r="D78" s="548"/>
      <c r="E78" s="548"/>
      <c r="F78" s="548"/>
      <c r="G78" s="548"/>
      <c r="H78" s="548"/>
      <c r="I78" s="548"/>
      <c r="J78" s="548"/>
      <c r="K78" s="575"/>
      <c r="L78" s="578"/>
      <c r="M78" s="578"/>
      <c r="N78" s="578"/>
      <c r="O78" s="578"/>
    </row>
    <row r="79" spans="1:15">
      <c r="A79" s="572" t="s">
        <v>191</v>
      </c>
      <c r="B79" s="576">
        <v>0.3</v>
      </c>
      <c r="C79" s="574">
        <v>11100</v>
      </c>
      <c r="D79" s="574">
        <v>12650</v>
      </c>
      <c r="E79" s="574">
        <v>14250</v>
      </c>
      <c r="F79" s="574">
        <v>15800</v>
      </c>
      <c r="G79" s="574">
        <v>17100</v>
      </c>
      <c r="H79" s="574">
        <v>18350</v>
      </c>
      <c r="I79" s="574">
        <v>19600</v>
      </c>
      <c r="J79" s="574">
        <v>20900</v>
      </c>
      <c r="K79" s="575"/>
    </row>
    <row r="80" spans="1:15">
      <c r="A80" s="572"/>
      <c r="B80" s="576">
        <v>0.4</v>
      </c>
      <c r="C80" s="548">
        <f t="shared" ref="C80:J80" si="22">(+C81*2)*0.4</f>
        <v>14760</v>
      </c>
      <c r="D80" s="548">
        <f t="shared" si="22"/>
        <v>16880</v>
      </c>
      <c r="E80" s="548">
        <f t="shared" si="22"/>
        <v>19000</v>
      </c>
      <c r="F80" s="548">
        <f t="shared" si="22"/>
        <v>21080</v>
      </c>
      <c r="G80" s="548">
        <f t="shared" si="22"/>
        <v>22800</v>
      </c>
      <c r="H80" s="548">
        <f t="shared" si="22"/>
        <v>24480</v>
      </c>
      <c r="I80" s="548">
        <f t="shared" si="22"/>
        <v>26160</v>
      </c>
      <c r="J80" s="548">
        <f t="shared" si="22"/>
        <v>27840</v>
      </c>
      <c r="K80" s="575"/>
      <c r="L80" s="578"/>
      <c r="M80" s="578"/>
      <c r="N80" s="578"/>
      <c r="O80" s="578"/>
    </row>
    <row r="81" spans="1:15">
      <c r="A81" s="572"/>
      <c r="B81" s="576">
        <v>0.5</v>
      </c>
      <c r="C81" s="574">
        <v>18450</v>
      </c>
      <c r="D81" s="574">
        <v>21100</v>
      </c>
      <c r="E81" s="574">
        <v>23750</v>
      </c>
      <c r="F81" s="574">
        <v>26350</v>
      </c>
      <c r="G81" s="574">
        <v>28500</v>
      </c>
      <c r="H81" s="574">
        <v>30600</v>
      </c>
      <c r="I81" s="574">
        <v>32700</v>
      </c>
      <c r="J81" s="574">
        <v>34800</v>
      </c>
      <c r="K81" s="575"/>
      <c r="L81" s="578"/>
      <c r="M81" s="578"/>
      <c r="N81" s="578"/>
      <c r="O81" s="578"/>
    </row>
    <row r="82" spans="1:15">
      <c r="A82" s="572"/>
      <c r="B82" s="576">
        <v>0.6</v>
      </c>
      <c r="C82" s="548">
        <f t="shared" ref="C82:J82" si="23">(+C81*2)*0.6</f>
        <v>22140</v>
      </c>
      <c r="D82" s="548">
        <f t="shared" si="23"/>
        <v>25320</v>
      </c>
      <c r="E82" s="548">
        <f t="shared" si="23"/>
        <v>28500</v>
      </c>
      <c r="F82" s="548">
        <f t="shared" si="23"/>
        <v>31620</v>
      </c>
      <c r="G82" s="548">
        <f t="shared" si="23"/>
        <v>34200</v>
      </c>
      <c r="H82" s="548">
        <f t="shared" si="23"/>
        <v>36720</v>
      </c>
      <c r="I82" s="548">
        <f t="shared" si="23"/>
        <v>39240</v>
      </c>
      <c r="J82" s="548">
        <f t="shared" si="23"/>
        <v>41760</v>
      </c>
      <c r="K82" s="575"/>
      <c r="L82" s="578"/>
      <c r="M82" s="578"/>
      <c r="N82" s="578"/>
      <c r="O82" s="578"/>
    </row>
    <row r="83" spans="1:15">
      <c r="A83" s="572"/>
      <c r="B83" s="576">
        <v>0.8</v>
      </c>
      <c r="C83" s="574">
        <v>29550</v>
      </c>
      <c r="D83" s="574">
        <v>33750</v>
      </c>
      <c r="E83" s="574">
        <v>37950</v>
      </c>
      <c r="F83" s="574">
        <v>42150</v>
      </c>
      <c r="G83" s="574">
        <v>45550</v>
      </c>
      <c r="H83" s="574">
        <v>48900</v>
      </c>
      <c r="I83" s="574">
        <v>52300</v>
      </c>
      <c r="J83" s="574">
        <v>55650</v>
      </c>
      <c r="K83" s="575"/>
      <c r="L83" s="578"/>
      <c r="M83" s="578"/>
      <c r="N83" s="578"/>
      <c r="O83" s="578"/>
    </row>
    <row r="84" spans="1:15">
      <c r="A84" s="572"/>
      <c r="B84" s="579"/>
      <c r="C84" s="548"/>
      <c r="D84" s="548"/>
      <c r="E84" s="548"/>
      <c r="F84" s="548"/>
      <c r="G84" s="548"/>
      <c r="H84" s="548"/>
      <c r="I84" s="548"/>
      <c r="J84" s="548"/>
      <c r="K84" s="575"/>
      <c r="L84" s="578"/>
      <c r="M84" s="578"/>
      <c r="N84" s="578"/>
      <c r="O84" s="578"/>
    </row>
    <row r="85" spans="1:15">
      <c r="A85" s="572" t="s">
        <v>192</v>
      </c>
      <c r="B85" s="576">
        <v>0.3</v>
      </c>
      <c r="C85" s="574">
        <v>11350</v>
      </c>
      <c r="D85" s="574">
        <v>12950</v>
      </c>
      <c r="E85" s="574">
        <v>14550</v>
      </c>
      <c r="F85" s="574">
        <v>16150</v>
      </c>
      <c r="G85" s="574">
        <v>17450</v>
      </c>
      <c r="H85" s="574">
        <v>18750</v>
      </c>
      <c r="I85" s="574">
        <v>20050</v>
      </c>
      <c r="J85" s="574">
        <v>21350</v>
      </c>
      <c r="K85" s="575"/>
    </row>
    <row r="86" spans="1:15">
      <c r="A86" s="572"/>
      <c r="B86" s="576">
        <v>0.4</v>
      </c>
      <c r="C86" s="548">
        <f t="shared" ref="C86:J86" si="24">(+C87*2)*0.4</f>
        <v>15080</v>
      </c>
      <c r="D86" s="548">
        <f t="shared" si="24"/>
        <v>17240</v>
      </c>
      <c r="E86" s="548">
        <f t="shared" si="24"/>
        <v>19400</v>
      </c>
      <c r="F86" s="548">
        <f t="shared" si="24"/>
        <v>21520</v>
      </c>
      <c r="G86" s="548">
        <f t="shared" si="24"/>
        <v>23280</v>
      </c>
      <c r="H86" s="548">
        <f t="shared" si="24"/>
        <v>25000</v>
      </c>
      <c r="I86" s="548">
        <f t="shared" si="24"/>
        <v>26720</v>
      </c>
      <c r="J86" s="548">
        <f t="shared" si="24"/>
        <v>28440</v>
      </c>
      <c r="K86" s="575"/>
      <c r="L86" s="578"/>
      <c r="M86" s="578"/>
      <c r="N86" s="578"/>
      <c r="O86" s="578"/>
    </row>
    <row r="87" spans="1:15">
      <c r="A87" s="572"/>
      <c r="B87" s="576">
        <v>0.5</v>
      </c>
      <c r="C87" s="574">
        <v>18850</v>
      </c>
      <c r="D87" s="574">
        <v>21550</v>
      </c>
      <c r="E87" s="574">
        <v>24250</v>
      </c>
      <c r="F87" s="574">
        <v>26900</v>
      </c>
      <c r="G87" s="574">
        <v>29100</v>
      </c>
      <c r="H87" s="574">
        <v>31250</v>
      </c>
      <c r="I87" s="574">
        <v>33400</v>
      </c>
      <c r="J87" s="574">
        <v>35550</v>
      </c>
      <c r="K87" s="575"/>
      <c r="L87" s="578"/>
      <c r="M87" s="578"/>
      <c r="N87" s="578"/>
      <c r="O87" s="578"/>
    </row>
    <row r="88" spans="1:15">
      <c r="A88" s="572"/>
      <c r="B88" s="576">
        <v>0.6</v>
      </c>
      <c r="C88" s="548">
        <f t="shared" ref="C88:J88" si="25">(+C87*2)*0.6</f>
        <v>22620</v>
      </c>
      <c r="D88" s="548">
        <f t="shared" si="25"/>
        <v>25860</v>
      </c>
      <c r="E88" s="548">
        <f t="shared" si="25"/>
        <v>29100</v>
      </c>
      <c r="F88" s="548">
        <f t="shared" si="25"/>
        <v>32280</v>
      </c>
      <c r="G88" s="548">
        <f t="shared" si="25"/>
        <v>34920</v>
      </c>
      <c r="H88" s="548">
        <f t="shared" si="25"/>
        <v>37500</v>
      </c>
      <c r="I88" s="548">
        <f t="shared" si="25"/>
        <v>40080</v>
      </c>
      <c r="J88" s="548">
        <f t="shared" si="25"/>
        <v>42660</v>
      </c>
      <c r="K88" s="575"/>
      <c r="L88" s="578"/>
      <c r="M88" s="578"/>
      <c r="N88" s="578"/>
      <c r="O88" s="578"/>
    </row>
    <row r="89" spans="1:15">
      <c r="A89" s="572"/>
      <c r="B89" s="576">
        <v>0.8</v>
      </c>
      <c r="C89" s="574">
        <v>30150</v>
      </c>
      <c r="D89" s="574">
        <v>34450</v>
      </c>
      <c r="E89" s="574">
        <v>38750</v>
      </c>
      <c r="F89" s="574">
        <v>43050</v>
      </c>
      <c r="G89" s="574">
        <v>46500</v>
      </c>
      <c r="H89" s="574">
        <v>49950</v>
      </c>
      <c r="I89" s="574">
        <v>53400</v>
      </c>
      <c r="J89" s="574">
        <v>56850</v>
      </c>
      <c r="K89" s="575"/>
      <c r="L89" s="578"/>
      <c r="M89" s="578"/>
      <c r="N89" s="578"/>
      <c r="O89" s="578"/>
    </row>
    <row r="90" spans="1:15">
      <c r="A90" s="572"/>
      <c r="B90" s="579"/>
      <c r="C90" s="572"/>
      <c r="D90" s="572"/>
      <c r="E90" s="572"/>
      <c r="F90" s="572"/>
      <c r="G90" s="572"/>
      <c r="H90" s="572"/>
      <c r="I90" s="572"/>
      <c r="J90" s="572"/>
      <c r="K90" s="567"/>
      <c r="L90" s="578"/>
      <c r="M90" s="578"/>
      <c r="N90" s="578"/>
      <c r="O90" s="578"/>
    </row>
    <row r="91" spans="1:15">
      <c r="A91" s="572" t="s">
        <v>193</v>
      </c>
      <c r="B91" s="576">
        <v>0.3</v>
      </c>
      <c r="C91" s="574">
        <v>11100</v>
      </c>
      <c r="D91" s="574">
        <v>12650</v>
      </c>
      <c r="E91" s="574">
        <v>14250</v>
      </c>
      <c r="F91" s="574">
        <v>15800</v>
      </c>
      <c r="G91" s="574">
        <v>17100</v>
      </c>
      <c r="H91" s="574">
        <v>18350</v>
      </c>
      <c r="I91" s="574">
        <v>19600</v>
      </c>
      <c r="J91" s="574">
        <v>20900</v>
      </c>
      <c r="K91" s="575"/>
    </row>
    <row r="92" spans="1:15">
      <c r="A92" s="572"/>
      <c r="B92" s="576">
        <v>0.4</v>
      </c>
      <c r="C92" s="548">
        <f t="shared" ref="C92:J92" si="26">(+C93*2)*0.4</f>
        <v>14760</v>
      </c>
      <c r="D92" s="548">
        <f t="shared" si="26"/>
        <v>16880</v>
      </c>
      <c r="E92" s="548">
        <f t="shared" si="26"/>
        <v>19000</v>
      </c>
      <c r="F92" s="548">
        <f t="shared" si="26"/>
        <v>21080</v>
      </c>
      <c r="G92" s="548">
        <f t="shared" si="26"/>
        <v>22800</v>
      </c>
      <c r="H92" s="548">
        <f t="shared" si="26"/>
        <v>24480</v>
      </c>
      <c r="I92" s="548">
        <f t="shared" si="26"/>
        <v>26160</v>
      </c>
      <c r="J92" s="548">
        <f t="shared" si="26"/>
        <v>27840</v>
      </c>
      <c r="K92" s="575"/>
      <c r="L92" s="578"/>
      <c r="M92" s="578"/>
      <c r="N92" s="578"/>
      <c r="O92" s="578"/>
    </row>
    <row r="93" spans="1:15">
      <c r="A93" s="572"/>
      <c r="B93" s="576">
        <v>0.5</v>
      </c>
      <c r="C93" s="574">
        <v>18450</v>
      </c>
      <c r="D93" s="574">
        <v>21100</v>
      </c>
      <c r="E93" s="574">
        <v>23750</v>
      </c>
      <c r="F93" s="574">
        <v>26350</v>
      </c>
      <c r="G93" s="574">
        <v>28500</v>
      </c>
      <c r="H93" s="574">
        <v>30600</v>
      </c>
      <c r="I93" s="574">
        <v>32700</v>
      </c>
      <c r="J93" s="574">
        <v>34800</v>
      </c>
      <c r="K93" s="575"/>
      <c r="L93" s="578"/>
      <c r="M93" s="578"/>
      <c r="N93" s="578"/>
      <c r="O93" s="578"/>
    </row>
    <row r="94" spans="1:15">
      <c r="A94" s="572"/>
      <c r="B94" s="576">
        <v>0.6</v>
      </c>
      <c r="C94" s="548">
        <f t="shared" ref="C94:J94" si="27">(+C93*2)*0.6</f>
        <v>22140</v>
      </c>
      <c r="D94" s="548">
        <f t="shared" si="27"/>
        <v>25320</v>
      </c>
      <c r="E94" s="548">
        <f t="shared" si="27"/>
        <v>28500</v>
      </c>
      <c r="F94" s="548">
        <f t="shared" si="27"/>
        <v>31620</v>
      </c>
      <c r="G94" s="548">
        <f t="shared" si="27"/>
        <v>34200</v>
      </c>
      <c r="H94" s="548">
        <f t="shared" si="27"/>
        <v>36720</v>
      </c>
      <c r="I94" s="548">
        <f t="shared" si="27"/>
        <v>39240</v>
      </c>
      <c r="J94" s="548">
        <f t="shared" si="27"/>
        <v>41760</v>
      </c>
      <c r="K94" s="575"/>
      <c r="L94" s="578"/>
      <c r="M94" s="578"/>
      <c r="N94" s="578"/>
      <c r="O94" s="578"/>
    </row>
    <row r="95" spans="1:15">
      <c r="A95" s="572"/>
      <c r="B95" s="576">
        <v>0.8</v>
      </c>
      <c r="C95" s="574">
        <v>29550</v>
      </c>
      <c r="D95" s="574">
        <v>33750</v>
      </c>
      <c r="E95" s="574">
        <v>37950</v>
      </c>
      <c r="F95" s="574">
        <v>42150</v>
      </c>
      <c r="G95" s="574">
        <v>45550</v>
      </c>
      <c r="H95" s="574">
        <v>48900</v>
      </c>
      <c r="I95" s="574">
        <v>52300</v>
      </c>
      <c r="J95" s="574">
        <v>55650</v>
      </c>
      <c r="K95" s="575"/>
      <c r="L95" s="578"/>
      <c r="M95" s="578"/>
      <c r="N95" s="578"/>
      <c r="O95" s="578"/>
    </row>
    <row r="96" spans="1:15">
      <c r="A96" s="572"/>
      <c r="B96" s="579"/>
      <c r="C96" s="548"/>
      <c r="D96" s="548"/>
      <c r="E96" s="548"/>
      <c r="F96" s="548"/>
      <c r="G96" s="548"/>
      <c r="H96" s="548"/>
      <c r="I96" s="548"/>
      <c r="J96" s="548"/>
      <c r="K96" s="575"/>
      <c r="L96" s="578"/>
      <c r="M96" s="578"/>
      <c r="N96" s="578"/>
      <c r="O96" s="578"/>
    </row>
    <row r="97" spans="1:15">
      <c r="A97" s="572" t="s">
        <v>194</v>
      </c>
      <c r="B97" s="576">
        <v>0.3</v>
      </c>
      <c r="C97" s="574">
        <v>11100</v>
      </c>
      <c r="D97" s="574">
        <v>12650</v>
      </c>
      <c r="E97" s="574">
        <v>14250</v>
      </c>
      <c r="F97" s="574">
        <v>15800</v>
      </c>
      <c r="G97" s="574">
        <v>17100</v>
      </c>
      <c r="H97" s="574">
        <v>18350</v>
      </c>
      <c r="I97" s="574">
        <v>19600</v>
      </c>
      <c r="J97" s="574">
        <v>20900</v>
      </c>
      <c r="K97" s="575"/>
    </row>
    <row r="98" spans="1:15">
      <c r="A98" s="572"/>
      <c r="B98" s="576">
        <v>0.4</v>
      </c>
      <c r="C98" s="548">
        <f t="shared" ref="C98:J98" si="28">(+C99*2)*0.4</f>
        <v>14760</v>
      </c>
      <c r="D98" s="548">
        <f t="shared" si="28"/>
        <v>16880</v>
      </c>
      <c r="E98" s="548">
        <f t="shared" si="28"/>
        <v>19000</v>
      </c>
      <c r="F98" s="548">
        <f t="shared" si="28"/>
        <v>21080</v>
      </c>
      <c r="G98" s="548">
        <f t="shared" si="28"/>
        <v>22800</v>
      </c>
      <c r="H98" s="548">
        <f t="shared" si="28"/>
        <v>24480</v>
      </c>
      <c r="I98" s="548">
        <f t="shared" si="28"/>
        <v>26160</v>
      </c>
      <c r="J98" s="548">
        <f t="shared" si="28"/>
        <v>27840</v>
      </c>
      <c r="K98" s="575"/>
      <c r="L98" s="578"/>
      <c r="M98" s="578"/>
      <c r="N98" s="578"/>
      <c r="O98" s="578"/>
    </row>
    <row r="99" spans="1:15">
      <c r="A99" s="572"/>
      <c r="B99" s="576">
        <v>0.5</v>
      </c>
      <c r="C99" s="574">
        <v>18450</v>
      </c>
      <c r="D99" s="574">
        <v>21100</v>
      </c>
      <c r="E99" s="574">
        <v>23750</v>
      </c>
      <c r="F99" s="574">
        <v>26350</v>
      </c>
      <c r="G99" s="574">
        <v>28500</v>
      </c>
      <c r="H99" s="574">
        <v>30600</v>
      </c>
      <c r="I99" s="574">
        <v>32700</v>
      </c>
      <c r="J99" s="574">
        <v>34800</v>
      </c>
      <c r="K99" s="575"/>
      <c r="L99" s="578"/>
      <c r="M99" s="578"/>
      <c r="N99" s="578"/>
      <c r="O99" s="578"/>
    </row>
    <row r="100" spans="1:15">
      <c r="A100" s="572"/>
      <c r="B100" s="576">
        <v>0.6</v>
      </c>
      <c r="C100" s="548">
        <f t="shared" ref="C100:J100" si="29">(+C99*2)*0.6</f>
        <v>22140</v>
      </c>
      <c r="D100" s="548">
        <f t="shared" si="29"/>
        <v>25320</v>
      </c>
      <c r="E100" s="548">
        <f t="shared" si="29"/>
        <v>28500</v>
      </c>
      <c r="F100" s="548">
        <f t="shared" si="29"/>
        <v>31620</v>
      </c>
      <c r="G100" s="548">
        <f t="shared" si="29"/>
        <v>34200</v>
      </c>
      <c r="H100" s="548">
        <f t="shared" si="29"/>
        <v>36720</v>
      </c>
      <c r="I100" s="548">
        <f t="shared" si="29"/>
        <v>39240</v>
      </c>
      <c r="J100" s="548">
        <f t="shared" si="29"/>
        <v>41760</v>
      </c>
      <c r="K100" s="575"/>
      <c r="L100" s="578"/>
      <c r="M100" s="578"/>
      <c r="N100" s="578"/>
      <c r="O100" s="578"/>
    </row>
    <row r="101" spans="1:15">
      <c r="A101" s="572"/>
      <c r="B101" s="576">
        <v>0.8</v>
      </c>
      <c r="C101" s="574">
        <v>29550</v>
      </c>
      <c r="D101" s="574">
        <v>33750</v>
      </c>
      <c r="E101" s="574">
        <v>37950</v>
      </c>
      <c r="F101" s="574">
        <v>42150</v>
      </c>
      <c r="G101" s="574">
        <v>45550</v>
      </c>
      <c r="H101" s="574">
        <v>48900</v>
      </c>
      <c r="I101" s="574">
        <v>52300</v>
      </c>
      <c r="J101" s="574">
        <v>55650</v>
      </c>
      <c r="K101" s="575"/>
      <c r="L101" s="578"/>
      <c r="M101" s="578"/>
      <c r="N101" s="578"/>
      <c r="O101" s="578"/>
    </row>
    <row r="102" spans="1:15">
      <c r="A102" s="572"/>
      <c r="B102" s="579"/>
      <c r="C102" s="548"/>
      <c r="D102" s="548"/>
      <c r="E102" s="548"/>
      <c r="F102" s="548"/>
      <c r="G102" s="548"/>
      <c r="H102" s="548"/>
      <c r="I102" s="548"/>
      <c r="J102" s="548"/>
      <c r="K102" s="575"/>
      <c r="L102" s="578"/>
      <c r="M102" s="578"/>
      <c r="N102" s="578"/>
      <c r="O102" s="578"/>
    </row>
    <row r="103" spans="1:15">
      <c r="A103" s="572"/>
      <c r="B103" s="576"/>
      <c r="C103" s="548"/>
      <c r="D103" s="548"/>
      <c r="E103" s="548"/>
      <c r="F103" s="548"/>
      <c r="G103" s="548"/>
      <c r="H103" s="548"/>
      <c r="I103" s="548"/>
      <c r="J103" s="548"/>
      <c r="K103" s="575"/>
      <c r="L103" s="578"/>
      <c r="M103" s="578"/>
      <c r="N103" s="578"/>
      <c r="O103" s="578"/>
    </row>
    <row r="104" spans="1:15">
      <c r="A104" s="565" t="s">
        <v>186</v>
      </c>
      <c r="B104" s="566" t="s">
        <v>372</v>
      </c>
      <c r="C104" s="565" t="s">
        <v>33</v>
      </c>
      <c r="D104" s="565" t="s">
        <v>34</v>
      </c>
      <c r="E104" s="565" t="s">
        <v>35</v>
      </c>
      <c r="F104" s="565" t="s">
        <v>36</v>
      </c>
      <c r="G104" s="565" t="s">
        <v>37</v>
      </c>
      <c r="H104" s="565" t="s">
        <v>38</v>
      </c>
      <c r="I104" s="565" t="s">
        <v>188</v>
      </c>
      <c r="J104" s="565" t="s">
        <v>189</v>
      </c>
      <c r="K104" s="567"/>
      <c r="L104" s="578"/>
      <c r="M104" s="578"/>
      <c r="N104" s="578"/>
      <c r="O104" s="578"/>
    </row>
    <row r="105" spans="1:15">
      <c r="A105" s="568"/>
      <c r="B105" s="581"/>
      <c r="C105" s="568"/>
      <c r="D105" s="568"/>
      <c r="E105" s="568"/>
      <c r="F105" s="568"/>
      <c r="G105" s="568"/>
      <c r="H105" s="568"/>
      <c r="I105" s="568"/>
      <c r="J105" s="568"/>
      <c r="K105" s="567"/>
      <c r="L105" s="578"/>
      <c r="M105" s="578"/>
      <c r="N105" s="578"/>
      <c r="O105" s="578"/>
    </row>
    <row r="106" spans="1:15">
      <c r="A106" s="572" t="s">
        <v>195</v>
      </c>
      <c r="B106" s="576">
        <v>0.3</v>
      </c>
      <c r="C106" s="574">
        <v>11600</v>
      </c>
      <c r="D106" s="574">
        <v>13250</v>
      </c>
      <c r="E106" s="574">
        <v>14900</v>
      </c>
      <c r="F106" s="574">
        <v>16550</v>
      </c>
      <c r="G106" s="574">
        <v>17900</v>
      </c>
      <c r="H106" s="574">
        <v>19200</v>
      </c>
      <c r="I106" s="574">
        <v>20550</v>
      </c>
      <c r="J106" s="574">
        <v>21850</v>
      </c>
      <c r="K106" s="575"/>
    </row>
    <row r="107" spans="1:15">
      <c r="A107" s="572"/>
      <c r="B107" s="576">
        <v>0.4</v>
      </c>
      <c r="C107" s="548">
        <f t="shared" ref="C107:J107" si="30">(+C108*2)*0.4</f>
        <v>15480</v>
      </c>
      <c r="D107" s="548">
        <f t="shared" si="30"/>
        <v>17680</v>
      </c>
      <c r="E107" s="548">
        <f t="shared" si="30"/>
        <v>19880</v>
      </c>
      <c r="F107" s="548">
        <f t="shared" si="30"/>
        <v>22080</v>
      </c>
      <c r="G107" s="548">
        <f t="shared" si="30"/>
        <v>23880</v>
      </c>
      <c r="H107" s="548">
        <f t="shared" si="30"/>
        <v>25640</v>
      </c>
      <c r="I107" s="548">
        <f t="shared" si="30"/>
        <v>27400</v>
      </c>
      <c r="J107" s="548">
        <f t="shared" si="30"/>
        <v>29160</v>
      </c>
      <c r="K107" s="575"/>
      <c r="L107" s="578"/>
      <c r="M107" s="578"/>
      <c r="N107" s="578"/>
      <c r="O107" s="578"/>
    </row>
    <row r="108" spans="1:15">
      <c r="A108" s="572"/>
      <c r="B108" s="576">
        <v>0.5</v>
      </c>
      <c r="C108" s="574">
        <v>19350</v>
      </c>
      <c r="D108" s="574">
        <v>22100</v>
      </c>
      <c r="E108" s="574">
        <v>24850</v>
      </c>
      <c r="F108" s="574">
        <v>27600</v>
      </c>
      <c r="G108" s="574">
        <v>29850</v>
      </c>
      <c r="H108" s="574">
        <v>32050</v>
      </c>
      <c r="I108" s="574">
        <v>34250</v>
      </c>
      <c r="J108" s="574">
        <v>36450</v>
      </c>
      <c r="K108" s="575"/>
      <c r="L108" s="578"/>
      <c r="M108" s="578"/>
      <c r="N108" s="578"/>
      <c r="O108" s="578"/>
    </row>
    <row r="109" spans="1:15">
      <c r="A109" s="572"/>
      <c r="B109" s="576">
        <v>0.6</v>
      </c>
      <c r="C109" s="548">
        <f t="shared" ref="C109:J109" si="31">(+C108*2)*0.6</f>
        <v>23220</v>
      </c>
      <c r="D109" s="548">
        <f t="shared" si="31"/>
        <v>26520</v>
      </c>
      <c r="E109" s="548">
        <f t="shared" si="31"/>
        <v>29820</v>
      </c>
      <c r="F109" s="548">
        <f t="shared" si="31"/>
        <v>33120</v>
      </c>
      <c r="G109" s="548">
        <f t="shared" si="31"/>
        <v>35820</v>
      </c>
      <c r="H109" s="548">
        <f t="shared" si="31"/>
        <v>38460</v>
      </c>
      <c r="I109" s="548">
        <f t="shared" si="31"/>
        <v>41100</v>
      </c>
      <c r="J109" s="548">
        <f t="shared" si="31"/>
        <v>43740</v>
      </c>
      <c r="K109" s="575"/>
      <c r="L109" s="578"/>
      <c r="M109" s="578"/>
      <c r="N109" s="578"/>
      <c r="O109" s="578"/>
    </row>
    <row r="110" spans="1:15">
      <c r="A110" s="572"/>
      <c r="B110" s="576">
        <v>0.8</v>
      </c>
      <c r="C110" s="580">
        <v>30950</v>
      </c>
      <c r="D110" s="580">
        <v>35350</v>
      </c>
      <c r="E110" s="580">
        <v>39750</v>
      </c>
      <c r="F110" s="580">
        <v>44150</v>
      </c>
      <c r="G110" s="580">
        <v>47700</v>
      </c>
      <c r="H110" s="580">
        <v>51250</v>
      </c>
      <c r="I110" s="580">
        <v>54750</v>
      </c>
      <c r="J110" s="580">
        <v>58300</v>
      </c>
      <c r="K110" s="575"/>
      <c r="L110" s="578"/>
      <c r="M110" s="578"/>
      <c r="N110" s="578"/>
      <c r="O110" s="578"/>
    </row>
    <row r="111" spans="1:15">
      <c r="A111" s="572"/>
      <c r="B111" s="576"/>
      <c r="C111" s="574"/>
      <c r="D111" s="574"/>
      <c r="E111" s="574"/>
      <c r="F111" s="574"/>
      <c r="G111" s="574"/>
      <c r="H111" s="574"/>
      <c r="I111" s="574"/>
      <c r="J111" s="574"/>
      <c r="K111" s="575"/>
      <c r="L111" s="578"/>
      <c r="M111" s="578"/>
      <c r="N111" s="578"/>
      <c r="O111" s="578"/>
    </row>
    <row r="112" spans="1:15">
      <c r="A112" s="572" t="s">
        <v>196</v>
      </c>
      <c r="B112" s="576">
        <v>0.3</v>
      </c>
      <c r="C112" s="583">
        <v>11100</v>
      </c>
      <c r="D112" s="583">
        <v>12650</v>
      </c>
      <c r="E112" s="583">
        <v>14250</v>
      </c>
      <c r="F112" s="583">
        <v>15800</v>
      </c>
      <c r="G112" s="583">
        <v>17100</v>
      </c>
      <c r="H112" s="583">
        <v>18350</v>
      </c>
      <c r="I112" s="583">
        <v>19600</v>
      </c>
      <c r="J112" s="583">
        <v>20900</v>
      </c>
      <c r="K112" s="575"/>
    </row>
    <row r="113" spans="1:15">
      <c r="A113" s="572"/>
      <c r="B113" s="576">
        <v>0.4</v>
      </c>
      <c r="C113" s="548">
        <f t="shared" ref="C113:J113" si="32">(+C114*2)*0.4</f>
        <v>14760</v>
      </c>
      <c r="D113" s="548">
        <f t="shared" si="32"/>
        <v>16880</v>
      </c>
      <c r="E113" s="548">
        <f t="shared" si="32"/>
        <v>19000</v>
      </c>
      <c r="F113" s="548">
        <f t="shared" si="32"/>
        <v>21080</v>
      </c>
      <c r="G113" s="548">
        <f t="shared" si="32"/>
        <v>22800</v>
      </c>
      <c r="H113" s="548">
        <f t="shared" si="32"/>
        <v>24480</v>
      </c>
      <c r="I113" s="548">
        <f t="shared" si="32"/>
        <v>26160</v>
      </c>
      <c r="J113" s="548">
        <f t="shared" si="32"/>
        <v>27840</v>
      </c>
      <c r="K113" s="575"/>
      <c r="L113" s="578"/>
      <c r="M113" s="578"/>
      <c r="N113" s="578"/>
      <c r="O113" s="578"/>
    </row>
    <row r="114" spans="1:15">
      <c r="A114" s="572"/>
      <c r="B114" s="576">
        <v>0.5</v>
      </c>
      <c r="C114" s="574">
        <v>18450</v>
      </c>
      <c r="D114" s="574">
        <v>21100</v>
      </c>
      <c r="E114" s="574">
        <v>23750</v>
      </c>
      <c r="F114" s="574">
        <v>26350</v>
      </c>
      <c r="G114" s="574">
        <v>28500</v>
      </c>
      <c r="H114" s="574">
        <v>30600</v>
      </c>
      <c r="I114" s="574">
        <v>32700</v>
      </c>
      <c r="J114" s="574">
        <v>34800</v>
      </c>
      <c r="K114" s="575"/>
      <c r="L114" s="578"/>
      <c r="M114" s="578"/>
      <c r="N114" s="578"/>
      <c r="O114" s="578"/>
    </row>
    <row r="115" spans="1:15">
      <c r="A115" s="572"/>
      <c r="B115" s="576">
        <v>0.6</v>
      </c>
      <c r="C115" s="548">
        <f t="shared" ref="C115:J115" si="33">(+C114*2)*0.6</f>
        <v>22140</v>
      </c>
      <c r="D115" s="548">
        <f t="shared" si="33"/>
        <v>25320</v>
      </c>
      <c r="E115" s="548">
        <f t="shared" si="33"/>
        <v>28500</v>
      </c>
      <c r="F115" s="548">
        <f t="shared" si="33"/>
        <v>31620</v>
      </c>
      <c r="G115" s="548">
        <f t="shared" si="33"/>
        <v>34200</v>
      </c>
      <c r="H115" s="548">
        <f t="shared" si="33"/>
        <v>36720</v>
      </c>
      <c r="I115" s="548">
        <f t="shared" si="33"/>
        <v>39240</v>
      </c>
      <c r="J115" s="548">
        <f t="shared" si="33"/>
        <v>41760</v>
      </c>
      <c r="K115" s="575"/>
      <c r="L115" s="578"/>
      <c r="M115" s="578"/>
      <c r="N115" s="578"/>
      <c r="O115" s="578"/>
    </row>
    <row r="116" spans="1:15">
      <c r="A116" s="572"/>
      <c r="B116" s="576">
        <v>0.8</v>
      </c>
      <c r="C116" s="574">
        <v>29550</v>
      </c>
      <c r="D116" s="574">
        <v>33750</v>
      </c>
      <c r="E116" s="574">
        <v>37950</v>
      </c>
      <c r="F116" s="574">
        <v>42150</v>
      </c>
      <c r="G116" s="574">
        <v>45550</v>
      </c>
      <c r="H116" s="574">
        <v>48900</v>
      </c>
      <c r="I116" s="574">
        <v>52300</v>
      </c>
      <c r="J116" s="574">
        <v>55650</v>
      </c>
      <c r="K116" s="575"/>
      <c r="L116" s="578"/>
      <c r="M116" s="578"/>
      <c r="N116" s="578"/>
      <c r="O116" s="578"/>
    </row>
    <row r="117" spans="1:15">
      <c r="A117" s="572"/>
      <c r="B117" s="579"/>
      <c r="C117" s="548"/>
      <c r="D117" s="548"/>
      <c r="E117" s="548"/>
      <c r="F117" s="548"/>
      <c r="G117" s="548"/>
      <c r="H117" s="548"/>
      <c r="I117" s="548"/>
      <c r="J117" s="548"/>
      <c r="K117" s="575"/>
      <c r="L117" s="578"/>
      <c r="M117" s="578"/>
      <c r="N117" s="578"/>
      <c r="O117" s="578"/>
    </row>
    <row r="118" spans="1:15">
      <c r="A118" s="572" t="s">
        <v>289</v>
      </c>
      <c r="B118" s="576">
        <v>0.3</v>
      </c>
      <c r="C118" s="574">
        <v>11100</v>
      </c>
      <c r="D118" s="574">
        <v>12650</v>
      </c>
      <c r="E118" s="574">
        <v>14250</v>
      </c>
      <c r="F118" s="574">
        <v>15800</v>
      </c>
      <c r="G118" s="574">
        <v>17100</v>
      </c>
      <c r="H118" s="574">
        <v>18350</v>
      </c>
      <c r="I118" s="574">
        <v>19600</v>
      </c>
      <c r="J118" s="574">
        <v>20900</v>
      </c>
      <c r="K118" s="575"/>
    </row>
    <row r="119" spans="1:15">
      <c r="A119" s="572"/>
      <c r="B119" s="576">
        <v>0.4</v>
      </c>
      <c r="C119" s="548">
        <f t="shared" ref="C119:J119" si="34">(+C120*2)*0.4</f>
        <v>14760</v>
      </c>
      <c r="D119" s="548">
        <f t="shared" si="34"/>
        <v>16880</v>
      </c>
      <c r="E119" s="548">
        <f t="shared" si="34"/>
        <v>19000</v>
      </c>
      <c r="F119" s="548">
        <f t="shared" si="34"/>
        <v>21080</v>
      </c>
      <c r="G119" s="548">
        <f t="shared" si="34"/>
        <v>22800</v>
      </c>
      <c r="H119" s="548">
        <f t="shared" si="34"/>
        <v>24480</v>
      </c>
      <c r="I119" s="548">
        <f t="shared" si="34"/>
        <v>26160</v>
      </c>
      <c r="J119" s="548">
        <f t="shared" si="34"/>
        <v>27840</v>
      </c>
      <c r="K119" s="575"/>
      <c r="L119" s="578"/>
      <c r="M119" s="578"/>
      <c r="N119" s="578"/>
      <c r="O119" s="578"/>
    </row>
    <row r="120" spans="1:15">
      <c r="A120" s="572"/>
      <c r="B120" s="576">
        <v>0.5</v>
      </c>
      <c r="C120" s="574">
        <v>18450</v>
      </c>
      <c r="D120" s="574">
        <v>21100</v>
      </c>
      <c r="E120" s="574">
        <v>23750</v>
      </c>
      <c r="F120" s="574">
        <v>26350</v>
      </c>
      <c r="G120" s="574">
        <v>28500</v>
      </c>
      <c r="H120" s="574">
        <v>30600</v>
      </c>
      <c r="I120" s="574">
        <v>32700</v>
      </c>
      <c r="J120" s="574">
        <v>34800</v>
      </c>
      <c r="K120" s="575"/>
      <c r="L120" s="578"/>
      <c r="M120" s="578"/>
      <c r="N120" s="578"/>
      <c r="O120" s="578"/>
    </row>
    <row r="121" spans="1:15">
      <c r="A121" s="572"/>
      <c r="B121" s="576">
        <v>0.6</v>
      </c>
      <c r="C121" s="548">
        <f t="shared" ref="C121:J121" si="35">(+C120*2)*0.6</f>
        <v>22140</v>
      </c>
      <c r="D121" s="548">
        <f t="shared" si="35"/>
        <v>25320</v>
      </c>
      <c r="E121" s="548">
        <f t="shared" si="35"/>
        <v>28500</v>
      </c>
      <c r="F121" s="548">
        <f t="shared" si="35"/>
        <v>31620</v>
      </c>
      <c r="G121" s="548">
        <f t="shared" si="35"/>
        <v>34200</v>
      </c>
      <c r="H121" s="548">
        <f t="shared" si="35"/>
        <v>36720</v>
      </c>
      <c r="I121" s="548">
        <f t="shared" si="35"/>
        <v>39240</v>
      </c>
      <c r="J121" s="548">
        <f t="shared" si="35"/>
        <v>41760</v>
      </c>
      <c r="K121" s="575"/>
      <c r="L121" s="578"/>
      <c r="M121" s="578"/>
      <c r="N121" s="578"/>
      <c r="O121" s="578"/>
    </row>
    <row r="122" spans="1:15">
      <c r="A122" s="572"/>
      <c r="B122" s="576">
        <v>0.8</v>
      </c>
      <c r="C122" s="574">
        <v>29550</v>
      </c>
      <c r="D122" s="574">
        <v>33750</v>
      </c>
      <c r="E122" s="574">
        <v>37950</v>
      </c>
      <c r="F122" s="574">
        <v>42150</v>
      </c>
      <c r="G122" s="574">
        <v>45550</v>
      </c>
      <c r="H122" s="574">
        <v>48900</v>
      </c>
      <c r="I122" s="574">
        <v>52300</v>
      </c>
      <c r="J122" s="574">
        <v>55650</v>
      </c>
      <c r="K122" s="575"/>
      <c r="L122" s="578"/>
      <c r="M122" s="578"/>
      <c r="N122" s="578"/>
      <c r="O122" s="578"/>
    </row>
    <row r="123" spans="1:15">
      <c r="A123" s="572"/>
      <c r="B123" s="579"/>
      <c r="C123" s="548"/>
      <c r="D123" s="548"/>
      <c r="E123" s="548"/>
      <c r="F123" s="548"/>
      <c r="G123" s="548"/>
      <c r="H123" s="548"/>
      <c r="I123" s="548"/>
      <c r="J123" s="548"/>
      <c r="K123" s="575"/>
      <c r="L123" s="578"/>
      <c r="M123" s="578"/>
      <c r="N123" s="578"/>
      <c r="O123" s="578"/>
    </row>
    <row r="124" spans="1:15">
      <c r="A124" s="572" t="s">
        <v>290</v>
      </c>
      <c r="B124" s="576">
        <v>0.3</v>
      </c>
      <c r="C124" s="574">
        <v>11300</v>
      </c>
      <c r="D124" s="574">
        <v>12900</v>
      </c>
      <c r="E124" s="574">
        <v>14500</v>
      </c>
      <c r="F124" s="574">
        <v>16100</v>
      </c>
      <c r="G124" s="574">
        <v>17400</v>
      </c>
      <c r="H124" s="574">
        <v>18700</v>
      </c>
      <c r="I124" s="574">
        <v>20000</v>
      </c>
      <c r="J124" s="574">
        <v>21300</v>
      </c>
      <c r="K124" s="575"/>
    </row>
    <row r="125" spans="1:15">
      <c r="A125" s="572"/>
      <c r="B125" s="576">
        <v>0.4</v>
      </c>
      <c r="C125" s="548">
        <f t="shared" ref="C125:J125" si="36">(+C126*2)*0.4</f>
        <v>15040</v>
      </c>
      <c r="D125" s="548">
        <f t="shared" si="36"/>
        <v>17160</v>
      </c>
      <c r="E125" s="548">
        <f t="shared" si="36"/>
        <v>19320</v>
      </c>
      <c r="F125" s="548">
        <f t="shared" si="36"/>
        <v>21440</v>
      </c>
      <c r="G125" s="548">
        <f t="shared" si="36"/>
        <v>23160</v>
      </c>
      <c r="H125" s="548">
        <f t="shared" si="36"/>
        <v>24880</v>
      </c>
      <c r="I125" s="548">
        <f t="shared" si="36"/>
        <v>26600</v>
      </c>
      <c r="J125" s="548">
        <f t="shared" si="36"/>
        <v>28320</v>
      </c>
      <c r="K125" s="575"/>
      <c r="L125" s="578"/>
      <c r="M125" s="578"/>
      <c r="N125" s="578"/>
      <c r="O125" s="578"/>
    </row>
    <row r="126" spans="1:15">
      <c r="A126" s="572"/>
      <c r="B126" s="576">
        <v>0.5</v>
      </c>
      <c r="C126" s="574">
        <v>18800</v>
      </c>
      <c r="D126" s="574">
        <v>21450</v>
      </c>
      <c r="E126" s="574">
        <v>24150</v>
      </c>
      <c r="F126" s="574">
        <v>26800</v>
      </c>
      <c r="G126" s="574">
        <v>28950</v>
      </c>
      <c r="H126" s="574">
        <v>31100</v>
      </c>
      <c r="I126" s="574">
        <v>33250</v>
      </c>
      <c r="J126" s="574">
        <v>35400</v>
      </c>
      <c r="K126" s="575"/>
      <c r="L126" s="578"/>
      <c r="M126" s="578"/>
      <c r="N126" s="578"/>
      <c r="O126" s="578"/>
    </row>
    <row r="127" spans="1:15">
      <c r="A127" s="572"/>
      <c r="B127" s="576">
        <v>0.6</v>
      </c>
      <c r="C127" s="548">
        <f t="shared" ref="C127:J127" si="37">(+C126*2)*0.6</f>
        <v>22560</v>
      </c>
      <c r="D127" s="548">
        <f t="shared" si="37"/>
        <v>25740</v>
      </c>
      <c r="E127" s="548">
        <f t="shared" si="37"/>
        <v>28980</v>
      </c>
      <c r="F127" s="548">
        <f t="shared" si="37"/>
        <v>32160</v>
      </c>
      <c r="G127" s="548">
        <f t="shared" si="37"/>
        <v>34740</v>
      </c>
      <c r="H127" s="548">
        <f t="shared" si="37"/>
        <v>37320</v>
      </c>
      <c r="I127" s="548">
        <f t="shared" si="37"/>
        <v>39900</v>
      </c>
      <c r="J127" s="548">
        <f t="shared" si="37"/>
        <v>42480</v>
      </c>
      <c r="K127" s="575"/>
      <c r="L127" s="578"/>
      <c r="M127" s="578"/>
      <c r="N127" s="578"/>
      <c r="O127" s="578"/>
    </row>
    <row r="128" spans="1:15">
      <c r="A128" s="572"/>
      <c r="B128" s="576">
        <v>0.8</v>
      </c>
      <c r="C128" s="574">
        <v>30050</v>
      </c>
      <c r="D128" s="574">
        <v>34350</v>
      </c>
      <c r="E128" s="574">
        <v>38650</v>
      </c>
      <c r="F128" s="574">
        <v>42900</v>
      </c>
      <c r="G128" s="574">
        <v>46350</v>
      </c>
      <c r="H128" s="574">
        <v>49800</v>
      </c>
      <c r="I128" s="574">
        <v>53200</v>
      </c>
      <c r="J128" s="574">
        <v>56650</v>
      </c>
      <c r="K128" s="575"/>
      <c r="L128" s="578"/>
      <c r="M128" s="578"/>
      <c r="N128" s="578"/>
      <c r="O128" s="578"/>
    </row>
    <row r="129" spans="1:15">
      <c r="A129" s="572"/>
      <c r="B129" s="579"/>
      <c r="C129" s="548"/>
      <c r="D129" s="548"/>
      <c r="E129" s="548"/>
      <c r="F129" s="548"/>
      <c r="G129" s="548"/>
      <c r="H129" s="548"/>
      <c r="I129" s="548"/>
      <c r="J129" s="548"/>
      <c r="K129" s="575"/>
      <c r="L129" s="578"/>
      <c r="M129" s="578"/>
      <c r="N129" s="578"/>
      <c r="O129" s="578"/>
    </row>
    <row r="130" spans="1:15">
      <c r="A130" s="572" t="s">
        <v>291</v>
      </c>
      <c r="B130" s="576">
        <v>0.3</v>
      </c>
      <c r="C130" s="574">
        <v>11100</v>
      </c>
      <c r="D130" s="574">
        <v>12650</v>
      </c>
      <c r="E130" s="574">
        <v>14250</v>
      </c>
      <c r="F130" s="574">
        <v>15800</v>
      </c>
      <c r="G130" s="574">
        <v>17100</v>
      </c>
      <c r="H130" s="574">
        <v>18350</v>
      </c>
      <c r="I130" s="574">
        <v>19600</v>
      </c>
      <c r="J130" s="574">
        <v>20900</v>
      </c>
      <c r="K130" s="575"/>
    </row>
    <row r="131" spans="1:15">
      <c r="A131" s="572"/>
      <c r="B131" s="576">
        <v>0.4</v>
      </c>
      <c r="C131" s="548">
        <f t="shared" ref="C131:J131" si="38">(+C132*2)*0.4</f>
        <v>14760</v>
      </c>
      <c r="D131" s="548">
        <f t="shared" si="38"/>
        <v>16880</v>
      </c>
      <c r="E131" s="548">
        <f t="shared" si="38"/>
        <v>19000</v>
      </c>
      <c r="F131" s="548">
        <f t="shared" si="38"/>
        <v>21080</v>
      </c>
      <c r="G131" s="548">
        <f t="shared" si="38"/>
        <v>22800</v>
      </c>
      <c r="H131" s="548">
        <f t="shared" si="38"/>
        <v>24480</v>
      </c>
      <c r="I131" s="548">
        <f t="shared" si="38"/>
        <v>26160</v>
      </c>
      <c r="J131" s="548">
        <f t="shared" si="38"/>
        <v>27840</v>
      </c>
      <c r="K131" s="575"/>
      <c r="L131" s="578"/>
      <c r="M131" s="578"/>
      <c r="N131" s="578"/>
      <c r="O131" s="578"/>
    </row>
    <row r="132" spans="1:15">
      <c r="A132" s="572"/>
      <c r="B132" s="576">
        <v>0.5</v>
      </c>
      <c r="C132" s="574">
        <v>18450</v>
      </c>
      <c r="D132" s="574">
        <v>21100</v>
      </c>
      <c r="E132" s="574">
        <v>23750</v>
      </c>
      <c r="F132" s="574">
        <v>26350</v>
      </c>
      <c r="G132" s="574">
        <v>28500</v>
      </c>
      <c r="H132" s="574">
        <v>30600</v>
      </c>
      <c r="I132" s="574">
        <v>32700</v>
      </c>
      <c r="J132" s="574">
        <v>34800</v>
      </c>
      <c r="K132" s="575"/>
      <c r="L132" s="578"/>
      <c r="M132" s="578"/>
      <c r="N132" s="578"/>
      <c r="O132" s="578"/>
    </row>
    <row r="133" spans="1:15">
      <c r="A133" s="572"/>
      <c r="B133" s="576">
        <v>0.6</v>
      </c>
      <c r="C133" s="548">
        <f t="shared" ref="C133:J133" si="39">(+C132*2)*0.6</f>
        <v>22140</v>
      </c>
      <c r="D133" s="548">
        <f t="shared" si="39"/>
        <v>25320</v>
      </c>
      <c r="E133" s="548">
        <f t="shared" si="39"/>
        <v>28500</v>
      </c>
      <c r="F133" s="548">
        <f t="shared" si="39"/>
        <v>31620</v>
      </c>
      <c r="G133" s="548">
        <f t="shared" si="39"/>
        <v>34200</v>
      </c>
      <c r="H133" s="548">
        <f t="shared" si="39"/>
        <v>36720</v>
      </c>
      <c r="I133" s="548">
        <f t="shared" si="39"/>
        <v>39240</v>
      </c>
      <c r="J133" s="548">
        <f t="shared" si="39"/>
        <v>41760</v>
      </c>
      <c r="K133" s="575"/>
      <c r="L133" s="578"/>
      <c r="M133" s="578"/>
      <c r="N133" s="578"/>
      <c r="O133" s="578"/>
    </row>
    <row r="134" spans="1:15">
      <c r="A134" s="572"/>
      <c r="B134" s="576">
        <v>0.8</v>
      </c>
      <c r="C134" s="574">
        <v>29550</v>
      </c>
      <c r="D134" s="574">
        <v>33750</v>
      </c>
      <c r="E134" s="574">
        <v>37950</v>
      </c>
      <c r="F134" s="574">
        <v>42150</v>
      </c>
      <c r="G134" s="574">
        <v>45550</v>
      </c>
      <c r="H134" s="574">
        <v>48900</v>
      </c>
      <c r="I134" s="574">
        <v>52300</v>
      </c>
      <c r="J134" s="574">
        <v>55650</v>
      </c>
      <c r="K134" s="575"/>
      <c r="L134" s="578"/>
      <c r="M134" s="578"/>
      <c r="N134" s="578"/>
      <c r="O134" s="578"/>
    </row>
    <row r="135" spans="1:15">
      <c r="A135" s="572"/>
      <c r="B135" s="579"/>
      <c r="C135" s="548"/>
      <c r="D135" s="548"/>
      <c r="E135" s="548"/>
      <c r="F135" s="548"/>
      <c r="G135" s="548"/>
      <c r="H135" s="548"/>
      <c r="I135" s="548"/>
      <c r="J135" s="548"/>
      <c r="K135" s="575"/>
      <c r="L135" s="578"/>
      <c r="M135" s="578"/>
      <c r="N135" s="578"/>
      <c r="O135" s="578"/>
    </row>
    <row r="136" spans="1:15">
      <c r="A136" s="572" t="s">
        <v>292</v>
      </c>
      <c r="B136" s="576">
        <v>0.3</v>
      </c>
      <c r="C136" s="574">
        <v>11200</v>
      </c>
      <c r="D136" s="574">
        <v>12800</v>
      </c>
      <c r="E136" s="574">
        <v>14400</v>
      </c>
      <c r="F136" s="574">
        <v>15950</v>
      </c>
      <c r="G136" s="574">
        <v>17250</v>
      </c>
      <c r="H136" s="574">
        <v>18550</v>
      </c>
      <c r="I136" s="574">
        <v>19800</v>
      </c>
      <c r="J136" s="574">
        <v>21100</v>
      </c>
      <c r="K136" s="575"/>
    </row>
    <row r="137" spans="1:15">
      <c r="A137" s="572"/>
      <c r="B137" s="576">
        <v>0.4</v>
      </c>
      <c r="C137" s="548">
        <f t="shared" ref="C137:J137" si="40">(+C138*2)*0.4</f>
        <v>14880</v>
      </c>
      <c r="D137" s="548">
        <f t="shared" si="40"/>
        <v>17000</v>
      </c>
      <c r="E137" s="548">
        <f t="shared" si="40"/>
        <v>19120</v>
      </c>
      <c r="F137" s="548">
        <f t="shared" si="40"/>
        <v>21240</v>
      </c>
      <c r="G137" s="548">
        <f t="shared" si="40"/>
        <v>22960</v>
      </c>
      <c r="H137" s="548">
        <f t="shared" si="40"/>
        <v>24640</v>
      </c>
      <c r="I137" s="548">
        <f t="shared" si="40"/>
        <v>26360</v>
      </c>
      <c r="J137" s="548">
        <f t="shared" si="40"/>
        <v>28040</v>
      </c>
      <c r="K137" s="575"/>
      <c r="L137" s="578"/>
      <c r="M137" s="578"/>
      <c r="N137" s="578"/>
      <c r="O137" s="578"/>
    </row>
    <row r="138" spans="1:15">
      <c r="A138" s="572"/>
      <c r="B138" s="576">
        <v>0.5</v>
      </c>
      <c r="C138" s="574">
        <v>18600</v>
      </c>
      <c r="D138" s="574">
        <v>21250</v>
      </c>
      <c r="E138" s="574">
        <v>23900</v>
      </c>
      <c r="F138" s="574">
        <v>26550</v>
      </c>
      <c r="G138" s="574">
        <v>28700</v>
      </c>
      <c r="H138" s="574">
        <v>30800</v>
      </c>
      <c r="I138" s="574">
        <v>32950</v>
      </c>
      <c r="J138" s="574">
        <v>35050</v>
      </c>
      <c r="K138" s="575"/>
      <c r="L138" s="578"/>
      <c r="M138" s="578"/>
      <c r="N138" s="578"/>
      <c r="O138" s="578"/>
    </row>
    <row r="139" spans="1:15">
      <c r="A139" s="572"/>
      <c r="B139" s="576">
        <v>0.6</v>
      </c>
      <c r="C139" s="548">
        <f t="shared" ref="C139:J139" si="41">(+C138*2)*0.6</f>
        <v>22320</v>
      </c>
      <c r="D139" s="548">
        <f t="shared" si="41"/>
        <v>25500</v>
      </c>
      <c r="E139" s="548">
        <f t="shared" si="41"/>
        <v>28680</v>
      </c>
      <c r="F139" s="548">
        <f t="shared" si="41"/>
        <v>31860</v>
      </c>
      <c r="G139" s="548">
        <f t="shared" si="41"/>
        <v>34440</v>
      </c>
      <c r="H139" s="548">
        <f t="shared" si="41"/>
        <v>36960</v>
      </c>
      <c r="I139" s="548">
        <f t="shared" si="41"/>
        <v>39540</v>
      </c>
      <c r="J139" s="548">
        <f t="shared" si="41"/>
        <v>42060</v>
      </c>
      <c r="K139" s="575"/>
      <c r="L139" s="578"/>
      <c r="M139" s="578"/>
      <c r="N139" s="578"/>
      <c r="O139" s="578"/>
    </row>
    <row r="140" spans="1:15">
      <c r="A140" s="572"/>
      <c r="B140" s="576">
        <v>0.8</v>
      </c>
      <c r="C140" s="574">
        <v>29750</v>
      </c>
      <c r="D140" s="574">
        <v>34000</v>
      </c>
      <c r="E140" s="574">
        <v>38250</v>
      </c>
      <c r="F140" s="574">
        <v>42500</v>
      </c>
      <c r="G140" s="574">
        <v>45900</v>
      </c>
      <c r="H140" s="574">
        <v>49300</v>
      </c>
      <c r="I140" s="574">
        <v>52700</v>
      </c>
      <c r="J140" s="574">
        <v>56100</v>
      </c>
      <c r="K140" s="575"/>
      <c r="L140" s="578"/>
      <c r="M140" s="578"/>
      <c r="N140" s="578"/>
      <c r="O140" s="578"/>
    </row>
    <row r="141" spans="1:15">
      <c r="A141" s="572"/>
      <c r="B141" s="579"/>
      <c r="C141" s="548"/>
      <c r="D141" s="548"/>
      <c r="E141" s="548"/>
      <c r="F141" s="548"/>
      <c r="G141" s="548"/>
      <c r="H141" s="548"/>
      <c r="I141" s="548"/>
      <c r="J141" s="548"/>
      <c r="K141" s="575"/>
      <c r="L141" s="578"/>
      <c r="M141" s="578"/>
      <c r="N141" s="578"/>
      <c r="O141" s="578"/>
    </row>
    <row r="142" spans="1:15">
      <c r="A142" s="572" t="s">
        <v>293</v>
      </c>
      <c r="B142" s="576">
        <v>0.3</v>
      </c>
      <c r="C142" s="574">
        <v>12150</v>
      </c>
      <c r="D142" s="574">
        <v>13900</v>
      </c>
      <c r="E142" s="574">
        <v>15650</v>
      </c>
      <c r="F142" s="574">
        <v>17350</v>
      </c>
      <c r="G142" s="574">
        <v>18750</v>
      </c>
      <c r="H142" s="574">
        <v>20150</v>
      </c>
      <c r="I142" s="574">
        <v>21550</v>
      </c>
      <c r="J142" s="574">
        <v>22950</v>
      </c>
      <c r="K142" s="575"/>
    </row>
    <row r="143" spans="1:15">
      <c r="A143" s="572"/>
      <c r="B143" s="576">
        <v>0.4</v>
      </c>
      <c r="C143" s="548">
        <f t="shared" ref="C143:J143" si="42">(+C144*2)*0.4</f>
        <v>16240</v>
      </c>
      <c r="D143" s="548">
        <f t="shared" si="42"/>
        <v>18560</v>
      </c>
      <c r="E143" s="548">
        <f t="shared" si="42"/>
        <v>20880</v>
      </c>
      <c r="F143" s="548">
        <f t="shared" si="42"/>
        <v>23160</v>
      </c>
      <c r="G143" s="548">
        <f t="shared" si="42"/>
        <v>25040</v>
      </c>
      <c r="H143" s="548">
        <f t="shared" si="42"/>
        <v>26880</v>
      </c>
      <c r="I143" s="548">
        <f t="shared" si="42"/>
        <v>28720</v>
      </c>
      <c r="J143" s="548">
        <f t="shared" si="42"/>
        <v>30600</v>
      </c>
      <c r="K143" s="575"/>
      <c r="L143" s="578"/>
      <c r="M143" s="578"/>
      <c r="N143" s="578"/>
      <c r="O143" s="578"/>
    </row>
    <row r="144" spans="1:15">
      <c r="A144" s="572"/>
      <c r="B144" s="576">
        <v>0.5</v>
      </c>
      <c r="C144" s="574">
        <v>20300</v>
      </c>
      <c r="D144" s="574">
        <v>23200</v>
      </c>
      <c r="E144" s="574">
        <v>26100</v>
      </c>
      <c r="F144" s="574">
        <v>28950</v>
      </c>
      <c r="G144" s="574">
        <v>31300</v>
      </c>
      <c r="H144" s="574">
        <v>33600</v>
      </c>
      <c r="I144" s="574">
        <v>35900</v>
      </c>
      <c r="J144" s="574">
        <v>38250</v>
      </c>
      <c r="K144" s="575"/>
      <c r="L144" s="578"/>
      <c r="M144" s="578"/>
      <c r="N144" s="578"/>
      <c r="O144" s="578"/>
    </row>
    <row r="145" spans="1:15">
      <c r="A145" s="572"/>
      <c r="B145" s="576">
        <v>0.6</v>
      </c>
      <c r="C145" s="548">
        <f t="shared" ref="C145:J145" si="43">(+C144*2)*0.6</f>
        <v>24360</v>
      </c>
      <c r="D145" s="548">
        <f t="shared" si="43"/>
        <v>27840</v>
      </c>
      <c r="E145" s="548">
        <f t="shared" si="43"/>
        <v>31320</v>
      </c>
      <c r="F145" s="548">
        <f t="shared" si="43"/>
        <v>34740</v>
      </c>
      <c r="G145" s="548">
        <f t="shared" si="43"/>
        <v>37560</v>
      </c>
      <c r="H145" s="548">
        <f t="shared" si="43"/>
        <v>40320</v>
      </c>
      <c r="I145" s="548">
        <f t="shared" si="43"/>
        <v>43080</v>
      </c>
      <c r="J145" s="548">
        <f t="shared" si="43"/>
        <v>45900</v>
      </c>
      <c r="K145" s="575"/>
      <c r="L145" s="578"/>
      <c r="M145" s="578"/>
      <c r="N145" s="578"/>
      <c r="O145" s="578"/>
    </row>
    <row r="146" spans="1:15">
      <c r="A146" s="572"/>
      <c r="B146" s="576">
        <v>0.8</v>
      </c>
      <c r="C146" s="574">
        <v>32450</v>
      </c>
      <c r="D146" s="574">
        <v>37050</v>
      </c>
      <c r="E146" s="574">
        <v>41700</v>
      </c>
      <c r="F146" s="574">
        <v>46300</v>
      </c>
      <c r="G146" s="574">
        <v>50050</v>
      </c>
      <c r="H146" s="574">
        <v>53750</v>
      </c>
      <c r="I146" s="574">
        <v>57450</v>
      </c>
      <c r="J146" s="574">
        <v>61150</v>
      </c>
      <c r="K146" s="575"/>
      <c r="L146" s="578"/>
      <c r="M146" s="578"/>
      <c r="N146" s="578"/>
      <c r="O146" s="578"/>
    </row>
    <row r="147" spans="1:15">
      <c r="A147" s="572"/>
      <c r="B147" s="579"/>
      <c r="C147" s="548"/>
      <c r="D147" s="548"/>
      <c r="E147" s="548"/>
      <c r="F147" s="548"/>
      <c r="G147" s="548"/>
      <c r="H147" s="548"/>
      <c r="I147" s="548"/>
      <c r="J147" s="548"/>
      <c r="K147" s="575"/>
      <c r="L147" s="578"/>
      <c r="M147" s="578"/>
      <c r="N147" s="578"/>
      <c r="O147" s="578"/>
    </row>
    <row r="148" spans="1:15">
      <c r="A148" s="572" t="s">
        <v>294</v>
      </c>
      <c r="B148" s="576">
        <v>0.3</v>
      </c>
      <c r="C148" s="574">
        <v>11100</v>
      </c>
      <c r="D148" s="574">
        <v>12650</v>
      </c>
      <c r="E148" s="574">
        <v>14250</v>
      </c>
      <c r="F148" s="574">
        <v>15800</v>
      </c>
      <c r="G148" s="574">
        <v>17100</v>
      </c>
      <c r="H148" s="574">
        <v>18350</v>
      </c>
      <c r="I148" s="574">
        <v>19600</v>
      </c>
      <c r="J148" s="574">
        <v>20900</v>
      </c>
      <c r="K148" s="575"/>
    </row>
    <row r="149" spans="1:15">
      <c r="A149" s="572"/>
      <c r="B149" s="576">
        <v>0.4</v>
      </c>
      <c r="C149" s="548">
        <f t="shared" ref="C149:J149" si="44">(+C150*2)*0.4</f>
        <v>14760</v>
      </c>
      <c r="D149" s="548">
        <f t="shared" si="44"/>
        <v>16880</v>
      </c>
      <c r="E149" s="548">
        <f t="shared" si="44"/>
        <v>19000</v>
      </c>
      <c r="F149" s="548">
        <f t="shared" si="44"/>
        <v>21080</v>
      </c>
      <c r="G149" s="548">
        <f t="shared" si="44"/>
        <v>22800</v>
      </c>
      <c r="H149" s="548">
        <f t="shared" si="44"/>
        <v>24480</v>
      </c>
      <c r="I149" s="548">
        <f t="shared" si="44"/>
        <v>26160</v>
      </c>
      <c r="J149" s="548">
        <f t="shared" si="44"/>
        <v>27840</v>
      </c>
      <c r="K149" s="575"/>
      <c r="L149" s="578"/>
      <c r="M149" s="578"/>
      <c r="N149" s="578"/>
      <c r="O149" s="578"/>
    </row>
    <row r="150" spans="1:15">
      <c r="A150" s="572"/>
      <c r="B150" s="576">
        <v>0.5</v>
      </c>
      <c r="C150" s="574">
        <v>18450</v>
      </c>
      <c r="D150" s="574">
        <v>21100</v>
      </c>
      <c r="E150" s="574">
        <v>23750</v>
      </c>
      <c r="F150" s="574">
        <v>26350</v>
      </c>
      <c r="G150" s="574">
        <v>28500</v>
      </c>
      <c r="H150" s="574">
        <v>30600</v>
      </c>
      <c r="I150" s="574">
        <v>32700</v>
      </c>
      <c r="J150" s="574">
        <v>34800</v>
      </c>
      <c r="K150" s="575"/>
      <c r="L150" s="578"/>
      <c r="M150" s="578"/>
      <c r="N150" s="578"/>
      <c r="O150" s="578"/>
    </row>
    <row r="151" spans="1:15">
      <c r="A151" s="572"/>
      <c r="B151" s="576">
        <v>0.6</v>
      </c>
      <c r="C151" s="548">
        <f t="shared" ref="C151:J151" si="45">(+C150*2)*0.6</f>
        <v>22140</v>
      </c>
      <c r="D151" s="548">
        <f t="shared" si="45"/>
        <v>25320</v>
      </c>
      <c r="E151" s="548">
        <f t="shared" si="45"/>
        <v>28500</v>
      </c>
      <c r="F151" s="548">
        <f t="shared" si="45"/>
        <v>31620</v>
      </c>
      <c r="G151" s="548">
        <f t="shared" si="45"/>
        <v>34200</v>
      </c>
      <c r="H151" s="548">
        <f t="shared" si="45"/>
        <v>36720</v>
      </c>
      <c r="I151" s="548">
        <f t="shared" si="45"/>
        <v>39240</v>
      </c>
      <c r="J151" s="548">
        <f t="shared" si="45"/>
        <v>41760</v>
      </c>
      <c r="K151" s="575"/>
      <c r="L151" s="578"/>
      <c r="M151" s="578"/>
      <c r="N151" s="578"/>
      <c r="O151" s="578"/>
    </row>
    <row r="152" spans="1:15">
      <c r="A152" s="572"/>
      <c r="B152" s="576">
        <v>0.8</v>
      </c>
      <c r="C152" s="574">
        <v>29550</v>
      </c>
      <c r="D152" s="574">
        <v>33750</v>
      </c>
      <c r="E152" s="574">
        <v>37950</v>
      </c>
      <c r="F152" s="574">
        <v>42150</v>
      </c>
      <c r="G152" s="574">
        <v>45550</v>
      </c>
      <c r="H152" s="574">
        <v>48900</v>
      </c>
      <c r="I152" s="574">
        <v>52300</v>
      </c>
      <c r="J152" s="574">
        <v>55650</v>
      </c>
      <c r="K152" s="575"/>
      <c r="L152" s="578"/>
      <c r="M152" s="578"/>
      <c r="N152" s="578"/>
      <c r="O152" s="578"/>
    </row>
    <row r="153" spans="1:15">
      <c r="A153" s="572"/>
      <c r="B153" s="579"/>
      <c r="C153" s="548"/>
      <c r="D153" s="548"/>
      <c r="E153" s="548"/>
      <c r="F153" s="548"/>
      <c r="G153" s="548"/>
      <c r="H153" s="548"/>
      <c r="I153" s="548"/>
      <c r="J153" s="548"/>
      <c r="K153" s="575"/>
      <c r="L153" s="578"/>
      <c r="M153" s="578"/>
      <c r="N153" s="578"/>
      <c r="O153" s="578"/>
    </row>
    <row r="154" spans="1:15">
      <c r="A154" s="572"/>
      <c r="B154" s="576"/>
      <c r="C154" s="548"/>
      <c r="D154" s="548"/>
      <c r="E154" s="548"/>
      <c r="F154" s="548"/>
      <c r="G154" s="548"/>
      <c r="H154" s="548"/>
      <c r="I154" s="548"/>
      <c r="J154" s="548"/>
      <c r="K154" s="575"/>
      <c r="L154" s="578"/>
      <c r="M154" s="578"/>
      <c r="N154" s="578"/>
      <c r="O154" s="578"/>
    </row>
    <row r="155" spans="1:15">
      <c r="A155" s="565" t="s">
        <v>186</v>
      </c>
      <c r="B155" s="566" t="s">
        <v>372</v>
      </c>
      <c r="C155" s="565" t="s">
        <v>33</v>
      </c>
      <c r="D155" s="565" t="s">
        <v>34</v>
      </c>
      <c r="E155" s="565" t="s">
        <v>35</v>
      </c>
      <c r="F155" s="565" t="s">
        <v>36</v>
      </c>
      <c r="G155" s="565" t="s">
        <v>37</v>
      </c>
      <c r="H155" s="565" t="s">
        <v>38</v>
      </c>
      <c r="I155" s="565" t="s">
        <v>188</v>
      </c>
      <c r="J155" s="565" t="s">
        <v>189</v>
      </c>
      <c r="K155" s="567"/>
      <c r="L155" s="578"/>
      <c r="M155" s="578"/>
      <c r="N155" s="578"/>
      <c r="O155" s="578"/>
    </row>
    <row r="156" spans="1:15">
      <c r="A156" s="568"/>
      <c r="B156" s="581"/>
      <c r="C156" s="568"/>
      <c r="D156" s="568"/>
      <c r="E156" s="568"/>
      <c r="F156" s="568"/>
      <c r="G156" s="568"/>
      <c r="H156" s="568"/>
      <c r="I156" s="568"/>
      <c r="J156" s="568"/>
      <c r="K156" s="567"/>
      <c r="L156" s="578"/>
      <c r="M156" s="578"/>
      <c r="N156" s="578"/>
      <c r="O156" s="578"/>
    </row>
    <row r="157" spans="1:15">
      <c r="A157" s="572" t="s">
        <v>295</v>
      </c>
      <c r="B157" s="576">
        <v>0.3</v>
      </c>
      <c r="C157" s="574">
        <v>11100</v>
      </c>
      <c r="D157" s="574">
        <v>12650</v>
      </c>
      <c r="E157" s="574">
        <v>14250</v>
      </c>
      <c r="F157" s="574">
        <v>15800</v>
      </c>
      <c r="G157" s="574">
        <v>17100</v>
      </c>
      <c r="H157" s="574">
        <v>18350</v>
      </c>
      <c r="I157" s="574">
        <v>19600</v>
      </c>
      <c r="J157" s="574">
        <v>20900</v>
      </c>
      <c r="K157" s="575"/>
    </row>
    <row r="158" spans="1:15">
      <c r="A158" s="572"/>
      <c r="B158" s="576">
        <v>0.4</v>
      </c>
      <c r="C158" s="548">
        <f t="shared" ref="C158:J158" si="46">(+C159*2)*0.4</f>
        <v>14760</v>
      </c>
      <c r="D158" s="548">
        <f t="shared" si="46"/>
        <v>16880</v>
      </c>
      <c r="E158" s="548">
        <f t="shared" si="46"/>
        <v>19000</v>
      </c>
      <c r="F158" s="548">
        <f t="shared" si="46"/>
        <v>21080</v>
      </c>
      <c r="G158" s="548">
        <f t="shared" si="46"/>
        <v>22800</v>
      </c>
      <c r="H158" s="548">
        <f t="shared" si="46"/>
        <v>24480</v>
      </c>
      <c r="I158" s="548">
        <f t="shared" si="46"/>
        <v>26160</v>
      </c>
      <c r="J158" s="548">
        <f t="shared" si="46"/>
        <v>27840</v>
      </c>
      <c r="K158" s="575"/>
      <c r="L158" s="578"/>
      <c r="M158" s="578"/>
      <c r="N158" s="578"/>
      <c r="O158" s="578"/>
    </row>
    <row r="159" spans="1:15">
      <c r="A159" s="572"/>
      <c r="B159" s="576">
        <v>0.5</v>
      </c>
      <c r="C159" s="574">
        <v>18450</v>
      </c>
      <c r="D159" s="574">
        <v>21100</v>
      </c>
      <c r="E159" s="574">
        <v>23750</v>
      </c>
      <c r="F159" s="574">
        <v>26350</v>
      </c>
      <c r="G159" s="574">
        <v>28500</v>
      </c>
      <c r="H159" s="574">
        <v>30600</v>
      </c>
      <c r="I159" s="574">
        <v>32700</v>
      </c>
      <c r="J159" s="574">
        <v>34800</v>
      </c>
      <c r="K159" s="575"/>
      <c r="L159" s="578"/>
      <c r="M159" s="578"/>
      <c r="N159" s="578"/>
      <c r="O159" s="578"/>
    </row>
    <row r="160" spans="1:15">
      <c r="A160" s="572"/>
      <c r="B160" s="576">
        <v>0.6</v>
      </c>
      <c r="C160" s="548">
        <f t="shared" ref="C160:J160" si="47">(+C159*2)*0.6</f>
        <v>22140</v>
      </c>
      <c r="D160" s="548">
        <f t="shared" si="47"/>
        <v>25320</v>
      </c>
      <c r="E160" s="548">
        <f t="shared" si="47"/>
        <v>28500</v>
      </c>
      <c r="F160" s="548">
        <f t="shared" si="47"/>
        <v>31620</v>
      </c>
      <c r="G160" s="548">
        <f t="shared" si="47"/>
        <v>34200</v>
      </c>
      <c r="H160" s="548">
        <f t="shared" si="47"/>
        <v>36720</v>
      </c>
      <c r="I160" s="548">
        <f t="shared" si="47"/>
        <v>39240</v>
      </c>
      <c r="J160" s="548">
        <f t="shared" si="47"/>
        <v>41760</v>
      </c>
      <c r="K160" s="575"/>
      <c r="L160" s="578"/>
      <c r="M160" s="578"/>
      <c r="N160" s="578"/>
      <c r="O160" s="578"/>
    </row>
    <row r="161" spans="1:15">
      <c r="A161" s="572"/>
      <c r="B161" s="576">
        <v>0.8</v>
      </c>
      <c r="C161" s="574">
        <v>29550</v>
      </c>
      <c r="D161" s="574">
        <v>33750</v>
      </c>
      <c r="E161" s="574">
        <v>37950</v>
      </c>
      <c r="F161" s="574">
        <v>42150</v>
      </c>
      <c r="G161" s="574">
        <v>45550</v>
      </c>
      <c r="H161" s="574">
        <v>48900</v>
      </c>
      <c r="I161" s="574">
        <v>52300</v>
      </c>
      <c r="J161" s="574">
        <v>55650</v>
      </c>
      <c r="K161" s="575"/>
      <c r="L161" s="578"/>
      <c r="M161" s="578"/>
      <c r="N161" s="578"/>
      <c r="O161" s="578"/>
    </row>
    <row r="162" spans="1:15">
      <c r="A162" s="568"/>
      <c r="B162" s="581"/>
      <c r="C162" s="584"/>
      <c r="D162" s="584"/>
      <c r="E162" s="584"/>
      <c r="F162" s="584"/>
      <c r="G162" s="584"/>
      <c r="H162" s="584"/>
      <c r="I162" s="584"/>
      <c r="J162" s="584"/>
      <c r="K162" s="567"/>
      <c r="L162" s="578"/>
      <c r="M162" s="578"/>
      <c r="N162" s="578"/>
      <c r="O162" s="578"/>
    </row>
    <row r="163" spans="1:15">
      <c r="A163" s="572" t="s">
        <v>296</v>
      </c>
      <c r="B163" s="576">
        <v>0.3</v>
      </c>
      <c r="C163" s="574">
        <v>11100</v>
      </c>
      <c r="D163" s="574">
        <v>12650</v>
      </c>
      <c r="E163" s="574">
        <v>14250</v>
      </c>
      <c r="F163" s="574">
        <v>15800</v>
      </c>
      <c r="G163" s="574">
        <v>17100</v>
      </c>
      <c r="H163" s="574">
        <v>18350</v>
      </c>
      <c r="I163" s="574">
        <v>19600</v>
      </c>
      <c r="J163" s="574">
        <v>20900</v>
      </c>
      <c r="K163" s="575"/>
    </row>
    <row r="164" spans="1:15">
      <c r="A164" s="572"/>
      <c r="B164" s="576">
        <v>0.4</v>
      </c>
      <c r="C164" s="548">
        <f t="shared" ref="C164:J164" si="48">(+C165*2)*0.4</f>
        <v>14760</v>
      </c>
      <c r="D164" s="548">
        <f t="shared" si="48"/>
        <v>16880</v>
      </c>
      <c r="E164" s="548">
        <f t="shared" si="48"/>
        <v>19000</v>
      </c>
      <c r="F164" s="548">
        <f t="shared" si="48"/>
        <v>21080</v>
      </c>
      <c r="G164" s="548">
        <f t="shared" si="48"/>
        <v>22800</v>
      </c>
      <c r="H164" s="548">
        <f t="shared" si="48"/>
        <v>24480</v>
      </c>
      <c r="I164" s="548">
        <f t="shared" si="48"/>
        <v>26160</v>
      </c>
      <c r="J164" s="548">
        <f t="shared" si="48"/>
        <v>27840</v>
      </c>
      <c r="K164" s="575"/>
      <c r="L164" s="578"/>
      <c r="M164" s="578"/>
      <c r="N164" s="578"/>
      <c r="O164" s="578"/>
    </row>
    <row r="165" spans="1:15">
      <c r="A165" s="572"/>
      <c r="B165" s="576">
        <v>0.5</v>
      </c>
      <c r="C165" s="574">
        <v>18450</v>
      </c>
      <c r="D165" s="574">
        <v>21100</v>
      </c>
      <c r="E165" s="574">
        <v>23750</v>
      </c>
      <c r="F165" s="574">
        <v>26350</v>
      </c>
      <c r="G165" s="574">
        <v>28500</v>
      </c>
      <c r="H165" s="574">
        <v>30600</v>
      </c>
      <c r="I165" s="574">
        <v>32700</v>
      </c>
      <c r="J165" s="574">
        <v>34800</v>
      </c>
      <c r="K165" s="575"/>
      <c r="L165" s="578"/>
      <c r="M165" s="578"/>
      <c r="N165" s="578"/>
      <c r="O165" s="578"/>
    </row>
    <row r="166" spans="1:15">
      <c r="A166" s="572"/>
      <c r="B166" s="576">
        <v>0.6</v>
      </c>
      <c r="C166" s="548">
        <f t="shared" ref="C166:J166" si="49">(+C165*2)*0.6</f>
        <v>22140</v>
      </c>
      <c r="D166" s="548">
        <f t="shared" si="49"/>
        <v>25320</v>
      </c>
      <c r="E166" s="548">
        <f t="shared" si="49"/>
        <v>28500</v>
      </c>
      <c r="F166" s="548">
        <f t="shared" si="49"/>
        <v>31620</v>
      </c>
      <c r="G166" s="548">
        <f t="shared" si="49"/>
        <v>34200</v>
      </c>
      <c r="H166" s="548">
        <f t="shared" si="49"/>
        <v>36720</v>
      </c>
      <c r="I166" s="548">
        <f t="shared" si="49"/>
        <v>39240</v>
      </c>
      <c r="J166" s="548">
        <f t="shared" si="49"/>
        <v>41760</v>
      </c>
      <c r="K166" s="575"/>
      <c r="L166" s="578"/>
      <c r="M166" s="578"/>
      <c r="N166" s="578"/>
      <c r="O166" s="578"/>
    </row>
    <row r="167" spans="1:15">
      <c r="A167" s="572"/>
      <c r="B167" s="576">
        <v>0.8</v>
      </c>
      <c r="C167" s="580">
        <v>29550</v>
      </c>
      <c r="D167" s="580">
        <v>33750</v>
      </c>
      <c r="E167" s="580">
        <v>37950</v>
      </c>
      <c r="F167" s="580">
        <v>42150</v>
      </c>
      <c r="G167" s="580">
        <v>45550</v>
      </c>
      <c r="H167" s="580">
        <v>48900</v>
      </c>
      <c r="I167" s="580">
        <v>52300</v>
      </c>
      <c r="J167" s="580">
        <v>55650</v>
      </c>
      <c r="K167" s="575"/>
      <c r="L167" s="578"/>
      <c r="M167" s="578"/>
      <c r="N167" s="578"/>
      <c r="O167" s="578"/>
    </row>
    <row r="168" spans="1:15">
      <c r="A168" s="568"/>
      <c r="B168" s="581"/>
      <c r="C168" s="584"/>
      <c r="D168" s="584"/>
      <c r="E168" s="584"/>
      <c r="F168" s="584"/>
      <c r="G168" s="584"/>
      <c r="H168" s="584"/>
      <c r="I168" s="584"/>
      <c r="J168" s="584"/>
      <c r="K168" s="567"/>
      <c r="L168" s="578"/>
      <c r="M168" s="578"/>
      <c r="N168" s="578"/>
      <c r="O168" s="578"/>
    </row>
    <row r="169" spans="1:15">
      <c r="A169" s="572" t="s">
        <v>297</v>
      </c>
      <c r="B169" s="576">
        <v>0.3</v>
      </c>
      <c r="C169" s="583">
        <v>11250</v>
      </c>
      <c r="D169" s="583">
        <v>12850</v>
      </c>
      <c r="E169" s="583">
        <v>14450</v>
      </c>
      <c r="F169" s="583">
        <v>16050</v>
      </c>
      <c r="G169" s="583">
        <v>17350</v>
      </c>
      <c r="H169" s="583">
        <v>18650</v>
      </c>
      <c r="I169" s="583">
        <v>19950</v>
      </c>
      <c r="J169" s="583">
        <v>21200</v>
      </c>
      <c r="K169" s="575"/>
    </row>
    <row r="170" spans="1:15">
      <c r="A170" s="572"/>
      <c r="B170" s="576">
        <v>0.4</v>
      </c>
      <c r="C170" s="548">
        <f t="shared" ref="C170:J170" si="50">(+C171*2)*0.4</f>
        <v>15000</v>
      </c>
      <c r="D170" s="548">
        <f t="shared" si="50"/>
        <v>17120</v>
      </c>
      <c r="E170" s="548">
        <f t="shared" si="50"/>
        <v>19280</v>
      </c>
      <c r="F170" s="548">
        <f t="shared" si="50"/>
        <v>21400</v>
      </c>
      <c r="G170" s="548">
        <f t="shared" si="50"/>
        <v>23120</v>
      </c>
      <c r="H170" s="548">
        <f t="shared" si="50"/>
        <v>24840</v>
      </c>
      <c r="I170" s="548">
        <f t="shared" si="50"/>
        <v>26560</v>
      </c>
      <c r="J170" s="548">
        <f t="shared" si="50"/>
        <v>28280</v>
      </c>
      <c r="K170" s="575"/>
      <c r="L170" s="578"/>
      <c r="M170" s="578"/>
      <c r="N170" s="578"/>
      <c r="O170" s="578"/>
    </row>
    <row r="171" spans="1:15">
      <c r="A171" s="572"/>
      <c r="B171" s="576">
        <v>0.5</v>
      </c>
      <c r="C171" s="574">
        <v>18750</v>
      </c>
      <c r="D171" s="574">
        <v>21400</v>
      </c>
      <c r="E171" s="574">
        <v>24100</v>
      </c>
      <c r="F171" s="574">
        <v>26750</v>
      </c>
      <c r="G171" s="574">
        <v>28900</v>
      </c>
      <c r="H171" s="574">
        <v>31050</v>
      </c>
      <c r="I171" s="574">
        <v>33200</v>
      </c>
      <c r="J171" s="574">
        <v>35350</v>
      </c>
      <c r="K171" s="575"/>
      <c r="L171" s="578"/>
      <c r="M171" s="578"/>
      <c r="N171" s="578"/>
      <c r="O171" s="578"/>
    </row>
    <row r="172" spans="1:15">
      <c r="A172" s="572"/>
      <c r="B172" s="576">
        <v>0.6</v>
      </c>
      <c r="C172" s="548">
        <f t="shared" ref="C172:J172" si="51">(+C171*2)*0.6</f>
        <v>22500</v>
      </c>
      <c r="D172" s="548">
        <f t="shared" si="51"/>
        <v>25680</v>
      </c>
      <c r="E172" s="548">
        <f t="shared" si="51"/>
        <v>28920</v>
      </c>
      <c r="F172" s="548">
        <f t="shared" si="51"/>
        <v>32100</v>
      </c>
      <c r="G172" s="548">
        <f t="shared" si="51"/>
        <v>34680</v>
      </c>
      <c r="H172" s="548">
        <f t="shared" si="51"/>
        <v>37260</v>
      </c>
      <c r="I172" s="548">
        <f t="shared" si="51"/>
        <v>39840</v>
      </c>
      <c r="J172" s="548">
        <f t="shared" si="51"/>
        <v>42420</v>
      </c>
      <c r="K172" s="575"/>
      <c r="L172" s="578"/>
      <c r="M172" s="578"/>
      <c r="N172" s="578"/>
      <c r="O172" s="578"/>
    </row>
    <row r="173" spans="1:15">
      <c r="A173" s="572"/>
      <c r="B173" s="576">
        <v>0.8</v>
      </c>
      <c r="C173" s="574">
        <v>30000</v>
      </c>
      <c r="D173" s="574">
        <v>34250</v>
      </c>
      <c r="E173" s="574">
        <v>38550</v>
      </c>
      <c r="F173" s="574">
        <v>42800</v>
      </c>
      <c r="G173" s="574">
        <v>46250</v>
      </c>
      <c r="H173" s="574">
        <v>49650</v>
      </c>
      <c r="I173" s="574">
        <v>53100</v>
      </c>
      <c r="J173" s="574">
        <v>56500</v>
      </c>
      <c r="K173" s="575"/>
      <c r="L173" s="578"/>
      <c r="M173" s="578"/>
      <c r="N173" s="578"/>
      <c r="O173" s="578"/>
    </row>
    <row r="174" spans="1:15">
      <c r="A174" s="572"/>
      <c r="B174" s="579"/>
      <c r="C174" s="548"/>
      <c r="D174" s="548"/>
      <c r="E174" s="548"/>
      <c r="F174" s="548"/>
      <c r="G174" s="548"/>
      <c r="H174" s="548"/>
      <c r="I174" s="548"/>
      <c r="J174" s="548"/>
      <c r="K174" s="575"/>
      <c r="L174" s="578"/>
      <c r="M174" s="578"/>
      <c r="N174" s="578"/>
      <c r="O174" s="578"/>
    </row>
    <row r="175" spans="1:15">
      <c r="A175" s="572" t="s">
        <v>298</v>
      </c>
      <c r="B175" s="576">
        <v>0.3</v>
      </c>
      <c r="C175" s="574">
        <v>11450</v>
      </c>
      <c r="D175" s="574">
        <v>13050</v>
      </c>
      <c r="E175" s="574">
        <v>14700</v>
      </c>
      <c r="F175" s="574">
        <v>16300</v>
      </c>
      <c r="G175" s="574">
        <v>17650</v>
      </c>
      <c r="H175" s="574">
        <v>18950</v>
      </c>
      <c r="I175" s="574">
        <v>20250</v>
      </c>
      <c r="J175" s="574">
        <v>21550</v>
      </c>
      <c r="K175" s="575"/>
    </row>
    <row r="176" spans="1:15">
      <c r="A176" s="572"/>
      <c r="B176" s="576">
        <v>0.4</v>
      </c>
      <c r="C176" s="548">
        <f t="shared" ref="C176:J176" si="52">(+C177*2)*0.4</f>
        <v>15240</v>
      </c>
      <c r="D176" s="548">
        <f t="shared" si="52"/>
        <v>17440</v>
      </c>
      <c r="E176" s="548">
        <f t="shared" si="52"/>
        <v>19600</v>
      </c>
      <c r="F176" s="548">
        <f t="shared" si="52"/>
        <v>21760</v>
      </c>
      <c r="G176" s="548">
        <f t="shared" si="52"/>
        <v>23520</v>
      </c>
      <c r="H176" s="548">
        <f t="shared" si="52"/>
        <v>25280</v>
      </c>
      <c r="I176" s="548">
        <f t="shared" si="52"/>
        <v>27000</v>
      </c>
      <c r="J176" s="548">
        <f t="shared" si="52"/>
        <v>28760</v>
      </c>
      <c r="K176" s="575"/>
      <c r="L176" s="578"/>
      <c r="M176" s="578"/>
      <c r="N176" s="578"/>
      <c r="O176" s="578"/>
    </row>
    <row r="177" spans="1:15">
      <c r="A177" s="572"/>
      <c r="B177" s="576">
        <v>0.5</v>
      </c>
      <c r="C177" s="574">
        <v>19050</v>
      </c>
      <c r="D177" s="574">
        <v>21800</v>
      </c>
      <c r="E177" s="574">
        <v>24500</v>
      </c>
      <c r="F177" s="574">
        <v>27200</v>
      </c>
      <c r="G177" s="574">
        <v>29400</v>
      </c>
      <c r="H177" s="574">
        <v>31600</v>
      </c>
      <c r="I177" s="574">
        <v>33750</v>
      </c>
      <c r="J177" s="574">
        <v>35950</v>
      </c>
      <c r="K177" s="575"/>
      <c r="L177" s="578"/>
      <c r="M177" s="578"/>
      <c r="N177" s="578"/>
      <c r="O177" s="578"/>
    </row>
    <row r="178" spans="1:15">
      <c r="A178" s="572"/>
      <c r="B178" s="576">
        <v>0.6</v>
      </c>
      <c r="C178" s="548">
        <f t="shared" ref="C178:J178" si="53">(+C177*2)*0.6</f>
        <v>22860</v>
      </c>
      <c r="D178" s="548">
        <f t="shared" si="53"/>
        <v>26160</v>
      </c>
      <c r="E178" s="548">
        <f t="shared" si="53"/>
        <v>29400</v>
      </c>
      <c r="F178" s="548">
        <f t="shared" si="53"/>
        <v>32640</v>
      </c>
      <c r="G178" s="548">
        <f t="shared" si="53"/>
        <v>35280</v>
      </c>
      <c r="H178" s="548">
        <f t="shared" si="53"/>
        <v>37920</v>
      </c>
      <c r="I178" s="548">
        <f t="shared" si="53"/>
        <v>40500</v>
      </c>
      <c r="J178" s="548">
        <f t="shared" si="53"/>
        <v>43140</v>
      </c>
      <c r="K178" s="575"/>
      <c r="L178" s="578"/>
      <c r="M178" s="578"/>
      <c r="N178" s="578"/>
      <c r="O178" s="578"/>
    </row>
    <row r="179" spans="1:15">
      <c r="A179" s="572"/>
      <c r="B179" s="576">
        <v>0.8</v>
      </c>
      <c r="C179" s="574">
        <v>30450</v>
      </c>
      <c r="D179" s="574">
        <v>34800</v>
      </c>
      <c r="E179" s="574">
        <v>39150</v>
      </c>
      <c r="F179" s="574">
        <v>43500</v>
      </c>
      <c r="G179" s="574">
        <v>47000</v>
      </c>
      <c r="H179" s="574">
        <v>50500</v>
      </c>
      <c r="I179" s="574">
        <v>53950</v>
      </c>
      <c r="J179" s="574">
        <v>57450</v>
      </c>
      <c r="K179" s="575"/>
      <c r="L179" s="578"/>
      <c r="M179" s="578"/>
      <c r="N179" s="578"/>
      <c r="O179" s="578"/>
    </row>
    <row r="180" spans="1:15">
      <c r="A180" s="572"/>
      <c r="B180" s="579"/>
      <c r="C180" s="548"/>
      <c r="D180" s="548"/>
      <c r="E180" s="548"/>
      <c r="F180" s="548"/>
      <c r="G180" s="548"/>
      <c r="H180" s="548"/>
      <c r="I180" s="548"/>
      <c r="J180" s="548"/>
      <c r="K180" s="575"/>
      <c r="L180" s="578"/>
      <c r="M180" s="578"/>
      <c r="N180" s="578"/>
      <c r="O180" s="578"/>
    </row>
    <row r="181" spans="1:15">
      <c r="A181" s="572" t="s">
        <v>299</v>
      </c>
      <c r="B181" s="576">
        <v>0.3</v>
      </c>
      <c r="C181" s="574">
        <v>11700</v>
      </c>
      <c r="D181" s="574">
        <v>13350</v>
      </c>
      <c r="E181" s="574">
        <v>15000</v>
      </c>
      <c r="F181" s="574">
        <v>16650</v>
      </c>
      <c r="G181" s="574">
        <v>18000</v>
      </c>
      <c r="H181" s="574">
        <v>19350</v>
      </c>
      <c r="I181" s="574">
        <v>20650</v>
      </c>
      <c r="J181" s="574">
        <v>22000</v>
      </c>
      <c r="K181" s="575"/>
    </row>
    <row r="182" spans="1:15">
      <c r="A182" s="572"/>
      <c r="B182" s="576">
        <v>0.4</v>
      </c>
      <c r="C182" s="548">
        <f t="shared" ref="C182:J182" si="54">(+C183*2)*0.4</f>
        <v>15560</v>
      </c>
      <c r="D182" s="548">
        <f t="shared" si="54"/>
        <v>17760</v>
      </c>
      <c r="E182" s="548">
        <f t="shared" si="54"/>
        <v>20000</v>
      </c>
      <c r="F182" s="548">
        <f t="shared" si="54"/>
        <v>22200</v>
      </c>
      <c r="G182" s="548">
        <f t="shared" si="54"/>
        <v>24000</v>
      </c>
      <c r="H182" s="548">
        <f t="shared" si="54"/>
        <v>25760</v>
      </c>
      <c r="I182" s="548">
        <f t="shared" si="54"/>
        <v>27560</v>
      </c>
      <c r="J182" s="548">
        <f t="shared" si="54"/>
        <v>29320</v>
      </c>
      <c r="K182" s="575"/>
      <c r="L182" s="578"/>
      <c r="M182" s="578"/>
      <c r="N182" s="578"/>
      <c r="O182" s="578"/>
    </row>
    <row r="183" spans="1:15">
      <c r="A183" s="572"/>
      <c r="B183" s="576">
        <v>0.5</v>
      </c>
      <c r="C183" s="574">
        <v>19450</v>
      </c>
      <c r="D183" s="574">
        <v>22200</v>
      </c>
      <c r="E183" s="574">
        <v>25000</v>
      </c>
      <c r="F183" s="574">
        <v>27750</v>
      </c>
      <c r="G183" s="574">
        <v>30000</v>
      </c>
      <c r="H183" s="574">
        <v>32200</v>
      </c>
      <c r="I183" s="574">
        <v>34450</v>
      </c>
      <c r="J183" s="574">
        <v>36650</v>
      </c>
      <c r="K183" s="575"/>
      <c r="L183" s="578"/>
      <c r="M183" s="578"/>
      <c r="N183" s="578"/>
      <c r="O183" s="578"/>
    </row>
    <row r="184" spans="1:15">
      <c r="A184" s="572"/>
      <c r="B184" s="576">
        <v>0.6</v>
      </c>
      <c r="C184" s="548">
        <f t="shared" ref="C184:J184" si="55">(+C183*2)*0.6</f>
        <v>23340</v>
      </c>
      <c r="D184" s="548">
        <f t="shared" si="55"/>
        <v>26640</v>
      </c>
      <c r="E184" s="548">
        <f t="shared" si="55"/>
        <v>30000</v>
      </c>
      <c r="F184" s="548">
        <f t="shared" si="55"/>
        <v>33300</v>
      </c>
      <c r="G184" s="548">
        <f t="shared" si="55"/>
        <v>36000</v>
      </c>
      <c r="H184" s="548">
        <f t="shared" si="55"/>
        <v>38640</v>
      </c>
      <c r="I184" s="548">
        <f t="shared" si="55"/>
        <v>41340</v>
      </c>
      <c r="J184" s="548">
        <f t="shared" si="55"/>
        <v>43980</v>
      </c>
      <c r="K184" s="575"/>
      <c r="L184" s="578"/>
      <c r="M184" s="578"/>
      <c r="N184" s="578"/>
      <c r="O184" s="578"/>
    </row>
    <row r="185" spans="1:15">
      <c r="A185" s="572"/>
      <c r="B185" s="576">
        <v>0.8</v>
      </c>
      <c r="C185" s="574">
        <v>31100</v>
      </c>
      <c r="D185" s="574">
        <v>35550</v>
      </c>
      <c r="E185" s="574">
        <v>40000</v>
      </c>
      <c r="F185" s="574">
        <v>44400</v>
      </c>
      <c r="G185" s="574">
        <v>48000</v>
      </c>
      <c r="H185" s="574">
        <v>51550</v>
      </c>
      <c r="I185" s="574">
        <v>55100</v>
      </c>
      <c r="J185" s="574">
        <v>58650</v>
      </c>
      <c r="K185" s="575"/>
      <c r="L185" s="578"/>
      <c r="M185" s="578"/>
      <c r="N185" s="578"/>
      <c r="O185" s="578"/>
    </row>
    <row r="186" spans="1:15">
      <c r="A186" s="572"/>
      <c r="B186" s="579"/>
      <c r="C186" s="548"/>
      <c r="D186" s="548"/>
      <c r="E186" s="548"/>
      <c r="F186" s="548"/>
      <c r="G186" s="548"/>
      <c r="H186" s="548"/>
      <c r="I186" s="548"/>
      <c r="J186" s="548"/>
      <c r="K186" s="575"/>
      <c r="L186" s="578"/>
      <c r="M186" s="578"/>
      <c r="N186" s="578"/>
      <c r="O186" s="578"/>
    </row>
    <row r="187" spans="1:15">
      <c r="A187" s="572" t="s">
        <v>300</v>
      </c>
      <c r="B187" s="576">
        <v>0.3</v>
      </c>
      <c r="C187" s="574">
        <v>11200</v>
      </c>
      <c r="D187" s="574">
        <v>12800</v>
      </c>
      <c r="E187" s="574">
        <v>14400</v>
      </c>
      <c r="F187" s="574">
        <v>15950</v>
      </c>
      <c r="G187" s="574">
        <v>17250</v>
      </c>
      <c r="H187" s="574">
        <v>18550</v>
      </c>
      <c r="I187" s="574">
        <v>19800</v>
      </c>
      <c r="J187" s="574">
        <v>21100</v>
      </c>
      <c r="K187" s="575"/>
    </row>
    <row r="188" spans="1:15">
      <c r="A188" s="572"/>
      <c r="B188" s="576">
        <v>0.4</v>
      </c>
      <c r="C188" s="548">
        <f t="shared" ref="C188:J188" si="56">(+C189*2)*0.4</f>
        <v>14880</v>
      </c>
      <c r="D188" s="548">
        <f t="shared" si="56"/>
        <v>17000</v>
      </c>
      <c r="E188" s="548">
        <f t="shared" si="56"/>
        <v>19120</v>
      </c>
      <c r="F188" s="548">
        <f t="shared" si="56"/>
        <v>21240</v>
      </c>
      <c r="G188" s="548">
        <f t="shared" si="56"/>
        <v>22960</v>
      </c>
      <c r="H188" s="548">
        <f t="shared" si="56"/>
        <v>24640</v>
      </c>
      <c r="I188" s="548">
        <f t="shared" si="56"/>
        <v>26360</v>
      </c>
      <c r="J188" s="548">
        <f t="shared" si="56"/>
        <v>28040</v>
      </c>
      <c r="K188" s="575"/>
      <c r="L188" s="578"/>
      <c r="M188" s="578"/>
      <c r="N188" s="578"/>
      <c r="O188" s="578"/>
    </row>
    <row r="189" spans="1:15">
      <c r="A189" s="572"/>
      <c r="B189" s="576">
        <v>0.5</v>
      </c>
      <c r="C189" s="574">
        <v>18600</v>
      </c>
      <c r="D189" s="574">
        <v>21250</v>
      </c>
      <c r="E189" s="574">
        <v>23900</v>
      </c>
      <c r="F189" s="574">
        <v>26550</v>
      </c>
      <c r="G189" s="574">
        <v>28700</v>
      </c>
      <c r="H189" s="574">
        <v>30800</v>
      </c>
      <c r="I189" s="574">
        <v>32950</v>
      </c>
      <c r="J189" s="574">
        <v>35050</v>
      </c>
      <c r="K189" s="575"/>
      <c r="L189" s="578"/>
      <c r="M189" s="578"/>
      <c r="N189" s="578"/>
      <c r="O189" s="578"/>
    </row>
    <row r="190" spans="1:15">
      <c r="A190" s="572"/>
      <c r="B190" s="576">
        <v>0.6</v>
      </c>
      <c r="C190" s="548">
        <f t="shared" ref="C190:J190" si="57">(+C189*2)*0.6</f>
        <v>22320</v>
      </c>
      <c r="D190" s="548">
        <f t="shared" si="57"/>
        <v>25500</v>
      </c>
      <c r="E190" s="548">
        <f t="shared" si="57"/>
        <v>28680</v>
      </c>
      <c r="F190" s="548">
        <f t="shared" si="57"/>
        <v>31860</v>
      </c>
      <c r="G190" s="548">
        <f t="shared" si="57"/>
        <v>34440</v>
      </c>
      <c r="H190" s="548">
        <f t="shared" si="57"/>
        <v>36960</v>
      </c>
      <c r="I190" s="548">
        <f t="shared" si="57"/>
        <v>39540</v>
      </c>
      <c r="J190" s="548">
        <f t="shared" si="57"/>
        <v>42060</v>
      </c>
      <c r="K190" s="575"/>
      <c r="L190" s="578"/>
      <c r="M190" s="578"/>
      <c r="N190" s="578"/>
      <c r="O190" s="578"/>
    </row>
    <row r="191" spans="1:15">
      <c r="A191" s="572"/>
      <c r="B191" s="576">
        <v>0.8</v>
      </c>
      <c r="C191" s="574">
        <v>29750</v>
      </c>
      <c r="D191" s="574">
        <v>34000</v>
      </c>
      <c r="E191" s="574">
        <v>38250</v>
      </c>
      <c r="F191" s="574">
        <v>42500</v>
      </c>
      <c r="G191" s="574">
        <v>45900</v>
      </c>
      <c r="H191" s="574">
        <v>49300</v>
      </c>
      <c r="I191" s="574">
        <v>52700</v>
      </c>
      <c r="J191" s="574">
        <v>56100</v>
      </c>
      <c r="K191" s="575"/>
      <c r="L191" s="578"/>
      <c r="M191" s="578"/>
      <c r="N191" s="578"/>
      <c r="O191" s="578"/>
    </row>
    <row r="192" spans="1:15">
      <c r="A192" s="572"/>
      <c r="B192" s="579"/>
      <c r="C192" s="548"/>
      <c r="D192" s="548"/>
      <c r="E192" s="548"/>
      <c r="F192" s="548"/>
      <c r="G192" s="548"/>
      <c r="H192" s="548"/>
      <c r="I192" s="548"/>
      <c r="J192" s="548"/>
      <c r="K192" s="575"/>
      <c r="L192" s="578"/>
      <c r="M192" s="578"/>
      <c r="N192" s="578"/>
      <c r="O192" s="578"/>
    </row>
    <row r="193" spans="1:15">
      <c r="A193" s="572" t="s">
        <v>301</v>
      </c>
      <c r="B193" s="576">
        <v>0.3</v>
      </c>
      <c r="C193" s="574">
        <v>11100</v>
      </c>
      <c r="D193" s="574">
        <v>12700</v>
      </c>
      <c r="E193" s="574">
        <v>14300</v>
      </c>
      <c r="F193" s="574">
        <v>15850</v>
      </c>
      <c r="G193" s="574">
        <v>17150</v>
      </c>
      <c r="H193" s="574">
        <v>18400</v>
      </c>
      <c r="I193" s="574">
        <v>19700</v>
      </c>
      <c r="J193" s="574">
        <v>20950</v>
      </c>
      <c r="K193" s="575"/>
    </row>
    <row r="194" spans="1:15">
      <c r="A194" s="572"/>
      <c r="B194" s="576">
        <v>0.4</v>
      </c>
      <c r="C194" s="548">
        <f t="shared" ref="C194:J194" si="58">(+C195*2)*0.4</f>
        <v>14840</v>
      </c>
      <c r="D194" s="548">
        <f t="shared" si="58"/>
        <v>16960</v>
      </c>
      <c r="E194" s="548">
        <f t="shared" si="58"/>
        <v>19080</v>
      </c>
      <c r="F194" s="548">
        <f t="shared" si="58"/>
        <v>21160</v>
      </c>
      <c r="G194" s="548">
        <f t="shared" si="58"/>
        <v>22880</v>
      </c>
      <c r="H194" s="548">
        <f t="shared" si="58"/>
        <v>24560</v>
      </c>
      <c r="I194" s="548">
        <f t="shared" si="58"/>
        <v>26240</v>
      </c>
      <c r="J194" s="548">
        <f t="shared" si="58"/>
        <v>27960</v>
      </c>
      <c r="K194" s="575"/>
      <c r="L194" s="578"/>
      <c r="M194" s="578"/>
      <c r="N194" s="578"/>
      <c r="O194" s="578"/>
    </row>
    <row r="195" spans="1:15">
      <c r="A195" s="572"/>
      <c r="B195" s="576">
        <v>0.5</v>
      </c>
      <c r="C195" s="574">
        <v>18550</v>
      </c>
      <c r="D195" s="574">
        <v>21200</v>
      </c>
      <c r="E195" s="574">
        <v>23850</v>
      </c>
      <c r="F195" s="574">
        <v>26450</v>
      </c>
      <c r="G195" s="574">
        <v>28600</v>
      </c>
      <c r="H195" s="574">
        <v>30700</v>
      </c>
      <c r="I195" s="574">
        <v>32800</v>
      </c>
      <c r="J195" s="574">
        <v>34950</v>
      </c>
      <c r="K195" s="575"/>
      <c r="L195" s="578"/>
      <c r="M195" s="578"/>
      <c r="N195" s="578"/>
      <c r="O195" s="578"/>
    </row>
    <row r="196" spans="1:15">
      <c r="A196" s="572"/>
      <c r="B196" s="576">
        <v>0.6</v>
      </c>
      <c r="C196" s="548">
        <f t="shared" ref="C196:J196" si="59">(+C195*2)*0.6</f>
        <v>22260</v>
      </c>
      <c r="D196" s="548">
        <f t="shared" si="59"/>
        <v>25440</v>
      </c>
      <c r="E196" s="548">
        <f t="shared" si="59"/>
        <v>28620</v>
      </c>
      <c r="F196" s="548">
        <f t="shared" si="59"/>
        <v>31740</v>
      </c>
      <c r="G196" s="548">
        <f t="shared" si="59"/>
        <v>34320</v>
      </c>
      <c r="H196" s="548">
        <f t="shared" si="59"/>
        <v>36840</v>
      </c>
      <c r="I196" s="548">
        <f t="shared" si="59"/>
        <v>39360</v>
      </c>
      <c r="J196" s="548">
        <f t="shared" si="59"/>
        <v>41940</v>
      </c>
      <c r="K196" s="575"/>
      <c r="L196" s="578"/>
      <c r="M196" s="578"/>
      <c r="N196" s="578"/>
      <c r="O196" s="578"/>
    </row>
    <row r="197" spans="1:15">
      <c r="A197" s="572"/>
      <c r="B197" s="576">
        <v>0.8</v>
      </c>
      <c r="C197" s="574">
        <v>29650</v>
      </c>
      <c r="D197" s="574">
        <v>33850</v>
      </c>
      <c r="E197" s="574">
        <v>38100</v>
      </c>
      <c r="F197" s="574">
        <v>42300</v>
      </c>
      <c r="G197" s="574">
        <v>45700</v>
      </c>
      <c r="H197" s="574">
        <v>49100</v>
      </c>
      <c r="I197" s="574">
        <v>52500</v>
      </c>
      <c r="J197" s="574">
        <v>55850</v>
      </c>
      <c r="K197" s="575"/>
      <c r="L197" s="578"/>
      <c r="M197" s="578"/>
      <c r="N197" s="578"/>
      <c r="O197" s="578"/>
    </row>
    <row r="198" spans="1:15">
      <c r="A198" s="572"/>
      <c r="B198" s="579"/>
      <c r="C198" s="548"/>
      <c r="D198" s="548"/>
      <c r="E198" s="548"/>
      <c r="F198" s="548"/>
      <c r="G198" s="548"/>
      <c r="H198" s="548"/>
      <c r="I198" s="548"/>
      <c r="J198" s="548"/>
      <c r="K198" s="575"/>
      <c r="L198" s="578"/>
      <c r="M198" s="578"/>
      <c r="N198" s="578"/>
      <c r="O198" s="578"/>
    </row>
    <row r="199" spans="1:15">
      <c r="A199" s="572" t="s">
        <v>302</v>
      </c>
      <c r="B199" s="576">
        <v>0.3</v>
      </c>
      <c r="C199" s="574">
        <v>11100</v>
      </c>
      <c r="D199" s="574">
        <v>12650</v>
      </c>
      <c r="E199" s="574">
        <v>14250</v>
      </c>
      <c r="F199" s="574">
        <v>15800</v>
      </c>
      <c r="G199" s="574">
        <v>17100</v>
      </c>
      <c r="H199" s="574">
        <v>18350</v>
      </c>
      <c r="I199" s="574">
        <v>19600</v>
      </c>
      <c r="J199" s="574">
        <v>20900</v>
      </c>
      <c r="K199" s="575"/>
    </row>
    <row r="200" spans="1:15">
      <c r="A200" s="572"/>
      <c r="B200" s="576">
        <v>0.4</v>
      </c>
      <c r="C200" s="548">
        <f t="shared" ref="C200:J200" si="60">(+C201*2)*0.4</f>
        <v>14760</v>
      </c>
      <c r="D200" s="548">
        <f t="shared" si="60"/>
        <v>16880</v>
      </c>
      <c r="E200" s="548">
        <f t="shared" si="60"/>
        <v>19000</v>
      </c>
      <c r="F200" s="548">
        <f t="shared" si="60"/>
        <v>21080</v>
      </c>
      <c r="G200" s="548">
        <f t="shared" si="60"/>
        <v>22800</v>
      </c>
      <c r="H200" s="548">
        <f t="shared" si="60"/>
        <v>24480</v>
      </c>
      <c r="I200" s="548">
        <f t="shared" si="60"/>
        <v>26160</v>
      </c>
      <c r="J200" s="548">
        <f t="shared" si="60"/>
        <v>27840</v>
      </c>
      <c r="K200" s="575"/>
      <c r="L200" s="578"/>
      <c r="M200" s="578"/>
      <c r="N200" s="578"/>
      <c r="O200" s="578"/>
    </row>
    <row r="201" spans="1:15">
      <c r="A201" s="572"/>
      <c r="B201" s="576">
        <v>0.5</v>
      </c>
      <c r="C201" s="574">
        <v>18450</v>
      </c>
      <c r="D201" s="574">
        <v>21100</v>
      </c>
      <c r="E201" s="574">
        <v>23750</v>
      </c>
      <c r="F201" s="574">
        <v>26350</v>
      </c>
      <c r="G201" s="574">
        <v>28500</v>
      </c>
      <c r="H201" s="574">
        <v>30600</v>
      </c>
      <c r="I201" s="574">
        <v>32700</v>
      </c>
      <c r="J201" s="574">
        <v>34800</v>
      </c>
      <c r="K201" s="575"/>
      <c r="L201" s="578"/>
      <c r="M201" s="578"/>
      <c r="N201" s="578"/>
      <c r="O201" s="578"/>
    </row>
    <row r="202" spans="1:15">
      <c r="A202" s="572"/>
      <c r="B202" s="576">
        <v>0.6</v>
      </c>
      <c r="C202" s="548">
        <f t="shared" ref="C202:J202" si="61">(+C201*2)*0.6</f>
        <v>22140</v>
      </c>
      <c r="D202" s="548">
        <f t="shared" si="61"/>
        <v>25320</v>
      </c>
      <c r="E202" s="548">
        <f t="shared" si="61"/>
        <v>28500</v>
      </c>
      <c r="F202" s="548">
        <f t="shared" si="61"/>
        <v>31620</v>
      </c>
      <c r="G202" s="548">
        <f t="shared" si="61"/>
        <v>34200</v>
      </c>
      <c r="H202" s="548">
        <f t="shared" si="61"/>
        <v>36720</v>
      </c>
      <c r="I202" s="548">
        <f t="shared" si="61"/>
        <v>39240</v>
      </c>
      <c r="J202" s="548">
        <f t="shared" si="61"/>
        <v>41760</v>
      </c>
      <c r="K202" s="575"/>
      <c r="L202" s="578"/>
      <c r="M202" s="578"/>
      <c r="N202" s="578"/>
      <c r="O202" s="578"/>
    </row>
    <row r="203" spans="1:15">
      <c r="A203" s="572"/>
      <c r="B203" s="576">
        <v>0.8</v>
      </c>
      <c r="C203" s="580">
        <v>29550</v>
      </c>
      <c r="D203" s="580">
        <v>33750</v>
      </c>
      <c r="E203" s="580">
        <v>37950</v>
      </c>
      <c r="F203" s="580">
        <v>42150</v>
      </c>
      <c r="G203" s="580">
        <v>45550</v>
      </c>
      <c r="H203" s="580">
        <v>48900</v>
      </c>
      <c r="I203" s="580">
        <v>52300</v>
      </c>
      <c r="J203" s="580">
        <v>55650</v>
      </c>
      <c r="K203" s="575"/>
      <c r="L203" s="578"/>
      <c r="M203" s="578"/>
      <c r="N203" s="578"/>
      <c r="O203" s="578"/>
    </row>
    <row r="204" spans="1:15">
      <c r="C204" s="578"/>
      <c r="D204" s="578"/>
      <c r="E204" s="578"/>
      <c r="F204" s="578"/>
      <c r="G204" s="578"/>
      <c r="H204" s="578"/>
      <c r="I204" s="578"/>
      <c r="J204" s="578"/>
      <c r="K204" s="578"/>
      <c r="L204" s="578"/>
      <c r="M204" s="578"/>
      <c r="N204" s="578"/>
      <c r="O204" s="578"/>
    </row>
  </sheetData>
  <sheetProtection sheet="1" objects="1" scenarios="1"/>
  <mergeCells count="3">
    <mergeCell ref="A1:K1"/>
    <mergeCell ref="A2:K2"/>
    <mergeCell ref="A3:K3"/>
  </mergeCells>
  <phoneticPr fontId="6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RetentionPeriodDate xmlns="http://schemas.microsoft.com/sharepoint/v4" xsi:nil="true"/>
    <CopyToStateLib xmlns="http://schemas.microsoft.com/sharepoint/v4">false</CopyToStateLib>
    <Metadata xmlns="http://schemas.microsoft.com/sharepoint/v4" xsi:nil="true"/>
    <DocumentLocale xmlns="http://schemas.microsoft.com/sharepoint/v4">en</DocumentLocale>
    <RoutingRuleDescription xmlns="http://schemas.microsoft.com/sharepoint/v3">CFC Excel spreadsheet proforma</RoutingRuleDescription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A2DE2D2F67245ACB4B4507B9C4862" ma:contentTypeVersion="6" ma:contentTypeDescription="Create a new document." ma:contentTypeScope="" ma:versionID="acc2c2049d2a2d63bae5b54f5856077c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4" targetNamespace="http://schemas.microsoft.com/office/2006/metadata/properties" ma:root="true" ma:fieldsID="01339fa69e9e4dce78c1a885076e1fcc" ns1:_="" ns2:_="">
    <xsd:import namespace="http://schemas.microsoft.com/sharepoint/v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CopyToStateLib" minOccurs="0"/>
                <xsd:element ref="ns2:DocumentLocale" minOccurs="0"/>
                <xsd:element ref="ns2:Metadata" minOccurs="0"/>
                <xsd:element ref="ns2:RetentionPeriodDate" minOccurs="0"/>
                <xsd:element ref="ns1:RoutingRuleDescrip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2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CopyToStateLib" ma:index="8" nillable="true" ma:displayName="Copy To State Library" ma:default="0" ma:internalName="CopyToStateLib">
      <xsd:simpleType>
        <xsd:restriction base="dms:Boolean"/>
      </xsd:simpleType>
    </xsd:element>
    <xsd:element name="DocumentLocale" ma:index="9" nillable="true" ma:displayName="Locale" ma:default="en" ma:internalName="DocumentLocale">
      <xsd:simpleType>
        <xsd:restriction base="dms:Text">
          <xsd:maxLength value="10"/>
        </xsd:restriction>
      </xsd:simpleType>
    </xsd:element>
    <xsd:element name="Metadata" ma:index="10" nillable="true" ma:displayName="Metadata" ma:internalName="Metadata">
      <xsd:simpleType>
        <xsd:restriction base="dms:Note"/>
      </xsd:simpleType>
    </xsd:element>
    <xsd:element name="RetentionPeriodDate" ma:index="11" nillable="true" ma:displayName="Retention Period Date" ma:format="DateOnly" ma:internalName="RetentionPeriod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13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FCC42-2F37-400C-95B2-A904FCF252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546F4A-728C-4DF9-8722-CB04213FB7F3}">
  <ds:schemaRefs>
    <ds:schemaRef ds:uri="http://schemas.microsoft.com/office/2006/metadata/properties"/>
    <ds:schemaRef ds:uri="http://schemas.microsoft.com/sharepoint/v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75381F2-BF16-47A1-821A-5AA952E9473C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110A9CC-5C00-4837-B99D-3D50A2D83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Sources</vt:lpstr>
      <vt:lpstr>Uses of Funds</vt:lpstr>
      <vt:lpstr>Income</vt:lpstr>
      <vt:lpstr>Expenses</vt:lpstr>
      <vt:lpstr>Utility Allowance</vt:lpstr>
      <vt:lpstr>Comm Income</vt:lpstr>
      <vt:lpstr>Com Expense</vt:lpstr>
      <vt:lpstr>Pro forma Summary</vt:lpstr>
      <vt:lpstr>Project Summary</vt:lpstr>
      <vt:lpstr>LIHTC Calculation</vt:lpstr>
      <vt:lpstr>Income with OAHTC</vt:lpstr>
      <vt:lpstr>OAHTC Calculation</vt:lpstr>
      <vt:lpstr>LIHTCRents 12</vt:lpstr>
      <vt:lpstr>LIHTCIncomes12</vt:lpstr>
      <vt:lpstr>HOME Rents 11</vt:lpstr>
      <vt:lpstr>HOMEIncomes11</vt:lpstr>
      <vt:lpstr>'Com Expense'!Print_Area</vt:lpstr>
      <vt:lpstr>'Comm Income'!Print_Area</vt:lpstr>
      <vt:lpstr>Expenses!Print_Area</vt:lpstr>
      <vt:lpstr>'HOME Rents 11'!Print_Area</vt:lpstr>
      <vt:lpstr>Income!Print_Area</vt:lpstr>
      <vt:lpstr>'Income with OAHTC'!Print_Area</vt:lpstr>
      <vt:lpstr>'LIHTC Calculation'!Print_Area</vt:lpstr>
      <vt:lpstr>LIHTCIncomes12!Print_Area</vt:lpstr>
      <vt:lpstr>'OAHTC Calculation'!Print_Area</vt:lpstr>
      <vt:lpstr>'Pro forma Summary'!Print_Area</vt:lpstr>
      <vt:lpstr>'Project Summary'!Print_Area</vt:lpstr>
      <vt:lpstr>Sources!Print_Area</vt:lpstr>
      <vt:lpstr>'Uses of Funds'!Print_Area</vt:lpstr>
      <vt:lpstr>'Com Expense'!Print_Titles</vt:lpstr>
      <vt:lpstr>'Comm Income'!Print_Titles</vt:lpstr>
      <vt:lpstr>Expenses!Print_Titles</vt:lpstr>
      <vt:lpstr>Income!Print_Titles</vt:lpstr>
      <vt:lpstr>'Income with OAHTC'!Print_Titles</vt:lpstr>
      <vt:lpstr>'Uses of Funds'!Print_Titles</vt:lpstr>
      <vt:lpstr>Rents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Beddow, Siobain</dc:creator>
  <cp:lastModifiedBy>Dinkelspiel, Karl</cp:lastModifiedBy>
  <cp:lastPrinted>2012-01-27T21:08:24Z</cp:lastPrinted>
  <dcterms:created xsi:type="dcterms:W3CDTF">1999-06-18T21:13:57Z</dcterms:created>
  <dcterms:modified xsi:type="dcterms:W3CDTF">2014-01-09T00:10:39Z</dcterms:modified>
</cp:coreProperties>
</file>