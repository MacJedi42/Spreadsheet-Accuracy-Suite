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Medical Chart Audit " sheetId="4" r:id="rId1"/>
  </sheets>
  <definedNames>
    <definedName name="_xlnm.Print_Area" localSheetId="0">'Medical Chart Audit '!$A$1:$M$82</definedName>
    <definedName name="_xlnm.Print_Titles" localSheetId="0">'Medical Chart Audit '!$A:$A,'Medical Chart Audit '!$2:$6</definedName>
  </definedNames>
  <calcPr calcId="125725"/>
</workbook>
</file>

<file path=xl/calcChain.xml><?xml version="1.0" encoding="utf-8"?>
<calcChain xmlns="http://schemas.openxmlformats.org/spreadsheetml/2006/main">
  <c r="L7" i="4"/>
  <c r="L8"/>
  <c r="M8" s="1"/>
  <c r="P8"/>
  <c r="Q8" s="1"/>
  <c r="L9"/>
  <c r="P9"/>
  <c r="Q9" s="1"/>
  <c r="L10"/>
  <c r="L11"/>
  <c r="M11" s="1"/>
  <c r="P11"/>
  <c r="Q11" s="1"/>
  <c r="L12"/>
  <c r="M12" s="1"/>
  <c r="P12"/>
  <c r="Q12" s="1"/>
  <c r="L13"/>
  <c r="M13" s="1"/>
  <c r="P13"/>
  <c r="Q13" s="1"/>
  <c r="L14"/>
  <c r="M14" s="1"/>
  <c r="P14"/>
  <c r="Q14" s="1"/>
  <c r="L15"/>
  <c r="M15" s="1"/>
  <c r="P15"/>
  <c r="Q15" s="1"/>
  <c r="L16"/>
  <c r="M16" s="1"/>
  <c r="P16"/>
  <c r="Q16" s="1"/>
  <c r="L17"/>
  <c r="M17" s="1"/>
  <c r="P17"/>
  <c r="Q17" s="1"/>
  <c r="L18"/>
  <c r="M18" s="1"/>
  <c r="P18"/>
  <c r="Q18" s="1"/>
  <c r="L19"/>
  <c r="L20"/>
  <c r="P20"/>
  <c r="Q20" s="1"/>
  <c r="L21"/>
  <c r="P21"/>
  <c r="Q21" s="1"/>
  <c r="L22"/>
  <c r="P22"/>
  <c r="Q22" s="1"/>
  <c r="L23"/>
  <c r="P23"/>
  <c r="Q23" s="1"/>
  <c r="L24"/>
  <c r="P24"/>
  <c r="Q24" s="1"/>
  <c r="L25"/>
  <c r="L26"/>
  <c r="M26" s="1"/>
  <c r="P26"/>
  <c r="Q26" s="1"/>
  <c r="L27"/>
  <c r="M27" s="1"/>
  <c r="P27"/>
  <c r="Q27" s="1"/>
  <c r="L28"/>
  <c r="M28" s="1"/>
  <c r="P28"/>
  <c r="Q28" s="1"/>
  <c r="L29"/>
  <c r="L30"/>
  <c r="P30"/>
  <c r="Q30" s="1"/>
  <c r="L31"/>
  <c r="P31"/>
  <c r="Q31" s="1"/>
  <c r="L32"/>
  <c r="L33"/>
  <c r="M33" s="1"/>
  <c r="P33"/>
  <c r="Q33" s="1"/>
  <c r="L34"/>
  <c r="L35"/>
  <c r="M35" s="1"/>
  <c r="P35"/>
  <c r="Q35" s="1"/>
  <c r="L36"/>
  <c r="P36"/>
  <c r="Q36" s="1"/>
  <c r="L37"/>
  <c r="M37" s="1"/>
  <c r="P37"/>
  <c r="Q37" s="1"/>
  <c r="L38"/>
  <c r="P38"/>
  <c r="Q38" s="1"/>
  <c r="L39"/>
  <c r="M39" s="1"/>
  <c r="P39"/>
  <c r="Q39" s="1"/>
  <c r="L40"/>
  <c r="P40"/>
  <c r="Q40" s="1"/>
  <c r="L41"/>
  <c r="M41" s="1"/>
  <c r="P41"/>
  <c r="Q41" s="1"/>
  <c r="L42"/>
  <c r="P42"/>
  <c r="Q42" s="1"/>
  <c r="L43"/>
  <c r="L82" s="1"/>
  <c r="L44"/>
  <c r="M44" s="1"/>
  <c r="P44"/>
  <c r="Q44" s="1"/>
  <c r="L45"/>
  <c r="L46"/>
  <c r="M46" s="1"/>
  <c r="P46"/>
  <c r="Q46" s="1"/>
  <c r="L47"/>
  <c r="P47"/>
  <c r="Q47" s="1"/>
  <c r="L48"/>
  <c r="M48" s="1"/>
  <c r="P48"/>
  <c r="Q48" s="1"/>
  <c r="L49"/>
  <c r="P49"/>
  <c r="Q49" s="1"/>
  <c r="L50"/>
  <c r="M50" s="1"/>
  <c r="P50"/>
  <c r="Q50" s="1"/>
  <c r="L51"/>
  <c r="P51"/>
  <c r="Q51" s="1"/>
  <c r="L52"/>
  <c r="M52" s="1"/>
  <c r="P52"/>
  <c r="Q52" s="1"/>
  <c r="L53"/>
  <c r="L54"/>
  <c r="M54" s="1"/>
  <c r="P54"/>
  <c r="Q54" s="1"/>
  <c r="L55"/>
  <c r="M55" s="1"/>
  <c r="P55"/>
  <c r="Q55" s="1"/>
  <c r="L56"/>
  <c r="M56" s="1"/>
  <c r="P56"/>
  <c r="Q56" s="1"/>
  <c r="L57"/>
  <c r="M57" s="1"/>
  <c r="P57"/>
  <c r="Q57" s="1"/>
  <c r="L58"/>
  <c r="M58" s="1"/>
  <c r="P58"/>
  <c r="Q58" s="1"/>
  <c r="L59"/>
  <c r="M59" s="1"/>
  <c r="P59"/>
  <c r="Q59" s="1"/>
  <c r="L60"/>
  <c r="M60" s="1"/>
  <c r="P60"/>
  <c r="Q60" s="1"/>
  <c r="L61"/>
  <c r="M61" s="1"/>
  <c r="P61"/>
  <c r="Q61" s="1"/>
  <c r="L62"/>
  <c r="M62" s="1"/>
  <c r="P62"/>
  <c r="Q62" s="1"/>
  <c r="L63"/>
  <c r="M63" s="1"/>
  <c r="P63"/>
  <c r="Q63" s="1"/>
  <c r="L64"/>
  <c r="M64" s="1"/>
  <c r="P64"/>
  <c r="Q64" s="1"/>
  <c r="L65"/>
  <c r="M65" s="1"/>
  <c r="P65"/>
  <c r="Q65" s="1"/>
  <c r="L66"/>
  <c r="M66" s="1"/>
  <c r="P66"/>
  <c r="Q66" s="1"/>
  <c r="L67"/>
  <c r="M67" s="1"/>
  <c r="P67"/>
  <c r="Q67" s="1"/>
  <c r="L68"/>
  <c r="L69"/>
  <c r="M69" s="1"/>
  <c r="P69"/>
  <c r="Q69" s="1"/>
  <c r="L70"/>
  <c r="P70"/>
  <c r="Q70" s="1"/>
  <c r="L71"/>
  <c r="M71" s="1"/>
  <c r="P71"/>
  <c r="Q71" s="1"/>
  <c r="L72"/>
  <c r="P72"/>
  <c r="Q72" s="1"/>
  <c r="L73"/>
  <c r="M73" s="1"/>
  <c r="P73"/>
  <c r="Q73" s="1"/>
  <c r="L74"/>
  <c r="P74"/>
  <c r="Q74" s="1"/>
  <c r="L75"/>
  <c r="L76"/>
  <c r="M76" s="1"/>
  <c r="P76"/>
  <c r="Q76" s="1"/>
  <c r="L77"/>
  <c r="M77" s="1"/>
  <c r="P77"/>
  <c r="Q77" s="1"/>
  <c r="L78"/>
  <c r="L79"/>
  <c r="P79"/>
  <c r="Q79" s="1"/>
  <c r="L80"/>
  <c r="M80" s="1"/>
  <c r="P80"/>
  <c r="Q80" s="1"/>
  <c r="L81"/>
  <c r="P81"/>
  <c r="Q81" s="1"/>
  <c r="M29" l="1"/>
  <c r="M30"/>
  <c r="M25"/>
  <c r="M23"/>
  <c r="M21"/>
  <c r="M45"/>
  <c r="M75"/>
  <c r="M81"/>
  <c r="M79"/>
  <c r="M74"/>
  <c r="M72"/>
  <c r="M70"/>
  <c r="M51"/>
  <c r="M49"/>
  <c r="M47"/>
  <c r="M42"/>
  <c r="M40"/>
  <c r="M38"/>
  <c r="M36"/>
  <c r="M31"/>
  <c r="M24"/>
  <c r="M22"/>
  <c r="M20"/>
  <c r="M9"/>
  <c r="P68"/>
  <c r="Q68" s="1"/>
  <c r="M68" s="1"/>
  <c r="P34"/>
  <c r="Q34" s="1"/>
  <c r="M34" s="1"/>
  <c r="P32"/>
  <c r="Q32" s="1"/>
  <c r="M32" s="1"/>
  <c r="P29"/>
  <c r="Q29" s="1"/>
  <c r="P25"/>
  <c r="Q25" s="1"/>
  <c r="P19"/>
  <c r="Q19" s="1"/>
  <c r="M19" s="1"/>
  <c r="P10"/>
  <c r="Q10" s="1"/>
  <c r="M10" s="1"/>
  <c r="P7"/>
  <c r="Q7" s="1"/>
  <c r="P78"/>
  <c r="Q78" s="1"/>
  <c r="M78" s="1"/>
  <c r="P75"/>
  <c r="Q75" s="1"/>
  <c r="P53"/>
  <c r="Q53" s="1"/>
  <c r="M53" s="1"/>
  <c r="P45"/>
  <c r="Q45" s="1"/>
  <c r="P43"/>
  <c r="Q43" s="1"/>
  <c r="M43" s="1"/>
  <c r="Q82" l="1"/>
  <c r="M82" s="1"/>
  <c r="M7"/>
</calcChain>
</file>

<file path=xl/sharedStrings.xml><?xml version="1.0" encoding="utf-8"?>
<sst xmlns="http://schemas.openxmlformats.org/spreadsheetml/2006/main" count="99" uniqueCount="90">
  <si>
    <t>Totals</t>
  </si>
  <si>
    <t>Pregnancy diagnosis and counseling</t>
  </si>
  <si>
    <t>Infertility counseling/exam/referral</t>
  </si>
  <si>
    <t>Sterilization counseling/consent</t>
  </si>
  <si>
    <t>Other</t>
  </si>
  <si>
    <t>Method Consent</t>
  </si>
  <si>
    <t>Program Consent/HIPAA consent</t>
  </si>
  <si>
    <t>Consents</t>
  </si>
  <si>
    <t>Abstinence</t>
  </si>
  <si>
    <t xml:space="preserve">Mandatory report made if indicated </t>
  </si>
  <si>
    <t>Sexual coercion</t>
  </si>
  <si>
    <t>Family participation</t>
  </si>
  <si>
    <t>Assured confidentiality</t>
  </si>
  <si>
    <t>All methods</t>
  </si>
  <si>
    <t>Adolescent counseling</t>
  </si>
  <si>
    <t xml:space="preserve">Alcohol/drug abuse if applicable </t>
  </si>
  <si>
    <t>Importance of annual flu vaccine</t>
  </si>
  <si>
    <t>Smoking cessation</t>
  </si>
  <si>
    <t>Calcium if DMPA</t>
  </si>
  <si>
    <t>Folic acid</t>
  </si>
  <si>
    <r>
      <t xml:space="preserve">Weight loss if BMI &gt; </t>
    </r>
    <r>
      <rPr>
        <u/>
        <sz val="10"/>
        <color indexed="60"/>
        <rFont val="Arial"/>
        <family val="2"/>
      </rPr>
      <t>25</t>
    </r>
  </si>
  <si>
    <t>General nutrition</t>
  </si>
  <si>
    <t>Pre-conception counseling if indicated</t>
  </si>
  <si>
    <t>Basic female/male anatomy</t>
  </si>
  <si>
    <t>Prevention counseling HIV/STI</t>
  </si>
  <si>
    <t>BSE/TSE offered</t>
  </si>
  <si>
    <t>Emergency contraception</t>
  </si>
  <si>
    <t>Specific method</t>
  </si>
  <si>
    <t>Education/counseling documented</t>
  </si>
  <si>
    <t>Signed by clinician/staff include name, title, date</t>
  </si>
  <si>
    <t>Complete, legible, accurate</t>
  </si>
  <si>
    <t>Continuing care/referral/follow-up</t>
  </si>
  <si>
    <r>
      <t xml:space="preserve">FOBT for women </t>
    </r>
    <r>
      <rPr>
        <u/>
        <sz val="10"/>
        <color indexed="8"/>
        <rFont val="Arial"/>
        <family val="2"/>
      </rPr>
      <t>&gt;</t>
    </r>
    <r>
      <rPr>
        <sz val="10"/>
        <color indexed="8"/>
        <rFont val="Arial"/>
        <family val="2"/>
      </rPr>
      <t xml:space="preserve"> 50years old                                    Offer to men </t>
    </r>
    <r>
      <rPr>
        <u/>
        <sz val="10"/>
        <color indexed="8"/>
        <rFont val="Arial"/>
        <family val="2"/>
      </rPr>
      <t>&gt;</t>
    </r>
    <r>
      <rPr>
        <sz val="10"/>
        <color indexed="8"/>
        <rFont val="Arial"/>
        <family val="2"/>
      </rPr>
      <t xml:space="preserve"> 50 years old                                         </t>
    </r>
  </si>
  <si>
    <t>Diagnostic/therapeutic orders correctly written: including name of medication, dosage, route, amount dispensed</t>
  </si>
  <si>
    <t xml:space="preserve">3 month method evaluation after new start documented with appropriate history and assessment    </t>
  </si>
  <si>
    <t>Revisit recommendation according to method documented</t>
  </si>
  <si>
    <t>Treatment/special instructions</t>
  </si>
  <si>
    <t>Appropriateness of method choice; consistent with abnormal lab work, referral(s) made</t>
  </si>
  <si>
    <t>Assessment</t>
  </si>
  <si>
    <t>Notification and follow up for abnormal results</t>
  </si>
  <si>
    <t>Health maintenance testing (BS, cholesterol, HGB)</t>
  </si>
  <si>
    <t>If at risk for HIV, referred for testing or tested for HIV</t>
  </si>
  <si>
    <r>
      <t xml:space="preserve">If CT/GC test done for </t>
    </r>
    <r>
      <rPr>
        <u/>
        <sz val="10"/>
        <color indexed="60"/>
        <rFont val="Arial"/>
        <family val="2"/>
      </rPr>
      <t>&gt;</t>
    </r>
    <r>
      <rPr>
        <sz val="10"/>
        <color indexed="60"/>
        <rFont val="Arial"/>
        <family val="2"/>
      </rPr>
      <t xml:space="preserve"> 25, done for risk factors: new partner in last 60 days; multiple sex partners in past 60 days; positive CT in past 3 months; symptomatic for MPC, PID, urethral discharge; STI contact.</t>
    </r>
  </si>
  <si>
    <t>CT/GC test if female &lt; 25 years old</t>
  </si>
  <si>
    <t>Pap test starting at 21 yo; q 2years 21 - 30 yo; q 2-3- years 30 and older if meet criteria.</t>
  </si>
  <si>
    <t>As indicated by history</t>
  </si>
  <si>
    <t>Ordered per method requirement</t>
  </si>
  <si>
    <t>Lab tests</t>
  </si>
  <si>
    <t>If indicated/requested: height ,weight, BMI, BPthyroid, heart, lungs, breasts, abdomen, genitalia, extremities, rectal exam</t>
  </si>
  <si>
    <t>Physical exam (male)</t>
  </si>
  <si>
    <t xml:space="preserve">If indicated: thyroid, heart, lungs, breasts, abdomen, speculum and bimanual exam, extremities, rectal exam (18 and younger, exam only if indicated; 19 and 20 years old, pelvic exam only if indicated) </t>
  </si>
  <si>
    <t>Height, weight, BMI, BP</t>
  </si>
  <si>
    <t>Physical exam (female)</t>
  </si>
  <si>
    <t>Urological conditions</t>
  </si>
  <si>
    <t>STI, including HIV and HBV</t>
  </si>
  <si>
    <t>Sexual history</t>
  </si>
  <si>
    <t>Reproductive history (male)</t>
  </si>
  <si>
    <t>DES, if applicable</t>
  </si>
  <si>
    <t>Pap test history</t>
  </si>
  <si>
    <t>STI/including HIV and HBV</t>
  </si>
  <si>
    <t>Menstrual, LMP, sexual, OB, gyn history</t>
  </si>
  <si>
    <t>Contraceptive use past/present</t>
  </si>
  <si>
    <t>Reproductive history (female)</t>
  </si>
  <si>
    <t>Partner(s) history (injectable drug use, multiple partners, STD/HIV risk history, bisexuality)</t>
  </si>
  <si>
    <t>HIV risk (IV drug use; MSM, money or drugs for sex; blood transfusion before 1986; recipient of artificial insemination, bone or tissue transplant; dx with other STI(s); multiple partners)</t>
  </si>
  <si>
    <t>Pertinent family history</t>
  </si>
  <si>
    <t xml:space="preserve">Immunization/Rubella/ HPV </t>
  </si>
  <si>
    <t>Use of tobacco, alcohol, drugs</t>
  </si>
  <si>
    <t>Current use of medication</t>
  </si>
  <si>
    <t>Significant illness, hospitalizations, surgery, exposure to blood products, chronic or acute medical problems</t>
  </si>
  <si>
    <t>Allergies/reaction to drugs documented</t>
  </si>
  <si>
    <t>History includes documentation of (male/female): Complete medical history obtained at initial  visit/updated at subsequent visits</t>
  </si>
  <si>
    <t>Where and how to contact/includes emergency contact information</t>
  </si>
  <si>
    <t>Client's name/ID on each page</t>
  </si>
  <si>
    <t>Client information</t>
  </si>
  <si>
    <r>
      <t xml:space="preserve">Contraceptive Method </t>
    </r>
    <r>
      <rPr>
        <b/>
        <sz val="10"/>
        <color indexed="8"/>
        <rFont val="Calibri"/>
        <family val="2"/>
      </rPr>
      <t>→</t>
    </r>
  </si>
  <si>
    <r>
      <t xml:space="preserve">BMI </t>
    </r>
    <r>
      <rPr>
        <b/>
        <sz val="10"/>
        <color indexed="8"/>
        <rFont val="Calibri"/>
        <family val="2"/>
      </rPr>
      <t>→</t>
    </r>
  </si>
  <si>
    <r>
      <t xml:space="preserve">Age </t>
    </r>
    <r>
      <rPr>
        <b/>
        <sz val="10"/>
        <color indexed="8"/>
        <rFont val="Calibri"/>
        <family val="2"/>
      </rPr>
      <t>→</t>
    </r>
  </si>
  <si>
    <t>Reviewer_________________________</t>
  </si>
  <si>
    <t>Pts possible
(based on fields used)</t>
  </si>
  <si>
    <t>Fields used</t>
  </si>
  <si>
    <t>Percentage Score</t>
  </si>
  <si>
    <t>Total Points</t>
  </si>
  <si>
    <t>Comments</t>
  </si>
  <si>
    <r>
      <t xml:space="preserve">Chart Number </t>
    </r>
    <r>
      <rPr>
        <b/>
        <sz val="10"/>
        <color indexed="8"/>
        <rFont val="Calibri"/>
        <family val="2"/>
      </rPr>
      <t>↓</t>
    </r>
  </si>
  <si>
    <r>
      <t xml:space="preserve">Chart number </t>
    </r>
    <r>
      <rPr>
        <b/>
        <sz val="10"/>
        <color indexed="8"/>
        <rFont val="Calibri"/>
        <family val="2"/>
      </rPr>
      <t>↓</t>
    </r>
  </si>
  <si>
    <t>Facility___________________________</t>
  </si>
  <si>
    <t>Do NOT edit</t>
  </si>
  <si>
    <r>
      <t xml:space="preserve">Scoring: </t>
    </r>
    <r>
      <rPr>
        <b/>
        <sz val="10"/>
        <color indexed="8"/>
        <rFont val="Arial"/>
        <family val="2"/>
      </rPr>
      <t>0</t>
    </r>
    <r>
      <rPr>
        <sz val="10"/>
        <color indexed="8"/>
        <rFont val="Arial"/>
        <family val="2"/>
      </rPr>
      <t xml:space="preserve"> = Out of Compliance; </t>
    </r>
    <r>
      <rPr>
        <b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 xml:space="preserve"> = Out of Compliance (? Risk); </t>
    </r>
    <r>
      <rPr>
        <b/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 xml:space="preserve"> = Out of Compliance (No Risk); </t>
    </r>
    <r>
      <rPr>
        <b/>
        <sz val="10"/>
        <color indexed="8"/>
        <rFont val="Arial"/>
        <family val="2"/>
      </rPr>
      <t>8</t>
    </r>
    <r>
      <rPr>
        <sz val="10"/>
        <color indexed="8"/>
        <rFont val="Arial"/>
        <family val="2"/>
      </rPr>
      <t xml:space="preserve"> = Could be more Compliant; </t>
    </r>
    <r>
      <rPr>
        <b/>
        <sz val="10"/>
        <color indexed="8"/>
        <rFont val="Arial"/>
        <family val="2"/>
      </rPr>
      <t>10</t>
    </r>
    <r>
      <rPr>
        <sz val="10"/>
        <color indexed="8"/>
        <rFont val="Arial"/>
        <family val="2"/>
      </rPr>
      <t xml:space="preserve"> = In Compliance</t>
    </r>
  </si>
  <si>
    <t>Date of Review_____________________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</si>
</sst>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u/>
      <sz val="10"/>
      <color indexed="60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9" fontId="2" fillId="2" borderId="2" xfId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top" wrapText="1"/>
    </xf>
    <xf numFmtId="10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4" xfId="0" applyFont="1" applyFill="1" applyBorder="1" applyAlignment="1">
      <alignment vertical="top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3" borderId="8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center" wrapText="1"/>
    </xf>
    <xf numFmtId="10" fontId="2" fillId="4" borderId="9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top" wrapText="1"/>
    </xf>
    <xf numFmtId="0" fontId="2" fillId="0" borderId="12" xfId="0" applyFont="1" applyBorder="1" applyAlignment="1">
      <alignment vertical="center" wrapText="1"/>
    </xf>
    <xf numFmtId="0" fontId="3" fillId="3" borderId="8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10" fontId="2" fillId="4" borderId="14" xfId="0" applyNumberFormat="1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top" wrapText="1"/>
    </xf>
    <xf numFmtId="0" fontId="2" fillId="0" borderId="16" xfId="0" applyFont="1" applyBorder="1" applyAlignment="1">
      <alignment vertical="center" wrapText="1"/>
    </xf>
    <xf numFmtId="0" fontId="4" fillId="3" borderId="8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top" wrapText="1"/>
    </xf>
    <xf numFmtId="0" fontId="2" fillId="4" borderId="1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zoomScaleNormal="100" zoomScaleSheetLayoutView="71" workbookViewId="0">
      <pane xSplit="1" ySplit="2" topLeftCell="D59" activePane="bottomRight" state="frozenSplit"/>
      <selection activeCell="F31" sqref="F31"/>
      <selection pane="topRight" activeCell="F31" sqref="F31"/>
      <selection pane="bottomLeft" activeCell="F31" sqref="F31"/>
      <selection pane="bottomRight" activeCell="O82" sqref="O82"/>
    </sheetView>
  </sheetViews>
  <sheetFormatPr defaultColWidth="20.7109375" defaultRowHeight="30" customHeight="1"/>
  <cols>
    <col min="1" max="1" width="32.7109375" style="3" customWidth="1"/>
    <col min="2" max="2" width="16" style="2" bestFit="1" customWidth="1"/>
    <col min="3" max="3" width="20.7109375" style="2"/>
    <col min="4" max="4" width="16" style="2" bestFit="1" customWidth="1"/>
    <col min="5" max="5" width="20.7109375" style="2"/>
    <col min="6" max="6" width="15.85546875" style="2" bestFit="1" customWidth="1"/>
    <col min="7" max="7" width="20.7109375" style="2"/>
    <col min="8" max="8" width="16" style="2" bestFit="1" customWidth="1"/>
    <col min="9" max="9" width="20.7109375" style="2"/>
    <col min="10" max="10" width="16" style="2" bestFit="1" customWidth="1"/>
    <col min="11" max="11" width="20.7109375" style="2"/>
    <col min="12" max="12" width="15.5703125" style="2" customWidth="1"/>
    <col min="13" max="13" width="14.85546875" style="2" customWidth="1"/>
    <col min="14" max="15" width="8.5703125" style="2" customWidth="1"/>
    <col min="16" max="16" width="20.7109375" style="2"/>
    <col min="17" max="17" width="27.7109375" style="1" customWidth="1"/>
    <col min="18" max="16384" width="20.7109375" style="1"/>
  </cols>
  <sheetData>
    <row r="1" spans="1:17" ht="30" customHeight="1" thickBot="1">
      <c r="A1" s="59" t="s">
        <v>89</v>
      </c>
      <c r="B1" s="58" t="s">
        <v>88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7"/>
      <c r="N1" s="1"/>
      <c r="O1" s="1"/>
      <c r="P1" s="56" t="s">
        <v>87</v>
      </c>
      <c r="Q1" s="56" t="s">
        <v>87</v>
      </c>
    </row>
    <row r="2" spans="1:17" s="42" customFormat="1" ht="30" customHeight="1" thickBot="1">
      <c r="A2" s="55" t="s">
        <v>86</v>
      </c>
      <c r="B2" s="54" t="s">
        <v>84</v>
      </c>
      <c r="C2" s="54" t="s">
        <v>83</v>
      </c>
      <c r="D2" s="54" t="s">
        <v>84</v>
      </c>
      <c r="E2" s="54" t="s">
        <v>83</v>
      </c>
      <c r="F2" s="54" t="s">
        <v>85</v>
      </c>
      <c r="G2" s="54" t="s">
        <v>83</v>
      </c>
      <c r="H2" s="54" t="s">
        <v>84</v>
      </c>
      <c r="I2" s="54" t="s">
        <v>83</v>
      </c>
      <c r="J2" s="54" t="s">
        <v>84</v>
      </c>
      <c r="K2" s="52" t="s">
        <v>83</v>
      </c>
      <c r="L2" s="53" t="s">
        <v>82</v>
      </c>
      <c r="M2" s="52" t="s">
        <v>81</v>
      </c>
      <c r="N2" s="51"/>
      <c r="P2" s="50" t="s">
        <v>80</v>
      </c>
      <c r="Q2" s="50" t="s">
        <v>79</v>
      </c>
    </row>
    <row r="3" spans="1:17" s="42" customFormat="1" ht="30" customHeight="1">
      <c r="A3" s="49" t="s">
        <v>78</v>
      </c>
      <c r="B3" s="46"/>
      <c r="C3" s="46"/>
      <c r="D3" s="46"/>
      <c r="E3" s="46"/>
      <c r="F3" s="46"/>
      <c r="G3" s="46"/>
      <c r="H3" s="46"/>
      <c r="I3" s="46"/>
      <c r="J3" s="46"/>
      <c r="K3" s="48"/>
      <c r="L3" s="47"/>
      <c r="M3" s="46"/>
      <c r="P3" s="43"/>
    </row>
    <row r="4" spans="1:17" s="42" customFormat="1" ht="15" customHeight="1">
      <c r="A4" s="45" t="s">
        <v>77</v>
      </c>
      <c r="B4" s="43"/>
      <c r="C4" s="43"/>
      <c r="D4" s="43"/>
      <c r="E4" s="43"/>
      <c r="F4" s="43"/>
      <c r="G4" s="43"/>
      <c r="H4" s="43"/>
      <c r="I4" s="43"/>
      <c r="J4" s="43"/>
      <c r="K4" s="44"/>
      <c r="L4" s="13"/>
      <c r="M4" s="43"/>
      <c r="P4" s="43"/>
    </row>
    <row r="5" spans="1:17" s="42" customFormat="1" ht="15" customHeight="1">
      <c r="A5" s="45" t="s">
        <v>76</v>
      </c>
      <c r="B5" s="43"/>
      <c r="C5" s="43"/>
      <c r="D5" s="43"/>
      <c r="E5" s="43"/>
      <c r="F5" s="43"/>
      <c r="G5" s="43"/>
      <c r="H5" s="43"/>
      <c r="I5" s="43"/>
      <c r="J5" s="43"/>
      <c r="K5" s="44"/>
      <c r="L5" s="13"/>
      <c r="M5" s="43"/>
      <c r="P5" s="43"/>
    </row>
    <row r="6" spans="1:17" s="42" customFormat="1" ht="15" customHeight="1" thickBot="1">
      <c r="A6" s="45" t="s">
        <v>75</v>
      </c>
      <c r="B6" s="43"/>
      <c r="C6" s="43"/>
      <c r="D6" s="43"/>
      <c r="E6" s="43"/>
      <c r="F6" s="43"/>
      <c r="G6" s="43"/>
      <c r="H6" s="43"/>
      <c r="I6" s="43"/>
      <c r="J6" s="43"/>
      <c r="K6" s="44"/>
      <c r="L6" s="13"/>
      <c r="M6" s="43"/>
      <c r="P6" s="43"/>
    </row>
    <row r="7" spans="1:17" ht="15" customHeight="1" thickBot="1">
      <c r="A7" s="41" t="s">
        <v>74</v>
      </c>
      <c r="B7" s="40"/>
      <c r="C7" s="40"/>
      <c r="D7" s="40"/>
      <c r="E7" s="40"/>
      <c r="F7" s="40"/>
      <c r="G7" s="40"/>
      <c r="H7" s="40"/>
      <c r="I7" s="40"/>
      <c r="J7" s="40"/>
      <c r="K7" s="39"/>
      <c r="L7" s="26">
        <f>SUM(B8:B9,D8:D9,F8:F9,H8:H9,J8:J9)</f>
        <v>0</v>
      </c>
      <c r="M7" s="25" t="e">
        <f>SUM(L7/Q7)</f>
        <v>#DIV/0!</v>
      </c>
      <c r="N7" s="1"/>
      <c r="O7" s="1"/>
      <c r="P7" s="2">
        <f>SUM(P8:P9)</f>
        <v>0</v>
      </c>
      <c r="Q7" s="1">
        <f>P7*10</f>
        <v>0</v>
      </c>
    </row>
    <row r="8" spans="1:17" ht="22.5" customHeight="1">
      <c r="A8" s="15" t="s">
        <v>73</v>
      </c>
      <c r="K8" s="14"/>
      <c r="L8" s="13">
        <f>SUM(B8,D8,F8,H8,J8)</f>
        <v>0</v>
      </c>
      <c r="M8" s="12" t="e">
        <f>SUM(L8/Q8)</f>
        <v>#DIV/0!</v>
      </c>
      <c r="N8" s="1"/>
      <c r="O8" s="1"/>
      <c r="P8" s="2">
        <f>COUNTA(J8,H8,F8,D8,B8)</f>
        <v>0</v>
      </c>
      <c r="Q8" s="1">
        <f>P8*10</f>
        <v>0</v>
      </c>
    </row>
    <row r="9" spans="1:17" ht="30" customHeight="1" thickBot="1">
      <c r="A9" s="15" t="s">
        <v>72</v>
      </c>
      <c r="K9" s="14"/>
      <c r="L9" s="13">
        <f>SUM(B9,D9,F9,H9,J9)</f>
        <v>0</v>
      </c>
      <c r="M9" s="12" t="e">
        <f>SUM(L9/Q9)</f>
        <v>#DIV/0!</v>
      </c>
      <c r="N9" s="1"/>
      <c r="O9" s="1"/>
      <c r="P9" s="2">
        <f>COUNTA(J9,H9,F9,D9,B9)</f>
        <v>0</v>
      </c>
      <c r="Q9" s="1">
        <f>P9*10</f>
        <v>0</v>
      </c>
    </row>
    <row r="10" spans="1:17" ht="52.15" customHeight="1" thickBot="1">
      <c r="A10" s="21" t="s">
        <v>71</v>
      </c>
      <c r="B10" s="20"/>
      <c r="C10" s="20"/>
      <c r="D10" s="20"/>
      <c r="E10" s="20"/>
      <c r="F10" s="20"/>
      <c r="G10" s="20"/>
      <c r="H10" s="20"/>
      <c r="I10" s="20"/>
      <c r="J10" s="20"/>
      <c r="K10" s="32"/>
      <c r="L10" s="26">
        <f>SUM(B11:B18,D11:D18,F11:F18,H11:H18,J11:J18)</f>
        <v>0</v>
      </c>
      <c r="M10" s="25" t="e">
        <f>SUM(L10/Q10)</f>
        <v>#DIV/0!</v>
      </c>
      <c r="N10" s="16"/>
      <c r="O10" s="1"/>
      <c r="P10" s="2">
        <f>SUM(P11:P18)</f>
        <v>0</v>
      </c>
      <c r="Q10" s="1">
        <f>P10*10</f>
        <v>0</v>
      </c>
    </row>
    <row r="11" spans="1:17" ht="30" customHeight="1">
      <c r="A11" s="15" t="s">
        <v>70</v>
      </c>
      <c r="K11" s="14"/>
      <c r="L11" s="13">
        <f>SUM(B11,D11,F11,H11,J11)</f>
        <v>0</v>
      </c>
      <c r="M11" s="12" t="e">
        <f>SUM(L11/Q11)</f>
        <v>#DIV/0!</v>
      </c>
      <c r="N11" s="1"/>
      <c r="O11" s="1"/>
      <c r="P11" s="2">
        <f>COUNTA(J11,H11,F11,D11,B11)</f>
        <v>0</v>
      </c>
      <c r="Q11" s="1">
        <f>P11*10</f>
        <v>0</v>
      </c>
    </row>
    <row r="12" spans="1:17" ht="39.75" customHeight="1">
      <c r="A12" s="15" t="s">
        <v>69</v>
      </c>
      <c r="K12" s="14"/>
      <c r="L12" s="13">
        <f>SUM(B12,D12,F12,H12,J12)</f>
        <v>0</v>
      </c>
      <c r="M12" s="12" t="e">
        <f>SUM(L12/Q12)</f>
        <v>#DIV/0!</v>
      </c>
      <c r="N12" s="1"/>
      <c r="O12" s="1"/>
      <c r="P12" s="2">
        <f>COUNTA(J12,H12,F12,D12,B12)</f>
        <v>0</v>
      </c>
      <c r="Q12" s="1">
        <f>P12*10</f>
        <v>0</v>
      </c>
    </row>
    <row r="13" spans="1:17" ht="21" customHeight="1">
      <c r="A13" s="15" t="s">
        <v>68</v>
      </c>
      <c r="K13" s="14"/>
      <c r="L13" s="13">
        <f>SUM(B13,D13,F13,H13,J13)</f>
        <v>0</v>
      </c>
      <c r="M13" s="12" t="e">
        <f>SUM(L13/Q13)</f>
        <v>#DIV/0!</v>
      </c>
      <c r="N13" s="1"/>
      <c r="O13" s="1"/>
      <c r="P13" s="2">
        <f>COUNTA(J13,H13,F13,D13,B13)</f>
        <v>0</v>
      </c>
      <c r="Q13" s="1">
        <f>P13*10</f>
        <v>0</v>
      </c>
    </row>
    <row r="14" spans="1:17" ht="20.25" customHeight="1">
      <c r="A14" s="15" t="s">
        <v>67</v>
      </c>
      <c r="K14" s="14"/>
      <c r="L14" s="13">
        <f>SUM(B14,D14,F14,H14,J14)</f>
        <v>0</v>
      </c>
      <c r="M14" s="12" t="e">
        <f>SUM(L14/Q14)</f>
        <v>#DIV/0!</v>
      </c>
      <c r="N14" s="1"/>
      <c r="O14" s="1"/>
      <c r="P14" s="2">
        <f>COUNTA(J14,H14,F14,D14,B14)</f>
        <v>0</v>
      </c>
      <c r="Q14" s="1">
        <f>P14*10</f>
        <v>0</v>
      </c>
    </row>
    <row r="15" spans="1:17" ht="21" customHeight="1">
      <c r="A15" s="15" t="s">
        <v>66</v>
      </c>
      <c r="K15" s="14"/>
      <c r="L15" s="13">
        <f>SUM(B15,D15,F15,H15,J15)</f>
        <v>0</v>
      </c>
      <c r="M15" s="12" t="e">
        <f>SUM(L15/Q15)</f>
        <v>#DIV/0!</v>
      </c>
      <c r="N15" s="1"/>
      <c r="O15" s="1"/>
      <c r="P15" s="2">
        <f>COUNTA(J15,H15,F15,D15,B15)</f>
        <v>0</v>
      </c>
      <c r="Q15" s="1">
        <f>P15*10</f>
        <v>0</v>
      </c>
    </row>
    <row r="16" spans="1:17" ht="21.75" customHeight="1">
      <c r="A16" s="15" t="s">
        <v>65</v>
      </c>
      <c r="K16" s="14"/>
      <c r="L16" s="13">
        <f>SUM(B16,D16,F16,H16,J16)</f>
        <v>0</v>
      </c>
      <c r="M16" s="12" t="e">
        <f>SUM(L16/Q16)</f>
        <v>#DIV/0!</v>
      </c>
      <c r="N16" s="1"/>
      <c r="O16" s="1"/>
      <c r="P16" s="2">
        <f>COUNTA(J16,H16,F16,D16,B16)</f>
        <v>0</v>
      </c>
      <c r="Q16" s="1">
        <f>P16*10</f>
        <v>0</v>
      </c>
    </row>
    <row r="17" spans="1:17" ht="82.5" customHeight="1">
      <c r="A17" s="15" t="s">
        <v>64</v>
      </c>
      <c r="K17" s="14"/>
      <c r="L17" s="13">
        <f>SUM(B17,D17,F17,H17,J17)</f>
        <v>0</v>
      </c>
      <c r="M17" s="12" t="e">
        <f>SUM(L17/Q17)</f>
        <v>#DIV/0!</v>
      </c>
      <c r="N17" s="1"/>
      <c r="O17" s="1"/>
      <c r="P17" s="2">
        <f>COUNTA(J17,H17,F17,D17,B17)</f>
        <v>0</v>
      </c>
      <c r="Q17" s="1">
        <f>P17*10</f>
        <v>0</v>
      </c>
    </row>
    <row r="18" spans="1:17" ht="42" customHeight="1" thickBot="1">
      <c r="A18" s="15" t="s">
        <v>63</v>
      </c>
      <c r="K18" s="14"/>
      <c r="L18" s="13">
        <f>SUM(B18,D18,F18,H18,J18)</f>
        <v>0</v>
      </c>
      <c r="M18" s="12" t="e">
        <f>SUM(L18/Q18)</f>
        <v>#DIV/0!</v>
      </c>
      <c r="N18" s="1"/>
      <c r="O18" s="1"/>
      <c r="P18" s="2">
        <f>COUNTA(J18,H18,F18,D18,B18)</f>
        <v>0</v>
      </c>
      <c r="Q18" s="1">
        <f>P18*10</f>
        <v>0</v>
      </c>
    </row>
    <row r="19" spans="1:17" ht="15" customHeight="1" thickBot="1">
      <c r="A19" s="21" t="s">
        <v>62</v>
      </c>
      <c r="B19" s="20"/>
      <c r="C19" s="20"/>
      <c r="D19" s="20"/>
      <c r="E19" s="20"/>
      <c r="F19" s="20"/>
      <c r="G19" s="20"/>
      <c r="H19" s="20"/>
      <c r="I19" s="20"/>
      <c r="J19" s="20"/>
      <c r="K19" s="32"/>
      <c r="L19" s="26">
        <f>SUM(B20:B24,D20:D24,F20:F24,H20:H24,J20:J24)</f>
        <v>0</v>
      </c>
      <c r="M19" s="25" t="e">
        <f>SUM(L19/Q19)</f>
        <v>#DIV/0!</v>
      </c>
      <c r="N19" s="16"/>
      <c r="O19" s="1"/>
      <c r="P19" s="2">
        <f>SUM(P20:P24)</f>
        <v>0</v>
      </c>
      <c r="Q19" s="1">
        <f>P19*10</f>
        <v>0</v>
      </c>
    </row>
    <row r="20" spans="1:17" ht="22.5" customHeight="1">
      <c r="A20" s="15" t="s">
        <v>61</v>
      </c>
      <c r="K20" s="14"/>
      <c r="L20" s="13">
        <f>SUM(B20,D20,F20,H20,J20)</f>
        <v>0</v>
      </c>
      <c r="M20" s="12" t="e">
        <f>SUM(L20/Q20)</f>
        <v>#DIV/0!</v>
      </c>
      <c r="N20" s="1"/>
      <c r="O20" s="1"/>
      <c r="P20" s="2">
        <f>COUNTA(J20,H20,F20,D20,B20)</f>
        <v>0</v>
      </c>
      <c r="Q20" s="1">
        <f>P20*10</f>
        <v>0</v>
      </c>
    </row>
    <row r="21" spans="1:17" ht="26.25" customHeight="1">
      <c r="A21" s="15" t="s">
        <v>60</v>
      </c>
      <c r="K21" s="14"/>
      <c r="L21" s="13">
        <f>SUM(B21,D21,F21,H21,J21)</f>
        <v>0</v>
      </c>
      <c r="M21" s="12" t="e">
        <f>SUM(L21/Q21)</f>
        <v>#DIV/0!</v>
      </c>
      <c r="N21" s="1"/>
      <c r="O21" s="1"/>
      <c r="P21" s="2">
        <f>COUNTA(J21,H21,F21,D21,B21)</f>
        <v>0</v>
      </c>
      <c r="Q21" s="1">
        <f>P21*10</f>
        <v>0</v>
      </c>
    </row>
    <row r="22" spans="1:17" ht="21.75" customHeight="1">
      <c r="A22" s="15" t="s">
        <v>59</v>
      </c>
      <c r="K22" s="14"/>
      <c r="L22" s="13">
        <f>SUM(B22,D22,F22,H22,J22)</f>
        <v>0</v>
      </c>
      <c r="M22" s="12" t="e">
        <f>SUM(L22/Q22)</f>
        <v>#DIV/0!</v>
      </c>
      <c r="N22" s="1"/>
      <c r="O22" s="1"/>
      <c r="P22" s="2">
        <f>COUNTA(J22,H22,F22,D22,B22)</f>
        <v>0</v>
      </c>
      <c r="Q22" s="1">
        <f>P22*10</f>
        <v>0</v>
      </c>
    </row>
    <row r="23" spans="1:17" ht="21" customHeight="1">
      <c r="A23" s="15" t="s">
        <v>58</v>
      </c>
      <c r="K23" s="14"/>
      <c r="L23" s="13">
        <f>SUM(B23,D23,F23,H23,J23)</f>
        <v>0</v>
      </c>
      <c r="M23" s="12" t="e">
        <f>SUM(L23/Q23)</f>
        <v>#DIV/0!</v>
      </c>
      <c r="N23" s="1"/>
      <c r="O23" s="1"/>
      <c r="P23" s="2">
        <f>COUNTA(J23,H23,F23,D23,B23)</f>
        <v>0</v>
      </c>
      <c r="Q23" s="1">
        <f>P23*10</f>
        <v>0</v>
      </c>
    </row>
    <row r="24" spans="1:17" ht="19.5" customHeight="1" thickBot="1">
      <c r="A24" s="15" t="s">
        <v>57</v>
      </c>
      <c r="K24" s="14"/>
      <c r="L24" s="13">
        <f>SUM(B24,D24,F24,H24,J24)</f>
        <v>0</v>
      </c>
      <c r="M24" s="12" t="e">
        <f>SUM(L24/Q24)</f>
        <v>#DIV/0!</v>
      </c>
      <c r="N24" s="1"/>
      <c r="O24" s="1"/>
      <c r="P24" s="2">
        <f>COUNTA(J24,H24,F24,D24,B24)</f>
        <v>0</v>
      </c>
      <c r="Q24" s="1">
        <f>P24*10</f>
        <v>0</v>
      </c>
    </row>
    <row r="25" spans="1:17" ht="15" customHeight="1" thickBot="1">
      <c r="A25" s="21" t="s">
        <v>56</v>
      </c>
      <c r="B25" s="20"/>
      <c r="C25" s="20"/>
      <c r="D25" s="20"/>
      <c r="E25" s="20"/>
      <c r="F25" s="20"/>
      <c r="G25" s="20"/>
      <c r="H25" s="20"/>
      <c r="I25" s="20"/>
      <c r="J25" s="20"/>
      <c r="K25" s="32"/>
      <c r="L25" s="26">
        <f>SUM(B26:B28,D26:D28,F26:F28,H26:H28,J26:J28)</f>
        <v>0</v>
      </c>
      <c r="M25" s="25" t="e">
        <f>SUM(L25/Q25)</f>
        <v>#DIV/0!</v>
      </c>
      <c r="N25" s="16"/>
      <c r="O25" s="1"/>
      <c r="P25" s="2">
        <f>SUM(P26:P28)</f>
        <v>0</v>
      </c>
      <c r="Q25" s="1">
        <f>P25*10</f>
        <v>0</v>
      </c>
    </row>
    <row r="26" spans="1:17" ht="19.5" customHeight="1">
      <c r="A26" s="15" t="s">
        <v>55</v>
      </c>
      <c r="K26" s="14"/>
      <c r="L26" s="13">
        <f>SUM(B26,D26,F26,H26,J26)</f>
        <v>0</v>
      </c>
      <c r="M26" s="12" t="e">
        <f>SUM(L26/Q26)</f>
        <v>#DIV/0!</v>
      </c>
      <c r="N26" s="1"/>
      <c r="O26" s="1"/>
      <c r="P26" s="2">
        <f>COUNTA(J26,H26,F26,D26,B26)</f>
        <v>0</v>
      </c>
      <c r="Q26" s="1">
        <f>P26*10</f>
        <v>0</v>
      </c>
    </row>
    <row r="27" spans="1:17" ht="18.75" customHeight="1">
      <c r="A27" s="15" t="s">
        <v>54</v>
      </c>
      <c r="K27" s="14"/>
      <c r="L27" s="13">
        <f>SUM(B27,D27,F27,H27,J27)</f>
        <v>0</v>
      </c>
      <c r="M27" s="12" t="e">
        <f>SUM(L27/Q27)</f>
        <v>#DIV/0!</v>
      </c>
      <c r="N27" s="1"/>
      <c r="O27" s="1"/>
      <c r="P27" s="2">
        <f>COUNTA(J27,H27,F27,D27,B27)</f>
        <v>0</v>
      </c>
      <c r="Q27" s="1">
        <f>P27*10</f>
        <v>0</v>
      </c>
    </row>
    <row r="28" spans="1:17" ht="20.25" customHeight="1" thickBot="1">
      <c r="A28" s="15" t="s">
        <v>53</v>
      </c>
      <c r="K28" s="14"/>
      <c r="L28" s="13">
        <f>SUM(B28,D28,F28,H28,J28)</f>
        <v>0</v>
      </c>
      <c r="M28" s="12" t="e">
        <f>SUM(L28/Q28)</f>
        <v>#DIV/0!</v>
      </c>
      <c r="N28" s="1"/>
      <c r="O28" s="1"/>
      <c r="P28" s="2">
        <f>COUNTA(J28,H28,F28,D28,B28)</f>
        <v>0</v>
      </c>
      <c r="Q28" s="1">
        <f>P28*10</f>
        <v>0</v>
      </c>
    </row>
    <row r="29" spans="1:17" ht="15" customHeight="1" thickBot="1">
      <c r="A29" s="21" t="s">
        <v>52</v>
      </c>
      <c r="B29" s="20"/>
      <c r="C29" s="20"/>
      <c r="D29" s="20"/>
      <c r="E29" s="20"/>
      <c r="F29" s="20"/>
      <c r="G29" s="20"/>
      <c r="H29" s="20"/>
      <c r="I29" s="20"/>
      <c r="J29" s="20"/>
      <c r="K29" s="32"/>
      <c r="L29" s="26">
        <f>SUM(B30:B31,D30:D31,F30:F31,H30:H31,J30:J31)</f>
        <v>0</v>
      </c>
      <c r="M29" s="25" t="e">
        <f>SUM(L29/Q29)</f>
        <v>#DIV/0!</v>
      </c>
      <c r="N29" s="16"/>
      <c r="O29" s="1"/>
      <c r="P29" s="2">
        <f>SUM(P30:P31)</f>
        <v>0</v>
      </c>
      <c r="Q29" s="1">
        <f>P29*10</f>
        <v>0</v>
      </c>
    </row>
    <row r="30" spans="1:17" ht="25.5" customHeight="1">
      <c r="A30" s="15" t="s">
        <v>51</v>
      </c>
      <c r="K30" s="36"/>
      <c r="L30" s="13">
        <f>SUM(B30,D30,F30,H30,J30)</f>
        <v>0</v>
      </c>
      <c r="M30" s="12" t="e">
        <f>SUM(L30/Q30)</f>
        <v>#DIV/0!</v>
      </c>
      <c r="N30" s="1"/>
      <c r="O30" s="1"/>
      <c r="P30" s="2">
        <f>COUNTA(J30,H30,F30,D30,B30)</f>
        <v>0</v>
      </c>
      <c r="Q30" s="1">
        <f>P30*10</f>
        <v>0</v>
      </c>
    </row>
    <row r="31" spans="1:17" ht="84.75" customHeight="1" thickBot="1">
      <c r="A31" s="15" t="s">
        <v>50</v>
      </c>
      <c r="K31" s="14"/>
      <c r="L31" s="13">
        <f>SUM(B31,D31,F31,H31,J31)</f>
        <v>0</v>
      </c>
      <c r="M31" s="12" t="e">
        <f>SUM(L31/Q31)</f>
        <v>#DIV/0!</v>
      </c>
      <c r="N31" s="1"/>
      <c r="O31" s="1"/>
      <c r="P31" s="2">
        <f>COUNTA(J31,H31,F31,D31,B31)</f>
        <v>0</v>
      </c>
      <c r="Q31" s="1">
        <f>P31*10</f>
        <v>0</v>
      </c>
    </row>
    <row r="32" spans="1:17" ht="15" customHeight="1" thickBot="1">
      <c r="A32" s="21" t="s">
        <v>49</v>
      </c>
      <c r="B32" s="20"/>
      <c r="C32" s="20"/>
      <c r="D32" s="20"/>
      <c r="E32" s="20"/>
      <c r="F32" s="20"/>
      <c r="G32" s="20"/>
      <c r="H32" s="20"/>
      <c r="I32" s="20"/>
      <c r="J32" s="20"/>
      <c r="K32" s="32"/>
      <c r="L32" s="26">
        <f>SUM(B33:D33:F33:H33:J33)</f>
        <v>0</v>
      </c>
      <c r="M32" s="25" t="e">
        <f>SUM(L32/Q32)</f>
        <v>#DIV/0!</v>
      </c>
      <c r="N32" s="16"/>
      <c r="O32" s="1"/>
      <c r="P32" s="2">
        <f>SUM(P33)</f>
        <v>0</v>
      </c>
      <c r="Q32" s="1">
        <f>P32*10</f>
        <v>0</v>
      </c>
    </row>
    <row r="33" spans="1:17" ht="55.5" customHeight="1" thickBot="1">
      <c r="A33" s="15" t="s">
        <v>48</v>
      </c>
      <c r="K33" s="14"/>
      <c r="L33" s="13">
        <f>SUM(B33,D33,F33,H33,J33)</f>
        <v>0</v>
      </c>
      <c r="M33" s="12" t="e">
        <f>SUM(L33/Q33)</f>
        <v>#DIV/0!</v>
      </c>
      <c r="N33" s="1"/>
      <c r="O33" s="1"/>
      <c r="P33" s="2">
        <f>COUNTA(J33,H33,F33,D33,B33)</f>
        <v>0</v>
      </c>
      <c r="Q33" s="1">
        <f>P33*10</f>
        <v>0</v>
      </c>
    </row>
    <row r="34" spans="1:17" ht="15" customHeight="1" thickBot="1">
      <c r="A34" s="21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32"/>
      <c r="L34" s="26">
        <f>SUM(B35:B42,D35:D42,F35:F42,H35:H42,J35:J42)</f>
        <v>0</v>
      </c>
      <c r="M34" s="25" t="e">
        <f>SUM(L34/Q34)</f>
        <v>#DIV/0!</v>
      </c>
      <c r="N34" s="16"/>
      <c r="O34" s="1"/>
      <c r="P34" s="2">
        <f>SUM(P35:P42)</f>
        <v>0</v>
      </c>
      <c r="Q34" s="1">
        <f>P34*10</f>
        <v>0</v>
      </c>
    </row>
    <row r="35" spans="1:17" ht="19.5" customHeight="1">
      <c r="A35" s="15" t="s">
        <v>46</v>
      </c>
      <c r="K35" s="14"/>
      <c r="L35" s="13">
        <f>SUM(B35,D35,F35,H35,J35)</f>
        <v>0</v>
      </c>
      <c r="M35" s="12" t="e">
        <f>SUM(L35/Q35)</f>
        <v>#DIV/0!</v>
      </c>
      <c r="N35" s="1"/>
      <c r="O35" s="1"/>
      <c r="P35" s="2">
        <f>COUNTA(J35,H35,F35,D35,B35)</f>
        <v>0</v>
      </c>
      <c r="Q35" s="1">
        <f>P35*10</f>
        <v>0</v>
      </c>
    </row>
    <row r="36" spans="1:17" ht="22.5" customHeight="1">
      <c r="A36" s="15" t="s">
        <v>45</v>
      </c>
      <c r="K36" s="14"/>
      <c r="L36" s="13">
        <f>SUM(B36,D36,F36,H36,J36)</f>
        <v>0</v>
      </c>
      <c r="M36" s="12" t="e">
        <f>SUM(L36/Q36)</f>
        <v>#DIV/0!</v>
      </c>
      <c r="N36" s="1"/>
      <c r="O36" s="1"/>
      <c r="P36" s="2">
        <f>COUNTA(J36,H36,F36,D36,B36)</f>
        <v>0</v>
      </c>
      <c r="Q36" s="1">
        <f>P36*10</f>
        <v>0</v>
      </c>
    </row>
    <row r="37" spans="1:17" ht="44.45" customHeight="1">
      <c r="A37" s="15" t="s">
        <v>44</v>
      </c>
      <c r="K37" s="14"/>
      <c r="L37" s="13">
        <f>SUM(B37,D37,F37,H37,J37)</f>
        <v>0</v>
      </c>
      <c r="M37" s="12" t="e">
        <f>SUM(L37/Q37)</f>
        <v>#DIV/0!</v>
      </c>
      <c r="N37" s="1"/>
      <c r="O37" s="1"/>
      <c r="P37" s="2">
        <f>COUNTA(J37,H37,F37,D37,B37)</f>
        <v>0</v>
      </c>
      <c r="Q37" s="1">
        <f>P37*10</f>
        <v>0</v>
      </c>
    </row>
    <row r="38" spans="1:17" ht="22.5" customHeight="1">
      <c r="A38" s="31" t="s">
        <v>43</v>
      </c>
      <c r="K38" s="14"/>
      <c r="L38" s="13">
        <f>SUM(B38,D38,F38,H38,J38)</f>
        <v>0</v>
      </c>
      <c r="M38" s="12" t="e">
        <f>SUM(L38/Q38)</f>
        <v>#DIV/0!</v>
      </c>
      <c r="N38" s="1"/>
      <c r="O38" s="1"/>
      <c r="P38" s="2">
        <f>COUNTA(J38,H38,F38,D38,B38)</f>
        <v>0</v>
      </c>
      <c r="Q38" s="1">
        <f>P38*10</f>
        <v>0</v>
      </c>
    </row>
    <row r="39" spans="1:17" ht="88.9" customHeight="1">
      <c r="A39" s="31" t="s">
        <v>42</v>
      </c>
      <c r="K39" s="14"/>
      <c r="L39" s="13">
        <f>SUM(B39,D39,F39,H39,J39)</f>
        <v>0</v>
      </c>
      <c r="M39" s="12" t="e">
        <f>SUM(L39/Q39)</f>
        <v>#DIV/0!</v>
      </c>
      <c r="N39" s="1"/>
      <c r="O39" s="1"/>
      <c r="P39" s="2">
        <f>COUNTA(J39,H39,F39,D39,B39)</f>
        <v>0</v>
      </c>
      <c r="Q39" s="1">
        <f>P39*10</f>
        <v>0</v>
      </c>
    </row>
    <row r="40" spans="1:17" ht="27.6" customHeight="1">
      <c r="A40" s="31" t="s">
        <v>41</v>
      </c>
      <c r="K40" s="14"/>
      <c r="L40" s="13">
        <f>SUM(B40,D40,F40,H40,J40)</f>
        <v>0</v>
      </c>
      <c r="M40" s="12" t="e">
        <f>SUM(L40/Q40)</f>
        <v>#DIV/0!</v>
      </c>
      <c r="N40" s="1"/>
      <c r="O40" s="1"/>
      <c r="P40" s="2">
        <f>COUNTA(J40,H40,F40,D40,B40)</f>
        <v>0</v>
      </c>
      <c r="Q40" s="1">
        <f>P40*10</f>
        <v>0</v>
      </c>
    </row>
    <row r="41" spans="1:17" ht="44.45" customHeight="1">
      <c r="A41" s="15" t="s">
        <v>40</v>
      </c>
      <c r="K41" s="14"/>
      <c r="L41" s="13">
        <f>SUM(B41,D41,F41,H41,J41)</f>
        <v>0</v>
      </c>
      <c r="M41" s="12" t="e">
        <f>SUM(L41/Q41)</f>
        <v>#DIV/0!</v>
      </c>
      <c r="N41" s="1"/>
      <c r="O41" s="1"/>
      <c r="P41" s="2">
        <f>COUNTA(J41,H41,F41,D41,B41)</f>
        <v>0</v>
      </c>
      <c r="Q41" s="1">
        <f>P41*10</f>
        <v>0</v>
      </c>
    </row>
    <row r="42" spans="1:17" ht="28.5" customHeight="1" thickBot="1">
      <c r="A42" s="15" t="s">
        <v>39</v>
      </c>
      <c r="K42" s="14"/>
      <c r="L42" s="13">
        <f>SUM(B42,D42,F42,H42,J42)</f>
        <v>0</v>
      </c>
      <c r="M42" s="12" t="e">
        <f>SUM(L42/Q42)</f>
        <v>#DIV/0!</v>
      </c>
      <c r="N42" s="1"/>
      <c r="O42" s="1"/>
      <c r="P42" s="2">
        <f>COUNTA(J42,H42,F42,D42,B42)</f>
        <v>0</v>
      </c>
      <c r="Q42" s="1">
        <f>P42*10</f>
        <v>0</v>
      </c>
    </row>
    <row r="43" spans="1:17" ht="15" customHeight="1" thickBot="1">
      <c r="A43" s="38" t="s">
        <v>38</v>
      </c>
      <c r="B43" s="20"/>
      <c r="C43" s="20"/>
      <c r="D43" s="20"/>
      <c r="E43" s="20"/>
      <c r="F43" s="20"/>
      <c r="G43" s="20"/>
      <c r="H43" s="20"/>
      <c r="I43" s="20"/>
      <c r="J43" s="20"/>
      <c r="K43" s="32"/>
      <c r="L43" s="26">
        <f>SUM(B44:D44:F44:H44:J44)</f>
        <v>0</v>
      </c>
      <c r="M43" s="25" t="e">
        <f>SUM(L43/Q43)</f>
        <v>#DIV/0!</v>
      </c>
      <c r="N43" s="1"/>
      <c r="O43" s="1"/>
      <c r="P43" s="2">
        <f>SUM(P44)</f>
        <v>0</v>
      </c>
      <c r="Q43" s="1">
        <f>P43*10</f>
        <v>0</v>
      </c>
    </row>
    <row r="44" spans="1:17" ht="42" customHeight="1" thickBot="1">
      <c r="A44" s="15" t="s">
        <v>37</v>
      </c>
      <c r="B44" s="37"/>
      <c r="C44" s="37"/>
      <c r="D44" s="37"/>
      <c r="E44" s="37"/>
      <c r="F44" s="37"/>
      <c r="G44" s="37"/>
      <c r="H44" s="37"/>
      <c r="I44" s="37"/>
      <c r="J44" s="37"/>
      <c r="K44" s="36"/>
      <c r="L44" s="13">
        <f>SUM(B44,D44,F44,H44,J44)</f>
        <v>0</v>
      </c>
      <c r="M44" s="12" t="e">
        <f>SUM(L44/Q44)</f>
        <v>#DIV/0!</v>
      </c>
      <c r="N44" s="1"/>
      <c r="O44" s="1"/>
      <c r="P44" s="2">
        <f>COUNTA(J44,H44,F44,D44,B44)</f>
        <v>0</v>
      </c>
      <c r="Q44" s="1">
        <f>P44*10</f>
        <v>0</v>
      </c>
    </row>
    <row r="45" spans="1:17" ht="15" customHeight="1" thickBot="1">
      <c r="A45" s="21" t="s">
        <v>36</v>
      </c>
      <c r="B45" s="20"/>
      <c r="C45" s="20"/>
      <c r="D45" s="20"/>
      <c r="E45" s="20"/>
      <c r="F45" s="20"/>
      <c r="G45" s="20"/>
      <c r="H45" s="20"/>
      <c r="I45" s="20"/>
      <c r="J45" s="20"/>
      <c r="K45" s="32"/>
      <c r="L45" s="26">
        <f>SUM(B46:B52,D46:D52,F46:F52,H46:H52,J46:J52)</f>
        <v>0</v>
      </c>
      <c r="M45" s="25" t="e">
        <f>SUM(L45/Q45)</f>
        <v>#DIV/0!</v>
      </c>
      <c r="N45" s="16"/>
      <c r="O45" s="1"/>
      <c r="P45" s="2">
        <f>SUM(P46:P52)</f>
        <v>0</v>
      </c>
      <c r="Q45" s="1">
        <f>P45*10</f>
        <v>0</v>
      </c>
    </row>
    <row r="46" spans="1:17" ht="30" customHeight="1">
      <c r="A46" s="15" t="s">
        <v>35</v>
      </c>
      <c r="K46" s="14"/>
      <c r="L46" s="13">
        <f>SUM(B46,D46,F46,H46,J46)</f>
        <v>0</v>
      </c>
      <c r="M46" s="12" t="e">
        <f>SUM(L46/Q46)</f>
        <v>#DIV/0!</v>
      </c>
      <c r="N46" s="1"/>
      <c r="O46" s="1"/>
      <c r="P46" s="2">
        <f>COUNTA(J46,H46,F46,D46,B46)</f>
        <v>0</v>
      </c>
      <c r="Q46" s="1">
        <f>P46*10</f>
        <v>0</v>
      </c>
    </row>
    <row r="47" spans="1:17" s="33" customFormat="1" ht="48" customHeight="1">
      <c r="A47" s="35" t="s">
        <v>34</v>
      </c>
      <c r="B47" s="2"/>
      <c r="C47" s="2"/>
      <c r="D47" s="2"/>
      <c r="E47" s="2"/>
      <c r="F47" s="2"/>
      <c r="G47" s="2"/>
      <c r="H47" s="2"/>
      <c r="I47" s="2"/>
      <c r="J47" s="2"/>
      <c r="K47" s="34"/>
      <c r="L47" s="13">
        <f>SUM(B47,D47,F47,H47,J47)</f>
        <v>0</v>
      </c>
      <c r="M47" s="12" t="e">
        <f>SUM(L47/Q47)</f>
        <v>#DIV/0!</v>
      </c>
      <c r="P47" s="2">
        <f>COUNTA(J47,H47,F47,D47,B47)</f>
        <v>0</v>
      </c>
      <c r="Q47" s="1">
        <f>P47*10</f>
        <v>0</v>
      </c>
    </row>
    <row r="48" spans="1:17" ht="57" customHeight="1">
      <c r="A48" s="15" t="s">
        <v>33</v>
      </c>
      <c r="K48" s="14"/>
      <c r="L48" s="13">
        <f>SUM(B48,D48,F48,H48,J48)</f>
        <v>0</v>
      </c>
      <c r="M48" s="12" t="e">
        <f>SUM(L48/Q48)</f>
        <v>#DIV/0!</v>
      </c>
      <c r="N48" s="1"/>
      <c r="O48" s="1"/>
      <c r="P48" s="2">
        <f>COUNTA(J48,H48,F48,D48,B48)</f>
        <v>0</v>
      </c>
      <c r="Q48" s="1">
        <f>P48*10</f>
        <v>0</v>
      </c>
    </row>
    <row r="49" spans="1:17" ht="33.75" customHeight="1">
      <c r="A49" s="15" t="s">
        <v>32</v>
      </c>
      <c r="K49" s="14"/>
      <c r="L49" s="13">
        <f>SUM(B49,D49,F49,H49,J49)</f>
        <v>0</v>
      </c>
      <c r="M49" s="12" t="e">
        <f>SUM(L49/Q49)</f>
        <v>#DIV/0!</v>
      </c>
      <c r="N49" s="1"/>
      <c r="O49" s="1"/>
      <c r="P49" s="2">
        <f>COUNTA(J49,H49,F49,D49,B49)</f>
        <v>0</v>
      </c>
      <c r="Q49" s="1">
        <f>P49*10</f>
        <v>0</v>
      </c>
    </row>
    <row r="50" spans="1:17" ht="25.5" customHeight="1">
      <c r="A50" s="15" t="s">
        <v>31</v>
      </c>
      <c r="K50" s="14"/>
      <c r="L50" s="13">
        <f>SUM(B50,D50,F50,H50,J50)</f>
        <v>0</v>
      </c>
      <c r="M50" s="12" t="e">
        <f>SUM(L50/Q50)</f>
        <v>#DIV/0!</v>
      </c>
      <c r="N50" s="1"/>
      <c r="O50" s="1"/>
      <c r="P50" s="2">
        <f>COUNTA(J50,H50,F50,D50,B50)</f>
        <v>0</v>
      </c>
      <c r="Q50" s="1">
        <f>P50*10</f>
        <v>0</v>
      </c>
    </row>
    <row r="51" spans="1:17" ht="21.95" customHeight="1">
      <c r="A51" s="15" t="s">
        <v>30</v>
      </c>
      <c r="K51" s="14"/>
      <c r="L51" s="13">
        <f>SUM(B51,D51,F51,H51,J51)</f>
        <v>0</v>
      </c>
      <c r="M51" s="12" t="e">
        <f>SUM(L51/Q51)</f>
        <v>#DIV/0!</v>
      </c>
      <c r="N51" s="1"/>
      <c r="O51" s="1"/>
      <c r="P51" s="2">
        <f>COUNTA(J51,H51,F51,D51,B51)</f>
        <v>0</v>
      </c>
      <c r="Q51" s="1">
        <f>P51*10</f>
        <v>0</v>
      </c>
    </row>
    <row r="52" spans="1:17" ht="30" customHeight="1" thickBot="1">
      <c r="A52" s="15" t="s">
        <v>29</v>
      </c>
      <c r="K52" s="14"/>
      <c r="L52" s="13">
        <f>SUM(B52,D52,F52,H52,J52)</f>
        <v>0</v>
      </c>
      <c r="M52" s="12" t="e">
        <f>SUM(L52/Q52)</f>
        <v>#DIV/0!</v>
      </c>
      <c r="N52" s="1"/>
      <c r="O52" s="1"/>
      <c r="P52" s="2">
        <f>COUNTA(J52,H52,F52,D52,B52)</f>
        <v>0</v>
      </c>
      <c r="Q52" s="1">
        <f>P52*10</f>
        <v>0</v>
      </c>
    </row>
    <row r="53" spans="1:17" ht="15" customHeight="1" thickBot="1">
      <c r="A53" s="21" t="s">
        <v>28</v>
      </c>
      <c r="B53" s="20"/>
      <c r="C53" s="20"/>
      <c r="D53" s="20"/>
      <c r="E53" s="20"/>
      <c r="F53" s="20"/>
      <c r="G53" s="20"/>
      <c r="H53" s="20"/>
      <c r="I53" s="20"/>
      <c r="J53" s="20"/>
      <c r="K53" s="32"/>
      <c r="L53" s="26">
        <f>SUM(B54:B67,D54:D67,F54:F67,H54:H67,J54:J67)</f>
        <v>0</v>
      </c>
      <c r="M53" s="25" t="e">
        <f>SUM(L53/Q53)</f>
        <v>#DIV/0!</v>
      </c>
      <c r="N53" s="16"/>
      <c r="O53" s="1"/>
      <c r="P53" s="2">
        <f>SUM(P54:P67)</f>
        <v>0</v>
      </c>
      <c r="Q53" s="1">
        <f>P53*10</f>
        <v>0</v>
      </c>
    </row>
    <row r="54" spans="1:17" ht="21.95" customHeight="1">
      <c r="A54" s="15" t="s">
        <v>13</v>
      </c>
      <c r="K54" s="14"/>
      <c r="L54" s="13">
        <f>SUM(B54,D54,F54,H54,J54)</f>
        <v>0</v>
      </c>
      <c r="M54" s="12" t="e">
        <f>SUM(L54/Q54)</f>
        <v>#DIV/0!</v>
      </c>
      <c r="N54" s="1"/>
      <c r="O54" s="1"/>
      <c r="P54" s="2">
        <f>COUNTA(J54,H54,F54,D54,B54)</f>
        <v>0</v>
      </c>
      <c r="Q54" s="1">
        <f>P54*10</f>
        <v>0</v>
      </c>
    </row>
    <row r="55" spans="1:17" ht="21.95" customHeight="1">
      <c r="A55" s="15" t="s">
        <v>27</v>
      </c>
      <c r="K55" s="14"/>
      <c r="L55" s="13">
        <f>SUM(B55,D55,F55,H55,J55)</f>
        <v>0</v>
      </c>
      <c r="M55" s="12" t="e">
        <f>SUM(L55/Q55)</f>
        <v>#DIV/0!</v>
      </c>
      <c r="N55" s="1"/>
      <c r="O55" s="1"/>
      <c r="P55" s="2">
        <f>COUNTA(J55,H55,F55,D55,B55)</f>
        <v>0</v>
      </c>
      <c r="Q55" s="1">
        <f>P55*10</f>
        <v>0</v>
      </c>
    </row>
    <row r="56" spans="1:17" ht="21.95" customHeight="1">
      <c r="A56" s="15" t="s">
        <v>26</v>
      </c>
      <c r="K56" s="14"/>
      <c r="L56" s="13">
        <f>SUM(B56,D56,F56,H56,J56)</f>
        <v>0</v>
      </c>
      <c r="M56" s="12" t="e">
        <f>SUM(L56/Q56)</f>
        <v>#DIV/0!</v>
      </c>
      <c r="N56" s="1"/>
      <c r="O56" s="1"/>
      <c r="P56" s="2">
        <f>COUNTA(J56,H56,F56,D56,B56)</f>
        <v>0</v>
      </c>
      <c r="Q56" s="1">
        <f>P56*10</f>
        <v>0</v>
      </c>
    </row>
    <row r="57" spans="1:17" ht="21.95" customHeight="1">
      <c r="A57" s="15" t="s">
        <v>25</v>
      </c>
      <c r="K57" s="14"/>
      <c r="L57" s="13">
        <f>SUM(B57,D57,F57,H57,J57)</f>
        <v>0</v>
      </c>
      <c r="M57" s="12" t="e">
        <f>SUM(L57/Q57)</f>
        <v>#DIV/0!</v>
      </c>
      <c r="N57" s="1"/>
      <c r="O57" s="1"/>
      <c r="P57" s="2">
        <f>COUNTA(J57,H57,F57,D57,B57)</f>
        <v>0</v>
      </c>
      <c r="Q57" s="1">
        <f>P57*10</f>
        <v>0</v>
      </c>
    </row>
    <row r="58" spans="1:17" ht="21.95" customHeight="1">
      <c r="A58" s="31" t="s">
        <v>24</v>
      </c>
      <c r="K58" s="14"/>
      <c r="L58" s="13">
        <f>SUM(B58,D58,F58,H58,J58)</f>
        <v>0</v>
      </c>
      <c r="M58" s="12" t="e">
        <f>SUM(L58/Q58)</f>
        <v>#DIV/0!</v>
      </c>
      <c r="N58" s="1"/>
      <c r="O58" s="1"/>
      <c r="P58" s="2">
        <f>COUNTA(J58,H58,F58,D58,B58)</f>
        <v>0</v>
      </c>
      <c r="Q58" s="1">
        <f>P58*10</f>
        <v>0</v>
      </c>
    </row>
    <row r="59" spans="1:17" ht="21.95" customHeight="1">
      <c r="A59" s="15" t="s">
        <v>23</v>
      </c>
      <c r="K59" s="14"/>
      <c r="L59" s="13">
        <f>SUM(B59,D59,F59,H59,J59)</f>
        <v>0</v>
      </c>
      <c r="M59" s="12" t="e">
        <f>SUM(L59/Q59)</f>
        <v>#DIV/0!</v>
      </c>
      <c r="N59" s="1"/>
      <c r="O59" s="1"/>
      <c r="P59" s="2">
        <f>COUNTA(J59,H59,F59,D59,B59)</f>
        <v>0</v>
      </c>
      <c r="Q59" s="1">
        <f>P59*10</f>
        <v>0</v>
      </c>
    </row>
    <row r="60" spans="1:17" ht="30" customHeight="1">
      <c r="A60" s="23" t="s">
        <v>22</v>
      </c>
      <c r="K60" s="14"/>
      <c r="L60" s="13">
        <f>SUM(B60,D60,F60,H60,J60)</f>
        <v>0</v>
      </c>
      <c r="M60" s="12" t="e">
        <f>SUM(L60/Q60)</f>
        <v>#DIV/0!</v>
      </c>
      <c r="N60" s="1"/>
      <c r="O60" s="1"/>
      <c r="P60" s="2">
        <f>COUNTA(J60,H60,F60,D60,B60)</f>
        <v>0</v>
      </c>
      <c r="Q60" s="1">
        <f>P60*10</f>
        <v>0</v>
      </c>
    </row>
    <row r="61" spans="1:17" ht="21.95" customHeight="1">
      <c r="A61" s="15" t="s">
        <v>21</v>
      </c>
      <c r="K61" s="14"/>
      <c r="L61" s="13">
        <f>SUM(B61,D61,F61,H61,J61)</f>
        <v>0</v>
      </c>
      <c r="M61" s="12" t="e">
        <f>SUM(L61/Q61)</f>
        <v>#DIV/0!</v>
      </c>
      <c r="N61" s="1"/>
      <c r="O61" s="1"/>
      <c r="P61" s="2">
        <f>COUNTA(J61,H61,F61,D61,B61)</f>
        <v>0</v>
      </c>
      <c r="Q61" s="1">
        <f>P61*10</f>
        <v>0</v>
      </c>
    </row>
    <row r="62" spans="1:17" ht="21.95" customHeight="1">
      <c r="A62" s="31" t="s">
        <v>20</v>
      </c>
      <c r="K62" s="14"/>
      <c r="L62" s="13">
        <f>SUM(B62,D62,F62,H62,J62)</f>
        <v>0</v>
      </c>
      <c r="M62" s="12" t="e">
        <f>SUM(L62/Q62)</f>
        <v>#DIV/0!</v>
      </c>
      <c r="N62" s="1"/>
      <c r="O62" s="1"/>
      <c r="P62" s="2">
        <f>COUNTA(J62,H62,F62,D62,B62)</f>
        <v>0</v>
      </c>
      <c r="Q62" s="1">
        <f>P62*10</f>
        <v>0</v>
      </c>
    </row>
    <row r="63" spans="1:17" ht="21.95" customHeight="1">
      <c r="A63" s="15" t="s">
        <v>19</v>
      </c>
      <c r="K63" s="14"/>
      <c r="L63" s="13">
        <f>SUM(B63,D63,F63,H63,J63)</f>
        <v>0</v>
      </c>
      <c r="M63" s="12" t="e">
        <f>SUM(L63/Q63)</f>
        <v>#DIV/0!</v>
      </c>
      <c r="N63" s="1"/>
      <c r="O63" s="1"/>
      <c r="P63" s="2">
        <f>COUNTA(J63,H63,F63,D63,B63)</f>
        <v>0</v>
      </c>
      <c r="Q63" s="1">
        <f>P63*10</f>
        <v>0</v>
      </c>
    </row>
    <row r="64" spans="1:17" ht="21.95" customHeight="1">
      <c r="A64" s="15" t="s">
        <v>18</v>
      </c>
      <c r="K64" s="14"/>
      <c r="L64" s="13">
        <f>SUM(B64,D64,F64,H64,J64)</f>
        <v>0</v>
      </c>
      <c r="M64" s="12" t="e">
        <f>SUM(L64/Q64)</f>
        <v>#DIV/0!</v>
      </c>
      <c r="N64" s="1"/>
      <c r="O64" s="1"/>
      <c r="P64" s="2">
        <f>COUNTA(J64,H64,F64,D64,B64)</f>
        <v>0</v>
      </c>
      <c r="Q64" s="1">
        <f>P64*10</f>
        <v>0</v>
      </c>
    </row>
    <row r="65" spans="1:17" ht="21.95" customHeight="1">
      <c r="A65" s="15" t="s">
        <v>17</v>
      </c>
      <c r="K65" s="14"/>
      <c r="L65" s="13">
        <f>SUM(B65,D65,F65,H65,J65)</f>
        <v>0</v>
      </c>
      <c r="M65" s="12" t="e">
        <f>SUM(L65/Q65)</f>
        <v>#DIV/0!</v>
      </c>
      <c r="N65" s="1"/>
      <c r="O65" s="1"/>
      <c r="P65" s="2">
        <f>COUNTA(J65,H65,F65,D65,B65)</f>
        <v>0</v>
      </c>
      <c r="Q65" s="1">
        <f>P65*10</f>
        <v>0</v>
      </c>
    </row>
    <row r="66" spans="1:17" ht="21.95" customHeight="1">
      <c r="A66" s="15" t="s">
        <v>16</v>
      </c>
      <c r="K66" s="14"/>
      <c r="L66" s="13">
        <f>SUM(B66,D66,F66,H66,J66)</f>
        <v>0</v>
      </c>
      <c r="M66" s="12" t="e">
        <f>SUM(L66/Q66)</f>
        <v>#DIV/0!</v>
      </c>
      <c r="N66" s="1"/>
      <c r="O66" s="1"/>
      <c r="P66" s="2">
        <f>COUNTA(J66,H66,F66,D66,B66)</f>
        <v>0</v>
      </c>
      <c r="Q66" s="1">
        <f>P66*10</f>
        <v>0</v>
      </c>
    </row>
    <row r="67" spans="1:17" ht="21.95" customHeight="1" thickBot="1">
      <c r="A67" s="15" t="s">
        <v>15</v>
      </c>
      <c r="K67" s="14"/>
      <c r="L67" s="13">
        <f>SUM(B67,D67,F67,H67,J67)</f>
        <v>0</v>
      </c>
      <c r="M67" s="12" t="e">
        <f>SUM(L67/Q67)</f>
        <v>#DIV/0!</v>
      </c>
      <c r="N67" s="1"/>
      <c r="O67" s="1"/>
      <c r="P67" s="2">
        <f>COUNTA(J67,H67,F67,D67,B67)</f>
        <v>0</v>
      </c>
      <c r="Q67" s="1">
        <f>P67*10</f>
        <v>0</v>
      </c>
    </row>
    <row r="68" spans="1:17" ht="15" customHeight="1" thickBot="1">
      <c r="A68" s="21" t="s">
        <v>14</v>
      </c>
      <c r="B68" s="20"/>
      <c r="C68" s="20"/>
      <c r="D68" s="20"/>
      <c r="E68" s="20"/>
      <c r="F68" s="20"/>
      <c r="G68" s="20"/>
      <c r="H68" s="20"/>
      <c r="I68" s="20"/>
      <c r="J68" s="20"/>
      <c r="K68" s="32"/>
      <c r="L68" s="26">
        <f>SUM(B69:B74,D69:D74,F69:F74,H69:H74,J69:J74)</f>
        <v>0</v>
      </c>
      <c r="M68" s="25" t="e">
        <f>SUM(L68/Q68)</f>
        <v>#DIV/0!</v>
      </c>
      <c r="N68" s="16"/>
      <c r="O68" s="1"/>
      <c r="P68" s="2">
        <f>SUM(P69:P74)</f>
        <v>0</v>
      </c>
      <c r="Q68" s="1">
        <f>P68*10</f>
        <v>0</v>
      </c>
    </row>
    <row r="69" spans="1:17" ht="21.95" customHeight="1">
      <c r="A69" s="23" t="s">
        <v>13</v>
      </c>
      <c r="K69" s="14"/>
      <c r="L69" s="13">
        <f>SUM(B69,D69,F69,H69,J69)</f>
        <v>0</v>
      </c>
      <c r="M69" s="12" t="e">
        <f>SUM(L69/Q69)</f>
        <v>#DIV/0!</v>
      </c>
      <c r="N69" s="1"/>
      <c r="O69" s="1"/>
      <c r="P69" s="2">
        <f>COUNTA(J69,H69,F69,D69,B69)</f>
        <v>0</v>
      </c>
      <c r="Q69" s="1">
        <f>P69*10</f>
        <v>0</v>
      </c>
    </row>
    <row r="70" spans="1:17" ht="21.95" customHeight="1">
      <c r="A70" s="23" t="s">
        <v>12</v>
      </c>
      <c r="K70" s="14"/>
      <c r="L70" s="13">
        <f>SUM(B70,D70,F70,H70,J70)</f>
        <v>0</v>
      </c>
      <c r="M70" s="12" t="e">
        <f>SUM(L70/Q70)</f>
        <v>#DIV/0!</v>
      </c>
      <c r="N70" s="1"/>
      <c r="O70" s="1"/>
      <c r="P70" s="2">
        <f>COUNTA(J70,H70,F70,D70,B70)</f>
        <v>0</v>
      </c>
      <c r="Q70" s="1">
        <f>P70*10</f>
        <v>0</v>
      </c>
    </row>
    <row r="71" spans="1:17" ht="21.95" customHeight="1">
      <c r="A71" s="31" t="s">
        <v>11</v>
      </c>
      <c r="K71" s="14"/>
      <c r="L71" s="13">
        <f>SUM(B71,D71,F71,H71,J71)</f>
        <v>0</v>
      </c>
      <c r="M71" s="12" t="e">
        <f>SUM(L71/Q71)</f>
        <v>#DIV/0!</v>
      </c>
      <c r="N71" s="1"/>
      <c r="O71" s="1"/>
      <c r="P71" s="2">
        <f>COUNTA(J71,H71,F71,D71,B71)</f>
        <v>0</v>
      </c>
      <c r="Q71" s="1">
        <f>P71*10</f>
        <v>0</v>
      </c>
    </row>
    <row r="72" spans="1:17" ht="21.95" customHeight="1">
      <c r="A72" s="31" t="s">
        <v>10</v>
      </c>
      <c r="K72" s="14"/>
      <c r="L72" s="13">
        <f>SUM(B72,D72,F72,H72,J72)</f>
        <v>0</v>
      </c>
      <c r="M72" s="12" t="e">
        <f>SUM(L72/Q72)</f>
        <v>#DIV/0!</v>
      </c>
      <c r="N72" s="1"/>
      <c r="O72" s="1"/>
      <c r="P72" s="2">
        <f>COUNTA(J72,H72,F72,D72,B72)</f>
        <v>0</v>
      </c>
      <c r="Q72" s="1">
        <f>P72*10</f>
        <v>0</v>
      </c>
    </row>
    <row r="73" spans="1:17" ht="24.75" customHeight="1">
      <c r="A73" s="31" t="s">
        <v>9</v>
      </c>
      <c r="K73" s="14"/>
      <c r="L73" s="13">
        <f>SUM(B73,D73,F73,H73,J73)</f>
        <v>0</v>
      </c>
      <c r="M73" s="12" t="e">
        <f>SUM(L73/Q73)</f>
        <v>#DIV/0!</v>
      </c>
      <c r="N73" s="1"/>
      <c r="O73" s="1"/>
      <c r="P73" s="2">
        <f>COUNTA(J73,H73,F73,D73,B73)</f>
        <v>0</v>
      </c>
      <c r="Q73" s="1">
        <f>P73*10</f>
        <v>0</v>
      </c>
    </row>
    <row r="74" spans="1:17" ht="21.95" customHeight="1" thickBot="1">
      <c r="A74" s="23" t="s">
        <v>8</v>
      </c>
      <c r="K74" s="30"/>
      <c r="L74" s="13">
        <f>SUM(B74,D74,F74,H74,J74)</f>
        <v>0</v>
      </c>
      <c r="M74" s="12" t="e">
        <f>SUM(L74/Q74)</f>
        <v>#DIV/0!</v>
      </c>
      <c r="N74" s="1"/>
      <c r="O74" s="1"/>
      <c r="P74" s="2">
        <f>COUNTA(J74,H74,F74,D74,B74)</f>
        <v>0</v>
      </c>
      <c r="Q74" s="1">
        <f>P74*10</f>
        <v>0</v>
      </c>
    </row>
    <row r="75" spans="1:17" ht="15" customHeight="1" thickBot="1">
      <c r="A75" s="29" t="s">
        <v>7</v>
      </c>
      <c r="B75" s="28"/>
      <c r="C75" s="28"/>
      <c r="D75" s="28"/>
      <c r="E75" s="28"/>
      <c r="F75" s="28"/>
      <c r="G75" s="28"/>
      <c r="H75" s="28"/>
      <c r="I75" s="28"/>
      <c r="J75" s="28"/>
      <c r="K75" s="27"/>
      <c r="L75" s="26">
        <f>SUM(B76:B77,D76:D77,F76:F77,H76:H77,J76:J77)</f>
        <v>0</v>
      </c>
      <c r="M75" s="25" t="e">
        <f>SUM(L75/Q75)</f>
        <v>#DIV/0!</v>
      </c>
      <c r="N75" s="16"/>
      <c r="O75" s="1"/>
      <c r="P75" s="2">
        <f>SUM(P76:P77)</f>
        <v>0</v>
      </c>
      <c r="Q75" s="1">
        <f>P75*10</f>
        <v>0</v>
      </c>
    </row>
    <row r="76" spans="1:17" ht="21.95" customHeight="1">
      <c r="A76" s="23" t="s">
        <v>6</v>
      </c>
      <c r="K76" s="22"/>
      <c r="L76" s="24">
        <f>SUM(B76,D76,F76,H76,J76)</f>
        <v>0</v>
      </c>
      <c r="M76" s="12" t="e">
        <f>SUM(L76/Q76)</f>
        <v>#DIV/0!</v>
      </c>
      <c r="N76" s="16"/>
      <c r="O76" s="1"/>
      <c r="P76" s="2">
        <f>COUNTA(J76,H76,F76,D76,B76)</f>
        <v>0</v>
      </c>
      <c r="Q76" s="1">
        <f>P76*10</f>
        <v>0</v>
      </c>
    </row>
    <row r="77" spans="1:17" ht="21.95" customHeight="1" thickBot="1">
      <c r="A77" s="23" t="s">
        <v>5</v>
      </c>
      <c r="K77" s="22"/>
      <c r="L77" s="8">
        <f>SUM(B77,D77,F77,H77,J77)</f>
        <v>0</v>
      </c>
      <c r="M77" s="7" t="e">
        <f>SUM(L77/Q77)</f>
        <v>#DIV/0!</v>
      </c>
      <c r="N77" s="16"/>
      <c r="O77" s="1"/>
      <c r="P77" s="2">
        <f>COUNTA(J77,H77,F77,D77,B77)</f>
        <v>0</v>
      </c>
      <c r="Q77" s="1">
        <f>P77*10</f>
        <v>0</v>
      </c>
    </row>
    <row r="78" spans="1:17" ht="15" customHeight="1" thickBot="1">
      <c r="A78" s="21" t="s">
        <v>4</v>
      </c>
      <c r="B78" s="20"/>
      <c r="C78" s="20"/>
      <c r="D78" s="20"/>
      <c r="E78" s="20"/>
      <c r="F78" s="20"/>
      <c r="G78" s="20"/>
      <c r="H78" s="20"/>
      <c r="I78" s="20"/>
      <c r="J78" s="20"/>
      <c r="K78" s="19"/>
      <c r="L78" s="18">
        <f>SUM(B79:B81,D79:D81,F79:F81,H79:H81,J79:J81)</f>
        <v>0</v>
      </c>
      <c r="M78" s="17" t="e">
        <f>SUM(L78/Q78)</f>
        <v>#DIV/0!</v>
      </c>
      <c r="N78" s="16"/>
      <c r="O78" s="1"/>
      <c r="P78" s="2">
        <f>SUM(P79:P81)</f>
        <v>0</v>
      </c>
      <c r="Q78" s="1">
        <f>P78*10</f>
        <v>0</v>
      </c>
    </row>
    <row r="79" spans="1:17" ht="21.95" customHeight="1">
      <c r="A79" s="15" t="s">
        <v>3</v>
      </c>
      <c r="K79" s="14"/>
      <c r="L79" s="13">
        <f>SUM(B79,D79,F79,H79,J79)</f>
        <v>0</v>
      </c>
      <c r="M79" s="12" t="e">
        <f>SUM(L79/Q79)</f>
        <v>#DIV/0!</v>
      </c>
      <c r="N79" s="1"/>
      <c r="O79" s="1"/>
      <c r="P79" s="2">
        <f>COUNTA(J79,H79,F79,D79,B79)</f>
        <v>0</v>
      </c>
      <c r="Q79" s="1">
        <f>P79*10</f>
        <v>0</v>
      </c>
    </row>
    <row r="80" spans="1:17" ht="21.95" customHeight="1">
      <c r="A80" s="15" t="s">
        <v>2</v>
      </c>
      <c r="K80" s="14"/>
      <c r="L80" s="13">
        <f>SUM(B80,D80,F80,H80,J80)</f>
        <v>0</v>
      </c>
      <c r="M80" s="12" t="e">
        <f>SUM(L80/Q80)</f>
        <v>#DIV/0!</v>
      </c>
      <c r="N80" s="1"/>
      <c r="O80" s="1"/>
      <c r="P80" s="2">
        <f>COUNTA(J80,H80,F80,D80,B80)</f>
        <v>0</v>
      </c>
      <c r="Q80" s="1">
        <f>P80*10</f>
        <v>0</v>
      </c>
    </row>
    <row r="81" spans="1:17" ht="27.75" customHeight="1" thickBot="1">
      <c r="A81" s="11" t="s">
        <v>1</v>
      </c>
      <c r="B81" s="10"/>
      <c r="C81" s="10"/>
      <c r="D81" s="10"/>
      <c r="E81" s="10"/>
      <c r="F81" s="10"/>
      <c r="G81" s="10"/>
      <c r="H81" s="10"/>
      <c r="I81" s="10"/>
      <c r="J81" s="10"/>
      <c r="K81" s="9"/>
      <c r="L81" s="8">
        <f>SUM(B81,D81,F81,H81,J81)</f>
        <v>0</v>
      </c>
      <c r="M81" s="7" t="e">
        <f>SUM(L81/Q81)</f>
        <v>#DIV/0!</v>
      </c>
      <c r="N81" s="1"/>
      <c r="O81" s="1"/>
      <c r="P81" s="2">
        <f>COUNTA(J81,H81,F81,D81,B81)</f>
        <v>0</v>
      </c>
      <c r="Q81" s="1">
        <f>P81*10</f>
        <v>0</v>
      </c>
    </row>
    <row r="82" spans="1:17" ht="22.15" customHeight="1">
      <c r="A82" s="6" t="s">
        <v>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f>SUM(L7+L10+L19+L25+L29+L32+L34+L43+L45+L53+L68+L75+L78)</f>
        <v>0</v>
      </c>
      <c r="M82" s="4" t="e">
        <f>L82/Q82</f>
        <v>#DIV/0!</v>
      </c>
      <c r="N82" s="1"/>
      <c r="O82" s="1"/>
      <c r="Q82" s="1">
        <f>SUM(Q7+Q10+Q19+Q25+Q29+Q32+Q34+Q43+Q45+Q53+Q68+Q75+Q78)</f>
        <v>0</v>
      </c>
    </row>
  </sheetData>
  <mergeCells count="1">
    <mergeCell ref="B1:M1"/>
  </mergeCells>
  <printOptions horizontalCentered="1" gridLines="1"/>
  <pageMargins left="0.15" right="0.15" top="0.5" bottom="0.5" header="0.3" footer="0.3"/>
  <pageSetup paperSize="5" scale="64" orientation="landscape" r:id="rId1"/>
  <rowBreaks count="1" manualBreakCount="1">
    <brk id="4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Medical Chart Audit </vt:lpstr>
      <vt:lpstr>'Medical Chart Audit '!Print_Area</vt:lpstr>
      <vt:lpstr>'Medical Chart Audit '!Print_Titles</vt:lpstr>
    </vt:vector>
  </TitlesOfParts>
  <Company>CDPHE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kartell</dc:creator>
  <cp:lastModifiedBy>kartell</cp:lastModifiedBy>
  <dcterms:created xsi:type="dcterms:W3CDTF">2013-03-06T16:00:23Z</dcterms:created>
  <dcterms:modified xsi:type="dcterms:W3CDTF">2013-03-06T16:02:55Z</dcterms:modified>
</cp:coreProperties>
</file>