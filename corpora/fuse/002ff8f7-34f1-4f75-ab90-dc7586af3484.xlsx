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05" windowWidth="19035" windowHeight="11640" tabRatio="767"/>
  </bookViews>
  <sheets>
    <sheet name="INT-Other" sheetId="15" r:id="rId1"/>
    <sheet name="SUM-Other" sheetId="12" r:id="rId2"/>
    <sheet name="RLI-Other" sheetId="1" r:id="rId3"/>
    <sheet name="EXP-Other" sheetId="6" r:id="rId4"/>
    <sheet name="TRD-Other" sheetId="14" r:id="rId5"/>
    <sheet name="UW-Other" sheetId="2" r:id="rId6"/>
    <sheet name="OB-Other" sheetId="8" r:id="rId7"/>
    <sheet name="VAR-Other" sheetId="9" r:id="rId8"/>
    <sheet name="PI-Other" sheetId="10" r:id="rId9"/>
  </sheets>
  <calcPr calcId="125725"/>
</workbook>
</file>

<file path=xl/calcChain.xml><?xml version="1.0" encoding="utf-8"?>
<calcChain xmlns="http://schemas.openxmlformats.org/spreadsheetml/2006/main">
  <c r="M16" i="1"/>
  <c r="I15" i="10"/>
  <c r="I17"/>
  <c r="I19"/>
  <c r="I21"/>
  <c r="I9"/>
  <c r="H22"/>
  <c r="I13" s="1"/>
  <c r="C22"/>
  <c r="J22" i="1"/>
  <c r="I22"/>
  <c r="E12"/>
  <c r="E13"/>
  <c r="E14"/>
  <c r="E15"/>
  <c r="E11"/>
  <c r="K12"/>
  <c r="K13"/>
  <c r="K14"/>
  <c r="K15"/>
  <c r="K11"/>
  <c r="D11" i="6"/>
  <c r="D12"/>
  <c r="D13"/>
  <c r="D14"/>
  <c r="D15"/>
  <c r="D16"/>
  <c r="D17"/>
  <c r="D22" i="1" s="1"/>
  <c r="D10" i="6"/>
  <c r="C18"/>
  <c r="D21" i="1" s="1"/>
  <c r="B18" i="6"/>
  <c r="I15" i="14"/>
  <c r="I14"/>
  <c r="I13"/>
  <c r="I12"/>
  <c r="I11"/>
  <c r="I10"/>
  <c r="I9"/>
  <c r="I8"/>
  <c r="I7"/>
  <c r="I6"/>
  <c r="G20" i="2"/>
  <c r="G19"/>
  <c r="G18"/>
  <c r="G17"/>
  <c r="E20"/>
  <c r="E19"/>
  <c r="E18"/>
  <c r="E17"/>
  <c r="C20"/>
  <c r="C19"/>
  <c r="C18"/>
  <c r="C17"/>
  <c r="G13"/>
  <c r="G12"/>
  <c r="G11"/>
  <c r="G10"/>
  <c r="G9"/>
  <c r="E13"/>
  <c r="E12"/>
  <c r="E11"/>
  <c r="E10"/>
  <c r="E9"/>
  <c r="F13"/>
  <c r="F21"/>
  <c r="G21"/>
  <c r="D21"/>
  <c r="E21" s="1"/>
  <c r="B21"/>
  <c r="C21" s="1"/>
  <c r="D13"/>
  <c r="C13"/>
  <c r="C12"/>
  <c r="C11"/>
  <c r="C10"/>
  <c r="C9"/>
  <c r="B13"/>
  <c r="D25" i="1"/>
  <c r="H12"/>
  <c r="H13"/>
  <c r="H14"/>
  <c r="H15"/>
  <c r="H11"/>
  <c r="B16"/>
  <c r="F16"/>
  <c r="H16" s="1"/>
  <c r="D18" i="10"/>
  <c r="D21"/>
  <c r="D9"/>
  <c r="D14"/>
  <c r="D17"/>
  <c r="D20"/>
  <c r="D16"/>
  <c r="D12"/>
  <c r="D13"/>
  <c r="D10"/>
  <c r="D19"/>
  <c r="D15"/>
  <c r="D11"/>
  <c r="D20" i="1"/>
  <c r="I16" i="14"/>
  <c r="D22" i="10"/>
  <c r="L15" i="1" l="1"/>
  <c r="K16"/>
  <c r="L11"/>
  <c r="D19" s="1"/>
  <c r="D23" s="1"/>
  <c r="D26" s="1"/>
  <c r="L12"/>
  <c r="L13"/>
  <c r="L14"/>
  <c r="E16"/>
  <c r="L16" s="1"/>
  <c r="D19" i="6"/>
  <c r="D18"/>
  <c r="I22" i="10"/>
  <c r="I18"/>
  <c r="I14"/>
  <c r="I10"/>
  <c r="I11"/>
  <c r="I20"/>
  <c r="I16"/>
  <c r="I12"/>
</calcChain>
</file>

<file path=xl/sharedStrings.xml><?xml version="1.0" encoding="utf-8"?>
<sst xmlns="http://schemas.openxmlformats.org/spreadsheetml/2006/main" count="292" uniqueCount="197">
  <si>
    <t>Rate Level Indication Exhibit</t>
  </si>
  <si>
    <t>Insurance Company:</t>
  </si>
  <si>
    <t>Insert Company Name</t>
  </si>
  <si>
    <t>Effective Date:</t>
  </si>
  <si>
    <t>Year</t>
  </si>
  <si>
    <t>Earned Premium</t>
  </si>
  <si>
    <t>Present Level Factor</t>
  </si>
  <si>
    <t>Premium Trend Factor</t>
  </si>
  <si>
    <t>Earned Premium at Current Rate Level</t>
  </si>
  <si>
    <t>Accident Year Incurred Losses</t>
  </si>
  <si>
    <t>LAE</t>
  </si>
  <si>
    <t>Direct Incurred Loss Ratio</t>
  </si>
  <si>
    <t>Loss Development Factor</t>
  </si>
  <si>
    <t>Loss Trend Factor</t>
  </si>
  <si>
    <t>Projected Accident Year Incurred Losses</t>
  </si>
  <si>
    <t>Projected Loss Ratio</t>
  </si>
  <si>
    <t>Individual Year Weights</t>
  </si>
  <si>
    <t>Total</t>
  </si>
  <si>
    <t>Weighted Projected Loss Ratio</t>
  </si>
  <si>
    <t>Premium Trend</t>
  </si>
  <si>
    <t>Fixed Expense Ratio</t>
  </si>
  <si>
    <t>Loss Trend</t>
  </si>
  <si>
    <t>Net Trend</t>
  </si>
  <si>
    <t>Indicated Change</t>
  </si>
  <si>
    <t>Credibility Percentage</t>
  </si>
  <si>
    <t>Complement of Credibility</t>
  </si>
  <si>
    <t>Credibility Weighted Indicated Change</t>
  </si>
  <si>
    <t>Insurer Notes:</t>
  </si>
  <si>
    <t>Notes:</t>
  </si>
  <si>
    <t>Variable Expense Ratio</t>
  </si>
  <si>
    <t>MM/DD/YYYY</t>
  </si>
  <si>
    <t>Summary Exhibit</t>
  </si>
  <si>
    <t>Earned Premium or Earned Exposures</t>
  </si>
  <si>
    <t>Proposed Change</t>
  </si>
  <si>
    <t>(Add/Delete rows as needed)</t>
  </si>
  <si>
    <t>Overall Total</t>
  </si>
  <si>
    <t>Underwriting Results Exhibit</t>
  </si>
  <si>
    <t>Actual SC Direct</t>
  </si>
  <si>
    <t>% of Premium</t>
  </si>
  <si>
    <t>Incurred Losses</t>
  </si>
  <si>
    <t>Incurred LAE</t>
  </si>
  <si>
    <t>Incurred U/W Expenses</t>
  </si>
  <si>
    <t>U/W Results</t>
  </si>
  <si>
    <t>Actual SC Net of Reinsurance</t>
  </si>
  <si>
    <t>Off-Balance Exhibit</t>
  </si>
  <si>
    <t>etc</t>
  </si>
  <si>
    <t>Earned Premiums or Earned Exposures</t>
  </si>
  <si>
    <t>Weight</t>
  </si>
  <si>
    <t>Rating Variable</t>
  </si>
  <si>
    <t>(Add/Delete rows/columns as needed)</t>
  </si>
  <si>
    <t>Rating Variable Support Exhibit</t>
  </si>
  <si>
    <t>Rating Variable:</t>
  </si>
  <si>
    <t>Insert Rating Variable</t>
  </si>
  <si>
    <t>Category</t>
  </si>
  <si>
    <t>Support for Change</t>
  </si>
  <si>
    <t>Current Factor</t>
  </si>
  <si>
    <t>Proposed Factor</t>
  </si>
  <si>
    <t>% Change</t>
  </si>
  <si>
    <t>(Add columns as needed)</t>
  </si>
  <si>
    <t>2a.  If Category codes are company specific, provide the Category code definition</t>
  </si>
  <si>
    <t>3.  Earned Premiums or Earned Exposures should be used as weights to calculate the Total % Change</t>
  </si>
  <si>
    <t>4.  Support for Change value uses loss or competitive data to support your Proposed Factor selections (i.e. Indicated Factor, Indicated Change, Countrywide Factor, etc.)</t>
  </si>
  <si>
    <t>Parallelogram Method</t>
  </si>
  <si>
    <t>Re-rating</t>
  </si>
  <si>
    <t>Other</t>
  </si>
  <si>
    <t>ISO Fast Track 12-16 Pt Fit</t>
  </si>
  <si>
    <t>Cumulative Link Ratios</t>
  </si>
  <si>
    <t>Age-to-Ultimate Link Ratios</t>
  </si>
  <si>
    <t>EP @ CRL</t>
  </si>
  <si>
    <t>Net (Loss Ratio) Trend</t>
  </si>
  <si>
    <t xml:space="preserve">Indicate the methodology used in developing each of the factors listed below by checking the appropriate cell.  </t>
  </si>
  <si>
    <t>Expense Category</t>
  </si>
  <si>
    <t>Expense Ratio  (% Premium)</t>
  </si>
  <si>
    <t>Fixed</t>
  </si>
  <si>
    <t>Variable</t>
  </si>
  <si>
    <t>Commissions</t>
  </si>
  <si>
    <t>Taxes, Licenses, &amp; Fees</t>
  </si>
  <si>
    <t>Other Acquisition Expenses</t>
  </si>
  <si>
    <t>General Expenses</t>
  </si>
  <si>
    <t>Reinsurance Expenses</t>
  </si>
  <si>
    <t>Other Expenses</t>
  </si>
  <si>
    <t>Other Income</t>
  </si>
  <si>
    <t>Total Expense and Profit Ratio</t>
  </si>
  <si>
    <t>Historical</t>
  </si>
  <si>
    <t>Prospective</t>
  </si>
  <si>
    <t>1.  Provide a copy of the actual Insurance Expense Exhibit as submitted with the Annual Statement</t>
  </si>
  <si>
    <t>Profit and Contingencies</t>
  </si>
  <si>
    <t>3a.  Alternatively, the Total % Change could be calculated by re-rating your entire book, which should be acknowledged in the Insurer Notes</t>
  </si>
  <si>
    <t>1.  If any "Other" cells are checked, then provide the detail supporting the factor calculation</t>
  </si>
  <si>
    <t>2.  Explain and support any significant variances between the expenses reported in this exhibit and the Insurance Expense Exhibit</t>
  </si>
  <si>
    <t>Rate Change Interval</t>
  </si>
  <si>
    <t># Policies Affected</t>
  </si>
  <si>
    <t>% Policies Affected</t>
  </si>
  <si>
    <t>XX.X%</t>
  </si>
  <si>
    <t>No Change</t>
  </si>
  <si>
    <t xml:space="preserve">Total </t>
  </si>
  <si>
    <t>$   (XXX.XX)</t>
  </si>
  <si>
    <t>$   XXX.XX</t>
  </si>
  <si>
    <t>-XX.X%</t>
  </si>
  <si>
    <t>Interrogatories</t>
  </si>
  <si>
    <t>Coverage</t>
  </si>
  <si>
    <t>Trend and Development Exhibit</t>
  </si>
  <si>
    <t>Exponential Fit</t>
  </si>
  <si>
    <t>Complete for previous ten years (or as many years as possible depending on data availability).</t>
  </si>
  <si>
    <t>RV 5</t>
  </si>
  <si>
    <t>RV 7</t>
  </si>
  <si>
    <t>RV 6</t>
  </si>
  <si>
    <t>RV 8</t>
  </si>
  <si>
    <t>RV 1</t>
  </si>
  <si>
    <t>RV 2</t>
  </si>
  <si>
    <t>RV 3</t>
  </si>
  <si>
    <t>RV 4</t>
  </si>
  <si>
    <t>C 1</t>
  </si>
  <si>
    <t>C 2</t>
  </si>
  <si>
    <t>C 3</t>
  </si>
  <si>
    <t>C 4</t>
  </si>
  <si>
    <t>C 5</t>
  </si>
  <si>
    <t>C 6</t>
  </si>
  <si>
    <t>C 7</t>
  </si>
  <si>
    <t>C 8</t>
  </si>
  <si>
    <t>Expense Exhibit</t>
  </si>
  <si>
    <t>1. Is this filing the initial rate filing for this program?</t>
  </si>
  <si>
    <t>Policyholder Impact Exhibit</t>
  </si>
  <si>
    <t>Profit and Contingencies Provision</t>
  </si>
  <si>
    <t>Permissible Loss and Fixed Expense Ratio</t>
  </si>
  <si>
    <t>Program:</t>
  </si>
  <si>
    <t>Insert Program Type</t>
  </si>
  <si>
    <t>Insert Coverage</t>
  </si>
  <si>
    <t>2. Complete this exhibit for each Coverage and in total</t>
  </si>
  <si>
    <t>3. A supporting exhibit establishing the credibility standard and how the complement of credibility value was calculated/selected is required</t>
  </si>
  <si>
    <t>Coverages</t>
  </si>
  <si>
    <t>1.  Use a row for each Rating Variable of change (i.e. Base Rates, Territory, Driver Class, etc)</t>
  </si>
  <si>
    <t>2.  Earned Premium or Earned Exposures should be used to weight the average premium change by Coverage</t>
  </si>
  <si>
    <t>1.  Complete this exhibit for each Rating Variable (i.e. Base Rates, Territory, Driver Class, etc)</t>
  </si>
  <si>
    <t>Program</t>
  </si>
  <si>
    <t>Ultimate Losses</t>
  </si>
  <si>
    <t>Loss Ratio</t>
  </si>
  <si>
    <t>1.  Use South Carolina calendar year data</t>
  </si>
  <si>
    <t>1.  Enter the maximum proposed increase and maximum proposed decrease percentages in cells B9 and B21</t>
  </si>
  <si>
    <t>2.  Enter the maximum proposed increase and maximum proposed decrease dollars in cells G9 and G21</t>
  </si>
  <si>
    <t>INT-Other</t>
  </si>
  <si>
    <t>SUM-Other</t>
  </si>
  <si>
    <t>OB-Other</t>
  </si>
  <si>
    <t>Coverage Overall Change</t>
  </si>
  <si>
    <t>1.  The Coverage Indicated Change value should balance to the Coverage Credibility Weighted Indicated Change value in RLI-Other Exhibit</t>
  </si>
  <si>
    <t>2. The Coverage Proposed Change value should balance to the Coverage Overall Change value in OB-Other Exhibit</t>
  </si>
  <si>
    <t>3.  The Rating Variable Total value should balance to the Rating Variable Total % Change value in VAR-Other Exhibit</t>
  </si>
  <si>
    <t>RLI-Other</t>
  </si>
  <si>
    <t>VAR-Other</t>
  </si>
  <si>
    <t>2.  List each Category affected by your proposed Rating Variable changes</t>
  </si>
  <si>
    <t>TRD-Other</t>
  </si>
  <si>
    <t>2.  The data used in the development of the premium and loss trend factors should be consistent (i.e. premium trend factors should not be based on Countrywide data if loss trend factors use South Carolina data)</t>
  </si>
  <si>
    <t>EXP-Other</t>
  </si>
  <si>
    <t>4.  Complete exhibit for each Program type being filed</t>
  </si>
  <si>
    <t>3. Complete this exhibit for each Program type being filed</t>
  </si>
  <si>
    <t>UW-Other</t>
  </si>
  <si>
    <t>PI-Other</t>
  </si>
  <si>
    <t>4. Complete this exhibit for each Program type being filed</t>
  </si>
  <si>
    <t>5b. Sufficient information and documentation explaining the data and calculations being used should be submitted</t>
  </si>
  <si>
    <t>5c. At a minimum, the following values should be included: actual losses from the holdout data set (show Countrywide and South Carolina results; include comments regarding credibility if applicable), predicted losses from the current rating plan, and predicted losses from the proposed rating plan</t>
  </si>
  <si>
    <t xml:space="preserve">6.  Complete exhibit for each Form being filed </t>
  </si>
  <si>
    <t>5d. The errors for the proposed values should be lower than the errors for those currently in use</t>
  </si>
  <si>
    <t>1b. If No, complete all attached exhibits and provide the six digit State Tracking Number(s) of your last rate filing.</t>
  </si>
  <si>
    <t>1. Provide South Carolina experience on a direct basis (gross of reinsurance)</t>
  </si>
  <si>
    <t>5.  If proposing a cap, then complete exhibit with and without the use of capping</t>
  </si>
  <si>
    <t>6.  Complete exhibit for each Program type being filed (i.e. Auto, Motorcycle, etc)</t>
  </si>
  <si>
    <t>3.  If policies will receive a rate change &gt; +25.0% or &lt; -25.0%, then list the actual percentage change, the actual dollar change, and the rating variable changes that are driving the rate change for the 5 policies receiving the largest percentage increases and the 5 policies receiving the largest percentage decreases</t>
  </si>
  <si>
    <t>2. Indicate whether or not this filing proposes to revise the premium for an individual policyholder by more than +/-25% (without capping).</t>
  </si>
  <si>
    <t>2.  Provide latest three years of data</t>
  </si>
  <si>
    <t xml:space="preserve">3. It is assumed the rates proposed in this filing will be in effect for one year.  Please advise if this is not the case and provide further explanation.  </t>
  </si>
  <si>
    <t>4. What is the name of the Actuary that prepared this filing?</t>
  </si>
  <si>
    <t>4a. List Actuarial Organizations of which the Actuary is a member as well as applicable designations.</t>
  </si>
  <si>
    <t>4b. Identify any items in this rate filing for which the Actuary is not responsible.</t>
  </si>
  <si>
    <t>4c. Confirm that the filing complies with the following Actuarial Standards of Practice: Nos. 12, 13, 23, 25, 29, 30, 38, 39, 41, 43.</t>
  </si>
  <si>
    <t>5. Confirm that the Notes section at the bottom of each exhibit were followed when completing each exhibit.</t>
  </si>
  <si>
    <t>6. Have you changed any of your Rate Level Indication calculation methodologies since your last filing?</t>
  </si>
  <si>
    <t>6a. If Yes, support your change in methodologies.</t>
  </si>
  <si>
    <t>7. Confirm that a copy of the actual Insurance Expense Exhibit, as submitted with the Annual Statement, has been submitted with this filing.</t>
  </si>
  <si>
    <t>8. Are you proposing to introduce any new element(s) (rating variable, discount, etc.) to your rating plan with this filing?</t>
  </si>
  <si>
    <t xml:space="preserve">8a. If Yes, then list the proposed new element(s) in your rating plan.  </t>
  </si>
  <si>
    <t>9. Do any of your proposed changes create “multiple rating plans” (charging different rates for risks with the same rating characteristics)?</t>
  </si>
  <si>
    <t>9a. If Yes, then provide the proposed multiple rating plan details (The Department may approve multiple rating plans if a transition plan is approved).</t>
  </si>
  <si>
    <t>10. How was the PI-Other Exhibit computed? (Actual re-rate of policies, Estimate based on distributions, etc)</t>
  </si>
  <si>
    <t>11. Are you proposing rate capping with this filing?</t>
  </si>
  <si>
    <t>11a. If yes, then provide the proposed rate capping details (the Department may approve a one-term cap).</t>
  </si>
  <si>
    <t>10a. If the exhibit was computed by an actual re-rate of policies, confirm that 100% of policies were re-rated.</t>
  </si>
  <si>
    <t>3. Reinsurance Expenses should be the net cost of reinsurance; a supporting exhibit showing the calculation of the provision is needed</t>
  </si>
  <si>
    <t>4.  If "Other Expenses" or "Other Income" provisions included, then define (selected expense provisions should be reduced for anticipated fee income)</t>
  </si>
  <si>
    <t>4a. When including a dividend provision, the company's dividend payment history, the company's current dividend practice, whether dividends are related to loss experience, the capitalization of the company, and other factors affecting the payment of dividends should be taken into account</t>
  </si>
  <si>
    <t>1a. If Yes, only complete the EXP-Other Exhibit and provide a competitive analysis establishing that the proposed rates are neither excessive nor inadequate (Include at least 3 Competitor Rates and your Proposed Rates).</t>
  </si>
  <si>
    <t>5. When generalized linear modeling is used, the company should provide an overview of how the GLM analysis was performed and include a Quantiles Test, sum of squared errors, mean squared error, average absolute error, and a comparison of predicted and actual frequencies and/or losses demonstrating that the proposed rating plan is a better predictor of losses than the current rating plan</t>
  </si>
  <si>
    <t>5a. The quantiles should be defined based upon the product of all relativities assigned by the proposed rating plan (i.e. if quintiles are used, then quintile 1 contains the 20% of risks with the lowest overall relativity assigned by the proposed plan, and quintile 5 contains the 20% of risks with the highest overall relativity assigned by the proposed plan)</t>
  </si>
  <si>
    <t>5e. For the Department to conclude that the proposed rating plan is acceptable, it is necessary to demonstrate that the proposed rating plan does not introduce a pattern of errors (including overcorrection at the endpoints) when comparing the proposed relativities to the actual relativities from the holdout data set</t>
  </si>
  <si>
    <t>5.  Profit and Contingencies percentage may not exceed 5.0%</t>
  </si>
  <si>
    <t>6.  Complete exhibit for each Program type being filed</t>
  </si>
  <si>
    <t>4.  If policies will receive a dollar change &gt; +$400 or &lt; -$400, then list the actual dollar change, the actual percentage change, and the rating variable changes that are driving the rate change for the 5 policies receiving the largest dollar increases and the 5 policies receiving the largest dollar decreases</t>
  </si>
  <si>
    <t>4d. If an Actuary did not prepare this filing, provide the name, title, and contact information of the party responsible for the filing's accuracy, assumptions, calculations, and content.</t>
  </si>
</sst>
</file>

<file path=xl/styles.xml><?xml version="1.0" encoding="utf-8"?>
<styleSheet xmlns="http://schemas.openxmlformats.org/spreadsheetml/2006/main">
  <numFmts count="6">
    <numFmt numFmtId="44" formatCode="_(&quot;$&quot;* #,##0.00_);_(&quot;$&quot;* \(#,##0.00\);_(&quot;$&quot;* &quot;-&quot;??_);_(@_)"/>
    <numFmt numFmtId="43" formatCode="_(* #,##0.00_);_(* \(#,##0.00\);_(* &quot;-&quot;??_);_(@_)"/>
    <numFmt numFmtId="164" formatCode="0.0%"/>
    <numFmt numFmtId="165" formatCode="_(&quot;$&quot;* #,##0_);_(&quot;$&quot;* \(#,##0\);_(&quot;$&quot;* &quot;-&quot;??_);_(@_)"/>
    <numFmt numFmtId="166" formatCode="0.000"/>
    <numFmt numFmtId="167" formatCode="[$-F800]dddd\,\ mmmm\ dd\,\ yyyy"/>
  </numFmts>
  <fonts count="12">
    <font>
      <sz val="11"/>
      <color theme="1"/>
      <name val="Calibri"/>
      <family val="2"/>
      <scheme val="minor"/>
    </font>
    <font>
      <sz val="10"/>
      <name val="Arial"/>
      <family val="2"/>
    </font>
    <font>
      <sz val="11"/>
      <color theme="1"/>
      <name val="Calibri"/>
      <family val="2"/>
      <scheme val="minor"/>
    </font>
    <font>
      <b/>
      <sz val="11"/>
      <name val="Calibri"/>
      <family val="2"/>
      <scheme val="minor"/>
    </font>
    <font>
      <sz val="11"/>
      <name val="Calibri"/>
      <family val="2"/>
      <scheme val="minor"/>
    </font>
    <font>
      <b/>
      <sz val="11"/>
      <color indexed="40"/>
      <name val="Calibri"/>
      <family val="2"/>
      <scheme val="minor"/>
    </font>
    <font>
      <b/>
      <sz val="11"/>
      <color rgb="FF0070C0"/>
      <name val="Calibri"/>
      <family val="2"/>
      <scheme val="minor"/>
    </font>
    <font>
      <b/>
      <sz val="11"/>
      <color theme="4"/>
      <name val="Calibri"/>
      <family val="2"/>
      <scheme val="minor"/>
    </font>
    <font>
      <b/>
      <sz val="11"/>
      <color indexed="12"/>
      <name val="Calibri"/>
      <family val="2"/>
      <scheme val="minor"/>
    </font>
    <font>
      <b/>
      <sz val="11"/>
      <color theme="1"/>
      <name val="Calibri"/>
      <family val="2"/>
      <scheme val="minor"/>
    </font>
    <font>
      <i/>
      <sz val="11"/>
      <name val="Calibri"/>
      <family val="2"/>
      <scheme val="minor"/>
    </font>
    <font>
      <sz val="11"/>
      <color rgb="FF0070C0"/>
      <name val="Calibri"/>
      <family val="2"/>
      <scheme val="minor"/>
    </font>
  </fonts>
  <fills count="2">
    <fill>
      <patternFill patternType="none"/>
    </fill>
    <fill>
      <patternFill patternType="gray125"/>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right style="thin">
        <color indexed="64"/>
      </right>
      <top style="medium">
        <color indexed="64"/>
      </top>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39">
    <xf numFmtId="0" fontId="0" fillId="0" borderId="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416">
    <xf numFmtId="0" fontId="0" fillId="0" borderId="0" xfId="0"/>
    <xf numFmtId="0" fontId="0" fillId="0" borderId="0" xfId="0"/>
    <xf numFmtId="0" fontId="0" fillId="0" borderId="0" xfId="0" applyFont="1"/>
    <xf numFmtId="0" fontId="0" fillId="0" borderId="0" xfId="0" applyFont="1" applyBorder="1"/>
    <xf numFmtId="0" fontId="3" fillId="0" borderId="0" xfId="22" applyFont="1"/>
    <xf numFmtId="0" fontId="4" fillId="0" borderId="0" xfId="22" applyFont="1"/>
    <xf numFmtId="0" fontId="5" fillId="0" borderId="0" xfId="22" applyFont="1" applyBorder="1" applyAlignment="1">
      <alignment wrapText="1"/>
    </xf>
    <xf numFmtId="165" fontId="4" fillId="0" borderId="1" xfId="12" applyNumberFormat="1" applyFont="1" applyBorder="1" applyAlignment="1">
      <alignment horizontal="center"/>
    </xf>
    <xf numFmtId="166" fontId="4" fillId="0" borderId="1" xfId="22" applyNumberFormat="1" applyFont="1" applyBorder="1" applyAlignment="1">
      <alignment horizontal="center"/>
    </xf>
    <xf numFmtId="164" fontId="4" fillId="0" borderId="1" xfId="25" applyNumberFormat="1" applyFont="1" applyBorder="1" applyAlignment="1">
      <alignment horizontal="center"/>
    </xf>
    <xf numFmtId="164" fontId="4" fillId="0" borderId="1" xfId="37" applyNumberFormat="1" applyFont="1" applyBorder="1" applyAlignment="1">
      <alignment horizontal="center"/>
    </xf>
    <xf numFmtId="0" fontId="4" fillId="0" borderId="0" xfId="22" applyFont="1" applyBorder="1"/>
    <xf numFmtId="0" fontId="4" fillId="0" borderId="0" xfId="22" applyFont="1" applyFill="1" applyBorder="1"/>
    <xf numFmtId="0" fontId="4" fillId="0" borderId="0" xfId="22" applyFont="1" applyFill="1"/>
    <xf numFmtId="0" fontId="3" fillId="0" borderId="0" xfId="22" applyFont="1" applyAlignment="1">
      <alignment horizontal="right"/>
    </xf>
    <xf numFmtId="0" fontId="3" fillId="0" borderId="0" xfId="23" applyFont="1"/>
    <xf numFmtId="0" fontId="4" fillId="0" borderId="0" xfId="23" applyFont="1"/>
    <xf numFmtId="164" fontId="4" fillId="0" borderId="1" xfId="38" applyNumberFormat="1" applyFont="1" applyBorder="1" applyAlignment="1">
      <alignment horizontal="center"/>
    </xf>
    <xf numFmtId="0" fontId="4" fillId="0" borderId="0" xfId="23" applyFont="1" applyBorder="1"/>
    <xf numFmtId="0" fontId="3" fillId="0" borderId="0" xfId="23" applyFont="1" applyAlignment="1">
      <alignment horizontal="right"/>
    </xf>
    <xf numFmtId="43" fontId="4" fillId="0" borderId="1" xfId="1" applyFont="1" applyBorder="1" applyAlignment="1">
      <alignment horizontal="center"/>
    </xf>
    <xf numFmtId="0" fontId="3" fillId="0" borderId="0" xfId="24" applyFont="1"/>
    <xf numFmtId="0" fontId="4" fillId="0" borderId="0" xfId="24" applyFont="1"/>
    <xf numFmtId="0" fontId="3" fillId="0" borderId="0" xfId="24" applyFont="1" applyBorder="1" applyAlignment="1">
      <alignment horizontal="left"/>
    </xf>
    <xf numFmtId="165" fontId="4" fillId="0" borderId="2" xfId="15" applyNumberFormat="1" applyFont="1" applyBorder="1"/>
    <xf numFmtId="164" fontId="4" fillId="0" borderId="3" xfId="25" applyNumberFormat="1" applyFont="1" applyFill="1" applyBorder="1"/>
    <xf numFmtId="165" fontId="4" fillId="0" borderId="4" xfId="15" applyNumberFormat="1" applyFont="1" applyBorder="1"/>
    <xf numFmtId="164" fontId="4" fillId="0" borderId="5" xfId="25" applyNumberFormat="1" applyFont="1" applyFill="1" applyBorder="1"/>
    <xf numFmtId="0" fontId="4" fillId="0" borderId="0" xfId="24" applyFont="1" applyFill="1"/>
    <xf numFmtId="0" fontId="4" fillId="0" borderId="0" xfId="24" applyFont="1" applyFill="1" applyBorder="1"/>
    <xf numFmtId="0" fontId="4" fillId="0" borderId="0" xfId="24" applyFont="1" applyBorder="1"/>
    <xf numFmtId="0" fontId="3" fillId="0" borderId="0" xfId="24" applyFont="1" applyAlignment="1">
      <alignment horizontal="right"/>
    </xf>
    <xf numFmtId="0" fontId="0" fillId="0" borderId="0" xfId="0"/>
    <xf numFmtId="0" fontId="3" fillId="0" borderId="0" xfId="20" applyFont="1"/>
    <xf numFmtId="0" fontId="4" fillId="0" borderId="0" xfId="20" applyFont="1"/>
    <xf numFmtId="0" fontId="3" fillId="0" borderId="0" xfId="20" applyFont="1" applyBorder="1" applyAlignment="1">
      <alignment horizontal="left"/>
    </xf>
    <xf numFmtId="0" fontId="6" fillId="0" borderId="1" xfId="20" applyFont="1" applyBorder="1" applyAlignment="1">
      <alignment horizontal="center" wrapText="1"/>
    </xf>
    <xf numFmtId="164" fontId="4" fillId="0" borderId="1" xfId="36" applyNumberFormat="1" applyFont="1" applyBorder="1" applyAlignment="1">
      <alignment horizontal="center"/>
    </xf>
    <xf numFmtId="164" fontId="3" fillId="0" borderId="1" xfId="36" applyNumberFormat="1" applyFont="1" applyBorder="1" applyAlignment="1">
      <alignment horizontal="center"/>
    </xf>
    <xf numFmtId="0" fontId="4" fillId="0" borderId="1" xfId="20" applyFont="1" applyBorder="1" applyAlignment="1">
      <alignment horizontal="center"/>
    </xf>
    <xf numFmtId="0" fontId="4" fillId="0" borderId="0" xfId="20" applyFont="1" applyBorder="1"/>
    <xf numFmtId="0" fontId="3" fillId="0" borderId="0" xfId="20" applyFont="1" applyAlignment="1">
      <alignment horizontal="right"/>
    </xf>
    <xf numFmtId="0" fontId="3" fillId="0" borderId="6" xfId="23" applyFont="1" applyBorder="1" applyAlignment="1">
      <alignment horizontal="center" wrapText="1"/>
    </xf>
    <xf numFmtId="0" fontId="3" fillId="0" borderId="7" xfId="23" applyFont="1" applyBorder="1" applyAlignment="1">
      <alignment horizontal="center" wrapText="1"/>
    </xf>
    <xf numFmtId="0" fontId="7" fillId="0" borderId="8" xfId="23" applyFont="1" applyBorder="1" applyAlignment="1"/>
    <xf numFmtId="164" fontId="4" fillId="0" borderId="9" xfId="38" applyNumberFormat="1" applyFont="1" applyBorder="1" applyAlignment="1">
      <alignment horizontal="center"/>
    </xf>
    <xf numFmtId="0" fontId="7" fillId="0" borderId="10" xfId="23" applyFont="1" applyBorder="1" applyAlignment="1"/>
    <xf numFmtId="0" fontId="3" fillId="0" borderId="11" xfId="23" applyFont="1" applyBorder="1"/>
    <xf numFmtId="43" fontId="4" fillId="0" borderId="12" xfId="1" applyFont="1" applyBorder="1" applyAlignment="1">
      <alignment horizontal="center"/>
    </xf>
    <xf numFmtId="164" fontId="4" fillId="0" borderId="12" xfId="38" applyNumberFormat="1" applyFont="1" applyBorder="1" applyAlignment="1">
      <alignment horizontal="center"/>
    </xf>
    <xf numFmtId="164" fontId="4" fillId="0" borderId="13" xfId="38" applyNumberFormat="1" applyFont="1" applyBorder="1" applyAlignment="1">
      <alignment horizontal="center"/>
    </xf>
    <xf numFmtId="0" fontId="3" fillId="0" borderId="14" xfId="23" applyFont="1" applyBorder="1"/>
    <xf numFmtId="0" fontId="4" fillId="0" borderId="15" xfId="23" applyFont="1" applyBorder="1"/>
    <xf numFmtId="0" fontId="4" fillId="0" borderId="16" xfId="23" applyFont="1" applyBorder="1"/>
    <xf numFmtId="0" fontId="4" fillId="0" borderId="17" xfId="23" applyFont="1" applyBorder="1"/>
    <xf numFmtId="0" fontId="4" fillId="0" borderId="18" xfId="23" applyFont="1" applyBorder="1"/>
    <xf numFmtId="0" fontId="4" fillId="0" borderId="19" xfId="23" applyFont="1" applyBorder="1"/>
    <xf numFmtId="0" fontId="4" fillId="0" borderId="20" xfId="23" applyFont="1" applyBorder="1"/>
    <xf numFmtId="0" fontId="4" fillId="0" borderId="21" xfId="23" applyFont="1" applyBorder="1"/>
    <xf numFmtId="0" fontId="3" fillId="0" borderId="9" xfId="20" applyFont="1" applyBorder="1" applyAlignment="1">
      <alignment horizontal="center" wrapText="1"/>
    </xf>
    <xf numFmtId="164" fontId="4" fillId="0" borderId="9" xfId="36" applyNumberFormat="1" applyFont="1" applyBorder="1" applyAlignment="1">
      <alignment horizontal="center"/>
    </xf>
    <xf numFmtId="164" fontId="3" fillId="0" borderId="9" xfId="36" applyNumberFormat="1" applyFont="1" applyBorder="1" applyAlignment="1">
      <alignment horizontal="center"/>
    </xf>
    <xf numFmtId="0" fontId="3" fillId="0" borderId="11" xfId="20" applyFont="1" applyBorder="1"/>
    <xf numFmtId="0" fontId="4" fillId="0" borderId="22" xfId="20" applyFont="1" applyBorder="1"/>
    <xf numFmtId="0" fontId="4" fillId="0" borderId="22" xfId="20" applyFont="1" applyBorder="1" applyAlignment="1">
      <alignment horizontal="center"/>
    </xf>
    <xf numFmtId="164" fontId="3" fillId="0" borderId="13" xfId="36" applyNumberFormat="1" applyFont="1" applyBorder="1" applyAlignment="1">
      <alignment horizontal="center"/>
    </xf>
    <xf numFmtId="0" fontId="3" fillId="0" borderId="14" xfId="20" applyFont="1" applyBorder="1"/>
    <xf numFmtId="0" fontId="4" fillId="0" borderId="15" xfId="20" applyFont="1" applyBorder="1"/>
    <xf numFmtId="0" fontId="4" fillId="0" borderId="16" xfId="20" applyFont="1" applyBorder="1"/>
    <xf numFmtId="0" fontId="4" fillId="0" borderId="17" xfId="20" applyFont="1" applyBorder="1"/>
    <xf numFmtId="0" fontId="4" fillId="0" borderId="18" xfId="20" applyFont="1" applyBorder="1"/>
    <xf numFmtId="0" fontId="4" fillId="0" borderId="19" xfId="20" applyFont="1" applyBorder="1"/>
    <xf numFmtId="0" fontId="4" fillId="0" borderId="20" xfId="20" applyFont="1" applyBorder="1"/>
    <xf numFmtId="0" fontId="4" fillId="0" borderId="21" xfId="20" applyFont="1" applyBorder="1"/>
    <xf numFmtId="0" fontId="3" fillId="0" borderId="23" xfId="24" applyFont="1" applyBorder="1"/>
    <xf numFmtId="0" fontId="6" fillId="0" borderId="24" xfId="24" applyFont="1" applyBorder="1" applyAlignment="1">
      <alignment horizontal="center"/>
    </xf>
    <xf numFmtId="0" fontId="3" fillId="0" borderId="25" xfId="24" applyFont="1" applyFill="1" applyBorder="1" applyAlignment="1">
      <alignment horizontal="center" wrapText="1"/>
    </xf>
    <xf numFmtId="0" fontId="3" fillId="0" borderId="26" xfId="24" applyFont="1" applyFill="1" applyBorder="1" applyAlignment="1">
      <alignment horizontal="center" wrapText="1"/>
    </xf>
    <xf numFmtId="0" fontId="3" fillId="0" borderId="27" xfId="24" applyFont="1" applyBorder="1"/>
    <xf numFmtId="164" fontId="4" fillId="0" borderId="28" xfId="25" applyNumberFormat="1" applyFont="1" applyFill="1" applyBorder="1"/>
    <xf numFmtId="0" fontId="3" fillId="0" borderId="29" xfId="24" applyFont="1" applyBorder="1"/>
    <xf numFmtId="164" fontId="4" fillId="0" borderId="30" xfId="25" applyNumberFormat="1" applyFont="1" applyFill="1" applyBorder="1"/>
    <xf numFmtId="0" fontId="3" fillId="0" borderId="31" xfId="24" applyFont="1" applyBorder="1"/>
    <xf numFmtId="165" fontId="4" fillId="0" borderId="32" xfId="12" applyNumberFormat="1" applyFont="1" applyBorder="1"/>
    <xf numFmtId="164" fontId="4" fillId="0" borderId="32" xfId="25" applyNumberFormat="1" applyFont="1" applyBorder="1"/>
    <xf numFmtId="164" fontId="4" fillId="0" borderId="13" xfId="25" applyNumberFormat="1" applyFont="1" applyBorder="1"/>
    <xf numFmtId="0" fontId="3" fillId="0" borderId="14" xfId="24" applyFont="1" applyBorder="1"/>
    <xf numFmtId="0" fontId="4" fillId="0" borderId="15" xfId="24" applyFont="1" applyBorder="1"/>
    <xf numFmtId="0" fontId="4" fillId="0" borderId="16" xfId="24" applyFont="1" applyBorder="1"/>
    <xf numFmtId="0" fontId="4" fillId="0" borderId="17" xfId="24" applyFont="1" applyBorder="1"/>
    <xf numFmtId="0" fontId="4" fillId="0" borderId="18" xfId="24" applyFont="1" applyBorder="1"/>
    <xf numFmtId="0" fontId="4" fillId="0" borderId="19" xfId="24" applyFont="1" applyBorder="1"/>
    <xf numFmtId="0" fontId="4" fillId="0" borderId="20" xfId="24" applyFont="1" applyBorder="1"/>
    <xf numFmtId="0" fontId="4" fillId="0" borderId="21" xfId="24" applyFont="1" applyBorder="1"/>
    <xf numFmtId="164" fontId="4" fillId="0" borderId="33" xfId="36" applyNumberFormat="1" applyFont="1" applyBorder="1" applyAlignment="1">
      <alignment horizontal="center"/>
    </xf>
    <xf numFmtId="164" fontId="4" fillId="0" borderId="34" xfId="36" applyNumberFormat="1" applyFont="1" applyBorder="1" applyAlignment="1">
      <alignment horizontal="center"/>
    </xf>
    <xf numFmtId="43" fontId="4" fillId="0" borderId="9" xfId="1" applyFont="1" applyBorder="1" applyAlignment="1">
      <alignment horizontal="center"/>
    </xf>
    <xf numFmtId="0" fontId="4" fillId="0" borderId="28" xfId="20" applyFont="1" applyBorder="1" applyAlignment="1">
      <alignment horizontal="center"/>
    </xf>
    <xf numFmtId="0" fontId="3" fillId="0" borderId="25" xfId="22" applyFont="1" applyFill="1" applyBorder="1" applyAlignment="1">
      <alignment horizontal="center" wrapText="1"/>
    </xf>
    <xf numFmtId="164" fontId="4" fillId="0" borderId="12" xfId="37" applyNumberFormat="1" applyFont="1" applyBorder="1" applyAlignment="1">
      <alignment horizontal="center"/>
    </xf>
    <xf numFmtId="0" fontId="3" fillId="0" borderId="25" xfId="22" applyFont="1" applyBorder="1" applyAlignment="1">
      <alignment horizontal="center" wrapText="1"/>
    </xf>
    <xf numFmtId="0" fontId="4" fillId="0" borderId="20" xfId="22" applyFont="1" applyBorder="1"/>
    <xf numFmtId="164" fontId="4" fillId="0" borderId="12" xfId="25" applyNumberFormat="1" applyFont="1" applyBorder="1" applyAlignment="1">
      <alignment horizontal="center"/>
    </xf>
    <xf numFmtId="0" fontId="4" fillId="0" borderId="19" xfId="22" applyFont="1" applyBorder="1"/>
    <xf numFmtId="166" fontId="4" fillId="0" borderId="12" xfId="22" applyNumberFormat="1" applyFont="1" applyBorder="1" applyAlignment="1">
      <alignment horizontal="center"/>
    </xf>
    <xf numFmtId="0" fontId="4" fillId="0" borderId="18" xfId="22" applyFont="1" applyBorder="1"/>
    <xf numFmtId="0" fontId="3" fillId="0" borderId="26" xfId="22" applyFont="1" applyBorder="1" applyAlignment="1">
      <alignment horizontal="center" wrapText="1"/>
    </xf>
    <xf numFmtId="166" fontId="4" fillId="0" borderId="12" xfId="22" applyNumberFormat="1" applyFont="1" applyFill="1" applyBorder="1" applyAlignment="1">
      <alignment horizontal="center"/>
    </xf>
    <xf numFmtId="0" fontId="4" fillId="0" borderId="17" xfId="22" applyFont="1" applyBorder="1"/>
    <xf numFmtId="164" fontId="4" fillId="0" borderId="35" xfId="25" applyNumberFormat="1" applyFont="1" applyBorder="1" applyAlignment="1">
      <alignment horizontal="center"/>
    </xf>
    <xf numFmtId="165" fontId="4" fillId="0" borderId="12" xfId="12" applyNumberFormat="1" applyFont="1" applyFill="1" applyBorder="1" applyAlignment="1">
      <alignment horizontal="center"/>
    </xf>
    <xf numFmtId="0" fontId="4" fillId="0" borderId="16" xfId="22" applyFont="1" applyBorder="1"/>
    <xf numFmtId="0" fontId="3" fillId="0" borderId="31" xfId="22" applyFont="1" applyBorder="1" applyAlignment="1">
      <alignment horizontal="center"/>
    </xf>
    <xf numFmtId="0" fontId="3" fillId="0" borderId="23" xfId="22" applyFont="1" applyBorder="1" applyAlignment="1">
      <alignment horizontal="center" wrapText="1"/>
    </xf>
    <xf numFmtId="0" fontId="4" fillId="0" borderId="15" xfId="22" applyFont="1" applyBorder="1"/>
    <xf numFmtId="164" fontId="4" fillId="0" borderId="36" xfId="25" applyNumberFormat="1" applyFont="1" applyBorder="1" applyAlignment="1">
      <alignment horizontal="center"/>
    </xf>
    <xf numFmtId="164" fontId="4" fillId="0" borderId="9" xfId="37" applyNumberFormat="1" applyFont="1" applyBorder="1" applyAlignment="1">
      <alignment horizontal="center"/>
    </xf>
    <xf numFmtId="0" fontId="3" fillId="0" borderId="14" xfId="22" applyFont="1" applyBorder="1"/>
    <xf numFmtId="0" fontId="4" fillId="0" borderId="37" xfId="22" applyFont="1" applyBorder="1" applyAlignment="1">
      <alignment horizontal="center"/>
    </xf>
    <xf numFmtId="164" fontId="4" fillId="0" borderId="38" xfId="25" applyNumberFormat="1" applyFont="1" applyBorder="1" applyAlignment="1">
      <alignment horizontal="center"/>
    </xf>
    <xf numFmtId="164" fontId="4" fillId="0" borderId="13" xfId="37" applyNumberFormat="1" applyFont="1" applyBorder="1" applyAlignment="1">
      <alignment horizontal="center"/>
    </xf>
    <xf numFmtId="0" fontId="4" fillId="0" borderId="21" xfId="22" applyFont="1" applyBorder="1"/>
    <xf numFmtId="43" fontId="3" fillId="0" borderId="39" xfId="8" applyFont="1" applyBorder="1"/>
    <xf numFmtId="0" fontId="6" fillId="0" borderId="40" xfId="22" applyFont="1" applyBorder="1" applyAlignment="1">
      <alignment wrapText="1"/>
    </xf>
    <xf numFmtId="164" fontId="4" fillId="0" borderId="9" xfId="25" applyNumberFormat="1" applyFont="1" applyFill="1" applyBorder="1"/>
    <xf numFmtId="0" fontId="3" fillId="0" borderId="0" xfId="19" applyFont="1"/>
    <xf numFmtId="0" fontId="4" fillId="0" borderId="0" xfId="19" applyFont="1"/>
    <xf numFmtId="0" fontId="5" fillId="0" borderId="0" xfId="19" applyFont="1" applyFill="1" applyBorder="1" applyAlignment="1">
      <alignment horizontal="left"/>
    </xf>
    <xf numFmtId="0" fontId="8" fillId="0" borderId="0" xfId="19" applyFont="1" applyFill="1"/>
    <xf numFmtId="0" fontId="4" fillId="0" borderId="0" xfId="19" applyFont="1" applyFill="1"/>
    <xf numFmtId="0" fontId="3" fillId="0" borderId="41" xfId="19" applyFont="1" applyBorder="1" applyAlignment="1">
      <alignment horizontal="center" wrapText="1"/>
    </xf>
    <xf numFmtId="0" fontId="4" fillId="0" borderId="1" xfId="19" applyFont="1" applyBorder="1" applyAlignment="1">
      <alignment horizontal="center"/>
    </xf>
    <xf numFmtId="2" fontId="4" fillId="0" borderId="33" xfId="19" applyNumberFormat="1" applyFont="1" applyBorder="1" applyAlignment="1">
      <alignment horizontal="center"/>
    </xf>
    <xf numFmtId="0" fontId="4" fillId="0" borderId="0" xfId="19" applyFont="1" applyBorder="1"/>
    <xf numFmtId="0" fontId="3" fillId="0" borderId="0" xfId="19" applyFont="1" applyAlignment="1">
      <alignment horizontal="right"/>
    </xf>
    <xf numFmtId="0" fontId="3" fillId="0" borderId="14" xfId="19" applyFont="1" applyBorder="1"/>
    <xf numFmtId="0" fontId="4" fillId="0" borderId="15" xfId="19" applyFont="1" applyBorder="1"/>
    <xf numFmtId="0" fontId="4" fillId="0" borderId="16" xfId="19" applyFont="1" applyBorder="1"/>
    <xf numFmtId="0" fontId="4" fillId="0" borderId="17" xfId="19" applyFont="1" applyBorder="1"/>
    <xf numFmtId="0" fontId="4" fillId="0" borderId="18" xfId="19" applyFont="1" applyBorder="1"/>
    <xf numFmtId="0" fontId="4" fillId="0" borderId="19" xfId="19" applyFont="1" applyBorder="1"/>
    <xf numFmtId="0" fontId="4" fillId="0" borderId="20" xfId="19" applyFont="1" applyBorder="1"/>
    <xf numFmtId="0" fontId="4" fillId="0" borderId="21" xfId="19" applyFont="1" applyBorder="1"/>
    <xf numFmtId="0" fontId="3" fillId="0" borderId="14" xfId="19" applyFont="1" applyBorder="1" applyAlignment="1">
      <alignment horizontal="center" wrapText="1"/>
    </xf>
    <xf numFmtId="0" fontId="3" fillId="0" borderId="42" xfId="19" applyFont="1" applyBorder="1" applyAlignment="1">
      <alignment horizontal="center" wrapText="1"/>
    </xf>
    <xf numFmtId="0" fontId="3" fillId="0" borderId="8" xfId="19" applyFont="1" applyBorder="1" applyAlignment="1">
      <alignment horizontal="center" wrapText="1"/>
    </xf>
    <xf numFmtId="164" fontId="4" fillId="0" borderId="34" xfId="25" applyNumberFormat="1" applyFont="1" applyBorder="1" applyAlignment="1">
      <alignment horizontal="center"/>
    </xf>
    <xf numFmtId="164" fontId="4" fillId="0" borderId="30" xfId="25" applyNumberFormat="1" applyFont="1" applyBorder="1" applyAlignment="1">
      <alignment horizontal="center"/>
    </xf>
    <xf numFmtId="0" fontId="3" fillId="0" borderId="31" xfId="19" applyFont="1" applyBorder="1" applyAlignment="1"/>
    <xf numFmtId="0" fontId="4" fillId="0" borderId="12" xfId="19" applyFont="1" applyBorder="1" applyAlignment="1">
      <alignment horizontal="center"/>
    </xf>
    <xf numFmtId="2" fontId="4" fillId="0" borderId="43" xfId="19" applyNumberFormat="1" applyFont="1" applyBorder="1" applyAlignment="1">
      <alignment horizontal="center"/>
    </xf>
    <xf numFmtId="2" fontId="4" fillId="0" borderId="44" xfId="19" applyNumberFormat="1" applyFont="1" applyBorder="1" applyAlignment="1">
      <alignment horizontal="center"/>
    </xf>
    <xf numFmtId="164" fontId="3" fillId="0" borderId="13" xfId="25" applyNumberFormat="1" applyFont="1" applyBorder="1" applyAlignment="1">
      <alignment horizontal="center"/>
    </xf>
    <xf numFmtId="0" fontId="7" fillId="0" borderId="37" xfId="19" applyFont="1" applyBorder="1" applyAlignment="1"/>
    <xf numFmtId="0" fontId="0" fillId="0" borderId="20" xfId="0" applyFont="1" applyBorder="1"/>
    <xf numFmtId="0" fontId="9" fillId="0" borderId="0" xfId="0" applyFont="1" applyAlignment="1">
      <alignment horizontal="right"/>
    </xf>
    <xf numFmtId="0" fontId="0" fillId="0" borderId="0" xfId="0" applyFont="1" applyBorder="1"/>
    <xf numFmtId="165" fontId="2" fillId="0" borderId="1" xfId="12" applyNumberFormat="1" applyFont="1" applyBorder="1"/>
    <xf numFmtId="0" fontId="0" fillId="0" borderId="37" xfId="0" applyFont="1" applyBorder="1"/>
    <xf numFmtId="0" fontId="0" fillId="0" borderId="19" xfId="0" applyFont="1" applyBorder="1"/>
    <xf numFmtId="0" fontId="9" fillId="0" borderId="0" xfId="0" applyFont="1"/>
    <xf numFmtId="0" fontId="0" fillId="0" borderId="0" xfId="0" applyFont="1"/>
    <xf numFmtId="0" fontId="9" fillId="0" borderId="14" xfId="0" applyFont="1" applyBorder="1"/>
    <xf numFmtId="0" fontId="0" fillId="0" borderId="15" xfId="0" applyFont="1" applyBorder="1"/>
    <xf numFmtId="0" fontId="0" fillId="0" borderId="16" xfId="0" applyFont="1" applyBorder="1"/>
    <xf numFmtId="0" fontId="0" fillId="0" borderId="17" xfId="0" applyFont="1" applyBorder="1"/>
    <xf numFmtId="0" fontId="0" fillId="0" borderId="18" xfId="0" applyFont="1" applyBorder="1"/>
    <xf numFmtId="0" fontId="0" fillId="0" borderId="21" xfId="0" applyFont="1" applyBorder="1"/>
    <xf numFmtId="0" fontId="0" fillId="0" borderId="0" xfId="0"/>
    <xf numFmtId="0" fontId="0" fillId="0" borderId="0" xfId="0" applyFont="1"/>
    <xf numFmtId="0" fontId="9" fillId="0" borderId="0" xfId="0" applyFont="1"/>
    <xf numFmtId="0" fontId="0" fillId="0" borderId="0" xfId="0" applyFont="1"/>
    <xf numFmtId="0" fontId="0" fillId="0" borderId="0" xfId="0" applyBorder="1"/>
    <xf numFmtId="0" fontId="3" fillId="0" borderId="1" xfId="21" applyFont="1" applyBorder="1" applyAlignment="1">
      <alignment horizontal="center"/>
    </xf>
    <xf numFmtId="0" fontId="4" fillId="0" borderId="0" xfId="21" applyFont="1" applyBorder="1"/>
    <xf numFmtId="0" fontId="3" fillId="0" borderId="0" xfId="21" applyFont="1" applyBorder="1"/>
    <xf numFmtId="164" fontId="2" fillId="0" borderId="9" xfId="25" applyNumberFormat="1" applyFont="1" applyBorder="1" applyAlignment="1">
      <alignment horizontal="center"/>
    </xf>
    <xf numFmtId="164" fontId="4" fillId="0" borderId="12" xfId="25" applyNumberFormat="1" applyFont="1" applyBorder="1"/>
    <xf numFmtId="0" fontId="9" fillId="0" borderId="25" xfId="0" applyFont="1" applyBorder="1"/>
    <xf numFmtId="164" fontId="4" fillId="0" borderId="1" xfId="25" applyNumberFormat="1" applyFont="1" applyFill="1" applyBorder="1"/>
    <xf numFmtId="0" fontId="9" fillId="0" borderId="26" xfId="0" applyFont="1" applyBorder="1"/>
    <xf numFmtId="0" fontId="0" fillId="0" borderId="0" xfId="0"/>
    <xf numFmtId="0" fontId="0" fillId="0" borderId="0" xfId="0" applyBorder="1"/>
    <xf numFmtId="166" fontId="1" fillId="0" borderId="1" xfId="22" applyNumberFormat="1" applyFont="1" applyBorder="1" applyAlignment="1">
      <alignment horizontal="center"/>
    </xf>
    <xf numFmtId="0" fontId="9" fillId="0" borderId="0" xfId="0" applyFont="1" applyBorder="1" applyAlignment="1">
      <alignment horizontal="right"/>
    </xf>
    <xf numFmtId="0" fontId="3" fillId="0" borderId="14" xfId="21" applyFont="1" applyBorder="1" applyAlignment="1">
      <alignment horizontal="left"/>
    </xf>
    <xf numFmtId="0" fontId="0" fillId="0" borderId="15" xfId="0" applyFont="1" applyBorder="1"/>
    <xf numFmtId="0" fontId="0" fillId="0" borderId="16" xfId="0" applyBorder="1"/>
    <xf numFmtId="0" fontId="0" fillId="0" borderId="17" xfId="0" applyFont="1" applyBorder="1"/>
    <xf numFmtId="0" fontId="0" fillId="0" borderId="18" xfId="0" applyBorder="1"/>
    <xf numFmtId="0" fontId="3" fillId="0" borderId="19" xfId="21" applyFont="1" applyBorder="1" applyAlignment="1">
      <alignment wrapText="1"/>
    </xf>
    <xf numFmtId="0" fontId="3" fillId="0" borderId="20" xfId="21" applyFont="1" applyBorder="1" applyAlignment="1">
      <alignment wrapText="1"/>
    </xf>
    <xf numFmtId="0" fontId="0" fillId="0" borderId="21" xfId="0" applyBorder="1"/>
    <xf numFmtId="0" fontId="3" fillId="0" borderId="23" xfId="21" applyFont="1" applyBorder="1" applyAlignment="1">
      <alignment horizontal="center"/>
    </xf>
    <xf numFmtId="0" fontId="3" fillId="0" borderId="37" xfId="21" applyFont="1" applyBorder="1" applyAlignment="1">
      <alignment horizontal="center"/>
    </xf>
    <xf numFmtId="0" fontId="3" fillId="0" borderId="9" xfId="21" applyFont="1" applyBorder="1" applyAlignment="1">
      <alignment horizontal="center"/>
    </xf>
    <xf numFmtId="0" fontId="3" fillId="0" borderId="37" xfId="21" applyFont="1" applyBorder="1" applyAlignment="1"/>
    <xf numFmtId="164" fontId="4" fillId="0" borderId="9" xfId="25" applyNumberFormat="1" applyFont="1" applyBorder="1" applyAlignment="1">
      <alignment horizontal="center"/>
    </xf>
    <xf numFmtId="0" fontId="3" fillId="0" borderId="37" xfId="21" applyFont="1" applyBorder="1"/>
    <xf numFmtId="0" fontId="3" fillId="0" borderId="0" xfId="17" applyFont="1"/>
    <xf numFmtId="0" fontId="4" fillId="0" borderId="0" xfId="17" applyFont="1"/>
    <xf numFmtId="14" fontId="4" fillId="0" borderId="0" xfId="17" applyNumberFormat="1" applyFont="1"/>
    <xf numFmtId="0" fontId="4" fillId="0" borderId="1" xfId="17" applyFont="1" applyBorder="1" applyAlignment="1">
      <alignment horizontal="center"/>
    </xf>
    <xf numFmtId="0" fontId="10" fillId="0" borderId="0" xfId="17" applyFont="1" applyAlignment="1">
      <alignment horizontal="center"/>
    </xf>
    <xf numFmtId="0" fontId="10" fillId="0" borderId="0" xfId="17" applyFont="1"/>
    <xf numFmtId="0" fontId="4" fillId="0" borderId="0" xfId="17" applyFont="1" applyBorder="1"/>
    <xf numFmtId="0" fontId="3" fillId="0" borderId="0" xfId="17" applyFont="1" applyAlignment="1">
      <alignment horizontal="right"/>
    </xf>
    <xf numFmtId="1" fontId="4" fillId="0" borderId="1" xfId="17" applyNumberFormat="1" applyFont="1" applyBorder="1" applyAlignment="1">
      <alignment horizontal="center"/>
    </xf>
    <xf numFmtId="0" fontId="3" fillId="0" borderId="14" xfId="17" applyFont="1" applyBorder="1"/>
    <xf numFmtId="0" fontId="4" fillId="0" borderId="15" xfId="17" applyFont="1" applyBorder="1"/>
    <xf numFmtId="0" fontId="4" fillId="0" borderId="16" xfId="17" applyFont="1" applyBorder="1"/>
    <xf numFmtId="0" fontId="4" fillId="0" borderId="17" xfId="17" applyFont="1" applyBorder="1"/>
    <xf numFmtId="0" fontId="4" fillId="0" borderId="18" xfId="17" applyFont="1" applyBorder="1"/>
    <xf numFmtId="0" fontId="3" fillId="0" borderId="17" xfId="17" applyFont="1" applyBorder="1"/>
    <xf numFmtId="0" fontId="4" fillId="0" borderId="19" xfId="17" applyFont="1" applyBorder="1"/>
    <xf numFmtId="0" fontId="4" fillId="0" borderId="20" xfId="17" applyFont="1" applyBorder="1"/>
    <xf numFmtId="0" fontId="4" fillId="0" borderId="21" xfId="17" applyFont="1" applyBorder="1"/>
    <xf numFmtId="0" fontId="3" fillId="0" borderId="25" xfId="17" applyFont="1" applyBorder="1" applyAlignment="1">
      <alignment horizontal="center" wrapText="1"/>
    </xf>
    <xf numFmtId="0" fontId="3" fillId="0" borderId="26" xfId="17" applyFont="1" applyBorder="1" applyAlignment="1">
      <alignment horizontal="center" wrapText="1"/>
    </xf>
    <xf numFmtId="0" fontId="3" fillId="0" borderId="31" xfId="17" applyFont="1" applyBorder="1"/>
    <xf numFmtId="0" fontId="3" fillId="0" borderId="12" xfId="17" applyFont="1" applyBorder="1"/>
    <xf numFmtId="1" fontId="4" fillId="0" borderId="12" xfId="17" applyNumberFormat="1" applyFont="1" applyBorder="1" applyAlignment="1">
      <alignment horizontal="center"/>
    </xf>
    <xf numFmtId="0" fontId="4" fillId="0" borderId="12" xfId="17" applyFont="1" applyBorder="1" applyAlignment="1">
      <alignment horizontal="center"/>
    </xf>
    <xf numFmtId="164" fontId="4" fillId="0" borderId="13" xfId="26" applyNumberFormat="1" applyFont="1" applyBorder="1" applyAlignment="1">
      <alignment horizontal="center"/>
    </xf>
    <xf numFmtId="0" fontId="4" fillId="0" borderId="0" xfId="17" applyFont="1" applyBorder="1" applyAlignment="1">
      <alignment horizontal="center"/>
    </xf>
    <xf numFmtId="0" fontId="0" fillId="0" borderId="9" xfId="0" applyBorder="1" applyAlignment="1">
      <alignment horizontal="center"/>
    </xf>
    <xf numFmtId="0" fontId="0" fillId="0" borderId="13" xfId="0" applyBorder="1" applyAlignment="1">
      <alignment horizontal="center"/>
    </xf>
    <xf numFmtId="164" fontId="3" fillId="0" borderId="37" xfId="17" applyNumberFormat="1" applyFont="1" applyBorder="1" applyAlignment="1">
      <alignment horizontal="center"/>
    </xf>
    <xf numFmtId="164" fontId="3" fillId="0" borderId="37" xfId="26" applyNumberFormat="1" applyFont="1" applyBorder="1" applyAlignment="1">
      <alignment horizontal="center"/>
    </xf>
    <xf numFmtId="164" fontId="3" fillId="0" borderId="1" xfId="26" applyNumberFormat="1" applyFont="1" applyBorder="1" applyAlignment="1">
      <alignment horizontal="center"/>
    </xf>
    <xf numFmtId="44" fontId="3" fillId="0" borderId="37" xfId="13" applyFont="1" applyBorder="1" applyAlignment="1">
      <alignment horizontal="center"/>
    </xf>
    <xf numFmtId="44" fontId="6" fillId="0" borderId="1" xfId="13" applyFont="1" applyBorder="1" applyAlignment="1">
      <alignment horizontal="center"/>
    </xf>
    <xf numFmtId="44" fontId="3" fillId="0" borderId="1" xfId="13" applyFont="1" applyBorder="1" applyAlignment="1">
      <alignment horizontal="center"/>
    </xf>
    <xf numFmtId="164" fontId="7" fillId="0" borderId="1" xfId="26" applyNumberFormat="1" applyFont="1" applyBorder="1" applyAlignment="1">
      <alignment horizontal="center"/>
    </xf>
    <xf numFmtId="164" fontId="7" fillId="0" borderId="1" xfId="26" quotePrefix="1" applyNumberFormat="1" applyFont="1" applyBorder="1" applyAlignment="1">
      <alignment horizontal="center"/>
    </xf>
    <xf numFmtId="0" fontId="0" fillId="0" borderId="0" xfId="0" applyAlignment="1">
      <alignment wrapText="1"/>
    </xf>
    <xf numFmtId="0" fontId="3" fillId="0" borderId="7" xfId="0" applyFont="1" applyBorder="1" applyAlignment="1">
      <alignment horizontal="center" wrapText="1"/>
    </xf>
    <xf numFmtId="0" fontId="3" fillId="0" borderId="33" xfId="0" applyFont="1" applyBorder="1" applyAlignment="1">
      <alignment horizontal="center" wrapText="1"/>
    </xf>
    <xf numFmtId="0" fontId="0" fillId="0" borderId="0" xfId="0"/>
    <xf numFmtId="0" fontId="3" fillId="0" borderId="34" xfId="0" applyFont="1" applyBorder="1" applyAlignment="1">
      <alignment horizontal="center" wrapText="1"/>
    </xf>
    <xf numFmtId="164" fontId="0" fillId="0" borderId="13" xfId="0" applyNumberFormat="1" applyFont="1" applyBorder="1" applyAlignment="1">
      <alignment horizontal="center"/>
    </xf>
    <xf numFmtId="0" fontId="0" fillId="0" borderId="0" xfId="0" applyBorder="1"/>
    <xf numFmtId="0" fontId="4" fillId="0" borderId="0" xfId="17" applyFont="1"/>
    <xf numFmtId="14" fontId="4" fillId="0" borderId="0" xfId="17" applyNumberFormat="1" applyFont="1"/>
    <xf numFmtId="0" fontId="3" fillId="0" borderId="0" xfId="16" applyFont="1" applyBorder="1" applyAlignment="1">
      <alignment horizontal="left" vertical="center"/>
    </xf>
    <xf numFmtId="0" fontId="3" fillId="0" borderId="0" xfId="16" applyFont="1" applyBorder="1" applyAlignment="1">
      <alignment horizontal="right" vertical="center"/>
    </xf>
    <xf numFmtId="0" fontId="0" fillId="0" borderId="0" xfId="0" applyBorder="1" applyAlignment="1">
      <alignment vertical="center"/>
    </xf>
    <xf numFmtId="0" fontId="0" fillId="0" borderId="0" xfId="0" applyFont="1" applyBorder="1" applyAlignment="1">
      <alignment vertical="center" wrapText="1"/>
    </xf>
    <xf numFmtId="0" fontId="3" fillId="0" borderId="0" xfId="16" applyFont="1" applyBorder="1" applyAlignment="1">
      <alignment vertical="center"/>
    </xf>
    <xf numFmtId="0" fontId="3" fillId="0" borderId="0" xfId="16" applyFont="1" applyBorder="1" applyAlignment="1">
      <alignment vertical="center" wrapText="1"/>
    </xf>
    <xf numFmtId="0" fontId="3" fillId="0" borderId="23" xfId="16" applyFont="1" applyBorder="1" applyAlignment="1">
      <alignment vertical="center" wrapText="1"/>
    </xf>
    <xf numFmtId="0" fontId="4" fillId="0" borderId="26" xfId="16" applyFont="1" applyBorder="1" applyAlignment="1">
      <alignment vertical="center"/>
    </xf>
    <xf numFmtId="0" fontId="4" fillId="0" borderId="9" xfId="16" applyFont="1" applyFill="1" applyBorder="1" applyAlignment="1">
      <alignment vertical="center"/>
    </xf>
    <xf numFmtId="0" fontId="3" fillId="0" borderId="37" xfId="16" applyFont="1" applyFill="1" applyBorder="1" applyAlignment="1">
      <alignment horizontal="left" vertical="center" wrapText="1"/>
    </xf>
    <xf numFmtId="0" fontId="4" fillId="0" borderId="9" xfId="16" applyFont="1" applyBorder="1" applyAlignment="1">
      <alignment horizontal="left" vertical="center" wrapText="1"/>
    </xf>
    <xf numFmtId="0" fontId="9" fillId="0" borderId="37" xfId="0" applyFont="1" applyFill="1" applyBorder="1" applyAlignment="1">
      <alignment vertical="center" wrapText="1"/>
    </xf>
    <xf numFmtId="0" fontId="0" fillId="0" borderId="9" xfId="0" applyBorder="1" applyAlignment="1">
      <alignment vertical="center"/>
    </xf>
    <xf numFmtId="0" fontId="3" fillId="0" borderId="37" xfId="16" applyFont="1" applyFill="1" applyBorder="1" applyAlignment="1">
      <alignment vertical="center" wrapText="1"/>
    </xf>
    <xf numFmtId="0" fontId="4" fillId="0" borderId="9" xfId="16" applyFont="1" applyBorder="1" applyAlignment="1">
      <alignment vertical="center" wrapText="1"/>
    </xf>
    <xf numFmtId="0" fontId="3" fillId="0" borderId="37" xfId="16" applyFont="1" applyBorder="1" applyAlignment="1">
      <alignment vertical="center" wrapText="1"/>
    </xf>
    <xf numFmtId="0" fontId="4" fillId="0" borderId="13" xfId="16" applyFont="1" applyBorder="1" applyAlignment="1">
      <alignment vertical="center" wrapText="1"/>
    </xf>
    <xf numFmtId="0" fontId="0" fillId="0" borderId="0" xfId="0" applyBorder="1" applyAlignment="1">
      <alignment vertical="center" wrapText="1"/>
    </xf>
    <xf numFmtId="0" fontId="3" fillId="0" borderId="37" xfId="16" applyFont="1" applyBorder="1" applyAlignment="1">
      <alignment horizontal="left" vertical="center" wrapText="1" indent="2"/>
    </xf>
    <xf numFmtId="0" fontId="9" fillId="0" borderId="37" xfId="0" applyFont="1" applyBorder="1" applyAlignment="1">
      <alignment horizontal="left" vertical="center" wrapText="1" indent="2"/>
    </xf>
    <xf numFmtId="0" fontId="3" fillId="0" borderId="37" xfId="16" applyFont="1" applyFill="1" applyBorder="1" applyAlignment="1">
      <alignment horizontal="left" vertical="center" wrapText="1" indent="2"/>
    </xf>
    <xf numFmtId="0" fontId="3" fillId="0" borderId="31" xfId="16" applyFont="1" applyBorder="1" applyAlignment="1">
      <alignment horizontal="left" vertical="center" wrapText="1" indent="2"/>
    </xf>
    <xf numFmtId="0" fontId="0" fillId="0" borderId="0" xfId="0" applyBorder="1" applyAlignment="1">
      <alignment horizontal="left" indent="2"/>
    </xf>
    <xf numFmtId="0" fontId="3" fillId="0" borderId="37" xfId="16" applyFont="1" applyBorder="1" applyAlignment="1">
      <alignment horizontal="left" vertical="center" wrapText="1" indent="2"/>
    </xf>
    <xf numFmtId="0" fontId="3" fillId="0" borderId="37" xfId="16" applyFont="1" applyBorder="1" applyAlignment="1">
      <alignment horizontal="left" vertical="center" wrapText="1" indent="2"/>
    </xf>
    <xf numFmtId="0" fontId="3" fillId="0" borderId="0" xfId="21" applyFont="1" applyBorder="1" applyAlignment="1">
      <alignment wrapText="1"/>
    </xf>
    <xf numFmtId="0" fontId="9" fillId="0" borderId="37" xfId="0" applyFont="1" applyFill="1" applyBorder="1" applyAlignment="1">
      <alignment horizontal="left" vertical="center" wrapText="1" indent="2"/>
    </xf>
    <xf numFmtId="0" fontId="6" fillId="0" borderId="45" xfId="23" applyFont="1" applyBorder="1" applyAlignment="1">
      <alignment horizontal="left" wrapText="1"/>
    </xf>
    <xf numFmtId="0" fontId="11" fillId="0" borderId="46" xfId="0" applyFont="1" applyBorder="1" applyAlignment="1">
      <alignment horizontal="left" wrapText="1"/>
    </xf>
    <xf numFmtId="0" fontId="11" fillId="0" borderId="36" xfId="0" applyFont="1" applyBorder="1" applyAlignment="1">
      <alignment horizontal="left" wrapText="1"/>
    </xf>
    <xf numFmtId="14" fontId="6" fillId="0" borderId="11" xfId="23" applyNumberFormat="1" applyFont="1" applyBorder="1" applyAlignment="1">
      <alignment horizontal="left"/>
    </xf>
    <xf numFmtId="14" fontId="11" fillId="0" borderId="22" xfId="0" applyNumberFormat="1" applyFont="1" applyBorder="1" applyAlignment="1">
      <alignment horizontal="left"/>
    </xf>
    <xf numFmtId="14" fontId="11" fillId="0" borderId="38" xfId="0" applyNumberFormat="1" applyFont="1" applyBorder="1" applyAlignment="1">
      <alignment horizontal="left"/>
    </xf>
    <xf numFmtId="0" fontId="9" fillId="0" borderId="0" xfId="0" applyFont="1" applyAlignment="1">
      <alignment horizontal="left" wrapText="1"/>
    </xf>
    <xf numFmtId="0" fontId="6" fillId="0" borderId="10" xfId="23" applyFont="1" applyBorder="1" applyAlignment="1">
      <alignment horizontal="left" wrapText="1"/>
    </xf>
    <xf numFmtId="0" fontId="6" fillId="0" borderId="47" xfId="23" applyFont="1" applyBorder="1" applyAlignment="1">
      <alignment horizontal="left" wrapText="1"/>
    </xf>
    <xf numFmtId="0" fontId="6" fillId="0" borderId="35" xfId="23" applyFont="1" applyBorder="1" applyAlignment="1">
      <alignment horizontal="left" wrapText="1"/>
    </xf>
    <xf numFmtId="0" fontId="3" fillId="0" borderId="0" xfId="23" applyFont="1" applyAlignment="1">
      <alignment horizontal="left" wrapText="1"/>
    </xf>
    <xf numFmtId="0" fontId="3" fillId="0" borderId="48" xfId="23" applyFont="1" applyBorder="1" applyAlignment="1">
      <alignment horizontal="center" wrapText="1"/>
    </xf>
    <xf numFmtId="0" fontId="3" fillId="0" borderId="49" xfId="23" applyFont="1" applyBorder="1" applyAlignment="1">
      <alignment horizontal="center" wrapText="1"/>
    </xf>
    <xf numFmtId="0" fontId="3" fillId="0" borderId="50" xfId="23" applyFont="1" applyBorder="1" applyAlignment="1">
      <alignment horizontal="center" wrapText="1"/>
    </xf>
    <xf numFmtId="0" fontId="3" fillId="0" borderId="33" xfId="23" applyFont="1" applyBorder="1" applyAlignment="1">
      <alignment horizontal="center" wrapText="1"/>
    </xf>
    <xf numFmtId="0" fontId="3" fillId="0" borderId="51" xfId="23" applyFont="1" applyBorder="1" applyAlignment="1">
      <alignment horizontal="center" wrapText="1"/>
    </xf>
    <xf numFmtId="0" fontId="3" fillId="0" borderId="34" xfId="23" applyFont="1" applyBorder="1" applyAlignment="1">
      <alignment horizontal="center" wrapText="1"/>
    </xf>
    <xf numFmtId="0" fontId="6" fillId="0" borderId="45" xfId="22" applyFont="1" applyBorder="1" applyAlignment="1">
      <alignment horizontal="left" wrapText="1"/>
    </xf>
    <xf numFmtId="0" fontId="6" fillId="0" borderId="46" xfId="22" applyFont="1" applyBorder="1" applyAlignment="1">
      <alignment horizontal="left" wrapText="1"/>
    </xf>
    <xf numFmtId="0" fontId="6" fillId="0" borderId="36" xfId="22" applyFont="1" applyBorder="1" applyAlignment="1">
      <alignment horizontal="left" wrapText="1"/>
    </xf>
    <xf numFmtId="14" fontId="6" fillId="0" borderId="11" xfId="22" applyNumberFormat="1" applyFont="1" applyBorder="1" applyAlignment="1">
      <alignment horizontal="left"/>
    </xf>
    <xf numFmtId="14" fontId="6" fillId="0" borderId="22" xfId="22" applyNumberFormat="1" applyFont="1" applyBorder="1" applyAlignment="1">
      <alignment horizontal="left"/>
    </xf>
    <xf numFmtId="14" fontId="6" fillId="0" borderId="38" xfId="22" applyNumberFormat="1" applyFont="1" applyBorder="1" applyAlignment="1">
      <alignment horizontal="left"/>
    </xf>
    <xf numFmtId="0" fontId="3" fillId="0" borderId="45" xfId="22" applyFont="1" applyBorder="1" applyAlignment="1"/>
    <xf numFmtId="0" fontId="4" fillId="0" borderId="46" xfId="22" applyFont="1" applyBorder="1" applyAlignment="1"/>
    <xf numFmtId="0" fontId="4" fillId="0" borderId="54" xfId="22" applyFont="1" applyBorder="1" applyAlignment="1"/>
    <xf numFmtId="0" fontId="3" fillId="0" borderId="10" xfId="22" applyFont="1" applyBorder="1" applyAlignment="1"/>
    <xf numFmtId="0" fontId="4" fillId="0" borderId="47" xfId="22" applyFont="1" applyBorder="1" applyAlignment="1"/>
    <xf numFmtId="0" fontId="4" fillId="0" borderId="52" xfId="22" applyFont="1" applyBorder="1" applyAlignment="1"/>
    <xf numFmtId="0" fontId="3" fillId="0" borderId="10" xfId="22" applyFont="1" applyBorder="1" applyAlignment="1">
      <alignment horizontal="left"/>
    </xf>
    <xf numFmtId="0" fontId="3" fillId="0" borderId="47" xfId="22" applyFont="1" applyBorder="1" applyAlignment="1">
      <alignment horizontal="left"/>
    </xf>
    <xf numFmtId="0" fontId="3" fillId="0" borderId="52" xfId="22" applyFont="1" applyBorder="1" applyAlignment="1">
      <alignment horizontal="left"/>
    </xf>
    <xf numFmtId="0" fontId="6" fillId="0" borderId="10" xfId="22" applyFont="1" applyBorder="1" applyAlignment="1">
      <alignment horizontal="left" wrapText="1"/>
    </xf>
    <xf numFmtId="0" fontId="6" fillId="0" borderId="47" xfId="22" applyFont="1" applyBorder="1" applyAlignment="1">
      <alignment horizontal="left" wrapText="1"/>
    </xf>
    <xf numFmtId="0" fontId="6" fillId="0" borderId="35" xfId="22" applyFont="1" applyBorder="1" applyAlignment="1">
      <alignment horizontal="left" wrapText="1"/>
    </xf>
    <xf numFmtId="0" fontId="3" fillId="0" borderId="11" xfId="22" applyFont="1" applyBorder="1" applyAlignment="1"/>
    <xf numFmtId="0" fontId="4" fillId="0" borderId="22" xfId="22" applyFont="1" applyBorder="1" applyAlignment="1"/>
    <xf numFmtId="0" fontId="4" fillId="0" borderId="53" xfId="22" applyFont="1" applyBorder="1" applyAlignment="1"/>
    <xf numFmtId="0" fontId="9" fillId="0" borderId="0" xfId="0" applyFont="1" applyAlignment="1">
      <alignment horizontal="left"/>
    </xf>
    <xf numFmtId="0" fontId="0" fillId="0" borderId="23" xfId="0" applyBorder="1" applyAlignment="1">
      <alignment horizontal="left"/>
    </xf>
    <xf numFmtId="0" fontId="0" fillId="0" borderId="25" xfId="0" applyBorder="1" applyAlignment="1">
      <alignment horizontal="left"/>
    </xf>
    <xf numFmtId="0" fontId="3" fillId="0" borderId="37" xfId="22" applyFont="1" applyBorder="1" applyAlignment="1">
      <alignment horizontal="left"/>
    </xf>
    <xf numFmtId="0" fontId="3" fillId="0" borderId="1" xfId="22" applyFont="1" applyBorder="1" applyAlignment="1">
      <alignment horizontal="left"/>
    </xf>
    <xf numFmtId="0" fontId="3" fillId="0" borderId="31" xfId="22" applyFont="1" applyBorder="1" applyAlignment="1">
      <alignment horizontal="left"/>
    </xf>
    <xf numFmtId="0" fontId="3" fillId="0" borderId="12" xfId="22" applyFont="1" applyBorder="1" applyAlignment="1">
      <alignment horizontal="left"/>
    </xf>
    <xf numFmtId="0" fontId="3" fillId="0" borderId="0" xfId="8" applyNumberFormat="1" applyFont="1" applyAlignment="1">
      <alignment horizontal="left"/>
    </xf>
    <xf numFmtId="0" fontId="3" fillId="0" borderId="11" xfId="21" applyFont="1" applyBorder="1" applyAlignment="1">
      <alignment horizontal="left"/>
    </xf>
    <xf numFmtId="0" fontId="3" fillId="0" borderId="22" xfId="21" applyFont="1" applyBorder="1" applyAlignment="1">
      <alignment horizontal="left"/>
    </xf>
    <xf numFmtId="0" fontId="3" fillId="0" borderId="53" xfId="21" applyFont="1" applyBorder="1" applyAlignment="1">
      <alignment horizontal="left"/>
    </xf>
    <xf numFmtId="0" fontId="9" fillId="0" borderId="0" xfId="0" applyFont="1" applyBorder="1" applyAlignment="1">
      <alignment horizontal="left" wrapText="1" indent="2"/>
    </xf>
    <xf numFmtId="0" fontId="6" fillId="0" borderId="14" xfId="21" applyFont="1" applyBorder="1" applyAlignment="1">
      <alignment horizontal="left" wrapText="1"/>
    </xf>
    <xf numFmtId="0" fontId="11" fillId="0" borderId="15" xfId="0" applyFont="1" applyBorder="1" applyAlignment="1">
      <alignment horizontal="left" wrapText="1"/>
    </xf>
    <xf numFmtId="0" fontId="11" fillId="0" borderId="16" xfId="0" applyFont="1" applyBorder="1" applyAlignment="1">
      <alignment horizontal="left" wrapText="1"/>
    </xf>
    <xf numFmtId="0" fontId="6" fillId="0" borderId="31" xfId="21" applyFont="1" applyBorder="1" applyAlignment="1">
      <alignment horizontal="left"/>
    </xf>
    <xf numFmtId="0" fontId="11" fillId="0" borderId="12" xfId="0" applyFont="1" applyBorder="1" applyAlignment="1">
      <alignment horizontal="left"/>
    </xf>
    <xf numFmtId="0" fontId="11" fillId="0" borderId="13" xfId="0" applyFont="1" applyBorder="1" applyAlignment="1">
      <alignment horizontal="left"/>
    </xf>
    <xf numFmtId="0" fontId="3" fillId="0" borderId="25" xfId="21" applyFont="1" applyBorder="1" applyAlignment="1">
      <alignment horizontal="center"/>
    </xf>
    <xf numFmtId="0" fontId="3" fillId="0" borderId="26" xfId="21" applyFont="1" applyBorder="1" applyAlignment="1">
      <alignment horizontal="center"/>
    </xf>
    <xf numFmtId="0" fontId="3" fillId="0" borderId="0" xfId="21" applyFont="1" applyBorder="1" applyAlignment="1">
      <alignment horizontal="left" wrapText="1"/>
    </xf>
    <xf numFmtId="0" fontId="9" fillId="0" borderId="0" xfId="0" applyFont="1" applyBorder="1" applyAlignment="1">
      <alignment horizontal="left" wrapText="1"/>
    </xf>
    <xf numFmtId="0" fontId="0" fillId="0" borderId="23" xfId="0" applyFill="1" applyBorder="1" applyAlignment="1">
      <alignment horizontal="left" wrapText="1"/>
    </xf>
    <xf numFmtId="0" fontId="0" fillId="0" borderId="25" xfId="0" applyFill="1" applyBorder="1" applyAlignment="1">
      <alignment horizontal="left" wrapText="1"/>
    </xf>
    <xf numFmtId="0" fontId="0" fillId="0" borderId="26" xfId="0" applyFill="1" applyBorder="1" applyAlignment="1">
      <alignment horizontal="left" wrapText="1"/>
    </xf>
    <xf numFmtId="0" fontId="0" fillId="0" borderId="45" xfId="0" applyBorder="1" applyAlignment="1">
      <alignment horizontal="left" wrapText="1"/>
    </xf>
    <xf numFmtId="0" fontId="0" fillId="0" borderId="46" xfId="0" applyBorder="1" applyAlignment="1">
      <alignment horizontal="left" wrapText="1"/>
    </xf>
    <xf numFmtId="0" fontId="0" fillId="0" borderId="36" xfId="0" applyBorder="1" applyAlignment="1">
      <alignment horizontal="left" wrapText="1"/>
    </xf>
    <xf numFmtId="0" fontId="0" fillId="0" borderId="1" xfId="0" applyBorder="1" applyAlignment="1">
      <alignment horizontal="left"/>
    </xf>
    <xf numFmtId="0" fontId="0" fillId="0" borderId="12" xfId="0" applyBorder="1" applyAlignment="1">
      <alignment horizontal="left"/>
    </xf>
    <xf numFmtId="0" fontId="9" fillId="0" borderId="37" xfId="0" applyFont="1" applyBorder="1" applyAlignment="1">
      <alignment horizontal="left"/>
    </xf>
    <xf numFmtId="0" fontId="9" fillId="0" borderId="1" xfId="0" applyFont="1" applyBorder="1" applyAlignment="1">
      <alignment horizontal="left"/>
    </xf>
    <xf numFmtId="0" fontId="9" fillId="0" borderId="9" xfId="0" applyFont="1" applyBorder="1" applyAlignment="1">
      <alignment horizontal="left"/>
    </xf>
    <xf numFmtId="0" fontId="0" fillId="0" borderId="37" xfId="0" applyFont="1" applyBorder="1" applyAlignment="1">
      <alignment horizontal="center"/>
    </xf>
    <xf numFmtId="0" fontId="3" fillId="0" borderId="31" xfId="0" applyFont="1" applyBorder="1" applyAlignment="1">
      <alignment horizontal="left"/>
    </xf>
    <xf numFmtId="0" fontId="3" fillId="0" borderId="12" xfId="0" applyFont="1" applyBorder="1" applyAlignment="1">
      <alignment horizontal="left"/>
    </xf>
    <xf numFmtId="0" fontId="0" fillId="0" borderId="31" xfId="0" applyFont="1" applyBorder="1" applyAlignment="1">
      <alignment horizontal="center"/>
    </xf>
    <xf numFmtId="0" fontId="3" fillId="0" borderId="0" xfId="24" applyFont="1" applyAlignment="1">
      <alignment horizontal="left"/>
    </xf>
    <xf numFmtId="0" fontId="6" fillId="0" borderId="45" xfId="24" applyFont="1" applyBorder="1" applyAlignment="1">
      <alignment horizontal="left" wrapText="1"/>
    </xf>
    <xf numFmtId="0" fontId="6" fillId="0" borderId="46" xfId="24" applyFont="1" applyBorder="1" applyAlignment="1">
      <alignment horizontal="left" wrapText="1"/>
    </xf>
    <xf numFmtId="0" fontId="6" fillId="0" borderId="36" xfId="24" applyFont="1" applyBorder="1" applyAlignment="1">
      <alignment horizontal="left" wrapText="1"/>
    </xf>
    <xf numFmtId="14" fontId="6" fillId="0" borderId="11" xfId="24" applyNumberFormat="1" applyFont="1" applyBorder="1" applyAlignment="1">
      <alignment horizontal="left"/>
    </xf>
    <xf numFmtId="14" fontId="6" fillId="0" borderId="22" xfId="24" applyNumberFormat="1" applyFont="1" applyBorder="1" applyAlignment="1">
      <alignment horizontal="left"/>
    </xf>
    <xf numFmtId="14" fontId="6" fillId="0" borderId="38" xfId="24" applyNumberFormat="1" applyFont="1" applyBorder="1" applyAlignment="1">
      <alignment horizontal="left"/>
    </xf>
    <xf numFmtId="0" fontId="7" fillId="0" borderId="45" xfId="20" applyFont="1" applyBorder="1" applyAlignment="1">
      <alignment horizontal="left" wrapText="1"/>
    </xf>
    <xf numFmtId="0" fontId="7" fillId="0" borderId="46" xfId="20" applyFont="1" applyBorder="1" applyAlignment="1">
      <alignment horizontal="left" wrapText="1"/>
    </xf>
    <xf numFmtId="0" fontId="7" fillId="0" borderId="36" xfId="20" applyFont="1" applyBorder="1" applyAlignment="1">
      <alignment horizontal="left" wrapText="1"/>
    </xf>
    <xf numFmtId="0" fontId="3" fillId="0" borderId="14" xfId="20" applyFont="1" applyBorder="1" applyAlignment="1">
      <alignment horizontal="center"/>
    </xf>
    <xf numFmtId="0" fontId="3" fillId="0" borderId="15" xfId="20" applyFont="1" applyBorder="1" applyAlignment="1">
      <alignment horizontal="center"/>
    </xf>
    <xf numFmtId="0" fontId="3" fillId="0" borderId="24" xfId="20" applyFont="1" applyBorder="1" applyAlignment="1">
      <alignment horizontal="center"/>
    </xf>
    <xf numFmtId="0" fontId="4" fillId="0" borderId="46" xfId="20" applyFont="1" applyBorder="1" applyAlignment="1">
      <alignment horizontal="center"/>
    </xf>
    <xf numFmtId="0" fontId="4" fillId="0" borderId="36" xfId="20" applyFont="1" applyBorder="1" applyAlignment="1">
      <alignment horizontal="center"/>
    </xf>
    <xf numFmtId="0" fontId="7" fillId="0" borderId="8" xfId="20" applyFont="1" applyBorder="1" applyAlignment="1"/>
    <xf numFmtId="0" fontId="7" fillId="0" borderId="55" xfId="20" applyFont="1" applyBorder="1" applyAlignment="1"/>
    <xf numFmtId="0" fontId="7" fillId="0" borderId="49" xfId="20" applyFont="1" applyBorder="1" applyAlignment="1"/>
    <xf numFmtId="167" fontId="7" fillId="0" borderId="11" xfId="20" applyNumberFormat="1" applyFont="1" applyBorder="1" applyAlignment="1">
      <alignment horizontal="left"/>
    </xf>
    <xf numFmtId="167" fontId="7" fillId="0" borderId="22" xfId="20" applyNumberFormat="1" applyFont="1" applyBorder="1" applyAlignment="1">
      <alignment horizontal="left"/>
    </xf>
    <xf numFmtId="167" fontId="7" fillId="0" borderId="38" xfId="20" applyNumberFormat="1" applyFont="1" applyBorder="1" applyAlignment="1">
      <alignment horizontal="left"/>
    </xf>
    <xf numFmtId="0" fontId="3" fillId="0" borderId="7" xfId="20" applyFont="1" applyBorder="1" applyAlignment="1">
      <alignment horizontal="center" wrapText="1"/>
    </xf>
    <xf numFmtId="0" fontId="3" fillId="0" borderId="33" xfId="20" applyFont="1" applyBorder="1" applyAlignment="1">
      <alignment horizontal="center" wrapText="1"/>
    </xf>
    <xf numFmtId="0" fontId="7" fillId="0" borderId="10" xfId="20" applyFont="1" applyBorder="1" applyAlignment="1">
      <alignment horizontal="left" wrapText="1"/>
    </xf>
    <xf numFmtId="0" fontId="7" fillId="0" borderId="47" xfId="20" applyFont="1" applyBorder="1" applyAlignment="1">
      <alignment horizontal="left" wrapText="1"/>
    </xf>
    <xf numFmtId="0" fontId="7" fillId="0" borderId="35" xfId="20" applyFont="1" applyBorder="1" applyAlignment="1">
      <alignment horizontal="left" wrapText="1"/>
    </xf>
    <xf numFmtId="0" fontId="3" fillId="0" borderId="0" xfId="20" applyFont="1" applyAlignment="1">
      <alignment horizontal="left"/>
    </xf>
    <xf numFmtId="0" fontId="3" fillId="0" borderId="10" xfId="20" applyFont="1" applyBorder="1" applyAlignment="1"/>
    <xf numFmtId="0" fontId="4" fillId="0" borderId="47" xfId="20" applyFont="1" applyBorder="1" applyAlignment="1"/>
    <xf numFmtId="0" fontId="4" fillId="0" borderId="52" xfId="20" applyFont="1" applyBorder="1" applyAlignment="1"/>
    <xf numFmtId="0" fontId="7" fillId="0" borderId="10" xfId="20" applyFont="1" applyBorder="1" applyAlignment="1"/>
    <xf numFmtId="0" fontId="7" fillId="0" borderId="47" xfId="20" applyFont="1" applyBorder="1" applyAlignment="1"/>
    <xf numFmtId="0" fontId="7" fillId="0" borderId="52" xfId="20" applyFont="1" applyBorder="1" applyAlignment="1"/>
    <xf numFmtId="0" fontId="3" fillId="0" borderId="0" xfId="20" applyFont="1" applyAlignment="1">
      <alignment horizontal="left" wrapText="1"/>
    </xf>
    <xf numFmtId="0" fontId="6" fillId="0" borderId="45" xfId="19" applyFont="1" applyBorder="1" applyAlignment="1">
      <alignment horizontal="left" wrapText="1"/>
    </xf>
    <xf numFmtId="0" fontId="6" fillId="0" borderId="36" xfId="19" applyFont="1" applyBorder="1" applyAlignment="1">
      <alignment horizontal="left" wrapText="1"/>
    </xf>
    <xf numFmtId="0" fontId="6" fillId="0" borderId="10" xfId="19" applyFont="1" applyBorder="1" applyAlignment="1">
      <alignment horizontal="left" wrapText="1"/>
    </xf>
    <xf numFmtId="0" fontId="6" fillId="0" borderId="35" xfId="19" applyFont="1" applyBorder="1" applyAlignment="1">
      <alignment horizontal="left" wrapText="1"/>
    </xf>
    <xf numFmtId="0" fontId="6" fillId="0" borderId="56" xfId="19" applyFont="1" applyFill="1" applyBorder="1" applyAlignment="1">
      <alignment horizontal="left" wrapText="1"/>
    </xf>
    <xf numFmtId="0" fontId="6" fillId="0" borderId="57" xfId="19" applyFont="1" applyFill="1" applyBorder="1" applyAlignment="1">
      <alignment horizontal="left" wrapText="1"/>
    </xf>
    <xf numFmtId="0" fontId="3" fillId="0" borderId="50" xfId="19" applyFont="1" applyBorder="1" applyAlignment="1">
      <alignment horizontal="center" wrapText="1"/>
    </xf>
    <xf numFmtId="0" fontId="3" fillId="0" borderId="33" xfId="19" applyFont="1" applyBorder="1" applyAlignment="1">
      <alignment horizontal="center" wrapText="1"/>
    </xf>
    <xf numFmtId="0" fontId="3" fillId="0" borderId="0" xfId="20" applyFont="1" applyAlignment="1">
      <alignment horizontal="left" indent="2"/>
    </xf>
    <xf numFmtId="0" fontId="3" fillId="0" borderId="0" xfId="20" applyFont="1" applyAlignment="1">
      <alignment horizontal="left" wrapText="1" indent="2"/>
    </xf>
    <xf numFmtId="0" fontId="3" fillId="0" borderId="0" xfId="19" applyFont="1" applyAlignment="1">
      <alignment horizontal="left"/>
    </xf>
    <xf numFmtId="0" fontId="3" fillId="0" borderId="0" xfId="19" applyFont="1" applyAlignment="1">
      <alignment horizontal="left" indent="2"/>
    </xf>
    <xf numFmtId="0" fontId="3" fillId="0" borderId="0" xfId="20" applyFont="1" applyAlignment="1">
      <alignment horizontal="left" vertical="top" wrapText="1" indent="2"/>
    </xf>
    <xf numFmtId="0" fontId="3" fillId="0" borderId="0" xfId="19" applyFont="1" applyAlignment="1">
      <alignment horizontal="left" vertical="top" wrapText="1" indent="2"/>
    </xf>
    <xf numFmtId="0" fontId="3" fillId="0" borderId="0" xfId="19" applyFont="1" applyAlignment="1">
      <alignment horizontal="left" wrapText="1"/>
    </xf>
    <xf numFmtId="0" fontId="3" fillId="0" borderId="51" xfId="19" applyFont="1" applyBorder="1" applyAlignment="1">
      <alignment horizontal="center" wrapText="1"/>
    </xf>
    <xf numFmtId="0" fontId="3" fillId="0" borderId="34" xfId="19" applyFont="1" applyBorder="1" applyAlignment="1">
      <alignment horizontal="center" wrapText="1"/>
    </xf>
    <xf numFmtId="0" fontId="3" fillId="0" borderId="0" xfId="19" applyFont="1" applyAlignment="1">
      <alignment horizontal="left" wrapText="1" indent="2"/>
    </xf>
    <xf numFmtId="44" fontId="3" fillId="0" borderId="37" xfId="13" applyFont="1" applyBorder="1" applyAlignment="1">
      <alignment horizontal="center"/>
    </xf>
    <xf numFmtId="44" fontId="3" fillId="0" borderId="1" xfId="13" applyFont="1" applyBorder="1" applyAlignment="1">
      <alignment horizontal="center"/>
    </xf>
    <xf numFmtId="0" fontId="3" fillId="0" borderId="23" xfId="17" applyFont="1" applyBorder="1" applyAlignment="1">
      <alignment horizontal="center"/>
    </xf>
    <xf numFmtId="0" fontId="4" fillId="0" borderId="25" xfId="17" applyFont="1" applyBorder="1" applyAlignment="1">
      <alignment horizontal="center"/>
    </xf>
    <xf numFmtId="164" fontId="3" fillId="0" borderId="37" xfId="26" applyNumberFormat="1" applyFont="1" applyBorder="1" applyAlignment="1">
      <alignment horizontal="center"/>
    </xf>
    <xf numFmtId="164" fontId="3" fillId="0" borderId="1" xfId="26" applyNumberFormat="1" applyFont="1" applyBorder="1" applyAlignment="1">
      <alignment horizontal="center"/>
    </xf>
    <xf numFmtId="0" fontId="6" fillId="0" borderId="45" xfId="17" applyFont="1" applyBorder="1" applyAlignment="1">
      <alignment horizontal="left"/>
    </xf>
    <xf numFmtId="0" fontId="6" fillId="0" borderId="46" xfId="17" applyFont="1" applyBorder="1" applyAlignment="1">
      <alignment horizontal="left"/>
    </xf>
    <xf numFmtId="0" fontId="6" fillId="0" borderId="36" xfId="17" applyFont="1" applyBorder="1" applyAlignment="1">
      <alignment horizontal="left"/>
    </xf>
    <xf numFmtId="0" fontId="6" fillId="0" borderId="10" xfId="17" applyFont="1" applyBorder="1" applyAlignment="1">
      <alignment horizontal="left"/>
    </xf>
    <xf numFmtId="0" fontId="6" fillId="0" borderId="47" xfId="17" applyFont="1" applyBorder="1" applyAlignment="1">
      <alignment horizontal="left"/>
    </xf>
    <xf numFmtId="0" fontId="6" fillId="0" borderId="35" xfId="17" applyFont="1" applyBorder="1" applyAlignment="1">
      <alignment horizontal="left"/>
    </xf>
    <xf numFmtId="14" fontId="6" fillId="0" borderId="11" xfId="17" applyNumberFormat="1" applyFont="1" applyBorder="1" applyAlignment="1">
      <alignment horizontal="left"/>
    </xf>
    <xf numFmtId="14" fontId="6" fillId="0" borderId="22" xfId="17" applyNumberFormat="1" applyFont="1" applyBorder="1" applyAlignment="1">
      <alignment horizontal="left"/>
    </xf>
    <xf numFmtId="14" fontId="6" fillId="0" borderId="38" xfId="17" applyNumberFormat="1" applyFont="1" applyBorder="1" applyAlignment="1">
      <alignment horizontal="left"/>
    </xf>
    <xf numFmtId="0" fontId="3" fillId="0" borderId="0" xfId="17" applyFont="1" applyAlignment="1">
      <alignment horizontal="left"/>
    </xf>
    <xf numFmtId="0" fontId="3" fillId="0" borderId="0" xfId="17" applyFont="1" applyAlignment="1">
      <alignment horizontal="left" wrapText="1"/>
    </xf>
    <xf numFmtId="0" fontId="3" fillId="0" borderId="0" xfId="17" applyFont="1" applyFill="1" applyAlignment="1">
      <alignment horizontal="left" wrapText="1"/>
    </xf>
  </cellXfs>
  <cellStyles count="39">
    <cellStyle name="Comma" xfId="1" builtinId="3"/>
    <cellStyle name="Comma 2 10" xfId="2"/>
    <cellStyle name="Comma 2 2" xfId="3"/>
    <cellStyle name="Comma 2 3" xfId="4"/>
    <cellStyle name="Comma 2 4" xfId="5"/>
    <cellStyle name="Comma 2 5" xfId="6"/>
    <cellStyle name="Comma 2 6" xfId="7"/>
    <cellStyle name="Comma 2 7" xfId="8"/>
    <cellStyle name="Comma 2 8" xfId="9"/>
    <cellStyle name="Comma 2 9" xfId="10"/>
    <cellStyle name="Comma 5" xfId="11"/>
    <cellStyle name="Currency" xfId="12" builtinId="4"/>
    <cellStyle name="Currency 2" xfId="13"/>
    <cellStyle name="Currency 7" xfId="14"/>
    <cellStyle name="Currency 9" xfId="15"/>
    <cellStyle name="Normal" xfId="0" builtinId="0"/>
    <cellStyle name="Normal 10" xfId="16"/>
    <cellStyle name="Normal 2" xfId="17"/>
    <cellStyle name="Normal 3" xfId="18"/>
    <cellStyle name="Normal 4" xfId="19"/>
    <cellStyle name="Normal 5" xfId="20"/>
    <cellStyle name="Normal 6" xfId="21"/>
    <cellStyle name="Normal 7" xfId="22"/>
    <cellStyle name="Normal 8" xfId="23"/>
    <cellStyle name="Normal 9" xfId="24"/>
    <cellStyle name="Percent" xfId="25" builtinId="5"/>
    <cellStyle name="Percent 2" xfId="26"/>
    <cellStyle name="Percent 2 10" xfId="27"/>
    <cellStyle name="Percent 2 2" xfId="28"/>
    <cellStyle name="Percent 2 3" xfId="29"/>
    <cellStyle name="Percent 2 4" xfId="30"/>
    <cellStyle name="Percent 2 5" xfId="31"/>
    <cellStyle name="Percent 2 6" xfId="32"/>
    <cellStyle name="Percent 2 7" xfId="33"/>
    <cellStyle name="Percent 2 8" xfId="34"/>
    <cellStyle name="Percent 2 9" xfId="35"/>
    <cellStyle name="Percent 5" xfId="36"/>
    <cellStyle name="Percent 7" xfId="37"/>
    <cellStyle name="Percent 8" xfId="38"/>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sheetPr>
    <pageSetUpPr fitToPage="1"/>
  </sheetPr>
  <dimension ref="A1:B25"/>
  <sheetViews>
    <sheetView tabSelected="1" workbookViewId="0"/>
  </sheetViews>
  <sheetFormatPr defaultRowHeight="15" customHeight="1"/>
  <cols>
    <col min="1" max="1" width="75.7109375" style="261" customWidth="1"/>
    <col min="2" max="2" width="27.7109375" style="246" customWidth="1"/>
    <col min="3" max="16384" width="9.140625" style="246"/>
  </cols>
  <sheetData>
    <row r="1" spans="1:2" ht="15" customHeight="1">
      <c r="A1" s="244" t="s">
        <v>99</v>
      </c>
      <c r="B1" s="245" t="s">
        <v>140</v>
      </c>
    </row>
    <row r="2" spans="1:2" ht="15" customHeight="1">
      <c r="A2" s="247"/>
      <c r="B2" s="248"/>
    </row>
    <row r="3" spans="1:2" ht="15" customHeight="1" thickBot="1">
      <c r="A3" s="249"/>
      <c r="B3" s="248"/>
    </row>
    <row r="4" spans="1:2">
      <c r="A4" s="250" t="s">
        <v>121</v>
      </c>
      <c r="B4" s="251"/>
    </row>
    <row r="5" spans="1:2" ht="45">
      <c r="A5" s="268" t="s">
        <v>189</v>
      </c>
      <c r="B5" s="252"/>
    </row>
    <row r="6" spans="1:2" ht="30">
      <c r="A6" s="262" t="s">
        <v>162</v>
      </c>
      <c r="B6" s="252"/>
    </row>
    <row r="7" spans="1:2" ht="30">
      <c r="A7" s="253" t="s">
        <v>167</v>
      </c>
      <c r="B7" s="254"/>
    </row>
    <row r="8" spans="1:2" ht="30">
      <c r="A8" s="253" t="s">
        <v>169</v>
      </c>
      <c r="B8" s="254"/>
    </row>
    <row r="9" spans="1:2" ht="15" customHeight="1">
      <c r="A9" s="255" t="s">
        <v>170</v>
      </c>
      <c r="B9" s="256"/>
    </row>
    <row r="10" spans="1:2" ht="30">
      <c r="A10" s="263" t="s">
        <v>171</v>
      </c>
      <c r="B10" s="256"/>
    </row>
    <row r="11" spans="1:2" ht="15" customHeight="1">
      <c r="A11" s="263" t="s">
        <v>172</v>
      </c>
      <c r="B11" s="256"/>
    </row>
    <row r="12" spans="1:2" ht="30">
      <c r="A12" s="263" t="s">
        <v>173</v>
      </c>
      <c r="B12" s="256"/>
    </row>
    <row r="13" spans="1:2" ht="45">
      <c r="A13" s="270" t="s">
        <v>196</v>
      </c>
      <c r="B13" s="256"/>
    </row>
    <row r="14" spans="1:2" ht="30">
      <c r="A14" s="257" t="s">
        <v>174</v>
      </c>
      <c r="B14" s="258"/>
    </row>
    <row r="15" spans="1:2" ht="30">
      <c r="A15" s="259" t="s">
        <v>175</v>
      </c>
      <c r="B15" s="258"/>
    </row>
    <row r="16" spans="1:2">
      <c r="A16" s="262" t="s">
        <v>176</v>
      </c>
      <c r="B16" s="258"/>
    </row>
    <row r="17" spans="1:2" ht="30">
      <c r="A17" s="259" t="s">
        <v>177</v>
      </c>
      <c r="B17" s="258"/>
    </row>
    <row r="18" spans="1:2" ht="30">
      <c r="A18" s="259" t="s">
        <v>178</v>
      </c>
      <c r="B18" s="258"/>
    </row>
    <row r="19" spans="1:2">
      <c r="A19" s="262" t="s">
        <v>179</v>
      </c>
      <c r="B19" s="258"/>
    </row>
    <row r="20" spans="1:2" ht="30">
      <c r="A20" s="259" t="s">
        <v>180</v>
      </c>
      <c r="B20" s="258"/>
    </row>
    <row r="21" spans="1:2" ht="30" customHeight="1">
      <c r="A21" s="264" t="s">
        <v>181</v>
      </c>
      <c r="B21" s="258"/>
    </row>
    <row r="22" spans="1:2" ht="30">
      <c r="A22" s="259" t="s">
        <v>182</v>
      </c>
      <c r="B22" s="258"/>
    </row>
    <row r="23" spans="1:2" ht="30">
      <c r="A23" s="267" t="s">
        <v>185</v>
      </c>
      <c r="B23" s="258"/>
    </row>
    <row r="24" spans="1:2">
      <c r="A24" s="259" t="s">
        <v>183</v>
      </c>
      <c r="B24" s="258"/>
    </row>
    <row r="25" spans="1:2" ht="30.75" thickBot="1">
      <c r="A25" s="265" t="s">
        <v>184</v>
      </c>
      <c r="B25" s="260"/>
    </row>
  </sheetData>
  <printOptions horizontalCentered="1"/>
  <pageMargins left="0.7" right="0.7" top="0.75" bottom="0.75" header="0.3" footer="0.3"/>
  <pageSetup scale="87" orientation="portrait" r:id="rId1"/>
  <headerFooter>
    <oddFooter>&amp;R8/13</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D29"/>
  <sheetViews>
    <sheetView workbookViewId="0"/>
  </sheetViews>
  <sheetFormatPr defaultRowHeight="15" customHeight="1"/>
  <cols>
    <col min="1" max="1" width="28.7109375" style="2" customWidth="1"/>
    <col min="2" max="2" width="17.7109375" style="2" customWidth="1"/>
    <col min="3" max="4" width="16.7109375" style="2" customWidth="1"/>
    <col min="5" max="16384" width="9.140625" style="2"/>
  </cols>
  <sheetData>
    <row r="1" spans="1:4" ht="15" customHeight="1">
      <c r="A1" s="15" t="s">
        <v>31</v>
      </c>
      <c r="B1" s="16"/>
      <c r="C1" s="16"/>
      <c r="D1" s="19" t="s">
        <v>141</v>
      </c>
    </row>
    <row r="3" spans="1:4" ht="15" customHeight="1" thickBot="1"/>
    <row r="4" spans="1:4" ht="15" customHeight="1">
      <c r="A4" s="15" t="s">
        <v>1</v>
      </c>
      <c r="B4" s="271" t="s">
        <v>2</v>
      </c>
      <c r="C4" s="272"/>
      <c r="D4" s="273"/>
    </row>
    <row r="5" spans="1:4" ht="15" customHeight="1">
      <c r="A5" s="15" t="s">
        <v>125</v>
      </c>
      <c r="B5" s="278" t="s">
        <v>126</v>
      </c>
      <c r="C5" s="279"/>
      <c r="D5" s="280"/>
    </row>
    <row r="6" spans="1:4" ht="15" customHeight="1" thickBot="1">
      <c r="A6" s="15" t="s">
        <v>3</v>
      </c>
      <c r="B6" s="274" t="s">
        <v>30</v>
      </c>
      <c r="C6" s="275"/>
      <c r="D6" s="276"/>
    </row>
    <row r="8" spans="1:4" ht="15" customHeight="1" thickBot="1"/>
    <row r="9" spans="1:4" ht="15" customHeight="1">
      <c r="A9" s="42" t="s">
        <v>100</v>
      </c>
      <c r="B9" s="282" t="s">
        <v>32</v>
      </c>
      <c r="C9" s="284" t="s">
        <v>23</v>
      </c>
      <c r="D9" s="286" t="s">
        <v>33</v>
      </c>
    </row>
    <row r="10" spans="1:4" ht="15" customHeight="1">
      <c r="A10" s="43" t="s">
        <v>34</v>
      </c>
      <c r="B10" s="283"/>
      <c r="C10" s="285"/>
      <c r="D10" s="287"/>
    </row>
    <row r="11" spans="1:4" ht="15" customHeight="1">
      <c r="A11" s="44" t="s">
        <v>112</v>
      </c>
      <c r="B11" s="20"/>
      <c r="C11" s="17"/>
      <c r="D11" s="45"/>
    </row>
    <row r="12" spans="1:4" ht="15" customHeight="1">
      <c r="A12" s="46" t="s">
        <v>113</v>
      </c>
      <c r="B12" s="20"/>
      <c r="C12" s="17"/>
      <c r="D12" s="45"/>
    </row>
    <row r="13" spans="1:4" ht="15" customHeight="1">
      <c r="A13" s="46" t="s">
        <v>114</v>
      </c>
      <c r="B13" s="20"/>
      <c r="C13" s="17"/>
      <c r="D13" s="45"/>
    </row>
    <row r="14" spans="1:4" ht="15" customHeight="1">
      <c r="A14" s="46" t="s">
        <v>45</v>
      </c>
      <c r="B14" s="20"/>
      <c r="C14" s="17"/>
      <c r="D14" s="45"/>
    </row>
    <row r="15" spans="1:4" ht="15" customHeight="1" thickBot="1">
      <c r="A15" s="47" t="s">
        <v>35</v>
      </c>
      <c r="B15" s="48"/>
      <c r="C15" s="49"/>
      <c r="D15" s="50"/>
    </row>
    <row r="16" spans="1:4" ht="15" customHeight="1">
      <c r="A16" s="16"/>
      <c r="B16" s="16"/>
      <c r="C16" s="16"/>
      <c r="D16" s="18"/>
    </row>
    <row r="17" spans="1:4" ht="15" customHeight="1" thickBot="1">
      <c r="A17" s="16"/>
      <c r="B17" s="16"/>
      <c r="C17" s="16"/>
      <c r="D17" s="16"/>
    </row>
    <row r="18" spans="1:4" ht="15" customHeight="1">
      <c r="A18" s="51" t="s">
        <v>27</v>
      </c>
      <c r="B18" s="52"/>
      <c r="C18" s="52"/>
      <c r="D18" s="53"/>
    </row>
    <row r="19" spans="1:4" ht="15" customHeight="1">
      <c r="A19" s="54"/>
      <c r="B19" s="18"/>
      <c r="C19" s="18"/>
      <c r="D19" s="55"/>
    </row>
    <row r="20" spans="1:4" ht="15" customHeight="1">
      <c r="A20" s="54"/>
      <c r="B20" s="18"/>
      <c r="C20" s="18"/>
      <c r="D20" s="55"/>
    </row>
    <row r="21" spans="1:4" ht="15" customHeight="1">
      <c r="A21" s="54"/>
      <c r="B21" s="18"/>
      <c r="C21" s="18"/>
      <c r="D21" s="55"/>
    </row>
    <row r="22" spans="1:4" ht="15" customHeight="1">
      <c r="A22" s="54"/>
      <c r="B22" s="18"/>
      <c r="C22" s="18"/>
      <c r="D22" s="55"/>
    </row>
    <row r="23" spans="1:4" ht="15" customHeight="1" thickBot="1">
      <c r="A23" s="56"/>
      <c r="B23" s="57"/>
      <c r="C23" s="57"/>
      <c r="D23" s="58"/>
    </row>
    <row r="24" spans="1:4" ht="15" customHeight="1">
      <c r="A24" s="18"/>
      <c r="B24" s="18"/>
      <c r="C24" s="18"/>
      <c r="D24" s="16"/>
    </row>
    <row r="25" spans="1:4" ht="15" customHeight="1">
      <c r="A25" s="16"/>
      <c r="B25" s="16"/>
      <c r="C25" s="16"/>
      <c r="D25" s="16"/>
    </row>
    <row r="26" spans="1:4" ht="15" customHeight="1">
      <c r="A26" s="15" t="s">
        <v>28</v>
      </c>
      <c r="B26" s="16"/>
      <c r="C26" s="16"/>
      <c r="D26" s="16"/>
    </row>
    <row r="27" spans="1:4" ht="30" customHeight="1">
      <c r="A27" s="281" t="s">
        <v>144</v>
      </c>
      <c r="B27" s="281"/>
      <c r="C27" s="281"/>
      <c r="D27" s="281"/>
    </row>
    <row r="28" spans="1:4" ht="30" customHeight="1">
      <c r="A28" s="277" t="s">
        <v>145</v>
      </c>
      <c r="B28" s="277"/>
      <c r="C28" s="277"/>
      <c r="D28" s="277"/>
    </row>
    <row r="29" spans="1:4" ht="15" customHeight="1">
      <c r="A29" s="277" t="s">
        <v>154</v>
      </c>
      <c r="B29" s="277"/>
      <c r="C29" s="277"/>
      <c r="D29" s="277"/>
    </row>
  </sheetData>
  <mergeCells count="9">
    <mergeCell ref="B4:D4"/>
    <mergeCell ref="B6:D6"/>
    <mergeCell ref="A28:D28"/>
    <mergeCell ref="A29:D29"/>
    <mergeCell ref="B5:D5"/>
    <mergeCell ref="A27:D27"/>
    <mergeCell ref="B9:B10"/>
    <mergeCell ref="C9:C10"/>
    <mergeCell ref="D9:D10"/>
  </mergeCells>
  <printOptions horizontalCentered="1"/>
  <pageMargins left="0.7" right="0.7" top="0.75" bottom="0.75" header="0.3" footer="0.3"/>
  <pageSetup orientation="portrait" r:id="rId1"/>
  <headerFooter>
    <oddFooter>&amp;R8/13</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M41"/>
  <sheetViews>
    <sheetView workbookViewId="0"/>
  </sheetViews>
  <sheetFormatPr defaultRowHeight="15" customHeight="1"/>
  <cols>
    <col min="1" max="1" width="12.7109375" customWidth="1"/>
    <col min="2" max="2" width="15" bestFit="1" customWidth="1"/>
    <col min="3" max="4" width="11.7109375" customWidth="1"/>
    <col min="5" max="6" width="13.7109375" customWidth="1"/>
    <col min="7" max="8" width="11.7109375" customWidth="1"/>
    <col min="9" max="9" width="13.140625" customWidth="1"/>
    <col min="10" max="10" width="11.7109375" customWidth="1"/>
    <col min="11" max="11" width="13.7109375" customWidth="1"/>
    <col min="12" max="13" width="11.7109375" customWidth="1"/>
  </cols>
  <sheetData>
    <row r="1" spans="1:13" s="2" customFormat="1" ht="15" customHeight="1">
      <c r="A1" s="4" t="s">
        <v>0</v>
      </c>
      <c r="B1" s="5"/>
      <c r="C1" s="5"/>
      <c r="D1" s="5"/>
      <c r="E1" s="5"/>
      <c r="F1" s="5"/>
      <c r="G1" s="5"/>
      <c r="H1" s="5"/>
      <c r="I1" s="5"/>
      <c r="J1" s="5"/>
      <c r="K1" s="5"/>
      <c r="L1" s="5"/>
      <c r="M1" s="14" t="s">
        <v>147</v>
      </c>
    </row>
    <row r="2" spans="1:13" ht="15" customHeight="1">
      <c r="A2" s="2"/>
      <c r="B2" s="2"/>
      <c r="C2" s="2"/>
      <c r="D2" s="2"/>
      <c r="E2" s="2"/>
      <c r="F2" s="2"/>
      <c r="G2" s="2"/>
      <c r="H2" s="2"/>
      <c r="I2" s="2"/>
      <c r="J2" s="2"/>
      <c r="K2" s="2"/>
      <c r="L2" s="2"/>
      <c r="M2" s="2"/>
    </row>
    <row r="3" spans="1:13" ht="15" customHeight="1" thickBot="1">
      <c r="A3" s="2"/>
      <c r="B3" s="2"/>
      <c r="C3" s="2"/>
      <c r="D3" s="2"/>
      <c r="E3" s="2"/>
      <c r="F3" s="2"/>
      <c r="G3" s="2"/>
      <c r="H3" s="2"/>
      <c r="I3" s="2"/>
      <c r="J3" s="2"/>
      <c r="K3" s="2"/>
      <c r="L3" s="2"/>
      <c r="M3" s="2"/>
    </row>
    <row r="4" spans="1:13" ht="15" customHeight="1">
      <c r="A4" s="4" t="s">
        <v>1</v>
      </c>
      <c r="B4" s="5"/>
      <c r="C4" s="288" t="s">
        <v>2</v>
      </c>
      <c r="D4" s="289"/>
      <c r="E4" s="290"/>
      <c r="F4" s="5"/>
      <c r="G4" s="5"/>
      <c r="H4" s="5"/>
      <c r="I4" s="5"/>
      <c r="J4" s="5"/>
      <c r="K4" s="5"/>
      <c r="L4" s="5"/>
      <c r="M4" s="5"/>
    </row>
    <row r="5" spans="1:13" s="238" customFormat="1" ht="15" customHeight="1">
      <c r="A5" s="4" t="s">
        <v>125</v>
      </c>
      <c r="B5" s="5"/>
      <c r="C5" s="303" t="s">
        <v>126</v>
      </c>
      <c r="D5" s="304"/>
      <c r="E5" s="305"/>
      <c r="F5" s="5"/>
      <c r="G5" s="5"/>
      <c r="H5" s="5"/>
      <c r="I5" s="5"/>
      <c r="J5" s="5"/>
      <c r="K5" s="5"/>
      <c r="L5" s="5"/>
      <c r="M5" s="5"/>
    </row>
    <row r="6" spans="1:13" ht="15" customHeight="1" thickBot="1">
      <c r="A6" s="4" t="s">
        <v>3</v>
      </c>
      <c r="B6" s="5"/>
      <c r="C6" s="291" t="s">
        <v>30</v>
      </c>
      <c r="D6" s="292"/>
      <c r="E6" s="293"/>
      <c r="F6" s="5"/>
      <c r="G6" s="5"/>
      <c r="H6" s="5"/>
      <c r="I6" s="5"/>
      <c r="J6" s="5"/>
      <c r="K6" s="5"/>
      <c r="L6" s="5"/>
      <c r="M6" s="5"/>
    </row>
    <row r="7" spans="1:13" ht="15" customHeight="1">
      <c r="A7" s="2"/>
      <c r="B7" s="2"/>
      <c r="C7" s="2"/>
      <c r="D7" s="2"/>
      <c r="E7" s="2"/>
      <c r="F7" s="2"/>
      <c r="G7" s="2"/>
      <c r="H7" s="2"/>
      <c r="I7" s="2"/>
      <c r="J7" s="2"/>
      <c r="K7" s="2"/>
      <c r="L7" s="2"/>
      <c r="M7" s="2"/>
    </row>
    <row r="8" spans="1:13" ht="15" customHeight="1" thickBot="1">
      <c r="A8" s="2"/>
      <c r="B8" s="2"/>
      <c r="C8" s="3"/>
      <c r="D8" s="3"/>
      <c r="E8" s="2"/>
      <c r="F8" s="2"/>
      <c r="G8" s="2"/>
      <c r="H8" s="2"/>
      <c r="I8" s="2"/>
      <c r="J8" s="2"/>
      <c r="K8" s="2"/>
      <c r="L8" s="2"/>
      <c r="M8" s="2"/>
    </row>
    <row r="9" spans="1:13" ht="15" customHeight="1" thickBot="1">
      <c r="A9" s="122" t="s">
        <v>100</v>
      </c>
      <c r="B9" s="123" t="s">
        <v>127</v>
      </c>
      <c r="C9" s="6"/>
      <c r="D9" s="6"/>
      <c r="E9" s="5"/>
      <c r="F9" s="5"/>
      <c r="G9" s="5"/>
      <c r="H9" s="5"/>
      <c r="I9" s="5"/>
      <c r="J9" s="5"/>
      <c r="K9" s="5"/>
      <c r="L9" s="5"/>
      <c r="M9" s="5"/>
    </row>
    <row r="10" spans="1:13" ht="60">
      <c r="A10" s="113" t="s">
        <v>4</v>
      </c>
      <c r="B10" s="100" t="s">
        <v>5</v>
      </c>
      <c r="C10" s="100" t="s">
        <v>6</v>
      </c>
      <c r="D10" s="100" t="s">
        <v>7</v>
      </c>
      <c r="E10" s="100" t="s">
        <v>8</v>
      </c>
      <c r="F10" s="100" t="s">
        <v>9</v>
      </c>
      <c r="G10" s="100" t="s">
        <v>10</v>
      </c>
      <c r="H10" s="100" t="s">
        <v>11</v>
      </c>
      <c r="I10" s="98" t="s">
        <v>12</v>
      </c>
      <c r="J10" s="100" t="s">
        <v>13</v>
      </c>
      <c r="K10" s="100" t="s">
        <v>14</v>
      </c>
      <c r="L10" s="100" t="s">
        <v>15</v>
      </c>
      <c r="M10" s="106" t="s">
        <v>16</v>
      </c>
    </row>
    <row r="11" spans="1:13" ht="15" customHeight="1">
      <c r="A11" s="118"/>
      <c r="B11" s="7"/>
      <c r="C11" s="183"/>
      <c r="D11" s="8"/>
      <c r="E11" s="7">
        <f>B11*C11*D11</f>
        <v>0</v>
      </c>
      <c r="F11" s="7"/>
      <c r="G11" s="8"/>
      <c r="H11" s="9" t="e">
        <f t="shared" ref="H11:H16" si="0">F11*G11/B11</f>
        <v>#DIV/0!</v>
      </c>
      <c r="I11" s="8"/>
      <c r="J11" s="8"/>
      <c r="K11" s="7">
        <f>F11*G11*I11*J11</f>
        <v>0</v>
      </c>
      <c r="L11" s="10" t="e">
        <f t="shared" ref="L11:L16" si="1">K11/E11</f>
        <v>#DIV/0!</v>
      </c>
      <c r="M11" s="116"/>
    </row>
    <row r="12" spans="1:13" ht="15" customHeight="1">
      <c r="A12" s="118"/>
      <c r="B12" s="7"/>
      <c r="C12" s="183"/>
      <c r="D12" s="8"/>
      <c r="E12" s="7">
        <f>B12*C12*D12</f>
        <v>0</v>
      </c>
      <c r="F12" s="7"/>
      <c r="G12" s="8"/>
      <c r="H12" s="9" t="e">
        <f t="shared" si="0"/>
        <v>#DIV/0!</v>
      </c>
      <c r="I12" s="8"/>
      <c r="J12" s="8"/>
      <c r="K12" s="7">
        <f>F12*G12*I12*J12</f>
        <v>0</v>
      </c>
      <c r="L12" s="10" t="e">
        <f t="shared" si="1"/>
        <v>#DIV/0!</v>
      </c>
      <c r="M12" s="116"/>
    </row>
    <row r="13" spans="1:13" ht="15" customHeight="1">
      <c r="A13" s="118"/>
      <c r="B13" s="7"/>
      <c r="C13" s="183"/>
      <c r="D13" s="8"/>
      <c r="E13" s="7">
        <f>B13*C13*D13</f>
        <v>0</v>
      </c>
      <c r="F13" s="7"/>
      <c r="G13" s="8"/>
      <c r="H13" s="9" t="e">
        <f t="shared" si="0"/>
        <v>#DIV/0!</v>
      </c>
      <c r="I13" s="8"/>
      <c r="J13" s="8"/>
      <c r="K13" s="7">
        <f>F13*G13*I13*J13</f>
        <v>0</v>
      </c>
      <c r="L13" s="10" t="e">
        <f t="shared" si="1"/>
        <v>#DIV/0!</v>
      </c>
      <c r="M13" s="116"/>
    </row>
    <row r="14" spans="1:13" ht="15" customHeight="1">
      <c r="A14" s="118"/>
      <c r="B14" s="7"/>
      <c r="C14" s="183"/>
      <c r="D14" s="8"/>
      <c r="E14" s="7">
        <f>B14*C14*D14</f>
        <v>0</v>
      </c>
      <c r="F14" s="7"/>
      <c r="G14" s="8"/>
      <c r="H14" s="9" t="e">
        <f t="shared" si="0"/>
        <v>#DIV/0!</v>
      </c>
      <c r="I14" s="8"/>
      <c r="J14" s="8"/>
      <c r="K14" s="7">
        <f>F14*G14*I14*J14</f>
        <v>0</v>
      </c>
      <c r="L14" s="10" t="e">
        <f t="shared" si="1"/>
        <v>#DIV/0!</v>
      </c>
      <c r="M14" s="116"/>
    </row>
    <row r="15" spans="1:13" ht="15" customHeight="1">
      <c r="A15" s="118"/>
      <c r="B15" s="7"/>
      <c r="C15" s="183"/>
      <c r="D15" s="8"/>
      <c r="E15" s="7">
        <f>B15*C15*D15</f>
        <v>0</v>
      </c>
      <c r="F15" s="7"/>
      <c r="G15" s="8"/>
      <c r="H15" s="9" t="e">
        <f t="shared" si="0"/>
        <v>#DIV/0!</v>
      </c>
      <c r="I15" s="8"/>
      <c r="J15" s="8"/>
      <c r="K15" s="7">
        <f>F15*G15*I15*J15</f>
        <v>0</v>
      </c>
      <c r="L15" s="10" t="e">
        <f t="shared" si="1"/>
        <v>#DIV/0!</v>
      </c>
      <c r="M15" s="116"/>
    </row>
    <row r="16" spans="1:13" ht="15" customHeight="1" thickBot="1">
      <c r="A16" s="112" t="s">
        <v>17</v>
      </c>
      <c r="B16" s="110">
        <f>SUM(B11:B15)</f>
        <v>0</v>
      </c>
      <c r="C16" s="107"/>
      <c r="D16" s="107"/>
      <c r="E16" s="110">
        <f>SUM(E11:E15)</f>
        <v>0</v>
      </c>
      <c r="F16" s="110">
        <f>SUM(F11:F15)</f>
        <v>0</v>
      </c>
      <c r="G16" s="104"/>
      <c r="H16" s="102" t="e">
        <f t="shared" si="0"/>
        <v>#DIV/0!</v>
      </c>
      <c r="I16" s="107"/>
      <c r="J16" s="107"/>
      <c r="K16" s="110">
        <f>SUM(K11:K15)</f>
        <v>0</v>
      </c>
      <c r="L16" s="99" t="e">
        <f t="shared" si="1"/>
        <v>#DIV/0!</v>
      </c>
      <c r="M16" s="120">
        <f>SUM(M11:M15)</f>
        <v>0</v>
      </c>
    </row>
    <row r="17" spans="1:13" ht="15" customHeight="1">
      <c r="A17" s="11"/>
      <c r="B17" s="11"/>
      <c r="C17" s="11"/>
      <c r="D17" s="11"/>
      <c r="E17" s="11"/>
      <c r="F17" s="11"/>
      <c r="G17" s="11"/>
      <c r="H17" s="11"/>
      <c r="I17" s="12"/>
      <c r="J17" s="11"/>
      <c r="K17" s="5"/>
      <c r="L17" s="5"/>
      <c r="M17" s="5"/>
    </row>
    <row r="18" spans="1:13" ht="15" customHeight="1" thickBot="1">
      <c r="A18" s="11"/>
      <c r="B18" s="11"/>
      <c r="C18" s="11"/>
      <c r="D18" s="11"/>
      <c r="E18" s="11"/>
      <c r="F18" s="11"/>
      <c r="G18" s="11"/>
      <c r="H18" s="11"/>
      <c r="I18" s="12"/>
      <c r="J18" s="12"/>
      <c r="K18" s="13"/>
      <c r="L18" s="13"/>
      <c r="M18" s="13"/>
    </row>
    <row r="19" spans="1:13" ht="15" customHeight="1">
      <c r="A19" s="294" t="s">
        <v>18</v>
      </c>
      <c r="B19" s="295"/>
      <c r="C19" s="296"/>
      <c r="D19" s="115" t="e">
        <f>SUMPRODUCT(L11:L15,M11:M15)</f>
        <v>#DIV/0!</v>
      </c>
      <c r="E19" s="5"/>
      <c r="F19" s="2"/>
      <c r="G19" s="310"/>
      <c r="H19" s="311"/>
      <c r="I19" s="178" t="s">
        <v>83</v>
      </c>
      <c r="J19" s="180" t="s">
        <v>84</v>
      </c>
      <c r="K19" s="5"/>
      <c r="L19" s="5"/>
      <c r="M19" s="5"/>
    </row>
    <row r="20" spans="1:13" s="181" customFormat="1" ht="15" customHeight="1">
      <c r="A20" s="300" t="s">
        <v>20</v>
      </c>
      <c r="B20" s="301"/>
      <c r="C20" s="302"/>
      <c r="D20" s="109">
        <f>'EXP-Other'!B18</f>
        <v>0</v>
      </c>
      <c r="E20" s="5"/>
      <c r="F20" s="2"/>
      <c r="G20" s="312" t="s">
        <v>19</v>
      </c>
      <c r="H20" s="313"/>
      <c r="I20" s="179"/>
      <c r="J20" s="124"/>
      <c r="K20" s="5"/>
      <c r="L20" s="5"/>
      <c r="M20" s="5"/>
    </row>
    <row r="21" spans="1:13" ht="15" customHeight="1">
      <c r="A21" s="297" t="s">
        <v>29</v>
      </c>
      <c r="B21" s="298"/>
      <c r="C21" s="299"/>
      <c r="D21" s="109">
        <f>'EXP-Other'!C18</f>
        <v>0</v>
      </c>
      <c r="E21" s="5"/>
      <c r="G21" s="312" t="s">
        <v>21</v>
      </c>
      <c r="H21" s="313"/>
      <c r="I21" s="179"/>
      <c r="J21" s="124"/>
      <c r="K21" s="5"/>
      <c r="L21" s="5"/>
      <c r="M21" s="5"/>
    </row>
    <row r="22" spans="1:13" ht="15" customHeight="1" thickBot="1">
      <c r="A22" s="300" t="s">
        <v>123</v>
      </c>
      <c r="B22" s="301"/>
      <c r="C22" s="302"/>
      <c r="D22" s="109">
        <f>'EXP-Other'!D17</f>
        <v>0</v>
      </c>
      <c r="E22" s="5"/>
      <c r="G22" s="314" t="s">
        <v>22</v>
      </c>
      <c r="H22" s="315"/>
      <c r="I22" s="177">
        <f>(1+I21)/(1+I20)-1</f>
        <v>0</v>
      </c>
      <c r="J22" s="85">
        <f>(1+J21)/(1+J20)-1</f>
        <v>0</v>
      </c>
      <c r="K22" s="5"/>
      <c r="L22" s="5"/>
      <c r="M22" s="5"/>
    </row>
    <row r="23" spans="1:13" s="1" customFormat="1" ht="15" customHeight="1">
      <c r="A23" s="297" t="s">
        <v>23</v>
      </c>
      <c r="B23" s="298"/>
      <c r="C23" s="299"/>
      <c r="D23" s="109" t="e">
        <f>(D19+D20)/(1-D21-D22)-1</f>
        <v>#DIV/0!</v>
      </c>
      <c r="E23" s="5"/>
      <c r="G23" s="5"/>
      <c r="H23" s="5"/>
      <c r="I23" s="5"/>
      <c r="J23" s="5"/>
      <c r="K23" s="5"/>
      <c r="L23" s="5"/>
      <c r="M23" s="5"/>
    </row>
    <row r="24" spans="1:13" ht="15" customHeight="1">
      <c r="A24" s="297" t="s">
        <v>24</v>
      </c>
      <c r="B24" s="298"/>
      <c r="C24" s="299"/>
      <c r="D24" s="109"/>
      <c r="E24" s="5"/>
      <c r="F24" s="5"/>
      <c r="G24" s="5"/>
      <c r="H24" s="5"/>
      <c r="I24" s="13"/>
      <c r="J24" s="5"/>
      <c r="K24" s="5"/>
      <c r="L24" s="5"/>
      <c r="M24" s="5"/>
    </row>
    <row r="25" spans="1:13" ht="15" customHeight="1">
      <c r="A25" s="297" t="s">
        <v>25</v>
      </c>
      <c r="B25" s="298"/>
      <c r="C25" s="299"/>
      <c r="D25" s="109">
        <f>I22</f>
        <v>0</v>
      </c>
      <c r="E25" s="5"/>
      <c r="F25" s="5"/>
      <c r="G25" s="5"/>
      <c r="H25" s="5"/>
      <c r="I25" s="13"/>
      <c r="J25" s="5"/>
      <c r="K25" s="5"/>
      <c r="L25" s="5"/>
      <c r="M25" s="5"/>
    </row>
    <row r="26" spans="1:13" ht="15" customHeight="1" thickBot="1">
      <c r="A26" s="306" t="s">
        <v>26</v>
      </c>
      <c r="B26" s="307"/>
      <c r="C26" s="308"/>
      <c r="D26" s="119" t="e">
        <f>D23*D24+D25*(1-D24)</f>
        <v>#DIV/0!</v>
      </c>
      <c r="E26" s="5"/>
      <c r="F26" s="5"/>
      <c r="G26" s="5"/>
      <c r="H26" s="5"/>
      <c r="I26" s="13"/>
      <c r="J26" s="5"/>
      <c r="K26" s="5"/>
      <c r="L26" s="5"/>
      <c r="M26" s="5"/>
    </row>
    <row r="27" spans="1:13" ht="15" customHeight="1">
      <c r="A27" s="2"/>
      <c r="B27" s="2"/>
      <c r="C27" s="2"/>
      <c r="D27" s="2"/>
      <c r="E27" s="5"/>
      <c r="F27" s="5"/>
      <c r="G27" s="5"/>
      <c r="H27" s="5"/>
      <c r="I27" s="13"/>
      <c r="J27" s="5"/>
      <c r="K27" s="5"/>
      <c r="L27" s="5"/>
      <c r="M27" s="5"/>
    </row>
    <row r="28" spans="1:13" ht="15" customHeight="1" thickBot="1">
      <c r="A28" s="2"/>
      <c r="B28" s="2"/>
      <c r="C28" s="2"/>
      <c r="D28" s="2"/>
      <c r="E28" s="2"/>
      <c r="F28" s="2"/>
      <c r="G28" s="2"/>
      <c r="H28" s="2"/>
      <c r="I28" s="2"/>
      <c r="J28" s="2"/>
      <c r="K28" s="2"/>
      <c r="L28" s="2"/>
      <c r="M28" s="2"/>
    </row>
    <row r="29" spans="1:13" ht="15" customHeight="1">
      <c r="A29" s="117" t="s">
        <v>27</v>
      </c>
      <c r="B29" s="114"/>
      <c r="C29" s="114"/>
      <c r="D29" s="114"/>
      <c r="E29" s="114"/>
      <c r="F29" s="114"/>
      <c r="G29" s="114"/>
      <c r="H29" s="114"/>
      <c r="I29" s="114"/>
      <c r="J29" s="114"/>
      <c r="K29" s="114"/>
      <c r="L29" s="114"/>
      <c r="M29" s="111"/>
    </row>
    <row r="30" spans="1:13" ht="15" customHeight="1">
      <c r="A30" s="108"/>
      <c r="B30" s="11"/>
      <c r="C30" s="11"/>
      <c r="D30" s="11"/>
      <c r="E30" s="11"/>
      <c r="F30" s="11"/>
      <c r="G30" s="11"/>
      <c r="H30" s="11"/>
      <c r="I30" s="11"/>
      <c r="J30" s="11"/>
      <c r="K30" s="11"/>
      <c r="L30" s="11"/>
      <c r="M30" s="105"/>
    </row>
    <row r="31" spans="1:13" ht="15" customHeight="1">
      <c r="A31" s="108"/>
      <c r="B31" s="11"/>
      <c r="C31" s="11"/>
      <c r="D31" s="11"/>
      <c r="E31" s="11"/>
      <c r="F31" s="11"/>
      <c r="G31" s="11"/>
      <c r="H31" s="11"/>
      <c r="I31" s="11"/>
      <c r="J31" s="11"/>
      <c r="K31" s="11"/>
      <c r="L31" s="11"/>
      <c r="M31" s="105"/>
    </row>
    <row r="32" spans="1:13" ht="15" customHeight="1">
      <c r="A32" s="108"/>
      <c r="B32" s="11"/>
      <c r="C32" s="11"/>
      <c r="D32" s="11"/>
      <c r="E32" s="11"/>
      <c r="F32" s="11"/>
      <c r="G32" s="11"/>
      <c r="H32" s="11"/>
      <c r="I32" s="11"/>
      <c r="J32" s="11"/>
      <c r="K32" s="11"/>
      <c r="L32" s="11"/>
      <c r="M32" s="105"/>
    </row>
    <row r="33" spans="1:13" ht="15" customHeight="1">
      <c r="A33" s="108"/>
      <c r="B33" s="11"/>
      <c r="C33" s="11"/>
      <c r="D33" s="11"/>
      <c r="E33" s="11"/>
      <c r="F33" s="11"/>
      <c r="G33" s="11"/>
      <c r="H33" s="11"/>
      <c r="I33" s="11"/>
      <c r="J33" s="11"/>
      <c r="K33" s="11"/>
      <c r="L33" s="11"/>
      <c r="M33" s="105"/>
    </row>
    <row r="34" spans="1:13" ht="15" customHeight="1" thickBot="1">
      <c r="A34" s="103"/>
      <c r="B34" s="101"/>
      <c r="C34" s="101"/>
      <c r="D34" s="101"/>
      <c r="E34" s="101"/>
      <c r="F34" s="101"/>
      <c r="G34" s="101"/>
      <c r="H34" s="101"/>
      <c r="I34" s="101"/>
      <c r="J34" s="101"/>
      <c r="K34" s="101"/>
      <c r="L34" s="101"/>
      <c r="M34" s="121"/>
    </row>
    <row r="35" spans="1:13" ht="15" customHeight="1">
      <c r="A35" s="2"/>
      <c r="B35" s="2"/>
      <c r="C35" s="2"/>
      <c r="D35" s="2"/>
      <c r="E35" s="2"/>
      <c r="F35" s="2"/>
      <c r="G35" s="2"/>
      <c r="H35" s="2"/>
      <c r="I35" s="2"/>
      <c r="J35" s="2"/>
      <c r="K35" s="2"/>
      <c r="L35" s="2"/>
      <c r="M35" s="2"/>
    </row>
    <row r="36" spans="1:13" ht="15" customHeight="1">
      <c r="A36" s="2"/>
      <c r="B36" s="2"/>
      <c r="C36" s="2"/>
      <c r="D36" s="2"/>
      <c r="E36" s="2"/>
      <c r="F36" s="2"/>
      <c r="G36" s="2"/>
      <c r="H36" s="2"/>
      <c r="I36" s="2"/>
      <c r="J36" s="2"/>
      <c r="K36" s="2"/>
      <c r="L36" s="2"/>
      <c r="M36" s="2"/>
    </row>
    <row r="37" spans="1:13" ht="15" customHeight="1">
      <c r="A37" s="4" t="s">
        <v>28</v>
      </c>
      <c r="B37" s="5"/>
      <c r="C37" s="5"/>
      <c r="D37" s="5"/>
      <c r="E37" s="5"/>
      <c r="F37" s="5"/>
      <c r="G37" s="5"/>
      <c r="H37" s="5"/>
      <c r="I37" s="5"/>
      <c r="J37" s="5"/>
      <c r="K37" s="5"/>
      <c r="L37" s="5"/>
      <c r="M37" s="5"/>
    </row>
    <row r="38" spans="1:13" ht="15" customHeight="1">
      <c r="A38" s="316" t="s">
        <v>163</v>
      </c>
      <c r="B38" s="316"/>
      <c r="C38" s="316"/>
      <c r="D38" s="316"/>
      <c r="E38" s="316"/>
      <c r="F38" s="316"/>
      <c r="G38" s="316"/>
      <c r="H38" s="316"/>
      <c r="I38" s="316"/>
      <c r="J38" s="316"/>
      <c r="K38" s="316"/>
      <c r="L38" s="316"/>
      <c r="M38" s="316"/>
    </row>
    <row r="39" spans="1:13" ht="15" customHeight="1">
      <c r="A39" s="316" t="s">
        <v>128</v>
      </c>
      <c r="B39" s="316"/>
      <c r="C39" s="316"/>
      <c r="D39" s="316"/>
      <c r="E39" s="316"/>
      <c r="F39" s="316"/>
      <c r="G39" s="316"/>
      <c r="H39" s="316"/>
      <c r="I39" s="316"/>
      <c r="J39" s="316"/>
      <c r="K39" s="316"/>
      <c r="L39" s="316"/>
      <c r="M39" s="316"/>
    </row>
    <row r="40" spans="1:13" ht="15" customHeight="1">
      <c r="A40" s="309" t="s">
        <v>129</v>
      </c>
      <c r="B40" s="309"/>
      <c r="C40" s="309"/>
      <c r="D40" s="309"/>
      <c r="E40" s="309"/>
      <c r="F40" s="309"/>
      <c r="G40" s="309"/>
      <c r="H40" s="309"/>
      <c r="I40" s="309"/>
      <c r="J40" s="309"/>
      <c r="K40" s="309"/>
      <c r="L40" s="309"/>
      <c r="M40" s="309"/>
    </row>
    <row r="41" spans="1:13" ht="15" customHeight="1">
      <c r="A41" s="309" t="s">
        <v>157</v>
      </c>
      <c r="B41" s="309"/>
      <c r="C41" s="309"/>
      <c r="D41" s="309"/>
      <c r="E41" s="309"/>
      <c r="F41" s="309"/>
      <c r="G41" s="309"/>
      <c r="H41" s="309"/>
      <c r="I41" s="309"/>
      <c r="J41" s="309"/>
      <c r="K41" s="309"/>
      <c r="L41" s="309"/>
      <c r="M41" s="309"/>
    </row>
  </sheetData>
  <mergeCells count="19">
    <mergeCell ref="A26:C26"/>
    <mergeCell ref="A24:C24"/>
    <mergeCell ref="A40:M40"/>
    <mergeCell ref="A41:M41"/>
    <mergeCell ref="G19:H19"/>
    <mergeCell ref="G20:H20"/>
    <mergeCell ref="G21:H21"/>
    <mergeCell ref="A22:C22"/>
    <mergeCell ref="G22:H22"/>
    <mergeCell ref="A38:M38"/>
    <mergeCell ref="A39:M39"/>
    <mergeCell ref="A25:C25"/>
    <mergeCell ref="C4:E4"/>
    <mergeCell ref="C6:E6"/>
    <mergeCell ref="A19:C19"/>
    <mergeCell ref="A21:C21"/>
    <mergeCell ref="A23:C23"/>
    <mergeCell ref="A20:C20"/>
    <mergeCell ref="C5:E5"/>
  </mergeCells>
  <printOptions horizontalCentered="1"/>
  <pageMargins left="0.7" right="0.7" top="0.75" bottom="0.75" header="0.3" footer="0.3"/>
  <pageSetup scale="75" orientation="landscape" r:id="rId1"/>
  <headerFooter>
    <oddFooter>&amp;R8/13</oddFooter>
  </headerFooter>
  <ignoredErrors>
    <ignoredError sqref="D19" formulaRange="1"/>
  </ignoredErrors>
</worksheet>
</file>

<file path=xl/worksheets/sheet4.xml><?xml version="1.0" encoding="utf-8"?>
<worksheet xmlns="http://schemas.openxmlformats.org/spreadsheetml/2006/main" xmlns:r="http://schemas.openxmlformats.org/officeDocument/2006/relationships">
  <sheetPr>
    <pageSetUpPr fitToPage="1"/>
  </sheetPr>
  <dimension ref="A1:G37"/>
  <sheetViews>
    <sheetView workbookViewId="0"/>
  </sheetViews>
  <sheetFormatPr defaultRowHeight="15" customHeight="1"/>
  <cols>
    <col min="1" max="1" width="28.7109375" style="172" customWidth="1"/>
    <col min="2" max="4" width="10.7109375" style="172" customWidth="1"/>
    <col min="5" max="5" width="17.7109375" style="172" customWidth="1"/>
    <col min="6" max="16384" width="9.140625" style="172"/>
  </cols>
  <sheetData>
    <row r="1" spans="1:5" ht="15" customHeight="1">
      <c r="A1" s="175" t="s">
        <v>120</v>
      </c>
      <c r="B1" s="174"/>
      <c r="C1" s="174"/>
      <c r="D1" s="174"/>
      <c r="E1" s="184" t="s">
        <v>152</v>
      </c>
    </row>
    <row r="2" spans="1:5" ht="15" customHeight="1">
      <c r="A2" s="3"/>
      <c r="B2" s="3"/>
      <c r="C2" s="3"/>
      <c r="D2" s="3"/>
    </row>
    <row r="3" spans="1:5" ht="15" customHeight="1" thickBot="1">
      <c r="A3" s="3"/>
      <c r="B3" s="3"/>
      <c r="C3" s="3"/>
      <c r="D3" s="3"/>
    </row>
    <row r="4" spans="1:5" ht="15" customHeight="1">
      <c r="A4" s="175" t="s">
        <v>1</v>
      </c>
      <c r="B4" s="321" t="s">
        <v>2</v>
      </c>
      <c r="C4" s="322"/>
      <c r="D4" s="323"/>
    </row>
    <row r="5" spans="1:5" ht="15" customHeight="1" thickBot="1">
      <c r="A5" s="175" t="s">
        <v>134</v>
      </c>
      <c r="B5" s="324" t="s">
        <v>126</v>
      </c>
      <c r="C5" s="325"/>
      <c r="D5" s="326"/>
    </row>
    <row r="6" spans="1:5" ht="15" customHeight="1">
      <c r="A6" s="3"/>
      <c r="B6" s="3"/>
      <c r="C6" s="3"/>
      <c r="D6" s="3"/>
    </row>
    <row r="7" spans="1:5" ht="15" customHeight="1" thickBot="1">
      <c r="A7" s="3"/>
      <c r="B7" s="3"/>
      <c r="C7" s="3"/>
      <c r="D7" s="3"/>
    </row>
    <row r="8" spans="1:5" ht="15" customHeight="1">
      <c r="A8" s="193" t="s">
        <v>71</v>
      </c>
      <c r="B8" s="327" t="s">
        <v>72</v>
      </c>
      <c r="C8" s="327"/>
      <c r="D8" s="328"/>
    </row>
    <row r="9" spans="1:5" ht="15" customHeight="1">
      <c r="A9" s="194" t="s">
        <v>34</v>
      </c>
      <c r="B9" s="173" t="s">
        <v>73</v>
      </c>
      <c r="C9" s="173" t="s">
        <v>74</v>
      </c>
      <c r="D9" s="195" t="s">
        <v>17</v>
      </c>
    </row>
    <row r="10" spans="1:5" ht="15" customHeight="1">
      <c r="A10" s="196" t="s">
        <v>75</v>
      </c>
      <c r="B10" s="9"/>
      <c r="C10" s="9"/>
      <c r="D10" s="197">
        <f>SUM(B10:C10)</f>
        <v>0</v>
      </c>
    </row>
    <row r="11" spans="1:5" ht="15" customHeight="1">
      <c r="A11" s="196" t="s">
        <v>76</v>
      </c>
      <c r="B11" s="9"/>
      <c r="C11" s="9"/>
      <c r="D11" s="197">
        <f t="shared" ref="D11:D18" si="0">SUM(B11:C11)</f>
        <v>0</v>
      </c>
    </row>
    <row r="12" spans="1:5" ht="15" customHeight="1">
      <c r="A12" s="196" t="s">
        <v>77</v>
      </c>
      <c r="B12" s="9"/>
      <c r="C12" s="9"/>
      <c r="D12" s="197">
        <f t="shared" si="0"/>
        <v>0</v>
      </c>
    </row>
    <row r="13" spans="1:5" ht="15" customHeight="1">
      <c r="A13" s="196" t="s">
        <v>78</v>
      </c>
      <c r="B13" s="9"/>
      <c r="C13" s="9"/>
      <c r="D13" s="197">
        <f t="shared" si="0"/>
        <v>0</v>
      </c>
    </row>
    <row r="14" spans="1:5" ht="15" customHeight="1">
      <c r="A14" s="196" t="s">
        <v>79</v>
      </c>
      <c r="B14" s="9"/>
      <c r="C14" s="9"/>
      <c r="D14" s="197">
        <f t="shared" si="0"/>
        <v>0</v>
      </c>
    </row>
    <row r="15" spans="1:5" ht="15" customHeight="1">
      <c r="A15" s="196" t="s">
        <v>80</v>
      </c>
      <c r="B15" s="9"/>
      <c r="C15" s="9"/>
      <c r="D15" s="197">
        <f t="shared" si="0"/>
        <v>0</v>
      </c>
    </row>
    <row r="16" spans="1:5" ht="15" customHeight="1">
      <c r="A16" s="196" t="s">
        <v>81</v>
      </c>
      <c r="B16" s="9"/>
      <c r="C16" s="9"/>
      <c r="D16" s="197">
        <f t="shared" si="0"/>
        <v>0</v>
      </c>
    </row>
    <row r="17" spans="1:5" ht="15" customHeight="1">
      <c r="A17" s="196" t="s">
        <v>86</v>
      </c>
      <c r="B17" s="9"/>
      <c r="C17" s="9"/>
      <c r="D17" s="197">
        <f t="shared" si="0"/>
        <v>0</v>
      </c>
    </row>
    <row r="18" spans="1:5" ht="15" customHeight="1">
      <c r="A18" s="198" t="s">
        <v>82</v>
      </c>
      <c r="B18" s="9">
        <f>SUM(B10:B17)</f>
        <v>0</v>
      </c>
      <c r="C18" s="9">
        <f>SUM(C10:C17)</f>
        <v>0</v>
      </c>
      <c r="D18" s="197">
        <f t="shared" si="0"/>
        <v>0</v>
      </c>
    </row>
    <row r="19" spans="1:5" ht="15" customHeight="1" thickBot="1">
      <c r="A19" s="317" t="s">
        <v>124</v>
      </c>
      <c r="B19" s="318"/>
      <c r="C19" s="319"/>
      <c r="D19" s="152">
        <f>1-C18</f>
        <v>1</v>
      </c>
    </row>
    <row r="20" spans="1:5" ht="15" customHeight="1">
      <c r="A20" s="3"/>
      <c r="B20" s="3"/>
      <c r="C20" s="3"/>
      <c r="D20" s="3"/>
    </row>
    <row r="21" spans="1:5" ht="15" customHeight="1" thickBot="1">
      <c r="A21" s="3"/>
      <c r="B21" s="3"/>
      <c r="C21" s="3"/>
      <c r="D21" s="3"/>
    </row>
    <row r="22" spans="1:5" s="182" customFormat="1" ht="15" customHeight="1">
      <c r="A22" s="185" t="s">
        <v>27</v>
      </c>
      <c r="B22" s="186"/>
      <c r="C22" s="186"/>
      <c r="D22" s="186"/>
      <c r="E22" s="187"/>
    </row>
    <row r="23" spans="1:5" s="182" customFormat="1" ht="15" customHeight="1">
      <c r="A23" s="188"/>
      <c r="B23" s="3"/>
      <c r="C23" s="3"/>
      <c r="D23" s="3"/>
      <c r="E23" s="189"/>
    </row>
    <row r="24" spans="1:5" s="182" customFormat="1" ht="15" customHeight="1">
      <c r="A24" s="188"/>
      <c r="B24" s="3"/>
      <c r="C24" s="3"/>
      <c r="D24" s="3"/>
      <c r="E24" s="189"/>
    </row>
    <row r="25" spans="1:5" s="182" customFormat="1" ht="15" customHeight="1">
      <c r="A25" s="188"/>
      <c r="B25" s="3"/>
      <c r="C25" s="3"/>
      <c r="D25" s="3"/>
      <c r="E25" s="189"/>
    </row>
    <row r="26" spans="1:5" s="182" customFormat="1" ht="15" customHeight="1">
      <c r="A26" s="188"/>
      <c r="B26" s="3"/>
      <c r="C26" s="3"/>
      <c r="D26" s="3"/>
      <c r="E26" s="189"/>
    </row>
    <row r="27" spans="1:5" ht="15" customHeight="1" thickBot="1">
      <c r="A27" s="190"/>
      <c r="B27" s="191"/>
      <c r="C27" s="191"/>
      <c r="D27" s="191"/>
      <c r="E27" s="192"/>
    </row>
    <row r="28" spans="1:5" ht="15" customHeight="1">
      <c r="A28" s="175"/>
      <c r="B28" s="174"/>
      <c r="C28" s="174"/>
      <c r="D28" s="174"/>
    </row>
    <row r="29" spans="1:5" ht="15" customHeight="1">
      <c r="A29" s="3"/>
      <c r="B29" s="3"/>
      <c r="C29" s="3"/>
      <c r="D29" s="3"/>
    </row>
    <row r="30" spans="1:5" ht="15" customHeight="1">
      <c r="A30" s="175" t="s">
        <v>28</v>
      </c>
      <c r="B30" s="174"/>
      <c r="C30" s="174"/>
      <c r="D30" s="174"/>
    </row>
    <row r="31" spans="1:5" ht="30" customHeight="1">
      <c r="A31" s="329" t="s">
        <v>85</v>
      </c>
      <c r="B31" s="329"/>
      <c r="C31" s="329"/>
      <c r="D31" s="329"/>
      <c r="E31" s="329"/>
    </row>
    <row r="32" spans="1:5" s="182" customFormat="1" ht="30" customHeight="1">
      <c r="A32" s="329" t="s">
        <v>89</v>
      </c>
      <c r="B32" s="329"/>
      <c r="C32" s="329"/>
      <c r="D32" s="329"/>
      <c r="E32" s="329"/>
    </row>
    <row r="33" spans="1:7" ht="30" customHeight="1">
      <c r="A33" s="330" t="s">
        <v>186</v>
      </c>
      <c r="B33" s="330"/>
      <c r="C33" s="330"/>
      <c r="D33" s="330"/>
      <c r="E33" s="330"/>
    </row>
    <row r="34" spans="1:7" s="241" customFormat="1" ht="30" customHeight="1">
      <c r="A34" s="329" t="s">
        <v>187</v>
      </c>
      <c r="B34" s="329"/>
      <c r="C34" s="329"/>
      <c r="D34" s="329"/>
      <c r="E34" s="329"/>
    </row>
    <row r="35" spans="1:7" s="266" customFormat="1" ht="60" customHeight="1">
      <c r="A35" s="320" t="s">
        <v>188</v>
      </c>
      <c r="B35" s="320"/>
      <c r="C35" s="320"/>
      <c r="D35" s="320"/>
      <c r="E35" s="320"/>
    </row>
    <row r="36" spans="1:7" s="241" customFormat="1" ht="15" customHeight="1">
      <c r="A36" s="329" t="s">
        <v>193</v>
      </c>
      <c r="B36" s="329"/>
      <c r="C36" s="329"/>
      <c r="D36" s="329"/>
      <c r="E36" s="329"/>
      <c r="F36" s="269"/>
      <c r="G36" s="269"/>
    </row>
    <row r="37" spans="1:7" ht="15" customHeight="1">
      <c r="A37" s="329" t="s">
        <v>194</v>
      </c>
      <c r="B37" s="329"/>
      <c r="C37" s="329"/>
      <c r="D37" s="329"/>
      <c r="E37" s="329"/>
    </row>
  </sheetData>
  <mergeCells count="11">
    <mergeCell ref="A37:E37"/>
    <mergeCell ref="A32:E32"/>
    <mergeCell ref="A31:E31"/>
    <mergeCell ref="A34:E34"/>
    <mergeCell ref="A33:E33"/>
    <mergeCell ref="A36:E36"/>
    <mergeCell ref="A19:C19"/>
    <mergeCell ref="A35:E35"/>
    <mergeCell ref="B4:D4"/>
    <mergeCell ref="B5:D5"/>
    <mergeCell ref="B8:D8"/>
  </mergeCells>
  <printOptions horizontalCentered="1"/>
  <pageMargins left="0.7" right="0.7" top="0.75" bottom="0.75" header="0.3" footer="0.3"/>
  <pageSetup orientation="portrait" r:id="rId1"/>
  <headerFooter>
    <oddFooter>&amp;R8/13</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M33"/>
  <sheetViews>
    <sheetView workbookViewId="0"/>
  </sheetViews>
  <sheetFormatPr defaultRowHeight="15" customHeight="1"/>
  <cols>
    <col min="1" max="9" width="13.7109375" style="161" customWidth="1"/>
    <col min="10" max="16384" width="9.140625" style="161"/>
  </cols>
  <sheetData>
    <row r="1" spans="1:13" ht="15" customHeight="1">
      <c r="A1" s="170" t="s">
        <v>101</v>
      </c>
      <c r="I1" s="155" t="s">
        <v>150</v>
      </c>
    </row>
    <row r="3" spans="1:13" ht="15" customHeight="1" thickBot="1"/>
    <row r="4" spans="1:13" ht="30" customHeight="1">
      <c r="A4" s="331" t="s">
        <v>70</v>
      </c>
      <c r="B4" s="332"/>
      <c r="C4" s="332"/>
      <c r="D4" s="333"/>
      <c r="F4" s="334" t="s">
        <v>103</v>
      </c>
      <c r="G4" s="335"/>
      <c r="H4" s="335"/>
      <c r="I4" s="336"/>
    </row>
    <row r="5" spans="1:13" s="169" customFormat="1" ht="15" customHeight="1">
      <c r="A5" s="339" t="s">
        <v>6</v>
      </c>
      <c r="B5" s="340"/>
      <c r="C5" s="340"/>
      <c r="D5" s="341"/>
      <c r="F5" s="236" t="s">
        <v>4</v>
      </c>
      <c r="G5" s="237" t="s">
        <v>68</v>
      </c>
      <c r="H5" s="237" t="s">
        <v>135</v>
      </c>
      <c r="I5" s="239" t="s">
        <v>136</v>
      </c>
    </row>
    <row r="6" spans="1:13" s="169" customFormat="1" ht="15" customHeight="1">
      <c r="A6" s="342"/>
      <c r="B6" s="337" t="s">
        <v>62</v>
      </c>
      <c r="C6" s="337"/>
      <c r="D6" s="225"/>
      <c r="F6" s="158"/>
      <c r="G6" s="157"/>
      <c r="H6" s="157"/>
      <c r="I6" s="176" t="e">
        <f t="shared" ref="I6:I15" si="0">H6/G6</f>
        <v>#DIV/0!</v>
      </c>
    </row>
    <row r="7" spans="1:13" s="169" customFormat="1" ht="15" customHeight="1">
      <c r="A7" s="342"/>
      <c r="B7" s="337" t="s">
        <v>63</v>
      </c>
      <c r="C7" s="337"/>
      <c r="D7" s="225"/>
      <c r="F7" s="158"/>
      <c r="G7" s="157"/>
      <c r="H7" s="157"/>
      <c r="I7" s="176" t="e">
        <f t="shared" si="0"/>
        <v>#DIV/0!</v>
      </c>
    </row>
    <row r="8" spans="1:13" ht="15" customHeight="1">
      <c r="A8" s="342"/>
      <c r="B8" s="337" t="s">
        <v>64</v>
      </c>
      <c r="C8" s="337"/>
      <c r="D8" s="225"/>
      <c r="F8" s="158"/>
      <c r="G8" s="157"/>
      <c r="H8" s="157"/>
      <c r="I8" s="176" t="e">
        <f t="shared" si="0"/>
        <v>#DIV/0!</v>
      </c>
    </row>
    <row r="9" spans="1:13" s="169" customFormat="1" ht="15" customHeight="1">
      <c r="A9" s="339" t="s">
        <v>7</v>
      </c>
      <c r="B9" s="340"/>
      <c r="C9" s="340"/>
      <c r="D9" s="341"/>
      <c r="F9" s="158"/>
      <c r="G9" s="157"/>
      <c r="H9" s="157"/>
      <c r="I9" s="176" t="e">
        <f t="shared" si="0"/>
        <v>#DIV/0!</v>
      </c>
    </row>
    <row r="10" spans="1:13" s="169" customFormat="1" ht="15" customHeight="1">
      <c r="A10" s="342"/>
      <c r="B10" s="337" t="s">
        <v>65</v>
      </c>
      <c r="C10" s="337"/>
      <c r="D10" s="225"/>
      <c r="F10" s="158"/>
      <c r="G10" s="157"/>
      <c r="H10" s="157"/>
      <c r="I10" s="176" t="e">
        <f t="shared" si="0"/>
        <v>#DIV/0!</v>
      </c>
    </row>
    <row r="11" spans="1:13" ht="15" customHeight="1">
      <c r="A11" s="342"/>
      <c r="B11" s="337" t="s">
        <v>102</v>
      </c>
      <c r="C11" s="337"/>
      <c r="D11" s="225"/>
      <c r="F11" s="158"/>
      <c r="G11" s="157"/>
      <c r="H11" s="157"/>
      <c r="I11" s="176" t="e">
        <f t="shared" si="0"/>
        <v>#DIV/0!</v>
      </c>
    </row>
    <row r="12" spans="1:13" ht="15" customHeight="1">
      <c r="A12" s="342"/>
      <c r="B12" s="337" t="s">
        <v>64</v>
      </c>
      <c r="C12" s="337"/>
      <c r="D12" s="225"/>
      <c r="F12" s="158"/>
      <c r="G12" s="157"/>
      <c r="H12" s="157"/>
      <c r="I12" s="176" t="e">
        <f t="shared" si="0"/>
        <v>#DIV/0!</v>
      </c>
      <c r="M12" s="168"/>
    </row>
    <row r="13" spans="1:13" ht="15" customHeight="1">
      <c r="A13" s="339" t="s">
        <v>12</v>
      </c>
      <c r="B13" s="340"/>
      <c r="C13" s="340"/>
      <c r="D13" s="341"/>
      <c r="F13" s="158"/>
      <c r="G13" s="157"/>
      <c r="H13" s="157"/>
      <c r="I13" s="176" t="e">
        <f t="shared" si="0"/>
        <v>#DIV/0!</v>
      </c>
      <c r="M13" s="168"/>
    </row>
    <row r="14" spans="1:13" ht="15" customHeight="1">
      <c r="A14" s="342"/>
      <c r="B14" s="337" t="s">
        <v>66</v>
      </c>
      <c r="C14" s="337"/>
      <c r="D14" s="225"/>
      <c r="F14" s="158"/>
      <c r="G14" s="157"/>
      <c r="H14" s="157"/>
      <c r="I14" s="176" t="e">
        <f t="shared" si="0"/>
        <v>#DIV/0!</v>
      </c>
      <c r="M14" s="168"/>
    </row>
    <row r="15" spans="1:13" s="171" customFormat="1">
      <c r="A15" s="342"/>
      <c r="B15" s="337" t="s">
        <v>67</v>
      </c>
      <c r="C15" s="337"/>
      <c r="D15" s="225"/>
      <c r="F15" s="158"/>
      <c r="G15" s="157"/>
      <c r="H15" s="157"/>
      <c r="I15" s="176" t="e">
        <f t="shared" si="0"/>
        <v>#DIV/0!</v>
      </c>
    </row>
    <row r="16" spans="1:13" ht="15.75" thickBot="1">
      <c r="A16" s="342"/>
      <c r="B16" s="337" t="s">
        <v>64</v>
      </c>
      <c r="C16" s="337"/>
      <c r="D16" s="225"/>
      <c r="F16" s="343" t="s">
        <v>69</v>
      </c>
      <c r="G16" s="344"/>
      <c r="H16" s="344"/>
      <c r="I16" s="240" t="e">
        <f>LOGEST(I6:I15)-1</f>
        <v>#VALUE!</v>
      </c>
    </row>
    <row r="17" spans="1:12" ht="15" customHeight="1">
      <c r="A17" s="339" t="s">
        <v>13</v>
      </c>
      <c r="B17" s="340"/>
      <c r="C17" s="340"/>
      <c r="D17" s="341"/>
    </row>
    <row r="18" spans="1:12" ht="15" customHeight="1">
      <c r="A18" s="342"/>
      <c r="B18" s="337" t="s">
        <v>65</v>
      </c>
      <c r="C18" s="337"/>
      <c r="D18" s="225"/>
      <c r="I18" s="168"/>
    </row>
    <row r="19" spans="1:12" ht="15" customHeight="1">
      <c r="A19" s="342"/>
      <c r="B19" s="337" t="s">
        <v>102</v>
      </c>
      <c r="C19" s="337"/>
      <c r="D19" s="225"/>
    </row>
    <row r="20" spans="1:12" ht="15" customHeight="1" thickBot="1">
      <c r="A20" s="345"/>
      <c r="B20" s="338" t="s">
        <v>64</v>
      </c>
      <c r="C20" s="338"/>
      <c r="D20" s="226"/>
    </row>
    <row r="22" spans="1:12" ht="15" customHeight="1" thickBot="1"/>
    <row r="23" spans="1:12" ht="15" customHeight="1">
      <c r="A23" s="162" t="s">
        <v>27</v>
      </c>
      <c r="B23" s="163"/>
      <c r="C23" s="163"/>
      <c r="D23" s="163"/>
      <c r="E23" s="163"/>
      <c r="F23" s="163"/>
      <c r="G23" s="163"/>
      <c r="H23" s="163"/>
      <c r="I23" s="164"/>
    </row>
    <row r="24" spans="1:12" ht="15" customHeight="1">
      <c r="A24" s="165"/>
      <c r="B24" s="156"/>
      <c r="C24" s="156"/>
      <c r="D24" s="156"/>
      <c r="E24" s="156"/>
      <c r="F24" s="156"/>
      <c r="G24" s="156"/>
      <c r="H24" s="156"/>
      <c r="I24" s="166"/>
      <c r="L24" s="168"/>
    </row>
    <row r="25" spans="1:12" ht="15" customHeight="1">
      <c r="A25" s="165"/>
      <c r="B25" s="156"/>
      <c r="C25" s="156"/>
      <c r="D25" s="156"/>
      <c r="E25" s="156"/>
      <c r="F25" s="156"/>
      <c r="G25" s="156"/>
      <c r="H25" s="156"/>
      <c r="I25" s="166"/>
      <c r="K25" s="168"/>
    </row>
    <row r="26" spans="1:12" ht="15" customHeight="1">
      <c r="A26" s="165"/>
      <c r="B26" s="156"/>
      <c r="C26" s="156"/>
      <c r="D26" s="156"/>
      <c r="E26" s="156"/>
      <c r="F26" s="156"/>
      <c r="G26" s="156"/>
      <c r="H26" s="156"/>
      <c r="I26" s="166"/>
      <c r="K26" s="168"/>
    </row>
    <row r="27" spans="1:12" ht="15" customHeight="1">
      <c r="A27" s="165"/>
      <c r="B27" s="156"/>
      <c r="C27" s="156"/>
      <c r="D27" s="156"/>
      <c r="E27" s="156"/>
      <c r="F27" s="156"/>
      <c r="G27" s="156"/>
      <c r="H27" s="156"/>
      <c r="I27" s="166"/>
    </row>
    <row r="28" spans="1:12" ht="15" customHeight="1" thickBot="1">
      <c r="A28" s="159"/>
      <c r="B28" s="154"/>
      <c r="C28" s="154"/>
      <c r="D28" s="154"/>
      <c r="E28" s="154"/>
      <c r="F28" s="154"/>
      <c r="G28" s="154"/>
      <c r="H28" s="154"/>
      <c r="I28" s="167"/>
    </row>
    <row r="31" spans="1:12" ht="15" customHeight="1">
      <c r="A31" s="160" t="s">
        <v>28</v>
      </c>
    </row>
    <row r="32" spans="1:12" s="169" customFormat="1" ht="15" customHeight="1">
      <c r="A32" s="309" t="s">
        <v>88</v>
      </c>
      <c r="B32" s="309"/>
      <c r="C32" s="309"/>
      <c r="D32" s="309"/>
      <c r="E32" s="309"/>
      <c r="F32" s="309"/>
      <c r="G32" s="309"/>
      <c r="H32" s="309"/>
      <c r="I32" s="309"/>
    </row>
    <row r="33" spans="1:9" ht="30" customHeight="1">
      <c r="A33" s="277" t="s">
        <v>151</v>
      </c>
      <c r="B33" s="277"/>
      <c r="C33" s="277"/>
      <c r="D33" s="277"/>
      <c r="E33" s="277"/>
      <c r="F33" s="277"/>
      <c r="G33" s="277"/>
      <c r="H33" s="277"/>
      <c r="I33" s="277"/>
    </row>
  </sheetData>
  <mergeCells count="25">
    <mergeCell ref="F16:H16"/>
    <mergeCell ref="A18:A20"/>
    <mergeCell ref="B10:C10"/>
    <mergeCell ref="B11:C11"/>
    <mergeCell ref="B12:C12"/>
    <mergeCell ref="A13:D13"/>
    <mergeCell ref="A17:D17"/>
    <mergeCell ref="A14:A16"/>
    <mergeCell ref="B14:C14"/>
    <mergeCell ref="A4:D4"/>
    <mergeCell ref="F4:I4"/>
    <mergeCell ref="A32:I32"/>
    <mergeCell ref="A33:I33"/>
    <mergeCell ref="B15:C15"/>
    <mergeCell ref="B16:C16"/>
    <mergeCell ref="B19:C19"/>
    <mergeCell ref="B20:C20"/>
    <mergeCell ref="A5:D5"/>
    <mergeCell ref="A9:D9"/>
    <mergeCell ref="B6:C6"/>
    <mergeCell ref="B7:C7"/>
    <mergeCell ref="B8:C8"/>
    <mergeCell ref="A6:A8"/>
    <mergeCell ref="A10:A12"/>
    <mergeCell ref="B18:C18"/>
  </mergeCells>
  <printOptions horizontalCentered="1"/>
  <pageMargins left="0.7" right="0.7" top="0.75" bottom="0.75" header="0.3" footer="0.3"/>
  <pageSetup scale="99" orientation="landscape" r:id="rId1"/>
  <headerFooter>
    <oddFooter>&amp;R8/13</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G34"/>
  <sheetViews>
    <sheetView workbookViewId="0"/>
  </sheetViews>
  <sheetFormatPr defaultRowHeight="15" customHeight="1"/>
  <cols>
    <col min="1" max="1" width="28.7109375" style="2" customWidth="1"/>
    <col min="2" max="7" width="12.7109375" style="2" customWidth="1"/>
    <col min="8" max="16384" width="9.140625" style="2"/>
  </cols>
  <sheetData>
    <row r="1" spans="1:7" ht="15" customHeight="1">
      <c r="A1" s="21" t="s">
        <v>36</v>
      </c>
      <c r="B1" s="22"/>
      <c r="C1" s="22"/>
      <c r="D1" s="22"/>
      <c r="E1" s="22"/>
      <c r="F1" s="22"/>
      <c r="G1" s="31" t="s">
        <v>155</v>
      </c>
    </row>
    <row r="2" spans="1:7" ht="15" customHeight="1">
      <c r="A2" s="21"/>
      <c r="B2" s="22"/>
      <c r="C2" s="22"/>
      <c r="D2" s="22"/>
      <c r="E2" s="22"/>
      <c r="F2" s="22"/>
      <c r="G2" s="22"/>
    </row>
    <row r="3" spans="1:7" ht="15" customHeight="1" thickBot="1">
      <c r="A3" s="21"/>
      <c r="B3" s="22"/>
      <c r="C3" s="22"/>
      <c r="D3" s="22"/>
      <c r="E3" s="22"/>
      <c r="F3" s="22"/>
      <c r="G3" s="22"/>
    </row>
    <row r="4" spans="1:7" ht="15" customHeight="1">
      <c r="A4" s="21" t="s">
        <v>1</v>
      </c>
      <c r="B4" s="347" t="s">
        <v>2</v>
      </c>
      <c r="C4" s="348"/>
      <c r="D4" s="349"/>
      <c r="F4" s="22"/>
      <c r="G4" s="22"/>
    </row>
    <row r="5" spans="1:7" ht="15" customHeight="1" thickBot="1">
      <c r="A5" s="21" t="s">
        <v>3</v>
      </c>
      <c r="B5" s="350" t="s">
        <v>30</v>
      </c>
      <c r="C5" s="351"/>
      <c r="D5" s="352"/>
      <c r="F5" s="22"/>
      <c r="G5" s="22"/>
    </row>
    <row r="6" spans="1:7" ht="15" customHeight="1">
      <c r="A6" s="22"/>
      <c r="B6" s="22"/>
      <c r="C6" s="23"/>
      <c r="D6" s="23"/>
      <c r="E6" s="23"/>
      <c r="F6" s="22"/>
      <c r="G6" s="22"/>
    </row>
    <row r="7" spans="1:7" ht="15" customHeight="1" thickBot="1"/>
    <row r="8" spans="1:7" ht="30">
      <c r="A8" s="74" t="s">
        <v>37</v>
      </c>
      <c r="B8" s="75" t="s">
        <v>4</v>
      </c>
      <c r="C8" s="76" t="s">
        <v>38</v>
      </c>
      <c r="D8" s="75" t="s">
        <v>4</v>
      </c>
      <c r="E8" s="76" t="s">
        <v>38</v>
      </c>
      <c r="F8" s="75" t="s">
        <v>4</v>
      </c>
      <c r="G8" s="77" t="s">
        <v>38</v>
      </c>
    </row>
    <row r="9" spans="1:7" ht="15" customHeight="1">
      <c r="A9" s="78" t="s">
        <v>5</v>
      </c>
      <c r="B9" s="24"/>
      <c r="C9" s="25" t="e">
        <f>B9/$B$9</f>
        <v>#DIV/0!</v>
      </c>
      <c r="D9" s="24"/>
      <c r="E9" s="25" t="e">
        <f>D9/$D$9</f>
        <v>#DIV/0!</v>
      </c>
      <c r="F9" s="24"/>
      <c r="G9" s="79" t="e">
        <f>F9/$F$9</f>
        <v>#DIV/0!</v>
      </c>
    </row>
    <row r="10" spans="1:7" ht="15" customHeight="1">
      <c r="A10" s="80" t="s">
        <v>39</v>
      </c>
      <c r="B10" s="26"/>
      <c r="C10" s="27" t="e">
        <f>B10/$B$9</f>
        <v>#DIV/0!</v>
      </c>
      <c r="D10" s="26"/>
      <c r="E10" s="27" t="e">
        <f>D10/$D$9</f>
        <v>#DIV/0!</v>
      </c>
      <c r="F10" s="26"/>
      <c r="G10" s="81" t="e">
        <f>F10/$F$9</f>
        <v>#DIV/0!</v>
      </c>
    </row>
    <row r="11" spans="1:7" ht="15" customHeight="1">
      <c r="A11" s="80" t="s">
        <v>40</v>
      </c>
      <c r="B11" s="26"/>
      <c r="C11" s="27" t="e">
        <f>B11/$B$9</f>
        <v>#DIV/0!</v>
      </c>
      <c r="D11" s="26"/>
      <c r="E11" s="27" t="e">
        <f>D11/$D$9</f>
        <v>#DIV/0!</v>
      </c>
      <c r="F11" s="26"/>
      <c r="G11" s="81" t="e">
        <f>F11/$F$9</f>
        <v>#DIV/0!</v>
      </c>
    </row>
    <row r="12" spans="1:7" ht="15" customHeight="1">
      <c r="A12" s="80" t="s">
        <v>41</v>
      </c>
      <c r="B12" s="26"/>
      <c r="C12" s="27" t="e">
        <f>B12/$B$9</f>
        <v>#DIV/0!</v>
      </c>
      <c r="D12" s="26"/>
      <c r="E12" s="27" t="e">
        <f>D12/$D$9</f>
        <v>#DIV/0!</v>
      </c>
      <c r="F12" s="26"/>
      <c r="G12" s="81" t="e">
        <f>F12/$F$9</f>
        <v>#DIV/0!</v>
      </c>
    </row>
    <row r="13" spans="1:7" ht="15" customHeight="1" thickBot="1">
      <c r="A13" s="82" t="s">
        <v>42</v>
      </c>
      <c r="B13" s="83">
        <f>B9-B10-B11-B12</f>
        <v>0</v>
      </c>
      <c r="C13" s="84" t="e">
        <f>B13/$B$9</f>
        <v>#DIV/0!</v>
      </c>
      <c r="D13" s="83">
        <f>D9-D10-D11-D12</f>
        <v>0</v>
      </c>
      <c r="E13" s="84" t="e">
        <f>D13/$D$9</f>
        <v>#DIV/0!</v>
      </c>
      <c r="F13" s="83">
        <f>F9-F10-F11-F12</f>
        <v>0</v>
      </c>
      <c r="G13" s="85" t="e">
        <f>F13/$F$9</f>
        <v>#DIV/0!</v>
      </c>
    </row>
    <row r="14" spans="1:7" ht="15" customHeight="1">
      <c r="A14" s="21"/>
      <c r="B14" s="22"/>
      <c r="C14" s="28"/>
      <c r="D14" s="28"/>
      <c r="E14" s="29"/>
      <c r="F14" s="28"/>
      <c r="G14" s="29"/>
    </row>
    <row r="15" spans="1:7" ht="15" customHeight="1" thickBot="1"/>
    <row r="16" spans="1:7" ht="30">
      <c r="A16" s="74" t="s">
        <v>43</v>
      </c>
      <c r="B16" s="75" t="s">
        <v>4</v>
      </c>
      <c r="C16" s="76" t="s">
        <v>38</v>
      </c>
      <c r="D16" s="75" t="s">
        <v>4</v>
      </c>
      <c r="E16" s="76" t="s">
        <v>38</v>
      </c>
      <c r="F16" s="75" t="s">
        <v>4</v>
      </c>
      <c r="G16" s="77" t="s">
        <v>38</v>
      </c>
    </row>
    <row r="17" spans="1:7" ht="15" customHeight="1">
      <c r="A17" s="78" t="s">
        <v>5</v>
      </c>
      <c r="B17" s="24"/>
      <c r="C17" s="25" t="e">
        <f>B17/$B$17</f>
        <v>#DIV/0!</v>
      </c>
      <c r="D17" s="24"/>
      <c r="E17" s="25" t="e">
        <f>D17/$D$17</f>
        <v>#DIV/0!</v>
      </c>
      <c r="F17" s="24"/>
      <c r="G17" s="79" t="e">
        <f>F17/$F$17</f>
        <v>#DIV/0!</v>
      </c>
    </row>
    <row r="18" spans="1:7" ht="15" customHeight="1">
      <c r="A18" s="80" t="s">
        <v>39</v>
      </c>
      <c r="B18" s="26"/>
      <c r="C18" s="27" t="e">
        <f>B18/$B$17</f>
        <v>#DIV/0!</v>
      </c>
      <c r="D18" s="26"/>
      <c r="E18" s="27" t="e">
        <f>D18/$D$17</f>
        <v>#DIV/0!</v>
      </c>
      <c r="F18" s="26"/>
      <c r="G18" s="81" t="e">
        <f>F18/$F$17</f>
        <v>#DIV/0!</v>
      </c>
    </row>
    <row r="19" spans="1:7" ht="15" customHeight="1">
      <c r="A19" s="80" t="s">
        <v>40</v>
      </c>
      <c r="B19" s="26"/>
      <c r="C19" s="27" t="e">
        <f>B19/$B$17</f>
        <v>#DIV/0!</v>
      </c>
      <c r="D19" s="26"/>
      <c r="E19" s="27" t="e">
        <f>D19/$D$17</f>
        <v>#DIV/0!</v>
      </c>
      <c r="F19" s="26"/>
      <c r="G19" s="81" t="e">
        <f>F19/$F$17</f>
        <v>#DIV/0!</v>
      </c>
    </row>
    <row r="20" spans="1:7" ht="15" customHeight="1">
      <c r="A20" s="80" t="s">
        <v>41</v>
      </c>
      <c r="B20" s="26"/>
      <c r="C20" s="27" t="e">
        <f>B20/$B$17</f>
        <v>#DIV/0!</v>
      </c>
      <c r="D20" s="26"/>
      <c r="E20" s="27" t="e">
        <f>D20/$D$17</f>
        <v>#DIV/0!</v>
      </c>
      <c r="F20" s="26"/>
      <c r="G20" s="81" t="e">
        <f>F20/$F$17</f>
        <v>#DIV/0!</v>
      </c>
    </row>
    <row r="21" spans="1:7" ht="15" customHeight="1" thickBot="1">
      <c r="A21" s="82" t="s">
        <v>42</v>
      </c>
      <c r="B21" s="83">
        <f>B17-B18-B19-B20</f>
        <v>0</v>
      </c>
      <c r="C21" s="84" t="e">
        <f>B21/$B$17</f>
        <v>#DIV/0!</v>
      </c>
      <c r="D21" s="83">
        <f>D17-D18-D19-D20</f>
        <v>0</v>
      </c>
      <c r="E21" s="84" t="e">
        <f>D21/$D$17</f>
        <v>#DIV/0!</v>
      </c>
      <c r="F21" s="83">
        <f>F17-F18-F19-F20</f>
        <v>0</v>
      </c>
      <c r="G21" s="85" t="e">
        <f>F21/$F$17</f>
        <v>#DIV/0!</v>
      </c>
    </row>
    <row r="22" spans="1:7" ht="15" customHeight="1">
      <c r="A22" s="21"/>
      <c r="B22" s="22"/>
      <c r="C22" s="28"/>
      <c r="D22" s="28"/>
      <c r="E22" s="29"/>
      <c r="F22" s="28"/>
      <c r="G22" s="29"/>
    </row>
    <row r="23" spans="1:7" ht="15" customHeight="1" thickBot="1">
      <c r="A23" s="21"/>
      <c r="B23" s="22"/>
      <c r="C23" s="28"/>
      <c r="D23" s="28"/>
      <c r="E23" s="29"/>
      <c r="F23" s="28"/>
      <c r="G23" s="28"/>
    </row>
    <row r="24" spans="1:7" ht="15" customHeight="1">
      <c r="A24" s="86" t="s">
        <v>27</v>
      </c>
      <c r="B24" s="87"/>
      <c r="C24" s="87"/>
      <c r="D24" s="87"/>
      <c r="E24" s="87"/>
      <c r="F24" s="87"/>
      <c r="G24" s="88"/>
    </row>
    <row r="25" spans="1:7" ht="15" customHeight="1">
      <c r="A25" s="89"/>
      <c r="B25" s="30"/>
      <c r="C25" s="30"/>
      <c r="D25" s="30"/>
      <c r="E25" s="30"/>
      <c r="F25" s="30"/>
      <c r="G25" s="90"/>
    </row>
    <row r="26" spans="1:7" ht="15" customHeight="1">
      <c r="A26" s="89"/>
      <c r="B26" s="30"/>
      <c r="C26" s="30"/>
      <c r="D26" s="30"/>
      <c r="E26" s="30"/>
      <c r="F26" s="30"/>
      <c r="G26" s="90"/>
    </row>
    <row r="27" spans="1:7" ht="15" customHeight="1">
      <c r="A27" s="89"/>
      <c r="B27" s="30"/>
      <c r="C27" s="30"/>
      <c r="D27" s="30"/>
      <c r="E27" s="30"/>
      <c r="F27" s="30"/>
      <c r="G27" s="90"/>
    </row>
    <row r="28" spans="1:7" ht="15" customHeight="1">
      <c r="A28" s="89"/>
      <c r="B28" s="30"/>
      <c r="C28" s="30"/>
      <c r="D28" s="30"/>
      <c r="E28" s="30"/>
      <c r="F28" s="30"/>
      <c r="G28" s="90"/>
    </row>
    <row r="29" spans="1:7" ht="15" customHeight="1" thickBot="1">
      <c r="A29" s="91"/>
      <c r="B29" s="92"/>
      <c r="C29" s="92"/>
      <c r="D29" s="92"/>
      <c r="E29" s="92"/>
      <c r="F29" s="92"/>
      <c r="G29" s="93"/>
    </row>
    <row r="32" spans="1:7" ht="15" customHeight="1">
      <c r="A32" s="21" t="s">
        <v>28</v>
      </c>
      <c r="B32" s="22"/>
      <c r="C32" s="22"/>
      <c r="D32" s="22"/>
      <c r="E32" s="22"/>
      <c r="F32" s="22"/>
      <c r="G32" s="22"/>
    </row>
    <row r="33" spans="1:7" ht="15" customHeight="1">
      <c r="A33" s="346" t="s">
        <v>137</v>
      </c>
      <c r="B33" s="346"/>
      <c r="C33" s="346"/>
      <c r="D33" s="346"/>
      <c r="E33" s="346"/>
      <c r="F33" s="346"/>
      <c r="G33" s="346"/>
    </row>
    <row r="34" spans="1:7" ht="15" customHeight="1">
      <c r="A34" s="346" t="s">
        <v>168</v>
      </c>
      <c r="B34" s="346"/>
      <c r="C34" s="346"/>
      <c r="D34" s="346"/>
      <c r="E34" s="346"/>
      <c r="F34" s="346"/>
      <c r="G34" s="346"/>
    </row>
  </sheetData>
  <mergeCells count="4">
    <mergeCell ref="A33:G33"/>
    <mergeCell ref="A34:G34"/>
    <mergeCell ref="B4:D4"/>
    <mergeCell ref="B5:D5"/>
  </mergeCells>
  <printOptions horizontalCentered="1"/>
  <pageMargins left="0.7" right="0.7" top="0.75" bottom="0.75" header="0.3" footer="0.3"/>
  <pageSetup scale="86" orientation="portrait" r:id="rId1"/>
  <headerFooter>
    <oddFooter>&amp;R8/13</oddFooter>
  </headerFooter>
  <ignoredErrors>
    <ignoredError sqref="C21 E21 E13 C13" formula="1"/>
  </ignoredErrors>
</worksheet>
</file>

<file path=xl/worksheets/sheet7.xml><?xml version="1.0" encoding="utf-8"?>
<worksheet xmlns="http://schemas.openxmlformats.org/spreadsheetml/2006/main" xmlns:r="http://schemas.openxmlformats.org/officeDocument/2006/relationships">
  <sheetPr>
    <pageSetUpPr fitToPage="1"/>
  </sheetPr>
  <dimension ref="A1:H38"/>
  <sheetViews>
    <sheetView workbookViewId="0"/>
  </sheetViews>
  <sheetFormatPr defaultRowHeight="15" customHeight="1"/>
  <cols>
    <col min="1" max="7" width="12.7109375" customWidth="1"/>
    <col min="8" max="8" width="12.7109375" style="32" customWidth="1"/>
  </cols>
  <sheetData>
    <row r="1" spans="1:8" ht="15" customHeight="1">
      <c r="A1" s="33" t="s">
        <v>44</v>
      </c>
      <c r="B1" s="34"/>
      <c r="C1" s="34"/>
      <c r="D1" s="34"/>
      <c r="E1" s="34"/>
      <c r="F1" s="34"/>
      <c r="G1" s="34"/>
      <c r="H1" s="41" t="s">
        <v>142</v>
      </c>
    </row>
    <row r="2" spans="1:8" ht="15" customHeight="1">
      <c r="A2" s="2"/>
      <c r="B2" s="2"/>
      <c r="C2" s="2"/>
      <c r="D2" s="2"/>
      <c r="E2" s="2"/>
      <c r="F2" s="2"/>
      <c r="G2" s="2"/>
      <c r="H2" s="2"/>
    </row>
    <row r="3" spans="1:8" ht="15" customHeight="1" thickBot="1">
      <c r="A3" s="2"/>
      <c r="B3" s="2"/>
      <c r="C3" s="2"/>
      <c r="D3" s="2"/>
      <c r="E3" s="2"/>
      <c r="F3" s="2"/>
      <c r="G3" s="2"/>
      <c r="H3" s="2"/>
    </row>
    <row r="4" spans="1:8" ht="15" customHeight="1">
      <c r="A4" s="33" t="s">
        <v>1</v>
      </c>
      <c r="B4" s="34"/>
      <c r="C4" s="353" t="s">
        <v>2</v>
      </c>
      <c r="D4" s="354"/>
      <c r="E4" s="355"/>
      <c r="F4" s="35"/>
      <c r="G4" s="35"/>
      <c r="H4" s="35"/>
    </row>
    <row r="5" spans="1:8" s="238" customFormat="1" ht="15" customHeight="1">
      <c r="A5" s="33" t="s">
        <v>125</v>
      </c>
      <c r="B5" s="34"/>
      <c r="C5" s="369" t="s">
        <v>126</v>
      </c>
      <c r="D5" s="370"/>
      <c r="E5" s="371"/>
      <c r="F5" s="35"/>
      <c r="G5" s="35"/>
      <c r="H5" s="35"/>
    </row>
    <row r="6" spans="1:8" ht="15" customHeight="1" thickBot="1">
      <c r="A6" s="33" t="s">
        <v>3</v>
      </c>
      <c r="B6" s="34"/>
      <c r="C6" s="364" t="s">
        <v>30</v>
      </c>
      <c r="D6" s="365"/>
      <c r="E6" s="366"/>
      <c r="F6" s="35"/>
      <c r="G6" s="35"/>
      <c r="H6" s="35"/>
    </row>
    <row r="7" spans="1:8" ht="15" customHeight="1">
      <c r="A7" s="2"/>
      <c r="B7" s="2"/>
      <c r="C7" s="2"/>
      <c r="D7" s="2"/>
      <c r="E7" s="2"/>
      <c r="F7" s="2"/>
      <c r="G7" s="2"/>
      <c r="H7" s="2"/>
    </row>
    <row r="8" spans="1:8" ht="15" customHeight="1" thickBot="1">
      <c r="A8" s="2"/>
      <c r="B8" s="2"/>
      <c r="C8" s="2"/>
      <c r="D8" s="2"/>
      <c r="E8" s="2"/>
      <c r="F8" s="2"/>
      <c r="G8" s="2"/>
      <c r="H8" s="2"/>
    </row>
    <row r="9" spans="1:8" ht="15" customHeight="1">
      <c r="A9" s="356" t="s">
        <v>48</v>
      </c>
      <c r="B9" s="357"/>
      <c r="C9" s="357"/>
      <c r="D9" s="358" t="s">
        <v>130</v>
      </c>
      <c r="E9" s="359"/>
      <c r="F9" s="359"/>
      <c r="G9" s="359"/>
      <c r="H9" s="360"/>
    </row>
    <row r="10" spans="1:8" ht="15" customHeight="1">
      <c r="A10" s="367" t="s">
        <v>49</v>
      </c>
      <c r="B10" s="368"/>
      <c r="C10" s="368"/>
      <c r="D10" s="36" t="s">
        <v>112</v>
      </c>
      <c r="E10" s="36" t="s">
        <v>113</v>
      </c>
      <c r="F10" s="36" t="s">
        <v>114</v>
      </c>
      <c r="G10" s="36" t="s">
        <v>45</v>
      </c>
      <c r="H10" s="59" t="s">
        <v>17</v>
      </c>
    </row>
    <row r="11" spans="1:8" ht="15" customHeight="1">
      <c r="A11" s="361" t="s">
        <v>108</v>
      </c>
      <c r="B11" s="362"/>
      <c r="C11" s="363"/>
      <c r="D11" s="94"/>
      <c r="E11" s="94"/>
      <c r="F11" s="94"/>
      <c r="G11" s="94"/>
      <c r="H11" s="95"/>
    </row>
    <row r="12" spans="1:8" ht="15" customHeight="1">
      <c r="A12" s="376" t="s">
        <v>109</v>
      </c>
      <c r="B12" s="377"/>
      <c r="C12" s="378"/>
      <c r="D12" s="37"/>
      <c r="E12" s="37"/>
      <c r="F12" s="37"/>
      <c r="G12" s="37"/>
      <c r="H12" s="60"/>
    </row>
    <row r="13" spans="1:8" ht="15" customHeight="1">
      <c r="A13" s="376" t="s">
        <v>110</v>
      </c>
      <c r="B13" s="377"/>
      <c r="C13" s="378"/>
      <c r="D13" s="37"/>
      <c r="E13" s="37"/>
      <c r="F13" s="37"/>
      <c r="G13" s="37"/>
      <c r="H13" s="60"/>
    </row>
    <row r="14" spans="1:8" ht="15" customHeight="1">
      <c r="A14" s="376" t="s">
        <v>111</v>
      </c>
      <c r="B14" s="377"/>
      <c r="C14" s="378"/>
      <c r="D14" s="37"/>
      <c r="E14" s="37"/>
      <c r="F14" s="37"/>
      <c r="G14" s="37"/>
      <c r="H14" s="60"/>
    </row>
    <row r="15" spans="1:8" ht="15" customHeight="1">
      <c r="A15" s="376" t="s">
        <v>104</v>
      </c>
      <c r="B15" s="377"/>
      <c r="C15" s="378"/>
      <c r="D15" s="37"/>
      <c r="E15" s="37"/>
      <c r="F15" s="37"/>
      <c r="G15" s="37"/>
      <c r="H15" s="60"/>
    </row>
    <row r="16" spans="1:8" ht="15" customHeight="1">
      <c r="A16" s="376" t="s">
        <v>106</v>
      </c>
      <c r="B16" s="377"/>
      <c r="C16" s="378"/>
      <c r="D16" s="37"/>
      <c r="E16" s="37"/>
      <c r="F16" s="37"/>
      <c r="G16" s="37"/>
      <c r="H16" s="60"/>
    </row>
    <row r="17" spans="1:8" ht="15" customHeight="1">
      <c r="A17" s="376" t="s">
        <v>105</v>
      </c>
      <c r="B17" s="377"/>
      <c r="C17" s="378"/>
      <c r="D17" s="37"/>
      <c r="E17" s="37"/>
      <c r="F17" s="37"/>
      <c r="G17" s="37"/>
      <c r="H17" s="60"/>
    </row>
    <row r="18" spans="1:8" ht="15" customHeight="1">
      <c r="A18" s="376" t="s">
        <v>107</v>
      </c>
      <c r="B18" s="377"/>
      <c r="C18" s="378"/>
      <c r="D18" s="37"/>
      <c r="E18" s="37"/>
      <c r="F18" s="37"/>
      <c r="G18" s="37"/>
      <c r="H18" s="60"/>
    </row>
    <row r="19" spans="1:8" ht="15" customHeight="1">
      <c r="A19" s="376" t="s">
        <v>45</v>
      </c>
      <c r="B19" s="377"/>
      <c r="C19" s="378"/>
      <c r="D19" s="37"/>
      <c r="E19" s="37"/>
      <c r="F19" s="37"/>
      <c r="G19" s="37"/>
      <c r="H19" s="60"/>
    </row>
    <row r="20" spans="1:8" ht="15" customHeight="1">
      <c r="A20" s="373" t="s">
        <v>143</v>
      </c>
      <c r="B20" s="374"/>
      <c r="C20" s="375"/>
      <c r="D20" s="38"/>
      <c r="E20" s="38"/>
      <c r="F20" s="38"/>
      <c r="G20" s="38"/>
      <c r="H20" s="61"/>
    </row>
    <row r="21" spans="1:8" ht="15" customHeight="1">
      <c r="A21" s="373" t="s">
        <v>46</v>
      </c>
      <c r="B21" s="374"/>
      <c r="C21" s="375"/>
      <c r="D21" s="20"/>
      <c r="E21" s="20"/>
      <c r="F21" s="20"/>
      <c r="G21" s="20"/>
      <c r="H21" s="96"/>
    </row>
    <row r="22" spans="1:8" ht="15" customHeight="1">
      <c r="A22" s="373" t="s">
        <v>47</v>
      </c>
      <c r="B22" s="374"/>
      <c r="C22" s="375"/>
      <c r="D22" s="39"/>
      <c r="E22" s="39"/>
      <c r="F22" s="39"/>
      <c r="G22" s="39"/>
      <c r="H22" s="97"/>
    </row>
    <row r="23" spans="1:8" ht="15" customHeight="1" thickBot="1">
      <c r="A23" s="62" t="s">
        <v>35</v>
      </c>
      <c r="B23" s="63"/>
      <c r="C23" s="63"/>
      <c r="D23" s="64"/>
      <c r="E23" s="64"/>
      <c r="F23" s="64"/>
      <c r="G23" s="64"/>
      <c r="H23" s="65"/>
    </row>
    <row r="24" spans="1:8" ht="15" customHeight="1">
      <c r="A24" s="2"/>
      <c r="B24" s="2"/>
      <c r="C24" s="2"/>
      <c r="D24" s="2"/>
      <c r="E24" s="2"/>
      <c r="F24" s="2"/>
      <c r="G24" s="2"/>
      <c r="H24" s="2"/>
    </row>
    <row r="25" spans="1:8" ht="15" customHeight="1" thickBot="1">
      <c r="A25" s="2"/>
      <c r="B25" s="2"/>
      <c r="C25" s="2"/>
      <c r="D25" s="2"/>
      <c r="E25" s="2"/>
      <c r="F25" s="2"/>
      <c r="G25" s="2"/>
      <c r="H25" s="2"/>
    </row>
    <row r="26" spans="1:8" ht="15" customHeight="1">
      <c r="A26" s="66" t="s">
        <v>27</v>
      </c>
      <c r="B26" s="67"/>
      <c r="C26" s="67"/>
      <c r="D26" s="67"/>
      <c r="E26" s="67"/>
      <c r="F26" s="67"/>
      <c r="G26" s="67"/>
      <c r="H26" s="68"/>
    </row>
    <row r="27" spans="1:8" ht="15" customHeight="1">
      <c r="A27" s="69"/>
      <c r="B27" s="40"/>
      <c r="C27" s="40"/>
      <c r="D27" s="40"/>
      <c r="E27" s="40"/>
      <c r="F27" s="40"/>
      <c r="G27" s="40"/>
      <c r="H27" s="70"/>
    </row>
    <row r="28" spans="1:8" ht="15" customHeight="1">
      <c r="A28" s="69"/>
      <c r="B28" s="40"/>
      <c r="C28" s="40"/>
      <c r="D28" s="40"/>
      <c r="E28" s="40"/>
      <c r="F28" s="40"/>
      <c r="G28" s="40"/>
      <c r="H28" s="70"/>
    </row>
    <row r="29" spans="1:8" ht="15" customHeight="1">
      <c r="A29" s="69"/>
      <c r="B29" s="40"/>
      <c r="C29" s="40"/>
      <c r="D29" s="40"/>
      <c r="E29" s="40"/>
      <c r="F29" s="40"/>
      <c r="G29" s="40"/>
      <c r="H29" s="70"/>
    </row>
    <row r="30" spans="1:8" ht="15" customHeight="1">
      <c r="A30" s="69"/>
      <c r="B30" s="40"/>
      <c r="C30" s="40"/>
      <c r="D30" s="40"/>
      <c r="E30" s="40"/>
      <c r="F30" s="40"/>
      <c r="G30" s="40"/>
      <c r="H30" s="70"/>
    </row>
    <row r="31" spans="1:8" ht="15" customHeight="1" thickBot="1">
      <c r="A31" s="71"/>
      <c r="B31" s="72"/>
      <c r="C31" s="72"/>
      <c r="D31" s="72"/>
      <c r="E31" s="72"/>
      <c r="F31" s="72"/>
      <c r="G31" s="72"/>
      <c r="H31" s="73"/>
    </row>
    <row r="32" spans="1:8" ht="15" customHeight="1">
      <c r="A32" s="2"/>
      <c r="B32" s="2"/>
      <c r="C32" s="2"/>
      <c r="D32" s="2"/>
      <c r="E32" s="2"/>
      <c r="F32" s="2"/>
      <c r="G32" s="2"/>
      <c r="H32" s="2"/>
    </row>
    <row r="33" spans="1:8" ht="15" customHeight="1">
      <c r="A33" s="2"/>
      <c r="B33" s="2"/>
      <c r="C33" s="2"/>
      <c r="D33" s="2"/>
      <c r="E33" s="2"/>
      <c r="F33" s="2"/>
      <c r="G33" s="2"/>
      <c r="H33" s="2"/>
    </row>
    <row r="34" spans="1:8" ht="15" customHeight="1">
      <c r="A34" s="33" t="s">
        <v>28</v>
      </c>
      <c r="B34" s="34"/>
      <c r="C34" s="34"/>
      <c r="D34" s="34"/>
      <c r="E34" s="34"/>
      <c r="F34" s="34"/>
      <c r="G34" s="34"/>
      <c r="H34" s="34"/>
    </row>
    <row r="35" spans="1:8" ht="15" customHeight="1">
      <c r="A35" s="372" t="s">
        <v>131</v>
      </c>
      <c r="B35" s="372"/>
      <c r="C35" s="372"/>
      <c r="D35" s="372"/>
      <c r="E35" s="372"/>
      <c r="F35" s="372"/>
      <c r="G35" s="372"/>
      <c r="H35" s="372"/>
    </row>
    <row r="36" spans="1:8" ht="15" customHeight="1">
      <c r="A36" s="379" t="s">
        <v>132</v>
      </c>
      <c r="B36" s="379"/>
      <c r="C36" s="379"/>
      <c r="D36" s="379"/>
      <c r="E36" s="379"/>
      <c r="F36" s="379"/>
      <c r="G36" s="379"/>
      <c r="H36" s="379"/>
    </row>
    <row r="37" spans="1:8" ht="15" customHeight="1">
      <c r="A37" s="379" t="s">
        <v>146</v>
      </c>
      <c r="B37" s="379"/>
      <c r="C37" s="379"/>
      <c r="D37" s="379"/>
      <c r="E37" s="379"/>
      <c r="F37" s="379"/>
      <c r="G37" s="379"/>
      <c r="H37" s="379"/>
    </row>
    <row r="38" spans="1:8" ht="15" customHeight="1">
      <c r="A38" s="372" t="s">
        <v>153</v>
      </c>
      <c r="B38" s="372"/>
      <c r="C38" s="372"/>
      <c r="D38" s="372"/>
      <c r="E38" s="372"/>
      <c r="F38" s="372"/>
      <c r="G38" s="372"/>
      <c r="H38" s="372"/>
    </row>
  </sheetData>
  <mergeCells count="22">
    <mergeCell ref="A38:H38"/>
    <mergeCell ref="A22:C22"/>
    <mergeCell ref="A12:C12"/>
    <mergeCell ref="A13:C13"/>
    <mergeCell ref="A35:H35"/>
    <mergeCell ref="A36:H36"/>
    <mergeCell ref="A37:H37"/>
    <mergeCell ref="A19:C19"/>
    <mergeCell ref="A21:C21"/>
    <mergeCell ref="A20:C20"/>
    <mergeCell ref="A14:C14"/>
    <mergeCell ref="A15:C15"/>
    <mergeCell ref="A16:C16"/>
    <mergeCell ref="A17:C17"/>
    <mergeCell ref="A18:C18"/>
    <mergeCell ref="C4:E4"/>
    <mergeCell ref="A9:C9"/>
    <mergeCell ref="D9:H9"/>
    <mergeCell ref="A11:C11"/>
    <mergeCell ref="C6:E6"/>
    <mergeCell ref="A10:C10"/>
    <mergeCell ref="C5:E5"/>
  </mergeCells>
  <printOptions horizontalCentered="1"/>
  <pageMargins left="0.7" right="0.7" top="0.75" bottom="0.75" header="0.3" footer="0.3"/>
  <pageSetup scale="88" orientation="portrait" r:id="rId1"/>
  <headerFooter>
    <oddFooter>&amp;R8/13</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F47"/>
  <sheetViews>
    <sheetView workbookViewId="0"/>
  </sheetViews>
  <sheetFormatPr defaultRowHeight="15" customHeight="1"/>
  <cols>
    <col min="1" max="1" width="36.7109375" customWidth="1"/>
    <col min="2" max="2" width="19.7109375" customWidth="1"/>
    <col min="3" max="3" width="25.7109375" customWidth="1"/>
    <col min="4" max="6" width="14.7109375" customWidth="1"/>
  </cols>
  <sheetData>
    <row r="1" spans="1:6" ht="15" customHeight="1">
      <c r="A1" s="125" t="s">
        <v>50</v>
      </c>
      <c r="B1" s="126"/>
      <c r="C1" s="126"/>
      <c r="D1" s="126"/>
      <c r="E1" s="126"/>
      <c r="F1" s="134" t="s">
        <v>148</v>
      </c>
    </row>
    <row r="2" spans="1:6" ht="15" customHeight="1">
      <c r="A2" s="125"/>
      <c r="B2" s="126"/>
      <c r="C2" s="126"/>
      <c r="D2" s="126"/>
      <c r="E2" s="126"/>
      <c r="F2" s="126"/>
    </row>
    <row r="3" spans="1:6" ht="15" customHeight="1" thickBot="1">
      <c r="A3" s="2"/>
      <c r="B3" s="2"/>
      <c r="C3" s="2"/>
      <c r="D3" s="2"/>
      <c r="E3" s="2"/>
      <c r="F3" s="2"/>
    </row>
    <row r="4" spans="1:6" ht="15" customHeight="1">
      <c r="A4" s="125" t="s">
        <v>1</v>
      </c>
      <c r="B4" s="380" t="s">
        <v>2</v>
      </c>
      <c r="C4" s="381"/>
      <c r="E4" s="126"/>
      <c r="F4" s="126"/>
    </row>
    <row r="5" spans="1:6" ht="15" customHeight="1">
      <c r="A5" s="125" t="s">
        <v>125</v>
      </c>
      <c r="B5" s="382" t="s">
        <v>126</v>
      </c>
      <c r="C5" s="383"/>
      <c r="E5" s="126"/>
      <c r="F5" s="126"/>
    </row>
    <row r="6" spans="1:6" ht="15" customHeight="1" thickBot="1">
      <c r="A6" s="125" t="s">
        <v>3</v>
      </c>
      <c r="B6" s="364" t="s">
        <v>30</v>
      </c>
      <c r="C6" s="366"/>
      <c r="E6" s="126"/>
      <c r="F6" s="126"/>
    </row>
    <row r="7" spans="1:6" ht="15" customHeight="1">
      <c r="A7" s="125"/>
      <c r="B7" s="126"/>
      <c r="C7" s="126"/>
      <c r="E7" s="126"/>
      <c r="F7" s="126"/>
    </row>
    <row r="8" spans="1:6" ht="15" customHeight="1" thickBot="1">
      <c r="A8" s="125"/>
      <c r="B8" s="126"/>
      <c r="C8" s="126"/>
      <c r="E8" s="126"/>
      <c r="F8" s="126"/>
    </row>
    <row r="9" spans="1:6" ht="15" customHeight="1" thickBot="1">
      <c r="A9" s="125" t="s">
        <v>51</v>
      </c>
      <c r="B9" s="384" t="s">
        <v>52</v>
      </c>
      <c r="C9" s="385"/>
      <c r="E9" s="127"/>
      <c r="F9" s="127"/>
    </row>
    <row r="10" spans="1:6" ht="15" customHeight="1">
      <c r="A10" s="126"/>
      <c r="B10" s="126"/>
      <c r="C10" s="128"/>
      <c r="D10" s="129"/>
      <c r="E10" s="129"/>
      <c r="F10" s="129"/>
    </row>
    <row r="11" spans="1:6" ht="15" customHeight="1" thickBot="1">
      <c r="A11" s="126"/>
      <c r="B11" s="126"/>
      <c r="C11" s="129"/>
      <c r="D11" s="129"/>
      <c r="E11" s="129"/>
      <c r="F11" s="129"/>
    </row>
    <row r="12" spans="1:6" ht="15" customHeight="1">
      <c r="A12" s="143" t="s">
        <v>53</v>
      </c>
      <c r="B12" s="386" t="s">
        <v>32</v>
      </c>
      <c r="C12" s="144" t="s">
        <v>54</v>
      </c>
      <c r="D12" s="386" t="s">
        <v>55</v>
      </c>
      <c r="E12" s="386" t="s">
        <v>56</v>
      </c>
      <c r="F12" s="395" t="s">
        <v>57</v>
      </c>
    </row>
    <row r="13" spans="1:6" ht="15" customHeight="1">
      <c r="A13" s="145" t="s">
        <v>34</v>
      </c>
      <c r="B13" s="387"/>
      <c r="C13" s="130" t="s">
        <v>58</v>
      </c>
      <c r="D13" s="387"/>
      <c r="E13" s="387"/>
      <c r="F13" s="396"/>
    </row>
    <row r="14" spans="1:6" ht="15" customHeight="1">
      <c r="A14" s="153" t="s">
        <v>112</v>
      </c>
      <c r="B14" s="131"/>
      <c r="C14" s="132"/>
      <c r="D14" s="132"/>
      <c r="E14" s="132"/>
      <c r="F14" s="146"/>
    </row>
    <row r="15" spans="1:6" ht="15" customHeight="1">
      <c r="A15" s="153" t="s">
        <v>113</v>
      </c>
      <c r="B15" s="131"/>
      <c r="C15" s="132"/>
      <c r="D15" s="132"/>
      <c r="E15" s="132"/>
      <c r="F15" s="146"/>
    </row>
    <row r="16" spans="1:6" ht="15" customHeight="1">
      <c r="A16" s="153" t="s">
        <v>114</v>
      </c>
      <c r="B16" s="131"/>
      <c r="C16" s="132"/>
      <c r="D16" s="132"/>
      <c r="E16" s="132"/>
      <c r="F16" s="146"/>
    </row>
    <row r="17" spans="1:6" ht="15" customHeight="1">
      <c r="A17" s="153" t="s">
        <v>115</v>
      </c>
      <c r="B17" s="131"/>
      <c r="C17" s="132"/>
      <c r="D17" s="132"/>
      <c r="E17" s="132"/>
      <c r="F17" s="146"/>
    </row>
    <row r="18" spans="1:6" ht="15" customHeight="1">
      <c r="A18" s="153" t="s">
        <v>116</v>
      </c>
      <c r="B18" s="131"/>
      <c r="C18" s="132"/>
      <c r="D18" s="132"/>
      <c r="E18" s="132"/>
      <c r="F18" s="146"/>
    </row>
    <row r="19" spans="1:6" ht="15" customHeight="1">
      <c r="A19" s="153" t="s">
        <v>117</v>
      </c>
      <c r="B19" s="131"/>
      <c r="C19" s="132"/>
      <c r="D19" s="132"/>
      <c r="E19" s="132"/>
      <c r="F19" s="146"/>
    </row>
    <row r="20" spans="1:6" ht="15" customHeight="1">
      <c r="A20" s="153" t="s">
        <v>118</v>
      </c>
      <c r="B20" s="131"/>
      <c r="C20" s="132"/>
      <c r="D20" s="132"/>
      <c r="E20" s="132"/>
      <c r="F20" s="146"/>
    </row>
    <row r="21" spans="1:6" ht="15" customHeight="1">
      <c r="A21" s="153" t="s">
        <v>119</v>
      </c>
      <c r="B21" s="131"/>
      <c r="C21" s="132"/>
      <c r="D21" s="132"/>
      <c r="E21" s="132"/>
      <c r="F21" s="146"/>
    </row>
    <row r="22" spans="1:6" ht="15" customHeight="1">
      <c r="A22" s="153" t="s">
        <v>45</v>
      </c>
      <c r="B22" s="131"/>
      <c r="C22" s="132"/>
      <c r="D22" s="132"/>
      <c r="E22" s="132"/>
      <c r="F22" s="147"/>
    </row>
    <row r="23" spans="1:6" ht="15" customHeight="1" thickBot="1">
      <c r="A23" s="148" t="s">
        <v>17</v>
      </c>
      <c r="B23" s="149"/>
      <c r="C23" s="150"/>
      <c r="D23" s="150"/>
      <c r="E23" s="151"/>
      <c r="F23" s="152"/>
    </row>
    <row r="24" spans="1:6" ht="15" customHeight="1">
      <c r="A24" s="2"/>
      <c r="B24" s="2"/>
      <c r="C24" s="2"/>
      <c r="D24" s="2"/>
      <c r="E24" s="2"/>
      <c r="F24" s="2"/>
    </row>
    <row r="25" spans="1:6" ht="15" customHeight="1" thickBot="1">
      <c r="A25" s="2"/>
      <c r="B25" s="2"/>
      <c r="C25" s="2"/>
      <c r="D25" s="2"/>
      <c r="E25" s="2"/>
      <c r="F25" s="2"/>
    </row>
    <row r="26" spans="1:6" ht="15" customHeight="1">
      <c r="A26" s="135" t="s">
        <v>27</v>
      </c>
      <c r="B26" s="136"/>
      <c r="C26" s="136"/>
      <c r="D26" s="136"/>
      <c r="E26" s="136"/>
      <c r="F26" s="137"/>
    </row>
    <row r="27" spans="1:6" ht="15" customHeight="1">
      <c r="A27" s="138"/>
      <c r="B27" s="133"/>
      <c r="C27" s="133"/>
      <c r="D27" s="133"/>
      <c r="E27" s="133"/>
      <c r="F27" s="139"/>
    </row>
    <row r="28" spans="1:6" ht="15" customHeight="1">
      <c r="A28" s="138"/>
      <c r="B28" s="133"/>
      <c r="C28" s="133"/>
      <c r="D28" s="133"/>
      <c r="E28" s="133"/>
      <c r="F28" s="139"/>
    </row>
    <row r="29" spans="1:6" ht="15" customHeight="1">
      <c r="A29" s="138"/>
      <c r="B29" s="133"/>
      <c r="C29" s="133"/>
      <c r="D29" s="133"/>
      <c r="E29" s="133"/>
      <c r="F29" s="139"/>
    </row>
    <row r="30" spans="1:6" ht="15" customHeight="1">
      <c r="A30" s="138"/>
      <c r="B30" s="133"/>
      <c r="C30" s="133"/>
      <c r="D30" s="133"/>
      <c r="E30" s="133"/>
      <c r="F30" s="139"/>
    </row>
    <row r="31" spans="1:6" ht="15" customHeight="1" thickBot="1">
      <c r="A31" s="140"/>
      <c r="B31" s="141"/>
      <c r="C31" s="141"/>
      <c r="D31" s="141"/>
      <c r="E31" s="141"/>
      <c r="F31" s="142"/>
    </row>
    <row r="32" spans="1:6" ht="15" customHeight="1">
      <c r="A32" s="2"/>
      <c r="B32" s="2"/>
      <c r="C32" s="2"/>
      <c r="D32" s="2"/>
      <c r="E32" s="2"/>
      <c r="F32" s="2"/>
    </row>
    <row r="33" spans="1:6" ht="15" customHeight="1">
      <c r="A33" s="2"/>
      <c r="B33" s="2"/>
      <c r="C33" s="2"/>
      <c r="D33" s="2"/>
      <c r="E33" s="2"/>
      <c r="F33" s="2"/>
    </row>
    <row r="34" spans="1:6" ht="15" customHeight="1">
      <c r="A34" s="125" t="s">
        <v>28</v>
      </c>
      <c r="B34" s="126"/>
      <c r="C34" s="126"/>
      <c r="D34" s="126"/>
      <c r="E34" s="126"/>
      <c r="F34" s="126"/>
    </row>
    <row r="35" spans="1:6" ht="15" customHeight="1">
      <c r="A35" s="390" t="s">
        <v>133</v>
      </c>
      <c r="B35" s="390"/>
      <c r="C35" s="390"/>
      <c r="D35" s="390"/>
      <c r="E35" s="390"/>
      <c r="F35" s="390"/>
    </row>
    <row r="36" spans="1:6" ht="15" customHeight="1">
      <c r="A36" s="390" t="s">
        <v>149</v>
      </c>
      <c r="B36" s="390"/>
      <c r="C36" s="390"/>
      <c r="D36" s="390"/>
      <c r="E36" s="390"/>
      <c r="F36" s="390"/>
    </row>
    <row r="37" spans="1:6" ht="15" customHeight="1">
      <c r="A37" s="391" t="s">
        <v>59</v>
      </c>
      <c r="B37" s="391"/>
      <c r="C37" s="391"/>
      <c r="D37" s="391"/>
      <c r="E37" s="391"/>
      <c r="F37" s="391"/>
    </row>
    <row r="38" spans="1:6" ht="15" customHeight="1">
      <c r="A38" s="390" t="s">
        <v>60</v>
      </c>
      <c r="B38" s="390"/>
      <c r="C38" s="390"/>
      <c r="D38" s="390"/>
      <c r="E38" s="390"/>
      <c r="F38" s="390"/>
    </row>
    <row r="39" spans="1:6" ht="15" customHeight="1">
      <c r="A39" s="397" t="s">
        <v>87</v>
      </c>
      <c r="B39" s="397"/>
      <c r="C39" s="397"/>
      <c r="D39" s="397"/>
      <c r="E39" s="397"/>
      <c r="F39" s="397"/>
    </row>
    <row r="40" spans="1:6" ht="30" customHeight="1">
      <c r="A40" s="394" t="s">
        <v>61</v>
      </c>
      <c r="B40" s="394"/>
      <c r="C40" s="394"/>
      <c r="D40" s="394"/>
      <c r="E40" s="394"/>
      <c r="F40" s="394"/>
    </row>
    <row r="41" spans="1:6" s="238" customFormat="1" ht="45" customHeight="1">
      <c r="A41" s="394" t="s">
        <v>190</v>
      </c>
      <c r="B41" s="394"/>
      <c r="C41" s="394"/>
      <c r="D41" s="394"/>
      <c r="E41" s="394"/>
      <c r="F41" s="394"/>
    </row>
    <row r="42" spans="1:6" s="238" customFormat="1" ht="45" customHeight="1">
      <c r="A42" s="393" t="s">
        <v>191</v>
      </c>
      <c r="B42" s="393"/>
      <c r="C42" s="393"/>
      <c r="D42" s="393"/>
      <c r="E42" s="393"/>
      <c r="F42" s="393"/>
    </row>
    <row r="43" spans="1:6" s="238" customFormat="1" ht="15" customHeight="1">
      <c r="A43" s="389" t="s">
        <v>158</v>
      </c>
      <c r="B43" s="389"/>
      <c r="C43" s="389"/>
      <c r="D43" s="389"/>
      <c r="E43" s="389"/>
      <c r="F43" s="389"/>
    </row>
    <row r="44" spans="1:6" s="235" customFormat="1" ht="45" customHeight="1">
      <c r="A44" s="389" t="s">
        <v>159</v>
      </c>
      <c r="B44" s="389"/>
      <c r="C44" s="389"/>
      <c r="D44" s="389"/>
      <c r="E44" s="389"/>
      <c r="F44" s="389"/>
    </row>
    <row r="45" spans="1:6" s="238" customFormat="1" ht="15" customHeight="1">
      <c r="A45" s="388" t="s">
        <v>161</v>
      </c>
      <c r="B45" s="388"/>
      <c r="C45" s="388"/>
      <c r="D45" s="388"/>
      <c r="E45" s="388"/>
      <c r="F45" s="388"/>
    </row>
    <row r="46" spans="1:6" ht="45" customHeight="1">
      <c r="A46" s="392" t="s">
        <v>192</v>
      </c>
      <c r="B46" s="392"/>
      <c r="C46" s="392"/>
      <c r="D46" s="392"/>
      <c r="E46" s="392"/>
      <c r="F46" s="392"/>
    </row>
    <row r="47" spans="1:6" ht="15" customHeight="1">
      <c r="A47" s="372" t="s">
        <v>160</v>
      </c>
      <c r="B47" s="372"/>
      <c r="C47" s="372"/>
      <c r="D47" s="372"/>
      <c r="E47" s="372"/>
      <c r="F47" s="372"/>
    </row>
  </sheetData>
  <mergeCells count="21">
    <mergeCell ref="E12:E13"/>
    <mergeCell ref="F12:F13"/>
    <mergeCell ref="A40:F40"/>
    <mergeCell ref="D12:D13"/>
    <mergeCell ref="A38:F38"/>
    <mergeCell ref="A39:F39"/>
    <mergeCell ref="A47:F47"/>
    <mergeCell ref="A45:F45"/>
    <mergeCell ref="A44:F44"/>
    <mergeCell ref="A35:F35"/>
    <mergeCell ref="A36:F36"/>
    <mergeCell ref="A37:F37"/>
    <mergeCell ref="A46:F46"/>
    <mergeCell ref="A42:F42"/>
    <mergeCell ref="A43:F43"/>
    <mergeCell ref="A41:F41"/>
    <mergeCell ref="B4:C4"/>
    <mergeCell ref="B5:C5"/>
    <mergeCell ref="B6:C6"/>
    <mergeCell ref="B9:C9"/>
    <mergeCell ref="B12:B13"/>
  </mergeCells>
  <printOptions horizontalCentered="1"/>
  <pageMargins left="0.7" right="0.7" top="0.75" bottom="0.75" header="0.3" footer="0.3"/>
  <pageSetup scale="72" orientation="portrait" r:id="rId1"/>
  <headerFooter>
    <oddFooter>&amp;R8/13</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M39"/>
  <sheetViews>
    <sheetView workbookViewId="0"/>
  </sheetViews>
  <sheetFormatPr defaultRowHeight="15" customHeight="1"/>
  <cols>
    <col min="1" max="9" width="11.5703125" customWidth="1"/>
  </cols>
  <sheetData>
    <row r="1" spans="1:13" ht="15" customHeight="1">
      <c r="A1" s="199" t="s">
        <v>122</v>
      </c>
      <c r="B1" s="200"/>
      <c r="C1" s="200"/>
      <c r="D1" s="200"/>
      <c r="E1" s="200"/>
      <c r="F1" s="200"/>
      <c r="G1" s="200"/>
      <c r="H1" s="200"/>
      <c r="I1" s="206" t="s">
        <v>156</v>
      </c>
      <c r="J1" s="200"/>
      <c r="K1" s="200"/>
      <c r="L1" s="200"/>
      <c r="M1" s="200"/>
    </row>
    <row r="2" spans="1:13" ht="15" customHeight="1" thickBot="1">
      <c r="A2" s="200"/>
      <c r="B2" s="200"/>
      <c r="C2" s="200"/>
      <c r="D2" s="200"/>
      <c r="E2" s="200"/>
      <c r="F2" s="200"/>
      <c r="G2" s="200"/>
      <c r="H2" s="200"/>
      <c r="I2" s="200"/>
      <c r="J2" s="200"/>
      <c r="K2" s="200"/>
      <c r="L2" s="200"/>
      <c r="M2" s="201"/>
    </row>
    <row r="3" spans="1:13" ht="15" customHeight="1">
      <c r="A3" s="199" t="s">
        <v>1</v>
      </c>
      <c r="B3" s="200"/>
      <c r="C3" s="404" t="s">
        <v>2</v>
      </c>
      <c r="D3" s="405"/>
      <c r="E3" s="406"/>
      <c r="G3" s="200"/>
      <c r="H3" s="200"/>
      <c r="I3" s="200"/>
      <c r="J3" s="200"/>
      <c r="K3" s="200"/>
      <c r="L3" s="200"/>
      <c r="M3" s="201"/>
    </row>
    <row r="4" spans="1:13" ht="15" customHeight="1">
      <c r="A4" s="199" t="s">
        <v>125</v>
      </c>
      <c r="B4" s="200"/>
      <c r="C4" s="407" t="s">
        <v>126</v>
      </c>
      <c r="D4" s="408"/>
      <c r="E4" s="409"/>
      <c r="G4" s="200"/>
      <c r="H4" s="200"/>
      <c r="I4" s="200"/>
      <c r="J4" s="200"/>
      <c r="K4" s="200"/>
      <c r="L4" s="200"/>
      <c r="M4" s="201"/>
    </row>
    <row r="5" spans="1:13" ht="15" customHeight="1" thickBot="1">
      <c r="A5" s="199" t="s">
        <v>3</v>
      </c>
      <c r="B5" s="200"/>
      <c r="C5" s="410" t="s">
        <v>30</v>
      </c>
      <c r="D5" s="411"/>
      <c r="E5" s="412"/>
      <c r="G5" s="200"/>
      <c r="H5" s="200"/>
      <c r="I5" s="200"/>
      <c r="J5" s="200"/>
      <c r="K5" s="200"/>
      <c r="L5" s="200"/>
      <c r="M5" s="201"/>
    </row>
    <row r="6" spans="1:13" ht="15" customHeight="1">
      <c r="A6" s="200"/>
      <c r="B6" s="200"/>
      <c r="C6" s="200"/>
      <c r="D6" s="200"/>
      <c r="E6" s="200"/>
      <c r="F6" s="200"/>
      <c r="G6" s="200"/>
      <c r="H6" s="200"/>
      <c r="I6" s="200"/>
      <c r="J6" s="200"/>
      <c r="K6" s="200"/>
      <c r="L6" s="200"/>
      <c r="M6" s="201"/>
    </row>
    <row r="7" spans="1:13" ht="15" customHeight="1" thickBot="1">
      <c r="A7" s="200"/>
      <c r="B7" s="200"/>
      <c r="C7" s="200"/>
      <c r="D7" s="200"/>
      <c r="E7" s="200"/>
      <c r="F7" s="200"/>
      <c r="G7" s="200"/>
      <c r="H7" s="200"/>
      <c r="I7" s="200"/>
      <c r="J7" s="200"/>
      <c r="K7" s="200"/>
      <c r="L7" s="200"/>
      <c r="M7" s="201"/>
    </row>
    <row r="8" spans="1:13" ht="15" customHeight="1">
      <c r="A8" s="400" t="s">
        <v>90</v>
      </c>
      <c r="B8" s="401"/>
      <c r="C8" s="217" t="s">
        <v>91</v>
      </c>
      <c r="D8" s="218" t="s">
        <v>92</v>
      </c>
      <c r="E8" s="224"/>
      <c r="F8" s="400" t="s">
        <v>90</v>
      </c>
      <c r="G8" s="401"/>
      <c r="H8" s="217" t="s">
        <v>91</v>
      </c>
      <c r="I8" s="218" t="s">
        <v>92</v>
      </c>
      <c r="J8" s="200"/>
      <c r="K8" s="200"/>
      <c r="L8" s="200"/>
      <c r="M8" s="201"/>
    </row>
    <row r="9" spans="1:13" ht="15" customHeight="1">
      <c r="A9" s="227">
        <v>0.251</v>
      </c>
      <c r="B9" s="233" t="s">
        <v>93</v>
      </c>
      <c r="C9" s="207"/>
      <c r="D9" s="197" t="e">
        <f>C9/$C$22</f>
        <v>#DIV/0!</v>
      </c>
      <c r="E9" s="205"/>
      <c r="F9" s="230">
        <v>400.01</v>
      </c>
      <c r="G9" s="231" t="s">
        <v>97</v>
      </c>
      <c r="H9" s="202"/>
      <c r="I9" s="197" t="e">
        <f>H9/$H$22</f>
        <v>#DIV/0!</v>
      </c>
      <c r="J9" s="200"/>
      <c r="K9" s="200"/>
      <c r="L9" s="200"/>
      <c r="M9" s="201"/>
    </row>
    <row r="10" spans="1:13" ht="15" customHeight="1">
      <c r="A10" s="228">
        <v>0.20100000000000001</v>
      </c>
      <c r="B10" s="229">
        <v>0.25</v>
      </c>
      <c r="C10" s="207"/>
      <c r="D10" s="197" t="e">
        <f t="shared" ref="D10:D21" si="0">C10/$C$22</f>
        <v>#DIV/0!</v>
      </c>
      <c r="E10" s="205"/>
      <c r="F10" s="230">
        <v>300.01</v>
      </c>
      <c r="G10" s="232">
        <v>400</v>
      </c>
      <c r="H10" s="202"/>
      <c r="I10" s="197" t="e">
        <f t="shared" ref="I10:I22" si="1">H10/$H$22</f>
        <v>#DIV/0!</v>
      </c>
      <c r="J10" s="200"/>
      <c r="K10" s="200"/>
      <c r="L10" s="200"/>
      <c r="M10" s="201"/>
    </row>
    <row r="11" spans="1:13" ht="15" customHeight="1">
      <c r="A11" s="228">
        <v>0.151</v>
      </c>
      <c r="B11" s="229">
        <v>0.2</v>
      </c>
      <c r="C11" s="207"/>
      <c r="D11" s="197" t="e">
        <f t="shared" si="0"/>
        <v>#DIV/0!</v>
      </c>
      <c r="E11" s="205"/>
      <c r="F11" s="230">
        <v>200.01</v>
      </c>
      <c r="G11" s="232">
        <v>300</v>
      </c>
      <c r="H11" s="202"/>
      <c r="I11" s="197" t="e">
        <f t="shared" si="1"/>
        <v>#DIV/0!</v>
      </c>
      <c r="J11" s="200"/>
      <c r="K11" s="200"/>
      <c r="L11" s="200"/>
      <c r="M11" s="201"/>
    </row>
    <row r="12" spans="1:13" ht="15" customHeight="1">
      <c r="A12" s="228">
        <v>0.10100000000000001</v>
      </c>
      <c r="B12" s="229">
        <v>0.15</v>
      </c>
      <c r="C12" s="207"/>
      <c r="D12" s="197" t="e">
        <f t="shared" si="0"/>
        <v>#DIV/0!</v>
      </c>
      <c r="E12" s="205"/>
      <c r="F12" s="230">
        <v>100.01</v>
      </c>
      <c r="G12" s="232">
        <v>200</v>
      </c>
      <c r="H12" s="202"/>
      <c r="I12" s="197" t="e">
        <f t="shared" si="1"/>
        <v>#DIV/0!</v>
      </c>
      <c r="J12" s="200"/>
      <c r="K12" s="200"/>
      <c r="L12" s="200"/>
      <c r="M12" s="201"/>
    </row>
    <row r="13" spans="1:13" ht="15" customHeight="1">
      <c r="A13" s="228">
        <v>5.0999999999999997E-2</v>
      </c>
      <c r="B13" s="229">
        <v>0.1</v>
      </c>
      <c r="C13" s="207"/>
      <c r="D13" s="197" t="e">
        <f t="shared" si="0"/>
        <v>#DIV/0!</v>
      </c>
      <c r="E13" s="205"/>
      <c r="F13" s="230">
        <v>50.01</v>
      </c>
      <c r="G13" s="232">
        <v>100</v>
      </c>
      <c r="H13" s="202"/>
      <c r="I13" s="197" t="e">
        <f t="shared" si="1"/>
        <v>#DIV/0!</v>
      </c>
      <c r="J13" s="200"/>
      <c r="K13" s="200"/>
      <c r="L13" s="200"/>
      <c r="M13" s="201"/>
    </row>
    <row r="14" spans="1:13" ht="15" customHeight="1">
      <c r="A14" s="228">
        <v>1E-3</v>
      </c>
      <c r="B14" s="229">
        <v>0.05</v>
      </c>
      <c r="C14" s="207"/>
      <c r="D14" s="197" t="e">
        <f t="shared" si="0"/>
        <v>#DIV/0!</v>
      </c>
      <c r="E14" s="205"/>
      <c r="F14" s="230">
        <v>0.01</v>
      </c>
      <c r="G14" s="232">
        <v>50</v>
      </c>
      <c r="H14" s="202"/>
      <c r="I14" s="197" t="e">
        <f t="shared" si="1"/>
        <v>#DIV/0!</v>
      </c>
      <c r="J14" s="200"/>
      <c r="K14" s="200"/>
      <c r="L14" s="200"/>
      <c r="M14" s="201"/>
    </row>
    <row r="15" spans="1:13" ht="15" customHeight="1">
      <c r="A15" s="402" t="s">
        <v>94</v>
      </c>
      <c r="B15" s="403"/>
      <c r="C15" s="207"/>
      <c r="D15" s="197" t="e">
        <f t="shared" si="0"/>
        <v>#DIV/0!</v>
      </c>
      <c r="E15" s="205"/>
      <c r="F15" s="398" t="s">
        <v>94</v>
      </c>
      <c r="G15" s="399"/>
      <c r="H15" s="202"/>
      <c r="I15" s="197" t="e">
        <f t="shared" si="1"/>
        <v>#DIV/0!</v>
      </c>
      <c r="J15" s="200"/>
      <c r="K15" s="200"/>
      <c r="L15" s="200"/>
      <c r="M15" s="201"/>
    </row>
    <row r="16" spans="1:13" ht="15" customHeight="1">
      <c r="A16" s="228">
        <v>-1E-3</v>
      </c>
      <c r="B16" s="229">
        <v>-0.05</v>
      </c>
      <c r="C16" s="207"/>
      <c r="D16" s="197" t="e">
        <f t="shared" si="0"/>
        <v>#DIV/0!</v>
      </c>
      <c r="E16" s="205"/>
      <c r="F16" s="230">
        <v>-0.01</v>
      </c>
      <c r="G16" s="232">
        <v>-50</v>
      </c>
      <c r="H16" s="202"/>
      <c r="I16" s="197" t="e">
        <f t="shared" si="1"/>
        <v>#DIV/0!</v>
      </c>
      <c r="J16" s="200"/>
      <c r="K16" s="200"/>
      <c r="L16" s="200"/>
      <c r="M16" s="201"/>
    </row>
    <row r="17" spans="1:13" ht="15" customHeight="1">
      <c r="A17" s="228">
        <v>-5.0999999999999997E-2</v>
      </c>
      <c r="B17" s="229">
        <v>-0.1</v>
      </c>
      <c r="C17" s="207"/>
      <c r="D17" s="197" t="e">
        <f t="shared" si="0"/>
        <v>#DIV/0!</v>
      </c>
      <c r="E17" s="205"/>
      <c r="F17" s="230">
        <v>-50.01</v>
      </c>
      <c r="G17" s="232">
        <v>-100</v>
      </c>
      <c r="H17" s="202"/>
      <c r="I17" s="197" t="e">
        <f t="shared" si="1"/>
        <v>#DIV/0!</v>
      </c>
      <c r="J17" s="200"/>
      <c r="K17" s="200"/>
      <c r="L17" s="200"/>
      <c r="M17" s="201"/>
    </row>
    <row r="18" spans="1:13" ht="15" customHeight="1">
      <c r="A18" s="228">
        <v>-0.10100000000000001</v>
      </c>
      <c r="B18" s="229">
        <v>-0.15</v>
      </c>
      <c r="C18" s="207"/>
      <c r="D18" s="197" t="e">
        <f t="shared" si="0"/>
        <v>#DIV/0!</v>
      </c>
      <c r="E18" s="205"/>
      <c r="F18" s="230">
        <v>-100.01</v>
      </c>
      <c r="G18" s="232">
        <v>-200</v>
      </c>
      <c r="H18" s="202"/>
      <c r="I18" s="197" t="e">
        <f t="shared" si="1"/>
        <v>#DIV/0!</v>
      </c>
      <c r="J18" s="200"/>
      <c r="K18" s="200"/>
      <c r="L18" s="200"/>
      <c r="M18" s="201"/>
    </row>
    <row r="19" spans="1:13" ht="15" customHeight="1">
      <c r="A19" s="228">
        <v>-0.151</v>
      </c>
      <c r="B19" s="229">
        <v>-0.2</v>
      </c>
      <c r="C19" s="207"/>
      <c r="D19" s="197" t="e">
        <f t="shared" si="0"/>
        <v>#DIV/0!</v>
      </c>
      <c r="E19" s="205"/>
      <c r="F19" s="230">
        <v>-200.01</v>
      </c>
      <c r="G19" s="232">
        <v>-300</v>
      </c>
      <c r="H19" s="202"/>
      <c r="I19" s="197" t="e">
        <f t="shared" si="1"/>
        <v>#DIV/0!</v>
      </c>
      <c r="J19" s="200"/>
      <c r="K19" s="200"/>
      <c r="L19" s="200"/>
      <c r="M19" s="201"/>
    </row>
    <row r="20" spans="1:13" ht="15" customHeight="1">
      <c r="A20" s="228">
        <v>-0.20100000000000001</v>
      </c>
      <c r="B20" s="229">
        <v>-0.25</v>
      </c>
      <c r="C20" s="207"/>
      <c r="D20" s="197" t="e">
        <f t="shared" si="0"/>
        <v>#DIV/0!</v>
      </c>
      <c r="E20" s="205"/>
      <c r="F20" s="230">
        <v>-300.01</v>
      </c>
      <c r="G20" s="232">
        <v>-400</v>
      </c>
      <c r="H20" s="202"/>
      <c r="I20" s="197" t="e">
        <f t="shared" si="1"/>
        <v>#DIV/0!</v>
      </c>
      <c r="J20" s="200"/>
      <c r="K20" s="200"/>
      <c r="L20" s="200"/>
      <c r="M20" s="201"/>
    </row>
    <row r="21" spans="1:13" ht="15" customHeight="1">
      <c r="A21" s="228">
        <v>-0.251</v>
      </c>
      <c r="B21" s="234" t="s">
        <v>98</v>
      </c>
      <c r="C21" s="207"/>
      <c r="D21" s="197" t="e">
        <f t="shared" si="0"/>
        <v>#DIV/0!</v>
      </c>
      <c r="E21" s="205"/>
      <c r="F21" s="230">
        <v>-400.01</v>
      </c>
      <c r="G21" s="231" t="s">
        <v>96</v>
      </c>
      <c r="H21" s="202"/>
      <c r="I21" s="197" t="e">
        <f t="shared" si="1"/>
        <v>#DIV/0!</v>
      </c>
      <c r="J21" s="200"/>
      <c r="K21" s="200"/>
      <c r="L21" s="200"/>
      <c r="M21" s="201"/>
    </row>
    <row r="22" spans="1:13" ht="15" customHeight="1" thickBot="1">
      <c r="A22" s="219"/>
      <c r="B22" s="220" t="s">
        <v>95</v>
      </c>
      <c r="C22" s="221">
        <f>SUM(C9:C21)</f>
        <v>0</v>
      </c>
      <c r="D22" s="223" t="e">
        <f>SUM(D9:D21)</f>
        <v>#DIV/0!</v>
      </c>
      <c r="E22" s="205"/>
      <c r="F22" s="219"/>
      <c r="G22" s="220" t="s">
        <v>95</v>
      </c>
      <c r="H22" s="222">
        <f>SUM(H9:H21)</f>
        <v>0</v>
      </c>
      <c r="I22" s="223" t="e">
        <f t="shared" si="1"/>
        <v>#DIV/0!</v>
      </c>
      <c r="J22" s="200"/>
      <c r="K22" s="200"/>
      <c r="L22" s="200"/>
      <c r="M22" s="201"/>
    </row>
    <row r="23" spans="1:13" ht="15" customHeight="1">
      <c r="A23" s="200"/>
      <c r="B23" s="200"/>
      <c r="C23" s="200"/>
      <c r="D23" s="200"/>
      <c r="E23" s="200"/>
      <c r="F23" s="200"/>
      <c r="G23" s="200"/>
      <c r="H23" s="200"/>
      <c r="I23" s="200"/>
      <c r="J23" s="200"/>
      <c r="K23" s="200"/>
      <c r="L23" s="200"/>
      <c r="M23" s="201"/>
    </row>
    <row r="24" spans="1:13" ht="15" customHeight="1" thickBot="1">
      <c r="A24" s="203"/>
      <c r="B24" s="204"/>
      <c r="C24" s="200"/>
      <c r="D24" s="200"/>
      <c r="E24" s="200"/>
      <c r="F24" s="200"/>
      <c r="G24" s="200"/>
      <c r="H24" s="200"/>
      <c r="I24" s="200"/>
      <c r="J24" s="200"/>
      <c r="K24" s="200"/>
      <c r="L24" s="200"/>
      <c r="M24" s="201"/>
    </row>
    <row r="25" spans="1:13" ht="15" customHeight="1">
      <c r="A25" s="208" t="s">
        <v>27</v>
      </c>
      <c r="B25" s="209"/>
      <c r="C25" s="209"/>
      <c r="D25" s="209"/>
      <c r="E25" s="209"/>
      <c r="F25" s="209"/>
      <c r="G25" s="209"/>
      <c r="H25" s="209"/>
      <c r="I25" s="210"/>
      <c r="J25" s="200"/>
      <c r="K25" s="200"/>
      <c r="L25" s="200"/>
      <c r="M25" s="201"/>
    </row>
    <row r="26" spans="1:13" ht="15" customHeight="1">
      <c r="A26" s="211"/>
      <c r="B26" s="205"/>
      <c r="C26" s="205"/>
      <c r="D26" s="205"/>
      <c r="E26" s="205"/>
      <c r="F26" s="205"/>
      <c r="G26" s="205"/>
      <c r="H26" s="205"/>
      <c r="I26" s="212"/>
      <c r="J26" s="200"/>
      <c r="K26" s="200"/>
      <c r="L26" s="200"/>
      <c r="M26" s="201"/>
    </row>
    <row r="27" spans="1:13" ht="15" customHeight="1">
      <c r="A27" s="211"/>
      <c r="B27" s="205"/>
      <c r="C27" s="205"/>
      <c r="D27" s="205"/>
      <c r="E27" s="205"/>
      <c r="F27" s="205"/>
      <c r="G27" s="205"/>
      <c r="H27" s="205"/>
      <c r="I27" s="212"/>
      <c r="J27" s="200"/>
      <c r="K27" s="200"/>
      <c r="L27" s="200"/>
      <c r="M27" s="201"/>
    </row>
    <row r="28" spans="1:13" ht="15" customHeight="1">
      <c r="A28" s="213"/>
      <c r="B28" s="205"/>
      <c r="C28" s="205"/>
      <c r="D28" s="205"/>
      <c r="E28" s="205"/>
      <c r="F28" s="205"/>
      <c r="G28" s="205"/>
      <c r="H28" s="205"/>
      <c r="I28" s="212"/>
      <c r="J28" s="200"/>
      <c r="K28" s="200"/>
      <c r="L28" s="200"/>
      <c r="M28" s="201"/>
    </row>
    <row r="29" spans="1:13" ht="15" customHeight="1">
      <c r="A29" s="211"/>
      <c r="B29" s="205"/>
      <c r="C29" s="205"/>
      <c r="D29" s="205"/>
      <c r="E29" s="205"/>
      <c r="F29" s="205"/>
      <c r="G29" s="205"/>
      <c r="H29" s="205"/>
      <c r="I29" s="212"/>
      <c r="J29" s="200"/>
      <c r="K29" s="200"/>
      <c r="L29" s="200"/>
      <c r="M29" s="201"/>
    </row>
    <row r="30" spans="1:13" ht="15" customHeight="1" thickBot="1">
      <c r="A30" s="214"/>
      <c r="B30" s="215"/>
      <c r="C30" s="215"/>
      <c r="D30" s="215"/>
      <c r="E30" s="215"/>
      <c r="F30" s="215"/>
      <c r="G30" s="215"/>
      <c r="H30" s="215"/>
      <c r="I30" s="216"/>
      <c r="J30" s="200"/>
      <c r="K30" s="200"/>
      <c r="L30" s="200"/>
      <c r="M30" s="201"/>
    </row>
    <row r="31" spans="1:13" ht="15" customHeight="1">
      <c r="A31" s="200"/>
      <c r="B31" s="200"/>
      <c r="C31" s="200"/>
      <c r="D31" s="200"/>
      <c r="E31" s="200"/>
      <c r="F31" s="200"/>
      <c r="G31" s="200"/>
      <c r="H31" s="200"/>
      <c r="I31" s="200"/>
      <c r="J31" s="200"/>
      <c r="K31" s="200"/>
      <c r="L31" s="200"/>
      <c r="M31" s="201"/>
    </row>
    <row r="32" spans="1:13" ht="15" customHeight="1">
      <c r="A32" s="200"/>
      <c r="B32" s="200"/>
      <c r="C32" s="200"/>
      <c r="D32" s="200"/>
      <c r="E32" s="200"/>
      <c r="F32" s="200"/>
      <c r="G32" s="200"/>
      <c r="H32" s="200"/>
      <c r="I32" s="200"/>
      <c r="J32" s="200"/>
      <c r="K32" s="200"/>
      <c r="L32" s="200"/>
      <c r="M32" s="201"/>
    </row>
    <row r="33" spans="1:13" ht="15" customHeight="1">
      <c r="A33" s="199" t="s">
        <v>28</v>
      </c>
      <c r="B33" s="200"/>
      <c r="C33" s="200"/>
      <c r="D33" s="200"/>
      <c r="E33" s="200"/>
      <c r="F33" s="200"/>
      <c r="G33" s="200"/>
      <c r="H33" s="200"/>
      <c r="I33" s="200"/>
      <c r="J33" s="200"/>
      <c r="K33" s="200"/>
      <c r="L33" s="200"/>
      <c r="M33" s="201"/>
    </row>
    <row r="34" spans="1:13" ht="15" customHeight="1">
      <c r="A34" s="413" t="s">
        <v>138</v>
      </c>
      <c r="B34" s="413"/>
      <c r="C34" s="413"/>
      <c r="D34" s="413"/>
      <c r="E34" s="413"/>
      <c r="F34" s="413"/>
      <c r="G34" s="413"/>
      <c r="H34" s="413"/>
      <c r="I34" s="413"/>
      <c r="J34" s="200"/>
      <c r="K34" s="200"/>
      <c r="L34" s="200"/>
      <c r="M34" s="201"/>
    </row>
    <row r="35" spans="1:13" ht="15" customHeight="1">
      <c r="A35" s="413" t="s">
        <v>139</v>
      </c>
      <c r="B35" s="413"/>
      <c r="C35" s="413"/>
      <c r="D35" s="413"/>
      <c r="E35" s="413"/>
      <c r="F35" s="413"/>
      <c r="G35" s="413"/>
      <c r="H35" s="413"/>
      <c r="I35" s="413"/>
      <c r="J35" s="200"/>
      <c r="K35" s="200"/>
      <c r="L35" s="200"/>
      <c r="M35" s="201"/>
    </row>
    <row r="36" spans="1:13" ht="45" customHeight="1">
      <c r="A36" s="414" t="s">
        <v>166</v>
      </c>
      <c r="B36" s="414"/>
      <c r="C36" s="414"/>
      <c r="D36" s="414"/>
      <c r="E36" s="414"/>
      <c r="F36" s="414"/>
      <c r="G36" s="414"/>
      <c r="H36" s="414"/>
      <c r="I36" s="414"/>
      <c r="J36" s="242"/>
      <c r="K36" s="242"/>
      <c r="L36" s="242"/>
      <c r="M36" s="243"/>
    </row>
    <row r="37" spans="1:13" s="238" customFormat="1" ht="45" customHeight="1">
      <c r="A37" s="415" t="s">
        <v>195</v>
      </c>
      <c r="B37" s="415"/>
      <c r="C37" s="415"/>
      <c r="D37" s="415"/>
      <c r="E37" s="415"/>
      <c r="F37" s="415"/>
      <c r="G37" s="415"/>
      <c r="H37" s="415"/>
      <c r="I37" s="415"/>
      <c r="J37" s="242"/>
      <c r="K37" s="242"/>
      <c r="L37" s="242"/>
      <c r="M37" s="243"/>
    </row>
    <row r="38" spans="1:13" s="238" customFormat="1" ht="15" customHeight="1">
      <c r="A38" s="413" t="s">
        <v>164</v>
      </c>
      <c r="B38" s="413"/>
      <c r="C38" s="413"/>
      <c r="D38" s="413"/>
      <c r="E38" s="413"/>
      <c r="F38" s="413"/>
      <c r="G38" s="413"/>
      <c r="H38" s="413"/>
      <c r="I38" s="413"/>
      <c r="J38" s="200"/>
      <c r="K38" s="200"/>
      <c r="L38" s="200"/>
      <c r="M38" s="201"/>
    </row>
    <row r="39" spans="1:13" s="238" customFormat="1" ht="15" customHeight="1">
      <c r="A39" s="413" t="s">
        <v>165</v>
      </c>
      <c r="B39" s="413"/>
      <c r="C39" s="413"/>
      <c r="D39" s="413"/>
      <c r="E39" s="413"/>
      <c r="F39" s="413"/>
      <c r="G39" s="413"/>
      <c r="H39" s="413"/>
      <c r="I39" s="413"/>
      <c r="J39" s="200"/>
      <c r="K39" s="200"/>
      <c r="L39" s="200"/>
      <c r="M39" s="201"/>
    </row>
  </sheetData>
  <mergeCells count="13">
    <mergeCell ref="A39:I39"/>
    <mergeCell ref="A34:I34"/>
    <mergeCell ref="A35:I35"/>
    <mergeCell ref="A38:I38"/>
    <mergeCell ref="A36:I36"/>
    <mergeCell ref="A37:I37"/>
    <mergeCell ref="F15:G15"/>
    <mergeCell ref="A8:B8"/>
    <mergeCell ref="F8:G8"/>
    <mergeCell ref="A15:B15"/>
    <mergeCell ref="C3:E3"/>
    <mergeCell ref="C4:E4"/>
    <mergeCell ref="C5:E5"/>
  </mergeCells>
  <printOptions horizontalCentered="1"/>
  <pageMargins left="0.7" right="0.7" top="0.75" bottom="0.75" header="0.3" footer="0.3"/>
  <pageSetup scale="86" orientation="portrait" r:id="rId1"/>
  <headerFooter>
    <oddFooter>&amp;R8/13</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INT-Other</vt:lpstr>
      <vt:lpstr>SUM-Other</vt:lpstr>
      <vt:lpstr>RLI-Other</vt:lpstr>
      <vt:lpstr>EXP-Other</vt:lpstr>
      <vt:lpstr>TRD-Other</vt:lpstr>
      <vt:lpstr>UW-Other</vt:lpstr>
      <vt:lpstr>OB-Other</vt:lpstr>
      <vt:lpstr>VAR-Other</vt:lpstr>
      <vt:lpstr>PI-Other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B. Wise</dc:creator>
  <cp:lastModifiedBy>User</cp:lastModifiedBy>
  <cp:lastPrinted>2013-08-13T13:31:19Z</cp:lastPrinted>
  <dcterms:created xsi:type="dcterms:W3CDTF">2012-07-31T14:00:58Z</dcterms:created>
  <dcterms:modified xsi:type="dcterms:W3CDTF">2013-08-27T16:29:08Z</dcterms:modified>
</cp:coreProperties>
</file>