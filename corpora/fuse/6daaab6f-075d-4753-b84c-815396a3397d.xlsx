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320" windowHeight="7830"/>
  </bookViews>
  <sheets>
    <sheet name="Fund 7 Excess Balance " sheetId="6" r:id="rId1"/>
    <sheet name="Fund 47 Excess Balance" sheetId="1" r:id="rId2"/>
  </sheets>
  <calcPr calcId="145621"/>
</workbook>
</file>

<file path=xl/calcChain.xml><?xml version="1.0" encoding="utf-8"?>
<calcChain xmlns="http://schemas.openxmlformats.org/spreadsheetml/2006/main">
  <c r="J299" i="6" l="1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I13" i="1"/>
  <c r="I12" i="1"/>
  <c r="I11" i="1"/>
  <c r="I10" i="1"/>
  <c r="I9" i="1"/>
  <c r="I8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8" i="1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8" i="6"/>
</calcChain>
</file>

<file path=xl/sharedStrings.xml><?xml version="1.0" encoding="utf-8"?>
<sst xmlns="http://schemas.openxmlformats.org/spreadsheetml/2006/main" count="447" uniqueCount="327">
  <si>
    <t>Calculated Excess Balance (8) = (1)-(3)-(4)-(5)-(7)</t>
  </si>
  <si>
    <t>(1)</t>
  </si>
  <si>
    <t>(2)</t>
  </si>
  <si>
    <t>(3)</t>
  </si>
  <si>
    <t>(4)</t>
  </si>
  <si>
    <t>(5)</t>
  </si>
  <si>
    <t>(6)</t>
  </si>
  <si>
    <t>(7)</t>
  </si>
  <si>
    <t>(8)</t>
  </si>
  <si>
    <t>Unreserved</t>
  </si>
  <si>
    <t>Escrow</t>
  </si>
  <si>
    <t xml:space="preserve"> Pay 11</t>
  </si>
  <si>
    <t>Pay 12</t>
  </si>
  <si>
    <t>Est. Excess</t>
  </si>
  <si>
    <t>Balance</t>
  </si>
  <si>
    <t xml:space="preserve"> Levy </t>
  </si>
  <si>
    <t>Retainage</t>
  </si>
  <si>
    <t>Required</t>
  </si>
  <si>
    <t>Fund 7</t>
  </si>
  <si>
    <t>Reduction</t>
  </si>
  <si>
    <t>Amount</t>
  </si>
  <si>
    <t xml:space="preserve">Debt Service </t>
  </si>
  <si>
    <t>5% Excess</t>
  </si>
  <si>
    <t xml:space="preserve">MINNEAPOLIS     </t>
  </si>
  <si>
    <t xml:space="preserve">AITKIN          </t>
  </si>
  <si>
    <t xml:space="preserve">MCGREGOR        </t>
  </si>
  <si>
    <t xml:space="preserve">SOUTH ST. PAUL  </t>
  </si>
  <si>
    <t xml:space="preserve">ANOKA-HENNEPIN  </t>
  </si>
  <si>
    <t xml:space="preserve">CENTENNIAL      </t>
  </si>
  <si>
    <t>COLUMBIA HEIGHTS</t>
  </si>
  <si>
    <t xml:space="preserve">FRIDLEY         </t>
  </si>
  <si>
    <t xml:space="preserve">ST. FRANCIS     </t>
  </si>
  <si>
    <t xml:space="preserve">SPRING LAKE PARK PUBLIC SCHOOLS </t>
  </si>
  <si>
    <t xml:space="preserve">DETROIT LAKES   </t>
  </si>
  <si>
    <t xml:space="preserve">FRAZEE          </t>
  </si>
  <si>
    <t xml:space="preserve">BEMIDJI         </t>
  </si>
  <si>
    <t xml:space="preserve">BLACKDUCK       </t>
  </si>
  <si>
    <t xml:space="preserve">SAUK RAPIDS     </t>
  </si>
  <si>
    <t xml:space="preserve">ST. CLAIR       </t>
  </si>
  <si>
    <t xml:space="preserve">MANKATO         </t>
  </si>
  <si>
    <t xml:space="preserve">SLEEPY EYE      </t>
  </si>
  <si>
    <t xml:space="preserve">SPRINGFIELD     </t>
  </si>
  <si>
    <t xml:space="preserve">NEW ULM         </t>
  </si>
  <si>
    <t xml:space="preserve">CARLTON         </t>
  </si>
  <si>
    <t xml:space="preserve">CLOQUET         </t>
  </si>
  <si>
    <t xml:space="preserve">MOOSE LAKE      </t>
  </si>
  <si>
    <t xml:space="preserve">ESKO            </t>
  </si>
  <si>
    <t xml:space="preserve">WRENSHALL       </t>
  </si>
  <si>
    <t xml:space="preserve">NORWOOD         </t>
  </si>
  <si>
    <t xml:space="preserve">WACONIA         </t>
  </si>
  <si>
    <t xml:space="preserve">WATERTOWN-MAYER </t>
  </si>
  <si>
    <t xml:space="preserve">CHASKA          </t>
  </si>
  <si>
    <t>WALKER-HACKENSAC</t>
  </si>
  <si>
    <t xml:space="preserve">CASS LAKE       </t>
  </si>
  <si>
    <t xml:space="preserve">PILLAGER        </t>
  </si>
  <si>
    <t xml:space="preserve">NORTHLAND COMMUNITY SCHOOLS </t>
  </si>
  <si>
    <t xml:space="preserve">MONTEVIDEO      </t>
  </si>
  <si>
    <t xml:space="preserve">NORTH BRANCH    </t>
  </si>
  <si>
    <t xml:space="preserve">RUSH CITY       </t>
  </si>
  <si>
    <t xml:space="preserve">BARNESVILLE     </t>
  </si>
  <si>
    <t xml:space="preserve">HAWLEY          </t>
  </si>
  <si>
    <t xml:space="preserve">MOORHEAD        </t>
  </si>
  <si>
    <t xml:space="preserve">BAGLEY          </t>
  </si>
  <si>
    <t xml:space="preserve">COOK COUNTY     </t>
  </si>
  <si>
    <t xml:space="preserve">WINDOM          </t>
  </si>
  <si>
    <t xml:space="preserve">BRAINERD        </t>
  </si>
  <si>
    <t xml:space="preserve">CROSBY-IRONTON  </t>
  </si>
  <si>
    <t xml:space="preserve">PEQUOT LAKES    </t>
  </si>
  <si>
    <t xml:space="preserve">BURNSVILLE      </t>
  </si>
  <si>
    <t xml:space="preserve">LAKEVILLE       </t>
  </si>
  <si>
    <t xml:space="preserve">RANDOLPH        </t>
  </si>
  <si>
    <t xml:space="preserve">ROSEMOUNT-APPLE </t>
  </si>
  <si>
    <t>WEST ST. PAUL-ME</t>
  </si>
  <si>
    <t xml:space="preserve">INVER GROVE     </t>
  </si>
  <si>
    <t xml:space="preserve">HASTINGS        </t>
  </si>
  <si>
    <t xml:space="preserve">HAYFIELD        </t>
  </si>
  <si>
    <t>KASSON-MANTORVIL</t>
  </si>
  <si>
    <t xml:space="preserve">ALEXANDRIA      </t>
  </si>
  <si>
    <t xml:space="preserve">OSAKIS          </t>
  </si>
  <si>
    <t xml:space="preserve">CHATFIELD       </t>
  </si>
  <si>
    <t xml:space="preserve">LANESBORO       </t>
  </si>
  <si>
    <t xml:space="preserve">MABEL-CANTON    </t>
  </si>
  <si>
    <t>RUSHFORD-PETERSO</t>
  </si>
  <si>
    <t xml:space="preserve">ALBERT LEA      </t>
  </si>
  <si>
    <t xml:space="preserve">ALDEN           </t>
  </si>
  <si>
    <t xml:space="preserve">CANNON FALLS    </t>
  </si>
  <si>
    <t xml:space="preserve">GOODHUE         </t>
  </si>
  <si>
    <t xml:space="preserve">PINE ISLAND     </t>
  </si>
  <si>
    <t xml:space="preserve">RED WING        </t>
  </si>
  <si>
    <t xml:space="preserve">ASHBY          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</si>
  <si>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</si>
  <si>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</si>
  <si>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</si>
  <si>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</si>
  <si>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</si>
  <si>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WESTONKA        </t>
  </si>
  <si>
    <t xml:space="preserve">ORONO PUBLIC SCHOOL DISTRICT </t>
  </si>
  <si>
    <t xml:space="preserve">OSSEO           </t>
  </si>
  <si>
    <t xml:space="preserve">RICHFIELD       </t>
  </si>
  <si>
    <t xml:space="preserve">ROBBINSDALE     </t>
  </si>
  <si>
    <t xml:space="preserve">ST. ANTHONY-NEW </t>
  </si>
  <si>
    <t xml:space="preserve">ST. LOUIS PARK  </t>
  </si>
  <si>
    <t xml:space="preserve">WAYZATA         </t>
  </si>
  <si>
    <t xml:space="preserve">BROOKLYN CENTER </t>
  </si>
  <si>
    <t xml:space="preserve">HOUSTON         </t>
  </si>
  <si>
    <t xml:space="preserve">SPRING GROVE    </t>
  </si>
  <si>
    <t>LACRESCENT-HOKAH</t>
  </si>
  <si>
    <t xml:space="preserve">NEVIS           </t>
  </si>
  <si>
    <t xml:space="preserve">PARK RAPIDS     </t>
  </si>
  <si>
    <t xml:space="preserve">BRAHAM          </t>
  </si>
  <si>
    <t xml:space="preserve">GREENWAY        </t>
  </si>
  <si>
    <t xml:space="preserve">DEER RIVER      </t>
  </si>
  <si>
    <t xml:space="preserve">GRAND RAPIDS    </t>
  </si>
  <si>
    <t>HERON LAKE-OKABE</t>
  </si>
  <si>
    <t xml:space="preserve">MORA            </t>
  </si>
  <si>
    <t>NEW LONDON-SPICE</t>
  </si>
  <si>
    <t xml:space="preserve">WILLMAR         </t>
  </si>
  <si>
    <t xml:space="preserve">DAWSON-BOYD     </t>
  </si>
  <si>
    <t>LAKE SUPERIOR PUBLIC SCHOOL DIST</t>
  </si>
  <si>
    <t xml:space="preserve">CLEVELAND       </t>
  </si>
  <si>
    <t xml:space="preserve">IVANHOE PUBLIC SCHOOL DISTRICT </t>
  </si>
  <si>
    <t xml:space="preserve">LAKE BENTON     </t>
  </si>
  <si>
    <t xml:space="preserve">MARSHALL        </t>
  </si>
  <si>
    <t xml:space="preserve">MINNEOTA        </t>
  </si>
  <si>
    <t xml:space="preserve">HUTCHINSON      </t>
  </si>
  <si>
    <t xml:space="preserve">LESTER PRAIRIE PUBLIC SCHOOL DIST. </t>
  </si>
  <si>
    <t xml:space="preserve">MAHNOMEN PUBLIC SCHOOL DISTRICT </t>
  </si>
  <si>
    <t xml:space="preserve">WAUBUN          </t>
  </si>
  <si>
    <t xml:space="preserve">GRYGLA          </t>
  </si>
  <si>
    <t xml:space="preserve">TRUMAN PUBLIC SCHOOL DISTRICT </t>
  </si>
  <si>
    <t>EDEN VALLEY-WATK</t>
  </si>
  <si>
    <t xml:space="preserve">LITCHFIELD      </t>
  </si>
  <si>
    <t xml:space="preserve">DASSEL-COKATO   </t>
  </si>
  <si>
    <t xml:space="preserve">ISLE            </t>
  </si>
  <si>
    <t xml:space="preserve">PRINCETON       </t>
  </si>
  <si>
    <t xml:space="preserve">ONAMIA          </t>
  </si>
  <si>
    <t xml:space="preserve">LITTLE FALLS    </t>
  </si>
  <si>
    <t xml:space="preserve">PIERZ           </t>
  </si>
  <si>
    <t xml:space="preserve">ROYALTON        </t>
  </si>
  <si>
    <t xml:space="preserve">SWANVILLE       </t>
  </si>
  <si>
    <t xml:space="preserve">UPSALA          </t>
  </si>
  <si>
    <t xml:space="preserve">AUSTIN          </t>
  </si>
  <si>
    <t xml:space="preserve">GRAND MEADOW    </t>
  </si>
  <si>
    <t xml:space="preserve">LYLE            </t>
  </si>
  <si>
    <t xml:space="preserve">LEROY           </t>
  </si>
  <si>
    <t xml:space="preserve">SOUTHLAND       </t>
  </si>
  <si>
    <t xml:space="preserve">FULDA           </t>
  </si>
  <si>
    <t xml:space="preserve">NICOLLET        </t>
  </si>
  <si>
    <t xml:space="preserve">ST. PETER       </t>
  </si>
  <si>
    <t xml:space="preserve">ADRIAN          </t>
  </si>
  <si>
    <t xml:space="preserve">WORTHINGTON     </t>
  </si>
  <si>
    <t xml:space="preserve">BYRON           </t>
  </si>
  <si>
    <t xml:space="preserve">DOVER-EYOTA     </t>
  </si>
  <si>
    <t xml:space="preserve">STEWARTVILLE    </t>
  </si>
  <si>
    <t xml:space="preserve">ROCHESTER       </t>
  </si>
  <si>
    <t xml:space="preserve">BATTLE LAKE     </t>
  </si>
  <si>
    <t xml:space="preserve">FERGUS FALLS    </t>
  </si>
  <si>
    <t xml:space="preserve">HENNING         </t>
  </si>
  <si>
    <t xml:space="preserve">PARKERS PRAIRIE </t>
  </si>
  <si>
    <t>PELICAN RAPIDS PUBLIC SCHOOL DIST</t>
  </si>
  <si>
    <t xml:space="preserve">PERHAM          </t>
  </si>
  <si>
    <t xml:space="preserve">UNDERWOOD       </t>
  </si>
  <si>
    <t xml:space="preserve">NEW YORK MILLS  </t>
  </si>
  <si>
    <t>THIEF RIVER FALL</t>
  </si>
  <si>
    <t xml:space="preserve">WILLOW RIVER    </t>
  </si>
  <si>
    <t xml:space="preserve">PINE CITY       </t>
  </si>
  <si>
    <t xml:space="preserve">EDGERTON        </t>
  </si>
  <si>
    <t xml:space="preserve">CROOKSTON       </t>
  </si>
  <si>
    <t>EAST GRAND FORKS PUBLIC SCHOOL DIST</t>
  </si>
  <si>
    <t>FERTILE-BELTRAMI</t>
  </si>
  <si>
    <t xml:space="preserve">FISHER          </t>
  </si>
  <si>
    <t xml:space="preserve">FOSSTON         </t>
  </si>
  <si>
    <t xml:space="preserve">MOUNDS VIEW     </t>
  </si>
  <si>
    <t>NORTH ST PAUL-MA</t>
  </si>
  <si>
    <t xml:space="preserve">ROSEVILLE       </t>
  </si>
  <si>
    <t xml:space="preserve">WHITE BEAR LAKE </t>
  </si>
  <si>
    <t xml:space="preserve">ST. PAUL        </t>
  </si>
  <si>
    <t xml:space="preserve">RED LAKE FALLS  </t>
  </si>
  <si>
    <t xml:space="preserve">WABASSO         </t>
  </si>
  <si>
    <t xml:space="preserve">FARIBAULT       </t>
  </si>
  <si>
    <t xml:space="preserve">NORTHFIELD      </t>
  </si>
  <si>
    <t xml:space="preserve">HILLS-BEAVER CREEK SCHOOL DISTRICT </t>
  </si>
  <si>
    <t xml:space="preserve">BADGER          </t>
  </si>
  <si>
    <t xml:space="preserve">CHISHOLM        </t>
  </si>
  <si>
    <t xml:space="preserve">ELY PUBLIC SCHOOL DISTRICT </t>
  </si>
  <si>
    <t xml:space="preserve">FLOODWOOD PUBLIC SCHOOL DISTRICT </t>
  </si>
  <si>
    <t xml:space="preserve">HERMANTOWN PUBLIC SCHOOL DISTRICT </t>
  </si>
  <si>
    <t xml:space="preserve">HIBBING PUBLIC SCHOOL DISTRICT </t>
  </si>
  <si>
    <t xml:space="preserve">PROCTOR         </t>
  </si>
  <si>
    <t xml:space="preserve">VIRGINIA        </t>
  </si>
  <si>
    <t xml:space="preserve">DULUTH          </t>
  </si>
  <si>
    <t>MOUNTAIN IRON-BU</t>
  </si>
  <si>
    <t xml:space="preserve">BELLE PLAINE    </t>
  </si>
  <si>
    <t xml:space="preserve">JORDAN          </t>
  </si>
  <si>
    <t xml:space="preserve">PRIOR LAKE      </t>
  </si>
  <si>
    <t xml:space="preserve">SHAKOPEE        </t>
  </si>
  <si>
    <t xml:space="preserve">NEW PRAGUE      </t>
  </si>
  <si>
    <t xml:space="preserve">BECKER          </t>
  </si>
  <si>
    <t xml:space="preserve">ELK RIVER       </t>
  </si>
  <si>
    <t xml:space="preserve">HOLDINGFORD     </t>
  </si>
  <si>
    <t xml:space="preserve">KIMBALL         </t>
  </si>
  <si>
    <t xml:space="preserve">MELROSE         </t>
  </si>
  <si>
    <t xml:space="preserve">PAYNESVILLE     </t>
  </si>
  <si>
    <t xml:space="preserve">ST. CLOUD       </t>
  </si>
  <si>
    <t xml:space="preserve">SAUK CENTRE     </t>
  </si>
  <si>
    <t xml:space="preserve">ALBANY          </t>
  </si>
  <si>
    <t xml:space="preserve">SARTELL         </t>
  </si>
  <si>
    <t xml:space="preserve">ROCORI          </t>
  </si>
  <si>
    <t>BLOOMING PRAIRIE</t>
  </si>
  <si>
    <t xml:space="preserve">OWATONNA        </t>
  </si>
  <si>
    <t xml:space="preserve">MEDFORD         </t>
  </si>
  <si>
    <t xml:space="preserve">HANCOCK         </t>
  </si>
  <si>
    <t xml:space="preserve">MORRIS          </t>
  </si>
  <si>
    <t xml:space="preserve">CHOKIO-ALBERTA  </t>
  </si>
  <si>
    <t>KERKHOVEN-MURDOC</t>
  </si>
  <si>
    <t xml:space="preserve">BENSON          </t>
  </si>
  <si>
    <t xml:space="preserve">BROWERVILLE     </t>
  </si>
  <si>
    <t>WHEATON AREA SCH</t>
  </si>
  <si>
    <t xml:space="preserve">WABASHA-KELLOGG </t>
  </si>
  <si>
    <t xml:space="preserve">LAKE CITY PUBLIC SCHOOL DISTRICT </t>
  </si>
  <si>
    <t xml:space="preserve">VERNDALE        </t>
  </si>
  <si>
    <t xml:space="preserve">MENAHGA         </t>
  </si>
  <si>
    <t xml:space="preserve">WASECA          </t>
  </si>
  <si>
    <t xml:space="preserve">FOREST LAKE     </t>
  </si>
  <si>
    <t xml:space="preserve">MAHTOMEDI       </t>
  </si>
  <si>
    <t>SOUTH WASHINGTON</t>
  </si>
  <si>
    <t xml:space="preserve">STILLWATER      </t>
  </si>
  <si>
    <t xml:space="preserve">MADELIA         </t>
  </si>
  <si>
    <t xml:space="preserve">ST. JAMES PUBLIC SCHOOL DISTRICT </t>
  </si>
  <si>
    <t xml:space="preserve">BRECKENRIDGE    </t>
  </si>
  <si>
    <t xml:space="preserve">LEWISTON        </t>
  </si>
  <si>
    <t xml:space="preserve">ST. CHARLES     </t>
  </si>
  <si>
    <t xml:space="preserve">WINONA          </t>
  </si>
  <si>
    <t xml:space="preserve">ANNANDALE       </t>
  </si>
  <si>
    <t xml:space="preserve">BUFFALO         </t>
  </si>
  <si>
    <t xml:space="preserve">DELANO          </t>
  </si>
  <si>
    <t xml:space="preserve">MAPLE LAKE      </t>
  </si>
  <si>
    <t xml:space="preserve">MONTICELLO      </t>
  </si>
  <si>
    <t xml:space="preserve">ROCKFORD        </t>
  </si>
  <si>
    <t xml:space="preserve">CANBY           </t>
  </si>
  <si>
    <t>CAMBRIDGE-ISANTI PUBLIC SCHOOL DIST</t>
  </si>
  <si>
    <t xml:space="preserve">MILACA          </t>
  </si>
  <si>
    <t xml:space="preserve">ULEN-HITTERDAL  </t>
  </si>
  <si>
    <t>LAKE CRYSTAL-WEL</t>
  </si>
  <si>
    <t xml:space="preserve">TRITON          </t>
  </si>
  <si>
    <t>UNITED SOUTH CENTRAL SCHOOL DIST.</t>
  </si>
  <si>
    <t xml:space="preserve">MAPLE RIVER     </t>
  </si>
  <si>
    <t xml:space="preserve">KINGSLAND       </t>
  </si>
  <si>
    <t xml:space="preserve">ST. LOUIS COUNTY SCHOOL DISTRICT </t>
  </si>
  <si>
    <t xml:space="preserve">CHISAGO LAKES   </t>
  </si>
  <si>
    <t xml:space="preserve">MINNEWASKA      </t>
  </si>
  <si>
    <t xml:space="preserve">EVELETH-GILBERT </t>
  </si>
  <si>
    <t>WADENA-DEER CREE</t>
  </si>
  <si>
    <t>BUFFALO LK-HECTOR-STEWART PUBLIC SC</t>
  </si>
  <si>
    <t>DILWORTH-GLYNDON</t>
  </si>
  <si>
    <t>HINCKLEY-FINLAYS</t>
  </si>
  <si>
    <t xml:space="preserve">LAKEVIEW        </t>
  </si>
  <si>
    <t xml:space="preserve">N.R.H.E.G.      </t>
  </si>
  <si>
    <t>MURRAY COUNTY CE</t>
  </si>
  <si>
    <t xml:space="preserve">STAPLES-MOTLEY  </t>
  </si>
  <si>
    <t xml:space="preserve">KITTSON CENTRAL </t>
  </si>
  <si>
    <t>KENYON-WANAMINGO</t>
  </si>
  <si>
    <t>PINE RIVER-BACKU</t>
  </si>
  <si>
    <t xml:space="preserve">M.A.C.C.R.A.Y.  </t>
  </si>
  <si>
    <t xml:space="preserve">LUVERNE         </t>
  </si>
  <si>
    <t xml:space="preserve">YELLOW MEDICINE </t>
  </si>
  <si>
    <t>FILLMORE CENTRAL</t>
  </si>
  <si>
    <t>NORMAN COUNTY EA</t>
  </si>
  <si>
    <t>CLEARBROOK-GONVI</t>
  </si>
  <si>
    <t>WEST CENTRAL ARE</t>
  </si>
  <si>
    <t>TRI-COUNTY SCHOOL DISTRICT</t>
  </si>
  <si>
    <t>BELGRADE-BROOTEN</t>
  </si>
  <si>
    <t xml:space="preserve">G.F.W.          </t>
  </si>
  <si>
    <t xml:space="preserve">A.C.G.C.        </t>
  </si>
  <si>
    <t>LESUEUR-HENDERSO</t>
  </si>
  <si>
    <t>MARTIN COUNTY WE</t>
  </si>
  <si>
    <t xml:space="preserve">NORMAN COUNTY WEST SCHOOL DISTRICT </t>
  </si>
  <si>
    <t>BIRD ISLAND-OLIV</t>
  </si>
  <si>
    <t>GRANADA HUNTLEY-EAST CHAIN</t>
  </si>
  <si>
    <t xml:space="preserve">WIN-E-MAC       </t>
  </si>
  <si>
    <t>GREENBUSH-MIDDLE</t>
  </si>
  <si>
    <t>HOWARD LAKE-WAVE</t>
  </si>
  <si>
    <t>PIPESTONE-JASPER</t>
  </si>
  <si>
    <t xml:space="preserve">MESABI EAST     </t>
  </si>
  <si>
    <t>FAIRMONT AREA SC</t>
  </si>
  <si>
    <t>LONG PRAIRIE-GRE</t>
  </si>
  <si>
    <t xml:space="preserve">CEDAR MOUNTAIN  </t>
  </si>
  <si>
    <t xml:space="preserve">EAGLE VALLEY    </t>
  </si>
  <si>
    <t>ZUMBROTA-MAZEPPA</t>
  </si>
  <si>
    <t>JANESVILLE-WALDO</t>
  </si>
  <si>
    <t>LAC QUI PARLE VA</t>
  </si>
  <si>
    <t>GLENCOE-SILVER LAKE SCHOOL DISTRICT</t>
  </si>
  <si>
    <t xml:space="preserve">BLUE EARTH AREA </t>
  </si>
  <si>
    <t>CLINTON-GRACEVIL</t>
  </si>
  <si>
    <t xml:space="preserve">LAKE PARK AUDUBON SCHOOL DISTRICT </t>
  </si>
  <si>
    <t>JACKSON COUNTY C</t>
  </si>
  <si>
    <t>PLAINVIEW-ELGIN-</t>
  </si>
  <si>
    <t>RTR PUBLIC SCHOO</t>
  </si>
  <si>
    <t xml:space="preserve">ORTONVILLE PUBLIC SCHOOLS </t>
  </si>
  <si>
    <t>TRACY AREA PUBLIC SCHOOL DISTRICT</t>
  </si>
  <si>
    <t>Fund 47</t>
  </si>
  <si>
    <t>Calculated Excess Balance (7) = (1)-(2)-(3)-(4)-(6)</t>
  </si>
  <si>
    <t>Excess Debt Redemption Fund Balance - Payable 2013 Levy</t>
  </si>
  <si>
    <t xml:space="preserve"> Pay 12</t>
  </si>
  <si>
    <t>Pay 13</t>
  </si>
  <si>
    <t xml:space="preserve">HILL CITY       </t>
  </si>
  <si>
    <t xml:space="preserve">FARMINGTON      </t>
  </si>
  <si>
    <t>INTERNATIONAL FA</t>
  </si>
  <si>
    <t>SOUTH KOOCHICHIN</t>
  </si>
  <si>
    <t>LAKE OF THE WOOD</t>
  </si>
  <si>
    <t xml:space="preserve">BIG LAKE        </t>
  </si>
  <si>
    <t xml:space="preserve">BERTHA-HEWITT   </t>
  </si>
  <si>
    <t>ST. MICHAEL-ALBE</t>
  </si>
  <si>
    <t>REDWOOD AREA SCH</t>
  </si>
  <si>
    <t xml:space="preserve">TRI-CITY UNITED </t>
  </si>
  <si>
    <t>OKLEE</t>
  </si>
  <si>
    <t>PLUMMER</t>
  </si>
  <si>
    <t>WARREN-ALVARADO</t>
  </si>
  <si>
    <t>RCW</t>
  </si>
  <si>
    <t>Ending FY 11</t>
  </si>
  <si>
    <t>FARMINGTON PUBLIC SCHOOL DISTRICT</t>
  </si>
  <si>
    <t xml:space="preserve">NASHWAUK-KEEWATIN SCHOOL DISTRICT </t>
  </si>
  <si>
    <t xml:space="preserve">OGILVIE PUBLIC SCHOOL DISTRICT </t>
  </si>
  <si>
    <t xml:space="preserve">WARROAD PUBLIC SCHOOL DISTRICT </t>
  </si>
  <si>
    <t xml:space="preserve">BIG LAKE PUBLIC SCHOOL DISTRICT </t>
  </si>
  <si>
    <t>Excess OPEB (Fund 47) Balance - Payable 2013 Levy</t>
  </si>
  <si>
    <t>CAMPBELL-TINTAH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</si>
</sst>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8" formatCode="_(* #,##0_);_(* \(#,##0\);_(* &quot;-&quot;??_);_(@_)"/>
    <numFmt numFmtId="171" formatCode="[$-409]mmmm\ d\,\ yyyy;@"/>
  </numFmts>
  <fonts count="2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indexed="8"/>
      <name val="Arial"/>
    </font>
    <font>
      <sz val="8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4" fillId="0" borderId="0"/>
    <xf numFmtId="0" fontId="22" fillId="0" borderId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168" fontId="2" fillId="0" borderId="0" xfId="28" applyNumberFormat="1" applyFont="1"/>
    <xf numFmtId="168" fontId="2" fillId="0" borderId="0" xfId="0" applyNumberFormat="1" applyFont="1" applyFill="1"/>
    <xf numFmtId="43" fontId="3" fillId="0" borderId="0" xfId="28" applyNumberFormat="1" applyFont="1" applyAlignment="1">
      <alignment horizontal="left"/>
    </xf>
    <xf numFmtId="0" fontId="2" fillId="0" borderId="0" xfId="0" applyFont="1" applyFill="1"/>
    <xf numFmtId="43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2" fillId="0" borderId="0" xfId="0" applyNumberFormat="1" applyFont="1"/>
    <xf numFmtId="0" fontId="0" fillId="0" borderId="0" xfId="0" applyFill="1"/>
    <xf numFmtId="43" fontId="2" fillId="0" borderId="0" xfId="0" applyNumberFormat="1" applyFont="1"/>
    <xf numFmtId="168" fontId="3" fillId="0" borderId="0" xfId="0" quotePrefix="1" applyNumberFormat="1" applyFont="1" applyAlignment="1">
      <alignment horizontal="center"/>
    </xf>
    <xf numFmtId="168" fontId="3" fillId="0" borderId="0" xfId="0" applyNumberFormat="1" applyFont="1" applyFill="1" applyAlignment="1">
      <alignment horizontal="center"/>
    </xf>
    <xf numFmtId="43" fontId="3" fillId="0" borderId="0" xfId="0" applyNumberFormat="1" applyFont="1" applyFill="1" applyAlignment="1">
      <alignment horizontal="center"/>
    </xf>
    <xf numFmtId="168" fontId="2" fillId="24" borderId="0" xfId="0" applyNumberFormat="1" applyFont="1" applyFill="1"/>
    <xf numFmtId="43" fontId="2" fillId="0" borderId="0" xfId="28" applyFont="1" applyFill="1"/>
    <xf numFmtId="168" fontId="2" fillId="0" borderId="0" xfId="28" applyNumberFormat="1" applyFont="1" applyFill="1"/>
    <xf numFmtId="168" fontId="0" fillId="0" borderId="0" xfId="0" applyNumberFormat="1"/>
    <xf numFmtId="43" fontId="21" fillId="0" borderId="0" xfId="28" applyFont="1" applyFill="1"/>
    <xf numFmtId="43" fontId="3" fillId="0" borderId="0" xfId="28" applyFont="1" applyFill="1" applyAlignment="1">
      <alignment horizontal="left"/>
    </xf>
    <xf numFmtId="43" fontId="3" fillId="0" borderId="0" xfId="28" applyNumberFormat="1" applyFont="1" applyFill="1" applyAlignment="1">
      <alignment horizontal="left"/>
    </xf>
    <xf numFmtId="171" fontId="3" fillId="0" borderId="0" xfId="0" applyNumberFormat="1" applyFont="1" applyFill="1" applyAlignment="1">
      <alignment horizontal="center"/>
    </xf>
    <xf numFmtId="43" fontId="2" fillId="0" borderId="0" xfId="0" applyNumberFormat="1" applyFont="1" applyFill="1"/>
    <xf numFmtId="43" fontId="2" fillId="0" borderId="0" xfId="28" applyFont="1"/>
    <xf numFmtId="43" fontId="2" fillId="0" borderId="0" xfId="28" applyNumberFormat="1" applyFont="1"/>
    <xf numFmtId="43" fontId="3" fillId="0" borderId="0" xfId="28" applyNumberFormat="1" applyFont="1" applyAlignment="1">
      <alignment horizontal="center"/>
    </xf>
    <xf numFmtId="43" fontId="3" fillId="0" borderId="0" xfId="28" quotePrefix="1" applyNumberFormat="1" applyFont="1" applyAlignment="1">
      <alignment horizontal="center"/>
    </xf>
    <xf numFmtId="168" fontId="3" fillId="0" borderId="0" xfId="28" applyNumberFormat="1" applyFont="1" applyFill="1" applyAlignment="1">
      <alignment horizontal="center"/>
    </xf>
    <xf numFmtId="0" fontId="25" fillId="0" borderId="0" xfId="39" applyFont="1"/>
    <xf numFmtId="43" fontId="25" fillId="0" borderId="0" xfId="28" applyNumberFormat="1" applyFont="1"/>
    <xf numFmtId="168" fontId="25" fillId="0" borderId="0" xfId="28" applyNumberFormat="1" applyFont="1"/>
    <xf numFmtId="43" fontId="25" fillId="0" borderId="0" xfId="39" applyNumberFormat="1" applyFont="1"/>
    <xf numFmtId="43" fontId="23" fillId="0" borderId="7" xfId="40" applyNumberFormat="1" applyFont="1" applyFill="1" applyBorder="1" applyAlignment="1">
      <alignment wrapText="1"/>
    </xf>
    <xf numFmtId="43" fontId="25" fillId="0" borderId="0" xfId="29" applyFont="1"/>
    <xf numFmtId="0" fontId="2" fillId="24" borderId="0" xfId="0" applyFont="1" applyFill="1"/>
    <xf numFmtId="168" fontId="3" fillId="24" borderId="0" xfId="0" quotePrefix="1" applyNumberFormat="1" applyFont="1" applyFill="1" applyAlignment="1">
      <alignment horizontal="center"/>
    </xf>
    <xf numFmtId="168" fontId="3" fillId="24" borderId="0" xfId="0" applyNumberFormat="1" applyFont="1" applyFill="1" applyAlignment="1">
      <alignment horizontal="center"/>
    </xf>
    <xf numFmtId="43" fontId="3" fillId="24" borderId="0" xfId="0" applyNumberFormat="1" applyFont="1" applyFill="1" applyAlignment="1">
      <alignment horizontal="center"/>
    </xf>
    <xf numFmtId="168" fontId="2" fillId="25" borderId="0" xfId="0" applyNumberFormat="1" applyFont="1" applyFill="1"/>
    <xf numFmtId="0" fontId="2" fillId="25" borderId="0" xfId="0" applyFont="1" applyFill="1"/>
    <xf numFmtId="168" fontId="3" fillId="25" borderId="0" xfId="0" applyNumberFormat="1" applyFont="1" applyFill="1" applyAlignment="1">
      <alignment horizontal="center"/>
    </xf>
    <xf numFmtId="43" fontId="3" fillId="25" borderId="0" xfId="0" applyNumberFormat="1" applyFont="1" applyFill="1" applyAlignment="1">
      <alignment horizontal="center"/>
    </xf>
    <xf numFmtId="168" fontId="2" fillId="25" borderId="10" xfId="0" applyNumberFormat="1" applyFont="1" applyFill="1" applyBorder="1"/>
    <xf numFmtId="0" fontId="0" fillId="25" borderId="0" xfId="0" applyFill="1"/>
    <xf numFmtId="168" fontId="23" fillId="24" borderId="7" xfId="40" applyNumberFormat="1" applyFont="1" applyFill="1" applyBorder="1" applyAlignment="1">
      <alignment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rmal_Fund 47 Excess Balance" xfId="4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8"/>
  <sheetViews>
    <sheetView tabSelected="1"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C8" sqref="C8"/>
    </sheetView>
  </sheetViews>
  <sheetFormatPr defaultRowHeight="12.75" x14ac:dyDescent="0.2"/>
  <cols>
    <col min="1" max="1" width="6.5703125" customWidth="1"/>
    <col min="2" max="2" width="17" customWidth="1"/>
    <col min="3" max="3" width="12.5703125" style="18" customWidth="1"/>
    <col min="4" max="4" width="11.85546875" style="18" customWidth="1"/>
    <col min="5" max="5" width="11.28515625" style="9" customWidth="1"/>
    <col min="6" max="6" width="10.85546875" style="9" customWidth="1"/>
    <col min="7" max="7" width="11.7109375" style="9" customWidth="1"/>
    <col min="8" max="8" width="11.42578125" style="1" customWidth="1"/>
    <col min="9" max="9" width="11.140625" customWidth="1"/>
    <col min="10" max="10" width="12.42578125" style="43" customWidth="1"/>
    <col min="11" max="11" width="12.28515625" bestFit="1" customWidth="1"/>
  </cols>
  <sheetData>
    <row r="1" spans="1:11" x14ac:dyDescent="0.2">
      <c r="E1" s="19" t="s">
        <v>302</v>
      </c>
      <c r="F1" s="5"/>
      <c r="G1" s="16"/>
      <c r="I1" s="1"/>
      <c r="J1" s="38"/>
    </row>
    <row r="2" spans="1:11" x14ac:dyDescent="0.2">
      <c r="C2" s="9"/>
      <c r="D2" s="9"/>
      <c r="E2" s="20" t="s">
        <v>0</v>
      </c>
      <c r="F2" s="5"/>
      <c r="G2" s="16"/>
      <c r="I2" s="1"/>
      <c r="J2" s="38"/>
      <c r="K2" s="17"/>
    </row>
    <row r="3" spans="1:11" x14ac:dyDescent="0.2">
      <c r="C3" s="3"/>
      <c r="D3" s="3"/>
      <c r="E3" s="5"/>
      <c r="F3" s="5"/>
      <c r="G3" s="16"/>
      <c r="I3" s="1"/>
      <c r="J3" s="39"/>
    </row>
    <row r="4" spans="1:11" x14ac:dyDescent="0.2">
      <c r="C4" s="27" t="s">
        <v>1</v>
      </c>
      <c r="D4" s="13" t="s">
        <v>2</v>
      </c>
      <c r="E4" s="12" t="s">
        <v>3</v>
      </c>
      <c r="F4" s="12" t="s">
        <v>4</v>
      </c>
      <c r="G4" s="12" t="s">
        <v>5</v>
      </c>
      <c r="H4" s="7" t="s">
        <v>6</v>
      </c>
      <c r="I4" s="6" t="s">
        <v>7</v>
      </c>
      <c r="J4" s="40" t="s">
        <v>8</v>
      </c>
    </row>
    <row r="5" spans="1:11" x14ac:dyDescent="0.2">
      <c r="C5" s="27" t="s">
        <v>9</v>
      </c>
      <c r="D5" s="13" t="s">
        <v>10</v>
      </c>
      <c r="E5" s="12" t="s">
        <v>11</v>
      </c>
      <c r="F5" s="12" t="s">
        <v>303</v>
      </c>
      <c r="G5" s="12" t="s">
        <v>12</v>
      </c>
      <c r="H5" s="7" t="s">
        <v>304</v>
      </c>
      <c r="I5" s="6" t="s">
        <v>304</v>
      </c>
      <c r="J5" s="40" t="s">
        <v>13</v>
      </c>
    </row>
    <row r="6" spans="1:11" x14ac:dyDescent="0.2">
      <c r="C6" s="27" t="s">
        <v>14</v>
      </c>
      <c r="D6" s="13" t="s">
        <v>14</v>
      </c>
      <c r="E6" s="12" t="s">
        <v>15</v>
      </c>
      <c r="F6" s="12" t="s">
        <v>15</v>
      </c>
      <c r="G6" s="12" t="s">
        <v>16</v>
      </c>
      <c r="H6" s="7" t="s">
        <v>17</v>
      </c>
      <c r="I6" s="6" t="s">
        <v>17</v>
      </c>
      <c r="J6" s="41" t="s">
        <v>18</v>
      </c>
    </row>
    <row r="7" spans="1:11" x14ac:dyDescent="0.2">
      <c r="C7" s="21">
        <v>40724</v>
      </c>
      <c r="D7" s="21">
        <v>40724</v>
      </c>
      <c r="E7" s="12" t="s">
        <v>19</v>
      </c>
      <c r="F7" s="12" t="s">
        <v>19</v>
      </c>
      <c r="G7" s="12" t="s">
        <v>20</v>
      </c>
      <c r="H7" s="7" t="s">
        <v>21</v>
      </c>
      <c r="I7" s="6" t="s">
        <v>22</v>
      </c>
      <c r="J7" s="41" t="s">
        <v>14</v>
      </c>
    </row>
    <row r="8" spans="1:11" x14ac:dyDescent="0.2">
      <c r="A8" s="1">
        <v>1</v>
      </c>
      <c r="B8" s="1" t="s">
        <v>23</v>
      </c>
      <c r="C8" s="15">
        <v>17371176.079999998</v>
      </c>
      <c r="D8" s="16">
        <v>21679441</v>
      </c>
      <c r="E8" s="3">
        <v>8492991.2400000002</v>
      </c>
      <c r="F8" s="3">
        <v>2409008.6800000002</v>
      </c>
      <c r="G8" s="3"/>
      <c r="H8" s="2">
        <v>28050555.75</v>
      </c>
      <c r="I8" s="8">
        <f>H8*0.05</f>
        <v>1402527.7875000001</v>
      </c>
      <c r="J8" s="42">
        <f>IF(C8-E8-F8-G8-I8&gt;0,C8-E8-F8-G8-I8,0)</f>
        <v>5066648.3724999987</v>
      </c>
    </row>
    <row r="9" spans="1:11" x14ac:dyDescent="0.2">
      <c r="A9" s="1">
        <v>1</v>
      </c>
      <c r="B9" s="1" t="s">
        <v>24</v>
      </c>
      <c r="C9" s="15">
        <v>0</v>
      </c>
      <c r="D9" s="16"/>
      <c r="E9" s="3">
        <v>44073</v>
      </c>
      <c r="F9" s="3">
        <v>54280.73</v>
      </c>
      <c r="G9" s="3"/>
      <c r="H9" s="2">
        <v>0</v>
      </c>
      <c r="I9" s="8">
        <f t="shared" ref="I9:I72" si="0">H9*0.05</f>
        <v>0</v>
      </c>
      <c r="J9" s="42">
        <f t="shared" ref="J9:J72" si="1">IF(C9-E9-F9-G9-I9&gt;0,C9-E9-F9-G9-I9,0)</f>
        <v>0</v>
      </c>
    </row>
    <row r="10" spans="1:11" x14ac:dyDescent="0.2">
      <c r="A10" s="1">
        <v>2</v>
      </c>
      <c r="B10" s="8" t="s">
        <v>305</v>
      </c>
      <c r="C10" s="15">
        <v>0</v>
      </c>
      <c r="D10" s="16"/>
      <c r="E10" s="3">
        <v>0</v>
      </c>
      <c r="F10" s="3">
        <v>0</v>
      </c>
      <c r="G10" s="3"/>
      <c r="H10" s="2">
        <v>226852.5</v>
      </c>
      <c r="I10" s="8">
        <f t="shared" si="0"/>
        <v>11342.625</v>
      </c>
      <c r="J10" s="42">
        <f t="shared" si="1"/>
        <v>0</v>
      </c>
    </row>
    <row r="11" spans="1:11" x14ac:dyDescent="0.2">
      <c r="A11" s="1">
        <v>4</v>
      </c>
      <c r="B11" s="1" t="s">
        <v>25</v>
      </c>
      <c r="C11" s="15">
        <v>116992.37</v>
      </c>
      <c r="D11" s="16"/>
      <c r="E11" s="3">
        <v>38317.550000000003</v>
      </c>
      <c r="F11" s="3">
        <v>39434.089999999997</v>
      </c>
      <c r="G11" s="3"/>
      <c r="H11" s="2">
        <v>752592.75</v>
      </c>
      <c r="I11" s="8">
        <f t="shared" si="0"/>
        <v>37629.637500000004</v>
      </c>
      <c r="J11" s="42">
        <f t="shared" si="1"/>
        <v>1611.0924999999916</v>
      </c>
    </row>
    <row r="12" spans="1:11" x14ac:dyDescent="0.2">
      <c r="A12" s="1">
        <v>6</v>
      </c>
      <c r="B12" s="1" t="s">
        <v>26</v>
      </c>
      <c r="C12" s="15">
        <v>452737.14</v>
      </c>
      <c r="D12" s="16"/>
      <c r="E12" s="3">
        <v>123220.23</v>
      </c>
      <c r="F12" s="3">
        <v>158265.65</v>
      </c>
      <c r="G12" s="3"/>
      <c r="H12" s="2">
        <v>1387357.65</v>
      </c>
      <c r="I12" s="8">
        <f t="shared" si="0"/>
        <v>69367.882499999992</v>
      </c>
      <c r="J12" s="42">
        <f t="shared" si="1"/>
        <v>101883.37750000005</v>
      </c>
    </row>
    <row r="13" spans="1:11" x14ac:dyDescent="0.2">
      <c r="A13" s="1">
        <v>11</v>
      </c>
      <c r="B13" s="1" t="s">
        <v>27</v>
      </c>
      <c r="C13" s="15">
        <v>4614793.49</v>
      </c>
      <c r="D13" s="16"/>
      <c r="E13" s="3">
        <v>1213211.3500000001</v>
      </c>
      <c r="F13" s="3">
        <v>1302630.6599999999</v>
      </c>
      <c r="H13" s="2">
        <v>27670450.5</v>
      </c>
      <c r="I13" s="8">
        <f t="shared" si="0"/>
        <v>1383522.5250000001</v>
      </c>
      <c r="J13" s="42">
        <f t="shared" si="1"/>
        <v>715428.95500000031</v>
      </c>
    </row>
    <row r="14" spans="1:11" x14ac:dyDescent="0.2">
      <c r="A14" s="1">
        <v>12</v>
      </c>
      <c r="B14" s="1" t="s">
        <v>28</v>
      </c>
      <c r="C14" s="15">
        <v>1922275.43</v>
      </c>
      <c r="D14" s="16">
        <v>18697214</v>
      </c>
      <c r="E14" s="3">
        <v>462866.96</v>
      </c>
      <c r="F14" s="3">
        <v>621322.31999999995</v>
      </c>
      <c r="H14" s="2">
        <v>7688547.2999999998</v>
      </c>
      <c r="I14" s="8">
        <f t="shared" si="0"/>
        <v>384427.36499999999</v>
      </c>
      <c r="J14" s="42">
        <f t="shared" si="1"/>
        <v>453658.78500000003</v>
      </c>
    </row>
    <row r="15" spans="1:11" x14ac:dyDescent="0.2">
      <c r="A15" s="1">
        <v>13</v>
      </c>
      <c r="B15" s="1" t="s">
        <v>29</v>
      </c>
      <c r="C15" s="15">
        <v>499059.22</v>
      </c>
      <c r="D15" s="16"/>
      <c r="E15" s="3">
        <v>140983.04999999999</v>
      </c>
      <c r="F15" s="3">
        <v>116592.3</v>
      </c>
      <c r="H15" s="2">
        <v>2512519.2749999999</v>
      </c>
      <c r="I15" s="8">
        <f t="shared" si="0"/>
        <v>125625.96375</v>
      </c>
      <c r="J15" s="42">
        <f t="shared" si="1"/>
        <v>115857.90625</v>
      </c>
    </row>
    <row r="16" spans="1:11" x14ac:dyDescent="0.2">
      <c r="A16" s="1">
        <v>14</v>
      </c>
      <c r="B16" s="1" t="s">
        <v>30</v>
      </c>
      <c r="C16" s="15">
        <v>455546.37</v>
      </c>
      <c r="D16" s="16"/>
      <c r="E16" s="3">
        <v>99827.48</v>
      </c>
      <c r="F16" s="3">
        <v>113549.82</v>
      </c>
      <c r="H16" s="2">
        <v>2865049.6979999999</v>
      </c>
      <c r="I16" s="8">
        <f t="shared" si="0"/>
        <v>143252.48490000001</v>
      </c>
      <c r="J16" s="42">
        <f t="shared" si="1"/>
        <v>98916.585099999997</v>
      </c>
    </row>
    <row r="17" spans="1:10" x14ac:dyDescent="0.2">
      <c r="A17" s="1">
        <v>15</v>
      </c>
      <c r="B17" s="1" t="s">
        <v>31</v>
      </c>
      <c r="C17" s="15">
        <v>1170061.77</v>
      </c>
      <c r="D17" s="16"/>
      <c r="E17" s="3">
        <v>366131.7</v>
      </c>
      <c r="F17" s="3">
        <v>233368.06</v>
      </c>
      <c r="H17" s="2">
        <v>5931426.9000000004</v>
      </c>
      <c r="I17" s="8">
        <f t="shared" si="0"/>
        <v>296571.34500000003</v>
      </c>
      <c r="J17" s="42">
        <f t="shared" si="1"/>
        <v>273990.66499999998</v>
      </c>
    </row>
    <row r="18" spans="1:10" x14ac:dyDescent="0.2">
      <c r="A18" s="1">
        <v>16</v>
      </c>
      <c r="B18" s="1" t="s">
        <v>32</v>
      </c>
      <c r="C18" s="15">
        <v>901035.62</v>
      </c>
      <c r="D18" s="16">
        <v>9018140</v>
      </c>
      <c r="E18" s="3">
        <v>0</v>
      </c>
      <c r="F18" s="3">
        <v>86322.45</v>
      </c>
      <c r="H18" s="2">
        <v>9484624.8000000007</v>
      </c>
      <c r="I18" s="8">
        <f t="shared" si="0"/>
        <v>474231.24000000005</v>
      </c>
      <c r="J18" s="42">
        <f t="shared" si="1"/>
        <v>340481.93</v>
      </c>
    </row>
    <row r="19" spans="1:10" x14ac:dyDescent="0.2">
      <c r="A19" s="1">
        <v>22</v>
      </c>
      <c r="B19" s="1" t="s">
        <v>33</v>
      </c>
      <c r="C19" s="15">
        <v>236307.11</v>
      </c>
      <c r="D19" s="16"/>
      <c r="E19" s="3">
        <v>78028.7</v>
      </c>
      <c r="F19" s="3">
        <v>105541.1</v>
      </c>
      <c r="H19" s="2">
        <v>833017.5</v>
      </c>
      <c r="I19" s="8">
        <f t="shared" si="0"/>
        <v>41650.875</v>
      </c>
      <c r="J19" s="42">
        <f t="shared" si="1"/>
        <v>11086.434999999969</v>
      </c>
    </row>
    <row r="20" spans="1:10" x14ac:dyDescent="0.2">
      <c r="A20" s="1">
        <v>23</v>
      </c>
      <c r="B20" s="1" t="s">
        <v>34</v>
      </c>
      <c r="C20" s="15">
        <v>1367783.7</v>
      </c>
      <c r="D20" s="16"/>
      <c r="E20" s="3">
        <v>389781.65</v>
      </c>
      <c r="F20" s="3">
        <v>334000</v>
      </c>
      <c r="H20" s="2">
        <v>1174632.8999999999</v>
      </c>
      <c r="I20" s="8">
        <f t="shared" si="0"/>
        <v>58731.644999999997</v>
      </c>
      <c r="J20" s="42">
        <f t="shared" si="1"/>
        <v>585270.40499999991</v>
      </c>
    </row>
    <row r="21" spans="1:10" x14ac:dyDescent="0.2">
      <c r="A21" s="1">
        <v>31</v>
      </c>
      <c r="B21" s="1" t="s">
        <v>35</v>
      </c>
      <c r="C21" s="15">
        <v>962229.4</v>
      </c>
      <c r="D21" s="16"/>
      <c r="E21" s="3">
        <v>276839.36</v>
      </c>
      <c r="F21" s="3">
        <v>264352.89</v>
      </c>
      <c r="H21" s="2">
        <v>3894673.6500000004</v>
      </c>
      <c r="I21" s="8">
        <f t="shared" si="0"/>
        <v>194733.68250000002</v>
      </c>
      <c r="J21" s="42">
        <f t="shared" si="1"/>
        <v>226303.4675</v>
      </c>
    </row>
    <row r="22" spans="1:10" x14ac:dyDescent="0.2">
      <c r="A22" s="1">
        <v>32</v>
      </c>
      <c r="B22" s="1" t="s">
        <v>36</v>
      </c>
      <c r="C22" s="15">
        <v>144055.25</v>
      </c>
      <c r="D22" s="16"/>
      <c r="E22" s="3">
        <v>37213.480000000003</v>
      </c>
      <c r="F22" s="3">
        <v>33362.129999999997</v>
      </c>
      <c r="H22" s="2">
        <v>528951.15</v>
      </c>
      <c r="I22" s="8">
        <f t="shared" si="0"/>
        <v>26447.557500000003</v>
      </c>
      <c r="J22" s="42">
        <f t="shared" si="1"/>
        <v>47032.082499999982</v>
      </c>
    </row>
    <row r="23" spans="1:10" x14ac:dyDescent="0.2">
      <c r="A23" s="1">
        <v>47</v>
      </c>
      <c r="B23" s="1" t="s">
        <v>37</v>
      </c>
      <c r="C23" s="15">
        <v>1389487.45</v>
      </c>
      <c r="D23" s="16"/>
      <c r="E23" s="3">
        <v>357844.82</v>
      </c>
      <c r="F23" s="3">
        <v>372739.25</v>
      </c>
      <c r="G23" s="3"/>
      <c r="H23" s="2">
        <v>5898075.75</v>
      </c>
      <c r="I23" s="8">
        <f t="shared" si="0"/>
        <v>294903.78750000003</v>
      </c>
      <c r="J23" s="42">
        <f t="shared" si="1"/>
        <v>363999.59249999985</v>
      </c>
    </row>
    <row r="24" spans="1:10" x14ac:dyDescent="0.2">
      <c r="A24" s="1">
        <v>75</v>
      </c>
      <c r="B24" s="1" t="s">
        <v>38</v>
      </c>
      <c r="C24" s="15">
        <v>284418.49</v>
      </c>
      <c r="D24" s="16"/>
      <c r="E24" s="3">
        <v>135927.26999999999</v>
      </c>
      <c r="F24" s="3">
        <v>92901.25</v>
      </c>
      <c r="G24" s="3"/>
      <c r="H24" s="2">
        <v>889273.875</v>
      </c>
      <c r="I24" s="8">
        <f t="shared" si="0"/>
        <v>44463.693750000006</v>
      </c>
      <c r="J24" s="42">
        <f t="shared" si="1"/>
        <v>11126.276249999995</v>
      </c>
    </row>
    <row r="25" spans="1:10" x14ac:dyDescent="0.2">
      <c r="A25" s="1">
        <v>77</v>
      </c>
      <c r="B25" s="1" t="s">
        <v>39</v>
      </c>
      <c r="C25" s="15">
        <v>1659950.04</v>
      </c>
      <c r="D25" s="16"/>
      <c r="E25" s="3">
        <v>297980.31</v>
      </c>
      <c r="F25" s="3">
        <v>280761.48</v>
      </c>
      <c r="G25" s="3"/>
      <c r="H25" s="2">
        <v>3906824.25</v>
      </c>
      <c r="I25" s="8">
        <f t="shared" si="0"/>
        <v>195341.21250000002</v>
      </c>
      <c r="J25" s="42">
        <f t="shared" si="1"/>
        <v>885867.03749999998</v>
      </c>
    </row>
    <row r="26" spans="1:10" x14ac:dyDescent="0.2">
      <c r="A26" s="1">
        <v>84</v>
      </c>
      <c r="B26" s="1" t="s">
        <v>40</v>
      </c>
      <c r="C26" s="15">
        <v>118465.34</v>
      </c>
      <c r="D26" s="16"/>
      <c r="E26" s="3">
        <v>17947.240000000002</v>
      </c>
      <c r="F26" s="3">
        <v>16274.58</v>
      </c>
      <c r="G26" s="3"/>
      <c r="H26" s="2">
        <v>335714.4</v>
      </c>
      <c r="I26" s="8">
        <f t="shared" si="0"/>
        <v>16785.72</v>
      </c>
      <c r="J26" s="42">
        <f t="shared" si="1"/>
        <v>67457.799999999988</v>
      </c>
    </row>
    <row r="27" spans="1:10" x14ac:dyDescent="0.2">
      <c r="A27" s="1">
        <v>85</v>
      </c>
      <c r="B27" s="1" t="s">
        <v>41</v>
      </c>
      <c r="C27" s="15">
        <v>100685.19</v>
      </c>
      <c r="D27" s="16"/>
      <c r="E27" s="3">
        <v>26081.33</v>
      </c>
      <c r="F27" s="3">
        <v>24851.16</v>
      </c>
      <c r="G27" s="3"/>
      <c r="H27" s="2">
        <v>0</v>
      </c>
      <c r="I27" s="8">
        <f t="shared" si="0"/>
        <v>0</v>
      </c>
      <c r="J27" s="42">
        <f t="shared" si="1"/>
        <v>49752.7</v>
      </c>
    </row>
    <row r="28" spans="1:10" x14ac:dyDescent="0.2">
      <c r="A28" s="1">
        <v>88</v>
      </c>
      <c r="B28" s="1" t="s">
        <v>42</v>
      </c>
      <c r="C28" s="15">
        <v>341648.33</v>
      </c>
      <c r="D28" s="16"/>
      <c r="E28" s="3">
        <v>99617.59</v>
      </c>
      <c r="F28" s="3">
        <v>73534.19</v>
      </c>
      <c r="G28" s="3"/>
      <c r="H28" s="2">
        <v>1639472.625</v>
      </c>
      <c r="I28" s="8">
        <f t="shared" si="0"/>
        <v>81973.631250000006</v>
      </c>
      <c r="J28" s="42">
        <f t="shared" si="1"/>
        <v>86522.918750000012</v>
      </c>
    </row>
    <row r="29" spans="1:10" x14ac:dyDescent="0.2">
      <c r="A29" s="1">
        <v>93</v>
      </c>
      <c r="B29" s="1" t="s">
        <v>43</v>
      </c>
      <c r="C29" s="15">
        <v>3137.96</v>
      </c>
      <c r="D29" s="16"/>
      <c r="E29" s="3">
        <v>0</v>
      </c>
      <c r="F29" s="3">
        <v>0</v>
      </c>
      <c r="G29" s="3"/>
      <c r="H29" s="2">
        <v>276672.90000000002</v>
      </c>
      <c r="I29" s="8">
        <f t="shared" si="0"/>
        <v>13833.645000000002</v>
      </c>
      <c r="J29" s="42">
        <f t="shared" si="1"/>
        <v>0</v>
      </c>
    </row>
    <row r="30" spans="1:10" x14ac:dyDescent="0.2">
      <c r="A30" s="1">
        <v>94</v>
      </c>
      <c r="B30" s="1" t="s">
        <v>44</v>
      </c>
      <c r="C30" s="15">
        <v>709601.08</v>
      </c>
      <c r="D30" s="16"/>
      <c r="E30" s="3">
        <v>266832.82</v>
      </c>
      <c r="F30" s="3">
        <v>109962.21</v>
      </c>
      <c r="G30" s="3"/>
      <c r="H30" s="2">
        <v>2005106.25</v>
      </c>
      <c r="I30" s="8">
        <f t="shared" si="0"/>
        <v>100255.3125</v>
      </c>
      <c r="J30" s="42">
        <f t="shared" si="1"/>
        <v>232550.73749999993</v>
      </c>
    </row>
    <row r="31" spans="1:10" x14ac:dyDescent="0.2">
      <c r="A31" s="1">
        <v>97</v>
      </c>
      <c r="B31" s="1" t="s">
        <v>45</v>
      </c>
      <c r="C31" s="15">
        <v>0</v>
      </c>
      <c r="D31" s="16"/>
      <c r="E31" s="3">
        <v>2940.56</v>
      </c>
      <c r="F31" s="3">
        <v>0</v>
      </c>
      <c r="G31" s="3"/>
      <c r="H31" s="2">
        <v>0</v>
      </c>
      <c r="I31" s="8">
        <f t="shared" si="0"/>
        <v>0</v>
      </c>
      <c r="J31" s="42">
        <f t="shared" si="1"/>
        <v>0</v>
      </c>
    </row>
    <row r="32" spans="1:10" x14ac:dyDescent="0.2">
      <c r="A32" s="1">
        <v>99</v>
      </c>
      <c r="B32" s="1" t="s">
        <v>46</v>
      </c>
      <c r="C32" s="15">
        <v>413815.01</v>
      </c>
      <c r="D32" s="16"/>
      <c r="E32" s="3">
        <v>67609.259999999995</v>
      </c>
      <c r="F32" s="3">
        <v>229999.55</v>
      </c>
      <c r="G32" s="3"/>
      <c r="H32" s="2">
        <v>1031940</v>
      </c>
      <c r="I32" s="8">
        <f t="shared" si="0"/>
        <v>51597</v>
      </c>
      <c r="J32" s="42">
        <f t="shared" si="1"/>
        <v>64609.200000000012</v>
      </c>
    </row>
    <row r="33" spans="1:10" x14ac:dyDescent="0.2">
      <c r="A33" s="1">
        <v>100</v>
      </c>
      <c r="B33" s="1" t="s">
        <v>47</v>
      </c>
      <c r="C33" s="15">
        <v>106393.63</v>
      </c>
      <c r="D33" s="16"/>
      <c r="E33" s="3">
        <v>53232.93</v>
      </c>
      <c r="F33" s="3">
        <v>15105.46</v>
      </c>
      <c r="G33" s="3"/>
      <c r="H33" s="2">
        <v>379260</v>
      </c>
      <c r="I33" s="8">
        <f t="shared" si="0"/>
        <v>18963</v>
      </c>
      <c r="J33" s="42">
        <f t="shared" si="1"/>
        <v>19092.240000000005</v>
      </c>
    </row>
    <row r="34" spans="1:10" x14ac:dyDescent="0.2">
      <c r="A34" s="1">
        <v>108</v>
      </c>
      <c r="B34" s="1" t="s">
        <v>48</v>
      </c>
      <c r="C34" s="15">
        <v>122275.64</v>
      </c>
      <c r="D34" s="16"/>
      <c r="E34" s="3">
        <v>26905.57</v>
      </c>
      <c r="F34" s="3">
        <v>17577.73</v>
      </c>
      <c r="G34" s="3"/>
      <c r="H34" s="2">
        <v>849626.4</v>
      </c>
      <c r="I34" s="8">
        <f t="shared" si="0"/>
        <v>42481.320000000007</v>
      </c>
      <c r="J34" s="42">
        <f t="shared" si="1"/>
        <v>35311.020000000004</v>
      </c>
    </row>
    <row r="35" spans="1:10" x14ac:dyDescent="0.2">
      <c r="A35" s="1">
        <v>110</v>
      </c>
      <c r="B35" s="1" t="s">
        <v>49</v>
      </c>
      <c r="C35" s="15">
        <v>989487.37</v>
      </c>
      <c r="D35" s="16"/>
      <c r="E35" s="3">
        <v>202927.08</v>
      </c>
      <c r="F35" s="3">
        <v>212185.53</v>
      </c>
      <c r="G35" s="3"/>
      <c r="H35" s="2">
        <v>5687766</v>
      </c>
      <c r="I35" s="8">
        <f t="shared" si="0"/>
        <v>284388.3</v>
      </c>
      <c r="J35" s="42">
        <f t="shared" si="1"/>
        <v>289986.46000000002</v>
      </c>
    </row>
    <row r="36" spans="1:10" x14ac:dyDescent="0.2">
      <c r="A36" s="1">
        <v>111</v>
      </c>
      <c r="B36" s="1" t="s">
        <v>50</v>
      </c>
      <c r="C36" s="15">
        <v>606530.07999999996</v>
      </c>
      <c r="D36" s="16"/>
      <c r="E36" s="3">
        <v>63705.1</v>
      </c>
      <c r="F36" s="3">
        <v>172923.51999999999</v>
      </c>
      <c r="G36" s="3"/>
      <c r="H36" s="2">
        <v>4603899.3</v>
      </c>
      <c r="I36" s="8">
        <f t="shared" si="0"/>
        <v>230194.965</v>
      </c>
      <c r="J36" s="42">
        <f t="shared" si="1"/>
        <v>139706.49499999997</v>
      </c>
    </row>
    <row r="37" spans="1:10" x14ac:dyDescent="0.2">
      <c r="A37" s="1">
        <v>112</v>
      </c>
      <c r="B37" s="1" t="s">
        <v>51</v>
      </c>
      <c r="C37" s="15">
        <v>3485556.92</v>
      </c>
      <c r="D37" s="16"/>
      <c r="E37" s="3">
        <v>979497.91</v>
      </c>
      <c r="F37" s="3">
        <v>563478.86</v>
      </c>
      <c r="G37" s="3"/>
      <c r="H37" s="2">
        <v>19425816.375</v>
      </c>
      <c r="I37" s="8">
        <f t="shared" si="0"/>
        <v>971290.81875000009</v>
      </c>
      <c r="J37" s="42">
        <f t="shared" si="1"/>
        <v>971289.33124999981</v>
      </c>
    </row>
    <row r="38" spans="1:10" x14ac:dyDescent="0.2">
      <c r="A38" s="1">
        <v>113</v>
      </c>
      <c r="B38" s="1" t="s">
        <v>52</v>
      </c>
      <c r="C38" s="15">
        <v>227965.49</v>
      </c>
      <c r="D38" s="16"/>
      <c r="E38" s="3">
        <v>142773.9</v>
      </c>
      <c r="F38" s="3">
        <v>0</v>
      </c>
      <c r="G38" s="3"/>
      <c r="H38" s="2">
        <v>1314111.75</v>
      </c>
      <c r="I38" s="8">
        <f t="shared" si="0"/>
        <v>65705.587500000009</v>
      </c>
      <c r="J38" s="42">
        <f t="shared" si="1"/>
        <v>19486.002499999988</v>
      </c>
    </row>
    <row r="39" spans="1:10" x14ac:dyDescent="0.2">
      <c r="A39" s="1">
        <v>115</v>
      </c>
      <c r="B39" s="1" t="s">
        <v>53</v>
      </c>
      <c r="C39" s="15">
        <v>484037.16</v>
      </c>
      <c r="D39" s="16">
        <v>17547088</v>
      </c>
      <c r="E39" s="3">
        <v>122853.97</v>
      </c>
      <c r="F39" s="3">
        <v>84282.79</v>
      </c>
      <c r="G39" s="3"/>
      <c r="H39" s="2">
        <v>1953181.65</v>
      </c>
      <c r="I39" s="8">
        <f t="shared" si="0"/>
        <v>97659.082500000004</v>
      </c>
      <c r="J39" s="42">
        <f t="shared" si="1"/>
        <v>179241.31749999995</v>
      </c>
    </row>
    <row r="40" spans="1:10" x14ac:dyDescent="0.2">
      <c r="A40" s="1">
        <v>116</v>
      </c>
      <c r="B40" s="1" t="s">
        <v>54</v>
      </c>
      <c r="C40" s="15">
        <v>114978.76</v>
      </c>
      <c r="D40" s="16"/>
      <c r="E40" s="3">
        <v>32139.56</v>
      </c>
      <c r="F40" s="3">
        <v>1986.68</v>
      </c>
      <c r="G40" s="3"/>
      <c r="H40" s="2">
        <v>1115664.8999999999</v>
      </c>
      <c r="I40" s="8">
        <f t="shared" si="0"/>
        <v>55783.244999999995</v>
      </c>
      <c r="J40" s="42">
        <f t="shared" si="1"/>
        <v>25069.275000000009</v>
      </c>
    </row>
    <row r="41" spans="1:10" x14ac:dyDescent="0.2">
      <c r="A41" s="1">
        <v>118</v>
      </c>
      <c r="B41" s="1" t="s">
        <v>55</v>
      </c>
      <c r="C41" s="15">
        <v>43998.62</v>
      </c>
      <c r="D41" s="16"/>
      <c r="E41" s="3">
        <v>0</v>
      </c>
      <c r="F41" s="3">
        <v>17344</v>
      </c>
      <c r="G41" s="3"/>
      <c r="H41" s="2">
        <v>158403</v>
      </c>
      <c r="I41" s="8">
        <f t="shared" si="0"/>
        <v>7920.1500000000005</v>
      </c>
      <c r="J41" s="42">
        <f t="shared" si="1"/>
        <v>18734.47</v>
      </c>
    </row>
    <row r="42" spans="1:10" x14ac:dyDescent="0.2">
      <c r="A42" s="1">
        <v>129</v>
      </c>
      <c r="B42" s="1" t="s">
        <v>56</v>
      </c>
      <c r="C42" s="15">
        <v>355136.75</v>
      </c>
      <c r="D42" s="16"/>
      <c r="E42" s="3">
        <v>81681.509999999995</v>
      </c>
      <c r="F42" s="3">
        <v>131463.16</v>
      </c>
      <c r="G42" s="3"/>
      <c r="H42" s="2">
        <v>1307326.1145000001</v>
      </c>
      <c r="I42" s="8">
        <f t="shared" si="0"/>
        <v>65366.305725000013</v>
      </c>
      <c r="J42" s="42">
        <f t="shared" si="1"/>
        <v>76625.774274999974</v>
      </c>
    </row>
    <row r="43" spans="1:10" x14ac:dyDescent="0.2">
      <c r="A43" s="1">
        <v>138</v>
      </c>
      <c r="B43" s="1" t="s">
        <v>57</v>
      </c>
      <c r="C43" s="15">
        <v>925942.74</v>
      </c>
      <c r="D43" s="16"/>
      <c r="E43" s="3">
        <v>299042.90000000002</v>
      </c>
      <c r="F43" s="3">
        <v>222197.18</v>
      </c>
      <c r="G43" s="3"/>
      <c r="H43" s="2">
        <v>4867296</v>
      </c>
      <c r="I43" s="8">
        <f t="shared" si="0"/>
        <v>243364.80000000002</v>
      </c>
      <c r="J43" s="42">
        <f t="shared" si="1"/>
        <v>161337.85999999996</v>
      </c>
    </row>
    <row r="44" spans="1:10" x14ac:dyDescent="0.2">
      <c r="A44" s="1">
        <v>139</v>
      </c>
      <c r="B44" s="1" t="s">
        <v>58</v>
      </c>
      <c r="C44" s="15">
        <v>271628.76</v>
      </c>
      <c r="D44" s="16">
        <v>12381865.99</v>
      </c>
      <c r="E44" s="3">
        <v>75121.83</v>
      </c>
      <c r="F44" s="3">
        <v>66660.800000000003</v>
      </c>
      <c r="G44" s="3"/>
      <c r="H44" s="2">
        <v>1452457.125</v>
      </c>
      <c r="I44" s="8">
        <f t="shared" si="0"/>
        <v>72622.856249999997</v>
      </c>
      <c r="J44" s="42">
        <f t="shared" si="1"/>
        <v>57223.273749999993</v>
      </c>
    </row>
    <row r="45" spans="1:10" x14ac:dyDescent="0.2">
      <c r="A45" s="1">
        <v>146</v>
      </c>
      <c r="B45" s="1" t="s">
        <v>59</v>
      </c>
      <c r="C45" s="15">
        <v>0</v>
      </c>
      <c r="D45" s="16"/>
      <c r="E45" s="3">
        <v>118565.85</v>
      </c>
      <c r="F45" s="3">
        <v>126962.29</v>
      </c>
      <c r="G45" s="3"/>
      <c r="H45" s="2">
        <v>0</v>
      </c>
      <c r="I45" s="8">
        <f t="shared" si="0"/>
        <v>0</v>
      </c>
      <c r="J45" s="42">
        <f t="shared" si="1"/>
        <v>0</v>
      </c>
    </row>
    <row r="46" spans="1:10" x14ac:dyDescent="0.2">
      <c r="A46" s="1">
        <v>150</v>
      </c>
      <c r="B46" s="1" t="s">
        <v>60</v>
      </c>
      <c r="C46" s="15">
        <v>163627.82</v>
      </c>
      <c r="D46" s="16"/>
      <c r="E46" s="3">
        <v>47289.75</v>
      </c>
      <c r="F46" s="3">
        <v>30964.35</v>
      </c>
      <c r="G46" s="3"/>
      <c r="H46" s="2">
        <v>944824.125</v>
      </c>
      <c r="I46" s="8">
        <f t="shared" si="0"/>
        <v>47241.206250000003</v>
      </c>
      <c r="J46" s="42">
        <f t="shared" si="1"/>
        <v>38132.513749999998</v>
      </c>
    </row>
    <row r="47" spans="1:10" x14ac:dyDescent="0.2">
      <c r="A47" s="1">
        <v>152</v>
      </c>
      <c r="B47" s="1" t="s">
        <v>61</v>
      </c>
      <c r="C47" s="15">
        <v>1162127.8700000001</v>
      </c>
      <c r="D47" s="16">
        <v>42050899</v>
      </c>
      <c r="E47" s="3">
        <v>285523.17</v>
      </c>
      <c r="F47" s="3">
        <v>288049.46000000002</v>
      </c>
      <c r="G47" s="3"/>
      <c r="H47" s="2">
        <v>5464397.4000000004</v>
      </c>
      <c r="I47" s="8">
        <f t="shared" si="0"/>
        <v>273219.87000000005</v>
      </c>
      <c r="J47" s="42">
        <f t="shared" si="1"/>
        <v>315335.37000000017</v>
      </c>
    </row>
    <row r="48" spans="1:10" x14ac:dyDescent="0.2">
      <c r="A48" s="1">
        <v>162</v>
      </c>
      <c r="B48" s="1" t="s">
        <v>62</v>
      </c>
      <c r="C48" s="15">
        <v>246338.44</v>
      </c>
      <c r="D48" s="16"/>
      <c r="E48" s="3">
        <v>64638.41</v>
      </c>
      <c r="F48" s="3">
        <v>62807.79</v>
      </c>
      <c r="G48" s="3"/>
      <c r="H48" s="2">
        <v>1113840</v>
      </c>
      <c r="I48" s="8">
        <f t="shared" si="0"/>
        <v>55692</v>
      </c>
      <c r="J48" s="42">
        <f t="shared" si="1"/>
        <v>63200.239999999991</v>
      </c>
    </row>
    <row r="49" spans="1:10" x14ac:dyDescent="0.2">
      <c r="A49" s="1">
        <v>166</v>
      </c>
      <c r="B49" s="1" t="s">
        <v>63</v>
      </c>
      <c r="C49" s="15">
        <v>262743.82</v>
      </c>
      <c r="D49" s="16"/>
      <c r="E49" s="3">
        <v>19950.740000000002</v>
      </c>
      <c r="F49" s="3">
        <v>49116.78</v>
      </c>
      <c r="G49" s="3"/>
      <c r="H49" s="2">
        <v>892993.5</v>
      </c>
      <c r="I49" s="8">
        <f t="shared" si="0"/>
        <v>44649.675000000003</v>
      </c>
      <c r="J49" s="42">
        <f t="shared" si="1"/>
        <v>149026.625</v>
      </c>
    </row>
    <row r="50" spans="1:10" x14ac:dyDescent="0.2">
      <c r="A50" s="1">
        <v>177</v>
      </c>
      <c r="B50" s="1" t="s">
        <v>64</v>
      </c>
      <c r="C50" s="15">
        <v>303032.67</v>
      </c>
      <c r="D50" s="16"/>
      <c r="E50" s="3">
        <v>62336.11</v>
      </c>
      <c r="F50" s="3">
        <v>125246.66</v>
      </c>
      <c r="G50" s="3"/>
      <c r="H50" s="2">
        <v>1173047.3999999999</v>
      </c>
      <c r="I50" s="8">
        <f t="shared" si="0"/>
        <v>58652.369999999995</v>
      </c>
      <c r="J50" s="42">
        <f t="shared" si="1"/>
        <v>56797.53</v>
      </c>
    </row>
    <row r="51" spans="1:10" x14ac:dyDescent="0.2">
      <c r="A51" s="1">
        <v>181</v>
      </c>
      <c r="B51" s="1" t="s">
        <v>65</v>
      </c>
      <c r="C51" s="15">
        <v>1498962.03</v>
      </c>
      <c r="D51" s="16">
        <v>52740431.25</v>
      </c>
      <c r="E51" s="3">
        <v>464086.24</v>
      </c>
      <c r="F51" s="3">
        <v>327370.18</v>
      </c>
      <c r="G51" s="3"/>
      <c r="H51" s="2">
        <v>7057134</v>
      </c>
      <c r="I51" s="8">
        <f t="shared" si="0"/>
        <v>352856.7</v>
      </c>
      <c r="J51" s="42">
        <f t="shared" si="1"/>
        <v>354648.91000000009</v>
      </c>
    </row>
    <row r="52" spans="1:10" x14ac:dyDescent="0.2">
      <c r="A52" s="1">
        <v>182</v>
      </c>
      <c r="B52" s="1" t="s">
        <v>66</v>
      </c>
      <c r="C52" s="15">
        <v>429459.33</v>
      </c>
      <c r="D52" s="16"/>
      <c r="E52" s="3">
        <v>121155.34</v>
      </c>
      <c r="F52" s="3">
        <v>113546.35</v>
      </c>
      <c r="G52" s="3"/>
      <c r="H52" s="2">
        <v>1677007.5</v>
      </c>
      <c r="I52" s="8">
        <f t="shared" si="0"/>
        <v>83850.375</v>
      </c>
      <c r="J52" s="42">
        <f t="shared" si="1"/>
        <v>110907.26499999998</v>
      </c>
    </row>
    <row r="53" spans="1:10" x14ac:dyDescent="0.2">
      <c r="A53" s="1">
        <v>186</v>
      </c>
      <c r="B53" s="1" t="s">
        <v>67</v>
      </c>
      <c r="C53" s="15">
        <v>716921.06</v>
      </c>
      <c r="D53" s="16">
        <v>16670918.6</v>
      </c>
      <c r="E53" s="3">
        <v>103283.12</v>
      </c>
      <c r="F53" s="3">
        <v>51302.25</v>
      </c>
      <c r="G53" s="3"/>
      <c r="H53" s="2">
        <v>2058987</v>
      </c>
      <c r="I53" s="8">
        <f t="shared" si="0"/>
        <v>102949.35</v>
      </c>
      <c r="J53" s="42">
        <f t="shared" si="1"/>
        <v>459386.34000000008</v>
      </c>
    </row>
    <row r="54" spans="1:10" x14ac:dyDescent="0.2">
      <c r="A54" s="1">
        <v>191</v>
      </c>
      <c r="B54" s="1" t="s">
        <v>68</v>
      </c>
      <c r="C54" s="15">
        <v>735663.99</v>
      </c>
      <c r="D54" s="16"/>
      <c r="E54" s="3">
        <v>0</v>
      </c>
      <c r="F54" s="3">
        <v>636541.26</v>
      </c>
      <c r="G54" s="3"/>
      <c r="H54" s="2">
        <v>8096508</v>
      </c>
      <c r="I54" s="8">
        <f t="shared" si="0"/>
        <v>404825.4</v>
      </c>
      <c r="J54" s="42">
        <f t="shared" si="1"/>
        <v>0</v>
      </c>
    </row>
    <row r="55" spans="1:10" x14ac:dyDescent="0.2">
      <c r="A55" s="8">
        <v>192</v>
      </c>
      <c r="B55" s="8" t="s">
        <v>306</v>
      </c>
      <c r="C55" s="15">
        <v>2194329.63</v>
      </c>
      <c r="D55" s="16">
        <v>18533885.530000001</v>
      </c>
      <c r="E55" s="3">
        <v>0</v>
      </c>
      <c r="F55" s="3">
        <v>14696.45</v>
      </c>
      <c r="G55" s="3"/>
      <c r="H55" s="2">
        <v>18217874.849999998</v>
      </c>
      <c r="I55" s="8">
        <f t="shared" si="0"/>
        <v>910893.74249999993</v>
      </c>
      <c r="J55" s="42">
        <f t="shared" si="1"/>
        <v>1268739.4374999998</v>
      </c>
    </row>
    <row r="56" spans="1:10" x14ac:dyDescent="0.2">
      <c r="A56" s="1">
        <v>194</v>
      </c>
      <c r="B56" s="1" t="s">
        <v>69</v>
      </c>
      <c r="C56" s="15">
        <v>2743936</v>
      </c>
      <c r="D56" s="16">
        <v>74351622.719999999</v>
      </c>
      <c r="E56" s="3">
        <v>504657.39</v>
      </c>
      <c r="F56" s="3">
        <v>730466.45</v>
      </c>
      <c r="G56" s="3"/>
      <c r="H56" s="2">
        <v>18959412.149999999</v>
      </c>
      <c r="I56" s="8">
        <f t="shared" si="0"/>
        <v>947970.60749999993</v>
      </c>
      <c r="J56" s="42">
        <f t="shared" si="1"/>
        <v>560841.55249999999</v>
      </c>
    </row>
    <row r="57" spans="1:10" x14ac:dyDescent="0.2">
      <c r="A57" s="1">
        <v>195</v>
      </c>
      <c r="B57" s="1" t="s">
        <v>70</v>
      </c>
      <c r="C57" s="15">
        <v>133309.18</v>
      </c>
      <c r="D57" s="16"/>
      <c r="E57" s="3">
        <v>29156.87</v>
      </c>
      <c r="F57" s="3">
        <v>40449.58</v>
      </c>
      <c r="G57" s="3"/>
      <c r="H57" s="2">
        <v>636069.52500000002</v>
      </c>
      <c r="I57" s="8">
        <f t="shared" si="0"/>
        <v>31803.476250000003</v>
      </c>
      <c r="J57" s="42">
        <f t="shared" si="1"/>
        <v>31899.253749999993</v>
      </c>
    </row>
    <row r="58" spans="1:10" x14ac:dyDescent="0.2">
      <c r="A58" s="1">
        <v>196</v>
      </c>
      <c r="B58" s="1" t="s">
        <v>71</v>
      </c>
      <c r="C58" s="15">
        <v>4314347.2</v>
      </c>
      <c r="D58" s="16"/>
      <c r="E58" s="3">
        <v>1357353.87</v>
      </c>
      <c r="F58" s="3">
        <v>1077933.26</v>
      </c>
      <c r="G58" s="3"/>
      <c r="H58" s="2">
        <v>17034924.899999999</v>
      </c>
      <c r="I58" s="8">
        <f t="shared" si="0"/>
        <v>851746.245</v>
      </c>
      <c r="J58" s="42">
        <f t="shared" si="1"/>
        <v>1027313.8250000001</v>
      </c>
    </row>
    <row r="59" spans="1:10" x14ac:dyDescent="0.2">
      <c r="A59" s="1">
        <v>197</v>
      </c>
      <c r="B59" s="1" t="s">
        <v>72</v>
      </c>
      <c r="C59" s="15">
        <v>1881453.53</v>
      </c>
      <c r="D59" s="16"/>
      <c r="E59" s="3">
        <v>737622.52</v>
      </c>
      <c r="F59" s="3">
        <v>396870.2</v>
      </c>
      <c r="G59" s="3"/>
      <c r="H59" s="2">
        <v>8011791.375</v>
      </c>
      <c r="I59" s="8">
        <f t="shared" si="0"/>
        <v>400589.56875000003</v>
      </c>
      <c r="J59" s="42">
        <f t="shared" si="1"/>
        <v>346371.24125000002</v>
      </c>
    </row>
    <row r="60" spans="1:10" x14ac:dyDescent="0.2">
      <c r="A60" s="1">
        <v>199</v>
      </c>
      <c r="B60" s="1" t="s">
        <v>73</v>
      </c>
      <c r="C60" s="15">
        <v>757107.13</v>
      </c>
      <c r="D60" s="16"/>
      <c r="E60" s="3">
        <v>118645.31</v>
      </c>
      <c r="F60" s="3">
        <v>141617.01999999999</v>
      </c>
      <c r="G60" s="3"/>
      <c r="H60" s="2">
        <v>3935268.75</v>
      </c>
      <c r="I60" s="8">
        <f t="shared" si="0"/>
        <v>196763.4375</v>
      </c>
      <c r="J60" s="42">
        <f t="shared" si="1"/>
        <v>300081.36250000005</v>
      </c>
    </row>
    <row r="61" spans="1:10" x14ac:dyDescent="0.2">
      <c r="A61" s="1">
        <v>200</v>
      </c>
      <c r="B61" s="1" t="s">
        <v>74</v>
      </c>
      <c r="C61" s="15">
        <v>1775051.89</v>
      </c>
      <c r="D61" s="16"/>
      <c r="E61" s="3">
        <v>209139.43</v>
      </c>
      <c r="F61" s="3">
        <v>184598.8</v>
      </c>
      <c r="G61" s="3"/>
      <c r="H61" s="2">
        <v>5294547.8250000002</v>
      </c>
      <c r="I61" s="8">
        <f t="shared" si="0"/>
        <v>264727.39125000004</v>
      </c>
      <c r="J61" s="42">
        <f t="shared" si="1"/>
        <v>1116586.2687499998</v>
      </c>
    </row>
    <row r="62" spans="1:10" x14ac:dyDescent="0.2">
      <c r="A62" s="1">
        <v>203</v>
      </c>
      <c r="B62" s="1" t="s">
        <v>75</v>
      </c>
      <c r="C62" s="15">
        <v>131284.9</v>
      </c>
      <c r="D62" s="16"/>
      <c r="E62" s="3">
        <v>39360.78</v>
      </c>
      <c r="F62" s="3">
        <v>29787.78</v>
      </c>
      <c r="G62" s="3"/>
      <c r="H62" s="2">
        <v>629842.5</v>
      </c>
      <c r="I62" s="8">
        <f t="shared" si="0"/>
        <v>31492.125</v>
      </c>
      <c r="J62" s="42">
        <f t="shared" si="1"/>
        <v>30644.214999999997</v>
      </c>
    </row>
    <row r="63" spans="1:10" x14ac:dyDescent="0.2">
      <c r="A63" s="1">
        <v>204</v>
      </c>
      <c r="B63" s="1" t="s">
        <v>76</v>
      </c>
      <c r="C63" s="15">
        <v>308460.21000000002</v>
      </c>
      <c r="D63" s="16"/>
      <c r="E63" s="3">
        <v>0</v>
      </c>
      <c r="F63" s="3">
        <v>68596.850000000006</v>
      </c>
      <c r="G63" s="3"/>
      <c r="H63" s="2">
        <v>2668276.7999999998</v>
      </c>
      <c r="I63" s="8">
        <f t="shared" si="0"/>
        <v>133413.84</v>
      </c>
      <c r="J63" s="42">
        <f t="shared" si="1"/>
        <v>106449.52000000002</v>
      </c>
    </row>
    <row r="64" spans="1:10" x14ac:dyDescent="0.2">
      <c r="A64" s="1">
        <v>206</v>
      </c>
      <c r="B64" s="1" t="s">
        <v>77</v>
      </c>
      <c r="C64" s="15">
        <v>674779.31</v>
      </c>
      <c r="D64" s="16"/>
      <c r="E64" s="3">
        <v>163172.35999999999</v>
      </c>
      <c r="F64" s="3">
        <v>22517.23</v>
      </c>
      <c r="G64" s="3"/>
      <c r="H64" s="2">
        <v>6322912.0500000007</v>
      </c>
      <c r="I64" s="8">
        <f t="shared" si="0"/>
        <v>316145.60250000004</v>
      </c>
      <c r="J64" s="42">
        <f t="shared" si="1"/>
        <v>172944.11750000005</v>
      </c>
    </row>
    <row r="65" spans="1:10" x14ac:dyDescent="0.2">
      <c r="A65" s="1">
        <v>213</v>
      </c>
      <c r="B65" s="1" t="s">
        <v>78</v>
      </c>
      <c r="C65" s="15">
        <v>235360.75</v>
      </c>
      <c r="D65" s="16"/>
      <c r="E65" s="3">
        <v>64938.58</v>
      </c>
      <c r="F65" s="3">
        <v>44148.39</v>
      </c>
      <c r="G65" s="3"/>
      <c r="H65" s="2">
        <v>1268161.125</v>
      </c>
      <c r="I65" s="8">
        <f t="shared" si="0"/>
        <v>63408.056250000001</v>
      </c>
      <c r="J65" s="42">
        <f t="shared" si="1"/>
        <v>62865.723749999983</v>
      </c>
    </row>
    <row r="66" spans="1:10" x14ac:dyDescent="0.2">
      <c r="A66" s="1">
        <v>227</v>
      </c>
      <c r="B66" s="1" t="s">
        <v>79</v>
      </c>
      <c r="C66" s="15">
        <v>393673.84</v>
      </c>
      <c r="D66" s="16"/>
      <c r="E66" s="3">
        <v>193113.78</v>
      </c>
      <c r="F66" s="3">
        <v>76559.39</v>
      </c>
      <c r="G66" s="3"/>
      <c r="H66" s="2">
        <v>1421911.3230000001</v>
      </c>
      <c r="I66" s="8">
        <f t="shared" si="0"/>
        <v>71095.566150000013</v>
      </c>
      <c r="J66" s="42">
        <f t="shared" si="1"/>
        <v>52905.103850000014</v>
      </c>
    </row>
    <row r="67" spans="1:10" x14ac:dyDescent="0.2">
      <c r="A67" s="1">
        <v>229</v>
      </c>
      <c r="B67" s="1" t="s">
        <v>80</v>
      </c>
      <c r="C67" s="15">
        <v>55838.73</v>
      </c>
      <c r="D67" s="16"/>
      <c r="E67" s="3">
        <v>10317.030000000001</v>
      </c>
      <c r="F67" s="3">
        <v>8816.73</v>
      </c>
      <c r="G67" s="3"/>
      <c r="H67" s="2">
        <v>267201.375</v>
      </c>
      <c r="I67" s="8">
        <f t="shared" si="0"/>
        <v>13360.06875</v>
      </c>
      <c r="J67" s="42">
        <f t="shared" si="1"/>
        <v>23344.901250000003</v>
      </c>
    </row>
    <row r="68" spans="1:10" x14ac:dyDescent="0.2">
      <c r="A68" s="1">
        <v>238</v>
      </c>
      <c r="B68" s="1" t="s">
        <v>81</v>
      </c>
      <c r="C68" s="15">
        <v>69068.740000000005</v>
      </c>
      <c r="D68" s="16"/>
      <c r="E68" s="3">
        <v>12965.4</v>
      </c>
      <c r="F68" s="3">
        <v>18068.62</v>
      </c>
      <c r="G68" s="3"/>
      <c r="H68" s="2">
        <v>396755.625</v>
      </c>
      <c r="I68" s="8">
        <f t="shared" si="0"/>
        <v>19837.78125</v>
      </c>
      <c r="J68" s="42">
        <f t="shared" si="1"/>
        <v>18196.938750000001</v>
      </c>
    </row>
    <row r="69" spans="1:10" x14ac:dyDescent="0.2">
      <c r="A69" s="1">
        <v>239</v>
      </c>
      <c r="B69" s="1" t="s">
        <v>82</v>
      </c>
      <c r="C69" s="15">
        <v>0</v>
      </c>
      <c r="D69" s="16"/>
      <c r="E69" s="3">
        <v>5757.44</v>
      </c>
      <c r="F69" s="3">
        <v>5757.44</v>
      </c>
      <c r="G69" s="3"/>
      <c r="H69" s="2">
        <v>0</v>
      </c>
      <c r="I69" s="8">
        <f t="shared" si="0"/>
        <v>0</v>
      </c>
      <c r="J69" s="42">
        <f t="shared" si="1"/>
        <v>0</v>
      </c>
    </row>
    <row r="70" spans="1:10" x14ac:dyDescent="0.2">
      <c r="A70" s="1">
        <v>241</v>
      </c>
      <c r="B70" s="1" t="s">
        <v>83</v>
      </c>
      <c r="C70" s="15">
        <v>620694.87</v>
      </c>
      <c r="D70" s="16"/>
      <c r="E70" s="3">
        <v>192148.94</v>
      </c>
      <c r="F70" s="3">
        <v>127257.16</v>
      </c>
      <c r="G70" s="3"/>
      <c r="H70" s="2">
        <v>2945880</v>
      </c>
      <c r="I70" s="8">
        <f t="shared" si="0"/>
        <v>147294</v>
      </c>
      <c r="J70" s="42">
        <f t="shared" si="1"/>
        <v>153994.77000000002</v>
      </c>
    </row>
    <row r="71" spans="1:10" x14ac:dyDescent="0.2">
      <c r="A71" s="1">
        <v>242</v>
      </c>
      <c r="B71" s="1" t="s">
        <v>84</v>
      </c>
      <c r="C71" s="15">
        <v>99709.07</v>
      </c>
      <c r="D71" s="16"/>
      <c r="E71" s="3">
        <v>33555.24</v>
      </c>
      <c r="F71" s="3">
        <v>26048.79</v>
      </c>
      <c r="G71" s="3"/>
      <c r="H71" s="2">
        <v>453424.65</v>
      </c>
      <c r="I71" s="8">
        <f t="shared" si="0"/>
        <v>22671.232500000002</v>
      </c>
      <c r="J71" s="42">
        <f t="shared" si="1"/>
        <v>17433.807500000014</v>
      </c>
    </row>
    <row r="72" spans="1:10" x14ac:dyDescent="0.2">
      <c r="A72" s="1">
        <v>252</v>
      </c>
      <c r="B72" s="1" t="s">
        <v>85</v>
      </c>
      <c r="C72" s="15">
        <v>437877.35</v>
      </c>
      <c r="D72" s="16"/>
      <c r="E72" s="3">
        <v>268789.37</v>
      </c>
      <c r="F72" s="3">
        <v>201010</v>
      </c>
      <c r="G72" s="3"/>
      <c r="H72" s="2">
        <v>1624678.65</v>
      </c>
      <c r="I72" s="8">
        <f t="shared" si="0"/>
        <v>81233.932499999995</v>
      </c>
      <c r="J72" s="42">
        <f t="shared" si="1"/>
        <v>0</v>
      </c>
    </row>
    <row r="73" spans="1:10" x14ac:dyDescent="0.2">
      <c r="A73" s="1">
        <v>253</v>
      </c>
      <c r="B73" s="1" t="s">
        <v>86</v>
      </c>
      <c r="C73" s="15">
        <v>110332.51</v>
      </c>
      <c r="D73" s="16">
        <v>3302693.71</v>
      </c>
      <c r="E73" s="3">
        <v>32237.22</v>
      </c>
      <c r="F73" s="3">
        <v>28383.07</v>
      </c>
      <c r="G73" s="3"/>
      <c r="H73" s="2">
        <v>545007.75</v>
      </c>
      <c r="I73" s="8">
        <f t="shared" ref="I73:I134" si="2">H73*0.05</f>
        <v>27250.387500000001</v>
      </c>
      <c r="J73" s="42">
        <f t="shared" ref="J73:J136" si="3">IF(C73-E73-F73-G73-I73&gt;0,C73-E73-F73-G73-I73,0)</f>
        <v>22461.832499999993</v>
      </c>
    </row>
    <row r="74" spans="1:10" x14ac:dyDescent="0.2">
      <c r="A74" s="1">
        <v>255</v>
      </c>
      <c r="B74" s="1" t="s">
        <v>87</v>
      </c>
      <c r="C74" s="15">
        <v>249753</v>
      </c>
      <c r="D74" s="16"/>
      <c r="E74" s="3">
        <v>130013.66</v>
      </c>
      <c r="F74" s="3">
        <v>42538.92</v>
      </c>
      <c r="G74" s="3"/>
      <c r="H74" s="2">
        <v>742838.25</v>
      </c>
      <c r="I74" s="8">
        <f t="shared" si="2"/>
        <v>37141.912499999999</v>
      </c>
      <c r="J74" s="42">
        <f t="shared" si="3"/>
        <v>40058.5075</v>
      </c>
    </row>
    <row r="75" spans="1:10" x14ac:dyDescent="0.2">
      <c r="A75" s="1">
        <v>256</v>
      </c>
      <c r="B75" s="1" t="s">
        <v>88</v>
      </c>
      <c r="C75" s="15">
        <v>2692344.43</v>
      </c>
      <c r="D75" s="16"/>
      <c r="E75" s="3">
        <v>206594.82</v>
      </c>
      <c r="F75" s="3">
        <v>2081586</v>
      </c>
      <c r="G75" s="3"/>
      <c r="H75" s="2">
        <v>57408.75</v>
      </c>
      <c r="I75" s="8">
        <f t="shared" si="2"/>
        <v>2870.4375</v>
      </c>
      <c r="J75" s="42">
        <f t="shared" si="3"/>
        <v>401293.17250000034</v>
      </c>
    </row>
    <row r="76" spans="1:10" x14ac:dyDescent="0.2">
      <c r="A76" s="1">
        <v>261</v>
      </c>
      <c r="B76" s="1" t="s">
        <v>89</v>
      </c>
      <c r="C76" s="15">
        <v>104479.76</v>
      </c>
      <c r="D76" s="16"/>
      <c r="E76" s="3">
        <v>40054.29</v>
      </c>
      <c r="F76" s="3">
        <v>28758.78</v>
      </c>
      <c r="G76" s="3"/>
      <c r="H76" s="2">
        <v>557576.25</v>
      </c>
      <c r="I76" s="8">
        <f t="shared" si="2"/>
        <v>27878.8125</v>
      </c>
      <c r="J76" s="42">
        <f t="shared" si="3"/>
        <v>7787.8774999999951</v>
      </c>
    </row>
    <row r="77" spans="1:10" x14ac:dyDescent="0.2">
      <c r="A77" s="1">
        <v>270</v>
      </c>
      <c r="B77" s="1" t="s">
        <v>90</v>
      </c>
      <c r="C77" s="15">
        <v>3018091.17</v>
      </c>
      <c r="D77" s="16">
        <v>33118638.390000001</v>
      </c>
      <c r="E77" s="3">
        <v>889665.57</v>
      </c>
      <c r="F77" s="3">
        <v>0</v>
      </c>
      <c r="G77" s="3">
        <v>200876</v>
      </c>
      <c r="H77" s="2">
        <v>13808399.850000001</v>
      </c>
      <c r="I77" s="8">
        <f t="shared" si="2"/>
        <v>690419.99250000017</v>
      </c>
      <c r="J77" s="42">
        <f t="shared" si="3"/>
        <v>1237129.6074999999</v>
      </c>
    </row>
    <row r="78" spans="1:10" x14ac:dyDescent="0.2">
      <c r="A78" s="1">
        <v>271</v>
      </c>
      <c r="B78" s="1" t="s">
        <v>91</v>
      </c>
      <c r="C78" s="15">
        <v>2011530.66</v>
      </c>
      <c r="D78" s="16">
        <v>38688140.479999997</v>
      </c>
      <c r="E78" s="3">
        <v>878331</v>
      </c>
      <c r="F78" s="3">
        <v>710496</v>
      </c>
      <c r="G78" s="3"/>
      <c r="H78" s="2">
        <v>10842117.300000001</v>
      </c>
      <c r="I78" s="8">
        <f t="shared" si="2"/>
        <v>542105.86500000011</v>
      </c>
      <c r="J78" s="42">
        <f t="shared" si="3"/>
        <v>0</v>
      </c>
    </row>
    <row r="79" spans="1:10" x14ac:dyDescent="0.2">
      <c r="A79" s="1">
        <v>272</v>
      </c>
      <c r="B79" s="1" t="s">
        <v>92</v>
      </c>
      <c r="C79" s="15">
        <v>1350006.36</v>
      </c>
      <c r="D79" s="16"/>
      <c r="E79" s="3">
        <v>274357.93</v>
      </c>
      <c r="F79" s="3">
        <v>0</v>
      </c>
      <c r="G79" s="3"/>
      <c r="H79" s="2">
        <v>12338032.350000001</v>
      </c>
      <c r="I79" s="8">
        <f t="shared" si="2"/>
        <v>616901.61750000005</v>
      </c>
      <c r="J79" s="42">
        <f t="shared" si="3"/>
        <v>458746.81250000012</v>
      </c>
    </row>
    <row r="80" spans="1:10" x14ac:dyDescent="0.2">
      <c r="A80" s="1">
        <v>273</v>
      </c>
      <c r="B80" s="1" t="s">
        <v>93</v>
      </c>
      <c r="C80" s="15">
        <v>17844.32</v>
      </c>
      <c r="D80" s="16"/>
      <c r="E80" s="3">
        <v>0</v>
      </c>
      <c r="F80" s="3">
        <v>250000</v>
      </c>
      <c r="G80" s="3"/>
      <c r="H80" s="2">
        <v>7198763.25</v>
      </c>
      <c r="I80" s="8">
        <f t="shared" si="2"/>
        <v>359938.16250000003</v>
      </c>
      <c r="J80" s="42">
        <f t="shared" si="3"/>
        <v>0</v>
      </c>
    </row>
    <row r="81" spans="1:10" x14ac:dyDescent="0.2">
      <c r="A81" s="1">
        <v>276</v>
      </c>
      <c r="B81" s="1" t="s">
        <v>94</v>
      </c>
      <c r="C81" s="15">
        <v>762123.51</v>
      </c>
      <c r="D81" s="16">
        <v>7641679.4400000004</v>
      </c>
      <c r="E81" s="3">
        <v>950000</v>
      </c>
      <c r="F81" s="3">
        <v>1300000</v>
      </c>
      <c r="G81" s="3"/>
      <c r="H81" s="2">
        <v>6519685.2000000002</v>
      </c>
      <c r="I81" s="8">
        <f t="shared" si="2"/>
        <v>325984.26</v>
      </c>
      <c r="J81" s="42">
        <f t="shared" si="3"/>
        <v>0</v>
      </c>
    </row>
    <row r="82" spans="1:10" x14ac:dyDescent="0.2">
      <c r="A82" s="1">
        <v>277</v>
      </c>
      <c r="B82" s="1" t="s">
        <v>95</v>
      </c>
      <c r="C82" s="15">
        <v>240734.15</v>
      </c>
      <c r="D82" s="16"/>
      <c r="E82" s="3">
        <v>76889.570000000007</v>
      </c>
      <c r="F82" s="3">
        <v>0</v>
      </c>
      <c r="G82" s="3"/>
      <c r="H82" s="2">
        <v>2603074.9500000002</v>
      </c>
      <c r="I82" s="8">
        <f t="shared" si="2"/>
        <v>130153.74750000001</v>
      </c>
      <c r="J82" s="42">
        <f t="shared" si="3"/>
        <v>33690.832499999975</v>
      </c>
    </row>
    <row r="83" spans="1:10" x14ac:dyDescent="0.2">
      <c r="A83" s="1">
        <v>278</v>
      </c>
      <c r="B83" s="1" t="s">
        <v>96</v>
      </c>
      <c r="C83" s="15">
        <v>333144.76</v>
      </c>
      <c r="D83" s="16"/>
      <c r="E83" s="3">
        <v>0</v>
      </c>
      <c r="F83" s="3">
        <v>212000</v>
      </c>
      <c r="G83" s="3"/>
      <c r="H83" s="2">
        <v>4100895.75</v>
      </c>
      <c r="I83" s="8">
        <f t="shared" si="2"/>
        <v>205044.78750000001</v>
      </c>
      <c r="J83" s="42">
        <f t="shared" si="3"/>
        <v>0</v>
      </c>
    </row>
    <row r="84" spans="1:10" x14ac:dyDescent="0.2">
      <c r="A84" s="1">
        <v>279</v>
      </c>
      <c r="B84" s="1" t="s">
        <v>97</v>
      </c>
      <c r="C84" s="15">
        <v>4192637.08</v>
      </c>
      <c r="D84" s="16">
        <v>39421987.740000002</v>
      </c>
      <c r="E84" s="3">
        <v>1265468.81</v>
      </c>
      <c r="F84" s="3">
        <v>797013.04</v>
      </c>
      <c r="G84" s="3"/>
      <c r="H84" s="2">
        <v>20478354.75</v>
      </c>
      <c r="I84" s="8">
        <f t="shared" si="2"/>
        <v>1023917.7375</v>
      </c>
      <c r="J84" s="42">
        <f t="shared" si="3"/>
        <v>1106237.4924999999</v>
      </c>
    </row>
    <row r="85" spans="1:10" x14ac:dyDescent="0.2">
      <c r="A85" s="1">
        <v>280</v>
      </c>
      <c r="B85" s="1" t="s">
        <v>98</v>
      </c>
      <c r="C85" s="15">
        <v>1043490.44</v>
      </c>
      <c r="D85" s="16"/>
      <c r="E85" s="3">
        <v>240243</v>
      </c>
      <c r="F85" s="3">
        <v>650000</v>
      </c>
      <c r="G85" s="3"/>
      <c r="H85" s="2">
        <v>4417078.05</v>
      </c>
      <c r="I85" s="8">
        <f t="shared" si="2"/>
        <v>220853.9025</v>
      </c>
      <c r="J85" s="42">
        <f t="shared" si="3"/>
        <v>0</v>
      </c>
    </row>
    <row r="86" spans="1:10" x14ac:dyDescent="0.2">
      <c r="A86" s="1">
        <v>281</v>
      </c>
      <c r="B86" s="1" t="s">
        <v>99</v>
      </c>
      <c r="C86" s="15">
        <v>2731154.36</v>
      </c>
      <c r="D86" s="16">
        <v>44033879</v>
      </c>
      <c r="E86" s="3">
        <v>112859.12</v>
      </c>
      <c r="F86" s="3">
        <v>942656.73</v>
      </c>
      <c r="G86" s="3"/>
      <c r="H86" s="2">
        <v>18654091.0605</v>
      </c>
      <c r="I86" s="8">
        <f t="shared" si="2"/>
        <v>932704.55302500003</v>
      </c>
      <c r="J86" s="42">
        <f t="shared" si="3"/>
        <v>742933.95697499975</v>
      </c>
    </row>
    <row r="87" spans="1:10" x14ac:dyDescent="0.2">
      <c r="A87" s="1">
        <v>282</v>
      </c>
      <c r="B87" s="1" t="s">
        <v>100</v>
      </c>
      <c r="C87" s="15">
        <v>243612.55</v>
      </c>
      <c r="D87" s="16"/>
      <c r="E87" s="3">
        <v>27632.75</v>
      </c>
      <c r="F87" s="3">
        <v>66227.539999999994</v>
      </c>
      <c r="G87" s="3"/>
      <c r="H87" s="2">
        <v>1926792</v>
      </c>
      <c r="I87" s="8">
        <f t="shared" si="2"/>
        <v>96339.6</v>
      </c>
      <c r="J87" s="42">
        <f t="shared" si="3"/>
        <v>53412.66</v>
      </c>
    </row>
    <row r="88" spans="1:10" x14ac:dyDescent="0.2">
      <c r="A88" s="1">
        <v>283</v>
      </c>
      <c r="B88" s="1" t="s">
        <v>101</v>
      </c>
      <c r="C88" s="15">
        <v>1011868.45</v>
      </c>
      <c r="D88" s="16"/>
      <c r="E88" s="3">
        <v>203464.37</v>
      </c>
      <c r="F88" s="3">
        <v>86348.19</v>
      </c>
      <c r="G88" s="3"/>
      <c r="H88" s="2">
        <v>6246652.6500000004</v>
      </c>
      <c r="I88" s="8">
        <f t="shared" si="2"/>
        <v>312332.63250000001</v>
      </c>
      <c r="J88" s="42">
        <f t="shared" si="3"/>
        <v>409723.25749999989</v>
      </c>
    </row>
    <row r="89" spans="1:10" x14ac:dyDescent="0.2">
      <c r="A89" s="1">
        <v>284</v>
      </c>
      <c r="B89" s="1" t="s">
        <v>102</v>
      </c>
      <c r="C89" s="15">
        <v>1987109.97</v>
      </c>
      <c r="D89" s="16"/>
      <c r="E89" s="3">
        <v>539538.28</v>
      </c>
      <c r="F89" s="3">
        <v>600000</v>
      </c>
      <c r="G89" s="3"/>
      <c r="H89" s="2">
        <v>9703732.5</v>
      </c>
      <c r="I89" s="8">
        <f t="shared" si="2"/>
        <v>485186.625</v>
      </c>
      <c r="J89" s="42">
        <f t="shared" si="3"/>
        <v>362385.06499999994</v>
      </c>
    </row>
    <row r="90" spans="1:10" x14ac:dyDescent="0.2">
      <c r="A90" s="1">
        <v>286</v>
      </c>
      <c r="B90" s="1" t="s">
        <v>103</v>
      </c>
      <c r="C90" s="15">
        <v>276301.86</v>
      </c>
      <c r="D90" s="16">
        <v>25660489.760000002</v>
      </c>
      <c r="E90" s="3">
        <v>78807.850000000006</v>
      </c>
      <c r="F90" s="3">
        <v>0</v>
      </c>
      <c r="G90" s="3"/>
      <c r="H90" s="2">
        <v>2229141.6</v>
      </c>
      <c r="I90" s="8">
        <f t="shared" si="2"/>
        <v>111457.08000000002</v>
      </c>
      <c r="J90" s="42">
        <f t="shared" si="3"/>
        <v>86036.929999999964</v>
      </c>
    </row>
    <row r="91" spans="1:10" x14ac:dyDescent="0.2">
      <c r="A91" s="1">
        <v>294</v>
      </c>
      <c r="B91" s="1" t="s">
        <v>104</v>
      </c>
      <c r="C91" s="15">
        <v>24586.77</v>
      </c>
      <c r="D91" s="16"/>
      <c r="E91" s="3">
        <v>11140.65</v>
      </c>
      <c r="F91" s="3">
        <v>5207.6499999999996</v>
      </c>
      <c r="G91" s="3"/>
      <c r="H91" s="2">
        <v>146656.125</v>
      </c>
      <c r="I91" s="8">
        <f t="shared" si="2"/>
        <v>7332.8062500000005</v>
      </c>
      <c r="J91" s="42">
        <f t="shared" si="3"/>
        <v>905.66375000000062</v>
      </c>
    </row>
    <row r="92" spans="1:10" x14ac:dyDescent="0.2">
      <c r="A92" s="1">
        <v>297</v>
      </c>
      <c r="B92" s="1" t="s">
        <v>105</v>
      </c>
      <c r="C92" s="15">
        <v>18958.82</v>
      </c>
      <c r="D92" s="16"/>
      <c r="E92" s="3">
        <v>15524.72</v>
      </c>
      <c r="F92" s="3">
        <v>18544.75</v>
      </c>
      <c r="G92" s="3"/>
      <c r="H92" s="2">
        <v>811332.9</v>
      </c>
      <c r="I92" s="8">
        <f t="shared" si="2"/>
        <v>40566.645000000004</v>
      </c>
      <c r="J92" s="42">
        <f t="shared" si="3"/>
        <v>0</v>
      </c>
    </row>
    <row r="93" spans="1:10" x14ac:dyDescent="0.2">
      <c r="A93" s="1">
        <v>300</v>
      </c>
      <c r="B93" s="1" t="s">
        <v>106</v>
      </c>
      <c r="C93" s="15">
        <v>136493.01</v>
      </c>
      <c r="D93" s="16"/>
      <c r="E93" s="3">
        <v>0</v>
      </c>
      <c r="F93" s="3">
        <v>66019.55</v>
      </c>
      <c r="G93" s="3"/>
      <c r="H93" s="2">
        <v>725222.40000000002</v>
      </c>
      <c r="I93" s="8">
        <f t="shared" si="2"/>
        <v>36261.120000000003</v>
      </c>
      <c r="J93" s="42">
        <f t="shared" si="3"/>
        <v>34212.340000000004</v>
      </c>
    </row>
    <row r="94" spans="1:10" x14ac:dyDescent="0.2">
      <c r="A94" s="1">
        <v>308</v>
      </c>
      <c r="B94" s="1" t="s">
        <v>107</v>
      </c>
      <c r="C94" s="15">
        <v>66710.42</v>
      </c>
      <c r="D94" s="16"/>
      <c r="E94" s="3">
        <v>67148.289999999994</v>
      </c>
      <c r="F94" s="3">
        <v>8235.1</v>
      </c>
      <c r="G94" s="3"/>
      <c r="H94" s="2">
        <v>275559.375</v>
      </c>
      <c r="I94" s="8">
        <f t="shared" si="2"/>
        <v>13777.96875</v>
      </c>
      <c r="J94" s="42">
        <f t="shared" si="3"/>
        <v>0</v>
      </c>
    </row>
    <row r="95" spans="1:10" x14ac:dyDescent="0.2">
      <c r="A95" s="1">
        <v>309</v>
      </c>
      <c r="B95" s="1" t="s">
        <v>108</v>
      </c>
      <c r="C95" s="15">
        <v>506650.83</v>
      </c>
      <c r="D95" s="16"/>
      <c r="E95" s="3">
        <v>151896.17000000001</v>
      </c>
      <c r="F95" s="3">
        <v>119998.02</v>
      </c>
      <c r="G95" s="3"/>
      <c r="H95" s="2">
        <v>2997516.9</v>
      </c>
      <c r="I95" s="8">
        <f t="shared" si="2"/>
        <v>149875.845</v>
      </c>
      <c r="J95" s="42">
        <f t="shared" si="3"/>
        <v>84880.795000000013</v>
      </c>
    </row>
    <row r="96" spans="1:10" x14ac:dyDescent="0.2">
      <c r="A96" s="1">
        <v>314</v>
      </c>
      <c r="B96" s="1" t="s">
        <v>109</v>
      </c>
      <c r="C96" s="15">
        <v>118137.51</v>
      </c>
      <c r="D96" s="16"/>
      <c r="E96" s="3">
        <v>15348.86</v>
      </c>
      <c r="F96" s="3">
        <v>31399.8</v>
      </c>
      <c r="G96" s="3"/>
      <c r="H96" s="2">
        <v>776435.625</v>
      </c>
      <c r="I96" s="8">
        <f t="shared" si="2"/>
        <v>38821.78125</v>
      </c>
      <c r="J96" s="42">
        <f t="shared" si="3"/>
        <v>32567.068749999991</v>
      </c>
    </row>
    <row r="97" spans="1:10" x14ac:dyDescent="0.2">
      <c r="A97" s="1">
        <v>316</v>
      </c>
      <c r="B97" s="1" t="s">
        <v>110</v>
      </c>
      <c r="C97" s="15">
        <v>71570.55</v>
      </c>
      <c r="D97" s="16"/>
      <c r="E97" s="3">
        <v>59810.54</v>
      </c>
      <c r="F97" s="3">
        <v>0</v>
      </c>
      <c r="G97" s="3"/>
      <c r="H97" s="2">
        <v>915385.27500000002</v>
      </c>
      <c r="I97" s="8">
        <f t="shared" si="2"/>
        <v>45769.263750000006</v>
      </c>
      <c r="J97" s="42">
        <f t="shared" si="3"/>
        <v>0</v>
      </c>
    </row>
    <row r="98" spans="1:10" x14ac:dyDescent="0.2">
      <c r="A98" s="1">
        <v>317</v>
      </c>
      <c r="B98" s="1" t="s">
        <v>111</v>
      </c>
      <c r="C98" s="15">
        <v>427732.17</v>
      </c>
      <c r="D98" s="16"/>
      <c r="E98" s="3">
        <v>191990.64</v>
      </c>
      <c r="F98" s="3">
        <v>51872.92</v>
      </c>
      <c r="G98" s="3"/>
      <c r="H98" s="2">
        <v>959592.9</v>
      </c>
      <c r="I98" s="8">
        <f t="shared" si="2"/>
        <v>47979.645000000004</v>
      </c>
      <c r="J98" s="42">
        <f t="shared" si="3"/>
        <v>135888.96499999997</v>
      </c>
    </row>
    <row r="99" spans="1:10" x14ac:dyDescent="0.2">
      <c r="A99" s="1">
        <v>318</v>
      </c>
      <c r="B99" s="1" t="s">
        <v>112</v>
      </c>
      <c r="C99" s="15">
        <v>395857.59</v>
      </c>
      <c r="D99" s="16">
        <v>12066247.09</v>
      </c>
      <c r="E99" s="3">
        <v>0</v>
      </c>
      <c r="F99" s="3">
        <v>0</v>
      </c>
      <c r="G99" s="3"/>
      <c r="H99" s="2">
        <v>3541282.5</v>
      </c>
      <c r="I99" s="8">
        <f t="shared" si="2"/>
        <v>177064.125</v>
      </c>
      <c r="J99" s="42">
        <f t="shared" si="3"/>
        <v>218793.46500000003</v>
      </c>
    </row>
    <row r="100" spans="1:10" x14ac:dyDescent="0.2">
      <c r="A100" s="1">
        <v>330</v>
      </c>
      <c r="B100" s="1" t="s">
        <v>113</v>
      </c>
      <c r="C100" s="15">
        <v>53284.67</v>
      </c>
      <c r="D100" s="16"/>
      <c r="E100" s="3">
        <v>12582.06</v>
      </c>
      <c r="F100" s="3">
        <v>14144.68</v>
      </c>
      <c r="G100" s="3"/>
      <c r="H100" s="2">
        <v>279300</v>
      </c>
      <c r="I100" s="8">
        <f t="shared" si="2"/>
        <v>13965</v>
      </c>
      <c r="J100" s="42">
        <f t="shared" si="3"/>
        <v>12592.93</v>
      </c>
    </row>
    <row r="101" spans="1:10" x14ac:dyDescent="0.2">
      <c r="A101" s="1">
        <v>332</v>
      </c>
      <c r="B101" s="1" t="s">
        <v>114</v>
      </c>
      <c r="C101" s="15">
        <v>146154.47</v>
      </c>
      <c r="D101" s="16"/>
      <c r="E101" s="3">
        <v>38844.910000000003</v>
      </c>
      <c r="F101" s="3">
        <v>37697.81</v>
      </c>
      <c r="G101" s="3"/>
      <c r="H101" s="2">
        <v>765404.07300000009</v>
      </c>
      <c r="I101" s="8">
        <f t="shared" si="2"/>
        <v>38270.203650000003</v>
      </c>
      <c r="J101" s="42">
        <f t="shared" si="3"/>
        <v>31341.546349999997</v>
      </c>
    </row>
    <row r="102" spans="1:10" x14ac:dyDescent="0.2">
      <c r="A102" s="1">
        <v>345</v>
      </c>
      <c r="B102" s="1" t="s">
        <v>115</v>
      </c>
      <c r="C102" s="15">
        <v>379139.64</v>
      </c>
      <c r="D102" s="16"/>
      <c r="E102" s="3">
        <v>140414.89000000001</v>
      </c>
      <c r="F102" s="3">
        <v>300000</v>
      </c>
      <c r="G102" s="3"/>
      <c r="H102" s="2">
        <v>1665838.125</v>
      </c>
      <c r="I102" s="8">
        <f t="shared" si="2"/>
        <v>83291.90625</v>
      </c>
      <c r="J102" s="42">
        <f t="shared" si="3"/>
        <v>0</v>
      </c>
    </row>
    <row r="103" spans="1:10" x14ac:dyDescent="0.2">
      <c r="A103" s="1">
        <v>347</v>
      </c>
      <c r="B103" s="1" t="s">
        <v>116</v>
      </c>
      <c r="C103" s="15">
        <v>603864.22</v>
      </c>
      <c r="D103" s="16"/>
      <c r="E103" s="3">
        <v>165209.92000000001</v>
      </c>
      <c r="F103" s="3">
        <v>141841.49</v>
      </c>
      <c r="G103" s="3"/>
      <c r="H103" s="2">
        <v>2610300</v>
      </c>
      <c r="I103" s="8">
        <f t="shared" si="2"/>
        <v>130515</v>
      </c>
      <c r="J103" s="42">
        <f t="shared" si="3"/>
        <v>166297.80999999994</v>
      </c>
    </row>
    <row r="104" spans="1:10" x14ac:dyDescent="0.2">
      <c r="A104" s="1">
        <v>361</v>
      </c>
      <c r="B104" s="8" t="s">
        <v>307</v>
      </c>
      <c r="C104" s="15">
        <v>11815.7</v>
      </c>
      <c r="D104" s="16"/>
      <c r="E104" s="3">
        <v>0</v>
      </c>
      <c r="F104" s="3">
        <v>0</v>
      </c>
      <c r="G104" s="3"/>
      <c r="H104" s="2">
        <v>173998.65</v>
      </c>
      <c r="I104" s="8">
        <f t="shared" si="2"/>
        <v>8699.9325000000008</v>
      </c>
      <c r="J104" s="42">
        <f t="shared" si="3"/>
        <v>3115.7674999999999</v>
      </c>
    </row>
    <row r="105" spans="1:10" x14ac:dyDescent="0.2">
      <c r="A105" s="1">
        <v>363</v>
      </c>
      <c r="B105" s="8" t="s">
        <v>308</v>
      </c>
      <c r="C105" s="15">
        <v>29692.97</v>
      </c>
      <c r="D105" s="16"/>
      <c r="E105" s="3">
        <v>0</v>
      </c>
      <c r="F105" s="3">
        <v>26539.51</v>
      </c>
      <c r="G105" s="3"/>
      <c r="H105" s="2">
        <v>213727.5</v>
      </c>
      <c r="I105" s="8">
        <f t="shared" si="2"/>
        <v>10686.375</v>
      </c>
      <c r="J105" s="42">
        <f t="shared" si="3"/>
        <v>0</v>
      </c>
    </row>
    <row r="106" spans="1:10" x14ac:dyDescent="0.2">
      <c r="A106" s="1">
        <v>378</v>
      </c>
      <c r="B106" s="1" t="s">
        <v>117</v>
      </c>
      <c r="C106" s="15">
        <v>150908.76</v>
      </c>
      <c r="D106" s="16"/>
      <c r="E106" s="3">
        <v>62964.87</v>
      </c>
      <c r="F106" s="3">
        <v>39041.08</v>
      </c>
      <c r="G106" s="3"/>
      <c r="H106" s="2">
        <v>343279.65</v>
      </c>
      <c r="I106" s="8">
        <f t="shared" si="2"/>
        <v>17163.982500000002</v>
      </c>
      <c r="J106" s="42">
        <f t="shared" si="3"/>
        <v>31738.82750000001</v>
      </c>
    </row>
    <row r="107" spans="1:10" x14ac:dyDescent="0.2">
      <c r="A107" s="1">
        <v>381</v>
      </c>
      <c r="B107" s="1" t="s">
        <v>118</v>
      </c>
      <c r="C107" s="15">
        <v>248306.8</v>
      </c>
      <c r="D107" s="16">
        <v>23765531.010000002</v>
      </c>
      <c r="E107" s="3">
        <v>0</v>
      </c>
      <c r="F107" s="3">
        <v>18243.91</v>
      </c>
      <c r="G107" s="3"/>
      <c r="H107" s="2">
        <v>3188902.5</v>
      </c>
      <c r="I107" s="8">
        <f t="shared" si="2"/>
        <v>159445.125</v>
      </c>
      <c r="J107" s="42">
        <f t="shared" si="3"/>
        <v>70617.764999999985</v>
      </c>
    </row>
    <row r="108" spans="1:10" x14ac:dyDescent="0.2">
      <c r="A108" s="1">
        <v>390</v>
      </c>
      <c r="B108" s="8" t="s">
        <v>309</v>
      </c>
      <c r="C108" s="15">
        <v>78618.47</v>
      </c>
      <c r="D108" s="16"/>
      <c r="E108" s="3">
        <v>0</v>
      </c>
      <c r="F108" s="3">
        <v>0</v>
      </c>
      <c r="G108" s="3"/>
      <c r="H108" s="2">
        <v>1175462.3999999999</v>
      </c>
      <c r="I108" s="8">
        <f t="shared" si="2"/>
        <v>58773.119999999995</v>
      </c>
      <c r="J108" s="42">
        <f t="shared" si="3"/>
        <v>19845.350000000006</v>
      </c>
    </row>
    <row r="109" spans="1:10" x14ac:dyDescent="0.2">
      <c r="A109" s="1">
        <v>391</v>
      </c>
      <c r="B109" s="1" t="s">
        <v>119</v>
      </c>
      <c r="C109" s="15">
        <v>0</v>
      </c>
      <c r="D109" s="16"/>
      <c r="E109" s="3">
        <v>31521.19</v>
      </c>
      <c r="F109" s="3">
        <v>41857.480000000003</v>
      </c>
      <c r="G109" s="3"/>
      <c r="H109" s="2">
        <v>0</v>
      </c>
      <c r="I109" s="8">
        <f t="shared" si="2"/>
        <v>0</v>
      </c>
      <c r="J109" s="42">
        <f t="shared" si="3"/>
        <v>0</v>
      </c>
    </row>
    <row r="110" spans="1:10" x14ac:dyDescent="0.2">
      <c r="A110" s="1">
        <v>403</v>
      </c>
      <c r="B110" s="1" t="s">
        <v>120</v>
      </c>
      <c r="C110" s="15">
        <v>74895.33</v>
      </c>
      <c r="D110" s="16"/>
      <c r="E110" s="3">
        <v>0</v>
      </c>
      <c r="F110" s="3">
        <v>4024.87</v>
      </c>
      <c r="G110" s="3"/>
      <c r="H110" s="2">
        <v>663335.4</v>
      </c>
      <c r="I110" s="8">
        <f t="shared" si="2"/>
        <v>33166.770000000004</v>
      </c>
      <c r="J110" s="42">
        <f t="shared" si="3"/>
        <v>37703.69</v>
      </c>
    </row>
    <row r="111" spans="1:10" x14ac:dyDescent="0.2">
      <c r="A111" s="1">
        <v>404</v>
      </c>
      <c r="B111" s="1" t="s">
        <v>121</v>
      </c>
      <c r="C111" s="15">
        <v>71576.679999999993</v>
      </c>
      <c r="D111" s="16"/>
      <c r="E111" s="3">
        <v>27967.56</v>
      </c>
      <c r="F111" s="3">
        <v>13348.63</v>
      </c>
      <c r="G111" s="3"/>
      <c r="H111" s="2">
        <v>291931.5</v>
      </c>
      <c r="I111" s="8">
        <f t="shared" si="2"/>
        <v>14596.575000000001</v>
      </c>
      <c r="J111" s="42">
        <f t="shared" si="3"/>
        <v>15663.914999999997</v>
      </c>
    </row>
    <row r="112" spans="1:10" x14ac:dyDescent="0.2">
      <c r="A112" s="1">
        <v>413</v>
      </c>
      <c r="B112" s="1" t="s">
        <v>122</v>
      </c>
      <c r="C112" s="15">
        <v>479682.53</v>
      </c>
      <c r="D112" s="16"/>
      <c r="E112" s="3">
        <v>223828.38</v>
      </c>
      <c r="F112" s="3">
        <v>130000</v>
      </c>
      <c r="G112" s="3"/>
      <c r="H112" s="2">
        <v>3028576.6979999999</v>
      </c>
      <c r="I112" s="8">
        <f t="shared" si="2"/>
        <v>151428.83489999999</v>
      </c>
      <c r="J112" s="42">
        <f t="shared" si="3"/>
        <v>0</v>
      </c>
    </row>
    <row r="113" spans="1:10" x14ac:dyDescent="0.2">
      <c r="A113" s="1">
        <v>414</v>
      </c>
      <c r="B113" s="1" t="s">
        <v>123</v>
      </c>
      <c r="C113" s="15">
        <v>0</v>
      </c>
      <c r="D113" s="16"/>
      <c r="E113" s="3">
        <v>16762.22</v>
      </c>
      <c r="F113" s="3">
        <v>0</v>
      </c>
      <c r="G113" s="3"/>
      <c r="H113" s="2">
        <v>479905.65</v>
      </c>
      <c r="I113" s="8">
        <f t="shared" si="2"/>
        <v>23995.282500000001</v>
      </c>
      <c r="J113" s="42">
        <f t="shared" si="3"/>
        <v>0</v>
      </c>
    </row>
    <row r="114" spans="1:10" x14ac:dyDescent="0.2">
      <c r="A114" s="1">
        <v>423</v>
      </c>
      <c r="B114" s="1" t="s">
        <v>124</v>
      </c>
      <c r="C114" s="15">
        <v>249781.33</v>
      </c>
      <c r="D114" s="16"/>
      <c r="E114" s="3">
        <v>67171.08</v>
      </c>
      <c r="F114" s="3">
        <v>65890.23</v>
      </c>
      <c r="G114" s="3"/>
      <c r="H114" s="2">
        <v>1207447.5</v>
      </c>
      <c r="I114" s="8">
        <f t="shared" si="2"/>
        <v>60372.375</v>
      </c>
      <c r="J114" s="42">
        <f t="shared" si="3"/>
        <v>56347.645000000004</v>
      </c>
    </row>
    <row r="115" spans="1:10" x14ac:dyDescent="0.2">
      <c r="A115" s="1">
        <v>424</v>
      </c>
      <c r="B115" s="1" t="s">
        <v>125</v>
      </c>
      <c r="C115" s="15">
        <v>12101.53</v>
      </c>
      <c r="D115" s="16"/>
      <c r="E115" s="3">
        <v>0</v>
      </c>
      <c r="F115" s="3">
        <v>5536.41</v>
      </c>
      <c r="G115" s="3"/>
      <c r="H115" s="2">
        <v>224332.5</v>
      </c>
      <c r="I115" s="8">
        <f t="shared" si="2"/>
        <v>11216.625</v>
      </c>
      <c r="J115" s="42">
        <f t="shared" si="3"/>
        <v>0</v>
      </c>
    </row>
    <row r="116" spans="1:10" x14ac:dyDescent="0.2">
      <c r="A116" s="1">
        <v>432</v>
      </c>
      <c r="B116" s="1" t="s">
        <v>126</v>
      </c>
      <c r="C116" s="15">
        <v>0</v>
      </c>
      <c r="D116" s="16"/>
      <c r="E116" s="3">
        <v>0</v>
      </c>
      <c r="F116" s="3">
        <v>0</v>
      </c>
      <c r="G116" s="3"/>
      <c r="H116" s="2">
        <v>315139.125</v>
      </c>
      <c r="I116" s="8">
        <f t="shared" si="2"/>
        <v>15756.956250000001</v>
      </c>
      <c r="J116" s="42">
        <f t="shared" si="3"/>
        <v>0</v>
      </c>
    </row>
    <row r="117" spans="1:10" x14ac:dyDescent="0.2">
      <c r="A117" s="1">
        <v>435</v>
      </c>
      <c r="B117" s="1" t="s">
        <v>127</v>
      </c>
      <c r="C117" s="15">
        <v>191981.07</v>
      </c>
      <c r="D117" s="16">
        <v>8142922.04</v>
      </c>
      <c r="E117" s="3">
        <v>0</v>
      </c>
      <c r="F117" s="3">
        <v>81281.25</v>
      </c>
      <c r="G117" s="3"/>
      <c r="H117" s="2">
        <v>736071</v>
      </c>
      <c r="I117" s="8">
        <f t="shared" si="2"/>
        <v>36803.550000000003</v>
      </c>
      <c r="J117" s="42">
        <f t="shared" si="3"/>
        <v>73896.27</v>
      </c>
    </row>
    <row r="118" spans="1:10" x14ac:dyDescent="0.2">
      <c r="A118" s="1">
        <v>447</v>
      </c>
      <c r="B118" s="1" t="s">
        <v>128</v>
      </c>
      <c r="C118" s="15">
        <v>18498.650000000001</v>
      </c>
      <c r="D118" s="16"/>
      <c r="E118" s="3">
        <v>6932.28</v>
      </c>
      <c r="F118" s="3">
        <v>4917.43</v>
      </c>
      <c r="G118" s="3"/>
      <c r="H118" s="2">
        <v>100453.5</v>
      </c>
      <c r="I118" s="8">
        <f t="shared" si="2"/>
        <v>5022.6750000000002</v>
      </c>
      <c r="J118" s="42">
        <f t="shared" si="3"/>
        <v>1626.2650000000021</v>
      </c>
    </row>
    <row r="119" spans="1:10" x14ac:dyDescent="0.2">
      <c r="A119" s="1">
        <v>458</v>
      </c>
      <c r="B119" s="1" t="s">
        <v>129</v>
      </c>
      <c r="C119" s="15">
        <v>4103.91</v>
      </c>
      <c r="D119" s="16"/>
      <c r="E119" s="3">
        <v>0</v>
      </c>
      <c r="F119" s="3">
        <v>0</v>
      </c>
      <c r="G119" s="3"/>
      <c r="H119" s="2">
        <v>95642.400000000009</v>
      </c>
      <c r="I119" s="8">
        <f t="shared" si="2"/>
        <v>4782.1200000000008</v>
      </c>
      <c r="J119" s="42">
        <f t="shared" si="3"/>
        <v>0</v>
      </c>
    </row>
    <row r="120" spans="1:10" x14ac:dyDescent="0.2">
      <c r="A120" s="1">
        <v>463</v>
      </c>
      <c r="B120" s="1" t="s">
        <v>130</v>
      </c>
      <c r="C120" s="15">
        <v>150071.66</v>
      </c>
      <c r="D120" s="16"/>
      <c r="E120" s="3">
        <v>44893.27</v>
      </c>
      <c r="F120" s="3">
        <v>8292.86</v>
      </c>
      <c r="G120" s="3"/>
      <c r="H120" s="2">
        <v>1381738.848</v>
      </c>
      <c r="I120" s="8">
        <f t="shared" si="2"/>
        <v>69086.9424</v>
      </c>
      <c r="J120" s="42">
        <f t="shared" si="3"/>
        <v>27798.587600000013</v>
      </c>
    </row>
    <row r="121" spans="1:10" x14ac:dyDescent="0.2">
      <c r="A121" s="1">
        <v>465</v>
      </c>
      <c r="B121" s="1" t="s">
        <v>131</v>
      </c>
      <c r="C121" s="15">
        <v>205299.1</v>
      </c>
      <c r="D121" s="16"/>
      <c r="E121" s="3">
        <v>0</v>
      </c>
      <c r="F121" s="3">
        <v>75427.8</v>
      </c>
      <c r="G121" s="3"/>
      <c r="H121" s="2">
        <v>1358386.3230000001</v>
      </c>
      <c r="I121" s="8">
        <f t="shared" si="2"/>
        <v>67919.316150000013</v>
      </c>
      <c r="J121" s="42">
        <f t="shared" si="3"/>
        <v>61951.98384999999</v>
      </c>
    </row>
    <row r="122" spans="1:10" x14ac:dyDescent="0.2">
      <c r="A122" s="1">
        <v>466</v>
      </c>
      <c r="B122" s="1" t="s">
        <v>132</v>
      </c>
      <c r="C122" s="15">
        <v>8336785.04</v>
      </c>
      <c r="D122" s="16"/>
      <c r="E122" s="3">
        <v>173859.86</v>
      </c>
      <c r="F122" s="3">
        <v>100315.69</v>
      </c>
      <c r="G122" s="3"/>
      <c r="H122" s="2">
        <v>1285066.6499999999</v>
      </c>
      <c r="I122" s="8">
        <f t="shared" si="2"/>
        <v>64253.332499999997</v>
      </c>
      <c r="J122" s="42">
        <f t="shared" si="3"/>
        <v>7998356.1574999997</v>
      </c>
    </row>
    <row r="123" spans="1:10" x14ac:dyDescent="0.2">
      <c r="A123" s="1">
        <v>473</v>
      </c>
      <c r="B123" s="1" t="s">
        <v>133</v>
      </c>
      <c r="C123" s="15">
        <v>173457.9</v>
      </c>
      <c r="D123" s="16"/>
      <c r="E123" s="3">
        <v>59900.2</v>
      </c>
      <c r="F123" s="3">
        <v>47835.39</v>
      </c>
      <c r="G123" s="3"/>
      <c r="H123" s="2">
        <v>684600</v>
      </c>
      <c r="I123" s="8">
        <f t="shared" si="2"/>
        <v>34230</v>
      </c>
      <c r="J123" s="42">
        <f t="shared" si="3"/>
        <v>31492.309999999998</v>
      </c>
    </row>
    <row r="124" spans="1:10" x14ac:dyDescent="0.2">
      <c r="A124" s="1">
        <v>477</v>
      </c>
      <c r="B124" s="1" t="s">
        <v>134</v>
      </c>
      <c r="C124" s="15">
        <v>444685.01</v>
      </c>
      <c r="D124" s="16"/>
      <c r="E124" s="3">
        <v>138073.64000000001</v>
      </c>
      <c r="F124" s="3">
        <v>94363.79</v>
      </c>
      <c r="G124" s="3"/>
      <c r="H124" s="2">
        <v>2517322.5210000002</v>
      </c>
      <c r="I124" s="8">
        <f t="shared" si="2"/>
        <v>125866.12605000002</v>
      </c>
      <c r="J124" s="42">
        <f t="shared" si="3"/>
        <v>86381.453949999996</v>
      </c>
    </row>
    <row r="125" spans="1:10" x14ac:dyDescent="0.2">
      <c r="A125" s="1">
        <v>480</v>
      </c>
      <c r="B125" s="1" t="s">
        <v>135</v>
      </c>
      <c r="C125" s="15">
        <v>166195.88</v>
      </c>
      <c r="D125" s="16"/>
      <c r="E125" s="3">
        <v>35798.050000000003</v>
      </c>
      <c r="F125" s="3">
        <v>80134.789999999994</v>
      </c>
      <c r="G125" s="3"/>
      <c r="H125" s="2">
        <v>46559.1</v>
      </c>
      <c r="I125" s="8">
        <f t="shared" si="2"/>
        <v>2327.9549999999999</v>
      </c>
      <c r="J125" s="42">
        <f t="shared" si="3"/>
        <v>47935.085000000006</v>
      </c>
    </row>
    <row r="126" spans="1:10" x14ac:dyDescent="0.2">
      <c r="A126" s="1">
        <v>482</v>
      </c>
      <c r="B126" s="1" t="s">
        <v>136</v>
      </c>
      <c r="C126" s="15">
        <v>45906.15</v>
      </c>
      <c r="D126" s="16"/>
      <c r="E126" s="3">
        <v>19466.169999999998</v>
      </c>
      <c r="F126" s="3">
        <v>27871.439999999999</v>
      </c>
      <c r="G126" s="3"/>
      <c r="H126" s="2">
        <v>558755.4</v>
      </c>
      <c r="I126" s="8">
        <f t="shared" si="2"/>
        <v>27937.770000000004</v>
      </c>
      <c r="J126" s="42">
        <f t="shared" si="3"/>
        <v>0</v>
      </c>
    </row>
    <row r="127" spans="1:10" x14ac:dyDescent="0.2">
      <c r="A127" s="1">
        <v>484</v>
      </c>
      <c r="B127" s="1" t="s">
        <v>137</v>
      </c>
      <c r="C127" s="15">
        <v>103865.76</v>
      </c>
      <c r="D127" s="16"/>
      <c r="E127" s="3">
        <v>30151.99</v>
      </c>
      <c r="F127" s="3">
        <v>20545.099999999999</v>
      </c>
      <c r="G127" s="3"/>
      <c r="H127" s="2">
        <v>413028</v>
      </c>
      <c r="I127" s="8">
        <f t="shared" si="2"/>
        <v>20651.400000000001</v>
      </c>
      <c r="J127" s="42">
        <f t="shared" si="3"/>
        <v>32517.26999999999</v>
      </c>
    </row>
    <row r="128" spans="1:10" x14ac:dyDescent="0.2">
      <c r="A128" s="1">
        <v>485</v>
      </c>
      <c r="B128" s="1" t="s">
        <v>138</v>
      </c>
      <c r="C128" s="15">
        <v>165165.57999999999</v>
      </c>
      <c r="D128" s="16"/>
      <c r="E128" s="3">
        <v>45224.11</v>
      </c>
      <c r="F128" s="3">
        <v>85310.84</v>
      </c>
      <c r="G128" s="3"/>
      <c r="H128" s="2">
        <v>813750</v>
      </c>
      <c r="I128" s="8">
        <f t="shared" si="2"/>
        <v>40687.5</v>
      </c>
      <c r="J128" s="42">
        <f t="shared" si="3"/>
        <v>0</v>
      </c>
    </row>
    <row r="129" spans="1:10" x14ac:dyDescent="0.2">
      <c r="A129" s="1">
        <v>486</v>
      </c>
      <c r="B129" s="1" t="s">
        <v>139</v>
      </c>
      <c r="C129" s="15">
        <v>88234.55</v>
      </c>
      <c r="D129" s="16"/>
      <c r="E129" s="3">
        <v>21147.45</v>
      </c>
      <c r="F129" s="3">
        <v>20032.46</v>
      </c>
      <c r="G129" s="3"/>
      <c r="H129" s="2">
        <v>486975.57300000003</v>
      </c>
      <c r="I129" s="8">
        <f t="shared" si="2"/>
        <v>24348.778650000004</v>
      </c>
      <c r="J129" s="42">
        <f t="shared" si="3"/>
        <v>22705.861350000003</v>
      </c>
    </row>
    <row r="130" spans="1:10" x14ac:dyDescent="0.2">
      <c r="A130" s="1">
        <v>487</v>
      </c>
      <c r="B130" s="1" t="s">
        <v>140</v>
      </c>
      <c r="C130" s="15">
        <v>163307.76999999999</v>
      </c>
      <c r="D130" s="16">
        <v>8560242</v>
      </c>
      <c r="E130" s="3">
        <v>37279.599999999999</v>
      </c>
      <c r="F130" s="3">
        <v>40479.25</v>
      </c>
      <c r="G130" s="3"/>
      <c r="H130" s="2">
        <v>827888.25</v>
      </c>
      <c r="I130" s="8">
        <f t="shared" si="2"/>
        <v>41394.412500000006</v>
      </c>
      <c r="J130" s="42">
        <f t="shared" si="3"/>
        <v>44154.507499999978</v>
      </c>
    </row>
    <row r="131" spans="1:10" x14ac:dyDescent="0.2">
      <c r="A131" s="1">
        <v>492</v>
      </c>
      <c r="B131" s="1" t="s">
        <v>141</v>
      </c>
      <c r="C131" s="15">
        <v>1775723.74</v>
      </c>
      <c r="D131" s="16"/>
      <c r="E131" s="3">
        <v>69626.11</v>
      </c>
      <c r="F131" s="3">
        <v>10638.83</v>
      </c>
      <c r="G131" s="3"/>
      <c r="H131" s="2">
        <v>2711384.0250000004</v>
      </c>
      <c r="I131" s="8">
        <f t="shared" si="2"/>
        <v>135569.20125000001</v>
      </c>
      <c r="J131" s="42">
        <f t="shared" si="3"/>
        <v>1559889.5987499999</v>
      </c>
    </row>
    <row r="132" spans="1:10" x14ac:dyDescent="0.2">
      <c r="A132" s="1">
        <v>495</v>
      </c>
      <c r="B132" s="1" t="s">
        <v>142</v>
      </c>
      <c r="C132" s="15">
        <v>112171.54</v>
      </c>
      <c r="D132" s="16">
        <v>6821742.7199999997</v>
      </c>
      <c r="E132" s="3">
        <v>27876.59</v>
      </c>
      <c r="F132" s="3">
        <v>27083.759999999998</v>
      </c>
      <c r="G132" s="3"/>
      <c r="H132" s="2">
        <v>604241.4</v>
      </c>
      <c r="I132" s="8">
        <f t="shared" si="2"/>
        <v>30212.070000000003</v>
      </c>
      <c r="J132" s="42">
        <f t="shared" si="3"/>
        <v>26999.119999999999</v>
      </c>
    </row>
    <row r="133" spans="1:10" x14ac:dyDescent="0.2">
      <c r="A133" s="1">
        <v>497</v>
      </c>
      <c r="B133" s="1" t="s">
        <v>143</v>
      </c>
      <c r="C133" s="15">
        <v>128178.72</v>
      </c>
      <c r="D133" s="16"/>
      <c r="E133" s="3">
        <v>41850.379999999997</v>
      </c>
      <c r="F133" s="3">
        <v>27793.26</v>
      </c>
      <c r="G133" s="3"/>
      <c r="H133" s="2">
        <v>559034.70000000007</v>
      </c>
      <c r="I133" s="8">
        <f t="shared" si="2"/>
        <v>27951.735000000004</v>
      </c>
      <c r="J133" s="42">
        <f t="shared" si="3"/>
        <v>30583.344999999998</v>
      </c>
    </row>
    <row r="134" spans="1:10" x14ac:dyDescent="0.2">
      <c r="A134" s="1">
        <v>499</v>
      </c>
      <c r="B134" s="1" t="s">
        <v>144</v>
      </c>
      <c r="C134" s="15">
        <v>76594.89</v>
      </c>
      <c r="D134" s="16"/>
      <c r="E134" s="3">
        <v>24831.3</v>
      </c>
      <c r="F134" s="3">
        <v>11420.75</v>
      </c>
      <c r="G134" s="3"/>
      <c r="H134" s="2">
        <v>253173.375</v>
      </c>
      <c r="I134" s="8">
        <f t="shared" si="2"/>
        <v>12658.668750000001</v>
      </c>
      <c r="J134" s="42">
        <f t="shared" si="3"/>
        <v>27684.171249999996</v>
      </c>
    </row>
    <row r="135" spans="1:10" x14ac:dyDescent="0.2">
      <c r="A135" s="1">
        <v>500</v>
      </c>
      <c r="B135" s="1" t="s">
        <v>145</v>
      </c>
      <c r="C135" s="15">
        <v>36260.68</v>
      </c>
      <c r="D135" s="16"/>
      <c r="E135" s="3">
        <v>11631.67</v>
      </c>
      <c r="F135" s="3">
        <v>8310.75</v>
      </c>
      <c r="G135" s="3"/>
      <c r="H135" s="2">
        <v>156730.875</v>
      </c>
      <c r="I135" s="8">
        <f t="shared" ref="I135:I198" si="4">H135*0.05</f>
        <v>7836.5437500000007</v>
      </c>
      <c r="J135" s="42">
        <f t="shared" si="3"/>
        <v>8481.7162500000013</v>
      </c>
    </row>
    <row r="136" spans="1:10" x14ac:dyDescent="0.2">
      <c r="A136" s="1">
        <v>505</v>
      </c>
      <c r="B136" s="1" t="s">
        <v>146</v>
      </c>
      <c r="C136" s="15">
        <v>0</v>
      </c>
      <c r="D136" s="16"/>
      <c r="E136" s="3">
        <v>40209.57</v>
      </c>
      <c r="F136" s="3">
        <v>41798.92</v>
      </c>
      <c r="G136" s="3"/>
      <c r="H136" s="2">
        <v>0</v>
      </c>
      <c r="I136" s="8">
        <f t="shared" si="4"/>
        <v>0</v>
      </c>
      <c r="J136" s="42">
        <f t="shared" si="3"/>
        <v>0</v>
      </c>
    </row>
    <row r="137" spans="1:10" x14ac:dyDescent="0.2">
      <c r="A137" s="1">
        <v>507</v>
      </c>
      <c r="B137" s="1" t="s">
        <v>147</v>
      </c>
      <c r="C137" s="15">
        <v>137860.01999999999</v>
      </c>
      <c r="D137" s="16"/>
      <c r="E137" s="3">
        <v>43653.69</v>
      </c>
      <c r="F137" s="3">
        <v>28836.22</v>
      </c>
      <c r="G137" s="3"/>
      <c r="H137" s="2">
        <v>643794.9</v>
      </c>
      <c r="I137" s="8">
        <f t="shared" si="4"/>
        <v>32189.745000000003</v>
      </c>
      <c r="J137" s="42">
        <f t="shared" ref="J137:J200" si="5">IF(C137-E137-F137-G137-I137&gt;0,C137-E137-F137-G137-I137,0)</f>
        <v>33180.364999999983</v>
      </c>
    </row>
    <row r="138" spans="1:10" x14ac:dyDescent="0.2">
      <c r="A138" s="1">
        <v>508</v>
      </c>
      <c r="B138" s="1" t="s">
        <v>148</v>
      </c>
      <c r="C138" s="15">
        <v>92275.79</v>
      </c>
      <c r="D138" s="16"/>
      <c r="E138" s="3">
        <v>41110.81</v>
      </c>
      <c r="F138" s="3">
        <v>33102.6</v>
      </c>
      <c r="G138" s="3"/>
      <c r="H138" s="2">
        <v>142222.5</v>
      </c>
      <c r="I138" s="8">
        <f t="shared" si="4"/>
        <v>7111.125</v>
      </c>
      <c r="J138" s="42">
        <f t="shared" si="5"/>
        <v>10951.254999999997</v>
      </c>
    </row>
    <row r="139" spans="1:10" x14ac:dyDescent="0.2">
      <c r="A139" s="1">
        <v>511</v>
      </c>
      <c r="B139" s="1" t="s">
        <v>149</v>
      </c>
      <c r="C139" s="15">
        <v>276334.63</v>
      </c>
      <c r="D139" s="16"/>
      <c r="E139" s="3">
        <v>35148.78</v>
      </c>
      <c r="F139" s="3">
        <v>109839.3</v>
      </c>
      <c r="G139" s="3"/>
      <c r="H139" s="2">
        <v>604929.15</v>
      </c>
      <c r="I139" s="8">
        <f t="shared" si="4"/>
        <v>30246.457500000004</v>
      </c>
      <c r="J139" s="42">
        <f t="shared" si="5"/>
        <v>101100.09249999998</v>
      </c>
    </row>
    <row r="140" spans="1:10" x14ac:dyDescent="0.2">
      <c r="A140" s="1">
        <v>518</v>
      </c>
      <c r="B140" s="1" t="s">
        <v>150</v>
      </c>
      <c r="C140" s="15">
        <v>910252.34</v>
      </c>
      <c r="D140" s="16"/>
      <c r="E140" s="3">
        <v>567503.64</v>
      </c>
      <c r="F140" s="3">
        <v>0</v>
      </c>
      <c r="G140" s="3"/>
      <c r="H140" s="2">
        <v>2215615.5</v>
      </c>
      <c r="I140" s="8">
        <f t="shared" si="4"/>
        <v>110780.77500000001</v>
      </c>
      <c r="J140" s="42">
        <f t="shared" si="5"/>
        <v>231967.92499999993</v>
      </c>
    </row>
    <row r="141" spans="1:10" x14ac:dyDescent="0.2">
      <c r="A141" s="1">
        <v>531</v>
      </c>
      <c r="B141" s="1" t="s">
        <v>151</v>
      </c>
      <c r="C141" s="15">
        <v>511934.28</v>
      </c>
      <c r="D141" s="16"/>
      <c r="E141" s="3">
        <v>166908.04999999999</v>
      </c>
      <c r="F141" s="3">
        <v>78763.88</v>
      </c>
      <c r="G141" s="3"/>
      <c r="H141" s="2">
        <v>2909881.2749999999</v>
      </c>
      <c r="I141" s="8">
        <f t="shared" si="4"/>
        <v>145494.06375</v>
      </c>
      <c r="J141" s="42">
        <f t="shared" si="5"/>
        <v>120768.28625000003</v>
      </c>
    </row>
    <row r="142" spans="1:10" x14ac:dyDescent="0.2">
      <c r="A142" s="1">
        <v>533</v>
      </c>
      <c r="B142" s="1" t="s">
        <v>152</v>
      </c>
      <c r="C142" s="15">
        <v>324412.96999999997</v>
      </c>
      <c r="D142" s="16">
        <v>7382654.2400000002</v>
      </c>
      <c r="E142" s="3">
        <v>88122.75</v>
      </c>
      <c r="F142" s="3">
        <v>82267.87</v>
      </c>
      <c r="G142" s="3"/>
      <c r="H142" s="2">
        <v>1437093</v>
      </c>
      <c r="I142" s="8">
        <f t="shared" si="4"/>
        <v>71854.650000000009</v>
      </c>
      <c r="J142" s="42">
        <f t="shared" si="5"/>
        <v>82167.699999999968</v>
      </c>
    </row>
    <row r="143" spans="1:10" x14ac:dyDescent="0.2">
      <c r="A143" s="1">
        <v>534</v>
      </c>
      <c r="B143" s="1" t="s">
        <v>153</v>
      </c>
      <c r="C143" s="15">
        <v>236794.69</v>
      </c>
      <c r="D143" s="16"/>
      <c r="E143" s="3">
        <v>100000</v>
      </c>
      <c r="F143" s="3">
        <v>0</v>
      </c>
      <c r="G143" s="3"/>
      <c r="H143" s="2">
        <v>1631432.25</v>
      </c>
      <c r="I143" s="8">
        <f t="shared" si="4"/>
        <v>81571.612500000003</v>
      </c>
      <c r="J143" s="42">
        <f t="shared" si="5"/>
        <v>55223.077499999999</v>
      </c>
    </row>
    <row r="144" spans="1:10" x14ac:dyDescent="0.2">
      <c r="A144" s="1">
        <v>535</v>
      </c>
      <c r="B144" s="1" t="s">
        <v>154</v>
      </c>
      <c r="C144" s="15">
        <v>2265173.35</v>
      </c>
      <c r="D144" s="16"/>
      <c r="E144" s="3">
        <v>641606.79</v>
      </c>
      <c r="F144" s="3">
        <v>616509.32999999996</v>
      </c>
      <c r="G144" s="3"/>
      <c r="H144" s="2">
        <v>9032362.5</v>
      </c>
      <c r="I144" s="8">
        <f t="shared" si="4"/>
        <v>451618.125</v>
      </c>
      <c r="J144" s="42">
        <f t="shared" si="5"/>
        <v>555439.1050000001</v>
      </c>
    </row>
    <row r="145" spans="1:10" x14ac:dyDescent="0.2">
      <c r="A145" s="1">
        <v>542</v>
      </c>
      <c r="B145" s="1" t="s">
        <v>155</v>
      </c>
      <c r="C145" s="15">
        <v>215584.67</v>
      </c>
      <c r="D145" s="16"/>
      <c r="E145" s="3">
        <v>39204.910000000003</v>
      </c>
      <c r="F145" s="3">
        <v>67603.02</v>
      </c>
      <c r="G145" s="3"/>
      <c r="H145" s="2">
        <v>621876.15</v>
      </c>
      <c r="I145" s="8">
        <f t="shared" si="4"/>
        <v>31093.807500000003</v>
      </c>
      <c r="J145" s="42">
        <f t="shared" si="5"/>
        <v>77682.932499999995</v>
      </c>
    </row>
    <row r="146" spans="1:10" x14ac:dyDescent="0.2">
      <c r="A146" s="1">
        <v>544</v>
      </c>
      <c r="B146" s="1" t="s">
        <v>156</v>
      </c>
      <c r="C146" s="15">
        <v>830644.44</v>
      </c>
      <c r="D146" s="16"/>
      <c r="E146" s="3">
        <v>498520.39</v>
      </c>
      <c r="F146" s="3">
        <v>0</v>
      </c>
      <c r="G146" s="3"/>
      <c r="H146" s="2">
        <v>2749640.25</v>
      </c>
      <c r="I146" s="8">
        <f t="shared" si="4"/>
        <v>137482.01250000001</v>
      </c>
      <c r="J146" s="42">
        <f t="shared" si="5"/>
        <v>194642.03749999992</v>
      </c>
    </row>
    <row r="147" spans="1:10" x14ac:dyDescent="0.2">
      <c r="A147" s="1">
        <v>545</v>
      </c>
      <c r="B147" s="1" t="s">
        <v>157</v>
      </c>
      <c r="C147" s="15">
        <v>108212.44</v>
      </c>
      <c r="D147" s="16"/>
      <c r="E147" s="3">
        <v>32581.200000000001</v>
      </c>
      <c r="F147" s="3">
        <v>33200.089999999997</v>
      </c>
      <c r="G147" s="3"/>
      <c r="H147" s="2">
        <v>362302.5</v>
      </c>
      <c r="I147" s="8">
        <f t="shared" si="4"/>
        <v>18115.125</v>
      </c>
      <c r="J147" s="42">
        <f t="shared" si="5"/>
        <v>24316.025000000009</v>
      </c>
    </row>
    <row r="148" spans="1:10" s="9" customFormat="1" x14ac:dyDescent="0.2">
      <c r="A148" s="1">
        <v>547</v>
      </c>
      <c r="B148" s="1" t="s">
        <v>158</v>
      </c>
      <c r="C148" s="15">
        <v>492580.79</v>
      </c>
      <c r="D148" s="16"/>
      <c r="E148" s="3">
        <v>7587.41</v>
      </c>
      <c r="F148" s="3">
        <v>6477.56</v>
      </c>
      <c r="G148" s="3"/>
      <c r="H148" s="16">
        <v>316126.65000000002</v>
      </c>
      <c r="I148" s="8">
        <f t="shared" si="4"/>
        <v>15806.332500000002</v>
      </c>
      <c r="J148" s="42">
        <f t="shared" si="5"/>
        <v>462709.48749999999</v>
      </c>
    </row>
    <row r="149" spans="1:10" s="9" customFormat="1" x14ac:dyDescent="0.2">
      <c r="A149" s="1">
        <v>548</v>
      </c>
      <c r="B149" s="1" t="s">
        <v>159</v>
      </c>
      <c r="C149" s="15">
        <v>19156.86</v>
      </c>
      <c r="D149" s="16"/>
      <c r="E149" s="3">
        <v>0</v>
      </c>
      <c r="F149" s="3">
        <v>0</v>
      </c>
      <c r="G149" s="3"/>
      <c r="H149" s="16">
        <v>548894.85000000009</v>
      </c>
      <c r="I149" s="8">
        <f t="shared" si="4"/>
        <v>27444.742500000008</v>
      </c>
      <c r="J149" s="42">
        <f t="shared" si="5"/>
        <v>0</v>
      </c>
    </row>
    <row r="150" spans="1:10" x14ac:dyDescent="0.2">
      <c r="A150" s="1">
        <v>549</v>
      </c>
      <c r="B150" s="1" t="s">
        <v>160</v>
      </c>
      <c r="C150" s="15">
        <v>190359.65</v>
      </c>
      <c r="D150" s="16"/>
      <c r="E150" s="3">
        <v>41698.25</v>
      </c>
      <c r="F150" s="9">
        <v>39282.120000000003</v>
      </c>
      <c r="G150" s="3"/>
      <c r="H150" s="2">
        <v>1259632.5</v>
      </c>
      <c r="I150" s="8">
        <f t="shared" si="4"/>
        <v>62981.625</v>
      </c>
      <c r="J150" s="42">
        <f t="shared" si="5"/>
        <v>46397.654999999999</v>
      </c>
    </row>
    <row r="151" spans="1:10" x14ac:dyDescent="0.2">
      <c r="A151" s="1">
        <v>550</v>
      </c>
      <c r="B151" s="1" t="s">
        <v>161</v>
      </c>
      <c r="C151" s="15">
        <v>137824.38</v>
      </c>
      <c r="D151" s="16"/>
      <c r="E151" s="5">
        <v>33991.660000000003</v>
      </c>
      <c r="F151" s="3">
        <v>42417.24</v>
      </c>
      <c r="G151" s="3"/>
      <c r="H151" s="2">
        <v>564093.6</v>
      </c>
      <c r="I151" s="8">
        <f t="shared" si="4"/>
        <v>28204.68</v>
      </c>
      <c r="J151" s="42">
        <f t="shared" si="5"/>
        <v>33210.800000000003</v>
      </c>
    </row>
    <row r="152" spans="1:10" x14ac:dyDescent="0.2">
      <c r="A152" s="1">
        <v>553</v>
      </c>
      <c r="B152" s="1" t="s">
        <v>162</v>
      </c>
      <c r="C152" s="15">
        <v>121950.08</v>
      </c>
      <c r="D152" s="16"/>
      <c r="E152" s="22">
        <v>5195.2</v>
      </c>
      <c r="F152" s="22">
        <v>30309.09</v>
      </c>
      <c r="G152" s="3"/>
      <c r="H152" s="2">
        <v>607818.75</v>
      </c>
      <c r="I152" s="8">
        <f t="shared" si="4"/>
        <v>30390.9375</v>
      </c>
      <c r="J152" s="42">
        <f t="shared" si="5"/>
        <v>56054.852500000008</v>
      </c>
    </row>
    <row r="153" spans="1:10" x14ac:dyDescent="0.2">
      <c r="A153" s="5">
        <v>564</v>
      </c>
      <c r="B153" s="5" t="s">
        <v>163</v>
      </c>
      <c r="C153" s="15">
        <v>354944.67</v>
      </c>
      <c r="D153" s="16"/>
      <c r="E153" s="22">
        <v>75282.990000000005</v>
      </c>
      <c r="F153" s="22">
        <v>56028.67</v>
      </c>
      <c r="G153" s="3"/>
      <c r="H153" s="2">
        <v>740204.85</v>
      </c>
      <c r="I153" s="8">
        <f t="shared" si="4"/>
        <v>37010.2425</v>
      </c>
      <c r="J153" s="42">
        <f t="shared" si="5"/>
        <v>186622.76750000002</v>
      </c>
    </row>
    <row r="154" spans="1:10" x14ac:dyDescent="0.2">
      <c r="A154" s="5">
        <v>577</v>
      </c>
      <c r="B154" s="5" t="s">
        <v>164</v>
      </c>
      <c r="C154" s="15">
        <v>81402.570000000007</v>
      </c>
      <c r="D154" s="16"/>
      <c r="E154" s="22">
        <v>27628.2</v>
      </c>
      <c r="F154" s="22">
        <v>29883.13</v>
      </c>
      <c r="G154" s="3"/>
      <c r="H154" s="2">
        <v>187461.75</v>
      </c>
      <c r="I154" s="8">
        <f t="shared" si="4"/>
        <v>9373.0874999999996</v>
      </c>
      <c r="J154" s="42">
        <f t="shared" si="5"/>
        <v>14518.152500000009</v>
      </c>
    </row>
    <row r="155" spans="1:10" x14ac:dyDescent="0.2">
      <c r="A155" s="1">
        <v>578</v>
      </c>
      <c r="B155" s="1" t="s">
        <v>165</v>
      </c>
      <c r="C155" s="15">
        <v>344746.12</v>
      </c>
      <c r="D155" s="16">
        <v>1596823.71</v>
      </c>
      <c r="E155" s="22">
        <v>95225.69</v>
      </c>
      <c r="F155" s="22">
        <v>35280.86</v>
      </c>
      <c r="G155" s="3"/>
      <c r="H155" s="2">
        <v>1226386.875</v>
      </c>
      <c r="I155" s="8">
        <f t="shared" si="4"/>
        <v>61319.34375</v>
      </c>
      <c r="J155" s="42">
        <f t="shared" si="5"/>
        <v>152920.22625000001</v>
      </c>
    </row>
    <row r="156" spans="1:10" x14ac:dyDescent="0.2">
      <c r="A156" s="1">
        <v>581</v>
      </c>
      <c r="B156" s="1" t="s">
        <v>166</v>
      </c>
      <c r="C156" s="15">
        <v>21268.27</v>
      </c>
      <c r="D156" s="16"/>
      <c r="E156" s="22">
        <v>12048.06</v>
      </c>
      <c r="F156" s="22">
        <v>3174.06</v>
      </c>
      <c r="G156" s="3"/>
      <c r="H156" s="2">
        <v>61509</v>
      </c>
      <c r="I156" s="8">
        <f t="shared" si="4"/>
        <v>3075.4500000000003</v>
      </c>
      <c r="J156" s="42">
        <f t="shared" si="5"/>
        <v>2970.7000000000012</v>
      </c>
    </row>
    <row r="157" spans="1:10" x14ac:dyDescent="0.2">
      <c r="A157" s="1">
        <v>593</v>
      </c>
      <c r="B157" s="1" t="s">
        <v>167</v>
      </c>
      <c r="C157" s="15">
        <v>308675.53999999998</v>
      </c>
      <c r="D157" s="16"/>
      <c r="E157" s="22">
        <v>141692.89000000001</v>
      </c>
      <c r="F157" s="22">
        <v>65325.16</v>
      </c>
      <c r="G157" s="3"/>
      <c r="H157" s="2">
        <v>1088183.25</v>
      </c>
      <c r="I157" s="8">
        <f t="shared" si="4"/>
        <v>54409.162500000006</v>
      </c>
      <c r="J157" s="42">
        <f t="shared" si="5"/>
        <v>47248.327499999956</v>
      </c>
    </row>
    <row r="158" spans="1:10" x14ac:dyDescent="0.2">
      <c r="A158" s="1">
        <v>595</v>
      </c>
      <c r="B158" s="1" t="s">
        <v>168</v>
      </c>
      <c r="C158" s="15">
        <v>35239.64</v>
      </c>
      <c r="D158" s="16"/>
      <c r="E158" s="22">
        <v>0</v>
      </c>
      <c r="F158" s="22">
        <v>0</v>
      </c>
      <c r="G158" s="3"/>
      <c r="H158" s="2">
        <v>477120</v>
      </c>
      <c r="I158" s="8">
        <f t="shared" si="4"/>
        <v>23856</v>
      </c>
      <c r="J158" s="42">
        <f t="shared" si="5"/>
        <v>11383.64</v>
      </c>
    </row>
    <row r="159" spans="1:10" x14ac:dyDescent="0.2">
      <c r="A159" s="1">
        <v>599</v>
      </c>
      <c r="B159" s="1" t="s">
        <v>169</v>
      </c>
      <c r="C159" s="15">
        <v>0</v>
      </c>
      <c r="D159" s="16"/>
      <c r="E159" s="22">
        <v>37105.629999999997</v>
      </c>
      <c r="F159" s="22">
        <v>28344.84</v>
      </c>
      <c r="G159" s="3"/>
      <c r="H159" s="2">
        <v>0</v>
      </c>
      <c r="I159" s="8">
        <f t="shared" si="4"/>
        <v>0</v>
      </c>
      <c r="J159" s="42">
        <f t="shared" si="5"/>
        <v>0</v>
      </c>
    </row>
    <row r="160" spans="1:10" x14ac:dyDescent="0.2">
      <c r="A160" s="1">
        <v>600</v>
      </c>
      <c r="B160" s="1" t="s">
        <v>170</v>
      </c>
      <c r="C160" s="15">
        <v>45341.21</v>
      </c>
      <c r="D160" s="16"/>
      <c r="E160" s="22">
        <v>13243.47</v>
      </c>
      <c r="F160" s="22">
        <v>11861.41</v>
      </c>
      <c r="G160" s="3"/>
      <c r="H160" s="2">
        <v>267093.75</v>
      </c>
      <c r="I160" s="8">
        <f t="shared" si="4"/>
        <v>13354.6875</v>
      </c>
      <c r="J160" s="42">
        <f t="shared" si="5"/>
        <v>6881.6424999999981</v>
      </c>
    </row>
    <row r="161" spans="1:10" x14ac:dyDescent="0.2">
      <c r="A161" s="1">
        <v>601</v>
      </c>
      <c r="B161" s="1" t="s">
        <v>171</v>
      </c>
      <c r="C161" s="15">
        <v>80384.39</v>
      </c>
      <c r="D161" s="16"/>
      <c r="E161" s="22">
        <v>20228.21</v>
      </c>
      <c r="F161" s="22">
        <v>13394.94</v>
      </c>
      <c r="G161" s="3"/>
      <c r="H161" s="2">
        <v>381184.65</v>
      </c>
      <c r="I161" s="8">
        <f t="shared" si="4"/>
        <v>19059.232500000002</v>
      </c>
      <c r="J161" s="42">
        <f t="shared" si="5"/>
        <v>27702.007499999996</v>
      </c>
    </row>
    <row r="162" spans="1:10" x14ac:dyDescent="0.2">
      <c r="A162" s="1">
        <v>621</v>
      </c>
      <c r="B162" s="1" t="s">
        <v>172</v>
      </c>
      <c r="C162" s="15">
        <v>894722.43</v>
      </c>
      <c r="D162" s="16">
        <v>49260823</v>
      </c>
      <c r="E162" s="22">
        <v>0</v>
      </c>
      <c r="F162" s="22">
        <v>600000</v>
      </c>
      <c r="G162" s="3"/>
      <c r="H162" s="2">
        <v>9857223.5999999996</v>
      </c>
      <c r="I162" s="8">
        <f t="shared" si="4"/>
        <v>492861.18</v>
      </c>
      <c r="J162" s="42">
        <f t="shared" si="5"/>
        <v>0</v>
      </c>
    </row>
    <row r="163" spans="1:10" x14ac:dyDescent="0.2">
      <c r="A163" s="1">
        <v>622</v>
      </c>
      <c r="B163" s="1" t="s">
        <v>173</v>
      </c>
      <c r="C163" s="15">
        <v>2499229.7799999998</v>
      </c>
      <c r="D163" s="16">
        <v>4859147</v>
      </c>
      <c r="E163" s="22">
        <v>56049.19</v>
      </c>
      <c r="F163" s="22">
        <v>743466.2</v>
      </c>
      <c r="G163" s="3"/>
      <c r="H163" s="2">
        <v>12433676.850000001</v>
      </c>
      <c r="I163" s="8">
        <f t="shared" si="4"/>
        <v>621683.84250000014</v>
      </c>
      <c r="J163" s="42">
        <f t="shared" si="5"/>
        <v>1078030.5474999999</v>
      </c>
    </row>
    <row r="164" spans="1:10" x14ac:dyDescent="0.2">
      <c r="A164" s="1">
        <v>623</v>
      </c>
      <c r="B164" s="1" t="s">
        <v>174</v>
      </c>
      <c r="C164" s="15">
        <v>674638.81</v>
      </c>
      <c r="D164" s="16"/>
      <c r="E164" s="22">
        <v>205621.35</v>
      </c>
      <c r="F164" s="22">
        <v>174639.55</v>
      </c>
      <c r="G164" s="3"/>
      <c r="H164" s="2">
        <v>3087570.15</v>
      </c>
      <c r="I164" s="8">
        <f t="shared" si="4"/>
        <v>154378.50750000001</v>
      </c>
      <c r="J164" s="42">
        <f t="shared" si="5"/>
        <v>139999.40250000008</v>
      </c>
    </row>
    <row r="165" spans="1:10" x14ac:dyDescent="0.2">
      <c r="A165" s="1">
        <v>624</v>
      </c>
      <c r="B165" s="1" t="s">
        <v>175</v>
      </c>
      <c r="C165" s="15">
        <v>1481501.79</v>
      </c>
      <c r="D165" s="16"/>
      <c r="E165" s="22">
        <v>432507.03</v>
      </c>
      <c r="F165" s="22">
        <v>340844.93</v>
      </c>
      <c r="G165" s="3"/>
      <c r="H165" s="2">
        <v>8982697.5</v>
      </c>
      <c r="I165" s="8">
        <f t="shared" si="4"/>
        <v>449134.875</v>
      </c>
      <c r="J165" s="42">
        <f t="shared" si="5"/>
        <v>259014.95500000007</v>
      </c>
    </row>
    <row r="166" spans="1:10" x14ac:dyDescent="0.2">
      <c r="A166" s="1">
        <v>625</v>
      </c>
      <c r="B166" s="1" t="s">
        <v>176</v>
      </c>
      <c r="C166" s="15">
        <v>2093440.17</v>
      </c>
      <c r="D166" s="16">
        <v>11294664.9</v>
      </c>
      <c r="E166" s="22">
        <v>0</v>
      </c>
      <c r="F166" s="22">
        <v>0</v>
      </c>
      <c r="G166" s="3"/>
      <c r="H166" s="2">
        <v>31426368.749999996</v>
      </c>
      <c r="I166" s="8">
        <f t="shared" si="4"/>
        <v>1571318.4375</v>
      </c>
      <c r="J166" s="42">
        <f t="shared" si="5"/>
        <v>522121.73249999993</v>
      </c>
    </row>
    <row r="167" spans="1:10" x14ac:dyDescent="0.2">
      <c r="A167" s="1">
        <v>627</v>
      </c>
      <c r="B167" s="1" t="s">
        <v>315</v>
      </c>
      <c r="C167" s="15">
        <v>0</v>
      </c>
      <c r="D167" s="16"/>
      <c r="E167" s="22">
        <v>0</v>
      </c>
      <c r="F167" s="22">
        <v>0</v>
      </c>
      <c r="G167" s="3"/>
      <c r="H167" s="2">
        <v>152265.75</v>
      </c>
      <c r="I167" s="8">
        <f t="shared" si="4"/>
        <v>7613.2875000000004</v>
      </c>
      <c r="J167" s="42">
        <f t="shared" si="5"/>
        <v>0</v>
      </c>
    </row>
    <row r="168" spans="1:10" x14ac:dyDescent="0.2">
      <c r="A168" s="1">
        <v>628</v>
      </c>
      <c r="B168" s="1" t="s">
        <v>316</v>
      </c>
      <c r="C168" s="15">
        <v>0</v>
      </c>
      <c r="D168" s="16"/>
      <c r="E168" s="22">
        <v>0</v>
      </c>
      <c r="F168" s="22">
        <v>0</v>
      </c>
      <c r="G168" s="3"/>
      <c r="H168" s="2">
        <v>159757.5</v>
      </c>
      <c r="I168" s="8">
        <f t="shared" si="4"/>
        <v>7987.875</v>
      </c>
      <c r="J168" s="42">
        <f t="shared" si="5"/>
        <v>0</v>
      </c>
    </row>
    <row r="169" spans="1:10" x14ac:dyDescent="0.2">
      <c r="A169" s="1">
        <v>630</v>
      </c>
      <c r="B169" s="1" t="s">
        <v>177</v>
      </c>
      <c r="C169" s="15">
        <v>90903.47</v>
      </c>
      <c r="D169" s="16"/>
      <c r="E169" s="22">
        <v>21333.32</v>
      </c>
      <c r="F169" s="22">
        <v>31439.8</v>
      </c>
      <c r="G169" s="3"/>
      <c r="H169" s="2">
        <v>456330</v>
      </c>
      <c r="I169" s="8">
        <f t="shared" si="4"/>
        <v>22816.5</v>
      </c>
      <c r="J169" s="42">
        <f t="shared" si="5"/>
        <v>15313.849999999991</v>
      </c>
    </row>
    <row r="170" spans="1:10" x14ac:dyDescent="0.2">
      <c r="A170" s="1">
        <v>640</v>
      </c>
      <c r="B170" s="1" t="s">
        <v>178</v>
      </c>
      <c r="C170" s="15">
        <v>86843.71</v>
      </c>
      <c r="D170" s="16"/>
      <c r="E170" s="22">
        <v>20433.89</v>
      </c>
      <c r="F170" s="22">
        <v>25450.91</v>
      </c>
      <c r="G170" s="3"/>
      <c r="H170" s="2">
        <v>347382</v>
      </c>
      <c r="I170" s="8">
        <f t="shared" si="4"/>
        <v>17369.100000000002</v>
      </c>
      <c r="J170" s="42">
        <f t="shared" si="5"/>
        <v>23589.81</v>
      </c>
    </row>
    <row r="171" spans="1:10" x14ac:dyDescent="0.2">
      <c r="A171" s="1">
        <v>656</v>
      </c>
      <c r="B171" s="1" t="s">
        <v>179</v>
      </c>
      <c r="C171" s="15">
        <v>934147.89</v>
      </c>
      <c r="D171" s="16"/>
      <c r="E171" s="22">
        <v>207250.45</v>
      </c>
      <c r="F171" s="22">
        <v>323691.84000000003</v>
      </c>
      <c r="G171" s="22"/>
      <c r="H171" s="2">
        <v>5093909.0999999996</v>
      </c>
      <c r="I171" s="8">
        <f t="shared" si="4"/>
        <v>254695.45499999999</v>
      </c>
      <c r="J171" s="42">
        <f t="shared" si="5"/>
        <v>148510.14499999993</v>
      </c>
    </row>
    <row r="172" spans="1:10" x14ac:dyDescent="0.2">
      <c r="A172" s="1">
        <v>659</v>
      </c>
      <c r="B172" s="1" t="s">
        <v>180</v>
      </c>
      <c r="C172" s="15">
        <v>1294526.5</v>
      </c>
      <c r="D172" s="16">
        <v>23235010.25</v>
      </c>
      <c r="E172" s="22">
        <v>348670.38</v>
      </c>
      <c r="F172" s="22">
        <v>300909.34999999998</v>
      </c>
      <c r="G172" s="22"/>
      <c r="H172" s="2">
        <v>6042398.2710000006</v>
      </c>
      <c r="I172" s="8">
        <f t="shared" si="4"/>
        <v>302119.91355000006</v>
      </c>
      <c r="J172" s="42">
        <f t="shared" si="5"/>
        <v>342826.85644999996</v>
      </c>
    </row>
    <row r="173" spans="1:10" x14ac:dyDescent="0.2">
      <c r="A173" s="1">
        <v>671</v>
      </c>
      <c r="B173" s="1" t="s">
        <v>181</v>
      </c>
      <c r="C173" s="15">
        <v>0</v>
      </c>
      <c r="D173" s="16"/>
      <c r="E173" s="22">
        <v>0</v>
      </c>
      <c r="F173" s="22">
        <v>0</v>
      </c>
      <c r="G173" s="22"/>
      <c r="H173" s="2">
        <v>744341.85</v>
      </c>
      <c r="I173" s="8">
        <f t="shared" si="4"/>
        <v>37217.092499999999</v>
      </c>
      <c r="J173" s="42">
        <f t="shared" si="5"/>
        <v>0</v>
      </c>
    </row>
    <row r="174" spans="1:10" x14ac:dyDescent="0.2">
      <c r="A174" s="1">
        <v>676</v>
      </c>
      <c r="B174" s="1" t="s">
        <v>182</v>
      </c>
      <c r="C174" s="15">
        <v>12765.31</v>
      </c>
      <c r="D174" s="16"/>
      <c r="E174" s="22">
        <v>5909.15</v>
      </c>
      <c r="F174" s="22">
        <v>9256.36</v>
      </c>
      <c r="G174" s="22"/>
      <c r="H174" s="2">
        <v>0</v>
      </c>
      <c r="I174" s="8">
        <f t="shared" si="4"/>
        <v>0</v>
      </c>
      <c r="J174" s="42">
        <f t="shared" si="5"/>
        <v>0</v>
      </c>
    </row>
    <row r="175" spans="1:10" x14ac:dyDescent="0.2">
      <c r="A175" s="1">
        <v>695</v>
      </c>
      <c r="B175" s="1" t="s">
        <v>183</v>
      </c>
      <c r="C175" s="15">
        <v>72828.990000000005</v>
      </c>
      <c r="D175" s="16"/>
      <c r="E175" s="22">
        <v>35482.04</v>
      </c>
      <c r="F175" s="22">
        <v>0</v>
      </c>
      <c r="G175" s="22"/>
      <c r="H175" s="2">
        <v>595770</v>
      </c>
      <c r="I175" s="8">
        <f t="shared" si="4"/>
        <v>29788.5</v>
      </c>
      <c r="J175" s="42">
        <f t="shared" si="5"/>
        <v>7558.4500000000044</v>
      </c>
    </row>
    <row r="176" spans="1:10" x14ac:dyDescent="0.2">
      <c r="A176" s="1">
        <v>696</v>
      </c>
      <c r="B176" s="1" t="s">
        <v>184</v>
      </c>
      <c r="C176" s="15">
        <v>0</v>
      </c>
      <c r="D176" s="16"/>
      <c r="E176" s="22">
        <v>0</v>
      </c>
      <c r="F176" s="22">
        <v>0</v>
      </c>
      <c r="G176" s="22"/>
      <c r="H176" s="2">
        <v>347507.47499999998</v>
      </c>
      <c r="I176" s="8">
        <f t="shared" si="4"/>
        <v>17375.373749999999</v>
      </c>
      <c r="J176" s="42">
        <f t="shared" si="5"/>
        <v>0</v>
      </c>
    </row>
    <row r="177" spans="1:10" x14ac:dyDescent="0.2">
      <c r="A177" s="1">
        <v>698</v>
      </c>
      <c r="B177" s="1" t="s">
        <v>185</v>
      </c>
      <c r="C177" s="15">
        <v>795413.5</v>
      </c>
      <c r="D177" s="16"/>
      <c r="E177" s="22">
        <v>0</v>
      </c>
      <c r="F177" s="22">
        <v>0</v>
      </c>
      <c r="G177" s="22"/>
      <c r="H177" s="2">
        <v>950857.51949999994</v>
      </c>
      <c r="I177" s="8">
        <f t="shared" si="4"/>
        <v>47542.875975000003</v>
      </c>
      <c r="J177" s="42">
        <f t="shared" si="5"/>
        <v>747870.62402500003</v>
      </c>
    </row>
    <row r="178" spans="1:10" x14ac:dyDescent="0.2">
      <c r="A178" s="1">
        <v>700</v>
      </c>
      <c r="B178" s="1" t="s">
        <v>186</v>
      </c>
      <c r="C178" s="15">
        <v>30116.87</v>
      </c>
      <c r="D178" s="16"/>
      <c r="E178" s="22">
        <v>0</v>
      </c>
      <c r="F178" s="22">
        <v>0</v>
      </c>
      <c r="G178" s="22"/>
      <c r="H178" s="2">
        <v>666087.1875</v>
      </c>
      <c r="I178" s="8">
        <f t="shared" si="4"/>
        <v>33304.359375</v>
      </c>
      <c r="J178" s="42">
        <f t="shared" si="5"/>
        <v>0</v>
      </c>
    </row>
    <row r="179" spans="1:10" x14ac:dyDescent="0.2">
      <c r="A179" s="1">
        <v>701</v>
      </c>
      <c r="B179" s="1" t="s">
        <v>187</v>
      </c>
      <c r="C179" s="15">
        <v>366130.56</v>
      </c>
      <c r="D179" s="16"/>
      <c r="E179" s="22">
        <v>0</v>
      </c>
      <c r="F179" s="22">
        <v>0</v>
      </c>
      <c r="G179" s="22"/>
      <c r="H179" s="2">
        <v>579000.45000000007</v>
      </c>
      <c r="I179" s="8">
        <f t="shared" si="4"/>
        <v>28950.022500000006</v>
      </c>
      <c r="J179" s="42">
        <f t="shared" si="5"/>
        <v>337180.53749999998</v>
      </c>
    </row>
    <row r="180" spans="1:10" x14ac:dyDescent="0.2">
      <c r="A180" s="1">
        <v>704</v>
      </c>
      <c r="B180" s="1" t="s">
        <v>188</v>
      </c>
      <c r="C180" s="15">
        <v>318927.49</v>
      </c>
      <c r="D180" s="16">
        <v>8552800.7100000009</v>
      </c>
      <c r="E180" s="22">
        <v>91419.62</v>
      </c>
      <c r="F180" s="22">
        <v>90531.61</v>
      </c>
      <c r="G180" s="22"/>
      <c r="H180" s="2">
        <v>1131892.6500000001</v>
      </c>
      <c r="I180" s="8">
        <f t="shared" si="4"/>
        <v>56594.632500000007</v>
      </c>
      <c r="J180" s="42">
        <f t="shared" si="5"/>
        <v>80381.627500000002</v>
      </c>
    </row>
    <row r="181" spans="1:10" x14ac:dyDescent="0.2">
      <c r="A181" s="1">
        <v>706</v>
      </c>
      <c r="B181" s="1" t="s">
        <v>189</v>
      </c>
      <c r="C181" s="15">
        <v>26022.35</v>
      </c>
      <c r="D181" s="16"/>
      <c r="E181" s="22">
        <v>0</v>
      </c>
      <c r="F181" s="22">
        <v>0</v>
      </c>
      <c r="G181" s="22"/>
      <c r="H181" s="2">
        <v>273504</v>
      </c>
      <c r="I181" s="8">
        <f t="shared" si="4"/>
        <v>13675.2</v>
      </c>
      <c r="J181" s="42">
        <f t="shared" si="5"/>
        <v>12347.149999999998</v>
      </c>
    </row>
    <row r="182" spans="1:10" x14ac:dyDescent="0.2">
      <c r="A182" s="1">
        <v>709</v>
      </c>
      <c r="B182" s="1" t="s">
        <v>190</v>
      </c>
      <c r="C182" s="15">
        <v>8934095.0999999996</v>
      </c>
      <c r="D182" s="16"/>
      <c r="E182" s="22">
        <v>1122954.46</v>
      </c>
      <c r="F182" s="22">
        <v>3722164.67</v>
      </c>
      <c r="G182" s="22"/>
      <c r="H182" s="2">
        <v>6193761</v>
      </c>
      <c r="I182" s="8">
        <f t="shared" si="4"/>
        <v>309688.05</v>
      </c>
      <c r="J182" s="42">
        <f t="shared" si="5"/>
        <v>3779287.92</v>
      </c>
    </row>
    <row r="183" spans="1:10" x14ac:dyDescent="0.2">
      <c r="A183" s="1">
        <v>712</v>
      </c>
      <c r="B183" s="1" t="s">
        <v>191</v>
      </c>
      <c r="C183" s="15">
        <v>13520.16</v>
      </c>
      <c r="D183" s="16"/>
      <c r="E183" s="22">
        <v>6122.65</v>
      </c>
      <c r="F183" s="22">
        <v>0</v>
      </c>
      <c r="G183" s="22"/>
      <c r="H183" s="2">
        <v>426111</v>
      </c>
      <c r="I183" s="8">
        <f t="shared" si="4"/>
        <v>21305.550000000003</v>
      </c>
      <c r="J183" s="42">
        <f t="shared" si="5"/>
        <v>0</v>
      </c>
    </row>
    <row r="184" spans="1:10" x14ac:dyDescent="0.2">
      <c r="A184" s="1">
        <v>716</v>
      </c>
      <c r="B184" s="1" t="s">
        <v>192</v>
      </c>
      <c r="C184" s="15">
        <v>687221.06</v>
      </c>
      <c r="D184" s="16"/>
      <c r="E184" s="22">
        <v>351744.71</v>
      </c>
      <c r="F184" s="22">
        <v>0</v>
      </c>
      <c r="G184" s="22"/>
      <c r="H184" s="2">
        <v>3335054.1</v>
      </c>
      <c r="I184" s="8">
        <f t="shared" si="4"/>
        <v>166752.70500000002</v>
      </c>
      <c r="J184" s="42">
        <f t="shared" si="5"/>
        <v>168723.64500000002</v>
      </c>
    </row>
    <row r="185" spans="1:10" x14ac:dyDescent="0.2">
      <c r="A185" s="1">
        <v>717</v>
      </c>
      <c r="B185" s="1" t="s">
        <v>193</v>
      </c>
      <c r="C185" s="15">
        <v>453835.74</v>
      </c>
      <c r="D185" s="16"/>
      <c r="E185" s="22">
        <v>118412.1</v>
      </c>
      <c r="F185" s="22">
        <v>116774.53</v>
      </c>
      <c r="G185" s="22"/>
      <c r="H185" s="2">
        <v>1972677</v>
      </c>
      <c r="I185" s="8">
        <f t="shared" si="4"/>
        <v>98633.85</v>
      </c>
      <c r="J185" s="42">
        <f t="shared" si="5"/>
        <v>120015.26000000001</v>
      </c>
    </row>
    <row r="186" spans="1:10" x14ac:dyDescent="0.2">
      <c r="A186" s="1">
        <v>719</v>
      </c>
      <c r="B186" s="1" t="s">
        <v>194</v>
      </c>
      <c r="C186" s="15">
        <v>2069138.37</v>
      </c>
      <c r="D186" s="16"/>
      <c r="E186" s="22">
        <v>57094.79</v>
      </c>
      <c r="F186" s="22">
        <v>608410.04</v>
      </c>
      <c r="G186" s="22"/>
      <c r="H186" s="2">
        <v>13272829.5</v>
      </c>
      <c r="I186" s="8">
        <f t="shared" si="4"/>
        <v>663641.47500000009</v>
      </c>
      <c r="J186" s="42">
        <f t="shared" si="5"/>
        <v>739992.06499999994</v>
      </c>
    </row>
    <row r="187" spans="1:10" x14ac:dyDescent="0.2">
      <c r="A187" s="1">
        <v>720</v>
      </c>
      <c r="B187" s="1" t="s">
        <v>195</v>
      </c>
      <c r="C187" s="15">
        <v>2185834.38</v>
      </c>
      <c r="D187" s="16"/>
      <c r="E187" s="22">
        <v>600000</v>
      </c>
      <c r="F187" s="22">
        <v>86764.24</v>
      </c>
      <c r="G187" s="22"/>
      <c r="H187" s="2">
        <v>13984264.875</v>
      </c>
      <c r="I187" s="8">
        <f t="shared" si="4"/>
        <v>699213.24375000002</v>
      </c>
      <c r="J187" s="42">
        <f t="shared" si="5"/>
        <v>799856.89624999987</v>
      </c>
    </row>
    <row r="188" spans="1:10" x14ac:dyDescent="0.2">
      <c r="A188" s="1">
        <v>721</v>
      </c>
      <c r="B188" s="1" t="s">
        <v>196</v>
      </c>
      <c r="C188" s="15">
        <v>1047139.9</v>
      </c>
      <c r="D188" s="16"/>
      <c r="E188" s="22">
        <v>300285.65000000002</v>
      </c>
      <c r="F188" s="22">
        <v>208637.86</v>
      </c>
      <c r="G188" s="22"/>
      <c r="H188" s="2">
        <v>5701979.5980000002</v>
      </c>
      <c r="I188" s="8">
        <f t="shared" si="4"/>
        <v>285098.97990000003</v>
      </c>
      <c r="J188" s="42">
        <f t="shared" si="5"/>
        <v>253117.41009999998</v>
      </c>
    </row>
    <row r="189" spans="1:10" x14ac:dyDescent="0.2">
      <c r="A189" s="1">
        <v>726</v>
      </c>
      <c r="B189" s="1" t="s">
        <v>197</v>
      </c>
      <c r="C189" s="15">
        <v>715408.34</v>
      </c>
      <c r="D189" s="16"/>
      <c r="E189" s="22">
        <v>230482.17</v>
      </c>
      <c r="F189" s="22">
        <v>0</v>
      </c>
      <c r="G189" s="22">
        <v>140078</v>
      </c>
      <c r="H189" s="2">
        <v>2290431.15</v>
      </c>
      <c r="I189" s="8">
        <f t="shared" si="4"/>
        <v>114521.5575</v>
      </c>
      <c r="J189" s="42">
        <f t="shared" si="5"/>
        <v>230326.61249999993</v>
      </c>
    </row>
    <row r="190" spans="1:10" x14ac:dyDescent="0.2">
      <c r="A190" s="1">
        <v>727</v>
      </c>
      <c r="B190" s="1" t="s">
        <v>310</v>
      </c>
      <c r="C190" s="15">
        <v>625080.94999999995</v>
      </c>
      <c r="D190" s="16">
        <v>7764773.9199999999</v>
      </c>
      <c r="E190" s="22">
        <v>0</v>
      </c>
      <c r="F190" s="22">
        <v>0</v>
      </c>
      <c r="G190" s="22"/>
      <c r="H190" s="2">
        <v>4929358.3500000006</v>
      </c>
      <c r="I190" s="8">
        <f t="shared" si="4"/>
        <v>246467.91750000004</v>
      </c>
      <c r="J190" s="42">
        <f t="shared" si="5"/>
        <v>378613.03249999991</v>
      </c>
    </row>
    <row r="191" spans="1:10" x14ac:dyDescent="0.2">
      <c r="A191" s="1">
        <v>728</v>
      </c>
      <c r="B191" s="1" t="s">
        <v>198</v>
      </c>
      <c r="C191" s="15">
        <v>3651389.53</v>
      </c>
      <c r="D191" s="16">
        <v>73873125.719999999</v>
      </c>
      <c r="E191" s="22">
        <v>686838.46</v>
      </c>
      <c r="F191" s="22">
        <v>962739.36</v>
      </c>
      <c r="G191" s="22"/>
      <c r="H191" s="2">
        <v>21399952.118999999</v>
      </c>
      <c r="I191" s="8">
        <f t="shared" si="4"/>
        <v>1069997.60595</v>
      </c>
      <c r="J191" s="42">
        <f t="shared" si="5"/>
        <v>931814.10404999997</v>
      </c>
    </row>
    <row r="192" spans="1:10" x14ac:dyDescent="0.2">
      <c r="A192" s="1">
        <v>738</v>
      </c>
      <c r="B192" s="1" t="s">
        <v>199</v>
      </c>
      <c r="C192" s="15">
        <v>202246.55</v>
      </c>
      <c r="D192" s="16"/>
      <c r="E192" s="22">
        <v>56846.92</v>
      </c>
      <c r="F192" s="22">
        <v>252673.5</v>
      </c>
      <c r="G192" s="22"/>
      <c r="H192" s="2">
        <v>704607.75</v>
      </c>
      <c r="I192" s="8">
        <f t="shared" si="4"/>
        <v>35230.387500000004</v>
      </c>
      <c r="J192" s="42">
        <f t="shared" si="5"/>
        <v>0</v>
      </c>
    </row>
    <row r="193" spans="1:10" x14ac:dyDescent="0.2">
      <c r="A193" s="1">
        <v>739</v>
      </c>
      <c r="B193" s="1" t="s">
        <v>200</v>
      </c>
      <c r="C193" s="15">
        <v>225525.41</v>
      </c>
      <c r="D193" s="16"/>
      <c r="E193" s="22">
        <v>81544.33</v>
      </c>
      <c r="F193" s="22">
        <v>55801.16</v>
      </c>
      <c r="G193" s="22"/>
      <c r="H193" s="2">
        <v>870400.125</v>
      </c>
      <c r="I193" s="8">
        <f t="shared" si="4"/>
        <v>43520.006250000006</v>
      </c>
      <c r="J193" s="42">
        <f t="shared" si="5"/>
        <v>44659.913750000007</v>
      </c>
    </row>
    <row r="194" spans="1:10" x14ac:dyDescent="0.2">
      <c r="A194" s="1">
        <v>740</v>
      </c>
      <c r="B194" s="1" t="s">
        <v>201</v>
      </c>
      <c r="C194" s="15">
        <v>162453.56</v>
      </c>
      <c r="D194" s="16"/>
      <c r="E194" s="22">
        <v>53092.85</v>
      </c>
      <c r="F194" s="22">
        <v>42118.080000000002</v>
      </c>
      <c r="G194" s="22">
        <v>85350.88</v>
      </c>
      <c r="H194" s="2">
        <v>687212.4</v>
      </c>
      <c r="I194" s="8">
        <f t="shared" si="4"/>
        <v>34360.620000000003</v>
      </c>
      <c r="J194" s="42">
        <f t="shared" si="5"/>
        <v>0</v>
      </c>
    </row>
    <row r="195" spans="1:10" x14ac:dyDescent="0.2">
      <c r="A195" s="1">
        <v>741</v>
      </c>
      <c r="B195" s="1" t="s">
        <v>202</v>
      </c>
      <c r="C195" s="15">
        <v>183148.58</v>
      </c>
      <c r="D195" s="16"/>
      <c r="E195" s="22">
        <v>0</v>
      </c>
      <c r="F195" s="22">
        <v>0</v>
      </c>
      <c r="G195" s="22"/>
      <c r="H195" s="2">
        <v>808024.875</v>
      </c>
      <c r="I195" s="8">
        <f t="shared" si="4"/>
        <v>40401.243750000001</v>
      </c>
      <c r="J195" s="42">
        <f t="shared" si="5"/>
        <v>142747.33624999999</v>
      </c>
    </row>
    <row r="196" spans="1:10" x14ac:dyDescent="0.2">
      <c r="A196" s="1">
        <v>742</v>
      </c>
      <c r="B196" s="1" t="s">
        <v>203</v>
      </c>
      <c r="C196" s="15">
        <v>778350.29</v>
      </c>
      <c r="D196" s="16"/>
      <c r="E196" s="22">
        <v>182704.84</v>
      </c>
      <c r="F196" s="22">
        <v>285231.65000000002</v>
      </c>
      <c r="G196" s="22"/>
      <c r="H196" s="2">
        <v>2754636.15</v>
      </c>
      <c r="I196" s="8">
        <f t="shared" si="4"/>
        <v>137731.8075</v>
      </c>
      <c r="J196" s="42">
        <f t="shared" si="5"/>
        <v>172681.99250000005</v>
      </c>
    </row>
    <row r="197" spans="1:10" x14ac:dyDescent="0.2">
      <c r="A197" s="1">
        <v>743</v>
      </c>
      <c r="B197" s="1" t="s">
        <v>204</v>
      </c>
      <c r="C197" s="15">
        <v>171431.81</v>
      </c>
      <c r="D197" s="16"/>
      <c r="E197" s="22">
        <v>43794.47</v>
      </c>
      <c r="F197" s="22">
        <v>58760.36</v>
      </c>
      <c r="G197" s="22"/>
      <c r="H197" s="2">
        <v>773498.25</v>
      </c>
      <c r="I197" s="8">
        <f t="shared" si="4"/>
        <v>38674.912499999999</v>
      </c>
      <c r="J197" s="42">
        <f t="shared" si="5"/>
        <v>30202.067499999997</v>
      </c>
    </row>
    <row r="198" spans="1:10" x14ac:dyDescent="0.2">
      <c r="A198" s="1">
        <v>745</v>
      </c>
      <c r="B198" s="1" t="s">
        <v>205</v>
      </c>
      <c r="C198" s="15">
        <v>387239.49</v>
      </c>
      <c r="D198" s="16"/>
      <c r="E198" s="22">
        <v>134912.10999999999</v>
      </c>
      <c r="F198" s="22">
        <v>75177.36</v>
      </c>
      <c r="G198" s="22"/>
      <c r="H198" s="2">
        <v>1618323</v>
      </c>
      <c r="I198" s="8">
        <f t="shared" si="4"/>
        <v>80916.150000000009</v>
      </c>
      <c r="J198" s="42">
        <f t="shared" si="5"/>
        <v>96233.87000000001</v>
      </c>
    </row>
    <row r="199" spans="1:10" x14ac:dyDescent="0.2">
      <c r="A199" s="1">
        <v>748</v>
      </c>
      <c r="B199" s="1" t="s">
        <v>206</v>
      </c>
      <c r="C199" s="15">
        <v>915895.72</v>
      </c>
      <c r="D199" s="16"/>
      <c r="E199" s="22">
        <v>276118.59999999998</v>
      </c>
      <c r="F199" s="22">
        <v>187411.18</v>
      </c>
      <c r="G199" s="22"/>
      <c r="H199" s="2">
        <v>5246117.0999999996</v>
      </c>
      <c r="I199" s="8">
        <f t="shared" ref="I199:I262" si="6">H199*0.05</f>
        <v>262305.85499999998</v>
      </c>
      <c r="J199" s="42">
        <f t="shared" si="5"/>
        <v>190060.08500000002</v>
      </c>
    </row>
    <row r="200" spans="1:10" x14ac:dyDescent="0.2">
      <c r="A200" s="1">
        <v>750</v>
      </c>
      <c r="B200" s="1" t="s">
        <v>207</v>
      </c>
      <c r="C200" s="15">
        <v>396465.27</v>
      </c>
      <c r="D200" s="16"/>
      <c r="E200" s="22">
        <v>78642.98</v>
      </c>
      <c r="F200" s="22">
        <v>79373.59</v>
      </c>
      <c r="G200" s="22"/>
      <c r="H200" s="2">
        <v>2434850.25</v>
      </c>
      <c r="I200" s="8">
        <f t="shared" si="6"/>
        <v>121742.51250000001</v>
      </c>
      <c r="J200" s="42">
        <f t="shared" si="5"/>
        <v>116706.18750000003</v>
      </c>
    </row>
    <row r="201" spans="1:10" x14ac:dyDescent="0.2">
      <c r="A201" s="1">
        <v>756</v>
      </c>
      <c r="B201" s="1" t="s">
        <v>208</v>
      </c>
      <c r="C201" s="15">
        <v>253902.56</v>
      </c>
      <c r="D201" s="16"/>
      <c r="E201" s="22">
        <v>57974.62</v>
      </c>
      <c r="F201" s="22">
        <v>58731.92</v>
      </c>
      <c r="G201" s="22"/>
      <c r="H201" s="2">
        <v>1435787.85</v>
      </c>
      <c r="I201" s="8">
        <f t="shared" si="6"/>
        <v>71789.392500000002</v>
      </c>
      <c r="J201" s="42">
        <f t="shared" ref="J201:J264" si="7">IF(C201-E201-F201-G201-I201&gt;0,C201-E201-F201-G201-I201,0)</f>
        <v>65406.627500000017</v>
      </c>
    </row>
    <row r="202" spans="1:10" x14ac:dyDescent="0.2">
      <c r="A202" s="1">
        <v>761</v>
      </c>
      <c r="B202" s="1" t="s">
        <v>209</v>
      </c>
      <c r="C202" s="15">
        <v>725060.58</v>
      </c>
      <c r="D202" s="16"/>
      <c r="E202" s="22">
        <v>228836.36</v>
      </c>
      <c r="F202" s="22">
        <v>162803.14000000001</v>
      </c>
      <c r="G202" s="22"/>
      <c r="H202" s="2">
        <v>2473763.25</v>
      </c>
      <c r="I202" s="8">
        <f t="shared" si="6"/>
        <v>123688.16250000001</v>
      </c>
      <c r="J202" s="42">
        <f t="shared" si="7"/>
        <v>209732.91749999995</v>
      </c>
    </row>
    <row r="203" spans="1:10" x14ac:dyDescent="0.2">
      <c r="A203" s="1">
        <v>763</v>
      </c>
      <c r="B203" s="1" t="s">
        <v>210</v>
      </c>
      <c r="C203" s="15">
        <v>255345.86</v>
      </c>
      <c r="D203" s="16"/>
      <c r="E203" s="22">
        <v>49896.12</v>
      </c>
      <c r="F203" s="22">
        <v>67104.58</v>
      </c>
      <c r="G203" s="22"/>
      <c r="H203" s="2">
        <v>1050086.1000000001</v>
      </c>
      <c r="I203" s="8">
        <f t="shared" si="6"/>
        <v>52504.305000000008</v>
      </c>
      <c r="J203" s="42">
        <f t="shared" si="7"/>
        <v>85840.854999999967</v>
      </c>
    </row>
    <row r="204" spans="1:10" x14ac:dyDescent="0.2">
      <c r="A204" s="1">
        <v>768</v>
      </c>
      <c r="B204" s="1" t="s">
        <v>211</v>
      </c>
      <c r="C204" s="15">
        <v>55387.43</v>
      </c>
      <c r="D204" s="16"/>
      <c r="E204" s="22">
        <v>17082.59</v>
      </c>
      <c r="F204" s="22">
        <v>18889.23</v>
      </c>
      <c r="G204" s="22"/>
      <c r="H204" s="2">
        <v>263492.25</v>
      </c>
      <c r="I204" s="8">
        <f t="shared" si="6"/>
        <v>13174.612500000001</v>
      </c>
      <c r="J204" s="42">
        <f t="shared" si="7"/>
        <v>6240.9974999999959</v>
      </c>
    </row>
    <row r="205" spans="1:10" x14ac:dyDescent="0.2">
      <c r="A205" s="1">
        <v>769</v>
      </c>
      <c r="B205" s="1" t="s">
        <v>212</v>
      </c>
      <c r="C205" s="15">
        <v>571319.16</v>
      </c>
      <c r="D205" s="16">
        <v>22326951</v>
      </c>
      <c r="E205" s="22">
        <v>202743.34</v>
      </c>
      <c r="F205" s="22">
        <v>146896.20000000001</v>
      </c>
      <c r="G205" s="22"/>
      <c r="H205" s="2">
        <v>1396400.25</v>
      </c>
      <c r="I205" s="8">
        <f t="shared" si="6"/>
        <v>69820.012499999997</v>
      </c>
      <c r="J205" s="42">
        <f t="shared" si="7"/>
        <v>151859.60750000004</v>
      </c>
    </row>
    <row r="206" spans="1:10" x14ac:dyDescent="0.2">
      <c r="A206" s="1">
        <v>771</v>
      </c>
      <c r="B206" s="1" t="s">
        <v>213</v>
      </c>
      <c r="C206" s="15">
        <v>0</v>
      </c>
      <c r="D206" s="16"/>
      <c r="E206" s="22">
        <v>61.53</v>
      </c>
      <c r="F206" s="22">
        <v>61.53</v>
      </c>
      <c r="G206" s="22"/>
      <c r="H206" s="2">
        <v>0</v>
      </c>
      <c r="I206" s="8">
        <f t="shared" si="6"/>
        <v>0</v>
      </c>
      <c r="J206" s="42">
        <f t="shared" si="7"/>
        <v>0</v>
      </c>
    </row>
    <row r="207" spans="1:10" x14ac:dyDescent="0.2">
      <c r="A207" s="1">
        <v>775</v>
      </c>
      <c r="B207" s="1" t="s">
        <v>214</v>
      </c>
      <c r="C207" s="15">
        <v>141408.68</v>
      </c>
      <c r="D207" s="16"/>
      <c r="E207" s="22">
        <v>54280.17</v>
      </c>
      <c r="F207" s="22">
        <v>27632.560000000001</v>
      </c>
      <c r="G207" s="22"/>
      <c r="H207" s="2">
        <v>600666.15</v>
      </c>
      <c r="I207" s="8">
        <f t="shared" si="6"/>
        <v>30033.307500000003</v>
      </c>
      <c r="J207" s="42">
        <f t="shared" si="7"/>
        <v>29462.642499999994</v>
      </c>
    </row>
    <row r="208" spans="1:10" x14ac:dyDescent="0.2">
      <c r="A208" s="1">
        <v>777</v>
      </c>
      <c r="B208" s="1" t="s">
        <v>215</v>
      </c>
      <c r="C208" s="15">
        <v>75367.13</v>
      </c>
      <c r="D208" s="16"/>
      <c r="E208" s="22">
        <v>18217.96</v>
      </c>
      <c r="F208" s="22">
        <v>24321.1</v>
      </c>
      <c r="G208" s="22"/>
      <c r="H208" s="2">
        <v>363090</v>
      </c>
      <c r="I208" s="8">
        <f t="shared" si="6"/>
        <v>18154.5</v>
      </c>
      <c r="J208" s="42">
        <f t="shared" si="7"/>
        <v>14673.570000000007</v>
      </c>
    </row>
    <row r="209" spans="1:10" x14ac:dyDescent="0.2">
      <c r="A209" s="1">
        <v>786</v>
      </c>
      <c r="B209" s="10" t="s">
        <v>311</v>
      </c>
      <c r="C209" s="15">
        <v>112349.99</v>
      </c>
      <c r="D209" s="16"/>
      <c r="E209" s="22">
        <v>12507.92</v>
      </c>
      <c r="F209" s="22">
        <v>25295.599999999999</v>
      </c>
      <c r="G209" s="22"/>
      <c r="H209" s="2">
        <v>553074.9</v>
      </c>
      <c r="I209" s="8">
        <f t="shared" si="6"/>
        <v>27653.745000000003</v>
      </c>
      <c r="J209" s="42">
        <f t="shared" si="7"/>
        <v>46892.724999999999</v>
      </c>
    </row>
    <row r="210" spans="1:10" x14ac:dyDescent="0.2">
      <c r="A210" s="1">
        <v>787</v>
      </c>
      <c r="B210" s="1" t="s">
        <v>216</v>
      </c>
      <c r="C210" s="15">
        <v>40828.86</v>
      </c>
      <c r="D210" s="16"/>
      <c r="E210" s="22">
        <v>11116.13</v>
      </c>
      <c r="F210" s="22">
        <v>10165.14</v>
      </c>
      <c r="G210" s="22"/>
      <c r="H210" s="2">
        <v>195510</v>
      </c>
      <c r="I210" s="8">
        <f t="shared" si="6"/>
        <v>9775.5</v>
      </c>
      <c r="J210" s="42">
        <f t="shared" si="7"/>
        <v>9772.0900000000038</v>
      </c>
    </row>
    <row r="211" spans="1:10" x14ac:dyDescent="0.2">
      <c r="A211" s="1">
        <v>803</v>
      </c>
      <c r="B211" s="1" t="s">
        <v>217</v>
      </c>
      <c r="C211" s="15">
        <v>49779.519999999997</v>
      </c>
      <c r="D211" s="16"/>
      <c r="E211" s="22">
        <v>43782.720000000001</v>
      </c>
      <c r="F211" s="22">
        <v>49761.83</v>
      </c>
      <c r="G211" s="22"/>
      <c r="H211" s="2">
        <v>0</v>
      </c>
      <c r="I211" s="8">
        <f t="shared" si="6"/>
        <v>0</v>
      </c>
      <c r="J211" s="42">
        <f t="shared" si="7"/>
        <v>0</v>
      </c>
    </row>
    <row r="212" spans="1:10" x14ac:dyDescent="0.2">
      <c r="A212" s="1">
        <v>811</v>
      </c>
      <c r="B212" s="1" t="s">
        <v>218</v>
      </c>
      <c r="C212" s="15">
        <v>189665.21</v>
      </c>
      <c r="D212" s="16"/>
      <c r="E212" s="22">
        <v>0</v>
      </c>
      <c r="F212" s="22">
        <v>139197.72</v>
      </c>
      <c r="G212" s="22"/>
      <c r="H212" s="2">
        <v>337212.75</v>
      </c>
      <c r="I212" s="8">
        <f t="shared" si="6"/>
        <v>16860.637500000001</v>
      </c>
      <c r="J212" s="42">
        <f t="shared" si="7"/>
        <v>33606.852499999994</v>
      </c>
    </row>
    <row r="213" spans="1:10" x14ac:dyDescent="0.2">
      <c r="A213" s="1">
        <v>813</v>
      </c>
      <c r="B213" s="1" t="s">
        <v>219</v>
      </c>
      <c r="C213" s="15">
        <v>63691.66</v>
      </c>
      <c r="D213" s="16"/>
      <c r="E213" s="22">
        <v>0</v>
      </c>
      <c r="F213" s="22">
        <v>96.21</v>
      </c>
      <c r="G213" s="22"/>
      <c r="H213" s="2">
        <v>1195352.55</v>
      </c>
      <c r="I213" s="8">
        <f t="shared" si="6"/>
        <v>59767.627500000002</v>
      </c>
      <c r="J213" s="42">
        <f t="shared" si="7"/>
        <v>3827.822500000002</v>
      </c>
    </row>
    <row r="214" spans="1:10" x14ac:dyDescent="0.2">
      <c r="A214" s="1">
        <v>818</v>
      </c>
      <c r="B214" s="1" t="s">
        <v>220</v>
      </c>
      <c r="C214" s="15">
        <v>53593.4</v>
      </c>
      <c r="D214" s="16"/>
      <c r="E214" s="22">
        <v>12697.2</v>
      </c>
      <c r="F214" s="22">
        <v>12264.87</v>
      </c>
      <c r="G214" s="22"/>
      <c r="H214" s="2">
        <v>266511</v>
      </c>
      <c r="I214" s="8">
        <f t="shared" si="6"/>
        <v>13325.550000000001</v>
      </c>
      <c r="J214" s="42">
        <f t="shared" si="7"/>
        <v>15305.779999999993</v>
      </c>
    </row>
    <row r="215" spans="1:10" x14ac:dyDescent="0.2">
      <c r="A215" s="1">
        <v>821</v>
      </c>
      <c r="B215" s="1" t="s">
        <v>221</v>
      </c>
      <c r="C215" s="15">
        <v>74518.240000000005</v>
      </c>
      <c r="D215" s="16"/>
      <c r="E215" s="22">
        <v>18413.650000000001</v>
      </c>
      <c r="F215" s="22">
        <v>3324.27</v>
      </c>
      <c r="G215" s="22"/>
      <c r="H215" s="2">
        <v>479931.375</v>
      </c>
      <c r="I215" s="8">
        <f t="shared" si="6"/>
        <v>23996.568750000002</v>
      </c>
      <c r="J215" s="42">
        <f t="shared" si="7"/>
        <v>28783.751250000005</v>
      </c>
    </row>
    <row r="216" spans="1:10" x14ac:dyDescent="0.2">
      <c r="A216" s="1">
        <v>829</v>
      </c>
      <c r="B216" s="1" t="s">
        <v>222</v>
      </c>
      <c r="C216" s="15">
        <v>336300.55</v>
      </c>
      <c r="D216" s="16">
        <v>2443265.15</v>
      </c>
      <c r="E216" s="22">
        <v>73283.73</v>
      </c>
      <c r="F216" s="22">
        <v>62835.63</v>
      </c>
      <c r="G216" s="22"/>
      <c r="H216" s="2">
        <v>1308297.8999999999</v>
      </c>
      <c r="I216" s="8">
        <f t="shared" si="6"/>
        <v>65414.894999999997</v>
      </c>
      <c r="J216" s="42">
        <f t="shared" si="7"/>
        <v>134766.29500000001</v>
      </c>
    </row>
    <row r="217" spans="1:10" x14ac:dyDescent="0.2">
      <c r="A217" s="1">
        <v>831</v>
      </c>
      <c r="B217" s="1" t="s">
        <v>223</v>
      </c>
      <c r="C217" s="15">
        <v>1151203.07</v>
      </c>
      <c r="D217" s="16"/>
      <c r="E217" s="22">
        <v>584221.93000000005</v>
      </c>
      <c r="F217" s="22">
        <v>185722.35</v>
      </c>
      <c r="G217" s="22"/>
      <c r="H217" s="2">
        <v>4338862.5</v>
      </c>
      <c r="I217" s="8">
        <f t="shared" si="6"/>
        <v>216943.125</v>
      </c>
      <c r="J217" s="42">
        <f t="shared" si="7"/>
        <v>164315.66500000004</v>
      </c>
    </row>
    <row r="218" spans="1:10" x14ac:dyDescent="0.2">
      <c r="A218" s="1">
        <v>832</v>
      </c>
      <c r="B218" s="1" t="s">
        <v>224</v>
      </c>
      <c r="C218" s="15">
        <v>925742.96</v>
      </c>
      <c r="D218" s="16">
        <v>9409790.5399999991</v>
      </c>
      <c r="E218" s="22">
        <v>94590.88</v>
      </c>
      <c r="F218" s="22">
        <v>0</v>
      </c>
      <c r="G218" s="22">
        <v>132674</v>
      </c>
      <c r="H218" s="2">
        <v>5117468.4749999996</v>
      </c>
      <c r="I218" s="8">
        <f t="shared" si="6"/>
        <v>255873.42374999999</v>
      </c>
      <c r="J218" s="42">
        <f t="shared" si="7"/>
        <v>442604.65625</v>
      </c>
    </row>
    <row r="219" spans="1:10" x14ac:dyDescent="0.2">
      <c r="A219" s="1">
        <v>833</v>
      </c>
      <c r="B219" s="1" t="s">
        <v>225</v>
      </c>
      <c r="C219" s="15">
        <v>2280148.38</v>
      </c>
      <c r="D219" s="16">
        <v>44931025.57</v>
      </c>
      <c r="E219" s="22">
        <v>184096.81</v>
      </c>
      <c r="F219" s="22">
        <v>0</v>
      </c>
      <c r="G219" s="22"/>
      <c r="H219" s="2">
        <v>25145283.449999999</v>
      </c>
      <c r="I219" s="8">
        <f t="shared" si="6"/>
        <v>1257264.1725000001</v>
      </c>
      <c r="J219" s="42">
        <f t="shared" si="7"/>
        <v>838787.39749999973</v>
      </c>
    </row>
    <row r="220" spans="1:10" x14ac:dyDescent="0.2">
      <c r="A220" s="1">
        <v>834</v>
      </c>
      <c r="B220" s="1" t="s">
        <v>226</v>
      </c>
      <c r="C220" s="15">
        <v>1677728.78</v>
      </c>
      <c r="D220" s="16">
        <v>4933009.3499999996</v>
      </c>
      <c r="E220" s="22">
        <v>486855.32</v>
      </c>
      <c r="F220" s="22">
        <v>335064.09999999998</v>
      </c>
      <c r="G220" s="22"/>
      <c r="H220" s="2">
        <v>8039359.6500000004</v>
      </c>
      <c r="I220" s="8">
        <f t="shared" si="6"/>
        <v>401967.98250000004</v>
      </c>
      <c r="J220" s="42">
        <f t="shared" si="7"/>
        <v>453841.37749999994</v>
      </c>
    </row>
    <row r="221" spans="1:10" x14ac:dyDescent="0.2">
      <c r="A221" s="1">
        <v>837</v>
      </c>
      <c r="B221" s="1" t="s">
        <v>227</v>
      </c>
      <c r="C221" s="15">
        <v>1491117.24</v>
      </c>
      <c r="D221" s="16"/>
      <c r="E221" s="22">
        <v>61268.71</v>
      </c>
      <c r="F221" s="22">
        <v>29489.1</v>
      </c>
      <c r="G221" s="22"/>
      <c r="H221" s="2">
        <v>764385.3</v>
      </c>
      <c r="I221" s="8">
        <f t="shared" si="6"/>
        <v>38219.265000000007</v>
      </c>
      <c r="J221" s="42">
        <f t="shared" si="7"/>
        <v>1362140.165</v>
      </c>
    </row>
    <row r="222" spans="1:10" x14ac:dyDescent="0.2">
      <c r="A222" s="1">
        <v>840</v>
      </c>
      <c r="B222" s="1" t="s">
        <v>228</v>
      </c>
      <c r="C222" s="15">
        <v>2060.71</v>
      </c>
      <c r="D222" s="16"/>
      <c r="E222" s="22">
        <v>0</v>
      </c>
      <c r="F222" s="22">
        <v>0</v>
      </c>
      <c r="G222" s="22"/>
      <c r="H222" s="2">
        <v>271320</v>
      </c>
      <c r="I222" s="8">
        <f t="shared" si="6"/>
        <v>13566</v>
      </c>
      <c r="J222" s="42">
        <f t="shared" si="7"/>
        <v>0</v>
      </c>
    </row>
    <row r="223" spans="1:10" x14ac:dyDescent="0.2">
      <c r="A223" s="1">
        <v>846</v>
      </c>
      <c r="B223" s="1" t="s">
        <v>229</v>
      </c>
      <c r="C223" s="15">
        <v>61930.7</v>
      </c>
      <c r="D223" s="16"/>
      <c r="E223" s="22">
        <v>17538.240000000002</v>
      </c>
      <c r="F223" s="22">
        <v>13828.82</v>
      </c>
      <c r="G223" s="22"/>
      <c r="H223" s="2">
        <v>324179.625</v>
      </c>
      <c r="I223" s="8">
        <f t="shared" si="6"/>
        <v>16208.981250000001</v>
      </c>
      <c r="J223" s="42">
        <f t="shared" si="7"/>
        <v>14354.658749999991</v>
      </c>
    </row>
    <row r="224" spans="1:10" x14ac:dyDescent="0.2">
      <c r="A224" s="1">
        <v>852</v>
      </c>
      <c r="B224" s="1" t="s">
        <v>326</v>
      </c>
      <c r="C224" s="15">
        <v>0</v>
      </c>
      <c r="D224" s="16"/>
      <c r="E224" s="22">
        <v>0</v>
      </c>
      <c r="F224" s="22">
        <v>0</v>
      </c>
      <c r="G224" s="22"/>
      <c r="H224" s="2">
        <v>251047.65000000002</v>
      </c>
      <c r="I224" s="8">
        <f t="shared" si="6"/>
        <v>12552.382500000002</v>
      </c>
      <c r="J224" s="42">
        <f t="shared" si="7"/>
        <v>0</v>
      </c>
    </row>
    <row r="225" spans="1:10" x14ac:dyDescent="0.2">
      <c r="A225" s="1">
        <v>857</v>
      </c>
      <c r="B225" s="1" t="s">
        <v>230</v>
      </c>
      <c r="C225" s="15">
        <v>416138.98</v>
      </c>
      <c r="D225" s="16"/>
      <c r="E225" s="22">
        <v>183396.69</v>
      </c>
      <c r="F225" s="22">
        <v>190816.09</v>
      </c>
      <c r="G225" s="22"/>
      <c r="H225" s="2">
        <v>404757.15</v>
      </c>
      <c r="I225" s="8">
        <f t="shared" si="6"/>
        <v>20237.857500000002</v>
      </c>
      <c r="J225" s="42">
        <f t="shared" si="7"/>
        <v>21688.342499999981</v>
      </c>
    </row>
    <row r="226" spans="1:10" x14ac:dyDescent="0.2">
      <c r="A226" s="1">
        <v>858</v>
      </c>
      <c r="B226" s="1" t="s">
        <v>231</v>
      </c>
      <c r="C226" s="15">
        <v>161278.31</v>
      </c>
      <c r="D226" s="16">
        <v>5866537.1600000001</v>
      </c>
      <c r="E226" s="22">
        <v>41929.19</v>
      </c>
      <c r="F226" s="22">
        <v>43064.15</v>
      </c>
      <c r="G226" s="22"/>
      <c r="H226" s="2">
        <v>762835.5</v>
      </c>
      <c r="I226" s="8">
        <f t="shared" si="6"/>
        <v>38141.775000000001</v>
      </c>
      <c r="J226" s="42">
        <f t="shared" si="7"/>
        <v>38143.195</v>
      </c>
    </row>
    <row r="227" spans="1:10" x14ac:dyDescent="0.2">
      <c r="A227" s="1">
        <v>861</v>
      </c>
      <c r="B227" s="1" t="s">
        <v>232</v>
      </c>
      <c r="C227" s="15">
        <v>482688</v>
      </c>
      <c r="D227" s="16"/>
      <c r="E227" s="22">
        <v>146018.51999999999</v>
      </c>
      <c r="F227" s="22">
        <v>124612.77</v>
      </c>
      <c r="G227" s="22"/>
      <c r="H227" s="2">
        <v>1857817.5</v>
      </c>
      <c r="I227" s="8">
        <f t="shared" si="6"/>
        <v>92890.875</v>
      </c>
      <c r="J227" s="42">
        <f t="shared" si="7"/>
        <v>119165.83499999996</v>
      </c>
    </row>
    <row r="228" spans="1:10" x14ac:dyDescent="0.2">
      <c r="A228" s="1">
        <v>876</v>
      </c>
      <c r="B228" s="1" t="s">
        <v>233</v>
      </c>
      <c r="C228" s="15">
        <v>134397.60999999999</v>
      </c>
      <c r="D228" s="16"/>
      <c r="E228" s="22">
        <v>45716.78</v>
      </c>
      <c r="F228" s="22">
        <v>0</v>
      </c>
      <c r="G228" s="22"/>
      <c r="H228" s="2">
        <v>2436840</v>
      </c>
      <c r="I228" s="8">
        <f t="shared" si="6"/>
        <v>121842</v>
      </c>
      <c r="J228" s="42">
        <f t="shared" si="7"/>
        <v>0</v>
      </c>
    </row>
    <row r="229" spans="1:10" x14ac:dyDescent="0.2">
      <c r="A229" s="1">
        <v>877</v>
      </c>
      <c r="B229" s="1" t="s">
        <v>234</v>
      </c>
      <c r="C229" s="15">
        <v>1405394.98</v>
      </c>
      <c r="D229" s="16"/>
      <c r="E229" s="22">
        <v>385659.78</v>
      </c>
      <c r="F229" s="22">
        <v>366780.11</v>
      </c>
      <c r="G229" s="22"/>
      <c r="H229" s="2">
        <v>6484695</v>
      </c>
      <c r="I229" s="8">
        <f t="shared" si="6"/>
        <v>324234.75</v>
      </c>
      <c r="J229" s="42">
        <f t="shared" si="7"/>
        <v>328720.33999999997</v>
      </c>
    </row>
    <row r="230" spans="1:10" x14ac:dyDescent="0.2">
      <c r="A230" s="1">
        <v>879</v>
      </c>
      <c r="B230" s="1" t="s">
        <v>235</v>
      </c>
      <c r="C230" s="15">
        <v>747973.56</v>
      </c>
      <c r="D230" s="16"/>
      <c r="E230" s="22">
        <v>138237.79</v>
      </c>
      <c r="F230" s="22">
        <v>124355.6</v>
      </c>
      <c r="G230" s="22"/>
      <c r="H230" s="2">
        <v>2331407.4000000004</v>
      </c>
      <c r="I230" s="8">
        <f t="shared" si="6"/>
        <v>116570.37000000002</v>
      </c>
      <c r="J230" s="42">
        <f t="shared" si="7"/>
        <v>368809.80000000005</v>
      </c>
    </row>
    <row r="231" spans="1:10" x14ac:dyDescent="0.2">
      <c r="A231" s="1">
        <v>881</v>
      </c>
      <c r="B231" s="1" t="s">
        <v>236</v>
      </c>
      <c r="C231" s="15">
        <v>90496.13</v>
      </c>
      <c r="D231" s="16"/>
      <c r="E231" s="22">
        <v>0</v>
      </c>
      <c r="F231" s="22">
        <v>88532.43</v>
      </c>
      <c r="G231" s="22"/>
      <c r="H231" s="2">
        <v>1573246.5</v>
      </c>
      <c r="I231" s="8">
        <f t="shared" si="6"/>
        <v>78662.325000000012</v>
      </c>
      <c r="J231" s="42">
        <f t="shared" si="7"/>
        <v>0</v>
      </c>
    </row>
    <row r="232" spans="1:10" x14ac:dyDescent="0.2">
      <c r="A232" s="1">
        <v>882</v>
      </c>
      <c r="B232" s="1" t="s">
        <v>237</v>
      </c>
      <c r="C232" s="15">
        <v>1721015.23</v>
      </c>
      <c r="D232" s="16"/>
      <c r="E232" s="22">
        <v>282195.62</v>
      </c>
      <c r="F232" s="22">
        <v>810162.26</v>
      </c>
      <c r="G232" s="22"/>
      <c r="H232" s="2">
        <v>5255565</v>
      </c>
      <c r="I232" s="8">
        <f t="shared" si="6"/>
        <v>262778.25</v>
      </c>
      <c r="J232" s="42">
        <f t="shared" si="7"/>
        <v>365879.09999999986</v>
      </c>
    </row>
    <row r="233" spans="1:10" x14ac:dyDescent="0.2">
      <c r="A233" s="1">
        <v>883</v>
      </c>
      <c r="B233" s="1" t="s">
        <v>238</v>
      </c>
      <c r="C233" s="15">
        <v>603776.56999999995</v>
      </c>
      <c r="D233" s="16"/>
      <c r="E233" s="22">
        <v>232336.28</v>
      </c>
      <c r="F233" s="22">
        <v>156249.57</v>
      </c>
      <c r="G233" s="22">
        <v>65812.12</v>
      </c>
      <c r="H233" s="2">
        <v>3168985.5750000002</v>
      </c>
      <c r="I233" s="8">
        <f t="shared" si="6"/>
        <v>158449.27875000003</v>
      </c>
      <c r="J233" s="42">
        <f t="shared" si="7"/>
        <v>0</v>
      </c>
    </row>
    <row r="234" spans="1:10" x14ac:dyDescent="0.2">
      <c r="A234" s="1">
        <v>885</v>
      </c>
      <c r="B234" s="10" t="s">
        <v>312</v>
      </c>
      <c r="C234" s="15">
        <v>1709793.88</v>
      </c>
      <c r="D234" s="16">
        <v>45111005.68</v>
      </c>
      <c r="E234" s="22">
        <v>0</v>
      </c>
      <c r="F234" s="22">
        <v>0</v>
      </c>
      <c r="G234" s="22"/>
      <c r="H234" s="2">
        <v>14437318.875000002</v>
      </c>
      <c r="I234" s="8">
        <f t="shared" si="6"/>
        <v>721865.94375000009</v>
      </c>
      <c r="J234" s="42">
        <f t="shared" si="7"/>
        <v>987927.9362499998</v>
      </c>
    </row>
    <row r="235" spans="1:10" x14ac:dyDescent="0.2">
      <c r="A235" s="1">
        <v>891</v>
      </c>
      <c r="B235" s="1" t="s">
        <v>239</v>
      </c>
      <c r="C235" s="15">
        <v>80218.880000000005</v>
      </c>
      <c r="D235" s="16"/>
      <c r="E235" s="22">
        <v>24477.38</v>
      </c>
      <c r="F235" s="22">
        <v>21252.32</v>
      </c>
      <c r="G235" s="22"/>
      <c r="H235" s="2">
        <v>338958.375</v>
      </c>
      <c r="I235" s="8">
        <f t="shared" si="6"/>
        <v>16947.918750000001</v>
      </c>
      <c r="J235" s="42">
        <f t="shared" si="7"/>
        <v>17541.26125</v>
      </c>
    </row>
    <row r="236" spans="1:10" x14ac:dyDescent="0.2">
      <c r="A236" s="1">
        <v>911</v>
      </c>
      <c r="B236" s="1" t="s">
        <v>240</v>
      </c>
      <c r="C236" s="15">
        <v>570645.54</v>
      </c>
      <c r="D236" s="16"/>
      <c r="E236" s="22">
        <v>0</v>
      </c>
      <c r="F236" s="22">
        <v>33239.379999999997</v>
      </c>
      <c r="G236" s="22"/>
      <c r="H236" s="2">
        <v>5976371.0999999996</v>
      </c>
      <c r="I236" s="8">
        <f t="shared" si="6"/>
        <v>298818.55499999999</v>
      </c>
      <c r="J236" s="42">
        <f t="shared" si="7"/>
        <v>238587.60500000004</v>
      </c>
    </row>
    <row r="237" spans="1:10" x14ac:dyDescent="0.2">
      <c r="A237" s="1">
        <v>912</v>
      </c>
      <c r="B237" s="1" t="s">
        <v>241</v>
      </c>
      <c r="C237" s="15">
        <v>0</v>
      </c>
      <c r="D237" s="16"/>
      <c r="E237" s="22">
        <v>0</v>
      </c>
      <c r="F237" s="22">
        <v>0</v>
      </c>
      <c r="G237" s="22"/>
      <c r="H237" s="2">
        <v>1402994.25</v>
      </c>
      <c r="I237" s="8">
        <f t="shared" si="6"/>
        <v>70149.712500000009</v>
      </c>
      <c r="J237" s="42">
        <f t="shared" si="7"/>
        <v>0</v>
      </c>
    </row>
    <row r="238" spans="1:10" x14ac:dyDescent="0.2">
      <c r="A238" s="1">
        <v>914</v>
      </c>
      <c r="B238" s="1" t="s">
        <v>242</v>
      </c>
      <c r="C238" s="15">
        <v>130887.73</v>
      </c>
      <c r="D238" s="16"/>
      <c r="E238" s="22">
        <v>32476.1</v>
      </c>
      <c r="F238" s="22">
        <v>29738.32</v>
      </c>
      <c r="G238" s="22"/>
      <c r="H238" s="2">
        <v>662156.25</v>
      </c>
      <c r="I238" s="8">
        <f t="shared" si="6"/>
        <v>33107.8125</v>
      </c>
      <c r="J238" s="42">
        <f t="shared" si="7"/>
        <v>35565.497499999998</v>
      </c>
    </row>
    <row r="239" spans="1:10" x14ac:dyDescent="0.2">
      <c r="A239" s="1">
        <v>2071</v>
      </c>
      <c r="B239" s="1" t="s">
        <v>243</v>
      </c>
      <c r="C239" s="15">
        <v>525.79</v>
      </c>
      <c r="D239" s="16"/>
      <c r="E239" s="22">
        <v>100000</v>
      </c>
      <c r="F239" s="22">
        <v>0</v>
      </c>
      <c r="G239" s="22"/>
      <c r="H239" s="2">
        <v>1399258.35</v>
      </c>
      <c r="I239" s="8">
        <f t="shared" si="6"/>
        <v>69962.91750000001</v>
      </c>
      <c r="J239" s="42">
        <f t="shared" si="7"/>
        <v>0</v>
      </c>
    </row>
    <row r="240" spans="1:10" x14ac:dyDescent="0.2">
      <c r="A240" s="1">
        <v>2125</v>
      </c>
      <c r="B240" s="1" t="s">
        <v>244</v>
      </c>
      <c r="C240" s="15">
        <v>191773.41</v>
      </c>
      <c r="D240" s="16"/>
      <c r="E240" s="22">
        <v>105953.89</v>
      </c>
      <c r="F240" s="22">
        <v>41109.93</v>
      </c>
      <c r="G240" s="22"/>
      <c r="H240" s="2">
        <v>991473</v>
      </c>
      <c r="I240" s="8">
        <f t="shared" si="6"/>
        <v>49573.65</v>
      </c>
      <c r="J240" s="42">
        <f t="shared" si="7"/>
        <v>0</v>
      </c>
    </row>
    <row r="241" spans="1:10" x14ac:dyDescent="0.2">
      <c r="A241" s="1">
        <v>2134</v>
      </c>
      <c r="B241" s="1" t="s">
        <v>245</v>
      </c>
      <c r="C241" s="15">
        <v>196863.79</v>
      </c>
      <c r="D241" s="16"/>
      <c r="E241" s="22">
        <v>0</v>
      </c>
      <c r="F241" s="22">
        <v>0</v>
      </c>
      <c r="G241" s="22"/>
      <c r="H241" s="2">
        <v>521824.80000000005</v>
      </c>
      <c r="I241" s="8">
        <f t="shared" si="6"/>
        <v>26091.240000000005</v>
      </c>
      <c r="J241" s="42">
        <f t="shared" si="7"/>
        <v>170772.55</v>
      </c>
    </row>
    <row r="242" spans="1:10" x14ac:dyDescent="0.2">
      <c r="A242" s="1">
        <v>2135</v>
      </c>
      <c r="B242" s="1" t="s">
        <v>246</v>
      </c>
      <c r="C242" s="15">
        <v>92132</v>
      </c>
      <c r="D242" s="16"/>
      <c r="E242" s="22">
        <v>22256.79</v>
      </c>
      <c r="F242" s="22">
        <v>22188.21</v>
      </c>
      <c r="G242" s="22"/>
      <c r="H242" s="2"/>
      <c r="I242" s="8">
        <f t="shared" si="6"/>
        <v>0</v>
      </c>
      <c r="J242" s="42">
        <f t="shared" si="7"/>
        <v>47686.999999999993</v>
      </c>
    </row>
    <row r="243" spans="1:10" x14ac:dyDescent="0.2">
      <c r="A243" s="1">
        <v>2137</v>
      </c>
      <c r="B243" s="1" t="s">
        <v>247</v>
      </c>
      <c r="C243" s="15">
        <v>188448.22</v>
      </c>
      <c r="D243" s="16"/>
      <c r="E243" s="22">
        <v>39836.080000000002</v>
      </c>
      <c r="F243" s="22">
        <v>48642.7</v>
      </c>
      <c r="G243" s="22"/>
      <c r="H243" s="2">
        <v>1077615</v>
      </c>
      <c r="I243" s="8">
        <f t="shared" si="6"/>
        <v>53880.75</v>
      </c>
      <c r="J243" s="42">
        <f t="shared" si="7"/>
        <v>46088.690000000017</v>
      </c>
    </row>
    <row r="244" spans="1:10" x14ac:dyDescent="0.2">
      <c r="A244" s="1">
        <v>2142</v>
      </c>
      <c r="B244" s="1" t="s">
        <v>248</v>
      </c>
      <c r="C244" s="15">
        <v>307640.52</v>
      </c>
      <c r="D244" s="16"/>
      <c r="E244" s="22">
        <v>0</v>
      </c>
      <c r="F244" s="22">
        <v>0</v>
      </c>
      <c r="G244" s="22">
        <v>247108.19</v>
      </c>
      <c r="H244" s="2">
        <v>5618930.0999999996</v>
      </c>
      <c r="I244" s="8">
        <f t="shared" si="6"/>
        <v>280946.505</v>
      </c>
      <c r="J244" s="42">
        <f t="shared" si="7"/>
        <v>0</v>
      </c>
    </row>
    <row r="245" spans="1:10" x14ac:dyDescent="0.2">
      <c r="A245" s="1">
        <v>2144</v>
      </c>
      <c r="B245" s="1" t="s">
        <v>249</v>
      </c>
      <c r="C245" s="15">
        <v>836099.12</v>
      </c>
      <c r="D245" s="16"/>
      <c r="E245" s="22">
        <v>196011.88</v>
      </c>
      <c r="F245" s="22">
        <v>173115.44</v>
      </c>
      <c r="G245" s="22"/>
      <c r="H245" s="2">
        <v>3312525.8250000002</v>
      </c>
      <c r="I245" s="8">
        <f t="shared" si="6"/>
        <v>165626.29125000001</v>
      </c>
      <c r="J245" s="42">
        <f t="shared" si="7"/>
        <v>301345.50874999998</v>
      </c>
    </row>
    <row r="246" spans="1:10" x14ac:dyDescent="0.2">
      <c r="A246" s="1">
        <v>2149</v>
      </c>
      <c r="B246" s="1" t="s">
        <v>250</v>
      </c>
      <c r="C246" s="15">
        <v>317182.59999999998</v>
      </c>
      <c r="D246" s="16"/>
      <c r="E246" s="22">
        <v>61074.559999999998</v>
      </c>
      <c r="F246" s="22">
        <v>130347.48</v>
      </c>
      <c r="G246" s="22"/>
      <c r="H246" s="2">
        <v>1279669.6499999999</v>
      </c>
      <c r="I246" s="8">
        <f t="shared" si="6"/>
        <v>63983.482499999998</v>
      </c>
      <c r="J246" s="42">
        <f t="shared" si="7"/>
        <v>61777.077499999985</v>
      </c>
    </row>
    <row r="247" spans="1:10" x14ac:dyDescent="0.2">
      <c r="A247" s="1">
        <v>2154</v>
      </c>
      <c r="B247" s="1" t="s">
        <v>251</v>
      </c>
      <c r="C247" s="15">
        <v>1356.07</v>
      </c>
      <c r="D247" s="16"/>
      <c r="E247" s="22">
        <v>0</v>
      </c>
      <c r="F247" s="22">
        <v>0</v>
      </c>
      <c r="G247" s="22"/>
      <c r="H247" s="2">
        <v>425008.5</v>
      </c>
      <c r="I247" s="8">
        <f t="shared" si="6"/>
        <v>21250.425000000003</v>
      </c>
      <c r="J247" s="42">
        <f t="shared" si="7"/>
        <v>0</v>
      </c>
    </row>
    <row r="248" spans="1:10" x14ac:dyDescent="0.2">
      <c r="A248" s="1">
        <v>2155</v>
      </c>
      <c r="B248" s="1" t="s">
        <v>252</v>
      </c>
      <c r="C248" s="15">
        <v>323612.53999999998</v>
      </c>
      <c r="D248" s="16"/>
      <c r="E248" s="22">
        <v>135931.51</v>
      </c>
      <c r="F248" s="22">
        <v>62423.06</v>
      </c>
      <c r="G248" s="22"/>
      <c r="H248" s="2">
        <v>687857.625</v>
      </c>
      <c r="I248" s="8">
        <f t="shared" si="6"/>
        <v>34392.881249999999</v>
      </c>
      <c r="J248" s="42">
        <f t="shared" si="7"/>
        <v>90865.088749999966</v>
      </c>
    </row>
    <row r="249" spans="1:10" x14ac:dyDescent="0.2">
      <c r="A249" s="1">
        <v>2159</v>
      </c>
      <c r="B249" s="1" t="s">
        <v>253</v>
      </c>
      <c r="C249" s="15">
        <v>33921.050000000003</v>
      </c>
      <c r="D249" s="16"/>
      <c r="E249" s="22">
        <v>0</v>
      </c>
      <c r="F249" s="22">
        <v>0</v>
      </c>
      <c r="G249" s="22"/>
      <c r="H249" s="2">
        <v>247907.86650000003</v>
      </c>
      <c r="I249" s="8">
        <f t="shared" si="6"/>
        <v>12395.393325000003</v>
      </c>
      <c r="J249" s="42">
        <f t="shared" si="7"/>
        <v>21525.656674999998</v>
      </c>
    </row>
    <row r="250" spans="1:10" x14ac:dyDescent="0.2">
      <c r="A250" s="1">
        <v>2164</v>
      </c>
      <c r="B250" s="1" t="s">
        <v>254</v>
      </c>
      <c r="C250" s="15">
        <v>5566935.4900000002</v>
      </c>
      <c r="D250" s="16"/>
      <c r="E250" s="22">
        <v>42257.02</v>
      </c>
      <c r="F250" s="22">
        <v>36606.17</v>
      </c>
      <c r="G250" s="22"/>
      <c r="H250" s="2">
        <v>1176374.8500000001</v>
      </c>
      <c r="I250" s="8">
        <f t="shared" si="6"/>
        <v>58818.742500000008</v>
      </c>
      <c r="J250" s="42">
        <f t="shared" si="7"/>
        <v>5429253.557500001</v>
      </c>
    </row>
    <row r="251" spans="1:10" x14ac:dyDescent="0.2">
      <c r="A251" s="1">
        <v>2165</v>
      </c>
      <c r="B251" s="1" t="s">
        <v>255</v>
      </c>
      <c r="C251" s="15">
        <v>166148.79999999999</v>
      </c>
      <c r="D251" s="16"/>
      <c r="E251" s="22">
        <v>32483.759999999998</v>
      </c>
      <c r="F251" s="22">
        <v>161909.47</v>
      </c>
      <c r="G251" s="22"/>
      <c r="H251" s="2">
        <v>877456.125</v>
      </c>
      <c r="I251" s="8">
        <f t="shared" si="6"/>
        <v>43872.806250000001</v>
      </c>
      <c r="J251" s="42">
        <f t="shared" si="7"/>
        <v>0</v>
      </c>
    </row>
    <row r="252" spans="1:10" x14ac:dyDescent="0.2">
      <c r="A252" s="1">
        <v>2167</v>
      </c>
      <c r="B252" s="1" t="s">
        <v>256</v>
      </c>
      <c r="C252" s="15">
        <v>189386.15</v>
      </c>
      <c r="D252" s="16"/>
      <c r="E252" s="22">
        <v>52691.6</v>
      </c>
      <c r="F252" s="22">
        <v>48702.31</v>
      </c>
      <c r="G252" s="22"/>
      <c r="H252" s="2">
        <v>862740.9</v>
      </c>
      <c r="I252" s="8">
        <f t="shared" si="6"/>
        <v>43137.045000000006</v>
      </c>
      <c r="J252" s="42">
        <f t="shared" si="7"/>
        <v>44855.194999999985</v>
      </c>
    </row>
    <row r="253" spans="1:10" x14ac:dyDescent="0.2">
      <c r="A253" s="1">
        <v>2168</v>
      </c>
      <c r="B253" s="1" t="s">
        <v>257</v>
      </c>
      <c r="C253" s="15">
        <v>266274.46000000002</v>
      </c>
      <c r="D253" s="16"/>
      <c r="E253" s="22">
        <v>53561.96</v>
      </c>
      <c r="F253" s="22">
        <v>144443.79</v>
      </c>
      <c r="G253" s="22"/>
      <c r="H253" s="2">
        <v>633725.4</v>
      </c>
      <c r="I253" s="8">
        <f t="shared" si="6"/>
        <v>31686.270000000004</v>
      </c>
      <c r="J253" s="42">
        <f t="shared" si="7"/>
        <v>36582.440000000017</v>
      </c>
    </row>
    <row r="254" spans="1:10" x14ac:dyDescent="0.2">
      <c r="A254" s="1">
        <v>2169</v>
      </c>
      <c r="B254" s="1" t="s">
        <v>258</v>
      </c>
      <c r="C254" s="15">
        <v>486231.62</v>
      </c>
      <c r="D254" s="16"/>
      <c r="E254" s="22">
        <v>160000</v>
      </c>
      <c r="F254" s="22">
        <v>255305.8</v>
      </c>
      <c r="G254" s="22"/>
      <c r="H254" s="2">
        <v>665962.5</v>
      </c>
      <c r="I254" s="8">
        <f t="shared" si="6"/>
        <v>33298.125</v>
      </c>
      <c r="J254" s="42">
        <f t="shared" si="7"/>
        <v>37627.695000000007</v>
      </c>
    </row>
    <row r="255" spans="1:10" x14ac:dyDescent="0.2">
      <c r="A255" s="1">
        <v>2170</v>
      </c>
      <c r="B255" s="1" t="s">
        <v>259</v>
      </c>
      <c r="C255" s="15">
        <v>64031.79</v>
      </c>
      <c r="D255" s="16"/>
      <c r="E255" s="22">
        <v>30798.880000000001</v>
      </c>
      <c r="F255" s="22">
        <v>23929.67</v>
      </c>
      <c r="G255" s="22"/>
      <c r="H255" s="2">
        <v>288390.90000000002</v>
      </c>
      <c r="I255" s="8">
        <f t="shared" si="6"/>
        <v>14419.545000000002</v>
      </c>
      <c r="J255" s="42">
        <f t="shared" si="7"/>
        <v>0</v>
      </c>
    </row>
    <row r="256" spans="1:10" x14ac:dyDescent="0.2">
      <c r="A256" s="1">
        <v>2171</v>
      </c>
      <c r="B256" s="1" t="s">
        <v>260</v>
      </c>
      <c r="C256" s="15">
        <v>111253.33</v>
      </c>
      <c r="D256" s="16"/>
      <c r="E256" s="22">
        <v>44955.89</v>
      </c>
      <c r="F256" s="22">
        <v>24371.78</v>
      </c>
      <c r="G256" s="22"/>
      <c r="H256" s="2">
        <v>388725.75</v>
      </c>
      <c r="I256" s="8">
        <f t="shared" si="6"/>
        <v>19436.287500000002</v>
      </c>
      <c r="J256" s="42">
        <f t="shared" si="7"/>
        <v>22489.372500000001</v>
      </c>
    </row>
    <row r="257" spans="1:10" x14ac:dyDescent="0.2">
      <c r="A257" s="1">
        <v>2172</v>
      </c>
      <c r="B257" s="1" t="s">
        <v>261</v>
      </c>
      <c r="C257" s="15">
        <v>784327.67</v>
      </c>
      <c r="D257" s="16"/>
      <c r="E257" s="22">
        <v>55228.88</v>
      </c>
      <c r="F257" s="22">
        <v>200235.51</v>
      </c>
      <c r="G257" s="22">
        <v>500000</v>
      </c>
      <c r="H257" s="2">
        <v>1178577.75</v>
      </c>
      <c r="I257" s="8">
        <f t="shared" si="6"/>
        <v>58928.887500000004</v>
      </c>
      <c r="J257" s="42">
        <f t="shared" si="7"/>
        <v>0</v>
      </c>
    </row>
    <row r="258" spans="1:10" x14ac:dyDescent="0.2">
      <c r="A258" s="1">
        <v>2174</v>
      </c>
      <c r="B258" s="1" t="s">
        <v>262</v>
      </c>
      <c r="C258" s="15">
        <v>535361.83000000007</v>
      </c>
      <c r="D258" s="16"/>
      <c r="E258" s="22">
        <v>25341</v>
      </c>
      <c r="F258" s="22">
        <v>21257.96</v>
      </c>
      <c r="G258" s="22"/>
      <c r="H258" s="2">
        <v>295697.85000000003</v>
      </c>
      <c r="I258" s="8">
        <f t="shared" si="6"/>
        <v>14784.892500000002</v>
      </c>
      <c r="J258" s="42">
        <f t="shared" si="7"/>
        <v>473977.97750000004</v>
      </c>
    </row>
    <row r="259" spans="1:10" x14ac:dyDescent="0.2">
      <c r="A259" s="1">
        <v>2176</v>
      </c>
      <c r="B259" s="1" t="s">
        <v>317</v>
      </c>
      <c r="C259" s="15"/>
      <c r="D259" s="16"/>
      <c r="E259" s="22"/>
      <c r="F259" s="22"/>
      <c r="G259" s="22"/>
      <c r="H259" s="2">
        <v>144257.4</v>
      </c>
      <c r="I259" s="8">
        <f t="shared" si="6"/>
        <v>7212.87</v>
      </c>
      <c r="J259" s="42">
        <f t="shared" si="7"/>
        <v>0</v>
      </c>
    </row>
    <row r="260" spans="1:10" x14ac:dyDescent="0.2">
      <c r="A260" s="1">
        <v>2180</v>
      </c>
      <c r="B260" s="1" t="s">
        <v>263</v>
      </c>
      <c r="C260" s="15">
        <v>145256.34</v>
      </c>
      <c r="D260" s="16"/>
      <c r="E260" s="22">
        <v>45490.07</v>
      </c>
      <c r="F260" s="22">
        <v>28616.080000000002</v>
      </c>
      <c r="G260" s="22"/>
      <c r="H260" s="2">
        <v>658350</v>
      </c>
      <c r="I260" s="8">
        <f t="shared" si="6"/>
        <v>32917.5</v>
      </c>
      <c r="J260" s="42">
        <f t="shared" si="7"/>
        <v>38232.689999999988</v>
      </c>
    </row>
    <row r="261" spans="1:10" x14ac:dyDescent="0.2">
      <c r="A261" s="1">
        <v>2184</v>
      </c>
      <c r="B261" s="1" t="s">
        <v>264</v>
      </c>
      <c r="C261" s="15">
        <v>225964.59</v>
      </c>
      <c r="D261" s="16"/>
      <c r="E261" s="22">
        <v>59504.29</v>
      </c>
      <c r="F261" s="22">
        <v>56195.25</v>
      </c>
      <c r="G261" s="22"/>
      <c r="H261" s="2">
        <v>1066590</v>
      </c>
      <c r="I261" s="8">
        <f t="shared" si="6"/>
        <v>53329.5</v>
      </c>
      <c r="J261" s="42">
        <f t="shared" si="7"/>
        <v>56935.549999999988</v>
      </c>
    </row>
    <row r="262" spans="1:10" x14ac:dyDescent="0.2">
      <c r="A262" s="1">
        <v>2190</v>
      </c>
      <c r="B262" s="1" t="s">
        <v>265</v>
      </c>
      <c r="C262" s="15">
        <v>15749.28</v>
      </c>
      <c r="D262" s="16"/>
      <c r="E262" s="22">
        <v>0</v>
      </c>
      <c r="F262" s="22">
        <v>0</v>
      </c>
      <c r="G262" s="22"/>
      <c r="H262" s="2">
        <v>551250</v>
      </c>
      <c r="I262" s="8">
        <f t="shared" si="6"/>
        <v>27562.5</v>
      </c>
      <c r="J262" s="42">
        <f t="shared" si="7"/>
        <v>0</v>
      </c>
    </row>
    <row r="263" spans="1:10" x14ac:dyDescent="0.2">
      <c r="A263" s="1">
        <v>2198</v>
      </c>
      <c r="B263" s="1" t="s">
        <v>266</v>
      </c>
      <c r="C263" s="15">
        <v>125820.99</v>
      </c>
      <c r="D263" s="16"/>
      <c r="E263" s="22">
        <v>25934.080000000002</v>
      </c>
      <c r="F263" s="22">
        <v>34030.5</v>
      </c>
      <c r="G263" s="22"/>
      <c r="H263" s="2">
        <v>438128.25</v>
      </c>
      <c r="I263" s="8">
        <f t="shared" ref="I263:I298" si="8">H263*0.05</f>
        <v>21906.412500000002</v>
      </c>
      <c r="J263" s="42">
        <f t="shared" si="7"/>
        <v>43949.997499999998</v>
      </c>
    </row>
    <row r="264" spans="1:10" x14ac:dyDescent="0.2">
      <c r="A264" s="1">
        <v>2215</v>
      </c>
      <c r="B264" s="1" t="s">
        <v>267</v>
      </c>
      <c r="C264" s="15">
        <v>85204.14</v>
      </c>
      <c r="D264" s="16"/>
      <c r="E264" s="22">
        <v>30790.5</v>
      </c>
      <c r="F264" s="22">
        <v>19320.919999999998</v>
      </c>
      <c r="G264" s="22"/>
      <c r="H264" s="2">
        <v>355981.5</v>
      </c>
      <c r="I264" s="8">
        <f t="shared" si="8"/>
        <v>17799.075000000001</v>
      </c>
      <c r="J264" s="42">
        <f t="shared" si="7"/>
        <v>17293.645</v>
      </c>
    </row>
    <row r="265" spans="1:10" x14ac:dyDescent="0.2">
      <c r="A265" s="1">
        <v>2311</v>
      </c>
      <c r="B265" s="1" t="s">
        <v>268</v>
      </c>
      <c r="C265" s="15">
        <v>281367.55</v>
      </c>
      <c r="D265" s="16">
        <v>6718395.9100000001</v>
      </c>
      <c r="E265" s="22">
        <v>152550.14000000001</v>
      </c>
      <c r="F265" s="22">
        <v>49393.02</v>
      </c>
      <c r="G265" s="22"/>
      <c r="H265" s="2">
        <v>866724.60000000009</v>
      </c>
      <c r="I265" s="8">
        <f t="shared" si="8"/>
        <v>43336.23000000001</v>
      </c>
      <c r="J265" s="42">
        <f t="shared" ref="J265:J299" si="9">IF(C265-E265-F265-G265-I265&gt;0,C265-E265-F265-G265-I265,0)</f>
        <v>36088.159999999974</v>
      </c>
    </row>
    <row r="266" spans="1:10" x14ac:dyDescent="0.2">
      <c r="A266" s="1">
        <v>2342</v>
      </c>
      <c r="B266" s="1" t="s">
        <v>269</v>
      </c>
      <c r="C266" s="15">
        <v>112961.58</v>
      </c>
      <c r="D266" s="16"/>
      <c r="E266" s="22">
        <v>30983.79</v>
      </c>
      <c r="F266" s="22">
        <v>24929.98</v>
      </c>
      <c r="G266" s="22"/>
      <c r="H266" s="2">
        <v>465045</v>
      </c>
      <c r="I266" s="8">
        <f t="shared" si="8"/>
        <v>23252.25</v>
      </c>
      <c r="J266" s="42">
        <f t="shared" si="9"/>
        <v>33795.560000000012</v>
      </c>
    </row>
    <row r="267" spans="1:10" x14ac:dyDescent="0.2">
      <c r="A267" s="1">
        <v>2358</v>
      </c>
      <c r="B267" s="1" t="s">
        <v>270</v>
      </c>
      <c r="C267" s="15">
        <v>0</v>
      </c>
      <c r="D267" s="16"/>
      <c r="E267" s="22">
        <v>0</v>
      </c>
      <c r="F267" s="22">
        <v>0</v>
      </c>
      <c r="G267" s="22"/>
      <c r="H267" s="2">
        <v>209622</v>
      </c>
      <c r="I267" s="8">
        <f t="shared" si="8"/>
        <v>10481.1</v>
      </c>
      <c r="J267" s="42">
        <f t="shared" si="9"/>
        <v>0</v>
      </c>
    </row>
    <row r="268" spans="1:10" x14ac:dyDescent="0.2">
      <c r="A268" s="1">
        <v>2364</v>
      </c>
      <c r="B268" s="1" t="s">
        <v>271</v>
      </c>
      <c r="C268" s="15">
        <v>246240.72</v>
      </c>
      <c r="D268" s="16"/>
      <c r="E268" s="22">
        <v>95260.13</v>
      </c>
      <c r="F268" s="22">
        <v>47256.15</v>
      </c>
      <c r="G268" s="22"/>
      <c r="H268" s="2">
        <v>960822.72300000011</v>
      </c>
      <c r="I268" s="8">
        <f t="shared" si="8"/>
        <v>48041.136150000006</v>
      </c>
      <c r="J268" s="42">
        <f t="shared" si="9"/>
        <v>55683.303849999997</v>
      </c>
    </row>
    <row r="269" spans="1:10" x14ac:dyDescent="0.2">
      <c r="A269" s="1">
        <v>2365</v>
      </c>
      <c r="B269" s="1" t="s">
        <v>272</v>
      </c>
      <c r="C269" s="15">
        <v>85361.17</v>
      </c>
      <c r="D269" s="16"/>
      <c r="E269" s="22">
        <v>28018.42</v>
      </c>
      <c r="F269" s="22">
        <v>13111.23</v>
      </c>
      <c r="G269" s="22"/>
      <c r="H269" s="2">
        <v>470536.12200000003</v>
      </c>
      <c r="I269" s="8">
        <f t="shared" si="8"/>
        <v>23526.806100000002</v>
      </c>
      <c r="J269" s="42">
        <f t="shared" si="9"/>
        <v>20704.713900000002</v>
      </c>
    </row>
    <row r="270" spans="1:10" x14ac:dyDescent="0.2">
      <c r="A270" s="1">
        <v>2396</v>
      </c>
      <c r="B270" s="1" t="s">
        <v>273</v>
      </c>
      <c r="C270" s="15">
        <v>217875.01</v>
      </c>
      <c r="D270" s="16"/>
      <c r="E270" s="22">
        <v>63109.15</v>
      </c>
      <c r="F270" s="22">
        <v>58844.49</v>
      </c>
      <c r="G270" s="22"/>
      <c r="H270" s="2">
        <v>897225</v>
      </c>
      <c r="I270" s="8">
        <f t="shared" si="8"/>
        <v>44861.25</v>
      </c>
      <c r="J270" s="42">
        <f t="shared" si="9"/>
        <v>51060.120000000024</v>
      </c>
    </row>
    <row r="271" spans="1:10" x14ac:dyDescent="0.2">
      <c r="A271" s="1">
        <v>2397</v>
      </c>
      <c r="B271" s="1" t="s">
        <v>274</v>
      </c>
      <c r="C271" s="15">
        <v>1077490.1399999999</v>
      </c>
      <c r="D271" s="16"/>
      <c r="E271" s="22">
        <v>351644.12</v>
      </c>
      <c r="F271" s="22">
        <v>303396.09999999998</v>
      </c>
      <c r="G271" s="22">
        <v>200000</v>
      </c>
      <c r="H271" s="2">
        <v>1504676.25</v>
      </c>
      <c r="I271" s="8">
        <f t="shared" si="8"/>
        <v>75233.8125</v>
      </c>
      <c r="J271" s="42">
        <f t="shared" si="9"/>
        <v>147216.10749999993</v>
      </c>
    </row>
    <row r="272" spans="1:10" x14ac:dyDescent="0.2">
      <c r="A272" s="1">
        <v>2448</v>
      </c>
      <c r="B272" s="1" t="s">
        <v>275</v>
      </c>
      <c r="C272" s="15">
        <v>42959.75</v>
      </c>
      <c r="D272" s="16"/>
      <c r="E272" s="22">
        <v>10107.14</v>
      </c>
      <c r="F272" s="22">
        <v>10965.5</v>
      </c>
      <c r="G272" s="22"/>
      <c r="H272" s="2">
        <v>155011.5</v>
      </c>
      <c r="I272" s="8">
        <f t="shared" si="8"/>
        <v>7750.5750000000007</v>
      </c>
      <c r="J272" s="42">
        <f t="shared" si="9"/>
        <v>14136.535</v>
      </c>
    </row>
    <row r="273" spans="1:10" x14ac:dyDescent="0.2">
      <c r="A273" s="1">
        <v>2527</v>
      </c>
      <c r="B273" s="1" t="s">
        <v>276</v>
      </c>
      <c r="C273" s="15">
        <v>0</v>
      </c>
      <c r="D273" s="16"/>
      <c r="E273" s="22">
        <v>0</v>
      </c>
      <c r="F273" s="22">
        <v>0</v>
      </c>
      <c r="G273" s="22"/>
      <c r="H273" s="2">
        <v>0</v>
      </c>
      <c r="I273" s="8">
        <f t="shared" si="8"/>
        <v>0</v>
      </c>
      <c r="J273" s="42">
        <f t="shared" si="9"/>
        <v>0</v>
      </c>
    </row>
    <row r="274" spans="1:10" x14ac:dyDescent="0.2">
      <c r="A274" s="1">
        <v>2534</v>
      </c>
      <c r="B274" s="1" t="s">
        <v>277</v>
      </c>
      <c r="C274" s="15">
        <v>120253.46</v>
      </c>
      <c r="D274" s="16"/>
      <c r="E274" s="22">
        <v>46455.47</v>
      </c>
      <c r="F274" s="22">
        <v>21414.22</v>
      </c>
      <c r="G274" s="22"/>
      <c r="H274" s="2">
        <v>435606.15</v>
      </c>
      <c r="I274" s="8">
        <f t="shared" si="8"/>
        <v>21780.307500000003</v>
      </c>
      <c r="J274" s="42">
        <f t="shared" si="9"/>
        <v>30603.462500000001</v>
      </c>
    </row>
    <row r="275" spans="1:10" x14ac:dyDescent="0.2">
      <c r="A275" s="1">
        <v>2536</v>
      </c>
      <c r="B275" s="1" t="s">
        <v>278</v>
      </c>
      <c r="C275" s="15">
        <v>12222.11</v>
      </c>
      <c r="D275" s="16"/>
      <c r="E275" s="22">
        <v>0</v>
      </c>
      <c r="F275" s="22">
        <v>0</v>
      </c>
      <c r="G275" s="22"/>
      <c r="H275" s="2">
        <v>206640</v>
      </c>
      <c r="I275" s="8">
        <f t="shared" si="8"/>
        <v>10332</v>
      </c>
      <c r="J275" s="42">
        <f t="shared" si="9"/>
        <v>1890.1100000000006</v>
      </c>
    </row>
    <row r="276" spans="1:10" x14ac:dyDescent="0.2">
      <c r="A276" s="1">
        <v>2609</v>
      </c>
      <c r="B276" s="1" t="s">
        <v>279</v>
      </c>
      <c r="C276" s="15">
        <v>49065.43</v>
      </c>
      <c r="D276" s="16"/>
      <c r="E276" s="22">
        <v>22850.6</v>
      </c>
      <c r="F276" s="22">
        <v>0</v>
      </c>
      <c r="G276" s="22"/>
      <c r="H276" s="2">
        <v>564110.4</v>
      </c>
      <c r="I276" s="8">
        <f t="shared" si="8"/>
        <v>28205.520000000004</v>
      </c>
      <c r="J276" s="42">
        <f t="shared" si="9"/>
        <v>0</v>
      </c>
    </row>
    <row r="277" spans="1:10" x14ac:dyDescent="0.2">
      <c r="A277" s="1">
        <v>2683</v>
      </c>
      <c r="B277" s="1" t="s">
        <v>280</v>
      </c>
      <c r="C277" s="15">
        <v>16270.31</v>
      </c>
      <c r="D277" s="16"/>
      <c r="E277" s="22">
        <v>6127.46</v>
      </c>
      <c r="F277" s="22">
        <v>2604.48</v>
      </c>
      <c r="G277" s="22"/>
      <c r="H277" s="2">
        <v>70785.75</v>
      </c>
      <c r="I277" s="8">
        <f t="shared" si="8"/>
        <v>3539.2875000000004</v>
      </c>
      <c r="J277" s="42">
        <f t="shared" si="9"/>
        <v>3999.0824999999986</v>
      </c>
    </row>
    <row r="278" spans="1:10" x14ac:dyDescent="0.2">
      <c r="A278" s="1">
        <v>2687</v>
      </c>
      <c r="B278" s="1" t="s">
        <v>281</v>
      </c>
      <c r="C278" s="15">
        <v>234214.9</v>
      </c>
      <c r="D278" s="16"/>
      <c r="E278" s="22">
        <v>0</v>
      </c>
      <c r="F278" s="22">
        <v>40552.65</v>
      </c>
      <c r="G278" s="22"/>
      <c r="H278" s="2">
        <v>2046024.75</v>
      </c>
      <c r="I278" s="8">
        <f t="shared" si="8"/>
        <v>102301.2375</v>
      </c>
      <c r="J278" s="42">
        <f t="shared" si="9"/>
        <v>91361.012499999997</v>
      </c>
    </row>
    <row r="279" spans="1:10" x14ac:dyDescent="0.2">
      <c r="A279" s="1">
        <v>2689</v>
      </c>
      <c r="B279" s="1" t="s">
        <v>282</v>
      </c>
      <c r="C279" s="15">
        <v>422013.79</v>
      </c>
      <c r="D279" s="16"/>
      <c r="E279" s="22">
        <v>119666.09</v>
      </c>
      <c r="F279" s="22">
        <v>102541.22</v>
      </c>
      <c r="G279" s="22"/>
      <c r="H279" s="2">
        <v>1762419.75</v>
      </c>
      <c r="I279" s="8">
        <f t="shared" si="8"/>
        <v>88120.987500000003</v>
      </c>
      <c r="J279" s="42">
        <f t="shared" si="9"/>
        <v>111685.49249999995</v>
      </c>
    </row>
    <row r="280" spans="1:10" x14ac:dyDescent="0.2">
      <c r="A280" s="1">
        <v>2711</v>
      </c>
      <c r="B280" s="1" t="s">
        <v>283</v>
      </c>
      <c r="C280" s="15">
        <v>707513.08</v>
      </c>
      <c r="D280" s="16">
        <v>500000</v>
      </c>
      <c r="E280" s="22">
        <v>571936.86</v>
      </c>
      <c r="F280" s="22">
        <v>37847.17</v>
      </c>
      <c r="G280" s="22">
        <v>500000</v>
      </c>
      <c r="H280" s="2">
        <v>1307192.25</v>
      </c>
      <c r="I280" s="8">
        <f t="shared" si="8"/>
        <v>65359.612500000003</v>
      </c>
      <c r="J280" s="42">
        <f t="shared" si="9"/>
        <v>0</v>
      </c>
    </row>
    <row r="281" spans="1:10" x14ac:dyDescent="0.2">
      <c r="A281" s="1">
        <v>2752</v>
      </c>
      <c r="B281" s="1" t="s">
        <v>284</v>
      </c>
      <c r="C281" s="15">
        <v>877343.34</v>
      </c>
      <c r="D281" s="16"/>
      <c r="E281" s="22">
        <v>395644.96</v>
      </c>
      <c r="F281" s="22">
        <v>102928.99</v>
      </c>
      <c r="G281" s="22"/>
      <c r="H281" s="2">
        <v>2893488.1500000004</v>
      </c>
      <c r="I281" s="8">
        <f t="shared" si="8"/>
        <v>144674.40750000003</v>
      </c>
      <c r="J281" s="42">
        <f t="shared" si="9"/>
        <v>234094.98249999993</v>
      </c>
    </row>
    <row r="282" spans="1:10" x14ac:dyDescent="0.2">
      <c r="A282" s="1">
        <v>2753</v>
      </c>
      <c r="B282" s="1" t="s">
        <v>285</v>
      </c>
      <c r="C282" s="15">
        <v>490882.03</v>
      </c>
      <c r="D282" s="16"/>
      <c r="E282" s="22">
        <v>152855.37</v>
      </c>
      <c r="F282" s="22">
        <v>158326.39000000001</v>
      </c>
      <c r="G282" s="22"/>
      <c r="H282" s="2">
        <v>1199782.5</v>
      </c>
      <c r="I282" s="8">
        <f t="shared" si="8"/>
        <v>59989.125</v>
      </c>
      <c r="J282" s="42">
        <f t="shared" si="9"/>
        <v>119711.14500000002</v>
      </c>
    </row>
    <row r="283" spans="1:10" x14ac:dyDescent="0.2">
      <c r="A283" s="1">
        <v>2754</v>
      </c>
      <c r="B283" s="1" t="s">
        <v>286</v>
      </c>
      <c r="C283" s="15">
        <v>40496.99</v>
      </c>
      <c r="D283" s="16"/>
      <c r="E283" s="22">
        <v>9928.43</v>
      </c>
      <c r="F283" s="22">
        <v>9402.36</v>
      </c>
      <c r="G283" s="22"/>
      <c r="H283" s="2">
        <v>219240</v>
      </c>
      <c r="I283" s="8">
        <f t="shared" si="8"/>
        <v>10962</v>
      </c>
      <c r="J283" s="42">
        <f t="shared" si="9"/>
        <v>10204.199999999997</v>
      </c>
    </row>
    <row r="284" spans="1:10" x14ac:dyDescent="0.2">
      <c r="A284" s="1">
        <v>2759</v>
      </c>
      <c r="B284" s="1" t="s">
        <v>287</v>
      </c>
      <c r="C284" s="15">
        <v>74587.47</v>
      </c>
      <c r="D284" s="16"/>
      <c r="E284" s="22">
        <v>0</v>
      </c>
      <c r="F284" s="22">
        <v>15759.97</v>
      </c>
      <c r="G284" s="22"/>
      <c r="H284" s="2">
        <v>105131.25</v>
      </c>
      <c r="I284" s="8">
        <f t="shared" si="8"/>
        <v>5256.5625</v>
      </c>
      <c r="J284" s="42">
        <f t="shared" si="9"/>
        <v>53570.9375</v>
      </c>
    </row>
    <row r="285" spans="1:10" x14ac:dyDescent="0.2">
      <c r="A285" s="1">
        <v>2805</v>
      </c>
      <c r="B285" s="1" t="s">
        <v>288</v>
      </c>
      <c r="C285" s="15">
        <v>992283.75</v>
      </c>
      <c r="D285" s="16"/>
      <c r="E285" s="22">
        <v>200000</v>
      </c>
      <c r="F285" s="22">
        <v>344475</v>
      </c>
      <c r="G285" s="22">
        <v>344474</v>
      </c>
      <c r="H285" s="2">
        <v>990579.45000000007</v>
      </c>
      <c r="I285" s="8">
        <f t="shared" si="8"/>
        <v>49528.972500000003</v>
      </c>
      <c r="J285" s="42">
        <f t="shared" si="9"/>
        <v>53805.777499999997</v>
      </c>
    </row>
    <row r="286" spans="1:10" x14ac:dyDescent="0.2">
      <c r="A286" s="1">
        <v>2835</v>
      </c>
      <c r="B286" s="1" t="s">
        <v>289</v>
      </c>
      <c r="C286" s="15">
        <v>183083.66</v>
      </c>
      <c r="D286" s="16"/>
      <c r="E286" s="22">
        <v>66653.289999999994</v>
      </c>
      <c r="F286" s="22">
        <v>34839.39</v>
      </c>
      <c r="G286" s="22"/>
      <c r="H286" s="2">
        <v>878671.48950000003</v>
      </c>
      <c r="I286" s="8">
        <f t="shared" si="8"/>
        <v>43933.574475000001</v>
      </c>
      <c r="J286" s="42">
        <f t="shared" si="9"/>
        <v>37657.405525000009</v>
      </c>
    </row>
    <row r="287" spans="1:10" x14ac:dyDescent="0.2">
      <c r="A287" s="1">
        <v>2853</v>
      </c>
      <c r="B287" s="1" t="s">
        <v>290</v>
      </c>
      <c r="C287" s="15">
        <v>0</v>
      </c>
      <c r="D287" s="16"/>
      <c r="E287" s="22">
        <v>178289.63</v>
      </c>
      <c r="F287" s="22">
        <v>0</v>
      </c>
      <c r="G287" s="22"/>
      <c r="H287" s="2">
        <v>129494.40000000001</v>
      </c>
      <c r="I287" s="8">
        <f t="shared" si="8"/>
        <v>6474.7200000000012</v>
      </c>
      <c r="J287" s="42">
        <f t="shared" si="9"/>
        <v>0</v>
      </c>
    </row>
    <row r="288" spans="1:10" x14ac:dyDescent="0.2">
      <c r="A288" s="1">
        <v>2859</v>
      </c>
      <c r="B288" s="1" t="s">
        <v>291</v>
      </c>
      <c r="C288" s="15">
        <v>14232.98</v>
      </c>
      <c r="D288" s="16"/>
      <c r="E288" s="22">
        <v>0</v>
      </c>
      <c r="F288" s="22">
        <v>0</v>
      </c>
      <c r="G288" s="22"/>
      <c r="H288" s="2">
        <v>230258.31150000001</v>
      </c>
      <c r="I288" s="8">
        <f t="shared" si="8"/>
        <v>11512.915575000001</v>
      </c>
      <c r="J288" s="42">
        <f t="shared" si="9"/>
        <v>2720.0644249999987</v>
      </c>
    </row>
    <row r="289" spans="1:10" x14ac:dyDescent="0.2">
      <c r="A289" s="1">
        <v>2860</v>
      </c>
      <c r="B289" s="1" t="s">
        <v>292</v>
      </c>
      <c r="C289" s="15">
        <v>54303.38</v>
      </c>
      <c r="D289" s="16"/>
      <c r="E289" s="22">
        <v>14934.42</v>
      </c>
      <c r="F289" s="22">
        <v>0</v>
      </c>
      <c r="G289" s="22"/>
      <c r="H289" s="2">
        <v>0</v>
      </c>
      <c r="I289" s="8">
        <f t="shared" si="8"/>
        <v>0</v>
      </c>
      <c r="J289" s="42">
        <f t="shared" si="9"/>
        <v>39368.959999999999</v>
      </c>
    </row>
    <row r="290" spans="1:10" x14ac:dyDescent="0.2">
      <c r="A290" s="1">
        <v>2888</v>
      </c>
      <c r="B290" s="1" t="s">
        <v>293</v>
      </c>
      <c r="C290" s="15">
        <v>55622.63</v>
      </c>
      <c r="D290" s="16"/>
      <c r="E290" s="22">
        <v>12643.97</v>
      </c>
      <c r="F290" s="22">
        <v>19295.740000000002</v>
      </c>
      <c r="G290" s="22"/>
      <c r="H290" s="2">
        <v>223529.25</v>
      </c>
      <c r="I290" s="8">
        <f t="shared" si="8"/>
        <v>11176.462500000001</v>
      </c>
      <c r="J290" s="42">
        <f t="shared" si="9"/>
        <v>12506.457499999993</v>
      </c>
    </row>
    <row r="291" spans="1:10" x14ac:dyDescent="0.2">
      <c r="A291" s="1">
        <v>2889</v>
      </c>
      <c r="B291" s="1" t="s">
        <v>294</v>
      </c>
      <c r="C291" s="15">
        <v>0</v>
      </c>
      <c r="D291" s="16"/>
      <c r="E291" s="22">
        <v>0</v>
      </c>
      <c r="F291" s="22">
        <v>0</v>
      </c>
      <c r="G291" s="22"/>
      <c r="H291" s="2">
        <v>1401188.25</v>
      </c>
      <c r="I291" s="8">
        <f t="shared" si="8"/>
        <v>70059.412500000006</v>
      </c>
      <c r="J291" s="42">
        <f t="shared" si="9"/>
        <v>0</v>
      </c>
    </row>
    <row r="292" spans="1:10" x14ac:dyDescent="0.2">
      <c r="A292" s="1">
        <v>2890</v>
      </c>
      <c r="B292" s="1" t="s">
        <v>318</v>
      </c>
      <c r="C292" s="15">
        <v>0</v>
      </c>
      <c r="D292" s="16"/>
      <c r="E292" s="22">
        <v>0</v>
      </c>
      <c r="F292" s="22">
        <v>0</v>
      </c>
      <c r="G292" s="22"/>
      <c r="H292" s="2">
        <v>395178</v>
      </c>
      <c r="I292" s="8">
        <f t="shared" si="8"/>
        <v>19758.900000000001</v>
      </c>
      <c r="J292" s="42">
        <f t="shared" si="9"/>
        <v>0</v>
      </c>
    </row>
    <row r="293" spans="1:10" x14ac:dyDescent="0.2">
      <c r="A293" s="1">
        <v>2895</v>
      </c>
      <c r="B293" s="1" t="s">
        <v>295</v>
      </c>
      <c r="C293" s="15">
        <v>309718.75</v>
      </c>
      <c r="D293" s="16">
        <v>8227125</v>
      </c>
      <c r="E293" s="22">
        <v>81334.960000000006</v>
      </c>
      <c r="F293" s="22">
        <v>80270.3</v>
      </c>
      <c r="G293" s="22"/>
      <c r="H293" s="2">
        <v>1506967.35</v>
      </c>
      <c r="I293" s="8">
        <f t="shared" si="8"/>
        <v>75348.367500000008</v>
      </c>
      <c r="J293" s="42">
        <f t="shared" si="9"/>
        <v>72765.122499999983</v>
      </c>
    </row>
    <row r="294" spans="1:10" x14ac:dyDescent="0.2">
      <c r="A294" s="1">
        <v>2897</v>
      </c>
      <c r="B294" s="10" t="s">
        <v>313</v>
      </c>
      <c r="C294" s="15">
        <v>2764.95</v>
      </c>
      <c r="D294" s="16"/>
      <c r="E294" s="22">
        <v>0</v>
      </c>
      <c r="F294" s="22">
        <v>0</v>
      </c>
      <c r="G294" s="22"/>
      <c r="H294" s="2">
        <v>1628048.625</v>
      </c>
      <c r="I294" s="8">
        <f t="shared" si="8"/>
        <v>81402.431250000009</v>
      </c>
      <c r="J294" s="42">
        <f t="shared" si="9"/>
        <v>0</v>
      </c>
    </row>
    <row r="295" spans="1:10" x14ac:dyDescent="0.2">
      <c r="A295" s="1">
        <v>2899</v>
      </c>
      <c r="B295" s="1" t="s">
        <v>296</v>
      </c>
      <c r="C295" s="15">
        <v>289711.87</v>
      </c>
      <c r="D295" s="16"/>
      <c r="E295" s="22">
        <v>74279.240000000005</v>
      </c>
      <c r="F295" s="22">
        <v>84941.66</v>
      </c>
      <c r="G295" s="22"/>
      <c r="H295" s="2">
        <v>1035291.6</v>
      </c>
      <c r="I295" s="8">
        <f t="shared" si="8"/>
        <v>51764.58</v>
      </c>
      <c r="J295" s="42">
        <f t="shared" si="9"/>
        <v>78726.39</v>
      </c>
    </row>
    <row r="296" spans="1:10" x14ac:dyDescent="0.2">
      <c r="A296" s="1">
        <v>2902</v>
      </c>
      <c r="B296" s="1" t="s">
        <v>297</v>
      </c>
      <c r="C296" s="15">
        <v>19426.28</v>
      </c>
      <c r="D296" s="16"/>
      <c r="E296" s="22">
        <v>5800.48</v>
      </c>
      <c r="F296" s="22">
        <v>5618.65</v>
      </c>
      <c r="G296" s="22"/>
      <c r="H296" s="2">
        <v>67987.5</v>
      </c>
      <c r="I296" s="8">
        <f t="shared" si="8"/>
        <v>3399.375</v>
      </c>
      <c r="J296" s="42">
        <f t="shared" si="9"/>
        <v>4607.7749999999996</v>
      </c>
    </row>
    <row r="297" spans="1:10" x14ac:dyDescent="0.2">
      <c r="A297" s="1">
        <v>2903</v>
      </c>
      <c r="B297" s="1" t="s">
        <v>298</v>
      </c>
      <c r="C297" s="15">
        <v>0</v>
      </c>
      <c r="D297" s="16"/>
      <c r="E297" s="22">
        <v>0</v>
      </c>
      <c r="F297" s="22">
        <v>0</v>
      </c>
      <c r="G297" s="22"/>
      <c r="H297" s="2">
        <v>736575</v>
      </c>
      <c r="I297" s="8">
        <f t="shared" si="8"/>
        <v>36828.75</v>
      </c>
      <c r="J297" s="42">
        <f t="shared" si="9"/>
        <v>0</v>
      </c>
    </row>
    <row r="298" spans="1:10" x14ac:dyDescent="0.2">
      <c r="A298" s="1">
        <v>2904</v>
      </c>
      <c r="B298" s="1" t="s">
        <v>299</v>
      </c>
      <c r="C298" s="15">
        <v>863.22</v>
      </c>
      <c r="D298" s="16"/>
      <c r="E298" s="22">
        <v>345.97</v>
      </c>
      <c r="F298" s="22">
        <v>683.66</v>
      </c>
      <c r="G298" s="22"/>
      <c r="H298" s="2">
        <v>0</v>
      </c>
      <c r="I298" s="8">
        <f t="shared" si="8"/>
        <v>0</v>
      </c>
      <c r="J298" s="42">
        <f t="shared" si="9"/>
        <v>0</v>
      </c>
    </row>
    <row r="299" spans="1:10" x14ac:dyDescent="0.2">
      <c r="A299" s="1">
        <v>2905</v>
      </c>
      <c r="B299" s="10" t="s">
        <v>314</v>
      </c>
      <c r="C299" s="15">
        <v>1259547.71</v>
      </c>
      <c r="D299" s="16"/>
      <c r="E299" s="22">
        <v>104738.82999999999</v>
      </c>
      <c r="F299" s="22">
        <v>44249.96</v>
      </c>
      <c r="G299" s="22"/>
      <c r="H299" s="2">
        <v>4227148.2750000004</v>
      </c>
      <c r="I299" s="2">
        <v>211357.41375000004</v>
      </c>
      <c r="J299" s="42">
        <f t="shared" si="9"/>
        <v>899201.50624999986</v>
      </c>
    </row>
    <row r="300" spans="1:10" x14ac:dyDescent="0.2">
      <c r="A300" s="1"/>
      <c r="B300" s="8"/>
      <c r="C300" s="15"/>
      <c r="D300" s="15"/>
      <c r="G300" s="22"/>
    </row>
    <row r="301" spans="1:10" x14ac:dyDescent="0.2">
      <c r="A301" s="1"/>
      <c r="B301" s="8"/>
      <c r="C301" s="15"/>
      <c r="D301" s="15"/>
      <c r="G301" s="22"/>
    </row>
    <row r="302" spans="1:10" x14ac:dyDescent="0.2">
      <c r="A302" s="1"/>
      <c r="B302" s="8"/>
      <c r="C302" s="15"/>
      <c r="D302" s="15"/>
      <c r="G302" s="22"/>
    </row>
    <row r="303" spans="1:10" x14ac:dyDescent="0.2">
      <c r="A303" s="1"/>
      <c r="B303" s="8"/>
      <c r="C303" s="15"/>
      <c r="D303" s="15"/>
      <c r="G303" s="22"/>
    </row>
    <row r="304" spans="1:10" x14ac:dyDescent="0.2">
      <c r="A304" s="1"/>
      <c r="B304" s="8"/>
      <c r="C304" s="15"/>
      <c r="D304" s="15"/>
    </row>
    <row r="305" spans="1:4" x14ac:dyDescent="0.2">
      <c r="A305" s="1"/>
      <c r="B305" s="8"/>
      <c r="C305" s="15"/>
      <c r="D305" s="15"/>
    </row>
    <row r="306" spans="1:4" x14ac:dyDescent="0.2">
      <c r="A306" s="1"/>
      <c r="B306" s="8"/>
      <c r="C306" s="15"/>
      <c r="D306" s="15"/>
    </row>
    <row r="307" spans="1:4" x14ac:dyDescent="0.2">
      <c r="A307" s="1"/>
      <c r="B307" s="8"/>
      <c r="C307" s="15"/>
      <c r="D307" s="15"/>
    </row>
    <row r="308" spans="1:4" x14ac:dyDescent="0.2">
      <c r="A308" s="1"/>
      <c r="B308" s="8"/>
      <c r="C308" s="15"/>
      <c r="D308" s="15"/>
    </row>
    <row r="309" spans="1:4" x14ac:dyDescent="0.2">
      <c r="A309" s="1"/>
      <c r="B309" s="8"/>
      <c r="C309" s="15"/>
      <c r="D309" s="15"/>
    </row>
    <row r="310" spans="1:4" x14ac:dyDescent="0.2">
      <c r="A310" s="1"/>
      <c r="B310" s="8"/>
      <c r="C310" s="15"/>
      <c r="D310" s="15"/>
    </row>
    <row r="311" spans="1:4" x14ac:dyDescent="0.2">
      <c r="A311" s="1"/>
      <c r="B311" s="8"/>
      <c r="C311" s="15"/>
      <c r="D311" s="15"/>
    </row>
    <row r="312" spans="1:4" x14ac:dyDescent="0.2">
      <c r="A312" s="1"/>
      <c r="B312" s="8"/>
      <c r="C312" s="15"/>
      <c r="D312" s="15"/>
    </row>
    <row r="313" spans="1:4" x14ac:dyDescent="0.2">
      <c r="A313" s="1"/>
      <c r="B313" s="8"/>
      <c r="C313" s="15"/>
      <c r="D313" s="15"/>
    </row>
    <row r="314" spans="1:4" x14ac:dyDescent="0.2">
      <c r="A314" s="1"/>
      <c r="B314" s="8"/>
      <c r="C314" s="15"/>
      <c r="D314" s="15"/>
    </row>
    <row r="315" spans="1:4" x14ac:dyDescent="0.2">
      <c r="A315" s="1"/>
      <c r="B315" s="8"/>
      <c r="C315" s="15"/>
      <c r="D315" s="15"/>
    </row>
    <row r="316" spans="1:4" x14ac:dyDescent="0.2">
      <c r="A316" s="1"/>
      <c r="B316" s="8"/>
      <c r="C316" s="15"/>
      <c r="D316" s="15"/>
    </row>
    <row r="317" spans="1:4" x14ac:dyDescent="0.2">
      <c r="A317" s="8"/>
      <c r="B317" s="10"/>
      <c r="C317" s="15"/>
      <c r="D317" s="15"/>
    </row>
    <row r="318" spans="1:4" x14ac:dyDescent="0.2">
      <c r="A318" s="8"/>
      <c r="B318" s="10"/>
      <c r="D318" s="15"/>
    </row>
    <row r="319" spans="1:4" x14ac:dyDescent="0.2">
      <c r="A319" s="8"/>
      <c r="B319" s="10"/>
      <c r="D319" s="15"/>
    </row>
    <row r="320" spans="1:4" x14ac:dyDescent="0.2">
      <c r="A320" s="8"/>
      <c r="B320" s="10"/>
      <c r="D320" s="15"/>
    </row>
    <row r="321" spans="1:4" x14ac:dyDescent="0.2">
      <c r="A321" s="8"/>
      <c r="B321" s="10"/>
      <c r="D321" s="15"/>
    </row>
    <row r="322" spans="1:4" x14ac:dyDescent="0.2">
      <c r="A322" s="8"/>
      <c r="B322" s="10"/>
      <c r="D322" s="15"/>
    </row>
    <row r="323" spans="1:4" x14ac:dyDescent="0.2">
      <c r="A323" s="8"/>
      <c r="B323" s="10"/>
      <c r="D323" s="15"/>
    </row>
    <row r="324" spans="1:4" x14ac:dyDescent="0.2">
      <c r="A324" s="8"/>
      <c r="B324" s="10"/>
      <c r="D324" s="15"/>
    </row>
    <row r="325" spans="1:4" x14ac:dyDescent="0.2">
      <c r="A325" s="8"/>
      <c r="B325" s="10"/>
      <c r="D325" s="15"/>
    </row>
    <row r="326" spans="1:4" x14ac:dyDescent="0.2">
      <c r="A326" s="8"/>
      <c r="B326" s="10"/>
      <c r="D326" s="15"/>
    </row>
    <row r="327" spans="1:4" x14ac:dyDescent="0.2">
      <c r="A327" s="8"/>
      <c r="B327" s="10"/>
      <c r="D327" s="15"/>
    </row>
    <row r="328" spans="1:4" x14ac:dyDescent="0.2">
      <c r="A328" s="8"/>
      <c r="B328" s="10"/>
      <c r="D328" s="15"/>
    </row>
    <row r="329" spans="1:4" x14ac:dyDescent="0.2">
      <c r="A329" s="8"/>
      <c r="B329" s="10"/>
      <c r="D329" s="15"/>
    </row>
    <row r="330" spans="1:4" x14ac:dyDescent="0.2">
      <c r="A330" s="8"/>
      <c r="B330" s="10"/>
      <c r="D330" s="15"/>
    </row>
    <row r="331" spans="1:4" x14ac:dyDescent="0.2">
      <c r="A331" s="8"/>
      <c r="B331" s="10"/>
      <c r="D331" s="15"/>
    </row>
    <row r="332" spans="1:4" x14ac:dyDescent="0.2">
      <c r="A332" s="8"/>
      <c r="B332" s="10"/>
      <c r="D332" s="15"/>
    </row>
    <row r="333" spans="1:4" x14ac:dyDescent="0.2">
      <c r="A333" s="8"/>
      <c r="B333" s="10"/>
      <c r="D333" s="15"/>
    </row>
    <row r="334" spans="1:4" x14ac:dyDescent="0.2">
      <c r="A334" s="8"/>
      <c r="B334" s="10"/>
      <c r="D334" s="15"/>
    </row>
    <row r="335" spans="1:4" x14ac:dyDescent="0.2">
      <c r="B335" s="10"/>
      <c r="D335" s="15"/>
    </row>
    <row r="336" spans="1:4" x14ac:dyDescent="0.2">
      <c r="B336" s="10"/>
      <c r="D336" s="15"/>
    </row>
    <row r="337" spans="4:4" x14ac:dyDescent="0.2">
      <c r="D337" s="15"/>
    </row>
    <row r="338" spans="4:4" x14ac:dyDescent="0.2">
      <c r="D338" s="15"/>
    </row>
    <row r="339" spans="4:4" x14ac:dyDescent="0.2">
      <c r="D339" s="15"/>
    </row>
    <row r="340" spans="4:4" x14ac:dyDescent="0.2">
      <c r="D340" s="15"/>
    </row>
    <row r="341" spans="4:4" x14ac:dyDescent="0.2">
      <c r="D341" s="15"/>
    </row>
    <row r="342" spans="4:4" x14ac:dyDescent="0.2">
      <c r="D342" s="15"/>
    </row>
    <row r="343" spans="4:4" x14ac:dyDescent="0.2">
      <c r="D343" s="15"/>
    </row>
    <row r="344" spans="4:4" x14ac:dyDescent="0.2">
      <c r="D344" s="15"/>
    </row>
    <row r="345" spans="4:4" x14ac:dyDescent="0.2">
      <c r="D345" s="15"/>
    </row>
    <row r="346" spans="4:4" x14ac:dyDescent="0.2">
      <c r="D346" s="15"/>
    </row>
    <row r="347" spans="4:4" x14ac:dyDescent="0.2">
      <c r="D347" s="15"/>
    </row>
    <row r="348" spans="4:4" x14ac:dyDescent="0.2">
      <c r="D348" s="15"/>
    </row>
    <row r="349" spans="4:4" x14ac:dyDescent="0.2">
      <c r="D349" s="15"/>
    </row>
    <row r="350" spans="4:4" x14ac:dyDescent="0.2">
      <c r="D350" s="15"/>
    </row>
    <row r="351" spans="4:4" x14ac:dyDescent="0.2">
      <c r="D351" s="15"/>
    </row>
    <row r="352" spans="4:4" x14ac:dyDescent="0.2">
      <c r="D352" s="15"/>
    </row>
    <row r="353" spans="4:4" x14ac:dyDescent="0.2">
      <c r="D353" s="15"/>
    </row>
    <row r="354" spans="4:4" x14ac:dyDescent="0.2">
      <c r="D354" s="15"/>
    </row>
    <row r="355" spans="4:4" x14ac:dyDescent="0.2">
      <c r="D355" s="15"/>
    </row>
    <row r="356" spans="4:4" x14ac:dyDescent="0.2">
      <c r="D356" s="15"/>
    </row>
    <row r="357" spans="4:4" x14ac:dyDescent="0.2">
      <c r="D357" s="15"/>
    </row>
    <row r="358" spans="4:4" x14ac:dyDescent="0.2">
      <c r="D358" s="15"/>
    </row>
    <row r="359" spans="4:4" x14ac:dyDescent="0.2">
      <c r="D359" s="15"/>
    </row>
    <row r="360" spans="4:4" x14ac:dyDescent="0.2">
      <c r="D360" s="15"/>
    </row>
    <row r="361" spans="4:4" x14ac:dyDescent="0.2">
      <c r="D361" s="15"/>
    </row>
    <row r="362" spans="4:4" x14ac:dyDescent="0.2">
      <c r="D362" s="15"/>
    </row>
    <row r="363" spans="4:4" x14ac:dyDescent="0.2">
      <c r="D363" s="15"/>
    </row>
    <row r="364" spans="4:4" x14ac:dyDescent="0.2">
      <c r="D364" s="15"/>
    </row>
    <row r="365" spans="4:4" x14ac:dyDescent="0.2">
      <c r="D365" s="15"/>
    </row>
    <row r="366" spans="4:4" x14ac:dyDescent="0.2">
      <c r="D366" s="15"/>
    </row>
    <row r="367" spans="4:4" x14ac:dyDescent="0.2">
      <c r="D367" s="15"/>
    </row>
    <row r="368" spans="4:4" x14ac:dyDescent="0.2">
      <c r="D368" s="15"/>
    </row>
    <row r="369" spans="4:4" x14ac:dyDescent="0.2">
      <c r="D369" s="15"/>
    </row>
    <row r="370" spans="4:4" x14ac:dyDescent="0.2">
      <c r="D370" s="15"/>
    </row>
    <row r="371" spans="4:4" x14ac:dyDescent="0.2">
      <c r="D371" s="15"/>
    </row>
    <row r="372" spans="4:4" x14ac:dyDescent="0.2">
      <c r="D372" s="15"/>
    </row>
    <row r="373" spans="4:4" x14ac:dyDescent="0.2">
      <c r="D373" s="15"/>
    </row>
    <row r="374" spans="4:4" x14ac:dyDescent="0.2">
      <c r="D374" s="15"/>
    </row>
    <row r="375" spans="4:4" x14ac:dyDescent="0.2">
      <c r="D375" s="15"/>
    </row>
    <row r="376" spans="4:4" x14ac:dyDescent="0.2">
      <c r="D376" s="15"/>
    </row>
    <row r="377" spans="4:4" x14ac:dyDescent="0.2">
      <c r="D377" s="15"/>
    </row>
    <row r="378" spans="4:4" x14ac:dyDescent="0.2">
      <c r="D378" s="15"/>
    </row>
    <row r="379" spans="4:4" x14ac:dyDescent="0.2">
      <c r="D379" s="15"/>
    </row>
    <row r="380" spans="4:4" x14ac:dyDescent="0.2">
      <c r="D380" s="15"/>
    </row>
    <row r="381" spans="4:4" x14ac:dyDescent="0.2">
      <c r="D381" s="15"/>
    </row>
    <row r="382" spans="4:4" x14ac:dyDescent="0.2">
      <c r="D382" s="15"/>
    </row>
    <row r="383" spans="4:4" x14ac:dyDescent="0.2">
      <c r="D383" s="15"/>
    </row>
    <row r="384" spans="4:4" x14ac:dyDescent="0.2">
      <c r="D384" s="15"/>
    </row>
    <row r="385" spans="4:4" x14ac:dyDescent="0.2">
      <c r="D385" s="15"/>
    </row>
    <row r="386" spans="4:4" x14ac:dyDescent="0.2">
      <c r="D386" s="15"/>
    </row>
    <row r="387" spans="4:4" x14ac:dyDescent="0.2">
      <c r="D387" s="15"/>
    </row>
    <row r="388" spans="4:4" x14ac:dyDescent="0.2">
      <c r="D388" s="15"/>
    </row>
    <row r="389" spans="4:4" x14ac:dyDescent="0.2">
      <c r="D389" s="15"/>
    </row>
    <row r="390" spans="4:4" x14ac:dyDescent="0.2">
      <c r="D390" s="15"/>
    </row>
    <row r="391" spans="4:4" x14ac:dyDescent="0.2">
      <c r="D391" s="15"/>
    </row>
    <row r="392" spans="4:4" x14ac:dyDescent="0.2">
      <c r="D392" s="15"/>
    </row>
    <row r="393" spans="4:4" x14ac:dyDescent="0.2">
      <c r="D393" s="15"/>
    </row>
    <row r="394" spans="4:4" x14ac:dyDescent="0.2">
      <c r="D394" s="15"/>
    </row>
    <row r="395" spans="4:4" x14ac:dyDescent="0.2">
      <c r="D395" s="15"/>
    </row>
    <row r="396" spans="4:4" x14ac:dyDescent="0.2">
      <c r="D396" s="15"/>
    </row>
    <row r="397" spans="4:4" x14ac:dyDescent="0.2">
      <c r="D397" s="15"/>
    </row>
    <row r="398" spans="4:4" x14ac:dyDescent="0.2">
      <c r="D398" s="15"/>
    </row>
    <row r="399" spans="4:4" x14ac:dyDescent="0.2">
      <c r="D399" s="15"/>
    </row>
    <row r="400" spans="4:4" x14ac:dyDescent="0.2">
      <c r="D400" s="15"/>
    </row>
    <row r="401" spans="4:4" x14ac:dyDescent="0.2">
      <c r="D401" s="15"/>
    </row>
    <row r="402" spans="4:4" x14ac:dyDescent="0.2">
      <c r="D402" s="15"/>
    </row>
    <row r="403" spans="4:4" x14ac:dyDescent="0.2">
      <c r="D403" s="15"/>
    </row>
    <row r="404" spans="4:4" x14ac:dyDescent="0.2">
      <c r="D404" s="15"/>
    </row>
    <row r="405" spans="4:4" x14ac:dyDescent="0.2">
      <c r="D405" s="15"/>
    </row>
    <row r="406" spans="4:4" x14ac:dyDescent="0.2">
      <c r="D406" s="15"/>
    </row>
    <row r="407" spans="4:4" x14ac:dyDescent="0.2">
      <c r="D407" s="15"/>
    </row>
    <row r="408" spans="4:4" x14ac:dyDescent="0.2">
      <c r="D408" s="15"/>
    </row>
    <row r="409" spans="4:4" x14ac:dyDescent="0.2">
      <c r="D409" s="15"/>
    </row>
    <row r="410" spans="4:4" x14ac:dyDescent="0.2">
      <c r="D410" s="15"/>
    </row>
    <row r="411" spans="4:4" x14ac:dyDescent="0.2">
      <c r="D411" s="15"/>
    </row>
    <row r="412" spans="4:4" x14ac:dyDescent="0.2">
      <c r="D412" s="15"/>
    </row>
    <row r="413" spans="4:4" x14ac:dyDescent="0.2">
      <c r="D413" s="15"/>
    </row>
    <row r="414" spans="4:4" x14ac:dyDescent="0.2">
      <c r="D414" s="15"/>
    </row>
    <row r="415" spans="4:4" x14ac:dyDescent="0.2">
      <c r="D415" s="15"/>
    </row>
    <row r="416" spans="4:4" x14ac:dyDescent="0.2">
      <c r="D416" s="15"/>
    </row>
    <row r="417" spans="4:4" x14ac:dyDescent="0.2">
      <c r="D417" s="15"/>
    </row>
    <row r="418" spans="4:4" x14ac:dyDescent="0.2">
      <c r="D418" s="15"/>
    </row>
    <row r="419" spans="4:4" x14ac:dyDescent="0.2">
      <c r="D419" s="15"/>
    </row>
    <row r="420" spans="4:4" x14ac:dyDescent="0.2">
      <c r="D420" s="15"/>
    </row>
    <row r="421" spans="4:4" x14ac:dyDescent="0.2">
      <c r="D421" s="15"/>
    </row>
    <row r="422" spans="4:4" x14ac:dyDescent="0.2">
      <c r="D422" s="15"/>
    </row>
    <row r="423" spans="4:4" x14ac:dyDescent="0.2">
      <c r="D423" s="15"/>
    </row>
    <row r="424" spans="4:4" x14ac:dyDescent="0.2">
      <c r="D424" s="15"/>
    </row>
    <row r="425" spans="4:4" x14ac:dyDescent="0.2">
      <c r="D425" s="15"/>
    </row>
    <row r="426" spans="4:4" x14ac:dyDescent="0.2">
      <c r="D426" s="15"/>
    </row>
    <row r="427" spans="4:4" x14ac:dyDescent="0.2">
      <c r="D427" s="15"/>
    </row>
    <row r="428" spans="4:4" x14ac:dyDescent="0.2">
      <c r="D428" s="15"/>
    </row>
    <row r="429" spans="4:4" x14ac:dyDescent="0.2">
      <c r="D429" s="15"/>
    </row>
    <row r="430" spans="4:4" x14ac:dyDescent="0.2">
      <c r="D430" s="15"/>
    </row>
    <row r="431" spans="4:4" x14ac:dyDescent="0.2">
      <c r="D431" s="15"/>
    </row>
    <row r="432" spans="4:4" x14ac:dyDescent="0.2">
      <c r="D432" s="15"/>
    </row>
    <row r="433" spans="4:4" x14ac:dyDescent="0.2">
      <c r="D433" s="15"/>
    </row>
    <row r="434" spans="4:4" x14ac:dyDescent="0.2">
      <c r="D434" s="15"/>
    </row>
    <row r="435" spans="4:4" x14ac:dyDescent="0.2">
      <c r="D435" s="15"/>
    </row>
    <row r="436" spans="4:4" x14ac:dyDescent="0.2">
      <c r="D436" s="15"/>
    </row>
    <row r="437" spans="4:4" x14ac:dyDescent="0.2">
      <c r="D437" s="15"/>
    </row>
    <row r="438" spans="4:4" x14ac:dyDescent="0.2">
      <c r="D438" s="15"/>
    </row>
    <row r="439" spans="4:4" x14ac:dyDescent="0.2">
      <c r="D439" s="15"/>
    </row>
    <row r="440" spans="4:4" x14ac:dyDescent="0.2">
      <c r="D440" s="15"/>
    </row>
    <row r="441" spans="4:4" x14ac:dyDescent="0.2">
      <c r="D441" s="15"/>
    </row>
    <row r="442" spans="4:4" x14ac:dyDescent="0.2">
      <c r="D442" s="15"/>
    </row>
    <row r="443" spans="4:4" x14ac:dyDescent="0.2">
      <c r="D443" s="15"/>
    </row>
    <row r="444" spans="4:4" x14ac:dyDescent="0.2">
      <c r="D444" s="15"/>
    </row>
    <row r="445" spans="4:4" x14ac:dyDescent="0.2">
      <c r="D445" s="15"/>
    </row>
    <row r="446" spans="4:4" x14ac:dyDescent="0.2">
      <c r="D446" s="15"/>
    </row>
    <row r="447" spans="4:4" x14ac:dyDescent="0.2">
      <c r="D447" s="15"/>
    </row>
    <row r="448" spans="4:4" x14ac:dyDescent="0.2">
      <c r="D448" s="15"/>
    </row>
    <row r="449" spans="4:4" x14ac:dyDescent="0.2">
      <c r="D449" s="15"/>
    </row>
    <row r="450" spans="4:4" x14ac:dyDescent="0.2">
      <c r="D450" s="15"/>
    </row>
    <row r="451" spans="4:4" x14ac:dyDescent="0.2">
      <c r="D451" s="15"/>
    </row>
    <row r="452" spans="4:4" x14ac:dyDescent="0.2">
      <c r="D452" s="15"/>
    </row>
    <row r="453" spans="4:4" x14ac:dyDescent="0.2">
      <c r="D453" s="15"/>
    </row>
    <row r="454" spans="4:4" x14ac:dyDescent="0.2">
      <c r="D454" s="15"/>
    </row>
    <row r="455" spans="4:4" x14ac:dyDescent="0.2">
      <c r="D455" s="15"/>
    </row>
    <row r="456" spans="4:4" x14ac:dyDescent="0.2">
      <c r="D456" s="15"/>
    </row>
    <row r="457" spans="4:4" x14ac:dyDescent="0.2">
      <c r="D457" s="15"/>
    </row>
    <row r="458" spans="4:4" x14ac:dyDescent="0.2">
      <c r="D458" s="15"/>
    </row>
    <row r="459" spans="4:4" x14ac:dyDescent="0.2">
      <c r="D459" s="15"/>
    </row>
    <row r="460" spans="4:4" x14ac:dyDescent="0.2">
      <c r="D460" s="15"/>
    </row>
    <row r="461" spans="4:4" x14ac:dyDescent="0.2">
      <c r="D461" s="15"/>
    </row>
    <row r="462" spans="4:4" x14ac:dyDescent="0.2">
      <c r="D462" s="15"/>
    </row>
    <row r="463" spans="4:4" x14ac:dyDescent="0.2">
      <c r="D463" s="15"/>
    </row>
    <row r="464" spans="4:4" x14ac:dyDescent="0.2">
      <c r="D464" s="15"/>
    </row>
    <row r="465" spans="4:4" x14ac:dyDescent="0.2">
      <c r="D465" s="15"/>
    </row>
    <row r="466" spans="4:4" x14ac:dyDescent="0.2">
      <c r="D466" s="15"/>
    </row>
    <row r="467" spans="4:4" x14ac:dyDescent="0.2">
      <c r="D467" s="15"/>
    </row>
    <row r="468" spans="4:4" x14ac:dyDescent="0.2">
      <c r="D468" s="15"/>
    </row>
    <row r="469" spans="4:4" x14ac:dyDescent="0.2">
      <c r="D469" s="15"/>
    </row>
    <row r="470" spans="4:4" x14ac:dyDescent="0.2">
      <c r="D470" s="15"/>
    </row>
    <row r="471" spans="4:4" x14ac:dyDescent="0.2">
      <c r="D471" s="15"/>
    </row>
    <row r="472" spans="4:4" x14ac:dyDescent="0.2">
      <c r="D472" s="15"/>
    </row>
    <row r="473" spans="4:4" x14ac:dyDescent="0.2">
      <c r="D473" s="15"/>
    </row>
    <row r="474" spans="4:4" x14ac:dyDescent="0.2">
      <c r="D474" s="15"/>
    </row>
    <row r="475" spans="4:4" x14ac:dyDescent="0.2">
      <c r="D475" s="15"/>
    </row>
    <row r="476" spans="4:4" x14ac:dyDescent="0.2">
      <c r="D476" s="15"/>
    </row>
    <row r="477" spans="4:4" x14ac:dyDescent="0.2">
      <c r="D477" s="15"/>
    </row>
    <row r="478" spans="4:4" x14ac:dyDescent="0.2">
      <c r="D478" s="15"/>
    </row>
    <row r="479" spans="4:4" x14ac:dyDescent="0.2">
      <c r="D479" s="15"/>
    </row>
    <row r="480" spans="4:4" x14ac:dyDescent="0.2">
      <c r="D480" s="15"/>
    </row>
    <row r="481" spans="4:4" x14ac:dyDescent="0.2">
      <c r="D481" s="15"/>
    </row>
    <row r="482" spans="4:4" x14ac:dyDescent="0.2">
      <c r="D482" s="15"/>
    </row>
    <row r="483" spans="4:4" x14ac:dyDescent="0.2">
      <c r="D483" s="15"/>
    </row>
    <row r="484" spans="4:4" x14ac:dyDescent="0.2">
      <c r="D484" s="15"/>
    </row>
    <row r="485" spans="4:4" x14ac:dyDescent="0.2">
      <c r="D485" s="15"/>
    </row>
    <row r="486" spans="4:4" x14ac:dyDescent="0.2">
      <c r="D486" s="15"/>
    </row>
    <row r="487" spans="4:4" x14ac:dyDescent="0.2">
      <c r="D487" s="15"/>
    </row>
    <row r="488" spans="4:4" x14ac:dyDescent="0.2">
      <c r="D488" s="15"/>
    </row>
    <row r="489" spans="4:4" x14ac:dyDescent="0.2">
      <c r="D489" s="15"/>
    </row>
    <row r="490" spans="4:4" x14ac:dyDescent="0.2">
      <c r="D490" s="15"/>
    </row>
    <row r="491" spans="4:4" x14ac:dyDescent="0.2">
      <c r="D491" s="15"/>
    </row>
    <row r="492" spans="4:4" x14ac:dyDescent="0.2">
      <c r="D492" s="15"/>
    </row>
    <row r="493" spans="4:4" x14ac:dyDescent="0.2">
      <c r="D493" s="15"/>
    </row>
    <row r="494" spans="4:4" x14ac:dyDescent="0.2">
      <c r="D494" s="15"/>
    </row>
    <row r="495" spans="4:4" x14ac:dyDescent="0.2">
      <c r="D495" s="15"/>
    </row>
    <row r="496" spans="4:4" x14ac:dyDescent="0.2">
      <c r="D496" s="15"/>
    </row>
    <row r="497" spans="4:4" x14ac:dyDescent="0.2">
      <c r="D497" s="15"/>
    </row>
    <row r="498" spans="4:4" x14ac:dyDescent="0.2">
      <c r="D498" s="15"/>
    </row>
    <row r="499" spans="4:4" x14ac:dyDescent="0.2">
      <c r="D499" s="15"/>
    </row>
    <row r="500" spans="4:4" x14ac:dyDescent="0.2">
      <c r="D500" s="15"/>
    </row>
    <row r="501" spans="4:4" x14ac:dyDescent="0.2">
      <c r="D501" s="15"/>
    </row>
    <row r="502" spans="4:4" x14ac:dyDescent="0.2">
      <c r="D502" s="15"/>
    </row>
    <row r="503" spans="4:4" x14ac:dyDescent="0.2">
      <c r="D503" s="15"/>
    </row>
    <row r="504" spans="4:4" x14ac:dyDescent="0.2">
      <c r="D504" s="15"/>
    </row>
    <row r="505" spans="4:4" x14ac:dyDescent="0.2">
      <c r="D505" s="15"/>
    </row>
    <row r="506" spans="4:4" x14ac:dyDescent="0.2">
      <c r="D506" s="15"/>
    </row>
    <row r="507" spans="4:4" x14ac:dyDescent="0.2">
      <c r="D507" s="15"/>
    </row>
    <row r="508" spans="4:4" x14ac:dyDescent="0.2">
      <c r="D508" s="15"/>
    </row>
    <row r="509" spans="4:4" x14ac:dyDescent="0.2">
      <c r="D509" s="15"/>
    </row>
    <row r="510" spans="4:4" x14ac:dyDescent="0.2">
      <c r="D510" s="15"/>
    </row>
    <row r="511" spans="4:4" x14ac:dyDescent="0.2">
      <c r="D511" s="15"/>
    </row>
    <row r="512" spans="4:4" x14ac:dyDescent="0.2">
      <c r="D512" s="15"/>
    </row>
    <row r="513" spans="4:4" x14ac:dyDescent="0.2">
      <c r="D513" s="15"/>
    </row>
    <row r="514" spans="4:4" x14ac:dyDescent="0.2">
      <c r="D514" s="15"/>
    </row>
    <row r="515" spans="4:4" x14ac:dyDescent="0.2">
      <c r="D515" s="15"/>
    </row>
    <row r="516" spans="4:4" x14ac:dyDescent="0.2">
      <c r="D516" s="15"/>
    </row>
    <row r="517" spans="4:4" x14ac:dyDescent="0.2">
      <c r="D517" s="15"/>
    </row>
    <row r="518" spans="4:4" x14ac:dyDescent="0.2">
      <c r="D518" s="15"/>
    </row>
    <row r="519" spans="4:4" x14ac:dyDescent="0.2">
      <c r="D519" s="15"/>
    </row>
    <row r="520" spans="4:4" x14ac:dyDescent="0.2">
      <c r="D520" s="15"/>
    </row>
    <row r="521" spans="4:4" x14ac:dyDescent="0.2">
      <c r="D521" s="15"/>
    </row>
    <row r="522" spans="4:4" x14ac:dyDescent="0.2">
      <c r="D522" s="15"/>
    </row>
    <row r="523" spans="4:4" x14ac:dyDescent="0.2">
      <c r="D523" s="15"/>
    </row>
    <row r="524" spans="4:4" x14ac:dyDescent="0.2">
      <c r="D524" s="15"/>
    </row>
    <row r="525" spans="4:4" x14ac:dyDescent="0.2">
      <c r="D525" s="15"/>
    </row>
    <row r="526" spans="4:4" x14ac:dyDescent="0.2">
      <c r="D526" s="15"/>
    </row>
    <row r="527" spans="4:4" x14ac:dyDescent="0.2">
      <c r="D527" s="15"/>
    </row>
    <row r="528" spans="4:4" x14ac:dyDescent="0.2">
      <c r="D528" s="15"/>
    </row>
    <row r="529" spans="4:4" x14ac:dyDescent="0.2">
      <c r="D529" s="15"/>
    </row>
    <row r="530" spans="4:4" x14ac:dyDescent="0.2">
      <c r="D530" s="15"/>
    </row>
    <row r="531" spans="4:4" x14ac:dyDescent="0.2">
      <c r="D531" s="15"/>
    </row>
    <row r="532" spans="4:4" x14ac:dyDescent="0.2">
      <c r="D532" s="15"/>
    </row>
    <row r="533" spans="4:4" x14ac:dyDescent="0.2">
      <c r="D533" s="15"/>
    </row>
    <row r="534" spans="4:4" x14ac:dyDescent="0.2">
      <c r="D534" s="15"/>
    </row>
    <row r="535" spans="4:4" x14ac:dyDescent="0.2">
      <c r="D535" s="15"/>
    </row>
    <row r="536" spans="4:4" x14ac:dyDescent="0.2">
      <c r="D536" s="15"/>
    </row>
    <row r="537" spans="4:4" x14ac:dyDescent="0.2">
      <c r="D537" s="15"/>
    </row>
    <row r="538" spans="4:4" x14ac:dyDescent="0.2">
      <c r="D538" s="15"/>
    </row>
    <row r="539" spans="4:4" x14ac:dyDescent="0.2">
      <c r="D539" s="15"/>
    </row>
    <row r="540" spans="4:4" x14ac:dyDescent="0.2">
      <c r="D540" s="15"/>
    </row>
    <row r="541" spans="4:4" x14ac:dyDescent="0.2">
      <c r="D541" s="15"/>
    </row>
    <row r="542" spans="4:4" x14ac:dyDescent="0.2">
      <c r="D542" s="15"/>
    </row>
    <row r="543" spans="4:4" x14ac:dyDescent="0.2">
      <c r="D543" s="15"/>
    </row>
    <row r="544" spans="4:4" x14ac:dyDescent="0.2">
      <c r="D544" s="15"/>
    </row>
    <row r="545" spans="4:4" x14ac:dyDescent="0.2">
      <c r="D545" s="15"/>
    </row>
    <row r="546" spans="4:4" x14ac:dyDescent="0.2">
      <c r="D546" s="15"/>
    </row>
    <row r="547" spans="4:4" x14ac:dyDescent="0.2">
      <c r="D547" s="15"/>
    </row>
    <row r="548" spans="4:4" x14ac:dyDescent="0.2">
      <c r="D548" s="15"/>
    </row>
    <row r="549" spans="4:4" x14ac:dyDescent="0.2">
      <c r="D549" s="15"/>
    </row>
    <row r="550" spans="4:4" x14ac:dyDescent="0.2">
      <c r="D550" s="15"/>
    </row>
    <row r="551" spans="4:4" x14ac:dyDescent="0.2">
      <c r="D551" s="15"/>
    </row>
    <row r="552" spans="4:4" x14ac:dyDescent="0.2">
      <c r="D552" s="15"/>
    </row>
    <row r="553" spans="4:4" x14ac:dyDescent="0.2">
      <c r="D553" s="15"/>
    </row>
    <row r="554" spans="4:4" x14ac:dyDescent="0.2">
      <c r="D554" s="15"/>
    </row>
    <row r="555" spans="4:4" x14ac:dyDescent="0.2">
      <c r="D555" s="15"/>
    </row>
    <row r="556" spans="4:4" x14ac:dyDescent="0.2">
      <c r="D556" s="15"/>
    </row>
    <row r="557" spans="4:4" x14ac:dyDescent="0.2">
      <c r="D557" s="15"/>
    </row>
    <row r="558" spans="4:4" x14ac:dyDescent="0.2">
      <c r="D558" s="15"/>
    </row>
  </sheetData>
  <phoneticPr fontId="2" type="noConversion"/>
  <printOptions gridLines="1"/>
  <pageMargins left="0.35" right="0.25" top="1" bottom="1" header="0.5" footer="0.5"/>
  <pageSetup orientation="portrait" r:id="rId1"/>
  <headerFooter alignWithMargins="0"/>
  <ignoredErrors>
    <ignoredError sqref="C4:J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2"/>
  <sheetViews>
    <sheetView workbookViewId="0">
      <pane xSplit="1" ySplit="7" topLeftCell="B8" activePane="bottomRight" state="frozen"/>
      <selection pane="topRight" activeCell="C1" sqref="C1"/>
      <selection pane="bottomLeft" activeCell="A4" sqref="A4"/>
      <selection pane="bottomRight" activeCell="L16" sqref="L16"/>
    </sheetView>
  </sheetViews>
  <sheetFormatPr defaultRowHeight="11.25" x14ac:dyDescent="0.2"/>
  <cols>
    <col min="1" max="1" width="5" style="1" customWidth="1"/>
    <col min="2" max="2" width="16.7109375" style="1" customWidth="1"/>
    <col min="3" max="3" width="13" style="24" customWidth="1"/>
    <col min="4" max="4" width="10.42578125" style="1" customWidth="1"/>
    <col min="5" max="5" width="10.5703125" style="1" customWidth="1"/>
    <col min="6" max="6" width="11.28515625" style="1" customWidth="1"/>
    <col min="7" max="7" width="12" style="1" customWidth="1"/>
    <col min="8" max="8" width="11.5703125" style="1" customWidth="1"/>
    <col min="9" max="9" width="12.42578125" style="34" customWidth="1"/>
    <col min="10" max="10" width="12.140625" style="1" customWidth="1"/>
    <col min="11" max="11" width="14" style="1" customWidth="1"/>
    <col min="12" max="12" width="12.85546875" style="1" customWidth="1"/>
    <col min="13" max="13" width="13.7109375" style="1" customWidth="1"/>
    <col min="14" max="14" width="13.85546875" style="1" customWidth="1"/>
    <col min="15" max="15" width="12.85546875" style="1" bestFit="1" customWidth="1"/>
    <col min="16" max="16" width="11.28515625" style="1" bestFit="1" customWidth="1"/>
    <col min="17" max="16384" width="9.140625" style="1"/>
  </cols>
  <sheetData>
    <row r="1" spans="1:12" x14ac:dyDescent="0.2">
      <c r="C1" s="4" t="s">
        <v>325</v>
      </c>
      <c r="F1" s="2"/>
      <c r="I1" s="14"/>
    </row>
    <row r="2" spans="1:12" x14ac:dyDescent="0.2">
      <c r="C2" s="4" t="s">
        <v>301</v>
      </c>
      <c r="F2" s="2"/>
      <c r="I2" s="14"/>
    </row>
    <row r="3" spans="1:12" x14ac:dyDescent="0.2">
      <c r="F3" s="2"/>
    </row>
    <row r="4" spans="1:12" x14ac:dyDescent="0.2">
      <c r="C4" s="25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35" t="s">
        <v>7</v>
      </c>
    </row>
    <row r="5" spans="1:12" x14ac:dyDescent="0.2">
      <c r="C5" s="25" t="s">
        <v>9</v>
      </c>
      <c r="D5" s="7" t="s">
        <v>11</v>
      </c>
      <c r="E5" s="7" t="s">
        <v>303</v>
      </c>
      <c r="F5" s="7" t="s">
        <v>12</v>
      </c>
      <c r="G5" s="7" t="s">
        <v>304</v>
      </c>
      <c r="H5" s="6" t="s">
        <v>304</v>
      </c>
      <c r="I5" s="36" t="s">
        <v>13</v>
      </c>
    </row>
    <row r="6" spans="1:12" x14ac:dyDescent="0.2">
      <c r="C6" s="25" t="s">
        <v>14</v>
      </c>
      <c r="D6" s="7" t="s">
        <v>15</v>
      </c>
      <c r="E6" s="7" t="s">
        <v>15</v>
      </c>
      <c r="F6" s="7" t="s">
        <v>16</v>
      </c>
      <c r="G6" s="7" t="s">
        <v>17</v>
      </c>
      <c r="H6" s="6" t="s">
        <v>17</v>
      </c>
      <c r="I6" s="37" t="s">
        <v>300</v>
      </c>
    </row>
    <row r="7" spans="1:12" x14ac:dyDescent="0.2">
      <c r="C7" s="26" t="s">
        <v>319</v>
      </c>
      <c r="D7" s="7" t="s">
        <v>19</v>
      </c>
      <c r="E7" s="7" t="s">
        <v>19</v>
      </c>
      <c r="F7" s="7" t="s">
        <v>20</v>
      </c>
      <c r="G7" s="7" t="s">
        <v>21</v>
      </c>
      <c r="H7" s="6" t="s">
        <v>22</v>
      </c>
      <c r="I7" s="37" t="s">
        <v>14</v>
      </c>
    </row>
    <row r="8" spans="1:12" x14ac:dyDescent="0.2">
      <c r="A8" s="28">
        <v>4</v>
      </c>
      <c r="B8" s="28" t="s">
        <v>25</v>
      </c>
      <c r="C8" s="29">
        <v>61663.92</v>
      </c>
      <c r="D8" s="30">
        <v>0</v>
      </c>
      <c r="E8" s="30">
        <v>0</v>
      </c>
      <c r="F8" s="28"/>
      <c r="G8" s="30">
        <v>157720.5</v>
      </c>
      <c r="H8" s="31">
        <f>G8*0.05</f>
        <v>7886.0250000000005</v>
      </c>
      <c r="I8" s="44">
        <f t="shared" ref="I8:I13" si="0">IF(C8-D8-E8-F8-H8&gt;0,C8-D8-E8-F8-H8,0)</f>
        <v>53777.894999999997</v>
      </c>
      <c r="J8" s="23"/>
    </row>
    <row r="9" spans="1:12" x14ac:dyDescent="0.2">
      <c r="A9" s="28">
        <v>6</v>
      </c>
      <c r="B9" s="28" t="s">
        <v>26</v>
      </c>
      <c r="C9" s="29">
        <v>1088.17</v>
      </c>
      <c r="D9" s="30">
        <v>0</v>
      </c>
      <c r="E9" s="30">
        <v>0</v>
      </c>
      <c r="F9" s="28"/>
      <c r="G9" s="30">
        <v>755485.5</v>
      </c>
      <c r="H9" s="31">
        <f t="shared" ref="H9:H72" si="1">G9*0.05</f>
        <v>37774.275000000001</v>
      </c>
      <c r="I9" s="44">
        <f t="shared" si="0"/>
        <v>0</v>
      </c>
      <c r="J9" s="23"/>
    </row>
    <row r="10" spans="1:12" x14ac:dyDescent="0.2">
      <c r="A10" s="28">
        <v>11</v>
      </c>
      <c r="B10" s="28" t="s">
        <v>27</v>
      </c>
      <c r="C10" s="29">
        <v>347975.24</v>
      </c>
      <c r="D10" s="30">
        <v>0</v>
      </c>
      <c r="E10" s="30">
        <v>161906.68999999994</v>
      </c>
      <c r="F10" s="28"/>
      <c r="G10" s="30">
        <v>2217096</v>
      </c>
      <c r="H10" s="31">
        <f t="shared" si="1"/>
        <v>110854.8</v>
      </c>
      <c r="I10" s="44">
        <f t="shared" si="0"/>
        <v>75213.750000000044</v>
      </c>
      <c r="J10" s="23"/>
    </row>
    <row r="11" spans="1:12" x14ac:dyDescent="0.2">
      <c r="A11" s="28">
        <v>12</v>
      </c>
      <c r="B11" s="28" t="s">
        <v>28</v>
      </c>
      <c r="C11" s="29">
        <v>61415.49</v>
      </c>
      <c r="D11" s="30">
        <v>0</v>
      </c>
      <c r="E11" s="30">
        <v>11618.589999999967</v>
      </c>
      <c r="F11" s="28"/>
      <c r="G11" s="30">
        <v>651672</v>
      </c>
      <c r="H11" s="31">
        <f t="shared" si="1"/>
        <v>32583.600000000002</v>
      </c>
      <c r="I11" s="44">
        <f t="shared" si="0"/>
        <v>17213.300000000028</v>
      </c>
      <c r="J11" s="23"/>
    </row>
    <row r="12" spans="1:12" x14ac:dyDescent="0.2">
      <c r="A12" s="28">
        <v>14</v>
      </c>
      <c r="B12" s="28" t="s">
        <v>30</v>
      </c>
      <c r="C12" s="29">
        <v>16256.35</v>
      </c>
      <c r="D12" s="30">
        <v>0</v>
      </c>
      <c r="E12" s="30">
        <v>0</v>
      </c>
      <c r="F12" s="28"/>
      <c r="G12" s="30">
        <v>593646.9</v>
      </c>
      <c r="H12" s="31">
        <f t="shared" si="1"/>
        <v>29682.345000000001</v>
      </c>
      <c r="I12" s="44">
        <f t="shared" si="0"/>
        <v>0</v>
      </c>
      <c r="J12" s="23"/>
    </row>
    <row r="13" spans="1:12" x14ac:dyDescent="0.2">
      <c r="A13" s="28">
        <v>15</v>
      </c>
      <c r="B13" s="28" t="s">
        <v>31</v>
      </c>
      <c r="C13" s="29">
        <v>17381.62</v>
      </c>
      <c r="D13" s="30">
        <v>0</v>
      </c>
      <c r="E13" s="30">
        <v>0</v>
      </c>
      <c r="F13" s="28"/>
      <c r="G13" s="30">
        <v>448302.75</v>
      </c>
      <c r="H13" s="31">
        <f t="shared" si="1"/>
        <v>22415.137500000001</v>
      </c>
      <c r="I13" s="44">
        <f t="shared" si="0"/>
        <v>0</v>
      </c>
      <c r="J13" s="23"/>
    </row>
    <row r="14" spans="1:12" x14ac:dyDescent="0.2">
      <c r="A14" s="28">
        <v>16</v>
      </c>
      <c r="B14" s="28" t="s">
        <v>32</v>
      </c>
      <c r="C14" s="29">
        <v>18158.05</v>
      </c>
      <c r="D14" s="30">
        <v>0</v>
      </c>
      <c r="E14" s="30">
        <v>0</v>
      </c>
      <c r="F14" s="28"/>
      <c r="G14" s="30">
        <v>308931</v>
      </c>
      <c r="H14" s="31">
        <f t="shared" si="1"/>
        <v>15446.550000000001</v>
      </c>
      <c r="I14" s="44">
        <f>IF(C14-D14-E14-F14-H14&gt;0,C14-D14-E14-F14-H14,0)</f>
        <v>2711.4999999999982</v>
      </c>
      <c r="J14" s="23"/>
    </row>
    <row r="15" spans="1:12" x14ac:dyDescent="0.2">
      <c r="A15" s="28">
        <v>31</v>
      </c>
      <c r="B15" s="28" t="s">
        <v>35</v>
      </c>
      <c r="C15" s="29">
        <v>275121.84999999998</v>
      </c>
      <c r="D15" s="30">
        <v>0</v>
      </c>
      <c r="E15" s="30">
        <v>0</v>
      </c>
      <c r="F15" s="28"/>
      <c r="G15" s="30">
        <v>572607</v>
      </c>
      <c r="H15" s="31">
        <f t="shared" si="1"/>
        <v>28630.350000000002</v>
      </c>
      <c r="I15" s="44">
        <f>IF(C15-D15-E15-F15-H15&gt;0,C15-D15-E15-F15-H15,0)</f>
        <v>246491.49999999997</v>
      </c>
      <c r="J15" s="23"/>
    </row>
    <row r="16" spans="1:12" x14ac:dyDescent="0.2">
      <c r="A16" s="28">
        <v>77</v>
      </c>
      <c r="B16" s="28" t="s">
        <v>39</v>
      </c>
      <c r="C16" s="29">
        <v>90989.91</v>
      </c>
      <c r="D16" s="30">
        <v>0</v>
      </c>
      <c r="E16" s="30">
        <v>0</v>
      </c>
      <c r="F16" s="28"/>
      <c r="G16" s="30">
        <v>2405007.15</v>
      </c>
      <c r="H16" s="31">
        <f t="shared" si="1"/>
        <v>120250.3575</v>
      </c>
      <c r="I16" s="44">
        <f>IF(C16-D16-E16-F16-H16&gt;0,C16-D16-E16-F16-H16,0)</f>
        <v>0</v>
      </c>
      <c r="J16" s="23"/>
      <c r="L16" s="32"/>
    </row>
    <row r="17" spans="1:10" x14ac:dyDescent="0.2">
      <c r="A17" s="28">
        <v>93</v>
      </c>
      <c r="B17" s="28" t="s">
        <v>43</v>
      </c>
      <c r="C17" s="29">
        <v>18590.22</v>
      </c>
      <c r="D17" s="30">
        <v>0</v>
      </c>
      <c r="E17" s="30">
        <v>0</v>
      </c>
      <c r="F17" s="28"/>
      <c r="G17" s="30">
        <v>233173.5</v>
      </c>
      <c r="H17" s="31">
        <f t="shared" si="1"/>
        <v>11658.675000000001</v>
      </c>
      <c r="I17" s="44">
        <f t="shared" ref="I17:I80" si="2">IF(C17-D17-E17-F17-H17&gt;0,C17-D17-E17-F17-H17,0)</f>
        <v>6931.5450000000001</v>
      </c>
      <c r="J17" s="23"/>
    </row>
    <row r="18" spans="1:10" x14ac:dyDescent="0.2">
      <c r="A18" s="28">
        <v>94</v>
      </c>
      <c r="B18" s="28" t="s">
        <v>44</v>
      </c>
      <c r="C18" s="29">
        <v>18583.23</v>
      </c>
      <c r="D18" s="30">
        <v>0</v>
      </c>
      <c r="E18" s="30">
        <v>0</v>
      </c>
      <c r="F18" s="28"/>
      <c r="G18" s="30">
        <v>550194.75</v>
      </c>
      <c r="H18" s="31">
        <f t="shared" si="1"/>
        <v>27509.737500000003</v>
      </c>
      <c r="I18" s="44">
        <f t="shared" si="2"/>
        <v>0</v>
      </c>
      <c r="J18" s="23"/>
    </row>
    <row r="19" spans="1:10" x14ac:dyDescent="0.2">
      <c r="A19" s="28">
        <v>99</v>
      </c>
      <c r="B19" s="28" t="s">
        <v>46</v>
      </c>
      <c r="C19" s="29">
        <v>27165.51</v>
      </c>
      <c r="D19" s="30">
        <v>0</v>
      </c>
      <c r="E19" s="30">
        <v>14005.149999999994</v>
      </c>
      <c r="F19" s="28"/>
      <c r="G19" s="30">
        <v>119952</v>
      </c>
      <c r="H19" s="31">
        <f t="shared" si="1"/>
        <v>5997.6</v>
      </c>
      <c r="I19" s="44">
        <f t="shared" si="2"/>
        <v>7162.7600000000039</v>
      </c>
      <c r="J19" s="23"/>
    </row>
    <row r="20" spans="1:10" x14ac:dyDescent="0.2">
      <c r="A20" s="28">
        <v>110</v>
      </c>
      <c r="B20" s="28" t="s">
        <v>49</v>
      </c>
      <c r="C20" s="29">
        <v>48714.47</v>
      </c>
      <c r="D20" s="30">
        <v>0</v>
      </c>
      <c r="E20" s="30">
        <v>6167.4699999999721</v>
      </c>
      <c r="F20" s="28"/>
      <c r="G20" s="30">
        <v>373891.875</v>
      </c>
      <c r="H20" s="31">
        <f t="shared" si="1"/>
        <v>18694.59375</v>
      </c>
      <c r="I20" s="44">
        <f t="shared" si="2"/>
        <v>23852.406250000029</v>
      </c>
      <c r="J20" s="23"/>
    </row>
    <row r="21" spans="1:10" x14ac:dyDescent="0.2">
      <c r="A21" s="28">
        <v>112</v>
      </c>
      <c r="B21" s="28" t="s">
        <v>51</v>
      </c>
      <c r="C21" s="29">
        <v>186969.19</v>
      </c>
      <c r="D21" s="30">
        <v>50000</v>
      </c>
      <c r="E21" s="30">
        <v>74844.420000000042</v>
      </c>
      <c r="F21" s="28"/>
      <c r="G21" s="30">
        <v>770227.5</v>
      </c>
      <c r="H21" s="31">
        <f t="shared" si="1"/>
        <v>38511.375</v>
      </c>
      <c r="I21" s="44">
        <f t="shared" si="2"/>
        <v>23613.39499999996</v>
      </c>
      <c r="J21" s="23"/>
    </row>
    <row r="22" spans="1:10" x14ac:dyDescent="0.2">
      <c r="A22" s="28">
        <v>116</v>
      </c>
      <c r="B22" s="28" t="s">
        <v>54</v>
      </c>
      <c r="C22" s="29">
        <v>6545.7</v>
      </c>
      <c r="D22" s="30">
        <v>0</v>
      </c>
      <c r="E22" s="30">
        <v>0</v>
      </c>
      <c r="F22" s="28"/>
      <c r="G22" s="30">
        <v>210556.5</v>
      </c>
      <c r="H22" s="31">
        <f t="shared" si="1"/>
        <v>10527.825000000001</v>
      </c>
      <c r="I22" s="44">
        <f t="shared" si="2"/>
        <v>0</v>
      </c>
      <c r="J22" s="23"/>
    </row>
    <row r="23" spans="1:10" x14ac:dyDescent="0.2">
      <c r="A23" s="28">
        <v>138</v>
      </c>
      <c r="B23" s="28" t="s">
        <v>57</v>
      </c>
      <c r="C23" s="29">
        <v>25935.62</v>
      </c>
      <c r="D23" s="30">
        <v>0</v>
      </c>
      <c r="E23" s="30">
        <v>0</v>
      </c>
      <c r="F23" s="28"/>
      <c r="G23" s="30">
        <v>432718.65</v>
      </c>
      <c r="H23" s="31">
        <f t="shared" si="1"/>
        <v>21635.932500000003</v>
      </c>
      <c r="I23" s="44">
        <f t="shared" si="2"/>
        <v>4299.6874999999964</v>
      </c>
      <c r="J23" s="23"/>
    </row>
    <row r="24" spans="1:10" x14ac:dyDescent="0.2">
      <c r="A24" s="28">
        <v>152</v>
      </c>
      <c r="B24" s="28" t="s">
        <v>61</v>
      </c>
      <c r="C24" s="29">
        <v>227219.29</v>
      </c>
      <c r="D24" s="30">
        <v>0</v>
      </c>
      <c r="E24" s="30">
        <v>142430.59000000008</v>
      </c>
      <c r="F24" s="28"/>
      <c r="G24" s="30">
        <v>1376956.875</v>
      </c>
      <c r="H24" s="31">
        <f t="shared" si="1"/>
        <v>68847.84375</v>
      </c>
      <c r="I24" s="44">
        <f t="shared" si="2"/>
        <v>15940.856249999924</v>
      </c>
      <c r="J24" s="23"/>
    </row>
    <row r="25" spans="1:10" x14ac:dyDescent="0.2">
      <c r="A25" s="28">
        <v>166</v>
      </c>
      <c r="B25" s="28" t="s">
        <v>63</v>
      </c>
      <c r="C25" s="29">
        <v>3897.45</v>
      </c>
      <c r="D25" s="30">
        <v>0</v>
      </c>
      <c r="E25" s="30">
        <v>0</v>
      </c>
      <c r="F25" s="28"/>
      <c r="G25" s="30">
        <v>90720</v>
      </c>
      <c r="H25" s="31">
        <f t="shared" si="1"/>
        <v>4536</v>
      </c>
      <c r="I25" s="44">
        <f t="shared" si="2"/>
        <v>0</v>
      </c>
      <c r="J25" s="23"/>
    </row>
    <row r="26" spans="1:10" x14ac:dyDescent="0.2">
      <c r="A26" s="28">
        <v>181</v>
      </c>
      <c r="B26" s="28" t="s">
        <v>65</v>
      </c>
      <c r="C26" s="29">
        <v>68891.34</v>
      </c>
      <c r="D26" s="30">
        <v>0</v>
      </c>
      <c r="E26" s="30">
        <v>0</v>
      </c>
      <c r="F26" s="28"/>
      <c r="G26" s="30">
        <v>2053290.75</v>
      </c>
      <c r="H26" s="31">
        <f t="shared" si="1"/>
        <v>102664.53750000001</v>
      </c>
      <c r="I26" s="44">
        <f t="shared" si="2"/>
        <v>0</v>
      </c>
      <c r="J26" s="23"/>
    </row>
    <row r="27" spans="1:10" x14ac:dyDescent="0.2">
      <c r="A27" s="28">
        <v>182</v>
      </c>
      <c r="B27" s="28" t="s">
        <v>66</v>
      </c>
      <c r="C27" s="29">
        <v>45107.39</v>
      </c>
      <c r="D27" s="30">
        <v>0</v>
      </c>
      <c r="E27" s="30">
        <v>0</v>
      </c>
      <c r="F27" s="28"/>
      <c r="G27" s="30">
        <v>715349.25</v>
      </c>
      <c r="H27" s="31">
        <f t="shared" si="1"/>
        <v>35767.462500000001</v>
      </c>
      <c r="I27" s="44">
        <f t="shared" si="2"/>
        <v>9339.927499999998</v>
      </c>
      <c r="J27" s="23"/>
    </row>
    <row r="28" spans="1:10" x14ac:dyDescent="0.2">
      <c r="A28" s="28">
        <v>191</v>
      </c>
      <c r="B28" s="28" t="s">
        <v>68</v>
      </c>
      <c r="C28" s="29">
        <v>648396.05000000005</v>
      </c>
      <c r="D28" s="30">
        <v>0</v>
      </c>
      <c r="E28" s="30">
        <v>0</v>
      </c>
      <c r="F28" s="28"/>
      <c r="G28" s="30">
        <v>1663882.5</v>
      </c>
      <c r="H28" s="31">
        <f t="shared" si="1"/>
        <v>83194.125</v>
      </c>
      <c r="I28" s="44">
        <f t="shared" si="2"/>
        <v>565201.92500000005</v>
      </c>
      <c r="J28" s="23"/>
    </row>
    <row r="29" spans="1:10" x14ac:dyDescent="0.2">
      <c r="A29" s="28">
        <v>192</v>
      </c>
      <c r="B29" s="28" t="s">
        <v>320</v>
      </c>
      <c r="C29" s="29">
        <v>20883.400000000001</v>
      </c>
      <c r="D29" s="30">
        <v>0</v>
      </c>
      <c r="E29" s="30">
        <v>521.97999999998137</v>
      </c>
      <c r="F29" s="28"/>
      <c r="G29" s="30">
        <v>606415.95000000007</v>
      </c>
      <c r="H29" s="31">
        <f t="shared" si="1"/>
        <v>30320.797500000004</v>
      </c>
      <c r="I29" s="44">
        <f t="shared" si="2"/>
        <v>0</v>
      </c>
      <c r="J29" s="23"/>
    </row>
    <row r="30" spans="1:10" x14ac:dyDescent="0.2">
      <c r="A30" s="28">
        <v>196</v>
      </c>
      <c r="B30" s="28" t="s">
        <v>71</v>
      </c>
      <c r="C30" s="29">
        <v>382903.05</v>
      </c>
      <c r="D30" s="30">
        <v>0</v>
      </c>
      <c r="E30" s="30">
        <v>142154.58000000007</v>
      </c>
      <c r="F30" s="28"/>
      <c r="G30" s="30">
        <v>2624146.875</v>
      </c>
      <c r="H30" s="31">
        <f t="shared" si="1"/>
        <v>131207.34375</v>
      </c>
      <c r="I30" s="44">
        <f t="shared" si="2"/>
        <v>109541.12624999991</v>
      </c>
      <c r="J30" s="23"/>
    </row>
    <row r="31" spans="1:10" x14ac:dyDescent="0.2">
      <c r="A31" s="28">
        <v>197</v>
      </c>
      <c r="B31" s="28" t="s">
        <v>72</v>
      </c>
      <c r="C31" s="29">
        <v>66656.47</v>
      </c>
      <c r="D31" s="30">
        <v>0</v>
      </c>
      <c r="E31" s="30">
        <v>3636.8000000000466</v>
      </c>
      <c r="F31" s="28"/>
      <c r="G31" s="30">
        <v>697410</v>
      </c>
      <c r="H31" s="31">
        <f t="shared" si="1"/>
        <v>34870.5</v>
      </c>
      <c r="I31" s="44">
        <f t="shared" si="2"/>
        <v>28149.169999999955</v>
      </c>
      <c r="J31" s="23"/>
    </row>
    <row r="32" spans="1:10" x14ac:dyDescent="0.2">
      <c r="A32" s="28">
        <v>199</v>
      </c>
      <c r="B32" s="28" t="s">
        <v>73</v>
      </c>
      <c r="C32" s="29">
        <v>53671.87</v>
      </c>
      <c r="D32" s="30">
        <v>0</v>
      </c>
      <c r="E32" s="30">
        <v>0</v>
      </c>
      <c r="F32" s="28"/>
      <c r="G32" s="30">
        <v>643988.625</v>
      </c>
      <c r="H32" s="31">
        <f t="shared" si="1"/>
        <v>32199.431250000001</v>
      </c>
      <c r="I32" s="44">
        <f t="shared" si="2"/>
        <v>21472.438750000001</v>
      </c>
      <c r="J32" s="23"/>
    </row>
    <row r="33" spans="1:11" x14ac:dyDescent="0.2">
      <c r="A33" s="28">
        <v>206</v>
      </c>
      <c r="B33" s="28" t="s">
        <v>77</v>
      </c>
      <c r="C33" s="29">
        <v>45974.26</v>
      </c>
      <c r="D33" s="30">
        <v>0</v>
      </c>
      <c r="E33" s="30">
        <v>0</v>
      </c>
      <c r="F33" s="28"/>
      <c r="G33" s="30">
        <v>749361.9</v>
      </c>
      <c r="H33" s="31">
        <f t="shared" si="1"/>
        <v>37468.095000000001</v>
      </c>
      <c r="I33" s="44">
        <f t="shared" si="2"/>
        <v>8506.1650000000009</v>
      </c>
      <c r="J33" s="23"/>
    </row>
    <row r="34" spans="1:11" x14ac:dyDescent="0.2">
      <c r="A34" s="28">
        <v>213</v>
      </c>
      <c r="B34" s="28" t="s">
        <v>78</v>
      </c>
      <c r="C34" s="29">
        <v>1978.63</v>
      </c>
      <c r="D34" s="30">
        <v>0</v>
      </c>
      <c r="E34" s="30">
        <v>0</v>
      </c>
      <c r="F34" s="28"/>
      <c r="G34" s="30">
        <v>51849</v>
      </c>
      <c r="H34" s="31">
        <f t="shared" si="1"/>
        <v>2592.4500000000003</v>
      </c>
      <c r="I34" s="44">
        <f t="shared" si="2"/>
        <v>0</v>
      </c>
      <c r="J34" s="23"/>
    </row>
    <row r="35" spans="1:11" x14ac:dyDescent="0.2">
      <c r="A35" s="28">
        <v>241</v>
      </c>
      <c r="B35" s="28" t="s">
        <v>83</v>
      </c>
      <c r="C35" s="29">
        <v>27421.35</v>
      </c>
      <c r="D35" s="30">
        <v>0</v>
      </c>
      <c r="E35" s="30">
        <v>0</v>
      </c>
      <c r="F35" s="28"/>
      <c r="G35" s="30">
        <v>309676.5</v>
      </c>
      <c r="H35" s="31">
        <f t="shared" si="1"/>
        <v>15483.825000000001</v>
      </c>
      <c r="I35" s="44">
        <f t="shared" si="2"/>
        <v>11937.524999999998</v>
      </c>
      <c r="J35" s="23"/>
    </row>
    <row r="36" spans="1:11" x14ac:dyDescent="0.2">
      <c r="A36" s="28">
        <v>252</v>
      </c>
      <c r="B36" s="28" t="s">
        <v>85</v>
      </c>
      <c r="C36" s="29">
        <v>9018.84</v>
      </c>
      <c r="D36" s="30">
        <v>0</v>
      </c>
      <c r="E36" s="30">
        <v>0</v>
      </c>
      <c r="F36" s="28"/>
      <c r="G36" s="30">
        <v>132352.5</v>
      </c>
      <c r="H36" s="31">
        <f t="shared" si="1"/>
        <v>6617.625</v>
      </c>
      <c r="I36" s="44">
        <f t="shared" si="2"/>
        <v>2401.2150000000001</v>
      </c>
      <c r="J36" s="23"/>
    </row>
    <row r="37" spans="1:11" x14ac:dyDescent="0.2">
      <c r="A37" s="28">
        <v>256</v>
      </c>
      <c r="B37" s="28" t="s">
        <v>88</v>
      </c>
      <c r="C37" s="29">
        <v>17387.77</v>
      </c>
      <c r="D37" s="30">
        <v>0</v>
      </c>
      <c r="E37" s="30">
        <v>78774.180000000197</v>
      </c>
      <c r="F37" s="28"/>
      <c r="G37" s="30">
        <v>2465358</v>
      </c>
      <c r="H37" s="31">
        <f t="shared" si="1"/>
        <v>123267.90000000001</v>
      </c>
      <c r="I37" s="44">
        <f t="shared" si="2"/>
        <v>0</v>
      </c>
      <c r="J37" s="23"/>
    </row>
    <row r="38" spans="1:11" x14ac:dyDescent="0.2">
      <c r="A38" s="28">
        <v>270</v>
      </c>
      <c r="B38" s="28" t="s">
        <v>90</v>
      </c>
      <c r="C38" s="29">
        <v>26068.15</v>
      </c>
      <c r="D38" s="30">
        <v>0</v>
      </c>
      <c r="E38" s="30">
        <v>0</v>
      </c>
      <c r="F38" s="28"/>
      <c r="G38" s="30">
        <v>968076.375</v>
      </c>
      <c r="H38" s="31">
        <f t="shared" si="1"/>
        <v>48403.818750000006</v>
      </c>
      <c r="I38" s="44">
        <f t="shared" si="2"/>
        <v>0</v>
      </c>
      <c r="J38" s="23"/>
    </row>
    <row r="39" spans="1:11" x14ac:dyDescent="0.2">
      <c r="A39" s="28">
        <v>271</v>
      </c>
      <c r="B39" s="28" t="s">
        <v>91</v>
      </c>
      <c r="C39" s="29">
        <v>24249.14</v>
      </c>
      <c r="D39" s="30">
        <v>0</v>
      </c>
      <c r="E39" s="30">
        <v>0</v>
      </c>
      <c r="F39" s="28"/>
      <c r="G39" s="30">
        <v>954561.57300000009</v>
      </c>
      <c r="H39" s="31">
        <f t="shared" si="1"/>
        <v>47728.07865000001</v>
      </c>
      <c r="I39" s="44">
        <f t="shared" si="2"/>
        <v>0</v>
      </c>
      <c r="J39" s="23"/>
    </row>
    <row r="40" spans="1:11" x14ac:dyDescent="0.2">
      <c r="A40" s="28">
        <v>272</v>
      </c>
      <c r="B40" s="28" t="s">
        <v>92</v>
      </c>
      <c r="C40" s="29">
        <v>570506.6</v>
      </c>
      <c r="D40" s="30">
        <v>0</v>
      </c>
      <c r="E40" s="30">
        <v>473086.01</v>
      </c>
      <c r="F40" s="28"/>
      <c r="G40" s="30">
        <v>1122003.75</v>
      </c>
      <c r="H40" s="31">
        <f t="shared" si="1"/>
        <v>56100.1875</v>
      </c>
      <c r="I40" s="44">
        <f t="shared" si="2"/>
        <v>41320.402499999967</v>
      </c>
      <c r="J40" s="23"/>
    </row>
    <row r="41" spans="1:11" x14ac:dyDescent="0.2">
      <c r="A41" s="28">
        <v>276</v>
      </c>
      <c r="B41" s="28" t="s">
        <v>94</v>
      </c>
      <c r="C41" s="29">
        <v>1163006</v>
      </c>
      <c r="D41" s="30">
        <v>0</v>
      </c>
      <c r="E41" s="30">
        <v>0</v>
      </c>
      <c r="F41" s="28"/>
      <c r="G41" s="30">
        <v>548058</v>
      </c>
      <c r="H41" s="31">
        <f t="shared" si="1"/>
        <v>27402.9</v>
      </c>
      <c r="I41" s="44">
        <f t="shared" si="2"/>
        <v>1135603.1000000001</v>
      </c>
      <c r="J41" s="23"/>
    </row>
    <row r="42" spans="1:11" x14ac:dyDescent="0.2">
      <c r="A42" s="28">
        <v>277</v>
      </c>
      <c r="B42" s="28" t="s">
        <v>95</v>
      </c>
      <c r="C42" s="29">
        <v>31093.599999999999</v>
      </c>
      <c r="D42" s="30">
        <v>0</v>
      </c>
      <c r="E42" s="30">
        <v>0</v>
      </c>
      <c r="F42" s="28"/>
      <c r="G42" s="30">
        <v>577156.65</v>
      </c>
      <c r="H42" s="31">
        <f t="shared" si="1"/>
        <v>28857.832500000004</v>
      </c>
      <c r="I42" s="44">
        <f t="shared" si="2"/>
        <v>2235.7674999999945</v>
      </c>
      <c r="J42" s="23"/>
    </row>
    <row r="43" spans="1:11" x14ac:dyDescent="0.2">
      <c r="A43" s="28">
        <v>278</v>
      </c>
      <c r="B43" s="28" t="s">
        <v>96</v>
      </c>
      <c r="C43" s="29">
        <v>33737.81</v>
      </c>
      <c r="D43" s="30">
        <v>0</v>
      </c>
      <c r="E43" s="30">
        <v>0</v>
      </c>
      <c r="F43" s="28"/>
      <c r="G43" s="30">
        <v>448526.4</v>
      </c>
      <c r="H43" s="31">
        <f t="shared" si="1"/>
        <v>22426.320000000003</v>
      </c>
      <c r="I43" s="44">
        <f t="shared" si="2"/>
        <v>11311.489999999994</v>
      </c>
      <c r="J43" s="23"/>
      <c r="K43" s="10"/>
    </row>
    <row r="44" spans="1:11" x14ac:dyDescent="0.2">
      <c r="A44" s="28">
        <v>279</v>
      </c>
      <c r="B44" s="28" t="s">
        <v>97</v>
      </c>
      <c r="C44" s="29">
        <v>101604.43</v>
      </c>
      <c r="D44" s="30">
        <v>0</v>
      </c>
      <c r="E44" s="30">
        <v>12310.589999999967</v>
      </c>
      <c r="F44" s="28"/>
      <c r="G44" s="30">
        <v>1008000</v>
      </c>
      <c r="H44" s="31">
        <f t="shared" si="1"/>
        <v>50400</v>
      </c>
      <c r="I44" s="44">
        <f t="shared" si="2"/>
        <v>38893.840000000026</v>
      </c>
      <c r="J44" s="23"/>
    </row>
    <row r="45" spans="1:11" x14ac:dyDescent="0.2">
      <c r="A45" s="28">
        <v>280</v>
      </c>
      <c r="B45" s="28" t="s">
        <v>98</v>
      </c>
      <c r="C45" s="29">
        <v>33775.08</v>
      </c>
      <c r="D45" s="30">
        <v>0</v>
      </c>
      <c r="E45" s="30">
        <v>0</v>
      </c>
      <c r="F45" s="28"/>
      <c r="G45" s="30">
        <v>1268459.0730000001</v>
      </c>
      <c r="H45" s="31">
        <f t="shared" si="1"/>
        <v>63422.95365000001</v>
      </c>
      <c r="I45" s="44">
        <f t="shared" si="2"/>
        <v>0</v>
      </c>
      <c r="J45" s="23"/>
    </row>
    <row r="46" spans="1:11" x14ac:dyDescent="0.2">
      <c r="A46" s="28">
        <v>281</v>
      </c>
      <c r="B46" s="28" t="s">
        <v>99</v>
      </c>
      <c r="C46" s="29">
        <v>76967.91</v>
      </c>
      <c r="D46" s="30">
        <v>0</v>
      </c>
      <c r="E46" s="30">
        <v>0</v>
      </c>
      <c r="F46" s="28"/>
      <c r="G46" s="30">
        <v>1962066.75</v>
      </c>
      <c r="H46" s="31">
        <f t="shared" si="1"/>
        <v>98103.337500000009</v>
      </c>
      <c r="I46" s="44">
        <f t="shared" si="2"/>
        <v>0</v>
      </c>
      <c r="J46" s="23"/>
    </row>
    <row r="47" spans="1:11" x14ac:dyDescent="0.2">
      <c r="A47" s="28">
        <v>282</v>
      </c>
      <c r="B47" s="28" t="s">
        <v>100</v>
      </c>
      <c r="C47" s="29">
        <v>4350.8500000000004</v>
      </c>
      <c r="D47" s="30">
        <v>0</v>
      </c>
      <c r="E47" s="30">
        <v>0</v>
      </c>
      <c r="F47" s="28"/>
      <c r="G47" s="30">
        <v>287432.25</v>
      </c>
      <c r="H47" s="31">
        <f t="shared" si="1"/>
        <v>14371.612500000001</v>
      </c>
      <c r="I47" s="44">
        <f t="shared" si="2"/>
        <v>0</v>
      </c>
      <c r="J47" s="23"/>
    </row>
    <row r="48" spans="1:11" x14ac:dyDescent="0.2">
      <c r="A48" s="28">
        <v>283</v>
      </c>
      <c r="B48" s="28" t="s">
        <v>101</v>
      </c>
      <c r="C48" s="29">
        <v>116130.62</v>
      </c>
      <c r="D48" s="30">
        <v>0</v>
      </c>
      <c r="E48" s="30">
        <v>0</v>
      </c>
      <c r="F48" s="28"/>
      <c r="G48" s="30">
        <v>874739.25</v>
      </c>
      <c r="H48" s="31">
        <f t="shared" si="1"/>
        <v>43736.962500000001</v>
      </c>
      <c r="I48" s="44">
        <f t="shared" si="2"/>
        <v>72393.657500000001</v>
      </c>
      <c r="J48" s="23"/>
    </row>
    <row r="49" spans="1:10" x14ac:dyDescent="0.2">
      <c r="A49" s="28">
        <v>284</v>
      </c>
      <c r="B49" s="28" t="s">
        <v>102</v>
      </c>
      <c r="C49" s="29">
        <v>16291.65</v>
      </c>
      <c r="D49" s="30">
        <v>0</v>
      </c>
      <c r="E49" s="30">
        <v>0</v>
      </c>
      <c r="F49" s="28"/>
      <c r="G49" s="30">
        <v>1208064.375</v>
      </c>
      <c r="H49" s="31">
        <f t="shared" si="1"/>
        <v>60403.21875</v>
      </c>
      <c r="I49" s="44">
        <f t="shared" si="2"/>
        <v>0</v>
      </c>
      <c r="J49" s="23"/>
    </row>
    <row r="50" spans="1:10" x14ac:dyDescent="0.2">
      <c r="A50" s="28">
        <v>286</v>
      </c>
      <c r="B50" s="28" t="s">
        <v>103</v>
      </c>
      <c r="C50" s="29">
        <v>3286.19</v>
      </c>
      <c r="D50" s="30">
        <v>0</v>
      </c>
      <c r="E50" s="30">
        <v>0</v>
      </c>
      <c r="F50" s="28"/>
      <c r="G50" s="30">
        <v>359100</v>
      </c>
      <c r="H50" s="31">
        <f t="shared" si="1"/>
        <v>17955</v>
      </c>
      <c r="I50" s="44">
        <f t="shared" si="2"/>
        <v>0</v>
      </c>
      <c r="J50" s="23"/>
    </row>
    <row r="51" spans="1:10" x14ac:dyDescent="0.2">
      <c r="A51" s="28">
        <v>300</v>
      </c>
      <c r="B51" s="28" t="s">
        <v>106</v>
      </c>
      <c r="C51" s="29">
        <v>30866.55</v>
      </c>
      <c r="D51" s="30">
        <v>0</v>
      </c>
      <c r="E51" s="30">
        <v>17704.959999999992</v>
      </c>
      <c r="F51" s="28"/>
      <c r="G51" s="30">
        <v>171748.5</v>
      </c>
      <c r="H51" s="31">
        <f t="shared" si="1"/>
        <v>8587.4250000000011</v>
      </c>
      <c r="I51" s="44">
        <f t="shared" si="2"/>
        <v>4574.1650000000063</v>
      </c>
      <c r="J51" s="23"/>
    </row>
    <row r="52" spans="1:10" x14ac:dyDescent="0.2">
      <c r="A52" s="28">
        <v>314</v>
      </c>
      <c r="B52" s="28" t="s">
        <v>109</v>
      </c>
      <c r="C52" s="29">
        <v>7239.76</v>
      </c>
      <c r="D52" s="30">
        <v>0</v>
      </c>
      <c r="E52" s="30">
        <v>0</v>
      </c>
      <c r="F52" s="28"/>
      <c r="G52" s="30">
        <v>156867.9</v>
      </c>
      <c r="H52" s="31">
        <f t="shared" si="1"/>
        <v>7843.3950000000004</v>
      </c>
      <c r="I52" s="44">
        <f t="shared" si="2"/>
        <v>0</v>
      </c>
      <c r="J52" s="23"/>
    </row>
    <row r="53" spans="1:10" x14ac:dyDescent="0.2">
      <c r="A53" s="28">
        <v>316</v>
      </c>
      <c r="B53" s="28" t="s">
        <v>110</v>
      </c>
      <c r="C53" s="29">
        <v>34268.44</v>
      </c>
      <c r="D53" s="30">
        <v>0</v>
      </c>
      <c r="E53" s="30">
        <v>149363.64999999991</v>
      </c>
      <c r="F53" s="28"/>
      <c r="G53" s="30">
        <v>1663756.5</v>
      </c>
      <c r="H53" s="31">
        <f t="shared" si="1"/>
        <v>83187.825000000012</v>
      </c>
      <c r="I53" s="44">
        <f t="shared" si="2"/>
        <v>0</v>
      </c>
      <c r="J53" s="23"/>
    </row>
    <row r="54" spans="1:10" x14ac:dyDescent="0.2">
      <c r="A54" s="28">
        <v>317</v>
      </c>
      <c r="B54" s="28" t="s">
        <v>111</v>
      </c>
      <c r="C54" s="29">
        <v>6140.59</v>
      </c>
      <c r="D54" s="30">
        <v>0</v>
      </c>
      <c r="E54" s="30">
        <v>0</v>
      </c>
      <c r="F54" s="28"/>
      <c r="G54" s="30">
        <v>142340.625</v>
      </c>
      <c r="H54" s="31">
        <f t="shared" si="1"/>
        <v>7117.03125</v>
      </c>
      <c r="I54" s="44">
        <f t="shared" si="2"/>
        <v>0</v>
      </c>
      <c r="J54" s="23"/>
    </row>
    <row r="55" spans="1:10" x14ac:dyDescent="0.2">
      <c r="A55" s="28">
        <v>318</v>
      </c>
      <c r="B55" s="28" t="s">
        <v>112</v>
      </c>
      <c r="C55" s="29">
        <v>99641.99</v>
      </c>
      <c r="D55" s="30">
        <v>0</v>
      </c>
      <c r="E55" s="30">
        <v>0</v>
      </c>
      <c r="F55" s="28"/>
      <c r="G55" s="30">
        <v>2017128.75</v>
      </c>
      <c r="H55" s="31">
        <f t="shared" si="1"/>
        <v>100856.4375</v>
      </c>
      <c r="I55" s="44">
        <f t="shared" si="2"/>
        <v>0</v>
      </c>
      <c r="J55" s="23"/>
    </row>
    <row r="56" spans="1:10" x14ac:dyDescent="0.2">
      <c r="A56" s="28">
        <v>319</v>
      </c>
      <c r="B56" s="28" t="s">
        <v>321</v>
      </c>
      <c r="C56" s="29">
        <v>13704.54</v>
      </c>
      <c r="D56" s="30">
        <v>0</v>
      </c>
      <c r="E56" s="30">
        <v>0</v>
      </c>
      <c r="F56" s="28"/>
      <c r="G56" s="30">
        <v>323478.75</v>
      </c>
      <c r="H56" s="31">
        <f t="shared" si="1"/>
        <v>16173.9375</v>
      </c>
      <c r="I56" s="44">
        <f t="shared" si="2"/>
        <v>0</v>
      </c>
      <c r="J56" s="23"/>
    </row>
    <row r="57" spans="1:10" x14ac:dyDescent="0.2">
      <c r="A57" s="28">
        <v>333</v>
      </c>
      <c r="B57" s="28" t="s">
        <v>322</v>
      </c>
      <c r="C57" s="29">
        <v>9689.2900000000009</v>
      </c>
      <c r="D57" s="30">
        <v>0</v>
      </c>
      <c r="E57" s="30">
        <v>0</v>
      </c>
      <c r="F57" s="28"/>
      <c r="G57" s="30">
        <v>139448.92500000002</v>
      </c>
      <c r="H57" s="31">
        <f t="shared" si="1"/>
        <v>6972.4462500000009</v>
      </c>
      <c r="I57" s="44">
        <f t="shared" si="2"/>
        <v>2716.84375</v>
      </c>
      <c r="J57" s="23"/>
    </row>
    <row r="58" spans="1:10" x14ac:dyDescent="0.2">
      <c r="A58" s="28">
        <v>345</v>
      </c>
      <c r="B58" s="28" t="s">
        <v>115</v>
      </c>
      <c r="C58" s="29">
        <v>9023.2800000000007</v>
      </c>
      <c r="D58" s="30">
        <v>0</v>
      </c>
      <c r="E58" s="30">
        <v>0</v>
      </c>
      <c r="F58" s="28"/>
      <c r="G58" s="30">
        <v>261114</v>
      </c>
      <c r="H58" s="31">
        <f t="shared" si="1"/>
        <v>13055.7</v>
      </c>
      <c r="I58" s="44">
        <f t="shared" si="2"/>
        <v>0</v>
      </c>
      <c r="J58" s="23"/>
    </row>
    <row r="59" spans="1:10" x14ac:dyDescent="0.2">
      <c r="A59" s="28">
        <v>381</v>
      </c>
      <c r="B59" s="28" t="s">
        <v>118</v>
      </c>
      <c r="C59" s="29">
        <v>68642.3</v>
      </c>
      <c r="D59" s="30">
        <v>0</v>
      </c>
      <c r="E59" s="30">
        <v>12680.520000000019</v>
      </c>
      <c r="F59" s="28"/>
      <c r="G59" s="30">
        <v>832188</v>
      </c>
      <c r="H59" s="31">
        <f t="shared" si="1"/>
        <v>41609.4</v>
      </c>
      <c r="I59" s="44">
        <f t="shared" si="2"/>
        <v>14352.379999999983</v>
      </c>
      <c r="J59" s="23"/>
    </row>
    <row r="60" spans="1:10" x14ac:dyDescent="0.2">
      <c r="A60" s="28">
        <v>413</v>
      </c>
      <c r="B60" s="28" t="s">
        <v>122</v>
      </c>
      <c r="C60" s="29">
        <v>5682.62</v>
      </c>
      <c r="D60" s="30">
        <v>0</v>
      </c>
      <c r="E60" s="30">
        <v>0</v>
      </c>
      <c r="F60" s="28"/>
      <c r="G60" s="30">
        <v>133329</v>
      </c>
      <c r="H60" s="31">
        <f t="shared" si="1"/>
        <v>6666.4500000000007</v>
      </c>
      <c r="I60" s="44">
        <f t="shared" si="2"/>
        <v>0</v>
      </c>
      <c r="J60" s="23"/>
    </row>
    <row r="61" spans="1:10" x14ac:dyDescent="0.2">
      <c r="A61" s="28">
        <v>482</v>
      </c>
      <c r="B61" s="28" t="s">
        <v>136</v>
      </c>
      <c r="C61" s="29">
        <v>9800.1299999999992</v>
      </c>
      <c r="D61" s="30">
        <v>0</v>
      </c>
      <c r="E61" s="30">
        <v>0</v>
      </c>
      <c r="F61" s="28"/>
      <c r="G61" s="30">
        <v>267763.125</v>
      </c>
      <c r="H61" s="31">
        <f t="shared" si="1"/>
        <v>13388.15625</v>
      </c>
      <c r="I61" s="44">
        <f t="shared" si="2"/>
        <v>0</v>
      </c>
      <c r="J61" s="23"/>
    </row>
    <row r="62" spans="1:10" x14ac:dyDescent="0.2">
      <c r="A62" s="28">
        <v>499</v>
      </c>
      <c r="B62" s="28" t="s">
        <v>144</v>
      </c>
      <c r="C62" s="29">
        <v>20448.68</v>
      </c>
      <c r="D62" s="30">
        <v>0</v>
      </c>
      <c r="E62" s="30">
        <v>8039.3399999999965</v>
      </c>
      <c r="F62" s="28"/>
      <c r="G62" s="30">
        <v>113554.875</v>
      </c>
      <c r="H62" s="31">
        <f t="shared" si="1"/>
        <v>5677.7437500000005</v>
      </c>
      <c r="I62" s="44">
        <f t="shared" si="2"/>
        <v>6731.5962500000032</v>
      </c>
      <c r="J62" s="23"/>
    </row>
    <row r="63" spans="1:10" x14ac:dyDescent="0.2">
      <c r="A63" s="28">
        <v>548</v>
      </c>
      <c r="B63" s="28" t="s">
        <v>159</v>
      </c>
      <c r="C63" s="29">
        <v>18795.8</v>
      </c>
      <c r="D63" s="30">
        <v>0</v>
      </c>
      <c r="E63" s="30">
        <v>6225.9200000000128</v>
      </c>
      <c r="F63" s="28"/>
      <c r="G63" s="30">
        <v>142761.15</v>
      </c>
      <c r="H63" s="31">
        <f t="shared" si="1"/>
        <v>7138.0574999999999</v>
      </c>
      <c r="I63" s="44">
        <f t="shared" si="2"/>
        <v>5431.8224999999866</v>
      </c>
      <c r="J63" s="23"/>
    </row>
    <row r="64" spans="1:10" x14ac:dyDescent="0.2">
      <c r="A64" s="28">
        <v>549</v>
      </c>
      <c r="B64" s="28" t="s">
        <v>160</v>
      </c>
      <c r="C64" s="29">
        <v>2619.12</v>
      </c>
      <c r="D64" s="30">
        <v>0</v>
      </c>
      <c r="E64" s="30">
        <v>11890.990000000005</v>
      </c>
      <c r="F64" s="28"/>
      <c r="G64" s="30">
        <v>98437.5</v>
      </c>
      <c r="H64" s="31">
        <f t="shared" si="1"/>
        <v>4921.875</v>
      </c>
      <c r="I64" s="44">
        <f t="shared" si="2"/>
        <v>0</v>
      </c>
      <c r="J64" s="23"/>
    </row>
    <row r="65" spans="1:10" x14ac:dyDescent="0.2">
      <c r="A65" s="28">
        <v>564</v>
      </c>
      <c r="B65" s="28" t="s">
        <v>163</v>
      </c>
      <c r="C65" s="29">
        <v>23514.19</v>
      </c>
      <c r="D65" s="30">
        <v>0</v>
      </c>
      <c r="E65" s="30">
        <v>0</v>
      </c>
      <c r="F65" s="28"/>
      <c r="G65" s="30">
        <v>250215</v>
      </c>
      <c r="H65" s="31">
        <f t="shared" si="1"/>
        <v>12510.75</v>
      </c>
      <c r="I65" s="44">
        <f t="shared" si="2"/>
        <v>11003.439999999999</v>
      </c>
      <c r="J65" s="23"/>
    </row>
    <row r="66" spans="1:10" x14ac:dyDescent="0.2">
      <c r="A66" s="28">
        <v>621</v>
      </c>
      <c r="B66" s="28" t="s">
        <v>172</v>
      </c>
      <c r="C66" s="29">
        <v>85994.71</v>
      </c>
      <c r="D66" s="30">
        <v>0</v>
      </c>
      <c r="E66" s="30">
        <v>0</v>
      </c>
      <c r="F66" s="28"/>
      <c r="G66" s="30">
        <v>2665517.4</v>
      </c>
      <c r="H66" s="31">
        <f t="shared" si="1"/>
        <v>133275.87</v>
      </c>
      <c r="I66" s="44">
        <f t="shared" si="2"/>
        <v>0</v>
      </c>
      <c r="J66" s="23"/>
    </row>
    <row r="67" spans="1:10" x14ac:dyDescent="0.2">
      <c r="A67" s="28">
        <v>622</v>
      </c>
      <c r="B67" s="28" t="s">
        <v>173</v>
      </c>
      <c r="C67" s="29">
        <v>226826.69</v>
      </c>
      <c r="D67" s="30">
        <v>0</v>
      </c>
      <c r="E67" s="30">
        <v>0</v>
      </c>
      <c r="F67" s="28"/>
      <c r="G67" s="30">
        <v>3135292.125</v>
      </c>
      <c r="H67" s="31">
        <f t="shared" si="1"/>
        <v>156764.60625000001</v>
      </c>
      <c r="I67" s="44">
        <f t="shared" si="2"/>
        <v>70062.083749999991</v>
      </c>
      <c r="J67" s="23"/>
    </row>
    <row r="68" spans="1:10" x14ac:dyDescent="0.2">
      <c r="A68" s="28">
        <v>623</v>
      </c>
      <c r="B68" s="28" t="s">
        <v>174</v>
      </c>
      <c r="C68" s="29">
        <v>58027</v>
      </c>
      <c r="D68" s="30">
        <v>0</v>
      </c>
      <c r="E68" s="30">
        <v>0</v>
      </c>
      <c r="F68" s="28"/>
      <c r="G68" s="30">
        <v>1420697.25</v>
      </c>
      <c r="H68" s="31">
        <f t="shared" si="1"/>
        <v>71034.862500000003</v>
      </c>
      <c r="I68" s="44">
        <f t="shared" si="2"/>
        <v>0</v>
      </c>
      <c r="J68" s="23"/>
    </row>
    <row r="69" spans="1:10" x14ac:dyDescent="0.2">
      <c r="A69" s="28">
        <v>624</v>
      </c>
      <c r="B69" s="28" t="s">
        <v>175</v>
      </c>
      <c r="C69" s="29">
        <v>21602.83</v>
      </c>
      <c r="D69" s="30">
        <v>0</v>
      </c>
      <c r="E69" s="30">
        <v>0</v>
      </c>
      <c r="F69" s="28"/>
      <c r="G69" s="30">
        <v>2661842.4</v>
      </c>
      <c r="H69" s="31">
        <f t="shared" si="1"/>
        <v>133092.12</v>
      </c>
      <c r="I69" s="44">
        <f t="shared" si="2"/>
        <v>0</v>
      </c>
      <c r="J69" s="23"/>
    </row>
    <row r="70" spans="1:10" x14ac:dyDescent="0.2">
      <c r="A70" s="28">
        <v>690</v>
      </c>
      <c r="B70" s="28" t="s">
        <v>323</v>
      </c>
      <c r="C70" s="29">
        <v>6757.31</v>
      </c>
      <c r="D70" s="30">
        <v>0</v>
      </c>
      <c r="E70" s="30">
        <v>16810.64</v>
      </c>
      <c r="F70" s="28"/>
      <c r="G70" s="30">
        <v>512130.15</v>
      </c>
      <c r="H70" s="31">
        <f t="shared" si="1"/>
        <v>25606.507500000003</v>
      </c>
      <c r="I70" s="44">
        <f t="shared" si="2"/>
        <v>0</v>
      </c>
      <c r="J70" s="23"/>
    </row>
    <row r="71" spans="1:10" x14ac:dyDescent="0.2">
      <c r="A71" s="28">
        <v>695</v>
      </c>
      <c r="B71" s="28" t="s">
        <v>183</v>
      </c>
      <c r="C71" s="29">
        <v>2504.09</v>
      </c>
      <c r="D71" s="30">
        <v>0</v>
      </c>
      <c r="E71" s="30">
        <v>0</v>
      </c>
      <c r="F71" s="28"/>
      <c r="G71" s="30">
        <v>551158.65</v>
      </c>
      <c r="H71" s="31">
        <f t="shared" si="1"/>
        <v>27557.932500000003</v>
      </c>
      <c r="I71" s="44">
        <f t="shared" si="2"/>
        <v>0</v>
      </c>
      <c r="J71" s="23"/>
    </row>
    <row r="72" spans="1:10" x14ac:dyDescent="0.2">
      <c r="A72" s="28">
        <v>704</v>
      </c>
      <c r="B72" s="28" t="s">
        <v>188</v>
      </c>
      <c r="C72" s="29">
        <v>34135.67</v>
      </c>
      <c r="D72" s="30">
        <v>0</v>
      </c>
      <c r="E72" s="30">
        <v>0</v>
      </c>
      <c r="F72" s="28"/>
      <c r="G72" s="30">
        <v>449064</v>
      </c>
      <c r="H72" s="31">
        <f t="shared" si="1"/>
        <v>22453.200000000001</v>
      </c>
      <c r="I72" s="44">
        <f t="shared" si="2"/>
        <v>11682.469999999998</v>
      </c>
      <c r="J72" s="23"/>
    </row>
    <row r="73" spans="1:10" x14ac:dyDescent="0.2">
      <c r="A73" s="28">
        <v>706</v>
      </c>
      <c r="B73" s="28" t="s">
        <v>189</v>
      </c>
      <c r="C73" s="29">
        <v>616857.67000000004</v>
      </c>
      <c r="D73" s="30">
        <v>0</v>
      </c>
      <c r="E73" s="30">
        <v>0</v>
      </c>
      <c r="F73" s="28"/>
      <c r="G73" s="30">
        <v>448474.95</v>
      </c>
      <c r="H73" s="31">
        <f t="shared" ref="H73:H100" si="3">G73*0.05</f>
        <v>22423.747500000001</v>
      </c>
      <c r="I73" s="44">
        <f t="shared" si="2"/>
        <v>594433.92249999999</v>
      </c>
      <c r="J73" s="23"/>
    </row>
    <row r="74" spans="1:10" x14ac:dyDescent="0.2">
      <c r="A74" s="28">
        <v>712</v>
      </c>
      <c r="B74" s="28" t="s">
        <v>191</v>
      </c>
      <c r="C74" s="29">
        <v>14496.23</v>
      </c>
      <c r="D74" s="30">
        <v>0</v>
      </c>
      <c r="E74" s="30">
        <v>0</v>
      </c>
      <c r="F74" s="28"/>
      <c r="G74" s="30">
        <v>156012.15</v>
      </c>
      <c r="H74" s="31">
        <f t="shared" si="3"/>
        <v>7800.6075000000001</v>
      </c>
      <c r="I74" s="44">
        <f t="shared" si="2"/>
        <v>6695.6224999999995</v>
      </c>
      <c r="J74" s="23"/>
    </row>
    <row r="75" spans="1:10" x14ac:dyDescent="0.2">
      <c r="A75" s="28">
        <v>727</v>
      </c>
      <c r="B75" s="28" t="s">
        <v>324</v>
      </c>
      <c r="C75" s="29">
        <v>10447.84</v>
      </c>
      <c r="D75" s="30">
        <v>0</v>
      </c>
      <c r="E75" s="30">
        <v>0</v>
      </c>
      <c r="F75" s="28"/>
      <c r="G75" s="30">
        <v>406620.9</v>
      </c>
      <c r="H75" s="31">
        <f t="shared" si="3"/>
        <v>20331.045000000002</v>
      </c>
      <c r="I75" s="44">
        <f t="shared" si="2"/>
        <v>0</v>
      </c>
      <c r="J75" s="23"/>
    </row>
    <row r="76" spans="1:10" x14ac:dyDescent="0.2">
      <c r="A76" s="28">
        <v>728</v>
      </c>
      <c r="B76" s="28" t="s">
        <v>198</v>
      </c>
      <c r="C76" s="29">
        <v>18790.39</v>
      </c>
      <c r="D76" s="30">
        <v>0</v>
      </c>
      <c r="E76" s="30">
        <v>0</v>
      </c>
      <c r="F76" s="28"/>
      <c r="G76" s="30">
        <v>321980.40000000002</v>
      </c>
      <c r="H76" s="31">
        <f t="shared" si="3"/>
        <v>16099.020000000002</v>
      </c>
      <c r="I76" s="44">
        <f t="shared" si="2"/>
        <v>2691.3699999999972</v>
      </c>
      <c r="J76" s="23"/>
    </row>
    <row r="77" spans="1:10" x14ac:dyDescent="0.2">
      <c r="A77" s="28">
        <v>738</v>
      </c>
      <c r="B77" s="28" t="s">
        <v>199</v>
      </c>
      <c r="C77" s="29">
        <v>3138.2</v>
      </c>
      <c r="D77" s="30">
        <v>0</v>
      </c>
      <c r="E77" s="30">
        <v>0</v>
      </c>
      <c r="F77" s="28"/>
      <c r="G77" s="30">
        <v>182054.25</v>
      </c>
      <c r="H77" s="31">
        <f t="shared" si="3"/>
        <v>9102.7124999999996</v>
      </c>
      <c r="I77" s="44">
        <f t="shared" si="2"/>
        <v>0</v>
      </c>
      <c r="J77" s="23"/>
    </row>
    <row r="78" spans="1:10" x14ac:dyDescent="0.2">
      <c r="A78" s="28">
        <v>742</v>
      </c>
      <c r="B78" s="28" t="s">
        <v>203</v>
      </c>
      <c r="C78" s="29">
        <v>31086.84</v>
      </c>
      <c r="D78" s="30">
        <v>0</v>
      </c>
      <c r="E78" s="30">
        <v>0</v>
      </c>
      <c r="F78" s="28"/>
      <c r="G78" s="30">
        <v>2242983.75</v>
      </c>
      <c r="H78" s="31">
        <f t="shared" si="3"/>
        <v>112149.1875</v>
      </c>
      <c r="I78" s="44">
        <f t="shared" si="2"/>
        <v>0</v>
      </c>
      <c r="J78" s="23"/>
    </row>
    <row r="79" spans="1:10" x14ac:dyDescent="0.2">
      <c r="A79" s="28">
        <v>750</v>
      </c>
      <c r="B79" s="28" t="s">
        <v>207</v>
      </c>
      <c r="C79" s="29">
        <v>49943.03</v>
      </c>
      <c r="D79" s="30">
        <v>0</v>
      </c>
      <c r="E79" s="30">
        <v>8269.0999999999767</v>
      </c>
      <c r="F79" s="28"/>
      <c r="G79" s="30">
        <v>418884.375</v>
      </c>
      <c r="H79" s="31">
        <f t="shared" si="3"/>
        <v>20944.21875</v>
      </c>
      <c r="I79" s="44">
        <f t="shared" si="2"/>
        <v>20729.711250000022</v>
      </c>
      <c r="J79" s="23"/>
    </row>
    <row r="80" spans="1:10" x14ac:dyDescent="0.2">
      <c r="A80" s="28">
        <v>769</v>
      </c>
      <c r="B80" s="28" t="s">
        <v>212</v>
      </c>
      <c r="C80" s="29">
        <v>16140.13</v>
      </c>
      <c r="D80" s="30">
        <v>0</v>
      </c>
      <c r="E80" s="30">
        <v>6113.7899999999936</v>
      </c>
      <c r="F80" s="28"/>
      <c r="G80" s="30">
        <v>101346</v>
      </c>
      <c r="H80" s="31">
        <f t="shared" si="3"/>
        <v>5067.3</v>
      </c>
      <c r="I80" s="44">
        <f t="shared" si="2"/>
        <v>4959.0400000000054</v>
      </c>
      <c r="J80" s="23"/>
    </row>
    <row r="81" spans="1:10" x14ac:dyDescent="0.2">
      <c r="A81" s="28">
        <v>831</v>
      </c>
      <c r="B81" s="28" t="s">
        <v>223</v>
      </c>
      <c r="C81" s="29">
        <v>24769.599999999999</v>
      </c>
      <c r="D81" s="30">
        <v>0</v>
      </c>
      <c r="E81" s="30">
        <v>0</v>
      </c>
      <c r="F81" s="28"/>
      <c r="G81" s="30">
        <v>530976.6</v>
      </c>
      <c r="H81" s="31">
        <f t="shared" si="3"/>
        <v>26548.83</v>
      </c>
      <c r="I81" s="44">
        <f t="shared" ref="I81:I100" si="4">IF(C81-D81-E81-F81-H81&gt;0,C81-D81-E81-F81-H81,0)</f>
        <v>0</v>
      </c>
      <c r="J81" s="23"/>
    </row>
    <row r="82" spans="1:10" x14ac:dyDescent="0.2">
      <c r="A82" s="28">
        <v>832</v>
      </c>
      <c r="B82" s="28" t="s">
        <v>224</v>
      </c>
      <c r="C82" s="29">
        <v>12113.01</v>
      </c>
      <c r="D82" s="30">
        <v>0</v>
      </c>
      <c r="E82" s="30">
        <v>0</v>
      </c>
      <c r="F82" s="28"/>
      <c r="G82" s="30">
        <v>346980.9</v>
      </c>
      <c r="H82" s="31">
        <f t="shared" si="3"/>
        <v>17349.045000000002</v>
      </c>
      <c r="I82" s="44">
        <f t="shared" si="4"/>
        <v>0</v>
      </c>
      <c r="J82" s="23"/>
    </row>
    <row r="83" spans="1:10" x14ac:dyDescent="0.2">
      <c r="A83" s="28">
        <v>834</v>
      </c>
      <c r="B83" s="28" t="s">
        <v>226</v>
      </c>
      <c r="C83" s="29">
        <v>208445.07</v>
      </c>
      <c r="D83" s="30">
        <v>0</v>
      </c>
      <c r="E83" s="30">
        <v>65720</v>
      </c>
      <c r="F83" s="28"/>
      <c r="G83" s="30">
        <v>1490236.125</v>
      </c>
      <c r="H83" s="31">
        <f t="shared" si="3"/>
        <v>74511.806250000009</v>
      </c>
      <c r="I83" s="44">
        <f t="shared" si="4"/>
        <v>68213.263749999998</v>
      </c>
      <c r="J83" s="23"/>
    </row>
    <row r="84" spans="1:10" x14ac:dyDescent="0.2">
      <c r="A84" s="28">
        <v>861</v>
      </c>
      <c r="B84" s="28" t="s">
        <v>232</v>
      </c>
      <c r="C84" s="29">
        <v>86039.28</v>
      </c>
      <c r="D84" s="30">
        <v>0</v>
      </c>
      <c r="E84" s="30">
        <v>0</v>
      </c>
      <c r="F84" s="28"/>
      <c r="G84" s="30">
        <v>787857</v>
      </c>
      <c r="H84" s="31">
        <f t="shared" si="3"/>
        <v>39392.850000000006</v>
      </c>
      <c r="I84" s="44">
        <f t="shared" si="4"/>
        <v>46646.429999999993</v>
      </c>
      <c r="J84" s="23"/>
    </row>
    <row r="85" spans="1:10" x14ac:dyDescent="0.2">
      <c r="A85" s="28">
        <v>877</v>
      </c>
      <c r="B85" s="28" t="s">
        <v>234</v>
      </c>
      <c r="C85" s="29">
        <v>26965.79</v>
      </c>
      <c r="D85" s="30">
        <v>0</v>
      </c>
      <c r="E85" s="30">
        <v>0</v>
      </c>
      <c r="F85" s="28"/>
      <c r="G85" s="30">
        <v>518687.4</v>
      </c>
      <c r="H85" s="31">
        <f t="shared" si="3"/>
        <v>25934.370000000003</v>
      </c>
      <c r="I85" s="44">
        <f t="shared" si="4"/>
        <v>1031.4199999999983</v>
      </c>
      <c r="J85" s="23"/>
    </row>
    <row r="86" spans="1:10" x14ac:dyDescent="0.2">
      <c r="A86" s="28">
        <v>881</v>
      </c>
      <c r="B86" s="28" t="s">
        <v>236</v>
      </c>
      <c r="C86" s="29">
        <v>35071.31</v>
      </c>
      <c r="D86" s="30">
        <v>0</v>
      </c>
      <c r="E86" s="30">
        <v>0</v>
      </c>
      <c r="F86" s="28"/>
      <c r="G86" s="30">
        <v>82831.875</v>
      </c>
      <c r="H86" s="31">
        <f t="shared" si="3"/>
        <v>4141.59375</v>
      </c>
      <c r="I86" s="44">
        <f t="shared" si="4"/>
        <v>30929.716249999998</v>
      </c>
      <c r="J86" s="23"/>
    </row>
    <row r="87" spans="1:10" x14ac:dyDescent="0.2">
      <c r="A87" s="28">
        <v>883</v>
      </c>
      <c r="B87" s="28" t="s">
        <v>238</v>
      </c>
      <c r="C87" s="29">
        <v>0</v>
      </c>
      <c r="D87" s="30">
        <v>0</v>
      </c>
      <c r="E87" s="30">
        <v>0</v>
      </c>
      <c r="F87" s="28"/>
      <c r="G87" s="30">
        <v>299885.25</v>
      </c>
      <c r="H87" s="31">
        <f t="shared" si="3"/>
        <v>14994.262500000001</v>
      </c>
      <c r="I87" s="44">
        <f t="shared" si="4"/>
        <v>0</v>
      </c>
      <c r="J87" s="23"/>
    </row>
    <row r="88" spans="1:10" x14ac:dyDescent="0.2">
      <c r="A88" s="28">
        <v>912</v>
      </c>
      <c r="B88" s="28" t="s">
        <v>241</v>
      </c>
      <c r="C88" s="29">
        <v>12022.55</v>
      </c>
      <c r="D88" s="30">
        <v>0</v>
      </c>
      <c r="E88" s="30">
        <v>0</v>
      </c>
      <c r="F88" s="28"/>
      <c r="G88" s="30">
        <v>337326.15</v>
      </c>
      <c r="H88" s="31">
        <f t="shared" si="3"/>
        <v>16866.307500000003</v>
      </c>
      <c r="I88" s="44">
        <f t="shared" si="4"/>
        <v>0</v>
      </c>
      <c r="J88" s="23"/>
    </row>
    <row r="89" spans="1:10" x14ac:dyDescent="0.2">
      <c r="A89" s="28">
        <v>2071</v>
      </c>
      <c r="B89" s="28" t="s">
        <v>243</v>
      </c>
      <c r="C89" s="29">
        <v>3833.85</v>
      </c>
      <c r="D89" s="30">
        <v>0</v>
      </c>
      <c r="E89" s="30">
        <v>0</v>
      </c>
      <c r="F89" s="28"/>
      <c r="G89" s="30">
        <v>187976.25</v>
      </c>
      <c r="H89" s="31">
        <f t="shared" si="3"/>
        <v>9398.8125</v>
      </c>
      <c r="I89" s="44">
        <f t="shared" si="4"/>
        <v>0</v>
      </c>
      <c r="J89" s="23"/>
    </row>
    <row r="90" spans="1:10" x14ac:dyDescent="0.2">
      <c r="A90" s="28">
        <v>2134</v>
      </c>
      <c r="B90" s="28" t="s">
        <v>245</v>
      </c>
      <c r="C90" s="29">
        <v>584.65</v>
      </c>
      <c r="D90" s="30">
        <v>0</v>
      </c>
      <c r="E90" s="30">
        <v>0</v>
      </c>
      <c r="F90" s="28"/>
      <c r="G90" s="30">
        <v>178964.1</v>
      </c>
      <c r="H90" s="31">
        <f t="shared" si="3"/>
        <v>8948.2049999999999</v>
      </c>
      <c r="I90" s="44">
        <f t="shared" si="4"/>
        <v>0</v>
      </c>
      <c r="J90" s="23"/>
    </row>
    <row r="91" spans="1:10" x14ac:dyDescent="0.2">
      <c r="A91" s="28">
        <v>2137</v>
      </c>
      <c r="B91" s="28" t="s">
        <v>247</v>
      </c>
      <c r="C91" s="29">
        <v>16211.03</v>
      </c>
      <c r="D91" s="30">
        <v>0</v>
      </c>
      <c r="E91" s="30">
        <v>7307.8999999999942</v>
      </c>
      <c r="F91" s="28"/>
      <c r="G91" s="30">
        <v>90371.400000000009</v>
      </c>
      <c r="H91" s="31">
        <f t="shared" si="3"/>
        <v>4518.5700000000006</v>
      </c>
      <c r="I91" s="44">
        <f t="shared" si="4"/>
        <v>4384.5600000000059</v>
      </c>
      <c r="J91" s="23"/>
    </row>
    <row r="92" spans="1:10" x14ac:dyDescent="0.2">
      <c r="A92" s="28">
        <v>2149</v>
      </c>
      <c r="B92" s="28" t="s">
        <v>249</v>
      </c>
      <c r="C92" s="29">
        <v>2964.23</v>
      </c>
      <c r="D92" s="30">
        <v>0</v>
      </c>
      <c r="E92" s="30">
        <v>0</v>
      </c>
      <c r="F92" s="28"/>
      <c r="G92" s="30">
        <v>81126.150000000009</v>
      </c>
      <c r="H92" s="31">
        <f t="shared" si="3"/>
        <v>4056.3075000000008</v>
      </c>
      <c r="I92" s="44">
        <f t="shared" si="4"/>
        <v>0</v>
      </c>
      <c r="J92" s="23"/>
    </row>
    <row r="93" spans="1:10" x14ac:dyDescent="0.2">
      <c r="A93" s="28">
        <v>2154</v>
      </c>
      <c r="B93" s="28" t="s">
        <v>251</v>
      </c>
      <c r="C93" s="29">
        <v>12139.25</v>
      </c>
      <c r="D93" s="30">
        <v>0</v>
      </c>
      <c r="E93" s="30">
        <v>0</v>
      </c>
      <c r="F93" s="28"/>
      <c r="G93" s="30">
        <v>176694</v>
      </c>
      <c r="H93" s="31">
        <f t="shared" si="3"/>
        <v>8834.7000000000007</v>
      </c>
      <c r="I93" s="44">
        <f t="shared" si="4"/>
        <v>3304.5499999999993</v>
      </c>
      <c r="J93" s="23"/>
    </row>
    <row r="94" spans="1:10" x14ac:dyDescent="0.2">
      <c r="A94" s="28">
        <v>2164</v>
      </c>
      <c r="B94" s="28" t="s">
        <v>254</v>
      </c>
      <c r="C94" s="29">
        <v>99082.5</v>
      </c>
      <c r="D94" s="30">
        <v>0</v>
      </c>
      <c r="E94" s="30">
        <v>0</v>
      </c>
      <c r="F94" s="28"/>
      <c r="G94" s="30">
        <v>156255.75</v>
      </c>
      <c r="H94" s="31">
        <f t="shared" si="3"/>
        <v>7812.7875000000004</v>
      </c>
      <c r="I94" s="44">
        <f t="shared" si="4"/>
        <v>91269.712499999994</v>
      </c>
      <c r="J94" s="23"/>
    </row>
    <row r="95" spans="1:10" x14ac:dyDescent="0.2">
      <c r="A95" s="28">
        <v>2170</v>
      </c>
      <c r="B95" s="28" t="s">
        <v>259</v>
      </c>
      <c r="C95" s="29">
        <v>9735.83</v>
      </c>
      <c r="D95" s="30">
        <v>0</v>
      </c>
      <c r="E95" s="30">
        <v>0</v>
      </c>
      <c r="F95" s="28"/>
      <c r="G95" s="30">
        <v>144978.75</v>
      </c>
      <c r="H95" s="31">
        <f t="shared" si="3"/>
        <v>7248.9375</v>
      </c>
      <c r="I95" s="44">
        <f t="shared" si="4"/>
        <v>2486.8924999999999</v>
      </c>
      <c r="J95" s="23"/>
    </row>
    <row r="96" spans="1:10" x14ac:dyDescent="0.2">
      <c r="A96" s="28">
        <v>2190</v>
      </c>
      <c r="B96" s="28" t="s">
        <v>265</v>
      </c>
      <c r="C96" s="29">
        <v>10782.85</v>
      </c>
      <c r="D96" s="30">
        <v>0</v>
      </c>
      <c r="E96" s="30">
        <v>0</v>
      </c>
      <c r="F96" s="28"/>
      <c r="G96" s="30">
        <v>203589.75</v>
      </c>
      <c r="H96" s="31">
        <f t="shared" si="3"/>
        <v>10179.487500000001</v>
      </c>
      <c r="I96" s="44">
        <f t="shared" si="4"/>
        <v>603.36249999999927</v>
      </c>
      <c r="J96" s="23"/>
    </row>
    <row r="97" spans="1:10" x14ac:dyDescent="0.2">
      <c r="A97" s="28">
        <v>2198</v>
      </c>
      <c r="B97" s="28" t="s">
        <v>266</v>
      </c>
      <c r="C97" s="29">
        <v>8404.57</v>
      </c>
      <c r="D97" s="30">
        <v>0</v>
      </c>
      <c r="E97" s="30">
        <v>0</v>
      </c>
      <c r="F97" s="28"/>
      <c r="G97" s="30">
        <v>114726.15000000001</v>
      </c>
      <c r="H97" s="31">
        <f t="shared" si="3"/>
        <v>5736.3075000000008</v>
      </c>
      <c r="I97" s="44">
        <f t="shared" si="4"/>
        <v>2668.2624999999989</v>
      </c>
      <c r="J97" s="23"/>
    </row>
    <row r="98" spans="1:10" x14ac:dyDescent="0.2">
      <c r="A98" s="28">
        <v>2365</v>
      </c>
      <c r="B98" s="28" t="s">
        <v>272</v>
      </c>
      <c r="C98" s="29">
        <v>0</v>
      </c>
      <c r="D98" s="30">
        <v>0</v>
      </c>
      <c r="E98" s="30">
        <v>0</v>
      </c>
      <c r="F98" s="28"/>
      <c r="G98" s="30">
        <v>108701.25</v>
      </c>
      <c r="H98" s="31">
        <f t="shared" si="3"/>
        <v>5435.0625</v>
      </c>
      <c r="I98" s="44">
        <f t="shared" si="4"/>
        <v>0</v>
      </c>
      <c r="J98" s="23"/>
    </row>
    <row r="99" spans="1:10" x14ac:dyDescent="0.2">
      <c r="A99" s="28">
        <v>2711</v>
      </c>
      <c r="B99" s="28" t="s">
        <v>283</v>
      </c>
      <c r="C99" s="29">
        <v>108159.84</v>
      </c>
      <c r="D99" s="30">
        <v>0</v>
      </c>
      <c r="E99" s="30">
        <v>0</v>
      </c>
      <c r="F99" s="28"/>
      <c r="G99" s="30">
        <v>1319367</v>
      </c>
      <c r="H99" s="31">
        <f t="shared" si="3"/>
        <v>65968.350000000006</v>
      </c>
      <c r="I99" s="44">
        <f t="shared" si="4"/>
        <v>42191.489999999991</v>
      </c>
      <c r="J99" s="23"/>
    </row>
    <row r="100" spans="1:10" x14ac:dyDescent="0.2">
      <c r="A100" s="28">
        <v>2853</v>
      </c>
      <c r="B100" s="28" t="s">
        <v>290</v>
      </c>
      <c r="C100" s="29">
        <v>7253.89</v>
      </c>
      <c r="D100" s="30">
        <v>0</v>
      </c>
      <c r="E100" s="30">
        <v>0</v>
      </c>
      <c r="F100" s="28"/>
      <c r="G100" s="30">
        <v>181198.5</v>
      </c>
      <c r="H100" s="31">
        <f t="shared" si="3"/>
        <v>9059.9250000000011</v>
      </c>
      <c r="I100" s="44">
        <f t="shared" si="4"/>
        <v>0</v>
      </c>
      <c r="J100" s="23"/>
    </row>
    <row r="101" spans="1:10" x14ac:dyDescent="0.2">
      <c r="D101" s="10"/>
      <c r="E101" s="33"/>
      <c r="F101" s="8"/>
      <c r="G101" s="8"/>
    </row>
    <row r="102" spans="1:10" x14ac:dyDescent="0.2">
      <c r="D102" s="10"/>
      <c r="E102" s="33"/>
      <c r="F102" s="8"/>
      <c r="G102" s="8"/>
    </row>
    <row r="103" spans="1:10" x14ac:dyDescent="0.2">
      <c r="D103" s="10"/>
      <c r="E103" s="33"/>
      <c r="F103" s="8"/>
      <c r="G103" s="8"/>
    </row>
    <row r="104" spans="1:10" x14ac:dyDescent="0.2">
      <c r="D104" s="10"/>
      <c r="E104" s="33"/>
      <c r="F104" s="8"/>
      <c r="G104" s="8"/>
    </row>
    <row r="105" spans="1:10" x14ac:dyDescent="0.2">
      <c r="D105" s="10"/>
      <c r="E105" s="33"/>
      <c r="F105" s="8"/>
      <c r="G105" s="8"/>
    </row>
    <row r="106" spans="1:10" x14ac:dyDescent="0.2">
      <c r="D106" s="10"/>
      <c r="E106" s="33"/>
      <c r="F106" s="8"/>
      <c r="G106" s="8"/>
    </row>
    <row r="107" spans="1:10" x14ac:dyDescent="0.2">
      <c r="D107" s="10"/>
      <c r="E107" s="33"/>
      <c r="F107" s="8"/>
      <c r="G107" s="8"/>
    </row>
    <row r="108" spans="1:10" x14ac:dyDescent="0.2">
      <c r="D108" s="10"/>
      <c r="E108" s="33"/>
      <c r="F108" s="8"/>
      <c r="G108" s="8"/>
    </row>
    <row r="109" spans="1:10" x14ac:dyDescent="0.2">
      <c r="D109" s="10"/>
      <c r="E109" s="33"/>
      <c r="F109" s="8"/>
      <c r="G109" s="8"/>
    </row>
    <row r="110" spans="1:10" x14ac:dyDescent="0.2">
      <c r="D110" s="10"/>
      <c r="E110" s="33"/>
      <c r="F110" s="8"/>
      <c r="G110" s="8"/>
    </row>
    <row r="111" spans="1:10" x14ac:dyDescent="0.2">
      <c r="D111" s="10"/>
      <c r="E111" s="33"/>
      <c r="F111" s="8"/>
      <c r="G111" s="8"/>
    </row>
    <row r="112" spans="1:10" x14ac:dyDescent="0.2">
      <c r="D112" s="10"/>
      <c r="E112" s="33"/>
      <c r="F112" s="8"/>
      <c r="G112" s="8"/>
    </row>
    <row r="113" spans="1:7" x14ac:dyDescent="0.2">
      <c r="D113" s="10"/>
      <c r="E113" s="33"/>
      <c r="F113" s="8"/>
      <c r="G113" s="8"/>
    </row>
    <row r="114" spans="1:7" x14ac:dyDescent="0.2">
      <c r="D114" s="10"/>
      <c r="E114" s="33"/>
      <c r="F114" s="8"/>
      <c r="G114" s="8"/>
    </row>
    <row r="115" spans="1:7" x14ac:dyDescent="0.2">
      <c r="D115" s="10"/>
      <c r="E115" s="33"/>
      <c r="F115" s="8"/>
      <c r="G115" s="8"/>
    </row>
    <row r="116" spans="1:7" x14ac:dyDescent="0.2">
      <c r="A116" s="8"/>
      <c r="B116" s="8"/>
      <c r="D116" s="10"/>
      <c r="E116" s="33"/>
      <c r="F116" s="8"/>
      <c r="G116" s="8"/>
    </row>
    <row r="117" spans="1:7" x14ac:dyDescent="0.2">
      <c r="A117" s="8"/>
      <c r="B117" s="8"/>
      <c r="D117" s="10"/>
      <c r="E117" s="33"/>
      <c r="F117" s="8"/>
      <c r="G117" s="8"/>
    </row>
    <row r="118" spans="1:7" x14ac:dyDescent="0.2">
      <c r="A118" s="8"/>
      <c r="B118" s="8"/>
      <c r="D118" s="10"/>
      <c r="E118" s="33"/>
      <c r="F118" s="8"/>
      <c r="G118" s="8"/>
    </row>
    <row r="119" spans="1:7" x14ac:dyDescent="0.2">
      <c r="A119" s="8"/>
      <c r="B119" s="8"/>
      <c r="D119" s="10"/>
      <c r="E119" s="33"/>
      <c r="F119" s="8"/>
      <c r="G119" s="8"/>
    </row>
    <row r="120" spans="1:7" x14ac:dyDescent="0.2">
      <c r="A120" s="8"/>
      <c r="B120" s="8"/>
      <c r="D120" s="10"/>
      <c r="E120" s="33"/>
      <c r="F120" s="8"/>
      <c r="G120" s="8"/>
    </row>
    <row r="121" spans="1:7" x14ac:dyDescent="0.2">
      <c r="A121" s="8"/>
      <c r="B121" s="8"/>
      <c r="D121" s="10"/>
      <c r="E121" s="33"/>
      <c r="F121" s="8"/>
      <c r="G121" s="8"/>
    </row>
    <row r="122" spans="1:7" x14ac:dyDescent="0.2">
      <c r="A122" s="8"/>
      <c r="B122" s="8"/>
      <c r="D122" s="10"/>
      <c r="E122" s="33"/>
      <c r="F122" s="8"/>
      <c r="G122" s="8"/>
    </row>
    <row r="123" spans="1:7" x14ac:dyDescent="0.2">
      <c r="A123" s="8"/>
      <c r="B123" s="8"/>
      <c r="D123" s="10"/>
      <c r="E123" s="33"/>
      <c r="F123" s="8"/>
      <c r="G123" s="8"/>
    </row>
    <row r="124" spans="1:7" x14ac:dyDescent="0.2">
      <c r="A124" s="8"/>
      <c r="B124" s="8"/>
      <c r="D124" s="10"/>
      <c r="E124" s="33"/>
      <c r="F124" s="8"/>
      <c r="G124" s="8"/>
    </row>
    <row r="125" spans="1:7" x14ac:dyDescent="0.2">
      <c r="A125" s="8"/>
      <c r="B125" s="8"/>
      <c r="D125" s="10"/>
      <c r="E125" s="33"/>
      <c r="F125" s="8"/>
      <c r="G125" s="8"/>
    </row>
    <row r="126" spans="1:7" x14ac:dyDescent="0.2">
      <c r="A126" s="8"/>
      <c r="B126" s="8"/>
      <c r="D126" s="10"/>
      <c r="E126" s="33"/>
      <c r="F126" s="8"/>
      <c r="G126" s="8"/>
    </row>
    <row r="127" spans="1:7" x14ac:dyDescent="0.2">
      <c r="A127" s="8"/>
      <c r="B127" s="8"/>
      <c r="D127" s="10"/>
      <c r="E127" s="33"/>
      <c r="F127" s="8"/>
      <c r="G127" s="8"/>
    </row>
    <row r="128" spans="1:7" x14ac:dyDescent="0.2">
      <c r="A128" s="8"/>
      <c r="B128" s="8"/>
      <c r="D128" s="10"/>
      <c r="E128" s="33"/>
      <c r="F128" s="8"/>
      <c r="G128" s="8"/>
    </row>
    <row r="129" spans="1:7" x14ac:dyDescent="0.2">
      <c r="A129" s="8"/>
      <c r="B129" s="8"/>
      <c r="D129" s="10"/>
      <c r="E129" s="33"/>
      <c r="F129" s="8"/>
      <c r="G129" s="8"/>
    </row>
    <row r="130" spans="1:7" x14ac:dyDescent="0.2">
      <c r="A130" s="8"/>
      <c r="B130" s="8"/>
      <c r="D130" s="10"/>
      <c r="E130" s="33"/>
      <c r="F130" s="8"/>
      <c r="G130" s="8"/>
    </row>
    <row r="131" spans="1:7" x14ac:dyDescent="0.2">
      <c r="A131" s="8"/>
      <c r="B131" s="8"/>
      <c r="E131" s="33"/>
      <c r="F131" s="8"/>
      <c r="G131" s="8"/>
    </row>
    <row r="132" spans="1:7" x14ac:dyDescent="0.2">
      <c r="A132" s="8"/>
      <c r="B132" s="8"/>
      <c r="E132" s="33"/>
      <c r="F132" s="8"/>
      <c r="G132" s="8"/>
    </row>
    <row r="133" spans="1:7" x14ac:dyDescent="0.2">
      <c r="A133" s="8"/>
      <c r="B133" s="8"/>
      <c r="E133" s="33"/>
      <c r="F133" s="8"/>
      <c r="G133" s="8"/>
    </row>
    <row r="134" spans="1:7" x14ac:dyDescent="0.2">
      <c r="E134" s="33"/>
      <c r="F134" s="8"/>
      <c r="G134" s="8"/>
    </row>
    <row r="135" spans="1:7" x14ac:dyDescent="0.2">
      <c r="E135" s="33"/>
      <c r="F135" s="8"/>
      <c r="G135" s="8"/>
    </row>
    <row r="136" spans="1:7" x14ac:dyDescent="0.2">
      <c r="E136" s="33"/>
      <c r="F136" s="8"/>
      <c r="G136" s="8"/>
    </row>
    <row r="137" spans="1:7" x14ac:dyDescent="0.2">
      <c r="E137" s="33"/>
      <c r="F137" s="8"/>
      <c r="G137" s="8"/>
    </row>
    <row r="138" spans="1:7" x14ac:dyDescent="0.2">
      <c r="E138" s="33"/>
      <c r="F138" s="8"/>
      <c r="G138" s="3"/>
    </row>
    <row r="139" spans="1:7" x14ac:dyDescent="0.2">
      <c r="E139" s="33"/>
      <c r="F139" s="8"/>
      <c r="G139" s="3"/>
    </row>
    <row r="140" spans="1:7" x14ac:dyDescent="0.2">
      <c r="E140" s="33"/>
      <c r="F140" s="8"/>
      <c r="G140" s="8"/>
    </row>
    <row r="141" spans="1:7" x14ac:dyDescent="0.2">
      <c r="E141" s="33"/>
      <c r="F141" s="8"/>
      <c r="G141" s="8"/>
    </row>
    <row r="142" spans="1:7" x14ac:dyDescent="0.2">
      <c r="E142" s="33"/>
      <c r="F142" s="8"/>
      <c r="G142" s="8"/>
    </row>
    <row r="143" spans="1:7" x14ac:dyDescent="0.2">
      <c r="E143" s="33"/>
      <c r="F143" s="8"/>
      <c r="G143" s="8"/>
    </row>
    <row r="144" spans="1:7" x14ac:dyDescent="0.2">
      <c r="E144" s="33"/>
      <c r="F144" s="8"/>
      <c r="G144" s="8"/>
    </row>
    <row r="145" spans="5:7" x14ac:dyDescent="0.2">
      <c r="E145" s="33"/>
      <c r="F145" s="8"/>
      <c r="G145" s="8"/>
    </row>
    <row r="146" spans="5:7" x14ac:dyDescent="0.2">
      <c r="E146" s="33"/>
      <c r="F146" s="8"/>
      <c r="G146" s="8"/>
    </row>
    <row r="147" spans="5:7" x14ac:dyDescent="0.2">
      <c r="E147" s="33"/>
      <c r="F147" s="8"/>
      <c r="G147" s="8"/>
    </row>
    <row r="148" spans="5:7" x14ac:dyDescent="0.2">
      <c r="E148" s="33"/>
      <c r="F148" s="8"/>
      <c r="G148" s="8"/>
    </row>
    <row r="149" spans="5:7" x14ac:dyDescent="0.2">
      <c r="E149" s="33"/>
      <c r="F149" s="8"/>
      <c r="G149" s="8"/>
    </row>
    <row r="150" spans="5:7" x14ac:dyDescent="0.2">
      <c r="E150" s="33"/>
      <c r="F150" s="8"/>
      <c r="G150" s="8"/>
    </row>
    <row r="151" spans="5:7" x14ac:dyDescent="0.2">
      <c r="E151" s="33"/>
      <c r="F151" s="8"/>
      <c r="G151" s="8"/>
    </row>
    <row r="152" spans="5:7" x14ac:dyDescent="0.2">
      <c r="E152" s="33"/>
      <c r="F152" s="8"/>
      <c r="G152" s="8"/>
    </row>
    <row r="153" spans="5:7" x14ac:dyDescent="0.2">
      <c r="E153" s="33"/>
      <c r="F153" s="8"/>
      <c r="G153" s="8"/>
    </row>
    <row r="154" spans="5:7" x14ac:dyDescent="0.2">
      <c r="E154" s="33"/>
      <c r="F154" s="8"/>
      <c r="G154" s="8"/>
    </row>
    <row r="155" spans="5:7" x14ac:dyDescent="0.2">
      <c r="E155" s="33"/>
      <c r="F155" s="8"/>
      <c r="G155" s="8"/>
    </row>
    <row r="156" spans="5:7" x14ac:dyDescent="0.2">
      <c r="E156" s="33"/>
      <c r="F156" s="8"/>
      <c r="G156" s="8"/>
    </row>
    <row r="157" spans="5:7" x14ac:dyDescent="0.2">
      <c r="E157" s="33"/>
      <c r="F157" s="8"/>
      <c r="G157" s="8"/>
    </row>
    <row r="158" spans="5:7" x14ac:dyDescent="0.2">
      <c r="E158" s="33"/>
      <c r="F158" s="8"/>
      <c r="G158" s="8"/>
    </row>
    <row r="159" spans="5:7" x14ac:dyDescent="0.2">
      <c r="E159" s="33"/>
      <c r="F159" s="8"/>
      <c r="G159" s="8"/>
    </row>
    <row r="160" spans="5:7" x14ac:dyDescent="0.2">
      <c r="E160" s="10"/>
      <c r="F160" s="8"/>
      <c r="G160" s="8"/>
    </row>
    <row r="161" spans="5:7" x14ac:dyDescent="0.2">
      <c r="E161" s="10"/>
      <c r="F161" s="8"/>
      <c r="G161" s="8"/>
    </row>
    <row r="162" spans="5:7" x14ac:dyDescent="0.2">
      <c r="E162" s="10"/>
      <c r="F162" s="8"/>
      <c r="G162" s="8"/>
    </row>
    <row r="163" spans="5:7" x14ac:dyDescent="0.2">
      <c r="E163" s="10"/>
      <c r="F163" s="8"/>
      <c r="G163" s="8"/>
    </row>
    <row r="164" spans="5:7" x14ac:dyDescent="0.2">
      <c r="E164" s="10"/>
      <c r="F164" s="8"/>
      <c r="G164" s="8"/>
    </row>
    <row r="165" spans="5:7" x14ac:dyDescent="0.2">
      <c r="E165" s="10"/>
      <c r="F165" s="8"/>
      <c r="G165" s="8"/>
    </row>
    <row r="166" spans="5:7" x14ac:dyDescent="0.2">
      <c r="E166" s="10"/>
      <c r="F166" s="8"/>
      <c r="G166" s="8"/>
    </row>
    <row r="167" spans="5:7" x14ac:dyDescent="0.2">
      <c r="E167" s="10"/>
      <c r="F167" s="8"/>
      <c r="G167" s="8"/>
    </row>
    <row r="168" spans="5:7" x14ac:dyDescent="0.2">
      <c r="E168" s="10"/>
      <c r="F168" s="8"/>
      <c r="G168" s="8"/>
    </row>
    <row r="169" spans="5:7" x14ac:dyDescent="0.2">
      <c r="E169" s="10"/>
      <c r="F169" s="8"/>
      <c r="G169" s="8"/>
    </row>
    <row r="170" spans="5:7" x14ac:dyDescent="0.2">
      <c r="E170" s="10"/>
      <c r="F170" s="8"/>
      <c r="G170" s="8"/>
    </row>
    <row r="171" spans="5:7" x14ac:dyDescent="0.2">
      <c r="E171" s="10"/>
      <c r="F171" s="8"/>
      <c r="G171" s="8"/>
    </row>
    <row r="172" spans="5:7" x14ac:dyDescent="0.2">
      <c r="E172" s="10"/>
      <c r="F172" s="8"/>
      <c r="G172" s="8"/>
    </row>
    <row r="173" spans="5:7" x14ac:dyDescent="0.2">
      <c r="E173" s="10"/>
      <c r="F173" s="8"/>
      <c r="G173" s="8"/>
    </row>
    <row r="174" spans="5:7" x14ac:dyDescent="0.2">
      <c r="E174" s="10"/>
      <c r="F174" s="8"/>
      <c r="G174" s="8"/>
    </row>
    <row r="175" spans="5:7" x14ac:dyDescent="0.2">
      <c r="E175" s="10"/>
      <c r="F175" s="8"/>
      <c r="G175" s="8"/>
    </row>
    <row r="176" spans="5:7" x14ac:dyDescent="0.2">
      <c r="E176" s="10"/>
      <c r="F176" s="8"/>
      <c r="G176" s="8"/>
    </row>
    <row r="177" spans="5:7" x14ac:dyDescent="0.2">
      <c r="E177" s="10"/>
      <c r="F177" s="8"/>
      <c r="G177" s="8"/>
    </row>
    <row r="178" spans="5:7" x14ac:dyDescent="0.2">
      <c r="E178" s="10"/>
      <c r="F178" s="8"/>
      <c r="G178" s="8"/>
    </row>
    <row r="179" spans="5:7" x14ac:dyDescent="0.2">
      <c r="E179" s="10"/>
      <c r="F179" s="8"/>
      <c r="G179" s="8"/>
    </row>
    <row r="180" spans="5:7" x14ac:dyDescent="0.2">
      <c r="E180" s="10"/>
      <c r="F180" s="8"/>
      <c r="G180" s="8"/>
    </row>
    <row r="181" spans="5:7" x14ac:dyDescent="0.2">
      <c r="E181" s="10"/>
      <c r="F181" s="8"/>
      <c r="G181" s="8"/>
    </row>
    <row r="182" spans="5:7" x14ac:dyDescent="0.2">
      <c r="E182" s="10"/>
      <c r="F182" s="8"/>
      <c r="G182" s="8"/>
    </row>
    <row r="183" spans="5:7" x14ac:dyDescent="0.2">
      <c r="E183" s="10"/>
      <c r="F183" s="8"/>
      <c r="G183" s="8"/>
    </row>
    <row r="184" spans="5:7" x14ac:dyDescent="0.2">
      <c r="E184" s="10"/>
      <c r="F184" s="8"/>
      <c r="G184" s="8"/>
    </row>
    <row r="185" spans="5:7" x14ac:dyDescent="0.2">
      <c r="E185" s="10"/>
      <c r="F185" s="8"/>
      <c r="G185" s="8"/>
    </row>
    <row r="186" spans="5:7" x14ac:dyDescent="0.2">
      <c r="E186" s="10"/>
      <c r="F186" s="8"/>
      <c r="G186" s="8"/>
    </row>
    <row r="187" spans="5:7" x14ac:dyDescent="0.2">
      <c r="E187" s="10"/>
      <c r="F187" s="8"/>
      <c r="G187" s="8"/>
    </row>
    <row r="188" spans="5:7" x14ac:dyDescent="0.2">
      <c r="E188" s="10"/>
      <c r="F188" s="8"/>
      <c r="G188" s="8"/>
    </row>
    <row r="189" spans="5:7" x14ac:dyDescent="0.2">
      <c r="E189" s="10"/>
      <c r="F189" s="8"/>
      <c r="G189" s="8"/>
    </row>
    <row r="190" spans="5:7" x14ac:dyDescent="0.2">
      <c r="F190" s="8"/>
      <c r="G190" s="8"/>
    </row>
    <row r="191" spans="5:7" x14ac:dyDescent="0.2">
      <c r="F191" s="8"/>
      <c r="G191" s="8"/>
    </row>
    <row r="192" spans="5:7" x14ac:dyDescent="0.2">
      <c r="F192" s="8"/>
      <c r="G192" s="8"/>
    </row>
    <row r="193" spans="6:7" x14ac:dyDescent="0.2">
      <c r="F193" s="8"/>
      <c r="G193" s="8"/>
    </row>
    <row r="194" spans="6:7" x14ac:dyDescent="0.2">
      <c r="F194" s="8"/>
      <c r="G194" s="8"/>
    </row>
    <row r="195" spans="6:7" x14ac:dyDescent="0.2">
      <c r="F195" s="8"/>
      <c r="G195" s="8"/>
    </row>
    <row r="196" spans="6:7" x14ac:dyDescent="0.2">
      <c r="F196" s="8"/>
      <c r="G196" s="8"/>
    </row>
    <row r="197" spans="6:7" x14ac:dyDescent="0.2">
      <c r="F197" s="8"/>
      <c r="G197" s="8"/>
    </row>
    <row r="198" spans="6:7" x14ac:dyDescent="0.2">
      <c r="F198" s="8"/>
      <c r="G198" s="8"/>
    </row>
    <row r="199" spans="6:7" x14ac:dyDescent="0.2">
      <c r="F199" s="8"/>
      <c r="G199" s="8"/>
    </row>
    <row r="200" spans="6:7" x14ac:dyDescent="0.2">
      <c r="F200" s="8"/>
      <c r="G200" s="8"/>
    </row>
    <row r="201" spans="6:7" x14ac:dyDescent="0.2">
      <c r="F201" s="8"/>
      <c r="G201" s="8"/>
    </row>
    <row r="202" spans="6:7" x14ac:dyDescent="0.2">
      <c r="F202" s="8"/>
      <c r="G202" s="8"/>
    </row>
    <row r="203" spans="6:7" x14ac:dyDescent="0.2">
      <c r="F203" s="8"/>
      <c r="G203" s="8"/>
    </row>
    <row r="204" spans="6:7" x14ac:dyDescent="0.2">
      <c r="F204" s="8"/>
      <c r="G204" s="8"/>
    </row>
    <row r="205" spans="6:7" x14ac:dyDescent="0.2">
      <c r="F205" s="8"/>
      <c r="G205" s="8"/>
    </row>
    <row r="206" spans="6:7" x14ac:dyDescent="0.2">
      <c r="F206" s="8"/>
      <c r="G206" s="8"/>
    </row>
    <row r="207" spans="6:7" x14ac:dyDescent="0.2">
      <c r="F207" s="8"/>
      <c r="G207" s="8"/>
    </row>
    <row r="208" spans="6:7" x14ac:dyDescent="0.2">
      <c r="F208" s="8"/>
      <c r="G208" s="8"/>
    </row>
    <row r="209" spans="6:7" x14ac:dyDescent="0.2">
      <c r="F209" s="8"/>
      <c r="G209" s="8"/>
    </row>
    <row r="210" spans="6:7" x14ac:dyDescent="0.2">
      <c r="F210" s="8"/>
      <c r="G210" s="8"/>
    </row>
    <row r="211" spans="6:7" x14ac:dyDescent="0.2">
      <c r="F211" s="8"/>
      <c r="G211" s="8"/>
    </row>
    <row r="212" spans="6:7" x14ac:dyDescent="0.2">
      <c r="F212" s="8"/>
      <c r="G212" s="8"/>
    </row>
    <row r="213" spans="6:7" x14ac:dyDescent="0.2">
      <c r="F213" s="8"/>
      <c r="G213" s="8"/>
    </row>
    <row r="214" spans="6:7" x14ac:dyDescent="0.2">
      <c r="F214" s="8"/>
      <c r="G214" s="8"/>
    </row>
    <row r="215" spans="6:7" x14ac:dyDescent="0.2">
      <c r="F215" s="8"/>
      <c r="G215" s="8"/>
    </row>
    <row r="216" spans="6:7" x14ac:dyDescent="0.2">
      <c r="F216" s="8"/>
      <c r="G216" s="8"/>
    </row>
    <row r="217" spans="6:7" x14ac:dyDescent="0.2">
      <c r="F217" s="8"/>
      <c r="G217" s="8"/>
    </row>
    <row r="218" spans="6:7" x14ac:dyDescent="0.2">
      <c r="F218" s="8"/>
      <c r="G218" s="8"/>
    </row>
    <row r="219" spans="6:7" x14ac:dyDescent="0.2">
      <c r="F219" s="8"/>
      <c r="G219" s="8"/>
    </row>
    <row r="220" spans="6:7" x14ac:dyDescent="0.2">
      <c r="F220" s="8"/>
      <c r="G220" s="8"/>
    </row>
    <row r="221" spans="6:7" x14ac:dyDescent="0.2">
      <c r="F221" s="8"/>
      <c r="G221" s="8"/>
    </row>
    <row r="222" spans="6:7" x14ac:dyDescent="0.2">
      <c r="F222" s="8"/>
      <c r="G222" s="8"/>
    </row>
    <row r="223" spans="6:7" x14ac:dyDescent="0.2">
      <c r="F223" s="8"/>
      <c r="G223" s="8"/>
    </row>
    <row r="224" spans="6:7" x14ac:dyDescent="0.2">
      <c r="F224" s="8"/>
      <c r="G224" s="8"/>
    </row>
    <row r="225" spans="6:7" x14ac:dyDescent="0.2">
      <c r="F225" s="8"/>
      <c r="G225" s="8"/>
    </row>
    <row r="226" spans="6:7" x14ac:dyDescent="0.2">
      <c r="F226" s="8"/>
      <c r="G226" s="8"/>
    </row>
    <row r="227" spans="6:7" x14ac:dyDescent="0.2">
      <c r="F227" s="8"/>
      <c r="G227" s="8"/>
    </row>
    <row r="228" spans="6:7" x14ac:dyDescent="0.2">
      <c r="F228" s="8"/>
      <c r="G228" s="8"/>
    </row>
    <row r="229" spans="6:7" x14ac:dyDescent="0.2">
      <c r="F229" s="8"/>
      <c r="G229" s="8"/>
    </row>
    <row r="230" spans="6:7" x14ac:dyDescent="0.2">
      <c r="F230" s="8"/>
      <c r="G230" s="8"/>
    </row>
    <row r="231" spans="6:7" x14ac:dyDescent="0.2">
      <c r="F231" s="8"/>
      <c r="G231" s="8"/>
    </row>
    <row r="232" spans="6:7" x14ac:dyDescent="0.2">
      <c r="F232" s="8"/>
      <c r="G232" s="8"/>
    </row>
    <row r="233" spans="6:7" x14ac:dyDescent="0.2">
      <c r="F233" s="8"/>
      <c r="G233" s="8"/>
    </row>
    <row r="234" spans="6:7" x14ac:dyDescent="0.2">
      <c r="F234" s="8"/>
      <c r="G234" s="8"/>
    </row>
    <row r="235" spans="6:7" x14ac:dyDescent="0.2">
      <c r="F235" s="8"/>
      <c r="G235" s="8"/>
    </row>
    <row r="236" spans="6:7" x14ac:dyDescent="0.2">
      <c r="F236" s="8"/>
      <c r="G236" s="8"/>
    </row>
    <row r="237" spans="6:7" x14ac:dyDescent="0.2">
      <c r="F237" s="8"/>
      <c r="G237" s="8"/>
    </row>
    <row r="238" spans="6:7" x14ac:dyDescent="0.2">
      <c r="F238" s="8"/>
      <c r="G238" s="8"/>
    </row>
    <row r="239" spans="6:7" x14ac:dyDescent="0.2">
      <c r="F239" s="8"/>
      <c r="G239" s="8"/>
    </row>
    <row r="240" spans="6:7" x14ac:dyDescent="0.2">
      <c r="F240" s="8"/>
      <c r="G240" s="8"/>
    </row>
    <row r="241" spans="6:7" x14ac:dyDescent="0.2">
      <c r="F241" s="8"/>
      <c r="G241" s="8"/>
    </row>
    <row r="242" spans="6:7" x14ac:dyDescent="0.2">
      <c r="F242" s="8"/>
      <c r="G242" s="8"/>
    </row>
    <row r="243" spans="6:7" x14ac:dyDescent="0.2">
      <c r="F243" s="8"/>
      <c r="G243" s="8"/>
    </row>
    <row r="244" spans="6:7" x14ac:dyDescent="0.2">
      <c r="F244" s="8"/>
      <c r="G244" s="8"/>
    </row>
    <row r="245" spans="6:7" x14ac:dyDescent="0.2">
      <c r="F245" s="8"/>
      <c r="G245" s="8"/>
    </row>
    <row r="246" spans="6:7" x14ac:dyDescent="0.2">
      <c r="F246" s="8"/>
      <c r="G246" s="8"/>
    </row>
    <row r="247" spans="6:7" x14ac:dyDescent="0.2">
      <c r="F247" s="8"/>
      <c r="G247" s="8"/>
    </row>
    <row r="248" spans="6:7" x14ac:dyDescent="0.2">
      <c r="F248" s="8"/>
      <c r="G248" s="8"/>
    </row>
    <row r="249" spans="6:7" x14ac:dyDescent="0.2">
      <c r="F249" s="8"/>
      <c r="G249" s="8"/>
    </row>
    <row r="250" spans="6:7" x14ac:dyDescent="0.2">
      <c r="F250" s="8"/>
      <c r="G250" s="8"/>
    </row>
    <row r="251" spans="6:7" x14ac:dyDescent="0.2">
      <c r="F251" s="8"/>
      <c r="G251" s="8"/>
    </row>
    <row r="252" spans="6:7" x14ac:dyDescent="0.2">
      <c r="F252" s="8"/>
      <c r="G252" s="8"/>
    </row>
    <row r="253" spans="6:7" x14ac:dyDescent="0.2">
      <c r="F253" s="8"/>
      <c r="G253" s="8"/>
    </row>
    <row r="254" spans="6:7" x14ac:dyDescent="0.2">
      <c r="F254" s="8"/>
      <c r="G254" s="8"/>
    </row>
    <row r="255" spans="6:7" x14ac:dyDescent="0.2">
      <c r="F255" s="8"/>
      <c r="G255" s="8"/>
    </row>
    <row r="256" spans="6:7" x14ac:dyDescent="0.2">
      <c r="F256" s="8"/>
      <c r="G256" s="8"/>
    </row>
    <row r="257" spans="6:7" x14ac:dyDescent="0.2">
      <c r="F257" s="8"/>
      <c r="G257" s="8"/>
    </row>
    <row r="258" spans="6:7" x14ac:dyDescent="0.2">
      <c r="F258" s="8"/>
      <c r="G258" s="8"/>
    </row>
    <row r="259" spans="6:7" x14ac:dyDescent="0.2">
      <c r="F259" s="8"/>
      <c r="G259" s="8"/>
    </row>
    <row r="260" spans="6:7" x14ac:dyDescent="0.2">
      <c r="F260" s="8"/>
      <c r="G260" s="8"/>
    </row>
    <row r="261" spans="6:7" x14ac:dyDescent="0.2">
      <c r="F261" s="8"/>
      <c r="G261" s="8"/>
    </row>
    <row r="262" spans="6:7" x14ac:dyDescent="0.2">
      <c r="F262" s="8"/>
      <c r="G262" s="8"/>
    </row>
    <row r="263" spans="6:7" x14ac:dyDescent="0.2">
      <c r="F263" s="8"/>
      <c r="G263" s="8"/>
    </row>
    <row r="264" spans="6:7" x14ac:dyDescent="0.2">
      <c r="F264" s="8"/>
      <c r="G264" s="8"/>
    </row>
    <row r="265" spans="6:7" x14ac:dyDescent="0.2">
      <c r="F265" s="8"/>
      <c r="G265" s="8"/>
    </row>
    <row r="266" spans="6:7" x14ac:dyDescent="0.2">
      <c r="F266" s="8"/>
      <c r="G266" s="8"/>
    </row>
    <row r="267" spans="6:7" x14ac:dyDescent="0.2">
      <c r="F267" s="8"/>
      <c r="G267" s="8"/>
    </row>
    <row r="268" spans="6:7" x14ac:dyDescent="0.2">
      <c r="F268" s="8"/>
      <c r="G268" s="8"/>
    </row>
    <row r="269" spans="6:7" x14ac:dyDescent="0.2">
      <c r="F269" s="8"/>
      <c r="G269" s="8"/>
    </row>
    <row r="270" spans="6:7" x14ac:dyDescent="0.2">
      <c r="F270" s="8"/>
      <c r="G270" s="8"/>
    </row>
    <row r="271" spans="6:7" x14ac:dyDescent="0.2">
      <c r="F271" s="8"/>
      <c r="G271" s="8"/>
    </row>
    <row r="272" spans="6:7" x14ac:dyDescent="0.2">
      <c r="F272" s="8"/>
      <c r="G272" s="8"/>
    </row>
    <row r="273" spans="6:7" x14ac:dyDescent="0.2">
      <c r="F273" s="8"/>
      <c r="G273" s="8"/>
    </row>
    <row r="274" spans="6:7" x14ac:dyDescent="0.2">
      <c r="F274" s="8"/>
    </row>
    <row r="275" spans="6:7" x14ac:dyDescent="0.2">
      <c r="F275" s="8"/>
    </row>
    <row r="276" spans="6:7" x14ac:dyDescent="0.2">
      <c r="F276" s="8"/>
    </row>
    <row r="277" spans="6:7" x14ac:dyDescent="0.2">
      <c r="F277" s="8"/>
    </row>
    <row r="278" spans="6:7" x14ac:dyDescent="0.2">
      <c r="F278" s="8"/>
    </row>
    <row r="279" spans="6:7" x14ac:dyDescent="0.2">
      <c r="F279" s="8"/>
    </row>
    <row r="280" spans="6:7" x14ac:dyDescent="0.2">
      <c r="F280" s="8"/>
    </row>
    <row r="281" spans="6:7" x14ac:dyDescent="0.2">
      <c r="F281" s="8"/>
    </row>
    <row r="282" spans="6:7" x14ac:dyDescent="0.2">
      <c r="F282" s="8"/>
    </row>
    <row r="283" spans="6:7" x14ac:dyDescent="0.2">
      <c r="F283" s="8"/>
    </row>
    <row r="284" spans="6:7" x14ac:dyDescent="0.2">
      <c r="F284" s="8"/>
    </row>
    <row r="285" spans="6:7" x14ac:dyDescent="0.2">
      <c r="F285" s="8"/>
    </row>
    <row r="286" spans="6:7" x14ac:dyDescent="0.2">
      <c r="F286" s="8"/>
    </row>
    <row r="287" spans="6:7" x14ac:dyDescent="0.2">
      <c r="F287" s="8"/>
    </row>
    <row r="288" spans="6:7" x14ac:dyDescent="0.2">
      <c r="F288" s="8"/>
    </row>
    <row r="289" spans="6:6" x14ac:dyDescent="0.2">
      <c r="F289" s="8"/>
    </row>
    <row r="290" spans="6:6" x14ac:dyDescent="0.2">
      <c r="F290" s="8"/>
    </row>
    <row r="291" spans="6:6" x14ac:dyDescent="0.2">
      <c r="F291" s="8"/>
    </row>
    <row r="292" spans="6:6" x14ac:dyDescent="0.2">
      <c r="F292" s="8"/>
    </row>
    <row r="293" spans="6:6" x14ac:dyDescent="0.2">
      <c r="F293" s="8"/>
    </row>
    <row r="294" spans="6:6" x14ac:dyDescent="0.2">
      <c r="F294" s="8"/>
    </row>
    <row r="295" spans="6:6" x14ac:dyDescent="0.2">
      <c r="F295" s="8"/>
    </row>
    <row r="296" spans="6:6" x14ac:dyDescent="0.2">
      <c r="F296" s="8"/>
    </row>
    <row r="297" spans="6:6" x14ac:dyDescent="0.2">
      <c r="F297" s="8"/>
    </row>
    <row r="298" spans="6:6" x14ac:dyDescent="0.2">
      <c r="F298" s="8"/>
    </row>
    <row r="299" spans="6:6" x14ac:dyDescent="0.2">
      <c r="F299" s="8"/>
    </row>
    <row r="300" spans="6:6" x14ac:dyDescent="0.2">
      <c r="F300" s="8"/>
    </row>
    <row r="301" spans="6:6" x14ac:dyDescent="0.2">
      <c r="F301" s="8"/>
    </row>
    <row r="302" spans="6:6" x14ac:dyDescent="0.2">
      <c r="F302" s="8"/>
    </row>
    <row r="303" spans="6:6" x14ac:dyDescent="0.2">
      <c r="F303" s="8"/>
    </row>
    <row r="304" spans="6:6" x14ac:dyDescent="0.2">
      <c r="F304" s="8"/>
    </row>
    <row r="305" spans="6:6" x14ac:dyDescent="0.2">
      <c r="F305" s="8"/>
    </row>
    <row r="306" spans="6:6" x14ac:dyDescent="0.2">
      <c r="F306" s="8"/>
    </row>
    <row r="307" spans="6:6" x14ac:dyDescent="0.2">
      <c r="F307" s="8"/>
    </row>
    <row r="308" spans="6:6" x14ac:dyDescent="0.2">
      <c r="F308" s="8"/>
    </row>
    <row r="309" spans="6:6" x14ac:dyDescent="0.2">
      <c r="F309" s="8"/>
    </row>
    <row r="310" spans="6:6" x14ac:dyDescent="0.2">
      <c r="F310" s="8"/>
    </row>
    <row r="311" spans="6:6" x14ac:dyDescent="0.2">
      <c r="F311" s="8"/>
    </row>
    <row r="312" spans="6:6" x14ac:dyDescent="0.2">
      <c r="F312" s="8"/>
    </row>
  </sheetData>
  <phoneticPr fontId="2" type="noConversion"/>
  <printOptions gridLines="1"/>
  <pageMargins left="0.35" right="0.25" top="1" bottom="1" header="0.5" footer="0.5"/>
  <pageSetup orientation="portrait" r:id="rId1"/>
  <headerFooter alignWithMargins="0"/>
  <ignoredErrors>
    <ignoredError sqref="C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7 Excess Balance </vt:lpstr>
      <vt:lpstr>Fund 47 Excess Balance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ChrisK</dc:creator>
  <cp:lastModifiedBy>Kostelecky, Teri</cp:lastModifiedBy>
  <cp:lastPrinted>2012-06-19T14:38:12Z</cp:lastPrinted>
  <dcterms:created xsi:type="dcterms:W3CDTF">2011-06-21T20:22:06Z</dcterms:created>
  <dcterms:modified xsi:type="dcterms:W3CDTF">2012-08-02T18:12:50Z</dcterms:modified>
</cp:coreProperties>
</file>