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bookViews>
    <workbookView xWindow="10230" yWindow="105" windowWidth="10275" windowHeight="8040"/>
  </bookViews>
  <sheets>
    <sheet name="Anweisungen" sheetId="3" r:id="rId1"/>
    <sheet name="4-Wochen-Plan" sheetId="1" r:id="rId2"/>
  </sheets>
  <definedNames>
    <definedName name="_xlnm.Print_Area" localSheetId="1">'4-Wochen-Plan'!$A$1:$K$106</definedName>
    <definedName name="_xlnm.Print_Area" localSheetId="0">Anweisungen!$B$2:$G$31</definedName>
    <definedName name="_xlnm.Print_Titles" localSheetId="1">'4-Wochen-Plan'!$38:$38</definedName>
  </definedNames>
  <calcPr calcId="145621"/>
</workbook>
</file>

<file path=xl/calcChain.xml><?xml version="1.0" encoding="utf-8"?>
<calcChain xmlns="http://schemas.openxmlformats.org/spreadsheetml/2006/main">
  <c r="D66" i="1" l="1"/>
  <c r="N14" i="1"/>
  <c r="N15" i="1"/>
  <c r="N16" i="1"/>
  <c r="N17" i="1"/>
  <c r="N19" i="1"/>
  <c r="N20" i="1"/>
  <c r="N21" i="1"/>
  <c r="N22" i="1"/>
  <c r="N23" i="1"/>
  <c r="N24" i="1"/>
  <c r="N25" i="1"/>
  <c r="N26" i="1"/>
  <c r="N27" i="1"/>
  <c r="N28" i="1"/>
  <c r="N29" i="1"/>
  <c r="N30" i="1"/>
  <c r="N31" i="1"/>
  <c r="N32" i="1"/>
  <c r="N33" i="1"/>
  <c r="N34" i="1"/>
  <c r="N35" i="1"/>
  <c r="N13" i="1"/>
  <c r="K11" i="1" l="1"/>
  <c r="H12" i="1" s="1"/>
  <c r="O12" i="1"/>
  <c r="K18" i="1"/>
  <c r="H18" i="1" s="1"/>
  <c r="D61" i="1"/>
  <c r="D58" i="1"/>
  <c r="D55" i="1"/>
  <c r="D46" i="1"/>
  <c r="O19" i="1" l="1"/>
  <c r="O23" i="1"/>
  <c r="O20" i="1"/>
  <c r="O22" i="1"/>
  <c r="O21" i="1"/>
  <c r="O14" i="1"/>
  <c r="O15" i="1"/>
  <c r="O13" i="1"/>
  <c r="O16" i="1"/>
</calcChain>
</file>

<file path=xl/sharedStrings.xml><?xml version="1.0" encoding="utf-8"?>
<sst xmlns="http://schemas.openxmlformats.org/spreadsheetml/2006/main" count="248" uniqueCount="247">
  <si>
    <r>
      <rPr>
        <sz val="18"/>
        <color rgb="FFFFFFFF"/>
        <rFont val="Segoe UI Semibold"/>
        <family val="2"/>
      </rPr>
      <t xml:space="preserve">Planen des Upgrades </t>
    </r>
  </si>
  <si>
    <r>
      <rPr>
        <sz val="18"/>
        <color rgb="FFFFFFFF"/>
        <rFont val="Segoe UI Semibold"/>
        <family val="2"/>
      </rPr>
      <t>auf Office 365 für Bildungseinrichtungen</t>
    </r>
  </si>
  <si>
    <r>
      <rPr>
        <b/>
        <sz val="14"/>
        <color theme="0"/>
        <rFont val="Segoe UI"/>
        <family val="2"/>
      </rPr>
      <t>ANWEISUNGEN</t>
    </r>
  </si>
  <si>
    <r>
      <rPr>
        <b/>
        <sz val="20"/>
        <rFont val="Segoe UI"/>
        <family val="2"/>
      </rPr>
      <t>UPGRADEDATUM</t>
    </r>
  </si>
  <si>
    <r>
      <rPr>
        <b/>
        <sz val="16"/>
        <color theme="0"/>
        <rFont val="Segoe UI"/>
        <family val="2"/>
      </rPr>
      <t>Zunächst müssen Sie die Szenarien AUSWÄHLEN, die für Ihre Live@edu-Bereitstellung gelten:</t>
    </r>
  </si>
  <si>
    <r>
      <rPr>
        <b/>
        <sz val="15"/>
        <color theme="0"/>
        <rFont val="Segoe UI"/>
        <family val="2"/>
      </rPr>
      <t>&lt;TT/MM/JJ&gt;</t>
    </r>
  </si>
  <si>
    <r>
      <rPr>
        <sz val="12"/>
        <color theme="1"/>
        <rFont val="Segoe UI"/>
        <family val="2"/>
      </rPr>
      <t xml:space="preserve">Meine Einrichtung verwendet zurzeit das SSO-Toolkit, und ich möchte bei </t>
    </r>
    <r>
      <rPr>
        <i/>
        <sz val="12"/>
        <color theme="1"/>
        <rFont val="Segoe UI"/>
        <family val="2"/>
      </rPr>
      <t>Active Directory-Verbunddienste (Active Directory Federation Services, AD FS)</t>
    </r>
    <r>
      <rPr>
        <sz val="12"/>
        <color theme="1"/>
        <rFont val="Segoe UI"/>
        <family val="2"/>
      </rPr>
      <t xml:space="preserve"> fortfahren.</t>
    </r>
  </si>
  <si>
    <r>
      <rPr>
        <sz val="11"/>
        <color theme="1"/>
        <rFont val="Segoe UI"/>
        <family val="2"/>
      </rPr>
      <t xml:space="preserve"> </t>
    </r>
  </si>
  <si>
    <r>
      <rPr>
        <sz val="12"/>
        <color theme="1"/>
        <rFont val="Segoe UI"/>
        <family val="2"/>
      </rPr>
      <t xml:space="preserve">Meine Einrichtung verwendet zurzeit das SSO-Toolkit, und ich möchte bei </t>
    </r>
    <r>
      <rPr>
        <i/>
        <sz val="12"/>
        <color theme="1"/>
        <rFont val="Segoe UI"/>
        <family val="2"/>
      </rPr>
      <t>Shibboleth mit Active Directory</t>
    </r>
    <r>
      <rPr>
        <sz val="12"/>
        <color theme="1"/>
        <rFont val="Segoe UI"/>
        <family val="2"/>
      </rPr>
      <t xml:space="preserve"> fortfahren.</t>
    </r>
  </si>
  <si>
    <r>
      <rPr>
        <sz val="12"/>
        <color theme="1"/>
        <rFont val="Segoe UI"/>
        <family val="2"/>
      </rPr>
      <t xml:space="preserve">In meiner Einrichtung wird das SSO-Toolkit derzeit </t>
    </r>
    <r>
      <rPr>
        <u/>
        <sz val="12"/>
        <color theme="1"/>
        <rFont val="Segoe UI"/>
        <family val="2"/>
      </rPr>
      <t>nicht verwendet</t>
    </r>
    <r>
      <rPr>
        <sz val="12"/>
        <color theme="1"/>
        <rFont val="Segoe UI"/>
        <family val="2"/>
      </rPr>
      <t xml:space="preserve">, es ist jedoch geplant, einen Verbund mit </t>
    </r>
    <r>
      <rPr>
        <i/>
        <sz val="12"/>
        <color theme="1"/>
        <rFont val="Segoe UI"/>
        <family val="2"/>
      </rPr>
      <t>AD FS 2.0</t>
    </r>
    <r>
      <rPr>
        <sz val="12"/>
        <color theme="1"/>
        <rFont val="Segoe UI"/>
        <family val="2"/>
      </rPr>
      <t xml:space="preserve"> auf Office 365 zu verwenden.</t>
    </r>
  </si>
  <si>
    <r>
      <rPr>
        <sz val="12"/>
        <color theme="1"/>
        <rFont val="Segoe UI"/>
        <family val="2"/>
      </rPr>
      <t xml:space="preserve">In meiner Einrichtung wird das SSO-Toolkit derzeit </t>
    </r>
    <r>
      <rPr>
        <i/>
        <u/>
        <sz val="12"/>
        <color theme="1"/>
        <rFont val="Segoe UI"/>
        <family val="2"/>
      </rPr>
      <t>nicht verwendet</t>
    </r>
    <r>
      <rPr>
        <sz val="12"/>
        <color theme="1"/>
        <rFont val="Segoe UI"/>
        <family val="2"/>
      </rPr>
      <t xml:space="preserve">, es ist jedoch geplant, einen Verbund mit </t>
    </r>
    <r>
      <rPr>
        <i/>
        <sz val="12"/>
        <color theme="1"/>
        <rFont val="Segoe UI"/>
        <family val="2"/>
      </rPr>
      <t>Shibboleth mit Active Directory</t>
    </r>
    <r>
      <rPr>
        <sz val="12"/>
        <color theme="1"/>
        <rFont val="Segoe UI"/>
        <family val="2"/>
      </rPr>
      <t xml:space="preserve"> auf Office 365 zu verwenden.</t>
    </r>
  </si>
  <si>
    <r>
      <rPr>
        <b/>
        <sz val="12"/>
        <color theme="1"/>
        <rFont val="Segoe UI"/>
        <family val="2"/>
      </rPr>
      <t>Meine Einrichtung plant, zum Verzeichnissynchronisierungstool zu wechseln; zurzeit erfolgt die Synchronisierung des lokalen Verzeichnisses in die Cloud mithilfe von:</t>
    </r>
  </si>
  <si>
    <r>
      <rPr>
        <sz val="12"/>
        <color theme="1"/>
        <rFont val="Segoe UI"/>
        <family val="2"/>
      </rPr>
      <t>OLSync</t>
    </r>
  </si>
  <si>
    <r>
      <rPr>
        <sz val="12"/>
        <color theme="1"/>
        <rFont val="Segoe UI"/>
        <family val="2"/>
      </rPr>
      <t>OLMA mit Active Directory und benutzerdefiniertem Code</t>
    </r>
  </si>
  <si>
    <r>
      <rPr>
        <sz val="12"/>
        <color theme="1"/>
        <rFont val="Segoe UI"/>
        <family val="2"/>
      </rPr>
      <t>Benutzerdefinierten Windows PowerShell-Skripten und Active Directory</t>
    </r>
  </si>
  <si>
    <r>
      <rPr>
        <sz val="12"/>
        <color theme="1"/>
        <rFont val="Segoe UI"/>
        <family val="2"/>
      </rPr>
      <t>Windows Live Management Agent-Plug-in (MAV3)</t>
    </r>
  </si>
  <si>
    <r>
      <rPr>
        <sz val="12"/>
        <color theme="1"/>
        <rFont val="Segoe UI"/>
        <family val="2"/>
      </rPr>
      <t>OLMA ohne Active Directory, mit benutzerdefiniertem Code</t>
    </r>
  </si>
  <si>
    <r>
      <rPr>
        <sz val="12"/>
        <color theme="1"/>
        <rFont val="Segoe UI"/>
        <family val="2"/>
      </rPr>
      <t>Windows Live Admin Center SDK</t>
    </r>
  </si>
  <si>
    <r>
      <rPr>
        <sz val="12"/>
        <color theme="1"/>
        <rFont val="Segoe UI"/>
        <family val="2"/>
      </rPr>
      <t>Meine Einrichtung verwendet PowerShell, um Konten in Exchange Online zu verwalten.</t>
    </r>
  </si>
  <si>
    <r>
      <rPr>
        <sz val="12"/>
        <color theme="1"/>
        <rFont val="Segoe UI"/>
        <family val="2"/>
      </rPr>
      <t xml:space="preserve">Meine Einrichtung verwendet </t>
    </r>
    <r>
      <rPr>
        <b/>
        <sz val="12"/>
        <color theme="1"/>
        <rFont val="Segoe UI"/>
        <family val="2"/>
      </rPr>
      <t xml:space="preserve">benutzerdefinierte Exchange-Einstellungen </t>
    </r>
    <r>
      <rPr>
        <sz val="12"/>
        <color theme="1"/>
        <rFont val="Segoe UI"/>
        <family val="2"/>
      </rPr>
      <t>(Richtlinien für die Überwachung und/oder Rollenzuweisung).</t>
    </r>
  </si>
  <si>
    <r>
      <rPr>
        <sz val="12"/>
        <color theme="1"/>
        <rFont val="Segoe UI"/>
        <family val="2"/>
      </rPr>
      <t>Die Benutzer in meiner Einrichtung rufen outlook.com auf, um ihre E-Mails zu überprüfen.</t>
    </r>
  </si>
  <si>
    <r>
      <rPr>
        <b/>
        <sz val="11"/>
        <color theme="0"/>
        <rFont val="Segoe UI"/>
        <family val="2"/>
      </rPr>
      <t>Status</t>
    </r>
  </si>
  <si>
    <r>
      <rPr>
        <b/>
        <sz val="11"/>
        <color theme="0"/>
        <rFont val="Segoe UI"/>
        <family val="2"/>
      </rPr>
      <t>Verantwortlich</t>
    </r>
  </si>
  <si>
    <r>
      <rPr>
        <b/>
        <sz val="11"/>
        <color theme="0"/>
        <rFont val="Segoe UI"/>
        <family val="2"/>
      </rPr>
      <t>Aufgabenbeschreibung</t>
    </r>
  </si>
  <si>
    <r>
      <rPr>
        <b/>
        <sz val="11"/>
        <color theme="0"/>
        <rFont val="Segoe UI"/>
        <family val="2"/>
      </rPr>
      <t>Weitere Informationen</t>
    </r>
  </si>
  <si>
    <r>
      <rPr>
        <sz val="10"/>
        <color theme="1"/>
        <rFont val="Segoe UI"/>
        <family val="2"/>
      </rPr>
      <t>Aktualisieren Sie die Kontaktinformationen und das Profil Ihrer Einrichtung im Service Management Portal (SMP).</t>
    </r>
  </si>
  <si>
    <r>
      <rPr>
        <u/>
        <sz val="10"/>
        <color rgb="FFFC4B00"/>
        <rFont val="Segoe UI"/>
        <family val="2"/>
      </rPr>
      <t>Weitere Informationen</t>
    </r>
  </si>
  <si>
    <r>
      <rPr>
        <sz val="10"/>
        <color theme="1"/>
        <rFont val="Segoe UI"/>
        <family val="2"/>
      </rPr>
      <t>Überprüfen Sie das Upgradecenter auf aktuelle Mitteilungen.</t>
    </r>
  </si>
  <si>
    <r>
      <rPr>
        <u/>
        <sz val="10"/>
        <color rgb="FFFC4B00"/>
        <rFont val="Segoe UI"/>
        <family val="2"/>
      </rPr>
      <t>Weitere Informationen</t>
    </r>
  </si>
  <si>
    <r>
      <rPr>
        <sz val="10"/>
        <color theme="1"/>
        <rFont val="Segoe UI"/>
        <family val="2"/>
      </rPr>
      <t>Machen Sie sich mit dem Upgradeprozess vertraut.</t>
    </r>
  </si>
  <si>
    <r>
      <rPr>
        <u/>
        <sz val="10"/>
        <color rgb="FFFC4B00"/>
        <rFont val="Segoe UI"/>
        <family val="2"/>
      </rPr>
      <t>Weitere Informationen</t>
    </r>
  </si>
  <si>
    <r>
      <rPr>
        <sz val="10"/>
        <color theme="1"/>
        <rFont val="Segoe UI"/>
        <family val="2"/>
      </rPr>
      <t>Konsultieren Sie die Prüfliste vor dem Upgrade für Administratoren.</t>
    </r>
  </si>
  <si>
    <r>
      <rPr>
        <u/>
        <sz val="10"/>
        <color rgb="FFFC4B00"/>
        <rFont val="Segoe UI"/>
        <family val="2"/>
      </rPr>
      <t>Weitere Informationen</t>
    </r>
  </si>
  <si>
    <r>
      <rPr>
        <sz val="10"/>
        <color theme="1"/>
        <rFont val="Segoe UI"/>
        <family val="2"/>
      </rPr>
      <t>Password Change Notification Service (PCNS), ein Add-On für OLSync, wird in Office 365 nicht unterstützt. Wenn Sie ein einzelnes Kennwort wünschen, wird die Verwendung der einmaligen Anmeldung (Single Sign-On, SSO) empfohlen.</t>
    </r>
  </si>
  <si>
    <r>
      <rPr>
        <u/>
        <sz val="10"/>
        <color rgb="FFFC4B00"/>
        <rFont val="Segoe UI"/>
        <family val="2"/>
      </rPr>
      <t>Weitere Informationen</t>
    </r>
  </si>
  <si>
    <r>
      <rPr>
        <sz val="10"/>
        <color theme="1"/>
        <rFont val="Segoe UI"/>
        <family val="2"/>
      </rPr>
      <t>Aktualisieren Sie die URL, die für den E-Mail-Zugriff verwendet wird.</t>
    </r>
  </si>
  <si>
    <r>
      <rPr>
        <u/>
        <sz val="10"/>
        <color rgb="FFFC4B00"/>
        <rFont val="Segoe UI"/>
        <family val="2"/>
      </rPr>
      <t>Weitere Informationen</t>
    </r>
  </si>
  <si>
    <r>
      <rPr>
        <b/>
        <sz val="11"/>
        <color theme="1"/>
        <rFont val="Segoe UI"/>
        <family val="2"/>
      </rPr>
      <t>T – 4 Wochen vor dem Start</t>
    </r>
  </si>
  <si>
    <r>
      <rPr>
        <b/>
        <sz val="11"/>
        <color theme="1"/>
        <rFont val="Segoe UI"/>
        <family val="2"/>
      </rPr>
      <t>Woche</t>
    </r>
  </si>
  <si>
    <r>
      <rPr>
        <sz val="11"/>
        <color theme="1"/>
        <rFont val="Segoe UI"/>
        <family val="2"/>
      </rPr>
      <t>`</t>
    </r>
  </si>
  <si>
    <r>
      <rPr>
        <sz val="10"/>
        <color theme="1"/>
        <rFont val="Segoe UI"/>
        <family val="2"/>
      </rPr>
      <t>Führen Sie nach Bedarf Updates bei Desktopsoftware aus.</t>
    </r>
  </si>
  <si>
    <r>
      <rPr>
        <u/>
        <sz val="10"/>
        <color rgb="FFFC4B00"/>
        <rFont val="Segoe UI"/>
        <family val="2"/>
      </rPr>
      <t>Office 365-Softwareanforderungen</t>
    </r>
  </si>
  <si>
    <r>
      <rPr>
        <u/>
        <sz val="10"/>
        <color rgb="FFFC4B00"/>
        <rFont val="Segoe UI"/>
        <family val="2"/>
      </rPr>
      <t>Beispielkommunikation und Ressourcen finden Sie im Upgrade-Kit für Endbenutzer.</t>
    </r>
  </si>
  <si>
    <r>
      <rPr>
        <sz val="10"/>
        <color theme="1"/>
        <rFont val="Segoe UI"/>
        <family val="2"/>
      </rPr>
      <t>Wenn keine Kennwörter für Microsoft-Konten verteilt wurden, teilen Sie Ihren Benutzern mit, dass sie nach dem Upgrade neue Kennwörter für ihre Microsoft-Konten benötigen, damit sie weiterhin Zugriff auf SkyDrive und Messenger haben.</t>
    </r>
  </si>
  <si>
    <r>
      <rPr>
        <u/>
        <sz val="10"/>
        <color rgb="FFFC4B00"/>
        <rFont val="Segoe UI"/>
        <family val="2"/>
      </rPr>
      <t>Weitere Informationen</t>
    </r>
  </si>
  <si>
    <r>
      <rPr>
        <sz val="10"/>
        <color theme="1"/>
        <rFont val="Segoe UI"/>
        <family val="2"/>
      </rPr>
      <t>Führen Sie die Schritte unter „Vor dem Upgrade“ aus, um den Verbund von AD FS 2.0 mit Office 365 einzurichten.</t>
    </r>
  </si>
  <si>
    <r>
      <rPr>
        <u/>
        <sz val="10"/>
        <color rgb="FFFC4B00"/>
        <rFont val="Segoe UI"/>
        <family val="2"/>
      </rPr>
      <t>Weitere Informationen</t>
    </r>
  </si>
  <si>
    <r>
      <rPr>
        <sz val="10"/>
        <color theme="1"/>
        <rFont val="Segoe UI"/>
        <family val="2"/>
      </rPr>
      <t>Führen Sie die Schritte unter „Vor dem Upgrade“ aus, um den Verbund von Shibboleth mit Office 365 einzurichten.</t>
    </r>
  </si>
  <si>
    <r>
      <rPr>
        <u/>
        <sz val="10"/>
        <color rgb="FFFC4B00"/>
        <rFont val="Segoe UI"/>
        <family val="2"/>
      </rPr>
      <t>Weitere Informationen</t>
    </r>
  </si>
  <si>
    <r>
      <rPr>
        <u/>
        <sz val="10"/>
        <color rgb="FFFC4B00"/>
        <rFont val="Segoe UI"/>
        <family val="2"/>
      </rPr>
      <t>Weitere Informationen</t>
    </r>
  </si>
  <si>
    <r>
      <rPr>
        <sz val="10"/>
        <color theme="1"/>
        <rFont val="Segoe UI"/>
        <family val="2"/>
      </rPr>
      <t>Wenn die Bereitstellung mithilfe von Windows PowerShell erfolgt, überprüfen Sie die Änderungen in Windows PowerShell.</t>
    </r>
  </si>
  <si>
    <r>
      <rPr>
        <u/>
        <sz val="10"/>
        <color rgb="FFFC4B00"/>
        <rFont val="Segoe UI"/>
        <family val="2"/>
      </rPr>
      <t>Weitere Informationen</t>
    </r>
  </si>
  <si>
    <r>
      <rPr>
        <b/>
        <sz val="11"/>
        <color theme="1"/>
        <rFont val="Segoe UI"/>
        <family val="2"/>
      </rPr>
      <t>T – 3 Wochen vor dem Start</t>
    </r>
  </si>
  <si>
    <r>
      <rPr>
        <b/>
        <sz val="11"/>
        <color theme="1"/>
        <rFont val="Segoe UI"/>
        <family val="2"/>
      </rPr>
      <t>Woche</t>
    </r>
  </si>
  <si>
    <r>
      <rPr>
        <b/>
        <sz val="11"/>
        <color theme="1"/>
        <rFont val="Segoe UI"/>
        <family val="2"/>
      </rPr>
      <t>T – 2 Wochen vor dem Start</t>
    </r>
  </si>
  <si>
    <r>
      <rPr>
        <b/>
        <sz val="11"/>
        <color theme="1"/>
        <rFont val="Segoe UI"/>
        <family val="2"/>
      </rPr>
      <t>Woche</t>
    </r>
  </si>
  <si>
    <r>
      <rPr>
        <u/>
        <sz val="10"/>
        <color rgb="FFFC4B00"/>
        <rFont val="Segoe UI"/>
        <family val="2"/>
      </rPr>
      <t>Beispielkommunikation und Ressourcen finden Sie im Upgrade-Kit für Endbenutzer.</t>
    </r>
  </si>
  <si>
    <r>
      <rPr>
        <b/>
        <sz val="11"/>
        <color theme="1"/>
        <rFont val="Segoe UI"/>
        <family val="2"/>
      </rPr>
      <t>T – 1 Woche vor dem Start</t>
    </r>
  </si>
  <si>
    <r>
      <rPr>
        <b/>
        <sz val="11"/>
        <color theme="1"/>
        <rFont val="Segoe UI"/>
        <family val="2"/>
      </rPr>
      <t>Woche</t>
    </r>
  </si>
  <si>
    <r>
      <rPr>
        <u/>
        <sz val="10"/>
        <color rgb="FFFC4B00"/>
        <rFont val="Segoe UI"/>
        <family val="2"/>
      </rPr>
      <t>Beispielkommunikation und Ressourcen finden Sie im Upgrade-Kit für Endbenutzer.</t>
    </r>
  </si>
  <si>
    <r>
      <rPr>
        <sz val="10"/>
        <color theme="1"/>
        <rFont val="Segoe UI"/>
        <family val="2"/>
      </rPr>
      <t>Dokumentieren Sie Ihre Live@edu Exchange Online-Einstellungen.</t>
    </r>
  </si>
  <si>
    <r>
      <rPr>
        <u/>
        <sz val="10"/>
        <color rgb="FFFC4B00"/>
        <rFont val="Segoe UI"/>
        <family val="2"/>
      </rPr>
      <t>Weitere Informationen</t>
    </r>
  </si>
  <si>
    <r>
      <rPr>
        <sz val="10"/>
        <color theme="1"/>
        <rFont val="Segoe UI"/>
        <family val="2"/>
      </rPr>
      <t>Machen Sie sich mit den Schritten zur Bereitstellung vertraut, die nach dem Upgrade erforderlich sind.</t>
    </r>
  </si>
  <si>
    <r>
      <rPr>
        <u/>
        <sz val="10"/>
        <color rgb="FFFC4B00"/>
        <rFont val="Segoe UI"/>
        <family val="2"/>
      </rPr>
      <t>Weitere Informationen</t>
    </r>
  </si>
  <si>
    <r>
      <rPr>
        <sz val="10"/>
        <color theme="1"/>
        <rFont val="Segoe UI"/>
        <family val="2"/>
      </rPr>
      <t>Machen Sie sich mit den Schritten zum Einrichten des Verbunds vertraut, die nach dem Upgrade erforderlich sind.</t>
    </r>
  </si>
  <si>
    <r>
      <rPr>
        <u/>
        <sz val="10"/>
        <color rgb="FFFC4B00"/>
        <rFont val="Segoe UI"/>
        <family val="2"/>
      </rPr>
      <t>Weitere Informationen</t>
    </r>
  </si>
  <si>
    <r>
      <rPr>
        <b/>
        <sz val="11"/>
        <color theme="0"/>
        <rFont val="Segoe UI"/>
        <family val="2"/>
      </rPr>
      <t>START</t>
    </r>
  </si>
  <si>
    <r>
      <rPr>
        <u/>
        <sz val="10"/>
        <color rgb="FFFC4B00"/>
        <rFont val="Segoe UI"/>
        <family val="2"/>
      </rPr>
      <t>Weitere Informationen</t>
    </r>
  </si>
  <si>
    <r>
      <rPr>
        <u/>
        <sz val="10"/>
        <color rgb="FFFC4B00"/>
        <rFont val="Segoe UI"/>
        <family val="2"/>
      </rPr>
      <t>Weitere Informationen</t>
    </r>
  </si>
  <si>
    <r>
      <rPr>
        <sz val="10"/>
        <color theme="1"/>
        <rFont val="Segoe UI"/>
        <family val="2"/>
      </rPr>
      <t xml:space="preserve">Fahren Sie unter wenigen Einschränkungen mit der Verwaltung der Benutzer fort. </t>
    </r>
  </si>
  <si>
    <r>
      <rPr>
        <u/>
        <sz val="10"/>
        <color rgb="FFFC4B00"/>
        <rFont val="Segoe UI"/>
        <family val="2"/>
      </rPr>
      <t>Weitere Informationen</t>
    </r>
  </si>
  <si>
    <r>
      <rPr>
        <sz val="10"/>
        <color theme="1"/>
        <rFont val="Segoe UI"/>
        <family val="2"/>
      </rPr>
      <t>Kommunizieren Sie mit Ihren Benutzern, bevor Sie mit der zweiten Phase beginnen.</t>
    </r>
  </si>
  <si>
    <r>
      <rPr>
        <u/>
        <sz val="10"/>
        <color rgb="FFFC4B00"/>
        <rFont val="Segoe UI"/>
        <family val="2"/>
      </rPr>
      <t>Beispielkommunikation und Ressourcen finden Sie im Upgrade-Kit für Endbenutzer.</t>
    </r>
  </si>
  <si>
    <r>
      <rPr>
        <sz val="10"/>
        <color theme="1"/>
        <rFont val="Segoe UI"/>
        <family val="2"/>
      </rPr>
      <t>Beginnen Sie mit der zweiten Phase.</t>
    </r>
  </si>
  <si>
    <r>
      <rPr>
        <u/>
        <sz val="10"/>
        <color rgb="FFFC4B00"/>
        <rFont val="Segoe UI"/>
        <family val="2"/>
      </rPr>
      <t>Weitere Informationen</t>
    </r>
  </si>
  <si>
    <r>
      <rPr>
        <sz val="10"/>
        <color theme="1"/>
        <rFont val="Segoe UI"/>
        <family val="2"/>
      </rPr>
      <t>Beginnen Sie mit der dritten Phase: Festlegen eines Office 365-Kennworts.</t>
    </r>
  </si>
  <si>
    <r>
      <rPr>
        <u/>
        <sz val="10"/>
        <color rgb="FFFC4B00"/>
        <rFont val="Segoe UI"/>
        <family val="2"/>
      </rPr>
      <t>Weitere Informationen</t>
    </r>
  </si>
  <si>
    <r>
      <rPr>
        <b/>
        <sz val="11"/>
        <color theme="0"/>
        <rFont val="Segoe UI"/>
        <family val="2"/>
      </rPr>
      <t>NACH DEM UPGRADE</t>
    </r>
  </si>
  <si>
    <r>
      <rPr>
        <b/>
        <sz val="11"/>
        <color theme="0"/>
        <rFont val="Segoe UI"/>
        <family val="2"/>
      </rPr>
      <t>Bei Abschluss des Upgrades</t>
    </r>
  </si>
  <si>
    <r>
      <rPr>
        <sz val="10"/>
        <color theme="1"/>
        <rFont val="Segoe UI"/>
        <family val="2"/>
      </rPr>
      <t>Richten Sie das Microsoft Online Services-Verzeichnissynchronisierungstool ein.</t>
    </r>
  </si>
  <si>
    <r>
      <rPr>
        <u/>
        <sz val="10"/>
        <color rgb="FFFC4B00"/>
        <rFont val="Segoe UI"/>
        <family val="2"/>
      </rPr>
      <t>Weitere Informationen</t>
    </r>
  </si>
  <si>
    <r>
      <rPr>
        <sz val="10"/>
        <color theme="1"/>
        <rFont val="Segoe UI"/>
        <family val="2"/>
      </rPr>
      <t>Aktivieren Sie die Verzeichnissynchronisierung in Office 365.</t>
    </r>
  </si>
  <si>
    <r>
      <rPr>
        <u/>
        <sz val="10"/>
        <color rgb="FFFC4B00"/>
        <rFont val="Segoe UI"/>
        <family val="2"/>
      </rPr>
      <t>Weitere Informationen</t>
    </r>
  </si>
  <si>
    <r>
      <rPr>
        <sz val="10"/>
        <color theme="1"/>
        <rFont val="Segoe UI"/>
        <family val="2"/>
      </rPr>
      <t>Deaktivieren Sie OLMA im Service Management Portal (SMP).</t>
    </r>
  </si>
  <si>
    <r>
      <rPr>
        <u/>
        <sz val="10"/>
        <color rgb="FFFC4B00"/>
        <rFont val="Segoe UI"/>
        <family val="2"/>
      </rPr>
      <t>Weitere Informationen</t>
    </r>
  </si>
  <si>
    <r>
      <rPr>
        <sz val="10"/>
        <color theme="1"/>
        <rFont val="Segoe UI"/>
        <family val="2"/>
      </rPr>
      <t>Deaktivieren Sie OLSync und alle Komponenten von Identity Lifecycle Manager (ILM) 2007 oder Forefront Identity Manager (FIM) 2010.</t>
    </r>
  </si>
  <si>
    <r>
      <rPr>
        <u/>
        <sz val="10"/>
        <color rgb="FFFC4B00"/>
        <rFont val="Segoe UI"/>
        <family val="2"/>
      </rPr>
      <t>Weitere Informationen</t>
    </r>
  </si>
  <si>
    <r>
      <rPr>
        <sz val="10"/>
        <color theme="1"/>
        <rFont val="Segoe UI"/>
        <family val="2"/>
      </rPr>
      <t>Laden Sie ein Verzeichnisvorbereitungstool zur einmaligen Verwendung herunter, und führen Sie es aus.</t>
    </r>
  </si>
  <si>
    <r>
      <rPr>
        <u/>
        <sz val="10"/>
        <color rgb="FFFC4B00"/>
        <rFont val="Segoe UI"/>
        <family val="2"/>
      </rPr>
      <t>Weitere Informationen</t>
    </r>
  </si>
  <si>
    <r>
      <rPr>
        <sz val="10"/>
        <color theme="1"/>
        <rFont val="Segoe UI"/>
        <family val="2"/>
      </rPr>
      <t>Installieren Sie das Verzeichnissynchronisierungstool.</t>
    </r>
  </si>
  <si>
    <r>
      <rPr>
        <u/>
        <sz val="10"/>
        <color rgb="FFFC4B00"/>
        <rFont val="Segoe UI"/>
        <family val="2"/>
      </rPr>
      <t>Weitere Informationen</t>
    </r>
  </si>
  <si>
    <r>
      <rPr>
        <sz val="10"/>
        <color theme="1"/>
        <rFont val="Segoe UI"/>
        <family val="2"/>
      </rPr>
      <t>Synchronisieren Sie Ihre Verzeichnisse.</t>
    </r>
  </si>
  <si>
    <r>
      <rPr>
        <u/>
        <sz val="10"/>
        <color rgb="FFFC4B00"/>
        <rFont val="Segoe UI"/>
        <family val="2"/>
      </rPr>
      <t>Weitere Informationen</t>
    </r>
  </si>
  <si>
    <r>
      <rPr>
        <sz val="10"/>
        <color theme="1"/>
        <rFont val="Segoe UI"/>
        <family val="2"/>
      </rPr>
      <t>Aktivieren Sie die Verzeichnissynchronisierung in Office 365.</t>
    </r>
  </si>
  <si>
    <r>
      <rPr>
        <u/>
        <sz val="10"/>
        <color rgb="FFFC4B00"/>
        <rFont val="Segoe UI"/>
        <family val="2"/>
      </rPr>
      <t>Weitere Informationen</t>
    </r>
  </si>
  <si>
    <r>
      <rPr>
        <sz val="10"/>
        <color theme="1"/>
        <rFont val="Segoe UI"/>
        <family val="2"/>
      </rPr>
      <t>Deaktivieren Sie die OLMA-Synchronisierung, indem Sie im Service Management Portal (SMP) den geplanten Synchronisierungstask stornieren.</t>
    </r>
  </si>
  <si>
    <r>
      <rPr>
        <u/>
        <sz val="10"/>
        <color rgb="FFFC4B00"/>
        <rFont val="Segoe UI"/>
        <family val="2"/>
      </rPr>
      <t>Weitere Informationen</t>
    </r>
  </si>
  <si>
    <r>
      <rPr>
        <sz val="10"/>
        <color theme="1"/>
        <rFont val="Segoe UI"/>
        <family val="2"/>
      </rPr>
      <t>Deinstallieren Sie OLMA und alle Komponenten von Identity Lifecycle Manager (ILM) 2007 oder Forefront Identity Manager (FIM) 2010.</t>
    </r>
  </si>
  <si>
    <r>
      <rPr>
        <u/>
        <sz val="10"/>
        <color rgb="FFFC4B00"/>
        <rFont val="Segoe UI"/>
        <family val="2"/>
      </rPr>
      <t>Weitere Informationen</t>
    </r>
  </si>
  <si>
    <r>
      <rPr>
        <sz val="10"/>
        <color theme="1"/>
        <rFont val="Segoe UI"/>
        <family val="2"/>
      </rPr>
      <t>Laden Sie ein Verzeichnisvorbereitungstool zur einmaligen Verwendung herunter, und führen Sie es aus.</t>
    </r>
  </si>
  <si>
    <r>
      <rPr>
        <u/>
        <sz val="10"/>
        <color rgb="FFFC4B00"/>
        <rFont val="Segoe UI"/>
        <family val="2"/>
      </rPr>
      <t>Weitere Informationen</t>
    </r>
  </si>
  <si>
    <r>
      <rPr>
        <sz val="10"/>
        <color theme="1"/>
        <rFont val="Segoe UI"/>
        <family val="2"/>
      </rPr>
      <t xml:space="preserve">Führen Sie die Schritte unter „Nach dem Upgrade“ aus, um den Verbund von AD FS 2.0 mit Office 365 einzurichten. </t>
    </r>
  </si>
  <si>
    <r>
      <rPr>
        <u/>
        <sz val="10"/>
        <color rgb="FFFC4B00"/>
        <rFont val="Segoe UI"/>
        <family val="2"/>
      </rPr>
      <t>Weitere Informationen</t>
    </r>
  </si>
  <si>
    <r>
      <rPr>
        <sz val="10"/>
        <color theme="1"/>
        <rFont val="Segoe UI"/>
        <family val="2"/>
      </rPr>
      <t>Führen Sie die Schritte unter „Nach dem Upgrade“ aus, um den Verbund von Shibboleth mit Office 365 einzurichten.</t>
    </r>
  </si>
  <si>
    <r>
      <rPr>
        <u/>
        <sz val="10"/>
        <color rgb="FFFC4B00"/>
        <rFont val="Segoe UI"/>
        <family val="2"/>
      </rPr>
      <t>Weitere Informationen</t>
    </r>
  </si>
  <si>
    <r>
      <rPr>
        <sz val="10"/>
        <color theme="1"/>
        <rFont val="Segoe UI"/>
        <family val="2"/>
      </rPr>
      <t>Installieren Sie das Verzeichnissynchronisierungstool.</t>
    </r>
  </si>
  <si>
    <r>
      <rPr>
        <u/>
        <sz val="10"/>
        <color rgb="FFFC4B00"/>
        <rFont val="Segoe UI"/>
        <family val="2"/>
      </rPr>
      <t>Weitere Informationen</t>
    </r>
  </si>
  <si>
    <r>
      <rPr>
        <sz val="10"/>
        <color theme="1"/>
        <rFont val="Segoe UI"/>
        <family val="2"/>
      </rPr>
      <t>Synchronisieren Sie Ihre Verzeichnisse.</t>
    </r>
  </si>
  <si>
    <r>
      <rPr>
        <u/>
        <sz val="10"/>
        <color rgb="FFFC4B00"/>
        <rFont val="Segoe UI"/>
        <family val="2"/>
      </rPr>
      <t>Weitere Informationen</t>
    </r>
  </si>
  <si>
    <r>
      <rPr>
        <sz val="10"/>
        <color theme="1"/>
        <rFont val="Segoe UI"/>
        <family val="2"/>
      </rPr>
      <t>Aktivieren Sie die Verzeichnissynchronisierung in Office 365.</t>
    </r>
  </si>
  <si>
    <r>
      <rPr>
        <u/>
        <sz val="10"/>
        <color rgb="FFFC4B00"/>
        <rFont val="Segoe UI"/>
        <family val="2"/>
      </rPr>
      <t>Weitere Informationen</t>
    </r>
  </si>
  <si>
    <r>
      <rPr>
        <sz val="10"/>
        <color theme="1"/>
        <rFont val="Segoe UI"/>
        <family val="2"/>
      </rPr>
      <t>Laden Sie ein Verzeichnisvorbereitungstool zur einmaligen Verwendung herunter, und führen Sie es aus.</t>
    </r>
  </si>
  <si>
    <r>
      <rPr>
        <u/>
        <sz val="10"/>
        <color rgb="FFFC4B00"/>
        <rFont val="Segoe UI"/>
        <family val="2"/>
      </rPr>
      <t>Weitere Informationen</t>
    </r>
  </si>
  <si>
    <r>
      <rPr>
        <sz val="10"/>
        <color theme="1"/>
        <rFont val="Segoe UI"/>
        <family val="2"/>
      </rPr>
      <t>Installieren Sie das Verzeichnissynchronisierungstool.</t>
    </r>
  </si>
  <si>
    <r>
      <rPr>
        <u/>
        <sz val="10"/>
        <color rgb="FFFC4B00"/>
        <rFont val="Segoe UI"/>
        <family val="2"/>
      </rPr>
      <t>Weitere Informationen</t>
    </r>
  </si>
  <si>
    <r>
      <rPr>
        <sz val="10"/>
        <color theme="1"/>
        <rFont val="Segoe UI"/>
        <family val="2"/>
      </rPr>
      <t>Synchronisieren Sie Ihre Verzeichnisse.</t>
    </r>
  </si>
  <si>
    <r>
      <rPr>
        <u/>
        <sz val="10"/>
        <color rgb="FFFC4B00"/>
        <rFont val="Segoe UI"/>
        <family val="2"/>
      </rPr>
      <t>Weitere Informationen</t>
    </r>
  </si>
  <si>
    <r>
      <rPr>
        <sz val="10"/>
        <color theme="1"/>
        <rFont val="Segoe UI"/>
        <family val="2"/>
      </rPr>
      <t>Aktivieren Sie die Verzeichnissynchronisierung in Office 365.</t>
    </r>
  </si>
  <si>
    <r>
      <rPr>
        <u/>
        <sz val="10"/>
        <color rgb="FFFC4B00"/>
        <rFont val="Segoe UI"/>
        <family val="2"/>
      </rPr>
      <t>Weitere Informationen</t>
    </r>
  </si>
  <si>
    <r>
      <rPr>
        <sz val="10"/>
        <color theme="1"/>
        <rFont val="Segoe UI"/>
        <family val="2"/>
      </rPr>
      <t>Laden Sie ein Verzeichnisvorbereitungstool zur einmaligen Verwendung herunter, und führen Sie es aus.</t>
    </r>
  </si>
  <si>
    <r>
      <rPr>
        <u/>
        <sz val="10"/>
        <color rgb="FFFC4B00"/>
        <rFont val="Segoe UI"/>
        <family val="2"/>
      </rPr>
      <t>Weitere Informationen</t>
    </r>
  </si>
  <si>
    <r>
      <rPr>
        <sz val="10"/>
        <color theme="1"/>
        <rFont val="Segoe UI"/>
        <family val="2"/>
      </rPr>
      <t>Installieren Sie das Verzeichnissynchronisierungstool.</t>
    </r>
  </si>
  <si>
    <r>
      <rPr>
        <u/>
        <sz val="10"/>
        <color rgb="FFFC4B00"/>
        <rFont val="Segoe UI"/>
        <family val="2"/>
      </rPr>
      <t>Weitere Informationen</t>
    </r>
  </si>
  <si>
    <r>
      <rPr>
        <sz val="10"/>
        <color theme="1"/>
        <rFont val="Segoe UI"/>
        <family val="2"/>
      </rPr>
      <t>Synchronisieren Sie Ihre Verzeichnisse.</t>
    </r>
  </si>
  <si>
    <r>
      <rPr>
        <u/>
        <sz val="10"/>
        <color rgb="FFFC4B00"/>
        <rFont val="Segoe UI"/>
        <family val="2"/>
      </rPr>
      <t>Weitere Informationen</t>
    </r>
  </si>
  <si>
    <r>
      <rPr>
        <sz val="10"/>
        <color theme="1"/>
        <rFont val="Segoe UI"/>
        <family val="2"/>
      </rPr>
      <t>Informationen zu OLMA ohne AD werden bald bereitgestellt.</t>
    </r>
  </si>
  <si>
    <r>
      <rPr>
        <u/>
        <sz val="10"/>
        <color rgb="FFFC4B00"/>
        <rFont val="Segoe UI"/>
        <family val="2"/>
      </rPr>
      <t>Weitere Informationen</t>
    </r>
  </si>
  <si>
    <r>
      <rPr>
        <sz val="10"/>
        <color theme="1"/>
        <rFont val="Segoe UI"/>
        <family val="2"/>
      </rPr>
      <t>Implementieren Sie Änderungen bei benutzerdefinierten PowerShell-Skripten, und machen Sie sich mit den neuen Office 365-Cmdlets sowie Änderungen an den Exchange Online-Cmdlets vertraut.</t>
    </r>
  </si>
  <si>
    <r>
      <rPr>
        <u/>
        <sz val="10"/>
        <color rgb="FFFC4B00"/>
        <rFont val="Segoe UI"/>
        <family val="2"/>
      </rPr>
      <t>Weitere Informationen</t>
    </r>
  </si>
  <si>
    <r>
      <rPr>
        <sz val="10"/>
        <color theme="1"/>
        <rFont val="Segoe UI"/>
        <family val="2"/>
      </rPr>
      <t>Führen Sie alle Exchange Online-Tasks aus, die Sie vor dem Upgrade identifiziert haben.</t>
    </r>
  </si>
  <si>
    <r>
      <rPr>
        <u/>
        <sz val="10"/>
        <color rgb="FFFC4B00"/>
        <rFont val="Segoe UI"/>
        <family val="2"/>
      </rPr>
      <t>Weitere Informationen</t>
    </r>
  </si>
  <si>
    <r>
      <rPr>
        <sz val="10"/>
        <color theme="1"/>
        <rFont val="Segoe UI"/>
        <family val="2"/>
      </rPr>
      <t>Wenn Sie bei dem Upgrade Probleme haben, suchen Sie nach Problemumgehungen oder wenden sich an den Support.</t>
    </r>
  </si>
  <si>
    <r>
      <rPr>
        <u/>
        <sz val="10"/>
        <color rgb="FFFC4B00"/>
        <rFont val="Segoe UI"/>
        <family val="2"/>
      </rPr>
      <t>Weitere Informationen</t>
    </r>
  </si>
  <si>
    <r>
      <rPr>
        <sz val="10"/>
        <color theme="1"/>
        <rFont val="Segoe UI"/>
        <family val="2"/>
      </rPr>
      <t>Erinnern Sie Ihre Benutzer daran, dass sie jetzt zwei einzelne Konten haben, und welche URLs zu verwenden sind.</t>
    </r>
  </si>
  <si>
    <r>
      <rPr>
        <u/>
        <sz val="10"/>
        <color rgb="FFFC4B00"/>
        <rFont val="Segoe UI"/>
        <family val="2"/>
      </rPr>
      <t>Beispielkommunikation und Ressourcen finden Sie im Upgrade-Kit für Endbenutzer.</t>
    </r>
  </si>
  <si>
    <r>
      <rPr>
        <sz val="10"/>
        <color theme="1"/>
        <rFont val="Segoe UI"/>
        <family val="2"/>
      </rPr>
      <t>Konfigurieren Sie Office 365. Melden Sie sich beim Portal an.</t>
    </r>
  </si>
  <si>
    <r>
      <rPr>
        <u/>
        <sz val="10"/>
        <color rgb="FFFC4B00"/>
        <rFont val="Segoe UI"/>
        <family val="2"/>
      </rPr>
      <t>Weitere Informationen</t>
    </r>
  </si>
  <si>
    <r>
      <rPr>
        <sz val="10"/>
        <color theme="1"/>
        <rFont val="Segoe UI"/>
        <family val="2"/>
      </rPr>
      <t>Fügen Sie in Office 365 weitere Kontoadministratoren hinzu.</t>
    </r>
  </si>
  <si>
    <r>
      <rPr>
        <u/>
        <sz val="10"/>
        <color rgb="FFFC4B00"/>
        <rFont val="Segoe UI"/>
        <family val="2"/>
      </rPr>
      <t>Weitere Informationen</t>
    </r>
  </si>
  <si>
    <r>
      <rPr>
        <sz val="10"/>
        <color theme="1"/>
        <rFont val="Segoe UI"/>
        <family val="2"/>
      </rPr>
      <t>Abonnieren Sie den A2-Plan.</t>
    </r>
  </si>
  <si>
    <r>
      <rPr>
        <u/>
        <sz val="10"/>
        <color rgb="FFFC4B00"/>
        <rFont val="Segoe UI"/>
        <family val="2"/>
      </rPr>
      <t>Weitere Informationen</t>
    </r>
  </si>
  <si>
    <r>
      <rPr>
        <sz val="10"/>
        <color theme="1"/>
        <rFont val="Segoe UI"/>
        <family val="2"/>
      </rPr>
      <t>Unternehmen Sie eine Tour durch Office 365.</t>
    </r>
  </si>
  <si>
    <r>
      <rPr>
        <u/>
        <sz val="10"/>
        <color rgb="FFFC4B00"/>
        <rFont val="Segoe UI"/>
        <family val="2"/>
      </rPr>
      <t>Weitere Informationen</t>
    </r>
  </si>
  <si>
    <r>
      <rPr>
        <sz val="10"/>
        <color theme="1"/>
        <rFont val="Segoe UI"/>
        <family val="2"/>
      </rPr>
      <t>Konfigurieren Sie SharePoint Online und Lync Online.</t>
    </r>
  </si>
  <si>
    <r>
      <rPr>
        <u/>
        <sz val="10"/>
        <color rgb="FFFC4B00"/>
        <rFont val="Segoe UI"/>
        <family val="2"/>
      </rPr>
      <t>Weitere Informationen</t>
    </r>
  </si>
  <si>
    <t>Legend</t>
  </si>
  <si>
    <t>In Process</t>
  </si>
  <si>
    <t>Complete</t>
  </si>
  <si>
    <t>Name</t>
  </si>
  <si>
    <t>Check Box Status</t>
  </si>
  <si>
    <t>Formula</t>
  </si>
  <si>
    <t>N/A</t>
  </si>
  <si>
    <t>All</t>
  </si>
  <si>
    <t>AD FS</t>
  </si>
  <si>
    <t>Shibboleth</t>
  </si>
  <si>
    <t>Add Federation</t>
  </si>
  <si>
    <t>Add Shibboleth</t>
  </si>
  <si>
    <t>OLSync</t>
  </si>
  <si>
    <t>OLMA_</t>
  </si>
  <si>
    <t>PowerShell_</t>
  </si>
  <si>
    <t>MAV3</t>
  </si>
  <si>
    <t>OLMA w/o AD</t>
  </si>
  <si>
    <t>WL SDK</t>
  </si>
  <si>
    <t>PowerShell admin</t>
  </si>
  <si>
    <t>Custom Exchange settings</t>
  </si>
  <si>
    <t>Use outlook.com</t>
  </si>
  <si>
    <t>PCNS</t>
  </si>
  <si>
    <t>Classroom workflow</t>
  </si>
  <si>
    <t>Scenario</t>
  </si>
  <si>
    <t>All</t>
  </si>
  <si>
    <t>All</t>
  </si>
  <si>
    <t>All</t>
  </si>
  <si>
    <t>All</t>
  </si>
  <si>
    <t>PCNS</t>
  </si>
  <si>
    <t>Use outlook.com</t>
  </si>
  <si>
    <t>All</t>
  </si>
  <si>
    <t>All</t>
  </si>
  <si>
    <t>[AD FS] [Shibboleth]</t>
  </si>
  <si>
    <t>[AD FS] [Add Federation]</t>
  </si>
  <si>
    <t>[Shibboleth]</t>
  </si>
  <si>
    <t>[OLSync] [OLMA_] [PowerShell_] [MAV3] [OLMA w/o AD] [WL SDK]</t>
  </si>
  <si>
    <t>Row 55 before changes</t>
  </si>
  <si>
    <t>[PowerShell Admin]</t>
  </si>
  <si>
    <t>[Classroom workflow]</t>
  </si>
  <si>
    <t>All</t>
  </si>
  <si>
    <t>All</t>
  </si>
  <si>
    <t>[Custom Exchange settings]</t>
  </si>
  <si>
    <t>[OLSync] [OLMA_] [PowerShell_] [MAV3] [WL SDK]</t>
  </si>
  <si>
    <t>Row 68 before changes</t>
  </si>
  <si>
    <t>[AD FS] [Shibboleth] [Add Federation] [Add Shibboleth]</t>
  </si>
  <si>
    <t>[MAV3]</t>
  </si>
  <si>
    <t>All</t>
  </si>
  <si>
    <t>All</t>
  </si>
  <si>
    <t>All</t>
  </si>
  <si>
    <t>All</t>
  </si>
  <si>
    <t>All</t>
  </si>
  <si>
    <t>[OLSync] [OLMA_] [PowerShell_] [MAV3]</t>
  </si>
  <si>
    <t>[OLSync]</t>
  </si>
  <si>
    <t>[OLSync]</t>
  </si>
  <si>
    <t>[OLSync]</t>
  </si>
  <si>
    <t>[OLSync]</t>
  </si>
  <si>
    <t>[OLSync]</t>
  </si>
  <si>
    <t>[OLSync]</t>
  </si>
  <si>
    <t>[OLMA_]</t>
  </si>
  <si>
    <t>[OLMA_]</t>
  </si>
  <si>
    <t>[OLMA_]</t>
  </si>
  <si>
    <t>[OLMA_]</t>
  </si>
  <si>
    <t>Row 93 before changes</t>
  </si>
  <si>
    <t>[AD FS] [Add Federation]</t>
  </si>
  <si>
    <t>Row 80 before changes</t>
  </si>
  <si>
    <t>[Shibboleth]</t>
  </si>
  <si>
    <t>Row 81 before changes</t>
  </si>
  <si>
    <t>[OLMA_]</t>
  </si>
  <si>
    <t>[OLMA_]</t>
  </si>
  <si>
    <t>[PowerShell_]</t>
  </si>
  <si>
    <t>[PowerShell_]</t>
  </si>
  <si>
    <t>[PowerShell_]</t>
  </si>
  <si>
    <t>[PowerShell_]</t>
  </si>
  <si>
    <t>[MAV3]</t>
  </si>
  <si>
    <t>[MAV3]</t>
  </si>
  <si>
    <t>[MAV3]</t>
  </si>
  <si>
    <t>[MAV3]</t>
  </si>
  <si>
    <t>[OLMA w/o AD]</t>
  </si>
  <si>
    <t>[PowerShell admin]</t>
  </si>
  <si>
    <t>[Custom Exchange settings]</t>
  </si>
  <si>
    <t>All</t>
  </si>
  <si>
    <t>All</t>
  </si>
  <si>
    <t>All</t>
  </si>
  <si>
    <t>All</t>
  </si>
  <si>
    <t>All</t>
  </si>
  <si>
    <t>All</t>
  </si>
  <si>
    <t>All</t>
  </si>
  <si>
    <t>Meine Einrichtung verwendet zurzeit den Benachrichtigungsdienst für Kennwortänderungen (Password Change Notification Service, PCNS).</t>
  </si>
  <si>
    <t>Fälligkeits-
datum</t>
  </si>
  <si>
    <t>Bestimmen Sie gemeinsam mit den Lehrkräften, wie SharePoint und Lync in den Unterricht integriert werden können. Das Einrichten eines Office 365-Testkontos kann helfen, die Verwendung von SharePoint und Lync durch Ihre Einrichtung zu testen.</t>
  </si>
  <si>
    <t>Unterbrechen Sie die Synchronisierung von MAv3. Deinstallieren Sie MAv3 und alle Komponenten von Identity Lifecycle Manager (ILM) 2007, wenn Sie das Verzeichnissynchronisierungstool auf dem gleichen Server installieren möchten.</t>
  </si>
  <si>
    <t xml:space="preserve">NACH DEM UPGRADE: Office 365 für Bildungseinrichtungen </t>
  </si>
  <si>
    <r>
      <t>Meine Einrichtung</t>
    </r>
    <r>
      <rPr>
        <b/>
        <sz val="12"/>
        <color theme="1"/>
        <rFont val="Segoe UI"/>
        <family val="2"/>
      </rPr>
      <t xml:space="preserve"> verwendet zurzeit SkyDrive und Messenger</t>
    </r>
    <r>
      <rPr>
        <sz val="12"/>
        <color theme="1"/>
        <rFont val="Segoe UI"/>
        <family val="2"/>
      </rPr>
      <t xml:space="preserve"> beim Arbeitsablauf im Unterricht.</t>
    </r>
  </si>
  <si>
    <t xml:space="preserve">UPGRADE BEREITGESTELLT: Office 365 für Bildungseinrichtungen </t>
  </si>
  <si>
    <t>Bereiten Sie sich auf Änderungen bei der Bereitstellung vor. Überprüfen Sie Ihre Systemanforderungen, und verwenden Sie den Leitfaden, um sich auf das Upgrade vorzubereiten. In einigen Fällen können Updates am benutzerdefinierten Code erforderlich sein, um die Bereitstellung von Office 365 für Bildungseinrichtungen zu unterstützen.</t>
  </si>
  <si>
    <r>
      <rPr>
        <sz val="14"/>
        <color theme="1"/>
        <rFont val="Segoe UI"/>
        <family val="2"/>
      </rPr>
      <t xml:space="preserve">Detaillierte Informationen zum Planen und Verwalten Ihres Upgrades auf Office 365 für Bildungseinrichtungen finden Sie stets in der </t>
    </r>
    <r>
      <rPr>
        <u/>
        <sz val="14"/>
        <color rgb="FFFC4B00"/>
        <rFont val="Segoe UI"/>
        <family val="2"/>
      </rPr>
      <t>Upgradehilfe</t>
    </r>
    <r>
      <rPr>
        <sz val="14"/>
        <rFont val="Segoe UI"/>
        <family val="2"/>
      </rPr>
      <t>.</t>
    </r>
  </si>
  <si>
    <r>
      <t xml:space="preserve">Dieses Planungsarbeitsblatt soll Ihnen als Leitfaden zum Bestimmen der erforderlichen Aufgaben und der passenden Zeitplanung für das Upgrade von Live@edu auf Office 365 dienen. Wir stellen Ihnen einen empfohlenen Vier-Wochen-Plan als Ausgangspunkt zum Entwickeln eines eigenen Zeitplans zur Verfügung. Sie sollten jedoch alle Szenarien berücksichtigen, die für Ihre Einrichtung spezifisch sind, wenn Sie Ihren Upgradeplan entwerfen und endgültig festlegen, da jede Live@edu-Bereitstellung und -Umgebung anders ist. Es wird empfohlen, früher als vier Wochen im Voraus zu beginnen.
</t>
    </r>
    <r>
      <rPr>
        <sz val="14"/>
        <color theme="1"/>
        <rFont val="Segoe UI"/>
        <family val="2"/>
      </rPr>
      <t>So schließen Sie die ersten Schritte ab:</t>
    </r>
    <r>
      <rPr>
        <sz val="12"/>
        <color theme="1"/>
        <rFont val="Segoe UI"/>
        <family val="2"/>
      </rPr>
      <t xml:space="preserve">
</t>
    </r>
    <r>
      <rPr>
        <b/>
        <sz val="12"/>
        <color theme="1"/>
        <rFont val="Segoe UI"/>
        <family val="2"/>
      </rPr>
      <t>1)</t>
    </r>
    <r>
      <rPr>
        <sz val="12"/>
        <color theme="1"/>
        <rFont val="Segoe UI"/>
        <family val="2"/>
      </rPr>
      <t xml:space="preserve"> Klicken Sie auf die Registerkarte</t>
    </r>
    <r>
      <rPr>
        <b/>
        <sz val="12"/>
        <color rgb="FFFEA500"/>
        <rFont val="Segoe UI"/>
        <family val="2"/>
      </rPr>
      <t xml:space="preserve"> 4-Wochen-Plan</t>
    </r>
    <r>
      <rPr>
        <sz val="12"/>
        <color theme="1"/>
        <rFont val="Segoe UI"/>
        <family val="2"/>
      </rPr>
      <t xml:space="preserve"> unten auf diesem Arbeitsblatt.
</t>
    </r>
    <r>
      <rPr>
        <b/>
        <sz val="12"/>
        <color theme="1"/>
        <rFont val="Segoe UI"/>
        <family val="2"/>
      </rPr>
      <t>2)</t>
    </r>
    <r>
      <rPr>
        <sz val="12"/>
        <color theme="1"/>
        <rFont val="Segoe UI"/>
        <family val="2"/>
      </rPr>
      <t xml:space="preserve"> Geben Sie unter </t>
    </r>
    <r>
      <rPr>
        <b/>
        <sz val="12"/>
        <color rgb="FFFEA500"/>
        <rFont val="Segoe UI"/>
        <family val="2"/>
      </rPr>
      <t xml:space="preserve">Upgrade-Datum </t>
    </r>
    <r>
      <rPr>
        <sz val="12"/>
        <color theme="1"/>
        <rFont val="Segoe UI"/>
        <family val="2"/>
      </rPr>
      <t xml:space="preserve">entweder das Datum ein, an dem Ihre Einrichtung mit dem Upgrade auf Office 365 für Bildungseinrichtungen beginnen möchte oder das planmäßige Datum, das Ihnen für das Upgrade zugewiesen wurde.
</t>
    </r>
    <r>
      <rPr>
        <b/>
        <sz val="12"/>
        <color theme="1"/>
        <rFont val="Segoe UI"/>
        <family val="2"/>
      </rPr>
      <t xml:space="preserve">3) </t>
    </r>
    <r>
      <rPr>
        <sz val="12"/>
        <color theme="1"/>
        <rFont val="Segoe UI"/>
        <family val="2"/>
      </rPr>
      <t xml:space="preserve">Entscheiden Sie mit </t>
    </r>
    <r>
      <rPr>
        <b/>
        <sz val="12"/>
        <color rgb="FFFEA500"/>
        <rFont val="Segoe UI"/>
        <family val="2"/>
      </rPr>
      <t xml:space="preserve"> Auswählen</t>
    </r>
    <r>
      <rPr>
        <sz val="12"/>
        <color theme="1"/>
        <rFont val="Segoe UI"/>
        <family val="2"/>
      </rPr>
      <t xml:space="preserve">, welche Szenarien für die Live@edu-Bereitstellung an Ihrer Einrichtung gelten.  Bedenken Sie, dass wahrscheinlich nicht alle Szenarien für Ihre Einrichtungen gelten.
</t>
    </r>
    <r>
      <rPr>
        <b/>
        <sz val="12"/>
        <color theme="1"/>
        <rFont val="Segoe UI"/>
        <family val="2"/>
      </rPr>
      <t>4)</t>
    </r>
    <r>
      <rPr>
        <sz val="12"/>
        <color theme="1"/>
        <rFont val="Segoe UI"/>
        <family val="2"/>
      </rPr>
      <t xml:space="preserve"> Überprüfen Sie unten Ihre empfohlenen Aufgaben und den Zeitplan. Je nach Ihrer Auswahl variieren die Aufgaben, die Sie abschließen müssen. Aufgaben, die </t>
    </r>
    <r>
      <rPr>
        <i/>
        <u/>
        <sz val="12"/>
        <color theme="1"/>
        <rFont val="Segoe UI"/>
        <family val="2"/>
      </rPr>
      <t>nicht</t>
    </r>
    <r>
      <rPr>
        <sz val="12"/>
        <color theme="1"/>
        <rFont val="Segoe UI"/>
        <family val="2"/>
      </rPr>
      <t xml:space="preserve"> für Ihre Bereitstellung gelten, erscheinen ausgegraut.
</t>
    </r>
    <r>
      <rPr>
        <b/>
        <i/>
        <sz val="12"/>
        <color theme="1"/>
        <rFont val="Segoe UI"/>
        <family val="2"/>
      </rPr>
      <t>Bitte beachten Sie:</t>
    </r>
    <r>
      <rPr>
        <sz val="12"/>
        <color theme="1"/>
        <rFont val="Segoe UI"/>
        <family val="2"/>
      </rPr>
      <t xml:space="preserve">Dieses Planungsarbeitsblatt ist als Leitfaden zum Bestimmen der passenden Zeitplanung zu betrachten. Es sind möglicherweise nicht alle zentralen Daten, Meilensteine, Aktionen und Aufgaben enthalten, die für ein erfolgreiches Upgrade an Ihrer Einrichtung erforderlich sind. Verwenden Sie dieses Arbeitsblatt nur gemeinsam mit der Live@edu-Upgradehilfe und dem Live@edu-Upgradecenter.
</t>
    </r>
  </si>
  <si>
    <t xml:space="preserve">Zu einmaligem Anmelden (Single Sign-on, SSO) und Verbund: </t>
  </si>
  <si>
    <t>Kommunizieren Sie das Upgrade an die Benutzer:
  * Vergewissern Sie sich, dass der E-Mail-Zugriff https://www.outlook.com/&lt;Domäne&gt; lautet
  * Benutzer verfügen über zwei Konten und es wurden Änderungen am Portal durchgeführt.</t>
  </si>
  <si>
    <t>Kommunizieren Sie das Upgrade an die Benutzer:
  * Vergewissern Sie sich, dass der E-Mail-Zugriff https://www.outlook.com/&lt;Domäne&gt; lautet
  * Benutzer verfügen über zwei Konten; dies führt zu Änderungen am Portal</t>
  </si>
  <si>
    <t xml:space="preserve">
Führen Sie das Upgrade manuell durch oder sorgen Sie dafür, dass es am planmäßigen Upgradedatum automatisch durchgeführt werden kann. Überwachen Sie den Upgradestatus.</t>
  </si>
  <si>
    <t>Weitere Informationen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</si>
</sst>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36">
    <font>
      <sz val="11"/>
      <color theme="1"/>
      <name val="Calibri"/>
      <family val="2"/>
      <scheme val="minor"/>
    </font>
    <font>
      <sz val="11"/>
      <color theme="1"/>
      <name val="Segoe UI"/>
      <family val="2"/>
    </font>
    <font>
      <b/>
      <sz val="11"/>
      <color theme="0"/>
      <name val="Segoe UI"/>
      <family val="2"/>
    </font>
    <font>
      <b/>
      <sz val="11"/>
      <color theme="1"/>
      <name val="Segoe UI"/>
      <family val="2"/>
    </font>
    <font>
      <sz val="10"/>
      <color theme="1"/>
      <name val="Segoe UI"/>
      <family val="2"/>
    </font>
    <font>
      <b/>
      <sz val="11"/>
      <color rgb="FF92D050"/>
      <name val="Segoe UI"/>
      <family val="2"/>
    </font>
    <font>
      <b/>
      <sz val="15"/>
      <color theme="0"/>
      <name val="Segoe UI"/>
      <family val="2"/>
    </font>
    <font>
      <b/>
      <sz val="20"/>
      <name val="Segoe UI"/>
      <family val="2"/>
    </font>
    <font>
      <sz val="12"/>
      <color theme="1"/>
      <name val="Segoe UI"/>
      <family val="2"/>
    </font>
    <font>
      <b/>
      <sz val="12"/>
      <color theme="1"/>
      <name val="Segoe UI"/>
      <family val="2"/>
    </font>
    <font>
      <b/>
      <sz val="14"/>
      <color theme="0"/>
      <name val="Segoe UI"/>
      <family val="2"/>
    </font>
    <font>
      <u/>
      <sz val="6.6"/>
      <color theme="10"/>
      <name val="Calibri"/>
      <family val="2"/>
    </font>
    <font>
      <u/>
      <sz val="10"/>
      <color theme="10"/>
      <name val="Segoe UI"/>
      <family val="2"/>
    </font>
    <font>
      <sz val="10"/>
      <name val="Segoe UI"/>
      <family val="2"/>
    </font>
    <font>
      <b/>
      <sz val="10"/>
      <color theme="1"/>
      <name val="Segoe UI"/>
      <family val="2"/>
    </font>
    <font>
      <b/>
      <sz val="10"/>
      <color theme="0"/>
      <name val="Segoe UI"/>
      <family val="2"/>
    </font>
    <font>
      <sz val="14"/>
      <color theme="1"/>
      <name val="Segoe UI"/>
      <family val="2"/>
    </font>
    <font>
      <u/>
      <sz val="14"/>
      <color theme="10"/>
      <name val="Segoe UI"/>
      <family val="2"/>
    </font>
    <font>
      <sz val="8"/>
      <color rgb="FF000000"/>
      <name val="Tahoma"/>
      <family val="2"/>
    </font>
    <font>
      <b/>
      <sz val="16"/>
      <color theme="0"/>
      <name val="Segoe UI"/>
      <family val="2"/>
    </font>
    <font>
      <i/>
      <sz val="12"/>
      <color theme="1"/>
      <name val="Segoe UI"/>
      <family val="2"/>
    </font>
    <font>
      <i/>
      <u/>
      <sz val="12"/>
      <color theme="1"/>
      <name val="Segoe UI"/>
      <family val="2"/>
    </font>
    <font>
      <u/>
      <sz val="12"/>
      <color theme="1"/>
      <name val="Segoe UI"/>
      <family val="2"/>
    </font>
    <font>
      <sz val="11"/>
      <name val="Calibri"/>
      <family val="2"/>
      <scheme val="minor"/>
    </font>
    <font>
      <b/>
      <sz val="11"/>
      <name val="Calibri"/>
      <family val="2"/>
      <scheme val="minor"/>
    </font>
    <font>
      <sz val="18"/>
      <color theme="2"/>
      <name val="Segoe UI Semibold"/>
      <family val="2"/>
    </font>
    <font>
      <sz val="11"/>
      <color theme="0" tint="-0.249977111117893"/>
      <name val="Segoe UI"/>
      <family val="2"/>
    </font>
    <font>
      <sz val="10"/>
      <color theme="0" tint="-0.249977111117893"/>
      <name val="Segoe UI"/>
      <family val="2"/>
    </font>
    <font>
      <sz val="14"/>
      <color theme="0" tint="-0.249977111117893"/>
      <name val="Segoe UI"/>
      <family val="2"/>
    </font>
    <font>
      <b/>
      <i/>
      <sz val="12"/>
      <color theme="1"/>
      <name val="Segoe UI"/>
      <family val="2"/>
    </font>
    <font>
      <sz val="18"/>
      <color rgb="FFFFFFFF"/>
      <name val="Segoe UI Semibold"/>
      <family val="2"/>
    </font>
    <font>
      <b/>
      <sz val="12"/>
      <color rgb="FFFEA500"/>
      <name val="Segoe UI"/>
      <family val="2"/>
    </font>
    <font>
      <u/>
      <sz val="14"/>
      <color rgb="FFFC4B00"/>
      <name val="Segoe UI"/>
      <family val="2"/>
    </font>
    <font>
      <u/>
      <sz val="10"/>
      <color rgb="FFFC4B00"/>
      <name val="Segoe UI"/>
      <family val="2"/>
    </font>
    <font>
      <sz val="9"/>
      <name val="Calibri"/>
      <family val="3"/>
      <charset val="136"/>
      <scheme val="minor"/>
    </font>
    <font>
      <sz val="14"/>
      <name val="Segoe UI"/>
      <family val="2"/>
    </font>
  </fonts>
  <fills count="17">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69A12B"/>
        <bgColor indexed="64"/>
      </patternFill>
    </fill>
    <fill>
      <patternFill patternType="solid">
        <fgColor rgb="FF00B0F0"/>
        <bgColor indexed="64"/>
      </patternFill>
    </fill>
    <fill>
      <patternFill patternType="solid">
        <fgColor rgb="FFA3E7FF"/>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3"/>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3" tint="0.59996337778862885"/>
        <bgColor indexed="64"/>
      </patternFill>
    </fill>
    <fill>
      <patternFill patternType="solid">
        <fgColor theme="3" tint="0.3999450666829432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double">
        <color indexed="64"/>
      </bottom>
      <diagonal/>
    </border>
    <border>
      <left/>
      <right style="medium">
        <color indexed="64"/>
      </right>
      <top style="double">
        <color indexed="64"/>
      </top>
      <bottom style="thin">
        <color indexed="64"/>
      </bottom>
      <diagonal/>
    </border>
    <border>
      <left/>
      <right style="medium">
        <color indexed="64"/>
      </right>
      <top/>
      <bottom style="double">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s>
  <cellStyleXfs count="3">
    <xf numFmtId="0" fontId="0" fillId="0" borderId="0"/>
    <xf numFmtId="0" fontId="11" fillId="0" borderId="0" applyNumberFormat="0" applyFill="0" applyBorder="0" applyAlignment="0" applyProtection="0">
      <alignment vertical="top"/>
      <protection locked="0"/>
    </xf>
    <xf numFmtId="164" fontId="4" fillId="14" borderId="25" applyFont="0" applyBorder="0" applyAlignment="0">
      <alignment horizontal="center"/>
    </xf>
  </cellStyleXfs>
  <cellXfs count="230">
    <xf numFmtId="0" fontId="0" fillId="0" borderId="0" xfId="0"/>
    <xf numFmtId="0" fontId="1" fillId="0" borderId="0" xfId="0" applyFont="1"/>
    <xf numFmtId="0" fontId="1" fillId="0" borderId="0" xfId="0" applyFont="1" applyAlignment="1">
      <alignment horizontal="left"/>
    </xf>
    <xf numFmtId="0" fontId="1" fillId="4" borderId="0" xfId="0" applyFont="1" applyFill="1" applyAlignment="1">
      <alignment horizontal="left"/>
    </xf>
    <xf numFmtId="0" fontId="1" fillId="4" borderId="0" xfId="0" applyFont="1" applyFill="1"/>
    <xf numFmtId="0" fontId="1" fillId="4" borderId="0" xfId="0" applyFont="1" applyFill="1" applyAlignment="1">
      <alignment vertical="center" wrapText="1"/>
    </xf>
    <xf numFmtId="0" fontId="1" fillId="0" borderId="0" xfId="0" applyFont="1" applyAlignment="1">
      <alignment vertical="center" wrapText="1"/>
    </xf>
    <xf numFmtId="0" fontId="0" fillId="4" borderId="0" xfId="0" applyFill="1"/>
    <xf numFmtId="0" fontId="4" fillId="4" borderId="0" xfId="0" applyFont="1" applyFill="1" applyBorder="1" applyAlignment="1">
      <alignment vertical="top" wrapText="1"/>
    </xf>
    <xf numFmtId="0" fontId="3" fillId="7" borderId="12" xfId="0" applyFont="1" applyFill="1" applyBorder="1" applyAlignment="1">
      <alignment horizontal="left"/>
    </xf>
    <xf numFmtId="0" fontId="3" fillId="7" borderId="13" xfId="0" applyFont="1" applyFill="1" applyBorder="1" applyAlignment="1">
      <alignment horizontal="left"/>
    </xf>
    <xf numFmtId="16" fontId="3" fillId="7" borderId="13" xfId="0" applyNumberFormat="1" applyFont="1" applyFill="1" applyBorder="1" applyAlignment="1">
      <alignment vertical="center" wrapText="1"/>
    </xf>
    <xf numFmtId="0" fontId="3" fillId="7" borderId="13" xfId="0" applyFont="1" applyFill="1" applyBorder="1" applyAlignment="1">
      <alignment vertical="center" wrapText="1"/>
    </xf>
    <xf numFmtId="0" fontId="3" fillId="7" borderId="15" xfId="0" applyFont="1" applyFill="1" applyBorder="1" applyAlignment="1">
      <alignment horizontal="left"/>
    </xf>
    <xf numFmtId="16" fontId="3" fillId="7" borderId="15" xfId="0" applyNumberFormat="1" applyFont="1" applyFill="1" applyBorder="1" applyAlignment="1">
      <alignment vertical="center" wrapText="1"/>
    </xf>
    <xf numFmtId="0" fontId="3" fillId="7" borderId="15" xfId="0" applyFont="1" applyFill="1" applyBorder="1" applyAlignment="1">
      <alignment vertical="center" wrapText="1"/>
    </xf>
    <xf numFmtId="0" fontId="3" fillId="7" borderId="14" xfId="0" applyFont="1" applyFill="1" applyBorder="1" applyAlignment="1">
      <alignment horizontal="left"/>
    </xf>
    <xf numFmtId="16" fontId="3" fillId="8" borderId="0" xfId="0" applyNumberFormat="1" applyFont="1" applyFill="1" applyBorder="1" applyAlignment="1">
      <alignment vertical="center" wrapText="1"/>
    </xf>
    <xf numFmtId="0" fontId="3" fillId="8" borderId="0" xfId="0" applyFont="1" applyFill="1" applyBorder="1" applyAlignment="1">
      <alignment vertical="center" wrapText="1"/>
    </xf>
    <xf numFmtId="0" fontId="0" fillId="3" borderId="0" xfId="0" applyFill="1"/>
    <xf numFmtId="16" fontId="2" fillId="9" borderId="0" xfId="0" applyNumberFormat="1" applyFont="1" applyFill="1" applyBorder="1" applyAlignment="1">
      <alignment vertical="center"/>
    </xf>
    <xf numFmtId="0" fontId="4" fillId="4" borderId="0" xfId="0" applyFont="1" applyFill="1" applyAlignment="1">
      <alignment horizontal="left" vertical="center" wrapText="1"/>
    </xf>
    <xf numFmtId="0" fontId="4" fillId="0" borderId="0" xfId="0" applyFont="1" applyAlignment="1">
      <alignment horizontal="left" vertical="center" wrapText="1"/>
    </xf>
    <xf numFmtId="0" fontId="8" fillId="4" borderId="7" xfId="0" applyFont="1" applyFill="1" applyBorder="1" applyAlignment="1">
      <alignment horizontal="left" vertical="top" wrapText="1" indent="2"/>
    </xf>
    <xf numFmtId="164" fontId="6" fillId="4" borderId="0" xfId="0" applyNumberFormat="1" applyFont="1" applyFill="1" applyBorder="1" applyAlignment="1">
      <alignment horizontal="center" vertical="center"/>
    </xf>
    <xf numFmtId="0" fontId="16" fillId="4" borderId="0" xfId="0" applyFont="1" applyFill="1" applyAlignment="1">
      <alignment horizontal="left" vertical="center" wrapText="1"/>
    </xf>
    <xf numFmtId="0" fontId="16" fillId="4" borderId="0" xfId="0" applyFont="1" applyFill="1" applyAlignment="1">
      <alignment wrapText="1"/>
    </xf>
    <xf numFmtId="0" fontId="16" fillId="0" borderId="0" xfId="0" applyFont="1" applyAlignment="1">
      <alignment wrapText="1"/>
    </xf>
    <xf numFmtId="0" fontId="1" fillId="4" borderId="0" xfId="0" applyFont="1" applyFill="1" applyAlignment="1">
      <alignment horizontal="center" vertical="center"/>
    </xf>
    <xf numFmtId="0" fontId="1" fillId="0" borderId="0" xfId="0" applyFont="1" applyAlignment="1">
      <alignment horizontal="center" vertical="center"/>
    </xf>
    <xf numFmtId="0" fontId="5" fillId="4" borderId="0" xfId="0" applyFont="1" applyFill="1" applyBorder="1" applyAlignment="1">
      <alignment horizontal="center" vertical="center"/>
    </xf>
    <xf numFmtId="16" fontId="2" fillId="4" borderId="0" xfId="0" applyNumberFormat="1" applyFont="1" applyFill="1" applyBorder="1" applyAlignment="1">
      <alignment horizontal="center" vertical="center"/>
    </xf>
    <xf numFmtId="0" fontId="4" fillId="4" borderId="0" xfId="0" applyFont="1" applyFill="1" applyBorder="1" applyAlignment="1">
      <alignment horizontal="center" vertical="center" wrapText="1"/>
    </xf>
    <xf numFmtId="0" fontId="4" fillId="0" borderId="1" xfId="0" applyFont="1" applyBorder="1" applyAlignment="1">
      <alignment horizontal="center" vertical="center"/>
    </xf>
    <xf numFmtId="0" fontId="3" fillId="7" borderId="13" xfId="0" applyFont="1" applyFill="1" applyBorder="1" applyAlignment="1">
      <alignment horizontal="center" vertical="center"/>
    </xf>
    <xf numFmtId="164" fontId="3" fillId="8" borderId="0" xfId="0" applyNumberFormat="1" applyFont="1" applyFill="1" applyBorder="1" applyAlignment="1">
      <alignment horizontal="center" vertical="center"/>
    </xf>
    <xf numFmtId="0" fontId="3" fillId="7" borderId="15" xfId="0" applyFont="1" applyFill="1" applyBorder="1" applyAlignment="1">
      <alignment horizontal="center" vertical="center"/>
    </xf>
    <xf numFmtId="0" fontId="4" fillId="0" borderId="11" xfId="0" applyFont="1" applyBorder="1" applyAlignment="1">
      <alignment horizontal="center" vertical="center"/>
    </xf>
    <xf numFmtId="164" fontId="2" fillId="6" borderId="0" xfId="0" applyNumberFormat="1" applyFont="1" applyFill="1" applyBorder="1" applyAlignment="1">
      <alignment horizontal="center" vertical="center" wrapText="1"/>
    </xf>
    <xf numFmtId="164" fontId="8" fillId="4" borderId="8" xfId="0" applyNumberFormat="1" applyFont="1" applyFill="1" applyBorder="1" applyAlignment="1">
      <alignment horizontal="left" vertical="center" wrapText="1"/>
    </xf>
    <xf numFmtId="0" fontId="8" fillId="10" borderId="7" xfId="0" applyFont="1" applyFill="1" applyBorder="1" applyAlignment="1">
      <alignment horizontal="left" vertical="top" wrapText="1" indent="2"/>
    </xf>
    <xf numFmtId="164" fontId="8" fillId="10" borderId="8" xfId="0" applyNumberFormat="1" applyFont="1" applyFill="1" applyBorder="1" applyAlignment="1">
      <alignment horizontal="left" vertical="center" wrapText="1"/>
    </xf>
    <xf numFmtId="0" fontId="8" fillId="10" borderId="7" xfId="0" applyFont="1" applyFill="1" applyBorder="1" applyAlignment="1">
      <alignment horizontal="left" vertical="top" indent="2"/>
    </xf>
    <xf numFmtId="0" fontId="8" fillId="4" borderId="4" xfId="0" applyFont="1" applyFill="1" applyBorder="1" applyAlignment="1">
      <alignment horizontal="left" vertical="center"/>
    </xf>
    <xf numFmtId="164" fontId="8" fillId="4" borderId="5" xfId="0" applyNumberFormat="1" applyFont="1" applyFill="1" applyBorder="1" applyAlignment="1">
      <alignment horizontal="left" vertical="center" wrapText="1"/>
    </xf>
    <xf numFmtId="0" fontId="9" fillId="4" borderId="7" xfId="0" applyFont="1" applyFill="1" applyBorder="1" applyAlignment="1">
      <alignment horizontal="left" vertical="top" wrapText="1"/>
    </xf>
    <xf numFmtId="0" fontId="8" fillId="4" borderId="7" xfId="0" applyFont="1" applyFill="1" applyBorder="1" applyAlignment="1">
      <alignment horizontal="left" vertical="top" wrapText="1" indent="2"/>
    </xf>
    <xf numFmtId="0" fontId="4" fillId="4" borderId="0" xfId="0" applyFont="1" applyFill="1" applyBorder="1" applyAlignment="1">
      <alignment horizontal="left" vertical="center" wrapText="1"/>
    </xf>
    <xf numFmtId="0" fontId="2" fillId="2" borderId="6" xfId="0" applyFont="1" applyFill="1" applyBorder="1" applyAlignment="1">
      <alignment horizontal="center" vertical="center"/>
    </xf>
    <xf numFmtId="0" fontId="9" fillId="4" borderId="7" xfId="0" applyFont="1" applyFill="1" applyBorder="1" applyAlignment="1">
      <alignment horizontal="left" vertical="top" wrapText="1" indent="2"/>
    </xf>
    <xf numFmtId="164" fontId="2" fillId="9" borderId="0" xfId="0" applyNumberFormat="1" applyFont="1" applyFill="1" applyBorder="1" applyAlignment="1">
      <alignment horizontal="center" vertical="center" wrapText="1"/>
    </xf>
    <xf numFmtId="0" fontId="5" fillId="4" borderId="0" xfId="0" applyFont="1" applyFill="1" applyBorder="1" applyAlignment="1">
      <alignment horizontal="center"/>
    </xf>
    <xf numFmtId="16" fontId="2" fillId="4" borderId="0" xfId="0" applyNumberFormat="1" applyFont="1" applyFill="1" applyBorder="1" applyAlignment="1">
      <alignment horizontal="center"/>
    </xf>
    <xf numFmtId="0" fontId="4" fillId="0" borderId="1" xfId="0" applyFont="1" applyFill="1" applyBorder="1" applyAlignment="1">
      <alignment horizontal="center" vertical="center"/>
    </xf>
    <xf numFmtId="0" fontId="0" fillId="0" borderId="0" xfId="0" applyAlignment="1">
      <alignment vertical="center"/>
    </xf>
    <xf numFmtId="0" fontId="1" fillId="4" borderId="0" xfId="0" applyFont="1" applyFill="1" applyAlignment="1">
      <alignment horizontal="left" vertical="center"/>
    </xf>
    <xf numFmtId="0" fontId="1" fillId="4" borderId="0" xfId="0" applyFont="1" applyFill="1" applyAlignment="1">
      <alignment horizontal="center"/>
    </xf>
    <xf numFmtId="0" fontId="1" fillId="0" borderId="0" xfId="0" applyFont="1" applyAlignment="1">
      <alignment horizontal="center"/>
    </xf>
    <xf numFmtId="0" fontId="23" fillId="0" borderId="1" xfId="0" applyFont="1" applyFill="1" applyBorder="1" applyAlignment="1">
      <alignment vertical="top"/>
    </xf>
    <xf numFmtId="0" fontId="23" fillId="0" borderId="1" xfId="0" applyFont="1" applyFill="1" applyBorder="1" applyAlignment="1">
      <alignment horizontal="center" vertical="top"/>
    </xf>
    <xf numFmtId="0" fontId="1" fillId="0" borderId="1" xfId="0" applyFont="1" applyFill="1" applyBorder="1"/>
    <xf numFmtId="0" fontId="16" fillId="4" borderId="0" xfId="0" applyFont="1" applyFill="1" applyAlignment="1">
      <alignment horizontal="center" wrapText="1"/>
    </xf>
    <xf numFmtId="0" fontId="24" fillId="0" borderId="45" xfId="0" applyFont="1" applyFill="1" applyBorder="1" applyAlignment="1">
      <alignment horizontal="center" vertical="center" wrapText="1"/>
    </xf>
    <xf numFmtId="0" fontId="1" fillId="2" borderId="1" xfId="0" applyFont="1" applyFill="1" applyBorder="1"/>
    <xf numFmtId="0" fontId="3" fillId="7" borderId="13" xfId="0" applyFont="1" applyFill="1" applyBorder="1" applyAlignment="1">
      <alignment vertical="center"/>
    </xf>
    <xf numFmtId="16" fontId="3" fillId="8" borderId="0" xfId="0" applyNumberFormat="1" applyFont="1" applyFill="1" applyBorder="1" applyAlignment="1">
      <alignment horizontal="left" vertical="center"/>
    </xf>
    <xf numFmtId="0" fontId="4" fillId="0" borderId="1" xfId="0" applyFont="1" applyBorder="1" applyAlignment="1">
      <alignment horizontal="center" vertical="center" wrapText="1"/>
    </xf>
    <xf numFmtId="0" fontId="3" fillId="7" borderId="15" xfId="0" applyFont="1" applyFill="1" applyBorder="1" applyAlignment="1">
      <alignment vertical="center"/>
    </xf>
    <xf numFmtId="16" fontId="2" fillId="6" borderId="0" xfId="0" applyNumberFormat="1" applyFont="1" applyFill="1" applyBorder="1" applyAlignment="1">
      <alignment vertical="center"/>
    </xf>
    <xf numFmtId="0" fontId="4" fillId="0" borderId="11" xfId="0" applyFont="1" applyBorder="1" applyAlignment="1">
      <alignment horizontal="center" vertical="center" wrapText="1"/>
    </xf>
    <xf numFmtId="0" fontId="24" fillId="3"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24" fillId="2" borderId="45" xfId="0" applyFont="1" applyFill="1" applyBorder="1" applyAlignment="1">
      <alignment horizontal="center" vertical="center"/>
    </xf>
    <xf numFmtId="0" fontId="23" fillId="0" borderId="1" xfId="0" applyFont="1" applyFill="1" applyBorder="1" applyAlignment="1">
      <alignment horizontal="left" vertical="top" indent="1"/>
    </xf>
    <xf numFmtId="0" fontId="1" fillId="0" borderId="1" xfId="0" applyFont="1" applyFill="1" applyBorder="1" applyAlignment="1">
      <alignment horizontal="left" indent="1"/>
    </xf>
    <xf numFmtId="0" fontId="1" fillId="2" borderId="1" xfId="0" applyFont="1" applyFill="1" applyBorder="1" applyAlignment="1">
      <alignment horizontal="left" indent="1"/>
    </xf>
    <xf numFmtId="0" fontId="23" fillId="0" borderId="1" xfId="0" applyFont="1" applyFill="1" applyBorder="1" applyAlignment="1">
      <alignment horizontal="left" vertical="top" wrapText="1" indent="1"/>
    </xf>
    <xf numFmtId="0" fontId="23" fillId="0" borderId="1" xfId="0" applyFont="1" applyFill="1" applyBorder="1" applyAlignment="1">
      <alignment horizontal="center" vertical="top" wrapText="1"/>
    </xf>
    <xf numFmtId="0" fontId="2" fillId="2" borderId="6" xfId="0" applyFont="1" applyFill="1" applyBorder="1" applyAlignment="1">
      <alignment horizontal="left" vertical="center"/>
    </xf>
    <xf numFmtId="0" fontId="4" fillId="0" borderId="1" xfId="0" applyFont="1" applyFill="1" applyBorder="1" applyAlignment="1">
      <alignment horizontal="left" vertical="center"/>
    </xf>
    <xf numFmtId="0" fontId="3" fillId="7" borderId="13" xfId="0" applyFont="1" applyFill="1" applyBorder="1" applyAlignment="1">
      <alignment horizontal="left" vertical="center"/>
    </xf>
    <xf numFmtId="0" fontId="4" fillId="0" borderId="1" xfId="0" applyFont="1" applyBorder="1" applyAlignment="1">
      <alignment horizontal="left" vertical="center"/>
    </xf>
    <xf numFmtId="0" fontId="3" fillId="7" borderId="15" xfId="0" applyFont="1" applyFill="1" applyBorder="1" applyAlignment="1">
      <alignment horizontal="left" vertical="center"/>
    </xf>
    <xf numFmtId="16" fontId="2" fillId="6" borderId="0" xfId="0" applyNumberFormat="1" applyFont="1" applyFill="1" applyBorder="1" applyAlignment="1">
      <alignment horizontal="left" vertical="center"/>
    </xf>
    <xf numFmtId="16" fontId="2" fillId="9" borderId="0" xfId="0" applyNumberFormat="1" applyFont="1" applyFill="1" applyBorder="1" applyAlignment="1">
      <alignment horizontal="left" vertical="center"/>
    </xf>
    <xf numFmtId="0" fontId="4" fillId="0" borderId="11" xfId="0" applyFont="1" applyBorder="1" applyAlignment="1">
      <alignment horizontal="left" vertical="center"/>
    </xf>
    <xf numFmtId="0" fontId="16" fillId="4" borderId="0" xfId="0" applyFont="1" applyFill="1" applyAlignment="1">
      <alignment horizontal="left" vertical="center"/>
    </xf>
    <xf numFmtId="0" fontId="1" fillId="0" borderId="0" xfId="0" applyFont="1" applyAlignment="1">
      <alignment horizontal="left" vertical="center"/>
    </xf>
    <xf numFmtId="0" fontId="4" fillId="0"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6" borderId="1" xfId="0" applyFont="1" applyFill="1" applyBorder="1" applyAlignment="1">
      <alignment horizontal="center" vertical="center"/>
    </xf>
    <xf numFmtId="0" fontId="4" fillId="16" borderId="1" xfId="0" applyFont="1" applyFill="1" applyBorder="1" applyAlignment="1">
      <alignment horizontal="center" vertical="center" wrapText="1"/>
    </xf>
    <xf numFmtId="0" fontId="4" fillId="16" borderId="39" xfId="0" applyFont="1" applyFill="1" applyBorder="1" applyAlignment="1">
      <alignment horizontal="center" vertical="center"/>
    </xf>
    <xf numFmtId="0" fontId="4" fillId="14" borderId="1" xfId="0" applyFont="1" applyFill="1" applyBorder="1" applyAlignment="1">
      <alignment horizontal="center" vertical="center" wrapText="1"/>
    </xf>
    <xf numFmtId="0" fontId="26" fillId="4" borderId="0" xfId="0" applyFont="1" applyFill="1" applyAlignment="1">
      <alignment horizontal="center" vertical="center"/>
    </xf>
    <xf numFmtId="0" fontId="27" fillId="4" borderId="0" xfId="0" applyFont="1" applyFill="1" applyAlignment="1">
      <alignment horizontal="center" vertical="center" wrapText="1"/>
    </xf>
    <xf numFmtId="0" fontId="20" fillId="4" borderId="8" xfId="0" applyFont="1" applyFill="1" applyBorder="1" applyAlignment="1">
      <alignment horizontal="center" vertical="center" wrapText="1"/>
    </xf>
    <xf numFmtId="0" fontId="24" fillId="4" borderId="45" xfId="0" applyFont="1" applyFill="1" applyBorder="1" applyAlignment="1">
      <alignment horizontal="center" vertical="center"/>
    </xf>
    <xf numFmtId="0" fontId="4" fillId="4" borderId="0" xfId="0" applyFont="1" applyFill="1" applyAlignment="1">
      <alignment horizontal="left" vertical="center"/>
    </xf>
    <xf numFmtId="0" fontId="8" fillId="4" borderId="7" xfId="0" applyFont="1" applyFill="1" applyBorder="1" applyAlignment="1">
      <alignment horizontal="left" vertical="center" wrapText="1" indent="2"/>
    </xf>
    <xf numFmtId="0" fontId="8" fillId="4" borderId="7" xfId="0" applyFont="1" applyFill="1" applyBorder="1" applyAlignment="1">
      <alignment horizontal="left" vertical="center" wrapText="1" indent="5"/>
    </xf>
    <xf numFmtId="0" fontId="26" fillId="4" borderId="1" xfId="0" applyFont="1" applyFill="1" applyBorder="1" applyAlignment="1">
      <alignment horizontal="center" vertical="center"/>
    </xf>
    <xf numFmtId="0" fontId="26" fillId="4" borderId="0" xfId="0" applyFont="1" applyFill="1"/>
    <xf numFmtId="0" fontId="28" fillId="4" borderId="0" xfId="0" applyFont="1" applyFill="1" applyAlignment="1">
      <alignment wrapText="1"/>
    </xf>
    <xf numFmtId="0" fontId="26" fillId="0" borderId="0" xfId="0" applyFont="1"/>
    <xf numFmtId="0" fontId="26" fillId="4" borderId="0" xfId="0" applyFont="1" applyFill="1" applyAlignment="1">
      <alignment horizontal="left"/>
    </xf>
    <xf numFmtId="0" fontId="10" fillId="11" borderId="46" xfId="0" applyFont="1" applyFill="1" applyBorder="1" applyAlignment="1">
      <alignment horizontal="left"/>
    </xf>
    <xf numFmtId="0" fontId="10" fillId="11" borderId="47" xfId="0" applyFont="1" applyFill="1" applyBorder="1" applyAlignment="1">
      <alignment horizontal="left"/>
    </xf>
    <xf numFmtId="0" fontId="10" fillId="11" borderId="48" xfId="0" applyFont="1" applyFill="1" applyBorder="1" applyAlignment="1">
      <alignment horizontal="left"/>
    </xf>
    <xf numFmtId="0" fontId="25" fillId="12" borderId="0" xfId="0" applyFont="1" applyFill="1" applyBorder="1" applyAlignment="1">
      <alignment horizontal="left" wrapText="1" indent="2"/>
    </xf>
    <xf numFmtId="0" fontId="0" fillId="4" borderId="0" xfId="0" applyFill="1" applyAlignment="1">
      <alignment horizontal="center" wrapText="1"/>
    </xf>
    <xf numFmtId="0" fontId="8" fillId="4" borderId="49" xfId="0" applyFont="1" applyFill="1" applyBorder="1" applyAlignment="1">
      <alignment horizontal="left" vertical="top" wrapText="1" indent="2"/>
    </xf>
    <xf numFmtId="0" fontId="8" fillId="4" borderId="0" xfId="0" applyFont="1" applyFill="1" applyBorder="1" applyAlignment="1">
      <alignment horizontal="left" vertical="top" wrapText="1" indent="2"/>
    </xf>
    <xf numFmtId="0" fontId="8" fillId="4" borderId="50" xfId="0" applyFont="1" applyFill="1" applyBorder="1" applyAlignment="1">
      <alignment horizontal="left" vertical="top" wrapText="1" indent="2"/>
    </xf>
    <xf numFmtId="0" fontId="8" fillId="4" borderId="51" xfId="0" applyFont="1" applyFill="1" applyBorder="1" applyAlignment="1">
      <alignment horizontal="left" vertical="top" wrapText="1" indent="2"/>
    </xf>
    <xf numFmtId="0" fontId="8" fillId="4" borderId="52" xfId="0" applyFont="1" applyFill="1" applyBorder="1" applyAlignment="1">
      <alignment horizontal="left" vertical="top" wrapText="1" indent="2"/>
    </xf>
    <xf numFmtId="0" fontId="8" fillId="4" borderId="53" xfId="0" applyFont="1" applyFill="1" applyBorder="1" applyAlignment="1">
      <alignment horizontal="left" vertical="top" wrapText="1" indent="2"/>
    </xf>
    <xf numFmtId="0" fontId="25" fillId="12" borderId="0" xfId="0" applyFont="1" applyFill="1" applyBorder="1" applyAlignment="1">
      <alignment horizontal="left" vertical="top" wrapText="1" indent="2"/>
    </xf>
    <xf numFmtId="0" fontId="0" fillId="0" borderId="0" xfId="0" applyFill="1" applyBorder="1" applyAlignment="1">
      <alignment horizontal="center"/>
    </xf>
    <xf numFmtId="0" fontId="0" fillId="13" borderId="0" xfId="0" applyFill="1" applyBorder="1" applyAlignment="1">
      <alignment horizontal="center"/>
    </xf>
    <xf numFmtId="0" fontId="4" fillId="0" borderId="16" xfId="0" applyFont="1" applyBorder="1" applyAlignment="1">
      <alignment horizontal="left" vertical="center" wrapText="1"/>
    </xf>
    <xf numFmtId="0" fontId="4" fillId="0" borderId="21" xfId="0" applyFont="1" applyBorder="1" applyAlignment="1">
      <alignment horizontal="left" vertical="center" wrapText="1"/>
    </xf>
    <xf numFmtId="0" fontId="4" fillId="0" borderId="16" xfId="0" applyFont="1" applyBorder="1" applyAlignment="1">
      <alignment vertical="center" wrapText="1"/>
    </xf>
    <xf numFmtId="0" fontId="4" fillId="0" borderId="21" xfId="0" applyFont="1" applyBorder="1" applyAlignment="1">
      <alignment vertical="center" wrapText="1"/>
    </xf>
    <xf numFmtId="0" fontId="3" fillId="8" borderId="24" xfId="0" applyFont="1" applyFill="1" applyBorder="1" applyAlignment="1">
      <alignment horizontal="center"/>
    </xf>
    <xf numFmtId="0" fontId="3" fillId="8" borderId="18" xfId="0" applyFont="1" applyFill="1" applyBorder="1" applyAlignment="1">
      <alignment horizontal="center"/>
    </xf>
    <xf numFmtId="164" fontId="4" fillId="0" borderId="25" xfId="0" applyNumberFormat="1" applyFont="1" applyBorder="1" applyAlignment="1">
      <alignment horizontal="center"/>
    </xf>
    <xf numFmtId="164" fontId="4" fillId="0" borderId="21" xfId="0" applyNumberFormat="1" applyFont="1" applyBorder="1" applyAlignment="1">
      <alignment horizontal="center"/>
    </xf>
    <xf numFmtId="0" fontId="12" fillId="0" borderId="16" xfId="1" applyFont="1" applyBorder="1" applyAlignment="1" applyProtection="1">
      <alignment horizontal="left" vertical="center" wrapText="1"/>
    </xf>
    <xf numFmtId="0" fontId="12" fillId="0" borderId="19" xfId="1" applyFont="1" applyBorder="1" applyAlignment="1" applyProtection="1">
      <alignment horizontal="left" vertical="center" wrapText="1"/>
    </xf>
    <xf numFmtId="0" fontId="12" fillId="0" borderId="35" xfId="1" applyFont="1" applyBorder="1" applyAlignment="1" applyProtection="1">
      <alignment horizontal="left" vertical="center" wrapText="1"/>
    </xf>
    <xf numFmtId="0" fontId="4" fillId="16" borderId="16" xfId="0" applyFont="1" applyFill="1" applyBorder="1" applyAlignment="1">
      <alignment vertical="center" wrapText="1"/>
    </xf>
    <xf numFmtId="0" fontId="4" fillId="16" borderId="21" xfId="0" applyFont="1" applyFill="1" applyBorder="1" applyAlignment="1">
      <alignment vertical="center" wrapText="1"/>
    </xf>
    <xf numFmtId="0" fontId="12" fillId="16" borderId="16" xfId="1" applyFont="1" applyFill="1" applyBorder="1" applyAlignment="1" applyProtection="1">
      <alignment horizontal="left" vertical="center" wrapText="1"/>
    </xf>
    <xf numFmtId="0" fontId="12" fillId="16" borderId="19" xfId="1" applyFont="1" applyFill="1" applyBorder="1" applyAlignment="1" applyProtection="1">
      <alignment horizontal="left" vertical="center" wrapText="1"/>
    </xf>
    <xf numFmtId="0" fontId="12" fillId="16" borderId="35" xfId="1" applyFont="1" applyFill="1" applyBorder="1" applyAlignment="1" applyProtection="1">
      <alignment horizontal="left" vertical="center" wrapText="1"/>
    </xf>
    <xf numFmtId="164" fontId="4" fillId="16" borderId="25" xfId="0" applyNumberFormat="1" applyFont="1" applyFill="1" applyBorder="1" applyAlignment="1">
      <alignment horizontal="center"/>
    </xf>
    <xf numFmtId="164" fontId="4" fillId="16" borderId="21" xfId="0" applyNumberFormat="1" applyFont="1" applyFill="1" applyBorder="1" applyAlignment="1">
      <alignment horizontal="center"/>
    </xf>
    <xf numFmtId="164" fontId="4" fillId="0" borderId="9" xfId="0" applyNumberFormat="1" applyFont="1" applyBorder="1" applyAlignment="1">
      <alignment horizontal="center"/>
    </xf>
    <xf numFmtId="164" fontId="4" fillId="0" borderId="1" xfId="0" applyNumberFormat="1" applyFont="1" applyBorder="1" applyAlignment="1">
      <alignment horizontal="center"/>
    </xf>
    <xf numFmtId="164" fontId="4" fillId="16" borderId="9" xfId="0" applyNumberFormat="1" applyFont="1" applyFill="1" applyBorder="1" applyAlignment="1">
      <alignment horizontal="center"/>
    </xf>
    <xf numFmtId="164" fontId="4" fillId="16" borderId="1" xfId="0" applyNumberFormat="1" applyFont="1" applyFill="1" applyBorder="1" applyAlignment="1">
      <alignment horizontal="center"/>
    </xf>
    <xf numFmtId="0" fontId="4" fillId="16" borderId="16" xfId="0" applyFont="1" applyFill="1" applyBorder="1" applyAlignment="1">
      <alignment horizontal="left" vertical="center" wrapText="1"/>
    </xf>
    <xf numFmtId="0" fontId="4" fillId="16" borderId="21" xfId="0" applyFont="1" applyFill="1" applyBorder="1" applyAlignment="1">
      <alignment horizontal="left" vertical="center" wrapText="1"/>
    </xf>
    <xf numFmtId="0" fontId="11" fillId="0" borderId="16" xfId="1" applyBorder="1" applyAlignment="1" applyProtection="1">
      <alignment horizontal="left" vertical="center" wrapText="1"/>
    </xf>
    <xf numFmtId="0" fontId="11" fillId="0" borderId="19" xfId="1" applyBorder="1" applyAlignment="1" applyProtection="1">
      <alignment horizontal="left" vertical="center" wrapText="1"/>
    </xf>
    <xf numFmtId="0" fontId="11" fillId="0" borderId="35" xfId="1" applyBorder="1" applyAlignment="1" applyProtection="1">
      <alignment horizontal="left" vertical="center" wrapText="1"/>
    </xf>
    <xf numFmtId="16" fontId="14" fillId="7" borderId="15" xfId="0" applyNumberFormat="1" applyFont="1" applyFill="1" applyBorder="1" applyAlignment="1">
      <alignment horizontal="center" vertical="center" wrapText="1"/>
    </xf>
    <xf numFmtId="16" fontId="14" fillId="7" borderId="41" xfId="0" applyNumberFormat="1" applyFont="1" applyFill="1" applyBorder="1" applyAlignment="1">
      <alignment horizontal="center" vertical="center" wrapText="1"/>
    </xf>
    <xf numFmtId="16" fontId="14" fillId="8" borderId="18" xfId="0" applyNumberFormat="1" applyFont="1" applyFill="1" applyBorder="1" applyAlignment="1">
      <alignment horizontal="center" vertical="center" wrapText="1"/>
    </xf>
    <xf numFmtId="16" fontId="14" fillId="8" borderId="42" xfId="0" applyNumberFormat="1" applyFont="1" applyFill="1" applyBorder="1" applyAlignment="1">
      <alignment horizontal="center" vertical="center" wrapText="1"/>
    </xf>
    <xf numFmtId="0" fontId="12" fillId="0" borderId="16" xfId="1" applyFont="1" applyBorder="1" applyAlignment="1" applyProtection="1">
      <alignment vertical="center" wrapText="1"/>
    </xf>
    <xf numFmtId="0" fontId="12" fillId="0" borderId="19" xfId="1" applyFont="1" applyBorder="1" applyAlignment="1" applyProtection="1">
      <alignment vertical="center" wrapText="1"/>
    </xf>
    <xf numFmtId="0" fontId="12" fillId="0" borderId="35" xfId="1" applyFont="1" applyBorder="1" applyAlignment="1" applyProtection="1">
      <alignment vertical="center" wrapText="1"/>
    </xf>
    <xf numFmtId="164" fontId="4" fillId="16" borderId="31" xfId="0" applyNumberFormat="1" applyFont="1" applyFill="1" applyBorder="1" applyAlignment="1">
      <alignment horizontal="center"/>
    </xf>
    <xf numFmtId="164" fontId="4" fillId="16" borderId="38" xfId="0" applyNumberFormat="1" applyFont="1" applyFill="1" applyBorder="1" applyAlignment="1">
      <alignment horizontal="center"/>
    </xf>
    <xf numFmtId="0" fontId="2" fillId="9" borderId="25"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6" borderId="25" xfId="0" applyFont="1" applyFill="1" applyBorder="1" applyAlignment="1">
      <alignment horizontal="center" vertical="center"/>
    </xf>
    <xf numFmtId="0" fontId="2" fillId="6" borderId="19" xfId="0" applyFont="1" applyFill="1" applyBorder="1" applyAlignment="1">
      <alignment horizontal="center" vertical="center"/>
    </xf>
    <xf numFmtId="16" fontId="14" fillId="7" borderId="13" xfId="0" applyNumberFormat="1" applyFont="1" applyFill="1" applyBorder="1" applyAlignment="1">
      <alignment horizontal="center" vertical="center" wrapText="1"/>
    </xf>
    <xf numFmtId="16" fontId="14" fillId="7" borderId="43" xfId="0" applyNumberFormat="1" applyFont="1" applyFill="1" applyBorder="1" applyAlignment="1">
      <alignment horizontal="center" vertical="center" wrapText="1"/>
    </xf>
    <xf numFmtId="164" fontId="4" fillId="14" borderId="25" xfId="0" applyNumberFormat="1" applyFont="1" applyFill="1" applyBorder="1" applyAlignment="1">
      <alignment horizontal="center"/>
    </xf>
    <xf numFmtId="164" fontId="4" fillId="14" borderId="21" xfId="0" applyNumberFormat="1" applyFont="1" applyFill="1" applyBorder="1" applyAlignment="1">
      <alignment horizontal="center"/>
    </xf>
    <xf numFmtId="0" fontId="4" fillId="14" borderId="16" xfId="0" applyFont="1" applyFill="1" applyBorder="1" applyAlignment="1">
      <alignment horizontal="left" vertical="center" wrapText="1"/>
    </xf>
    <xf numFmtId="0" fontId="4" fillId="14" borderId="21" xfId="0" applyFont="1" applyFill="1" applyBorder="1" applyAlignment="1">
      <alignment horizontal="left" vertical="center" wrapText="1"/>
    </xf>
    <xf numFmtId="164" fontId="12" fillId="14" borderId="16" xfId="1" applyNumberFormat="1" applyFont="1" applyFill="1" applyBorder="1" applyAlignment="1" applyProtection="1">
      <alignment horizontal="left" vertical="center" wrapText="1"/>
    </xf>
    <xf numFmtId="164" fontId="12" fillId="14" borderId="19" xfId="1" applyNumberFormat="1" applyFont="1" applyFill="1" applyBorder="1" applyAlignment="1" applyProtection="1">
      <alignment horizontal="left" vertical="center" wrapText="1"/>
    </xf>
    <xf numFmtId="164" fontId="12" fillId="14" borderId="35" xfId="1" applyNumberFormat="1" applyFont="1" applyFill="1" applyBorder="1" applyAlignment="1" applyProtection="1">
      <alignment horizontal="left" vertical="center" wrapText="1"/>
    </xf>
    <xf numFmtId="164" fontId="4" fillId="15" borderId="25" xfId="0" applyNumberFormat="1" applyFont="1" applyFill="1" applyBorder="1" applyAlignment="1">
      <alignment horizontal="center"/>
    </xf>
    <xf numFmtId="164" fontId="4" fillId="15" borderId="21" xfId="0" applyNumberFormat="1" applyFont="1" applyFill="1" applyBorder="1" applyAlignment="1">
      <alignment horizontal="center"/>
    </xf>
    <xf numFmtId="0" fontId="4" fillId="15" borderId="16" xfId="0" applyFont="1" applyFill="1" applyBorder="1" applyAlignment="1">
      <alignment horizontal="left" vertical="center" wrapText="1"/>
    </xf>
    <xf numFmtId="0" fontId="4" fillId="15" borderId="21" xfId="0" applyFont="1" applyFill="1" applyBorder="1" applyAlignment="1">
      <alignment horizontal="left" vertical="center" wrapText="1"/>
    </xf>
    <xf numFmtId="164" fontId="12" fillId="15" borderId="16" xfId="1" applyNumberFormat="1" applyFont="1" applyFill="1" applyBorder="1" applyAlignment="1" applyProtection="1">
      <alignment horizontal="left" vertical="center" wrapText="1"/>
    </xf>
    <xf numFmtId="164" fontId="12" fillId="15" borderId="19" xfId="1" applyNumberFormat="1" applyFont="1" applyFill="1" applyBorder="1" applyAlignment="1" applyProtection="1">
      <alignment horizontal="left" vertical="center" wrapText="1"/>
    </xf>
    <xf numFmtId="164" fontId="12" fillId="15" borderId="35" xfId="1" applyNumberFormat="1" applyFont="1" applyFill="1" applyBorder="1" applyAlignment="1" applyProtection="1">
      <alignment horizontal="left" vertical="center" wrapText="1"/>
    </xf>
    <xf numFmtId="164" fontId="4" fillId="0" borderId="10" xfId="0" applyNumberFormat="1" applyFont="1" applyBorder="1" applyAlignment="1">
      <alignment horizontal="center"/>
    </xf>
    <xf numFmtId="164" fontId="4" fillId="0" borderId="11" xfId="0" applyNumberFormat="1" applyFont="1" applyBorder="1" applyAlignment="1">
      <alignment horizontal="center"/>
    </xf>
    <xf numFmtId="0" fontId="2" fillId="9" borderId="19" xfId="0" applyFont="1" applyFill="1" applyBorder="1" applyAlignment="1">
      <alignment horizontal="center" vertical="center"/>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12" fillId="0" borderId="17" xfId="1" applyFont="1" applyBorder="1" applyAlignment="1" applyProtection="1">
      <alignment horizontal="left" vertical="center" wrapText="1"/>
    </xf>
    <xf numFmtId="0" fontId="12" fillId="0" borderId="20" xfId="1" applyFont="1" applyBorder="1" applyAlignment="1" applyProtection="1">
      <alignment horizontal="left" vertical="center" wrapText="1"/>
    </xf>
    <xf numFmtId="0" fontId="12" fillId="0" borderId="44" xfId="1" applyFont="1" applyBorder="1" applyAlignment="1" applyProtection="1">
      <alignment horizontal="left" vertical="center" wrapText="1"/>
    </xf>
    <xf numFmtId="0" fontId="15" fillId="9" borderId="19" xfId="0" applyFont="1" applyFill="1" applyBorder="1" applyAlignment="1">
      <alignment horizontal="center" vertical="center"/>
    </xf>
    <xf numFmtId="0" fontId="15" fillId="9" borderId="35" xfId="0" applyFont="1" applyFill="1" applyBorder="1" applyAlignment="1">
      <alignment horizontal="center" vertical="center"/>
    </xf>
    <xf numFmtId="164" fontId="12" fillId="4" borderId="16" xfId="1" applyNumberFormat="1" applyFont="1" applyFill="1" applyBorder="1" applyAlignment="1" applyProtection="1">
      <alignment horizontal="left" vertical="center" wrapText="1"/>
    </xf>
    <xf numFmtId="164" fontId="12" fillId="4" borderId="19" xfId="1" applyNumberFormat="1" applyFont="1" applyFill="1" applyBorder="1" applyAlignment="1" applyProtection="1">
      <alignment horizontal="left" vertical="center" wrapText="1"/>
    </xf>
    <xf numFmtId="164" fontId="12" fillId="4" borderId="35" xfId="1" applyNumberFormat="1" applyFont="1" applyFill="1" applyBorder="1" applyAlignment="1" applyProtection="1">
      <alignment horizontal="left" vertical="center" wrapText="1"/>
    </xf>
    <xf numFmtId="0" fontId="15" fillId="6" borderId="19" xfId="0" applyFont="1" applyFill="1" applyBorder="1" applyAlignment="1">
      <alignment horizontal="center" vertical="center"/>
    </xf>
    <xf numFmtId="0" fontId="15" fillId="6" borderId="35" xfId="0" applyFont="1" applyFill="1" applyBorder="1" applyAlignment="1">
      <alignment horizontal="center" vertical="center"/>
    </xf>
    <xf numFmtId="0" fontId="13" fillId="0" borderId="16" xfId="0" applyFont="1" applyBorder="1" applyAlignment="1">
      <alignment vertical="center" wrapText="1"/>
    </xf>
    <xf numFmtId="0" fontId="13" fillId="0" borderId="21" xfId="0" applyFont="1" applyBorder="1" applyAlignment="1">
      <alignment vertical="center" wrapText="1"/>
    </xf>
    <xf numFmtId="0" fontId="12" fillId="0" borderId="16" xfId="1" applyFont="1" applyFill="1" applyBorder="1" applyAlignment="1" applyProtection="1">
      <alignment horizontal="left" vertical="center" wrapText="1"/>
    </xf>
    <xf numFmtId="0" fontId="12" fillId="0" borderId="19" xfId="1" applyFont="1" applyFill="1" applyBorder="1" applyAlignment="1" applyProtection="1">
      <alignment horizontal="left" vertical="center" wrapText="1"/>
    </xf>
    <xf numFmtId="0" fontId="12" fillId="0" borderId="35" xfId="1" applyFont="1" applyFill="1" applyBorder="1" applyAlignment="1" applyProtection="1">
      <alignment horizontal="left" vertical="center" wrapText="1"/>
    </xf>
    <xf numFmtId="0" fontId="17" fillId="4" borderId="32" xfId="1" applyFont="1" applyFill="1" applyBorder="1" applyAlignment="1" applyProtection="1">
      <alignment horizontal="center" wrapText="1"/>
    </xf>
    <xf numFmtId="0" fontId="17" fillId="4" borderId="33" xfId="1" applyFont="1" applyFill="1" applyBorder="1" applyAlignment="1" applyProtection="1">
      <alignment horizontal="center" wrapText="1"/>
    </xf>
    <xf numFmtId="0" fontId="17" fillId="4" borderId="34" xfId="1" applyFont="1" applyFill="1" applyBorder="1" applyAlignment="1" applyProtection="1">
      <alignment horizont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164" fontId="4" fillId="0" borderId="9" xfId="0" applyNumberFormat="1" applyFont="1" applyFill="1" applyBorder="1" applyAlignment="1">
      <alignment horizontal="center"/>
    </xf>
    <xf numFmtId="164" fontId="4" fillId="0" borderId="1" xfId="0" applyNumberFormat="1" applyFont="1" applyFill="1" applyBorder="1" applyAlignment="1">
      <alignment horizontal="center"/>
    </xf>
    <xf numFmtId="0" fontId="4" fillId="0" borderId="16" xfId="0" applyFont="1" applyFill="1" applyBorder="1" applyAlignment="1">
      <alignment vertical="center" wrapText="1"/>
    </xf>
    <xf numFmtId="0" fontId="4" fillId="0" borderId="21" xfId="0" applyFont="1" applyFill="1" applyBorder="1" applyAlignment="1">
      <alignment vertical="center" wrapText="1"/>
    </xf>
    <xf numFmtId="164" fontId="12" fillId="0" borderId="16" xfId="1" applyNumberFormat="1" applyFont="1" applyFill="1" applyBorder="1" applyAlignment="1" applyProtection="1">
      <alignment horizontal="left" vertical="center" wrapText="1"/>
    </xf>
    <xf numFmtId="164" fontId="12" fillId="0" borderId="19" xfId="1" applyNumberFormat="1" applyFont="1" applyFill="1" applyBorder="1" applyAlignment="1" applyProtection="1">
      <alignment horizontal="left" vertical="center" wrapText="1"/>
    </xf>
    <xf numFmtId="164" fontId="12" fillId="0" borderId="35" xfId="1" applyNumberFormat="1" applyFont="1" applyFill="1" applyBorder="1" applyAlignment="1" applyProtection="1">
      <alignment horizontal="left" vertical="center" wrapText="1"/>
    </xf>
    <xf numFmtId="0" fontId="9" fillId="5" borderId="31" xfId="0" applyFont="1" applyFill="1" applyBorder="1" applyAlignment="1">
      <alignment horizontal="center" vertical="center" wrapText="1"/>
    </xf>
    <xf numFmtId="0" fontId="9" fillId="5" borderId="36" xfId="0" applyFont="1" applyFill="1" applyBorder="1" applyAlignment="1">
      <alignment horizontal="center" vertical="center" wrapText="1"/>
    </xf>
    <xf numFmtId="164" fontId="6" fillId="13" borderId="7" xfId="0" applyNumberFormat="1" applyFont="1" applyFill="1" applyBorder="1" applyAlignment="1">
      <alignment horizontal="center" vertical="center"/>
    </xf>
    <xf numFmtId="164" fontId="6" fillId="13" borderId="0" xfId="0" applyNumberFormat="1" applyFont="1" applyFill="1" applyBorder="1" applyAlignment="1">
      <alignment horizontal="center" vertical="center"/>
    </xf>
    <xf numFmtId="164" fontId="6" fillId="13" borderId="8" xfId="0" applyNumberFormat="1" applyFont="1" applyFill="1" applyBorder="1" applyAlignment="1">
      <alignment horizontal="center" vertical="center"/>
    </xf>
    <xf numFmtId="164" fontId="6" fillId="13" borderId="4" xfId="0" applyNumberFormat="1" applyFont="1" applyFill="1" applyBorder="1" applyAlignment="1">
      <alignment horizontal="center" vertical="center"/>
    </xf>
    <xf numFmtId="164" fontId="6" fillId="13" borderId="23" xfId="0" applyNumberFormat="1" applyFont="1" applyFill="1" applyBorder="1" applyAlignment="1">
      <alignment horizontal="center" vertical="center"/>
    </xf>
    <xf numFmtId="164" fontId="6" fillId="13" borderId="5"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xf>
    <xf numFmtId="0" fontId="19" fillId="13" borderId="26" xfId="0" applyFont="1" applyFill="1" applyBorder="1" applyAlignment="1">
      <alignment horizontal="center" vertical="center" wrapText="1"/>
    </xf>
    <xf numFmtId="0" fontId="19" fillId="13" borderId="27" xfId="0" applyFont="1" applyFill="1" applyBorder="1" applyAlignment="1">
      <alignment horizontal="center" vertical="center" wrapText="1"/>
    </xf>
    <xf numFmtId="0" fontId="12" fillId="16" borderId="40" xfId="1" applyFont="1" applyFill="1" applyBorder="1" applyAlignment="1" applyProtection="1">
      <alignment horizontal="left" vertical="center" wrapText="1"/>
    </xf>
    <xf numFmtId="0" fontId="12" fillId="16" borderId="37" xfId="1" applyFont="1" applyFill="1" applyBorder="1" applyAlignment="1" applyProtection="1">
      <alignment horizontal="left" vertical="center" wrapText="1"/>
    </xf>
    <xf numFmtId="0" fontId="12" fillId="16" borderId="36" xfId="1" applyFont="1" applyFill="1" applyBorder="1" applyAlignment="1" applyProtection="1">
      <alignment horizontal="left" vertical="center" wrapText="1"/>
    </xf>
  </cellXfs>
  <cellStyles count="3">
    <cellStyle name="Hyperlink" xfId="1" builtinId="8"/>
    <cellStyle name="Normal" xfId="0" builtinId="0"/>
    <cellStyle name="Style 1" xfId="2"/>
  </cellStyles>
  <dxfs count="49">
    <dxf>
      <font>
        <b/>
        <i val="0"/>
      </font>
    </dxf>
    <dxf>
      <font>
        <b val="0"/>
        <i/>
      </font>
    </dxf>
    <dxf>
      <font>
        <b/>
        <i val="0"/>
      </font>
    </dxf>
    <dxf>
      <font>
        <b val="0"/>
        <i/>
      </font>
      <fill>
        <patternFill>
          <bgColor theme="1" tint="0.499984740745262"/>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ill>
        <patternFill>
          <bgColor rgb="FFFFFF00"/>
        </patternFill>
      </fill>
    </dxf>
    <dxf>
      <fill>
        <patternFill>
          <bgColor rgb="FFFFFF00"/>
        </patternFill>
      </fill>
    </dxf>
    <dxf>
      <font>
        <b val="0"/>
        <i val="0"/>
      </font>
      <fill>
        <patternFill>
          <bgColor theme="0"/>
        </patternFill>
      </fill>
    </dxf>
    <dxf>
      <font>
        <b val="0"/>
        <i val="0"/>
      </font>
      <fill>
        <patternFill>
          <bgColor theme="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color rgb="FFFF0000"/>
      </font>
    </dxf>
    <dxf>
      <font>
        <b/>
        <i val="0"/>
        <color rgb="FFFF0000"/>
      </font>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s>
  <tableStyles count="0" defaultTableStyle="TableStyleMedium9" defaultPivotStyle="PivotStyleLight16"/>
  <colors>
    <mruColors>
      <color rgb="FFA3E7FF"/>
      <color rgb="FF69A12B"/>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fmlaLink="$M$13" lockText="1" noThreeD="1"/>
</file>

<file path=xl/ctrlProps/ctrlProp2.xml><?xml version="1.0" encoding="utf-8"?>
<formControlPr xmlns="http://schemas.microsoft.com/office/spreadsheetml/2009/9/main" objectType="CheckBox" fmlaLink="$M$27" lockText="1" noThreeD="1"/>
</file>

<file path=xl/ctrlProps/ctrlProp3.xml><?xml version="1.0" encoding="utf-8"?>
<formControlPr xmlns="http://schemas.microsoft.com/office/spreadsheetml/2009/9/main" objectType="CheckBox" fmlaLink="$M$29" lockText="1" noThreeD="1"/>
</file>

<file path=xl/ctrlProps/ctrlProp4.xml><?xml version="1.0" encoding="utf-8"?>
<formControlPr xmlns="http://schemas.microsoft.com/office/spreadsheetml/2009/9/main" objectType="CheckBox" fmlaLink="$M$35" lockText="1" noThreeD="1"/>
</file>

<file path=xl/ctrlProps/ctrlProp5.xml><?xml version="1.0" encoding="utf-8"?>
<formControlPr xmlns="http://schemas.microsoft.com/office/spreadsheetml/2009/9/main" objectType="CheckBox" fmlaLink="$M$19" lockText="1" noThreeD="1"/>
</file>

<file path=xl/ctrlProps/ctrlProp6.xml><?xml version="1.0" encoding="utf-8"?>
<formControlPr xmlns="http://schemas.microsoft.com/office/spreadsheetml/2009/9/main" objectType="CheckBox" fmlaLink="$M$20" lockText="1" noThreeD="1"/>
</file>

<file path=xl/ctrlProps/ctrlProp7.xml><?xml version="1.0" encoding="utf-8"?>
<formControlPr xmlns="http://schemas.microsoft.com/office/spreadsheetml/2009/9/main" objectType="CheckBox" fmlaLink="$M$21" lockText="1" noThreeD="1"/>
</file>

<file path=xl/ctrlProps/ctrlProp8.xml><?xml version="1.0" encoding="utf-8"?>
<formControlPr xmlns="http://schemas.microsoft.com/office/spreadsheetml/2009/9/main" objectType="CheckBox" fmlaLink="$M$22" lockText="1" noThreeD="1"/>
</file>

<file path=xl/ctrlProps/ctrlProp9.xml><?xml version="1.0" encoding="utf-8"?>
<formControlPr xmlns="http://schemas.microsoft.com/office/spreadsheetml/2009/9/main" objectType="CheckBox" fmlaLink="$M$25" lockText="1" noThreeD="1"/>
</file>

<file path=xl/ctrlProps/ctrlProp10.xml><?xml version="1.0" encoding="utf-8"?>
<formControlPr xmlns="http://schemas.microsoft.com/office/spreadsheetml/2009/9/main" objectType="CheckBox" fmlaLink="$M$14" lockText="1" noThreeD="1"/>
</file>

<file path=xl/ctrlProps/ctrlProp11.xml><?xml version="1.0" encoding="utf-8"?>
<formControlPr xmlns="http://schemas.microsoft.com/office/spreadsheetml/2009/9/main" objectType="CheckBox" fmlaLink="$M$16" lockText="1" noThreeD="1"/>
</file>

<file path=xl/ctrlProps/ctrlProp12.xml><?xml version="1.0" encoding="utf-8"?>
<formControlPr xmlns="http://schemas.microsoft.com/office/spreadsheetml/2009/9/main" objectType="CheckBox" fmlaLink="$M$31" lockText="1" noThreeD="1"/>
</file>

<file path=xl/ctrlProps/ctrlProp13.xml><?xml version="1.0" encoding="utf-8"?>
<formControlPr xmlns="http://schemas.microsoft.com/office/spreadsheetml/2009/9/main" objectType="CheckBox" fmlaLink="$M$33" lockText="1" noThreeD="1"/>
</file>

<file path=xl/ctrlProps/ctrlProp14.xml><?xml version="1.0" encoding="utf-8"?>
<formControlPr xmlns="http://schemas.microsoft.com/office/spreadsheetml/2009/9/main" objectType="CheckBox" fmlaLink="$M$23" lockText="1" noThreeD="1"/>
</file>

<file path=xl/ctrlProps/ctrlProp15.xml><?xml version="1.0" encoding="utf-8"?>
<formControlPr xmlns="http://schemas.microsoft.com/office/spreadsheetml/2009/9/main" objectType="CheckBox" fmlaLink="$M$15"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238125</xdr:colOff>
      <xdr:row>1</xdr:row>
      <xdr:rowOff>107159</xdr:rowOff>
    </xdr:from>
    <xdr:to>
      <xdr:col>5</xdr:col>
      <xdr:colOff>1613297</xdr:colOff>
      <xdr:row>3</xdr:row>
      <xdr:rowOff>71440</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8156" y="297659"/>
          <a:ext cx="7268766" cy="2202656"/>
        </a:xfrm>
        <a:prstGeom prst="rect">
          <a:avLst/>
        </a:prstGeom>
      </xdr:spPr>
    </xdr:pic>
    <xdr:clientData/>
  </xdr:twoCellAnchor>
  <xdr:twoCellAnchor>
    <xdr:from>
      <xdr:col>5</xdr:col>
      <xdr:colOff>102394</xdr:colOff>
      <xdr:row>4</xdr:row>
      <xdr:rowOff>119064</xdr:rowOff>
    </xdr:from>
    <xdr:to>
      <xdr:col>5</xdr:col>
      <xdr:colOff>752499</xdr:colOff>
      <xdr:row>5</xdr:row>
      <xdr:rowOff>226221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07832" y="2738439"/>
          <a:ext cx="650105" cy="452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226219</xdr:colOff>
      <xdr:row>0</xdr:row>
      <xdr:rowOff>192881</xdr:rowOff>
    </xdr:from>
    <xdr:to>
      <xdr:col>6</xdr:col>
      <xdr:colOff>3417093</xdr:colOff>
      <xdr:row>6</xdr:row>
      <xdr:rowOff>95250</xdr:rowOff>
    </xdr:to>
    <xdr:sp macro="" textlink="">
      <xdr:nvSpPr>
        <xdr:cNvPr id="3" name="TextBox 2"/>
        <xdr:cNvSpPr txBox="1"/>
      </xdr:nvSpPr>
      <xdr:spPr>
        <a:xfrm>
          <a:off x="226219" y="192881"/>
          <a:ext cx="7244291" cy="62203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2000">
              <a:solidFill>
                <a:schemeClr val="bg2"/>
              </a:solidFill>
              <a:latin typeface="Segoe UI Semibold"/>
              <a:ea typeface="Segoe UI"/>
              <a:cs typeface="Segoe UI"/>
            </a:rPr>
            <a:t>Arbeitsblatt zur Planung des Upgrades auf Office 365 </a:t>
          </a:r>
        </a:p>
      </xdr:txBody>
    </xdr:sp>
    <xdr:clientData/>
  </xdr:twoCellAnchor>
  <xdr:twoCellAnchor>
    <xdr:from>
      <xdr:col>6</xdr:col>
      <xdr:colOff>3559968</xdr:colOff>
      <xdr:row>0</xdr:row>
      <xdr:rowOff>190500</xdr:rowOff>
    </xdr:from>
    <xdr:to>
      <xdr:col>7</xdr:col>
      <xdr:colOff>1688306</xdr:colOff>
      <xdr:row>6</xdr:row>
      <xdr:rowOff>92869</xdr:rowOff>
    </xdr:to>
    <xdr:sp macro="" textlink="">
      <xdr:nvSpPr>
        <xdr:cNvPr id="20" name="TextBox 19"/>
        <xdr:cNvSpPr txBox="1"/>
      </xdr:nvSpPr>
      <xdr:spPr>
        <a:xfrm>
          <a:off x="7631906" y="190500"/>
          <a:ext cx="2271713" cy="628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endParaRPr lang="en-US" sz="2000"/>
        </a:p>
      </xdr:txBody>
    </xdr:sp>
    <xdr:clientData/>
  </xdr:twoCellAnchor>
  <xdr:twoCellAnchor>
    <xdr:from>
      <xdr:col>6</xdr:col>
      <xdr:colOff>3631406</xdr:colOff>
      <xdr:row>1</xdr:row>
      <xdr:rowOff>95250</xdr:rowOff>
    </xdr:from>
    <xdr:to>
      <xdr:col>7</xdr:col>
      <xdr:colOff>138136</xdr:colOff>
      <xdr:row>6</xdr:row>
      <xdr:rowOff>35720</xdr:rowOff>
    </xdr:to>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3344" y="309563"/>
          <a:ext cx="650105" cy="45243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200025</xdr:colOff>
          <xdr:row>12</xdr:row>
          <xdr:rowOff>228600</xdr:rowOff>
        </xdr:from>
        <xdr:to>
          <xdr:col>7</xdr:col>
          <xdr:colOff>2305050</xdr:colOff>
          <xdr:row>12</xdr:row>
          <xdr:rowOff>447675</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AD FS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47625</xdr:rowOff>
        </xdr:from>
        <xdr:to>
          <xdr:col>7</xdr:col>
          <xdr:colOff>2390775</xdr:colOff>
          <xdr:row>26</xdr:row>
          <xdr:rowOff>266700</xdr:rowOff>
        </xdr:to>
        <xdr:sp macro="" textlink="">
          <xdr:nvSpPr>
            <xdr:cNvPr id="2057" name="Check Box 9" hidden="1">
              <a:extLst>
                <a:ext uri="{63B3BB69-23CF-44E3-9099-C40C66FF867C}">
                  <a14:compatExt spid="_x0000_s205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PowerShell-Administrator</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123825</xdr:rowOff>
        </xdr:from>
        <xdr:to>
          <xdr:col>7</xdr:col>
          <xdr:colOff>2390775</xdr:colOff>
          <xdr:row>28</xdr:row>
          <xdr:rowOff>342900</xdr:rowOff>
        </xdr:to>
        <xdr:sp macro="" textlink="">
          <xdr:nvSpPr>
            <xdr:cNvPr id="2058" name="Check Box 10" hidden="1">
              <a:extLst>
                <a:ext uri="{63B3BB69-23CF-44E3-9099-C40C66FF867C}">
                  <a14:compatExt spid="_x0000_s205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Benutzerdefinierte Exchange-Einstellungen</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57150</xdr:rowOff>
        </xdr:from>
        <xdr:to>
          <xdr:col>7</xdr:col>
          <xdr:colOff>2390775</xdr:colOff>
          <xdr:row>34</xdr:row>
          <xdr:rowOff>276225</xdr:rowOff>
        </xdr:to>
        <xdr:sp macro="" textlink="">
          <xdr:nvSpPr>
            <xdr:cNvPr id="2059" name="Check Box 11" hidden="1">
              <a:extLst>
                <a:ext uri="{63B3BB69-23CF-44E3-9099-C40C66FF867C}">
                  <a14:compatExt spid="_x0000_s205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Arbeitsablauf im Unterricht</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38100</xdr:rowOff>
        </xdr:from>
        <xdr:to>
          <xdr:col>7</xdr:col>
          <xdr:colOff>2390775</xdr:colOff>
          <xdr:row>18</xdr:row>
          <xdr:rowOff>257175</xdr:rowOff>
        </xdr:to>
        <xdr:sp macro="" textlink="">
          <xdr:nvSpPr>
            <xdr:cNvPr id="2061" name="Check Box 13" hidden="1">
              <a:extLst>
                <a:ext uri="{63B3BB69-23CF-44E3-9099-C40C66FF867C}">
                  <a14:compatExt spid="_x0000_s206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OLSync</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47625</xdr:rowOff>
        </xdr:from>
        <xdr:to>
          <xdr:col>7</xdr:col>
          <xdr:colOff>2390775</xdr:colOff>
          <xdr:row>19</xdr:row>
          <xdr:rowOff>266700</xdr:rowOff>
        </xdr:to>
        <xdr:sp macro="" textlink="">
          <xdr:nvSpPr>
            <xdr:cNvPr id="2062" name="Check Box 14" hidden="1">
              <a:extLst>
                <a:ext uri="{63B3BB69-23CF-44E3-9099-C40C66FF867C}">
                  <a14:compatExt spid="_x0000_s206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76200</xdr:rowOff>
        </xdr:from>
        <xdr:to>
          <xdr:col>7</xdr:col>
          <xdr:colOff>2390775</xdr:colOff>
          <xdr:row>20</xdr:row>
          <xdr:rowOff>295275</xdr:rowOff>
        </xdr:to>
        <xdr:sp macro="" textlink="">
          <xdr:nvSpPr>
            <xdr:cNvPr id="2063" name="Check Box 15" hidden="1">
              <a:extLst>
                <a:ext uri="{63B3BB69-23CF-44E3-9099-C40C66FF867C}">
                  <a14:compatExt spid="_x0000_s206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66675</xdr:rowOff>
        </xdr:from>
        <xdr:to>
          <xdr:col>7</xdr:col>
          <xdr:colOff>2390775</xdr:colOff>
          <xdr:row>21</xdr:row>
          <xdr:rowOff>285750</xdr:rowOff>
        </xdr:to>
        <xdr:sp macro="" textlink="">
          <xdr:nvSpPr>
            <xdr:cNvPr id="2064" name="Check Box 16" hidden="1">
              <a:extLst>
                <a:ext uri="{63B3BB69-23CF-44E3-9099-C40C66FF867C}">
                  <a14:compatExt spid="_x0000_s206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MAV3</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47625</xdr:rowOff>
        </xdr:from>
        <xdr:to>
          <xdr:col>7</xdr:col>
          <xdr:colOff>2390775</xdr:colOff>
          <xdr:row>24</xdr:row>
          <xdr:rowOff>266700</xdr:rowOff>
        </xdr:to>
        <xdr:sp macro="" textlink="">
          <xdr:nvSpPr>
            <xdr:cNvPr id="2065" name="Check Box 17" hidden="1">
              <a:extLst>
                <a:ext uri="{63B3BB69-23CF-44E3-9099-C40C66FF867C}">
                  <a14:compatExt spid="_x0000_s206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WL SDK</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171450</xdr:rowOff>
        </xdr:from>
        <xdr:to>
          <xdr:col>7</xdr:col>
          <xdr:colOff>2305050</xdr:colOff>
          <xdr:row>13</xdr:row>
          <xdr:rowOff>390525</xdr:rowOff>
        </xdr:to>
        <xdr:sp macro="" textlink="">
          <xdr:nvSpPr>
            <xdr:cNvPr id="2066" name="Check Box 18" hidden="1">
              <a:extLst>
                <a:ext uri="{63B3BB69-23CF-44E3-9099-C40C66FF867C}">
                  <a14:compatExt spid="_x0000_s206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Shibboleth</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219075</xdr:rowOff>
        </xdr:from>
        <xdr:to>
          <xdr:col>7</xdr:col>
          <xdr:colOff>2305050</xdr:colOff>
          <xdr:row>15</xdr:row>
          <xdr:rowOff>438150</xdr:rowOff>
        </xdr:to>
        <xdr:sp macro="" textlink="">
          <xdr:nvSpPr>
            <xdr:cNvPr id="2067" name="Check Box 19" hidden="1">
              <a:extLst>
                <a:ext uri="{63B3BB69-23CF-44E3-9099-C40C66FF867C}">
                  <a14:compatExt spid="_x0000_s206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Shibboleth hinzufügen</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47625</xdr:rowOff>
        </xdr:from>
        <xdr:to>
          <xdr:col>7</xdr:col>
          <xdr:colOff>2390775</xdr:colOff>
          <xdr:row>30</xdr:row>
          <xdr:rowOff>266700</xdr:rowOff>
        </xdr:to>
        <xdr:sp macro="" textlink="">
          <xdr:nvSpPr>
            <xdr:cNvPr id="2068" name="Check Box 20" hidden="1">
              <a:extLst>
                <a:ext uri="{63B3BB69-23CF-44E3-9099-C40C66FF867C}">
                  <a14:compatExt spid="_x0000_s206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Outlook.com wird verwendet</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57150</xdr:rowOff>
        </xdr:from>
        <xdr:to>
          <xdr:col>7</xdr:col>
          <xdr:colOff>2390775</xdr:colOff>
          <xdr:row>32</xdr:row>
          <xdr:rowOff>276225</xdr:rowOff>
        </xdr:to>
        <xdr:sp macro="" textlink="">
          <xdr:nvSpPr>
            <xdr:cNvPr id="2069" name="Check Box 21" hidden="1">
              <a:extLst>
                <a:ext uri="{63B3BB69-23CF-44E3-9099-C40C66FF867C}">
                  <a14:compatExt spid="_x0000_s206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PCNS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76200</xdr:rowOff>
        </xdr:from>
        <xdr:to>
          <xdr:col>7</xdr:col>
          <xdr:colOff>2390775</xdr:colOff>
          <xdr:row>22</xdr:row>
          <xdr:rowOff>295275</xdr:rowOff>
        </xdr:to>
        <xdr:sp macro="" textlink="">
          <xdr:nvSpPr>
            <xdr:cNvPr id="2075" name="Check Box 27" hidden="1">
              <a:extLst>
                <a:ext uri="{63B3BB69-23CF-44E3-9099-C40C66FF867C}">
                  <a14:compatExt spid="_x0000_s207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 ohne AD</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219075</xdr:rowOff>
        </xdr:from>
        <xdr:to>
          <xdr:col>7</xdr:col>
          <xdr:colOff>2305050</xdr:colOff>
          <xdr:row>14</xdr:row>
          <xdr:rowOff>438150</xdr:rowOff>
        </xdr:to>
        <xdr:sp macro="" textlink="">
          <xdr:nvSpPr>
            <xdr:cNvPr id="2076" name="Check Box 28" hidden="1">
              <a:extLst>
                <a:ext uri="{63B3BB69-23CF-44E3-9099-C40C66FF867C}">
                  <a14:compatExt spid="_x0000_s207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Verbund hinzufügen</a:t>
              </a:r>
              <a:endParaRPr lang="en-US"/>
            </a:p>
          </xdr:txBody>
        </xdr:sp>
        <xdr:clientData/>
      </xdr:twoCellAnchor>
    </mc:Choice>
    <mc:Fallback/>
  </mc:AlternateContent>
</xdr:wsDr>
</file>

<file path=xl/theme/theme1.xml><?xml version="1.0" encoding="utf-8"?>
<a:theme xmlns:a="http://schemas.openxmlformats.org/drawingml/2006/main" name="Office Theme">
  <a:themeElements>
    <a:clrScheme name="Office365Edu">
      <a:dk1>
        <a:sysClr val="windowText" lastClr="000000"/>
      </a:dk1>
      <a:lt1>
        <a:sysClr val="window" lastClr="FFFFFF"/>
      </a:lt1>
      <a:dk2>
        <a:srgbClr val="595959"/>
      </a:dk2>
      <a:lt2>
        <a:srgbClr val="FFFFFF"/>
      </a:lt2>
      <a:accent1>
        <a:srgbClr val="EE7816"/>
      </a:accent1>
      <a:accent2>
        <a:srgbClr val="FEA500"/>
      </a:accent2>
      <a:accent3>
        <a:srgbClr val="FC4B00"/>
      </a:accent3>
      <a:accent4>
        <a:srgbClr val="595959"/>
      </a:accent4>
      <a:accent5>
        <a:srgbClr val="2473A8"/>
      </a:accent5>
      <a:accent6>
        <a:srgbClr val="6BBD46"/>
      </a:accent6>
      <a:hlink>
        <a:srgbClr val="FC4B00"/>
      </a:hlink>
      <a:folHlink>
        <a:srgbClr val="FC4B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go.microsoft.com/fwlink/p/?LinkId=253605" TargetMode="External"/><Relationship Id="rId18" Type="http://schemas.openxmlformats.org/officeDocument/2006/relationships/hyperlink" Target="http://g.microsoftonline.com/0rmcm00de-de/5382" TargetMode="External"/><Relationship Id="rId26" Type="http://schemas.openxmlformats.org/officeDocument/2006/relationships/hyperlink" Target="http://g.microsoftonline.com/0rmcm00de-de/5400" TargetMode="External"/><Relationship Id="rId39" Type="http://schemas.openxmlformats.org/officeDocument/2006/relationships/hyperlink" Target="http://g.microsoftonline.com/0rmcm00de-de/5403" TargetMode="External"/><Relationship Id="rId21" Type="http://schemas.openxmlformats.org/officeDocument/2006/relationships/hyperlink" Target="http://g.microsoftonline.com/0rmcm00de-de/5384" TargetMode="External"/><Relationship Id="rId34" Type="http://schemas.openxmlformats.org/officeDocument/2006/relationships/hyperlink" Target="http://g.microsoftonline.com/0rmcm00de-de/5400" TargetMode="External"/><Relationship Id="rId42" Type="http://schemas.openxmlformats.org/officeDocument/2006/relationships/hyperlink" Target="http://g.microsoftonline.com/0rmcm00de-de/5406" TargetMode="External"/><Relationship Id="rId47" Type="http://schemas.openxmlformats.org/officeDocument/2006/relationships/hyperlink" Target="http://g.microsoftonline.com/0rmcm00de-de/5411" TargetMode="External"/><Relationship Id="rId50" Type="http://schemas.openxmlformats.org/officeDocument/2006/relationships/hyperlink" Target="http://g.microsoftonline.com/0rmcm00de-de/5414" TargetMode="External"/><Relationship Id="rId55" Type="http://schemas.openxmlformats.org/officeDocument/2006/relationships/hyperlink" Target="http://g.microsoftonline.com/0rmcm00de-de/5419" TargetMode="External"/><Relationship Id="rId63" Type="http://schemas.openxmlformats.org/officeDocument/2006/relationships/hyperlink" Target="http://g.microsoftonline.com/0rmcm00de-de/5427" TargetMode="External"/><Relationship Id="rId68" Type="http://schemas.openxmlformats.org/officeDocument/2006/relationships/hyperlink" Target="http://g.microsoftonline.com/0rmcm00de-de/5431" TargetMode="External"/><Relationship Id="rId76" Type="http://schemas.openxmlformats.org/officeDocument/2006/relationships/printerSettings" Target="../printerSettings/printerSettings2.bin"/><Relationship Id="rId84" Type="http://schemas.openxmlformats.org/officeDocument/2006/relationships/ctrlProp" Target="../ctrlProps/ctrlProp6.xml"/><Relationship Id="rId89" Type="http://schemas.openxmlformats.org/officeDocument/2006/relationships/ctrlProp" Target="../ctrlProps/ctrlProp11.xml"/><Relationship Id="rId7" Type="http://schemas.openxmlformats.org/officeDocument/2006/relationships/hyperlink" Target="http://go.microsoft.com/fwlink/p/?LinkId=253149" TargetMode="External"/><Relationship Id="rId71" Type="http://schemas.openxmlformats.org/officeDocument/2006/relationships/hyperlink" Target="http://g.microsoftonline.com/0rmcm00de-de/5379" TargetMode="External"/><Relationship Id="rId92" Type="http://schemas.openxmlformats.org/officeDocument/2006/relationships/ctrlProp" Target="../ctrlProps/ctrlProp14.xml"/><Relationship Id="rId2" Type="http://schemas.openxmlformats.org/officeDocument/2006/relationships/hyperlink" Target="http://go.microsoft.com/fwlink/p/?LinkId=253601" TargetMode="External"/><Relationship Id="rId16" Type="http://schemas.openxmlformats.org/officeDocument/2006/relationships/hyperlink" Target="http://go.microsoft.com/fwlink/p/?LinkId=251279" TargetMode="External"/><Relationship Id="rId29" Type="http://schemas.openxmlformats.org/officeDocument/2006/relationships/hyperlink" Target="http://g.microsoftonline.com/0rmcm00de-de/5387" TargetMode="External"/><Relationship Id="rId11" Type="http://schemas.openxmlformats.org/officeDocument/2006/relationships/hyperlink" Target="http://go.microsoft.com/fwlink/p/?LinkId=253601" TargetMode="External"/><Relationship Id="rId24" Type="http://schemas.openxmlformats.org/officeDocument/2006/relationships/hyperlink" Target="http://g.microsoftonline.com/0rmcm00de-de/5387" TargetMode="External"/><Relationship Id="rId32" Type="http://schemas.openxmlformats.org/officeDocument/2006/relationships/hyperlink" Target="http://g.microsoftonline.com/0rmcm00de-de/5394" TargetMode="External"/><Relationship Id="rId37" Type="http://schemas.openxmlformats.org/officeDocument/2006/relationships/hyperlink" Target="http://g.microsoftonline.com/0rmcm00de-de/5399" TargetMode="External"/><Relationship Id="rId40" Type="http://schemas.openxmlformats.org/officeDocument/2006/relationships/hyperlink" Target="http://g.microsoftonline.com/0rmcm00de-de/5404" TargetMode="External"/><Relationship Id="rId45" Type="http://schemas.openxmlformats.org/officeDocument/2006/relationships/hyperlink" Target="http://g.microsoftonline.com/0rmcm00de-de/5409" TargetMode="External"/><Relationship Id="rId53" Type="http://schemas.openxmlformats.org/officeDocument/2006/relationships/hyperlink" Target="http://g.microsoftonline.com/0rmcm00de-de/5417" TargetMode="External"/><Relationship Id="rId58" Type="http://schemas.openxmlformats.org/officeDocument/2006/relationships/hyperlink" Target="http://g.microsoftonline.com/0rmcm00de-de/5422" TargetMode="External"/><Relationship Id="rId66" Type="http://schemas.openxmlformats.org/officeDocument/2006/relationships/hyperlink" Target="http://g.microsoftonline.com/0rmcm00de-de/5429" TargetMode="External"/><Relationship Id="rId74" Type="http://schemas.openxmlformats.org/officeDocument/2006/relationships/hyperlink" Target="http://g.microsoftonline.com/0rmcm00de-de/5372" TargetMode="External"/><Relationship Id="rId79" Type="http://schemas.openxmlformats.org/officeDocument/2006/relationships/ctrlProp" Target="../ctrlProps/ctrlProp1.xml"/><Relationship Id="rId87" Type="http://schemas.openxmlformats.org/officeDocument/2006/relationships/ctrlProp" Target="../ctrlProps/ctrlProp9.xml"/><Relationship Id="rId5" Type="http://schemas.openxmlformats.org/officeDocument/2006/relationships/hyperlink" Target="http://go.microsoft.com/fwlink/p/?LinkId=253601" TargetMode="External"/><Relationship Id="rId61" Type="http://schemas.openxmlformats.org/officeDocument/2006/relationships/hyperlink" Target="http://g.microsoftonline.com/0rmcm00de-de/5425" TargetMode="External"/><Relationship Id="rId82" Type="http://schemas.openxmlformats.org/officeDocument/2006/relationships/ctrlProp" Target="../ctrlProps/ctrlProp4.xml"/><Relationship Id="rId90" Type="http://schemas.openxmlformats.org/officeDocument/2006/relationships/ctrlProp" Target="../ctrlProps/ctrlProp12.xml"/><Relationship Id="rId19" Type="http://schemas.openxmlformats.org/officeDocument/2006/relationships/hyperlink" Target="http://g.microsoftonline.com/0rmcm00de-de/5383" TargetMode="External"/><Relationship Id="rId14" Type="http://schemas.openxmlformats.org/officeDocument/2006/relationships/hyperlink" Target="http://go.microsoft.com/fwlink/p/?LinkId=253606" TargetMode="External"/><Relationship Id="rId22" Type="http://schemas.openxmlformats.org/officeDocument/2006/relationships/hyperlink" Target="http://g.microsoftonline.com/0rmcm00de-de/5385" TargetMode="External"/><Relationship Id="rId27" Type="http://schemas.openxmlformats.org/officeDocument/2006/relationships/hyperlink" Target="http://g.microsoftonline.com/0rmcm00de-de/5400" TargetMode="External"/><Relationship Id="rId30" Type="http://schemas.openxmlformats.org/officeDocument/2006/relationships/hyperlink" Target="http://g.microsoftonline.com/0rmcm00de-de/5392" TargetMode="External"/><Relationship Id="rId35" Type="http://schemas.openxmlformats.org/officeDocument/2006/relationships/hyperlink" Target="http://g.microsoftonline.com/0rmcm00de-de/5397" TargetMode="External"/><Relationship Id="rId43" Type="http://schemas.openxmlformats.org/officeDocument/2006/relationships/hyperlink" Target="http://g.microsoftonline.com/0rmcm00de-de/5407" TargetMode="External"/><Relationship Id="rId48" Type="http://schemas.openxmlformats.org/officeDocument/2006/relationships/hyperlink" Target="http://g.microsoftonline.com/0rmcm00de-de/5412" TargetMode="External"/><Relationship Id="rId56" Type="http://schemas.openxmlformats.org/officeDocument/2006/relationships/hyperlink" Target="http://g.microsoftonline.com/0rmcm00de-de/5420" TargetMode="External"/><Relationship Id="rId64" Type="http://schemas.openxmlformats.org/officeDocument/2006/relationships/hyperlink" Target="http://g.microsoftonline.com/0rmcm00de-de/5400" TargetMode="External"/><Relationship Id="rId69" Type="http://schemas.openxmlformats.org/officeDocument/2006/relationships/hyperlink" Target="http://g.microsoftonline.com/0rmcm00de-de/5432" TargetMode="External"/><Relationship Id="rId77" Type="http://schemas.openxmlformats.org/officeDocument/2006/relationships/drawing" Target="../drawings/drawing2.xml"/><Relationship Id="rId8" Type="http://schemas.openxmlformats.org/officeDocument/2006/relationships/hyperlink" Target="http://go.microsoft.com/fwlink/p/?LinkId=253601" TargetMode="External"/><Relationship Id="rId51" Type="http://schemas.openxmlformats.org/officeDocument/2006/relationships/hyperlink" Target="http://g.microsoftonline.com/0rmcm00de-de/5415" TargetMode="External"/><Relationship Id="rId72" Type="http://schemas.openxmlformats.org/officeDocument/2006/relationships/hyperlink" Target="http://g.microsoftonline.com/0rmcm00de-de/5378" TargetMode="External"/><Relationship Id="rId80" Type="http://schemas.openxmlformats.org/officeDocument/2006/relationships/ctrlProp" Target="../ctrlProps/ctrlProp2.xml"/><Relationship Id="rId85" Type="http://schemas.openxmlformats.org/officeDocument/2006/relationships/ctrlProp" Target="../ctrlProps/ctrlProp7.xml"/><Relationship Id="rId93" Type="http://schemas.openxmlformats.org/officeDocument/2006/relationships/ctrlProp" Target="../ctrlProps/ctrlProp15.xml"/><Relationship Id="rId3" Type="http://schemas.openxmlformats.org/officeDocument/2006/relationships/hyperlink" Target="http://go.microsoft.com/fwlink/p/?LinkId=253147" TargetMode="External"/><Relationship Id="rId12" Type="http://schemas.openxmlformats.org/officeDocument/2006/relationships/hyperlink" Target="http://go.microsoft.com/fwlink/p/?LinkId=253597" TargetMode="External"/><Relationship Id="rId17" Type="http://schemas.openxmlformats.org/officeDocument/2006/relationships/hyperlink" Target="http://g.microsoftonline.com/0rmcm00de-de/5381" TargetMode="External"/><Relationship Id="rId25" Type="http://schemas.openxmlformats.org/officeDocument/2006/relationships/hyperlink" Target="http://g.microsoftonline.com/0rmcm00de-de/5388" TargetMode="External"/><Relationship Id="rId33" Type="http://schemas.openxmlformats.org/officeDocument/2006/relationships/hyperlink" Target="http://g.microsoftonline.com/0rmcm00de-de/5396" TargetMode="External"/><Relationship Id="rId38" Type="http://schemas.openxmlformats.org/officeDocument/2006/relationships/hyperlink" Target="http://g.microsoftonline.com/0rmcm00de-de/5401" TargetMode="External"/><Relationship Id="rId46" Type="http://schemas.openxmlformats.org/officeDocument/2006/relationships/hyperlink" Target="http://g.microsoftonline.com/0rmcm00de-de/5410" TargetMode="External"/><Relationship Id="rId59" Type="http://schemas.openxmlformats.org/officeDocument/2006/relationships/hyperlink" Target="http://g.microsoftonline.com/0rmcm00de-de/5423" TargetMode="External"/><Relationship Id="rId67" Type="http://schemas.openxmlformats.org/officeDocument/2006/relationships/hyperlink" Target="http://g.microsoftonline.com/0rmcm00de-de/5430" TargetMode="External"/><Relationship Id="rId20" Type="http://schemas.openxmlformats.org/officeDocument/2006/relationships/hyperlink" Target="http://g.microsoftonline.com/0rmcm00de-de/5400" TargetMode="External"/><Relationship Id="rId41" Type="http://schemas.openxmlformats.org/officeDocument/2006/relationships/hyperlink" Target="http://g.microsoftonline.com/0rmcm00de-de/5405" TargetMode="External"/><Relationship Id="rId54" Type="http://schemas.openxmlformats.org/officeDocument/2006/relationships/hyperlink" Target="http://g.microsoftonline.com/0rmcm00de-de/5418" TargetMode="External"/><Relationship Id="rId62" Type="http://schemas.openxmlformats.org/officeDocument/2006/relationships/hyperlink" Target="http://g.microsoftonline.com/0rmcm00de-de/5426" TargetMode="External"/><Relationship Id="rId70" Type="http://schemas.openxmlformats.org/officeDocument/2006/relationships/hyperlink" Target="http://g.microsoftonline.com/0rmcm00de-de/5380" TargetMode="External"/><Relationship Id="rId75" Type="http://schemas.openxmlformats.org/officeDocument/2006/relationships/hyperlink" Target="http://g.microsoftonline.com/0rmcm00de-de/5390" TargetMode="External"/><Relationship Id="rId83" Type="http://schemas.openxmlformats.org/officeDocument/2006/relationships/ctrlProp" Target="../ctrlProps/ctrlProp5.xml"/><Relationship Id="rId88" Type="http://schemas.openxmlformats.org/officeDocument/2006/relationships/ctrlProp" Target="../ctrlProps/ctrlProp10.xml"/><Relationship Id="rId91" Type="http://schemas.openxmlformats.org/officeDocument/2006/relationships/ctrlProp" Target="../ctrlProps/ctrlProp13.xml"/><Relationship Id="rId1" Type="http://schemas.openxmlformats.org/officeDocument/2006/relationships/hyperlink" Target="http://go.microsoft.com/fwlink/p/?LinkId=253149" TargetMode="External"/><Relationship Id="rId6" Type="http://schemas.openxmlformats.org/officeDocument/2006/relationships/hyperlink" Target="http://go.microsoft.com/fwlink/p/?LinkId=253147" TargetMode="External"/><Relationship Id="rId15" Type="http://schemas.openxmlformats.org/officeDocument/2006/relationships/hyperlink" Target="http://go.microsoft.com/fwlink/p/?LinkId=260428" TargetMode="External"/><Relationship Id="rId23" Type="http://schemas.openxmlformats.org/officeDocument/2006/relationships/hyperlink" Target="http://g.microsoftonline.com/0rmcm00de-de/5386" TargetMode="External"/><Relationship Id="rId28" Type="http://schemas.openxmlformats.org/officeDocument/2006/relationships/hyperlink" Target="http://g.microsoftonline.com/0rmcm00de-de/5391" TargetMode="External"/><Relationship Id="rId36" Type="http://schemas.openxmlformats.org/officeDocument/2006/relationships/hyperlink" Target="http://g.microsoftonline.com/0rmcm00de-de/5398" TargetMode="External"/><Relationship Id="rId49" Type="http://schemas.openxmlformats.org/officeDocument/2006/relationships/hyperlink" Target="http://g.microsoftonline.com/0rmcm00de-de/5413" TargetMode="External"/><Relationship Id="rId57" Type="http://schemas.openxmlformats.org/officeDocument/2006/relationships/hyperlink" Target="http://g.microsoftonline.com/0rmcm00de-de/5421" TargetMode="External"/><Relationship Id="rId10" Type="http://schemas.openxmlformats.org/officeDocument/2006/relationships/hyperlink" Target="http://go.microsoft.com/fwlink/p/?LinkId=253149" TargetMode="External"/><Relationship Id="rId31" Type="http://schemas.openxmlformats.org/officeDocument/2006/relationships/hyperlink" Target="http://g.microsoftonline.com/0rmcm00de-de/5393" TargetMode="External"/><Relationship Id="rId44" Type="http://schemas.openxmlformats.org/officeDocument/2006/relationships/hyperlink" Target="http://g.microsoftonline.com/0rmcm00de-de/5408" TargetMode="External"/><Relationship Id="rId52" Type="http://schemas.openxmlformats.org/officeDocument/2006/relationships/hyperlink" Target="http://g.microsoftonline.com/0rmcm00de-de/5416" TargetMode="External"/><Relationship Id="rId60" Type="http://schemas.openxmlformats.org/officeDocument/2006/relationships/hyperlink" Target="http://g.microsoftonline.com/0rmcm00de-de/5424" TargetMode="External"/><Relationship Id="rId65" Type="http://schemas.openxmlformats.org/officeDocument/2006/relationships/hyperlink" Target="http://g.microsoftonline.com/0rmcm00de-de/5428" TargetMode="External"/><Relationship Id="rId73" Type="http://schemas.openxmlformats.org/officeDocument/2006/relationships/hyperlink" Target="http://g.microsoftonline.com/0rmcm00de-de/5377" TargetMode="External"/><Relationship Id="rId78" Type="http://schemas.openxmlformats.org/officeDocument/2006/relationships/vmlDrawing" Target="../drawings/vmlDrawing1.vml"/><Relationship Id="rId81" Type="http://schemas.openxmlformats.org/officeDocument/2006/relationships/ctrlProp" Target="../ctrlProps/ctrlProp3.xml"/><Relationship Id="rId86" Type="http://schemas.openxmlformats.org/officeDocument/2006/relationships/ctrlProp" Target="../ctrlProps/ctrlProp8.xml"/><Relationship Id="rId4" Type="http://schemas.openxmlformats.org/officeDocument/2006/relationships/hyperlink" Target="http://go.microsoft.com/fwlink/p/?LinkId=253149" TargetMode="External"/><Relationship Id="rId9" Type="http://schemas.openxmlformats.org/officeDocument/2006/relationships/hyperlink" Target="http://go.microsoft.com/fwlink/p/?LinkId=253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54"/>
  <sheetViews>
    <sheetView tabSelected="1" zoomScale="90" zoomScaleNormal="90" zoomScaleSheetLayoutView="117" workbookViewId="0">
      <selection activeCell="F5" sqref="F5:F6"/>
    </sheetView>
  </sheetViews>
  <sheetFormatPr defaultColWidth="9.140625" defaultRowHeight="15"/>
  <cols>
    <col min="1" max="2" width="3.7109375" customWidth="1"/>
    <col min="3" max="3" width="35.42578125" customWidth="1"/>
    <col min="4" max="4" width="46.28515625" customWidth="1"/>
    <col min="5" max="5" width="3" customWidth="1"/>
    <col min="6" max="6" width="24.28515625" customWidth="1"/>
    <col min="7" max="8" width="3.7109375" customWidth="1"/>
  </cols>
  <sheetData>
    <row r="1" spans="1:101">
      <c r="A1" s="19"/>
      <c r="B1" s="19"/>
      <c r="C1" s="19"/>
      <c r="D1" s="19"/>
      <c r="E1" s="19"/>
      <c r="F1" s="19"/>
      <c r="G1" s="19"/>
      <c r="H1" s="19"/>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row>
    <row r="2" spans="1:101">
      <c r="A2" s="19"/>
      <c r="B2" s="7"/>
      <c r="C2" s="7"/>
      <c r="D2" s="7"/>
      <c r="E2" s="7"/>
      <c r="F2" s="7"/>
      <c r="G2" s="7"/>
      <c r="H2" s="1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row>
    <row r="3" spans="1:101" ht="161.25" customHeight="1">
      <c r="A3" s="19"/>
      <c r="B3" s="7"/>
      <c r="C3" s="111"/>
      <c r="D3" s="111"/>
      <c r="E3" s="111"/>
      <c r="F3" s="7"/>
      <c r="G3" s="7"/>
      <c r="H3" s="19"/>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row>
    <row r="4" spans="1:101">
      <c r="A4" s="19"/>
      <c r="B4" s="7"/>
      <c r="C4" s="7"/>
      <c r="D4" s="7"/>
      <c r="E4" s="7"/>
      <c r="F4" s="7"/>
      <c r="G4" s="7"/>
      <c r="H4" s="19"/>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row>
    <row r="5" spans="1:101" ht="27" customHeight="1">
      <c r="A5" s="19"/>
      <c r="B5" s="7"/>
      <c r="C5" s="110" t="s">
        <v>0</v>
      </c>
      <c r="D5" s="110"/>
      <c r="E5" s="119"/>
      <c r="F5" s="120"/>
      <c r="G5" s="7"/>
      <c r="H5" s="19"/>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row>
    <row r="6" spans="1:101" ht="27.75" customHeight="1">
      <c r="A6" s="19"/>
      <c r="B6" s="7"/>
      <c r="C6" s="118" t="s">
        <v>1</v>
      </c>
      <c r="D6" s="118"/>
      <c r="E6" s="119"/>
      <c r="F6" s="120"/>
      <c r="G6" s="7"/>
      <c r="H6" s="19"/>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row>
    <row r="7" spans="1:101" ht="11.25" customHeight="1" thickBot="1">
      <c r="A7" s="19"/>
      <c r="B7" s="7"/>
      <c r="C7" s="7"/>
      <c r="D7" s="7"/>
      <c r="E7" s="7"/>
      <c r="F7" s="7"/>
      <c r="G7" s="7"/>
      <c r="H7" s="19"/>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row>
    <row r="8" spans="1:101" ht="20.25">
      <c r="A8" s="19"/>
      <c r="B8" s="7"/>
      <c r="C8" s="107" t="s">
        <v>2</v>
      </c>
      <c r="D8" s="108"/>
      <c r="E8" s="108"/>
      <c r="F8" s="109"/>
      <c r="G8" s="7"/>
      <c r="H8" s="19"/>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row>
    <row r="9" spans="1:101" ht="15" customHeight="1">
      <c r="A9" s="19"/>
      <c r="B9" s="7"/>
      <c r="C9" s="112" t="s">
        <v>241</v>
      </c>
      <c r="D9" s="113"/>
      <c r="E9" s="113"/>
      <c r="F9" s="114"/>
      <c r="G9" s="7"/>
      <c r="H9" s="19"/>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row>
    <row r="10" spans="1:101" ht="15" customHeight="1">
      <c r="A10" s="19"/>
      <c r="B10" s="7"/>
      <c r="C10" s="112"/>
      <c r="D10" s="113"/>
      <c r="E10" s="113"/>
      <c r="F10" s="114"/>
      <c r="G10" s="7"/>
      <c r="H10" s="19"/>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row>
    <row r="11" spans="1:101" ht="15" customHeight="1">
      <c r="A11" s="19"/>
      <c r="B11" s="7"/>
      <c r="C11" s="112"/>
      <c r="D11" s="113"/>
      <c r="E11" s="113"/>
      <c r="F11" s="114"/>
      <c r="G11" s="7"/>
      <c r="H11" s="19"/>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row>
    <row r="12" spans="1:101" ht="15" customHeight="1">
      <c r="A12" s="19"/>
      <c r="B12" s="7"/>
      <c r="C12" s="112"/>
      <c r="D12" s="113"/>
      <c r="E12" s="113"/>
      <c r="F12" s="114"/>
      <c r="G12" s="7"/>
      <c r="H12" s="19"/>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row>
    <row r="13" spans="1:101" ht="15" customHeight="1">
      <c r="A13" s="19"/>
      <c r="B13" s="7"/>
      <c r="C13" s="112"/>
      <c r="D13" s="113"/>
      <c r="E13" s="113"/>
      <c r="F13" s="114"/>
      <c r="G13" s="7"/>
      <c r="H13" s="19"/>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row>
    <row r="14" spans="1:101" ht="15" customHeight="1">
      <c r="A14" s="19"/>
      <c r="B14" s="7"/>
      <c r="C14" s="112"/>
      <c r="D14" s="113"/>
      <c r="E14" s="113"/>
      <c r="F14" s="114"/>
      <c r="G14" s="7"/>
      <c r="H14" s="19"/>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row>
    <row r="15" spans="1:101" ht="15" customHeight="1">
      <c r="A15" s="19"/>
      <c r="B15" s="7"/>
      <c r="C15" s="112"/>
      <c r="D15" s="113"/>
      <c r="E15" s="113"/>
      <c r="F15" s="114"/>
      <c r="G15" s="7"/>
      <c r="H15" s="19"/>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row>
    <row r="16" spans="1:101" ht="15" customHeight="1">
      <c r="A16" s="19"/>
      <c r="B16" s="7"/>
      <c r="C16" s="112"/>
      <c r="D16" s="113"/>
      <c r="E16" s="113"/>
      <c r="F16" s="114"/>
      <c r="G16" s="7"/>
      <c r="H16" s="19"/>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row>
    <row r="17" spans="1:101" ht="50.25" customHeight="1">
      <c r="A17" s="19"/>
      <c r="B17" s="7"/>
      <c r="C17" s="112"/>
      <c r="D17" s="113"/>
      <c r="E17" s="113"/>
      <c r="F17" s="114"/>
      <c r="G17" s="7"/>
      <c r="H17" s="19"/>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row>
    <row r="18" spans="1:101" ht="15" customHeight="1">
      <c r="A18" s="19"/>
      <c r="B18" s="7"/>
      <c r="C18" s="112"/>
      <c r="D18" s="113"/>
      <c r="E18" s="113"/>
      <c r="F18" s="114"/>
      <c r="G18" s="7"/>
      <c r="H18" s="19"/>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row>
    <row r="19" spans="1:101" ht="15" customHeight="1">
      <c r="A19" s="19"/>
      <c r="B19" s="7"/>
      <c r="C19" s="112"/>
      <c r="D19" s="113"/>
      <c r="E19" s="113"/>
      <c r="F19" s="114"/>
      <c r="G19" s="7"/>
      <c r="H19" s="19"/>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row>
    <row r="20" spans="1:101" ht="15" customHeight="1">
      <c r="A20" s="19"/>
      <c r="B20" s="7"/>
      <c r="C20" s="112"/>
      <c r="D20" s="113"/>
      <c r="E20" s="113"/>
      <c r="F20" s="114"/>
      <c r="G20" s="7"/>
      <c r="H20" s="19"/>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row>
    <row r="21" spans="1:101" ht="15" customHeight="1">
      <c r="A21" s="19"/>
      <c r="B21" s="7"/>
      <c r="C21" s="112"/>
      <c r="D21" s="113"/>
      <c r="E21" s="113"/>
      <c r="F21" s="114"/>
      <c r="G21" s="7"/>
      <c r="H21" s="19"/>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row>
    <row r="22" spans="1:101" ht="15" customHeight="1">
      <c r="A22" s="19"/>
      <c r="B22" s="7"/>
      <c r="C22" s="112"/>
      <c r="D22" s="113"/>
      <c r="E22" s="113"/>
      <c r="F22" s="114"/>
      <c r="G22" s="7"/>
      <c r="H22" s="19"/>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row>
    <row r="23" spans="1:101" ht="15" customHeight="1">
      <c r="A23" s="19"/>
      <c r="B23" s="7"/>
      <c r="C23" s="112"/>
      <c r="D23" s="113"/>
      <c r="E23" s="113"/>
      <c r="F23" s="114"/>
      <c r="G23" s="7"/>
      <c r="H23" s="19"/>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row>
    <row r="24" spans="1:101" ht="15" customHeight="1">
      <c r="A24" s="19"/>
      <c r="B24" s="7"/>
      <c r="C24" s="112"/>
      <c r="D24" s="113"/>
      <c r="E24" s="113"/>
      <c r="F24" s="114"/>
      <c r="G24" s="7"/>
      <c r="H24" s="19"/>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row>
    <row r="25" spans="1:101" ht="15" customHeight="1">
      <c r="A25" s="19"/>
      <c r="B25" s="7"/>
      <c r="C25" s="112"/>
      <c r="D25" s="113"/>
      <c r="E25" s="113"/>
      <c r="F25" s="114"/>
      <c r="G25" s="7"/>
      <c r="H25" s="19"/>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row>
    <row r="26" spans="1:101" ht="15" customHeight="1">
      <c r="A26" s="19"/>
      <c r="B26" s="7"/>
      <c r="C26" s="112"/>
      <c r="D26" s="113"/>
      <c r="E26" s="113"/>
      <c r="F26" s="114"/>
      <c r="G26" s="7"/>
      <c r="H26" s="19"/>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row>
    <row r="27" spans="1:101" ht="15" customHeight="1">
      <c r="A27" s="19"/>
      <c r="B27" s="7"/>
      <c r="C27" s="112"/>
      <c r="D27" s="113"/>
      <c r="E27" s="113"/>
      <c r="F27" s="114"/>
      <c r="G27" s="7"/>
      <c r="H27" s="19"/>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row>
    <row r="28" spans="1:101" ht="15" customHeight="1">
      <c r="A28" s="19"/>
      <c r="B28" s="7"/>
      <c r="C28" s="112"/>
      <c r="D28" s="113"/>
      <c r="E28" s="113"/>
      <c r="F28" s="114"/>
      <c r="G28" s="7"/>
      <c r="H28" s="19"/>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row>
    <row r="29" spans="1:101" ht="61.5" customHeight="1" thickBot="1">
      <c r="A29" s="19"/>
      <c r="B29" s="7"/>
      <c r="C29" s="115"/>
      <c r="D29" s="116"/>
      <c r="E29" s="116"/>
      <c r="F29" s="117"/>
      <c r="G29" s="7"/>
      <c r="H29" s="19"/>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row>
    <row r="30" spans="1:101">
      <c r="A30" s="19"/>
      <c r="B30" s="7"/>
      <c r="C30" s="7"/>
      <c r="D30" s="7"/>
      <c r="E30" s="7"/>
      <c r="F30" s="7"/>
      <c r="G30" s="7"/>
      <c r="H30" s="19"/>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row>
    <row r="31" spans="1:101">
      <c r="A31" s="19"/>
      <c r="B31" s="7"/>
      <c r="C31" s="7"/>
      <c r="D31" s="7"/>
      <c r="E31" s="7"/>
      <c r="F31" s="7"/>
      <c r="G31" s="7"/>
      <c r="H31" s="19"/>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row>
    <row r="32" spans="1:101">
      <c r="A32" s="19"/>
      <c r="B32" s="19"/>
      <c r="C32" s="19"/>
      <c r="D32" s="19"/>
      <c r="E32" s="19"/>
      <c r="F32" s="19"/>
      <c r="G32" s="19"/>
      <c r="H32" s="19"/>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row>
    <row r="33" spans="1:10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row>
    <row r="34" spans="1:10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row>
    <row r="35" spans="1:10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row>
    <row r="36" spans="1:10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row>
    <row r="37" spans="1:10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row>
    <row r="38" spans="1:10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row>
    <row r="39" spans="1:10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row>
    <row r="40" spans="1:10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row>
    <row r="41" spans="1:10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row>
    <row r="42" spans="1:10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row>
    <row r="43" spans="1:10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row>
    <row r="44" spans="1:10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row>
    <row r="45" spans="1:10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row>
    <row r="46" spans="1:10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row>
    <row r="47" spans="1:10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row>
    <row r="48" spans="1:10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row>
    <row r="49" spans="1:10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row>
    <row r="50" spans="1:10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row>
    <row r="51" spans="1:10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row>
    <row r="52" spans="1:10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row>
    <row r="53" spans="1:10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row>
    <row r="54" spans="1:10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row>
  </sheetData>
  <mergeCells count="7">
    <mergeCell ref="C8:F8"/>
    <mergeCell ref="C5:D5"/>
    <mergeCell ref="C3:E3"/>
    <mergeCell ref="C9:F29"/>
    <mergeCell ref="C6:D6"/>
    <mergeCell ref="E5:E6"/>
    <mergeCell ref="F5:F6"/>
  </mergeCells>
  <phoneticPr fontId="34" type="noConversion"/>
  <pageMargins left="0.7" right="0.7" top="0.75" bottom="0.75" header="0.3" footer="0.3"/>
  <pageSetup scale="77" orientation="portrait" r:id="rId1"/>
  <headerFooter>
    <oddHeader>&amp;L&amp;11&amp;"Segoe UI,Regular"&amp;K01+000Höher stufen nach Campus-Zeitplan&amp;R&amp;11&amp;"Segoe UI,Regular"&amp;K01+000Anweisungen</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XFC215"/>
  <sheetViews>
    <sheetView zoomScale="90" zoomScaleNormal="90" workbookViewId="0">
      <selection activeCell="C12" sqref="C12:E13"/>
    </sheetView>
  </sheetViews>
  <sheetFormatPr defaultColWidth="0" defaultRowHeight="16.5" zeroHeight="1"/>
  <cols>
    <col min="1" max="1" width="3.7109375" style="4" customWidth="1"/>
    <col min="2" max="2" width="3.7109375" style="2" customWidth="1"/>
    <col min="3" max="3" width="10.5703125" style="2" customWidth="1"/>
    <col min="4" max="4" width="20.28515625" style="29" customWidth="1"/>
    <col min="5" max="5" width="15.140625" style="1" customWidth="1"/>
    <col min="6" max="6" width="7.42578125" style="6" customWidth="1"/>
    <col min="7" max="7" width="62.140625" style="6" customWidth="1"/>
    <col min="8" max="8" width="37.140625" style="22" customWidth="1"/>
    <col min="9" max="9" width="6.140625" style="22" customWidth="1"/>
    <col min="10" max="10" width="11.28515625" style="22" customWidth="1"/>
    <col min="11" max="11" width="10.140625" style="87" hidden="1" customWidth="1"/>
    <col min="12" max="12" width="26.28515625" style="1" hidden="1" customWidth="1"/>
    <col min="13" max="13" width="16" style="1" hidden="1" customWidth="1"/>
    <col min="14" max="14" width="21.42578125" style="57" hidden="1" customWidth="1"/>
    <col min="15" max="15" width="11.7109375" style="105" hidden="1" customWidth="1"/>
    <col min="16" max="16" width="3.7109375" style="1" customWidth="1"/>
    <col min="17" max="16383" width="9.140625" style="1" hidden="1"/>
    <col min="16384" max="16384" width="1.7109375" style="1" hidden="1"/>
  </cols>
  <sheetData>
    <row r="1" spans="1:83" s="4" customFormat="1">
      <c r="B1" s="3"/>
      <c r="C1" s="3"/>
      <c r="D1" s="28"/>
      <c r="F1" s="5"/>
      <c r="G1" s="5"/>
      <c r="H1" s="21"/>
      <c r="I1" s="21"/>
      <c r="J1" s="21"/>
      <c r="K1" s="55"/>
      <c r="N1" s="56"/>
      <c r="O1" s="103"/>
    </row>
    <row r="2" spans="1:83">
      <c r="B2" s="3"/>
      <c r="C2" s="3"/>
      <c r="D2" s="28"/>
      <c r="E2" s="4"/>
      <c r="F2" s="5"/>
      <c r="G2" s="5"/>
      <c r="H2" s="21"/>
      <c r="I2" s="21"/>
      <c r="J2" s="21"/>
      <c r="K2" s="55"/>
      <c r="L2" s="4"/>
      <c r="M2" s="4"/>
      <c r="N2" s="56"/>
      <c r="O2" s="103"/>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row>
    <row r="3" spans="1:83" ht="23.25" customHeight="1">
      <c r="B3" s="3"/>
      <c r="C3" s="3"/>
      <c r="D3" s="28"/>
      <c r="E3" s="4"/>
      <c r="F3" s="5"/>
      <c r="G3" s="5"/>
      <c r="H3" s="21"/>
      <c r="I3" s="21"/>
      <c r="J3" s="21"/>
      <c r="K3" s="55"/>
      <c r="L3" s="4"/>
      <c r="M3" s="4"/>
      <c r="N3" s="56"/>
      <c r="O3" s="103"/>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row>
    <row r="4" spans="1:83" ht="16.5" hidden="1" customHeight="1">
      <c r="B4" s="3" t="s">
        <v>145</v>
      </c>
      <c r="C4" s="3"/>
      <c r="D4" s="28"/>
      <c r="E4" s="4"/>
      <c r="F4" s="5"/>
      <c r="G4" s="5"/>
      <c r="H4" s="21"/>
      <c r="I4" s="21"/>
      <c r="J4" s="21"/>
      <c r="K4" s="55"/>
      <c r="L4" s="4"/>
      <c r="M4" s="4"/>
      <c r="N4" s="56"/>
      <c r="O4" s="103"/>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row>
    <row r="5" spans="1:83" ht="16.5" hidden="1" customHeight="1">
      <c r="B5" s="3"/>
      <c r="C5" s="3"/>
      <c r="D5" s="28" t="s">
        <v>146</v>
      </c>
      <c r="E5" s="4"/>
      <c r="F5" s="5"/>
      <c r="G5" s="5"/>
      <c r="H5" s="21"/>
      <c r="I5" s="21"/>
      <c r="J5" s="21"/>
      <c r="K5" s="55"/>
      <c r="L5" s="4"/>
      <c r="M5" s="4"/>
      <c r="N5" s="56"/>
      <c r="O5" s="103"/>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row>
    <row r="6" spans="1:83" ht="16.5" hidden="1" customHeight="1">
      <c r="B6" s="3"/>
      <c r="C6" s="3"/>
      <c r="D6" s="28" t="s">
        <v>147</v>
      </c>
      <c r="E6" s="4"/>
      <c r="F6" s="5"/>
      <c r="G6" s="5"/>
      <c r="H6" s="21"/>
      <c r="I6" s="21"/>
      <c r="J6" s="21"/>
      <c r="K6" s="55"/>
      <c r="L6" s="4"/>
      <c r="M6" s="4"/>
      <c r="N6" s="56"/>
      <c r="O6" s="103"/>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row>
    <row r="7" spans="1:83" ht="16.5" customHeight="1" thickBot="1">
      <c r="B7" s="3"/>
      <c r="C7" s="3"/>
      <c r="D7" s="28"/>
      <c r="E7" s="4"/>
      <c r="F7" s="5"/>
      <c r="G7" s="5"/>
      <c r="H7" s="21"/>
      <c r="I7" s="21"/>
      <c r="J7" s="47"/>
      <c r="K7" s="55"/>
      <c r="L7" s="4"/>
      <c r="M7" s="4"/>
      <c r="N7" s="56"/>
      <c r="O7" s="103"/>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row>
    <row r="8" spans="1:83" s="27" customFormat="1" ht="43.5" customHeight="1" thickBot="1">
      <c r="A8" s="26"/>
      <c r="B8" s="197" t="s">
        <v>240</v>
      </c>
      <c r="C8" s="198"/>
      <c r="D8" s="198"/>
      <c r="E8" s="198"/>
      <c r="F8" s="198"/>
      <c r="G8" s="198"/>
      <c r="H8" s="199"/>
      <c r="I8" s="25"/>
      <c r="K8" s="86"/>
      <c r="L8" s="26"/>
      <c r="M8" s="26"/>
      <c r="N8" s="61"/>
      <c r="O8" s="104"/>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row>
    <row r="9" spans="1:83" ht="21" thickBot="1">
      <c r="B9" s="3"/>
      <c r="C9" s="3"/>
      <c r="D9" s="28"/>
      <c r="E9" s="4"/>
      <c r="F9" s="5"/>
      <c r="G9" s="5"/>
      <c r="H9" s="21"/>
      <c r="I9" s="99"/>
      <c r="J9" s="25"/>
      <c r="K9" s="86"/>
      <c r="M9" s="4"/>
      <c r="N9" s="56"/>
      <c r="O9" s="103"/>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row>
    <row r="10" spans="1:83" ht="72.75" customHeight="1">
      <c r="B10" s="3"/>
      <c r="C10" s="217" t="s">
        <v>3</v>
      </c>
      <c r="D10" s="218"/>
      <c r="E10" s="219"/>
      <c r="F10" s="5"/>
      <c r="G10" s="225" t="s">
        <v>4</v>
      </c>
      <c r="H10" s="226"/>
      <c r="I10" s="99"/>
      <c r="J10" s="25"/>
      <c r="K10" s="95"/>
      <c r="L10" s="4"/>
      <c r="M10" s="4"/>
      <c r="O10" s="103"/>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row>
    <row r="11" spans="1:83" ht="9" customHeight="1">
      <c r="B11" s="3"/>
      <c r="C11" s="220"/>
      <c r="D11" s="221"/>
      <c r="E11" s="222"/>
      <c r="F11" s="5"/>
      <c r="G11" s="209"/>
      <c r="H11" s="210"/>
      <c r="I11" s="4"/>
      <c r="J11" s="21"/>
      <c r="K11" s="102">
        <f>COUNTIF(N13:N16,"N/A")</f>
        <v>4</v>
      </c>
      <c r="L11" s="70" t="s">
        <v>148</v>
      </c>
      <c r="M11" s="70" t="s">
        <v>149</v>
      </c>
      <c r="N11" s="71" t="s">
        <v>150</v>
      </c>
      <c r="O11" s="103"/>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83" ht="37.5" customHeight="1">
      <c r="B12" s="3"/>
      <c r="C12" s="211" t="s">
        <v>5</v>
      </c>
      <c r="D12" s="212"/>
      <c r="E12" s="213"/>
      <c r="F12" s="5"/>
      <c r="G12" s="45" t="s">
        <v>242</v>
      </c>
      <c r="H12" s="97" t="str">
        <f>IF(K11=4,"Eine Option auswählen",IF(K11=3," ",IF(K11=2,"Bitte in diesem Bereich nur eine Option auswählen",IF(K11=1,"Bitte in diesem Bereich nur eine Option auswählen",IF(K11=0,"Bitte in diesem Bereich nur eine Option auswählen")))))</f>
        <v>Eine Option auswählen</v>
      </c>
      <c r="I12" s="4"/>
      <c r="J12" s="21"/>
      <c r="K12" s="95">
        <v>12</v>
      </c>
      <c r="L12" s="72"/>
      <c r="M12" s="98" t="s">
        <v>151</v>
      </c>
      <c r="N12" s="62" t="s">
        <v>152</v>
      </c>
      <c r="O12" s="106">
        <f>COUNTIF(N13:N16,"N/A")</f>
        <v>4</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pans="1:83" ht="51.75" customHeight="1" thickBot="1">
      <c r="B13" s="3"/>
      <c r="C13" s="214"/>
      <c r="D13" s="215"/>
      <c r="E13" s="216"/>
      <c r="F13" s="5"/>
      <c r="G13" s="100" t="s">
        <v>6</v>
      </c>
      <c r="H13" s="39"/>
      <c r="I13" s="4" t="s">
        <v>7</v>
      </c>
      <c r="J13" s="95"/>
      <c r="K13" s="96">
        <v>13</v>
      </c>
      <c r="L13" s="73" t="s">
        <v>153</v>
      </c>
      <c r="M13" s="58" t="b">
        <v>0</v>
      </c>
      <c r="N13" s="59" t="str">
        <f>IF(M13,L13, "N/A")</f>
        <v>N/A</v>
      </c>
      <c r="O13" s="103" t="str">
        <f>($K$11=3)&amp;(N13="N/A")</f>
        <v>FALSETRUE</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row>
    <row r="14" spans="1:83" ht="56.25" customHeight="1">
      <c r="B14" s="3"/>
      <c r="C14" s="24"/>
      <c r="D14" s="24"/>
      <c r="E14" s="24"/>
      <c r="F14" s="5"/>
      <c r="G14" s="100" t="s">
        <v>8</v>
      </c>
      <c r="H14" s="39"/>
      <c r="I14" s="4"/>
      <c r="J14" s="95"/>
      <c r="K14" s="96">
        <v>14</v>
      </c>
      <c r="L14" s="73" t="s">
        <v>154</v>
      </c>
      <c r="M14" s="59" t="b">
        <v>0</v>
      </c>
      <c r="N14" s="59" t="str">
        <f t="shared" ref="N14:N35" si="0">IF(M14,L14, "N/A")</f>
        <v>N/A</v>
      </c>
      <c r="O14" s="103" t="str">
        <f>($K$11=3)&amp;(N14="N/A")</f>
        <v>FALSETRUE</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row>
    <row r="15" spans="1:83" ht="54" customHeight="1">
      <c r="B15" s="3"/>
      <c r="C15" s="24"/>
      <c r="D15" s="24"/>
      <c r="E15" s="24"/>
      <c r="F15" s="5"/>
      <c r="G15" s="100" t="s">
        <v>9</v>
      </c>
      <c r="H15" s="39"/>
      <c r="I15" s="4"/>
      <c r="J15" s="95"/>
      <c r="K15" s="96">
        <v>15</v>
      </c>
      <c r="L15" s="73" t="s">
        <v>155</v>
      </c>
      <c r="M15" s="58" t="b">
        <v>0</v>
      </c>
      <c r="N15" s="59" t="str">
        <f t="shared" si="0"/>
        <v>N/A</v>
      </c>
      <c r="O15" s="103" t="str">
        <f>($K$11=3)&amp;(N15="N/A")</f>
        <v>FALSETRUE</v>
      </c>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row>
    <row r="16" spans="1:83" ht="90" customHeight="1">
      <c r="B16" s="3"/>
      <c r="C16" s="24"/>
      <c r="D16" s="24"/>
      <c r="E16" s="24"/>
      <c r="F16" s="5"/>
      <c r="G16" s="100" t="s">
        <v>10</v>
      </c>
      <c r="H16" s="39"/>
      <c r="I16" s="4"/>
      <c r="J16" s="95"/>
      <c r="K16" s="96">
        <v>16</v>
      </c>
      <c r="L16" s="73" t="s">
        <v>156</v>
      </c>
      <c r="M16" s="58" t="b">
        <v>0</v>
      </c>
      <c r="N16" s="59" t="str">
        <f t="shared" si="0"/>
        <v>N/A</v>
      </c>
      <c r="O16" s="103" t="str">
        <f>($K$11=3)&amp;(N16="N/A")</f>
        <v>FALSETRUE</v>
      </c>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row>
    <row r="17" spans="1:83" ht="4.5" customHeight="1">
      <c r="B17" s="3"/>
      <c r="C17" s="24"/>
      <c r="D17" s="24"/>
      <c r="E17" s="24"/>
      <c r="F17" s="5"/>
      <c r="G17" s="40"/>
      <c r="H17" s="41"/>
      <c r="I17" s="4"/>
      <c r="J17" s="95"/>
      <c r="K17" s="96"/>
      <c r="L17" s="74"/>
      <c r="M17" s="60"/>
      <c r="N17" s="59" t="str">
        <f t="shared" si="0"/>
        <v>N/A</v>
      </c>
      <c r="O17" s="103"/>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row>
    <row r="18" spans="1:83" ht="54" customHeight="1">
      <c r="B18" s="3"/>
      <c r="C18" s="3"/>
      <c r="D18" s="32"/>
      <c r="E18" s="8"/>
      <c r="F18" s="5"/>
      <c r="G18" s="49" t="s">
        <v>11</v>
      </c>
      <c r="H18" s="97" t="str">
        <f>IF(K18=5,"Eine Option auswählen",IF(K18=4," ",IF(K18=3,"Bitte in diesem Bereich nur eine Option auswählen",IF(K18=2,"Bitte in diesem Bereich nur eine Option auswählen",IF(K18=1,"Bitte in diesem Bereich nur eine Option auswählen",IF(K18=1,"Bitte in diesem Bereich nur eine Option auswählen"))))))</f>
        <v>Eine Option auswählen</v>
      </c>
      <c r="I18" s="21"/>
      <c r="J18" s="95"/>
      <c r="K18" s="102">
        <f>COUNTIF(N19:N23,"N/A")</f>
        <v>5</v>
      </c>
      <c r="L18" s="75"/>
      <c r="M18" s="63"/>
      <c r="N18" s="63"/>
      <c r="O18" s="103"/>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row>
    <row r="19" spans="1:83" ht="23.25" customHeight="1">
      <c r="B19" s="3"/>
      <c r="C19" s="3"/>
      <c r="D19" s="32"/>
      <c r="E19" s="8"/>
      <c r="F19" s="5"/>
      <c r="G19" s="101" t="s">
        <v>12</v>
      </c>
      <c r="H19" s="39"/>
      <c r="I19" s="21"/>
      <c r="K19" s="96">
        <v>19</v>
      </c>
      <c r="L19" s="73" t="s">
        <v>157</v>
      </c>
      <c r="M19" s="58" t="b">
        <v>0</v>
      </c>
      <c r="N19" s="59" t="str">
        <f t="shared" si="0"/>
        <v>N/A</v>
      </c>
      <c r="O19" s="103" t="str">
        <f>($K$18=4)&amp;(N19="N/A")</f>
        <v>FALSETRUE</v>
      </c>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row>
    <row r="20" spans="1:83" ht="45" customHeight="1">
      <c r="B20" s="3"/>
      <c r="C20" s="3"/>
      <c r="D20" s="32"/>
      <c r="E20" s="8"/>
      <c r="F20" s="5"/>
      <c r="G20" s="101" t="s">
        <v>13</v>
      </c>
      <c r="H20" s="39"/>
      <c r="I20" s="21"/>
      <c r="J20" s="95"/>
      <c r="K20" s="96">
        <v>20</v>
      </c>
      <c r="L20" s="73" t="s">
        <v>158</v>
      </c>
      <c r="M20" s="58" t="b">
        <v>0</v>
      </c>
      <c r="N20" s="59" t="str">
        <f t="shared" si="0"/>
        <v>N/A</v>
      </c>
      <c r="O20" s="103" t="str">
        <f>($K$18=4)&amp;(N20="N/A")</f>
        <v>FALSETRUE</v>
      </c>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row>
    <row r="21" spans="1:83" ht="33" customHeight="1">
      <c r="B21" s="3"/>
      <c r="C21" s="3"/>
      <c r="D21" s="32"/>
      <c r="E21" s="8"/>
      <c r="F21" s="5"/>
      <c r="G21" s="101" t="s">
        <v>14</v>
      </c>
      <c r="H21" s="39"/>
      <c r="I21" s="21"/>
      <c r="J21" s="21"/>
      <c r="K21" s="96">
        <v>21</v>
      </c>
      <c r="L21" s="73" t="s">
        <v>159</v>
      </c>
      <c r="M21" s="58" t="b">
        <v>0</v>
      </c>
      <c r="N21" s="59" t="str">
        <f t="shared" si="0"/>
        <v>N/A</v>
      </c>
      <c r="O21" s="103" t="str">
        <f>($K$18=4)&amp;(N21="N/A")</f>
        <v>FALSETRUE</v>
      </c>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row>
    <row r="22" spans="1:83" ht="27.75" customHeight="1">
      <c r="B22" s="3"/>
      <c r="C22" s="3"/>
      <c r="D22" s="32"/>
      <c r="E22" s="8"/>
      <c r="F22" s="5"/>
      <c r="G22" s="101" t="s">
        <v>15</v>
      </c>
      <c r="H22" s="39"/>
      <c r="I22" s="21"/>
      <c r="J22" s="21"/>
      <c r="K22" s="96">
        <v>22</v>
      </c>
      <c r="L22" s="73" t="s">
        <v>160</v>
      </c>
      <c r="M22" s="58" t="b">
        <v>0</v>
      </c>
      <c r="N22" s="59" t="str">
        <f t="shared" si="0"/>
        <v>N/A</v>
      </c>
      <c r="O22" s="103" t="str">
        <f>($K$18=4)&amp;(N22="N/A")</f>
        <v>FALSETRUE</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row>
    <row r="23" spans="1:83" ht="42" customHeight="1">
      <c r="B23" s="3"/>
      <c r="C23" s="3"/>
      <c r="D23" s="32"/>
      <c r="E23" s="8"/>
      <c r="F23" s="5"/>
      <c r="G23" s="101" t="s">
        <v>16</v>
      </c>
      <c r="H23" s="39"/>
      <c r="I23" s="21"/>
      <c r="J23" s="21"/>
      <c r="K23" s="96">
        <v>23</v>
      </c>
      <c r="L23" s="73" t="s">
        <v>161</v>
      </c>
      <c r="M23" s="58" t="b">
        <v>0</v>
      </c>
      <c r="N23" s="59" t="str">
        <f t="shared" si="0"/>
        <v>N/A</v>
      </c>
      <c r="O23" s="103" t="str">
        <f>($K$18=4)&amp;(N23="N/A")</f>
        <v>FALSETRUE</v>
      </c>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row>
    <row r="24" spans="1:83" ht="3.75" customHeight="1">
      <c r="B24" s="3"/>
      <c r="C24" s="3"/>
      <c r="D24" s="32"/>
      <c r="E24" s="8"/>
      <c r="F24" s="5"/>
      <c r="G24" s="40"/>
      <c r="H24" s="41"/>
      <c r="I24" s="21"/>
      <c r="J24" s="21"/>
      <c r="K24" s="96">
        <v>24</v>
      </c>
      <c r="L24" s="74"/>
      <c r="M24" s="60"/>
      <c r="N24" s="59" t="str">
        <f t="shared" si="0"/>
        <v>N/A</v>
      </c>
      <c r="O24" s="103"/>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row>
    <row r="25" spans="1:83" ht="25.5" customHeight="1">
      <c r="B25" s="3"/>
      <c r="C25" s="3"/>
      <c r="D25" s="32"/>
      <c r="E25" s="8"/>
      <c r="F25" s="5"/>
      <c r="G25" s="46" t="s">
        <v>17</v>
      </c>
      <c r="H25" s="39"/>
      <c r="I25" s="21"/>
      <c r="J25" s="21"/>
      <c r="K25" s="96">
        <v>25</v>
      </c>
      <c r="L25" s="73" t="s">
        <v>162</v>
      </c>
      <c r="M25" s="58" t="b">
        <v>0</v>
      </c>
      <c r="N25" s="59" t="str">
        <f t="shared" si="0"/>
        <v>N/A</v>
      </c>
      <c r="O25" s="103"/>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row>
    <row r="26" spans="1:83" ht="3.75" customHeight="1">
      <c r="B26" s="3"/>
      <c r="C26" s="3"/>
      <c r="D26" s="32"/>
      <c r="E26" s="8"/>
      <c r="F26" s="5"/>
      <c r="G26" s="40"/>
      <c r="H26" s="41"/>
      <c r="I26" s="21"/>
      <c r="J26" s="21"/>
      <c r="K26" s="96">
        <v>26</v>
      </c>
      <c r="L26" s="74"/>
      <c r="M26" s="60"/>
      <c r="N26" s="59" t="str">
        <f t="shared" si="0"/>
        <v>N/A</v>
      </c>
      <c r="O26" s="103"/>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row>
    <row r="27" spans="1:83" ht="42" customHeight="1">
      <c r="B27" s="3"/>
      <c r="C27" s="54"/>
      <c r="D27" s="32"/>
      <c r="E27" s="8"/>
      <c r="F27" s="5"/>
      <c r="G27" s="23" t="s">
        <v>18</v>
      </c>
      <c r="H27" s="39"/>
      <c r="I27" s="21"/>
      <c r="J27" s="21"/>
      <c r="K27" s="96">
        <v>27</v>
      </c>
      <c r="L27" s="73" t="s">
        <v>163</v>
      </c>
      <c r="M27" s="58" t="b">
        <v>0</v>
      </c>
      <c r="N27" s="59" t="str">
        <f t="shared" si="0"/>
        <v>N/A</v>
      </c>
      <c r="O27" s="103"/>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row>
    <row r="28" spans="1:83" ht="3" customHeight="1">
      <c r="B28" s="3"/>
      <c r="C28" s="55"/>
      <c r="D28" s="32"/>
      <c r="E28" s="8"/>
      <c r="F28" s="5"/>
      <c r="G28" s="40"/>
      <c r="H28" s="41"/>
      <c r="I28" s="21"/>
      <c r="J28" s="21"/>
      <c r="K28" s="96">
        <v>28</v>
      </c>
      <c r="L28" s="74"/>
      <c r="M28" s="60"/>
      <c r="N28" s="59" t="str">
        <f t="shared" si="0"/>
        <v>N/A</v>
      </c>
      <c r="O28" s="103"/>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row>
    <row r="29" spans="1:83" ht="57.75" customHeight="1">
      <c r="B29" s="3"/>
      <c r="C29"/>
      <c r="D29" s="51"/>
      <c r="E29" s="51"/>
      <c r="F29" s="5"/>
      <c r="G29" s="46" t="s">
        <v>19</v>
      </c>
      <c r="H29" s="39"/>
      <c r="I29" s="21"/>
      <c r="J29" s="21"/>
      <c r="K29" s="96">
        <v>29</v>
      </c>
      <c r="L29" s="76" t="s">
        <v>164</v>
      </c>
      <c r="M29" s="58" t="b">
        <v>0</v>
      </c>
      <c r="N29" s="77" t="str">
        <f t="shared" si="0"/>
        <v>N/A</v>
      </c>
      <c r="O29" s="103"/>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row>
    <row r="30" spans="1:83" ht="3" customHeight="1">
      <c r="B30" s="3"/>
      <c r="C30" s="55"/>
      <c r="D30" s="32"/>
      <c r="E30" s="8"/>
      <c r="F30" s="5"/>
      <c r="G30" s="40"/>
      <c r="H30" s="41"/>
      <c r="I30" s="21"/>
      <c r="J30" s="21"/>
      <c r="K30" s="96">
        <v>30</v>
      </c>
      <c r="L30" s="74"/>
      <c r="M30" s="60"/>
      <c r="N30" s="59" t="str">
        <f t="shared" si="0"/>
        <v>N/A</v>
      </c>
      <c r="O30" s="103"/>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row>
    <row r="31" spans="1:83" ht="40.5" customHeight="1">
      <c r="A31" s="54"/>
      <c r="B31" s="3"/>
      <c r="D31" s="51"/>
      <c r="E31" s="51"/>
      <c r="F31" s="5"/>
      <c r="G31" s="46" t="s">
        <v>20</v>
      </c>
      <c r="H31" s="39"/>
      <c r="I31" s="21"/>
      <c r="J31" s="21"/>
      <c r="K31" s="96">
        <v>31</v>
      </c>
      <c r="L31" s="73" t="s">
        <v>165</v>
      </c>
      <c r="M31" s="58" t="b">
        <v>0</v>
      </c>
      <c r="N31" s="59" t="str">
        <f t="shared" si="0"/>
        <v>N/A</v>
      </c>
      <c r="O31" s="103"/>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row>
    <row r="32" spans="1:83" ht="3.75" customHeight="1">
      <c r="B32" s="3"/>
      <c r="C32" s="3"/>
      <c r="D32" s="32"/>
      <c r="E32" s="8"/>
      <c r="F32" s="5"/>
      <c r="G32" s="40"/>
      <c r="H32" s="41"/>
      <c r="I32" s="21"/>
      <c r="J32" s="21"/>
      <c r="K32" s="96">
        <v>32</v>
      </c>
      <c r="L32" s="74"/>
      <c r="M32" s="60"/>
      <c r="N32" s="59" t="str">
        <f t="shared" si="0"/>
        <v>N/A</v>
      </c>
      <c r="O32" s="103"/>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row>
    <row r="33" spans="1:83" ht="60" customHeight="1">
      <c r="A33" s="7"/>
      <c r="B33" s="7"/>
      <c r="C33" s="7"/>
      <c r="D33" s="7"/>
      <c r="E33" s="7"/>
      <c r="F33" s="7"/>
      <c r="G33" s="46" t="s">
        <v>232</v>
      </c>
      <c r="H33" s="39"/>
      <c r="I33" s="21"/>
      <c r="J33" s="21"/>
      <c r="K33" s="96">
        <v>33</v>
      </c>
      <c r="L33" s="73" t="s">
        <v>166</v>
      </c>
      <c r="M33" s="58" t="b">
        <v>0</v>
      </c>
      <c r="N33" s="59" t="str">
        <f t="shared" si="0"/>
        <v>N/A</v>
      </c>
      <c r="O33" s="103"/>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row>
    <row r="34" spans="1:83" ht="3" customHeight="1">
      <c r="B34" s="3"/>
      <c r="C34" s="51"/>
      <c r="D34" s="30"/>
      <c r="E34" s="51"/>
      <c r="F34" s="5"/>
      <c r="G34" s="42"/>
      <c r="H34" s="41"/>
      <c r="I34" s="21"/>
      <c r="J34" s="21"/>
      <c r="K34" s="96">
        <v>34</v>
      </c>
      <c r="L34" s="74"/>
      <c r="M34" s="60"/>
      <c r="N34" s="59" t="str">
        <f t="shared" si="0"/>
        <v>N/A</v>
      </c>
      <c r="O34" s="103"/>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row>
    <row r="35" spans="1:83" ht="34.5">
      <c r="A35" s="7"/>
      <c r="B35" s="3"/>
      <c r="D35" s="7"/>
      <c r="E35" s="7"/>
      <c r="F35" s="7"/>
      <c r="G35" s="46" t="s">
        <v>237</v>
      </c>
      <c r="H35" s="39"/>
      <c r="I35" s="21"/>
      <c r="J35" s="21"/>
      <c r="K35" s="96">
        <v>35</v>
      </c>
      <c r="L35" s="73" t="s">
        <v>167</v>
      </c>
      <c r="M35" s="58" t="b">
        <v>0</v>
      </c>
      <c r="N35" s="59" t="str">
        <f t="shared" si="0"/>
        <v>N/A</v>
      </c>
      <c r="O35" s="103"/>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row>
    <row r="36" spans="1:83" ht="9" customHeight="1" thickBot="1">
      <c r="B36" s="3"/>
      <c r="C36" s="52"/>
      <c r="D36" s="31"/>
      <c r="E36" s="52"/>
      <c r="F36" s="5"/>
      <c r="G36" s="43"/>
      <c r="H36" s="44"/>
      <c r="I36" s="21"/>
      <c r="J36" s="21"/>
      <c r="K36" s="55"/>
      <c r="L36" s="4"/>
      <c r="M36" s="4"/>
      <c r="N36" s="56"/>
      <c r="O36" s="103"/>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row>
    <row r="37" spans="1:83" ht="17.25" thickBot="1">
      <c r="B37" s="3"/>
      <c r="C37"/>
      <c r="D37" s="32"/>
      <c r="E37" s="8"/>
      <c r="F37" s="5"/>
      <c r="G37" s="5"/>
      <c r="H37" s="21"/>
      <c r="I37" s="21"/>
      <c r="J37" s="21"/>
      <c r="K37" s="55"/>
      <c r="L37" s="4"/>
      <c r="M37" s="4"/>
      <c r="N37" s="56"/>
      <c r="O37" s="103"/>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row>
    <row r="38" spans="1:83" s="29" customFormat="1" ht="41.25" customHeight="1">
      <c r="A38" s="28"/>
      <c r="B38" s="223" t="s">
        <v>233</v>
      </c>
      <c r="C38" s="224"/>
      <c r="D38" s="48" t="s">
        <v>21</v>
      </c>
      <c r="E38" s="48" t="s">
        <v>22</v>
      </c>
      <c r="F38" s="200" t="s">
        <v>23</v>
      </c>
      <c r="G38" s="200"/>
      <c r="H38" s="200" t="s">
        <v>24</v>
      </c>
      <c r="I38" s="200"/>
      <c r="J38" s="201"/>
      <c r="K38" s="78" t="s">
        <v>168</v>
      </c>
      <c r="L38" s="4"/>
      <c r="M38" s="4"/>
      <c r="N38" s="56"/>
      <c r="O38" s="103"/>
      <c r="P38" s="4"/>
      <c r="Q38" s="4"/>
      <c r="R38" s="4"/>
      <c r="S38" s="4"/>
      <c r="T38" s="4"/>
      <c r="U38" s="4"/>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row>
    <row r="39" spans="1:83" ht="40.5" customHeight="1">
      <c r="B39" s="163"/>
      <c r="C39" s="164"/>
      <c r="D39" s="89"/>
      <c r="E39" s="89"/>
      <c r="F39" s="165" t="s">
        <v>25</v>
      </c>
      <c r="G39" s="166"/>
      <c r="H39" s="167" t="s">
        <v>26</v>
      </c>
      <c r="I39" s="168"/>
      <c r="J39" s="169"/>
      <c r="K39" s="79" t="s">
        <v>169</v>
      </c>
      <c r="L39" s="4"/>
      <c r="M39" s="4"/>
      <c r="N39" s="56"/>
      <c r="O39" s="103"/>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row>
    <row r="40" spans="1:83" ht="28.5" customHeight="1">
      <c r="B40" s="163"/>
      <c r="C40" s="164"/>
      <c r="D40" s="89"/>
      <c r="E40" s="89"/>
      <c r="F40" s="165" t="s">
        <v>27</v>
      </c>
      <c r="G40" s="166"/>
      <c r="H40" s="167" t="s">
        <v>28</v>
      </c>
      <c r="I40" s="168"/>
      <c r="J40" s="169"/>
      <c r="K40" s="79" t="s">
        <v>170</v>
      </c>
      <c r="L40" s="4"/>
      <c r="M40" s="4"/>
      <c r="N40" s="56"/>
      <c r="O40" s="103"/>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row>
    <row r="41" spans="1:83" ht="28.5" customHeight="1">
      <c r="B41" s="163"/>
      <c r="C41" s="164"/>
      <c r="D41" s="89"/>
      <c r="E41" s="89"/>
      <c r="F41" s="165" t="s">
        <v>29</v>
      </c>
      <c r="G41" s="166"/>
      <c r="H41" s="167" t="s">
        <v>30</v>
      </c>
      <c r="I41" s="168"/>
      <c r="J41" s="169"/>
      <c r="K41" s="79" t="s">
        <v>171</v>
      </c>
      <c r="L41" s="4"/>
      <c r="M41" s="4"/>
      <c r="N41" s="56"/>
      <c r="O41" s="103"/>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row>
    <row r="42" spans="1:83" ht="28.5" customHeight="1">
      <c r="B42" s="163"/>
      <c r="C42" s="164"/>
      <c r="D42" s="89"/>
      <c r="E42" s="89"/>
      <c r="F42" s="165" t="s">
        <v>31</v>
      </c>
      <c r="G42" s="166"/>
      <c r="H42" s="167" t="s">
        <v>32</v>
      </c>
      <c r="I42" s="168"/>
      <c r="J42" s="169"/>
      <c r="K42" s="79" t="s">
        <v>172</v>
      </c>
      <c r="L42" s="4"/>
      <c r="M42" s="4"/>
      <c r="N42" s="56"/>
      <c r="O42" s="103"/>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row>
    <row r="43" spans="1:83" ht="57" customHeight="1">
      <c r="B43" s="170"/>
      <c r="C43" s="171"/>
      <c r="D43" s="90"/>
      <c r="E43" s="90"/>
      <c r="F43" s="172" t="s">
        <v>33</v>
      </c>
      <c r="G43" s="173"/>
      <c r="H43" s="174" t="s">
        <v>34</v>
      </c>
      <c r="I43" s="175"/>
      <c r="J43" s="176"/>
      <c r="K43" s="79" t="s">
        <v>173</v>
      </c>
      <c r="L43" s="4"/>
      <c r="M43" s="4"/>
      <c r="N43" s="56"/>
      <c r="O43" s="103"/>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row>
    <row r="44" spans="1:83" ht="28.5" customHeight="1">
      <c r="B44" s="202"/>
      <c r="C44" s="203"/>
      <c r="D44" s="53"/>
      <c r="E44" s="53"/>
      <c r="F44" s="204" t="s">
        <v>35</v>
      </c>
      <c r="G44" s="205"/>
      <c r="H44" s="206" t="s">
        <v>36</v>
      </c>
      <c r="I44" s="207"/>
      <c r="J44" s="208"/>
      <c r="K44" s="79" t="s">
        <v>174</v>
      </c>
      <c r="L44" s="4"/>
      <c r="M44" s="4"/>
      <c r="N44" s="56"/>
      <c r="O44" s="103"/>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row>
    <row r="45" spans="1:83" ht="17.25" thickBot="1">
      <c r="B45" s="9" t="s">
        <v>37</v>
      </c>
      <c r="C45" s="10"/>
      <c r="D45" s="34"/>
      <c r="E45" s="64"/>
      <c r="F45" s="11"/>
      <c r="G45" s="12"/>
      <c r="H45" s="161"/>
      <c r="I45" s="161"/>
      <c r="J45" s="162"/>
      <c r="K45" s="80"/>
      <c r="L45" s="4"/>
      <c r="M45" s="4"/>
      <c r="N45" s="56"/>
      <c r="O45" s="103"/>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row>
    <row r="46" spans="1:83" ht="17.25" thickTop="1">
      <c r="B46" s="125" t="s">
        <v>38</v>
      </c>
      <c r="C46" s="126"/>
      <c r="D46" s="35" t="e">
        <f>$C$12-30</f>
        <v>#VALUE!</v>
      </c>
      <c r="E46" s="65"/>
      <c r="F46" s="17"/>
      <c r="G46" s="18"/>
      <c r="H46" s="150"/>
      <c r="I46" s="150"/>
      <c r="J46" s="151"/>
      <c r="K46" s="65"/>
      <c r="L46" s="4"/>
      <c r="M46" s="4"/>
      <c r="N46" s="56"/>
      <c r="O46" s="103"/>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row>
    <row r="47" spans="1:83" ht="33" customHeight="1">
      <c r="A47" s="4" t="s">
        <v>39</v>
      </c>
      <c r="B47" s="139"/>
      <c r="C47" s="140"/>
      <c r="D47" s="33"/>
      <c r="E47" s="66"/>
      <c r="F47" s="123" t="s">
        <v>40</v>
      </c>
      <c r="G47" s="124"/>
      <c r="H47" s="129" t="s">
        <v>41</v>
      </c>
      <c r="I47" s="130"/>
      <c r="J47" s="131"/>
      <c r="K47" s="81" t="s">
        <v>175</v>
      </c>
      <c r="L47" s="4"/>
      <c r="M47" s="4"/>
      <c r="N47" s="56"/>
      <c r="O47" s="103"/>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row>
    <row r="48" spans="1:83" ht="102.75" customHeight="1">
      <c r="B48" s="127"/>
      <c r="C48" s="128"/>
      <c r="D48" s="33"/>
      <c r="E48" s="94"/>
      <c r="F48" s="123" t="s">
        <v>243</v>
      </c>
      <c r="G48" s="124"/>
      <c r="H48" s="129" t="s">
        <v>42</v>
      </c>
      <c r="I48" s="130"/>
      <c r="J48" s="131"/>
      <c r="K48" s="81" t="s">
        <v>176</v>
      </c>
      <c r="L48" s="4"/>
      <c r="M48" s="4"/>
      <c r="N48" s="56"/>
      <c r="O48" s="103"/>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row>
    <row r="49" spans="2:83" ht="73.5" customHeight="1">
      <c r="B49" s="137"/>
      <c r="C49" s="138"/>
      <c r="D49" s="91"/>
      <c r="E49" s="92"/>
      <c r="F49" s="143" t="s">
        <v>43</v>
      </c>
      <c r="G49" s="144"/>
      <c r="H49" s="134" t="s">
        <v>44</v>
      </c>
      <c r="I49" s="135"/>
      <c r="J49" s="136"/>
      <c r="K49" s="81" t="s">
        <v>177</v>
      </c>
      <c r="L49" s="4"/>
      <c r="M49" s="4"/>
      <c r="N49" s="56"/>
      <c r="O49" s="103"/>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row>
    <row r="50" spans="2:83" ht="39" customHeight="1">
      <c r="B50" s="137"/>
      <c r="C50" s="138"/>
      <c r="D50" s="91"/>
      <c r="E50" s="92"/>
      <c r="F50" s="132" t="s">
        <v>45</v>
      </c>
      <c r="G50" s="133"/>
      <c r="H50" s="134" t="s">
        <v>46</v>
      </c>
      <c r="I50" s="135"/>
      <c r="J50" s="136"/>
      <c r="K50" s="81" t="s">
        <v>178</v>
      </c>
      <c r="L50" s="4"/>
      <c r="M50" s="4"/>
      <c r="N50" s="56"/>
      <c r="O50" s="103"/>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row>
    <row r="51" spans="2:83" ht="38.25" customHeight="1">
      <c r="B51" s="137"/>
      <c r="C51" s="138"/>
      <c r="D51" s="91"/>
      <c r="E51" s="91"/>
      <c r="F51" s="143" t="s">
        <v>47</v>
      </c>
      <c r="G51" s="144"/>
      <c r="H51" s="134" t="s">
        <v>48</v>
      </c>
      <c r="I51" s="135"/>
      <c r="J51" s="136"/>
      <c r="K51" s="81" t="s">
        <v>179</v>
      </c>
      <c r="L51" s="4"/>
      <c r="M51" s="4"/>
      <c r="N51" s="56"/>
      <c r="O51" s="103"/>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row>
    <row r="52" spans="2:83" ht="87.75" customHeight="1">
      <c r="B52" s="155"/>
      <c r="C52" s="156"/>
      <c r="D52" s="93"/>
      <c r="E52" s="92"/>
      <c r="F52" s="132" t="s">
        <v>239</v>
      </c>
      <c r="G52" s="133"/>
      <c r="H52" s="227" t="s">
        <v>49</v>
      </c>
      <c r="I52" s="228"/>
      <c r="J52" s="229"/>
      <c r="K52" s="81" t="s">
        <v>180</v>
      </c>
      <c r="L52" s="4"/>
      <c r="M52" s="4" t="s">
        <v>181</v>
      </c>
      <c r="N52" s="56"/>
      <c r="O52" s="103"/>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row>
    <row r="53" spans="2:83" ht="35.25" customHeight="1">
      <c r="B53" s="141"/>
      <c r="C53" s="142"/>
      <c r="D53" s="91"/>
      <c r="E53" s="92"/>
      <c r="F53" s="143" t="s">
        <v>50</v>
      </c>
      <c r="G53" s="144"/>
      <c r="H53" s="134" t="s">
        <v>51</v>
      </c>
      <c r="I53" s="135"/>
      <c r="J53" s="136"/>
      <c r="K53" s="81" t="s">
        <v>182</v>
      </c>
      <c r="L53" s="4"/>
      <c r="M53" s="4"/>
      <c r="N53" s="56"/>
      <c r="O53" s="103"/>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row>
    <row r="54" spans="2:83" ht="17.25" thickBot="1">
      <c r="B54" s="9" t="s">
        <v>52</v>
      </c>
      <c r="C54" s="10"/>
      <c r="D54" s="34"/>
      <c r="E54" s="64"/>
      <c r="F54" s="11"/>
      <c r="G54" s="12"/>
      <c r="H54" s="161"/>
      <c r="I54" s="161"/>
      <c r="J54" s="162"/>
      <c r="K54" s="80"/>
      <c r="L54" s="4"/>
      <c r="M54" s="4"/>
      <c r="N54" s="56"/>
      <c r="O54" s="103"/>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row>
    <row r="55" spans="2:83" ht="17.25" thickTop="1">
      <c r="B55" s="125" t="s">
        <v>53</v>
      </c>
      <c r="C55" s="126"/>
      <c r="D55" s="35" t="e">
        <f>$C$12-21</f>
        <v>#VALUE!</v>
      </c>
      <c r="E55" s="65"/>
      <c r="F55" s="17"/>
      <c r="G55" s="18"/>
      <c r="H55" s="150"/>
      <c r="I55" s="150"/>
      <c r="J55" s="151"/>
      <c r="K55" s="65"/>
      <c r="L55" s="4"/>
      <c r="M55" s="4"/>
      <c r="N55" s="56"/>
      <c r="O55" s="103"/>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row>
    <row r="56" spans="2:83" ht="67.5" customHeight="1">
      <c r="B56" s="139"/>
      <c r="C56" s="140"/>
      <c r="D56" s="33"/>
      <c r="E56" s="66"/>
      <c r="F56" s="123" t="s">
        <v>234</v>
      </c>
      <c r="G56" s="124"/>
      <c r="H56" s="145" t="s">
        <v>246</v>
      </c>
      <c r="I56" s="146"/>
      <c r="J56" s="147"/>
      <c r="K56" s="81" t="s">
        <v>183</v>
      </c>
      <c r="L56" s="4"/>
      <c r="M56" s="4"/>
      <c r="N56" s="56"/>
      <c r="O56" s="103"/>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row>
    <row r="57" spans="2:83" ht="17.25" thickBot="1">
      <c r="B57" s="16" t="s">
        <v>54</v>
      </c>
      <c r="C57" s="13"/>
      <c r="D57" s="36"/>
      <c r="E57" s="67"/>
      <c r="F57" s="14"/>
      <c r="G57" s="15"/>
      <c r="H57" s="148"/>
      <c r="I57" s="148"/>
      <c r="J57" s="149"/>
      <c r="K57" s="82"/>
      <c r="L57" s="4"/>
      <c r="M57" s="4"/>
      <c r="N57" s="56"/>
      <c r="O57" s="103"/>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row>
    <row r="58" spans="2:83" ht="17.25" thickTop="1">
      <c r="B58" s="125" t="s">
        <v>55</v>
      </c>
      <c r="C58" s="126"/>
      <c r="D58" s="35" t="e">
        <f>$C$12-14</f>
        <v>#VALUE!</v>
      </c>
      <c r="E58" s="65"/>
      <c r="F58" s="17"/>
      <c r="G58" s="18"/>
      <c r="H58" s="150"/>
      <c r="I58" s="150"/>
      <c r="J58" s="151"/>
      <c r="K58" s="65"/>
      <c r="L58" s="4"/>
      <c r="M58" s="4"/>
      <c r="N58" s="56"/>
      <c r="O58" s="103"/>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row>
    <row r="59" spans="2:83" ht="105.75" customHeight="1">
      <c r="B59" s="139"/>
      <c r="C59" s="140"/>
      <c r="D59" s="53"/>
      <c r="E59" s="88"/>
      <c r="F59" s="123" t="s">
        <v>244</v>
      </c>
      <c r="G59" s="124"/>
      <c r="H59" s="194" t="s">
        <v>56</v>
      </c>
      <c r="I59" s="195"/>
      <c r="J59" s="196"/>
      <c r="K59" s="81" t="s">
        <v>184</v>
      </c>
      <c r="L59" s="4"/>
      <c r="M59" s="4"/>
      <c r="N59" s="56"/>
      <c r="O59" s="103"/>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row>
    <row r="60" spans="2:83" ht="17.25" thickBot="1">
      <c r="B60" s="16" t="s">
        <v>57</v>
      </c>
      <c r="C60" s="13"/>
      <c r="D60" s="36"/>
      <c r="E60" s="67"/>
      <c r="F60" s="14"/>
      <c r="G60" s="15"/>
      <c r="H60" s="148"/>
      <c r="I60" s="148"/>
      <c r="J60" s="149"/>
      <c r="K60" s="82"/>
      <c r="L60" s="4"/>
      <c r="M60" s="4"/>
      <c r="N60" s="56"/>
      <c r="O60" s="103"/>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row>
    <row r="61" spans="2:83" ht="17.25" thickTop="1">
      <c r="B61" s="125" t="s">
        <v>58</v>
      </c>
      <c r="C61" s="126"/>
      <c r="D61" s="35" t="e">
        <f>$C$12-7</f>
        <v>#VALUE!</v>
      </c>
      <c r="E61" s="65"/>
      <c r="F61" s="17"/>
      <c r="G61" s="18"/>
      <c r="H61" s="150"/>
      <c r="I61" s="150"/>
      <c r="J61" s="151"/>
      <c r="K61" s="65"/>
      <c r="L61" s="4"/>
      <c r="M61" s="4"/>
      <c r="N61" s="56"/>
      <c r="O61" s="103"/>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row>
    <row r="62" spans="2:83" ht="99" customHeight="1">
      <c r="B62" s="139"/>
      <c r="C62" s="140"/>
      <c r="D62" s="33"/>
      <c r="E62" s="66"/>
      <c r="F62" s="123" t="s">
        <v>244</v>
      </c>
      <c r="G62" s="124"/>
      <c r="H62" s="129" t="s">
        <v>59</v>
      </c>
      <c r="I62" s="130"/>
      <c r="J62" s="131"/>
      <c r="K62" s="81" t="s">
        <v>185</v>
      </c>
      <c r="L62" s="4"/>
      <c r="M62" s="4"/>
      <c r="N62" s="56"/>
      <c r="O62" s="103"/>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row>
    <row r="63" spans="2:83" ht="41.25" customHeight="1">
      <c r="B63" s="139"/>
      <c r="C63" s="140"/>
      <c r="D63" s="33"/>
      <c r="E63" s="66"/>
      <c r="F63" s="123" t="s">
        <v>60</v>
      </c>
      <c r="G63" s="124"/>
      <c r="H63" s="187" t="s">
        <v>61</v>
      </c>
      <c r="I63" s="188"/>
      <c r="J63" s="189"/>
      <c r="K63" s="81" t="s">
        <v>186</v>
      </c>
      <c r="L63" s="4"/>
      <c r="M63" s="4"/>
      <c r="N63" s="56"/>
      <c r="O63" s="103"/>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row>
    <row r="64" spans="2:83" ht="61.5" customHeight="1">
      <c r="B64" s="139"/>
      <c r="C64" s="140"/>
      <c r="D64" s="33"/>
      <c r="E64" s="66"/>
      <c r="F64" s="123" t="s">
        <v>62</v>
      </c>
      <c r="G64" s="124"/>
      <c r="H64" s="187" t="s">
        <v>63</v>
      </c>
      <c r="I64" s="188"/>
      <c r="J64" s="189"/>
      <c r="K64" s="81" t="s">
        <v>187</v>
      </c>
      <c r="L64" s="4"/>
      <c r="M64" s="4" t="s">
        <v>188</v>
      </c>
      <c r="N64" s="56"/>
      <c r="O64" s="103"/>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row>
    <row r="65" spans="2:83" ht="60" customHeight="1">
      <c r="B65" s="139"/>
      <c r="C65" s="140"/>
      <c r="D65" s="33"/>
      <c r="E65" s="66"/>
      <c r="F65" s="123" t="s">
        <v>64</v>
      </c>
      <c r="G65" s="124"/>
      <c r="H65" s="129" t="s">
        <v>65</v>
      </c>
      <c r="I65" s="130"/>
      <c r="J65" s="131"/>
      <c r="K65" s="81" t="s">
        <v>189</v>
      </c>
      <c r="L65" s="4"/>
      <c r="M65" s="4"/>
      <c r="N65" s="56"/>
      <c r="O65" s="103"/>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row>
    <row r="66" spans="2:83" ht="54.75" customHeight="1">
      <c r="B66" s="159" t="s">
        <v>66</v>
      </c>
      <c r="C66" s="160"/>
      <c r="D66" s="38" t="str">
        <f>$C$12</f>
        <v>&lt;TT/MM/JJ&gt;</v>
      </c>
      <c r="E66" s="68"/>
      <c r="F66" s="160" t="s">
        <v>238</v>
      </c>
      <c r="G66" s="160"/>
      <c r="H66" s="190"/>
      <c r="I66" s="190"/>
      <c r="J66" s="191"/>
      <c r="K66" s="83"/>
      <c r="L66" s="4"/>
      <c r="M66" s="4"/>
      <c r="N66" s="56"/>
      <c r="O66" s="103"/>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row>
    <row r="67" spans="2:83" ht="69.75" customHeight="1">
      <c r="B67" s="139"/>
      <c r="C67" s="140"/>
      <c r="D67" s="33"/>
      <c r="E67" s="33"/>
      <c r="F67" s="192" t="s">
        <v>235</v>
      </c>
      <c r="G67" s="193"/>
      <c r="H67" s="129" t="s">
        <v>67</v>
      </c>
      <c r="I67" s="130"/>
      <c r="J67" s="131"/>
      <c r="K67" s="81" t="s">
        <v>190</v>
      </c>
      <c r="L67" s="4"/>
      <c r="M67" s="4"/>
      <c r="N67" s="56"/>
      <c r="O67" s="103"/>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row>
    <row r="68" spans="2:83" ht="41.25" customHeight="1">
      <c r="B68" s="127"/>
      <c r="C68" s="128"/>
      <c r="D68" s="33"/>
      <c r="E68" s="66"/>
      <c r="F68" s="123" t="s">
        <v>245</v>
      </c>
      <c r="G68" s="124"/>
      <c r="H68" s="129" t="s">
        <v>68</v>
      </c>
      <c r="I68" s="130"/>
      <c r="J68" s="131"/>
      <c r="K68" s="81" t="s">
        <v>191</v>
      </c>
      <c r="L68" s="4"/>
      <c r="M68" s="4"/>
      <c r="N68" s="56"/>
      <c r="O68" s="103"/>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row>
    <row r="69" spans="2:83" ht="34.5" customHeight="1">
      <c r="B69" s="127"/>
      <c r="C69" s="128"/>
      <c r="D69" s="33"/>
      <c r="E69" s="66"/>
      <c r="F69" s="121" t="s">
        <v>69</v>
      </c>
      <c r="G69" s="122"/>
      <c r="H69" s="129" t="s">
        <v>70</v>
      </c>
      <c r="I69" s="130"/>
      <c r="J69" s="131"/>
      <c r="K69" s="81" t="s">
        <v>192</v>
      </c>
      <c r="L69" s="4"/>
      <c r="M69" s="4"/>
      <c r="N69" s="56"/>
      <c r="O69" s="103"/>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row>
    <row r="70" spans="2:83" ht="34.5" customHeight="1">
      <c r="B70" s="127"/>
      <c r="C70" s="128"/>
      <c r="D70" s="33"/>
      <c r="E70" s="66"/>
      <c r="F70" s="121" t="s">
        <v>71</v>
      </c>
      <c r="G70" s="122"/>
      <c r="H70" s="129" t="s">
        <v>72</v>
      </c>
      <c r="I70" s="130"/>
      <c r="J70" s="131"/>
      <c r="K70" s="81" t="s">
        <v>193</v>
      </c>
      <c r="L70" s="4"/>
      <c r="M70" s="4"/>
      <c r="N70" s="56"/>
      <c r="O70" s="103"/>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row>
    <row r="71" spans="2:83" ht="34.5" customHeight="1">
      <c r="B71" s="127"/>
      <c r="C71" s="128"/>
      <c r="D71" s="33"/>
      <c r="E71" s="66"/>
      <c r="F71" s="121" t="s">
        <v>73</v>
      </c>
      <c r="G71" s="122"/>
      <c r="H71" s="129" t="s">
        <v>74</v>
      </c>
      <c r="I71" s="130"/>
      <c r="J71" s="131"/>
      <c r="K71" s="81" t="s">
        <v>194</v>
      </c>
      <c r="L71" s="4"/>
      <c r="M71" s="4"/>
      <c r="N71" s="56"/>
      <c r="O71" s="103"/>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row>
    <row r="72" spans="2:83" ht="29.25" customHeight="1">
      <c r="B72" s="139"/>
      <c r="C72" s="140"/>
      <c r="D72" s="33"/>
      <c r="E72" s="66"/>
      <c r="F72" s="123" t="s">
        <v>75</v>
      </c>
      <c r="G72" s="124"/>
      <c r="H72" s="129" t="s">
        <v>76</v>
      </c>
      <c r="I72" s="130"/>
      <c r="J72" s="131"/>
      <c r="K72" s="81" t="s">
        <v>195</v>
      </c>
      <c r="L72" s="4"/>
      <c r="M72" s="4"/>
      <c r="N72" s="56"/>
      <c r="O72" s="103"/>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row>
    <row r="73" spans="2:83" ht="46.5" customHeight="1">
      <c r="B73" s="157" t="s">
        <v>77</v>
      </c>
      <c r="C73" s="158"/>
      <c r="D73" s="50" t="s">
        <v>78</v>
      </c>
      <c r="E73" s="20"/>
      <c r="F73" s="179" t="s">
        <v>236</v>
      </c>
      <c r="G73" s="179"/>
      <c r="H73" s="185"/>
      <c r="I73" s="185"/>
      <c r="J73" s="186"/>
      <c r="K73" s="84"/>
      <c r="L73" s="4"/>
      <c r="M73" s="4"/>
      <c r="N73" s="56"/>
      <c r="O73" s="103"/>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row>
    <row r="74" spans="2:83" ht="75" customHeight="1">
      <c r="B74" s="127"/>
      <c r="C74" s="128"/>
      <c r="D74" s="33"/>
      <c r="E74" s="66"/>
      <c r="F74" s="121" t="s">
        <v>79</v>
      </c>
      <c r="G74" s="122"/>
      <c r="H74" s="152" t="s">
        <v>80</v>
      </c>
      <c r="I74" s="153"/>
      <c r="J74" s="154"/>
      <c r="K74" s="81" t="s">
        <v>196</v>
      </c>
      <c r="L74" s="4"/>
      <c r="M74" s="4"/>
      <c r="N74" s="56"/>
      <c r="O74" s="103"/>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row>
    <row r="75" spans="2:83" ht="25.5" customHeight="1">
      <c r="B75" s="127"/>
      <c r="C75" s="128"/>
      <c r="D75" s="33"/>
      <c r="E75" s="66"/>
      <c r="F75" s="121" t="s">
        <v>81</v>
      </c>
      <c r="G75" s="122"/>
      <c r="H75" s="152" t="s">
        <v>82</v>
      </c>
      <c r="I75" s="153"/>
      <c r="J75" s="154"/>
      <c r="K75" s="81" t="s">
        <v>197</v>
      </c>
      <c r="L75" s="4"/>
      <c r="M75" s="4"/>
      <c r="N75" s="56"/>
      <c r="O75" s="103"/>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row>
    <row r="76" spans="2:83" ht="37.5" customHeight="1">
      <c r="B76" s="127"/>
      <c r="C76" s="128"/>
      <c r="D76" s="33"/>
      <c r="E76" s="66"/>
      <c r="F76" s="121" t="s">
        <v>83</v>
      </c>
      <c r="G76" s="122"/>
      <c r="H76" s="152" t="s">
        <v>84</v>
      </c>
      <c r="I76" s="153"/>
      <c r="J76" s="154"/>
      <c r="K76" s="81" t="s">
        <v>198</v>
      </c>
      <c r="L76" s="4"/>
      <c r="M76" s="4"/>
      <c r="N76" s="56"/>
      <c r="O76" s="103"/>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row>
    <row r="77" spans="2:83" ht="37.5" customHeight="1">
      <c r="B77" s="127"/>
      <c r="C77" s="128"/>
      <c r="D77" s="33"/>
      <c r="E77" s="66"/>
      <c r="F77" s="121" t="s">
        <v>85</v>
      </c>
      <c r="G77" s="122"/>
      <c r="H77" s="152" t="s">
        <v>86</v>
      </c>
      <c r="I77" s="153"/>
      <c r="J77" s="154"/>
      <c r="K77" s="81" t="s">
        <v>199</v>
      </c>
      <c r="L77" s="4"/>
      <c r="M77" s="4"/>
      <c r="N77" s="56"/>
      <c r="O77" s="103"/>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row>
    <row r="78" spans="2:83" ht="39.75" customHeight="1">
      <c r="B78" s="127"/>
      <c r="C78" s="128"/>
      <c r="D78" s="33"/>
      <c r="E78" s="66"/>
      <c r="F78" s="123" t="s">
        <v>87</v>
      </c>
      <c r="G78" s="124"/>
      <c r="H78" s="152" t="s">
        <v>88</v>
      </c>
      <c r="I78" s="153"/>
      <c r="J78" s="154"/>
      <c r="K78" s="81" t="s">
        <v>200</v>
      </c>
      <c r="L78" s="4"/>
      <c r="M78" s="4"/>
      <c r="N78" s="56"/>
      <c r="O78" s="10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row>
    <row r="79" spans="2:83" ht="21" customHeight="1">
      <c r="B79" s="127"/>
      <c r="C79" s="128"/>
      <c r="D79" s="33"/>
      <c r="E79" s="66"/>
      <c r="F79" s="121" t="s">
        <v>89</v>
      </c>
      <c r="G79" s="122"/>
      <c r="H79" s="152" t="s">
        <v>90</v>
      </c>
      <c r="I79" s="153"/>
      <c r="J79" s="154"/>
      <c r="K79" s="81" t="s">
        <v>201</v>
      </c>
      <c r="L79" s="4"/>
      <c r="M79" s="4"/>
      <c r="N79" s="56"/>
      <c r="O79" s="10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row>
    <row r="80" spans="2:83" ht="21" customHeight="1">
      <c r="B80" s="127"/>
      <c r="C80" s="128"/>
      <c r="D80" s="33"/>
      <c r="E80" s="66"/>
      <c r="F80" s="121" t="s">
        <v>91</v>
      </c>
      <c r="G80" s="122"/>
      <c r="H80" s="152" t="s">
        <v>92</v>
      </c>
      <c r="I80" s="153"/>
      <c r="J80" s="154"/>
      <c r="K80" s="81" t="s">
        <v>202</v>
      </c>
      <c r="L80" s="4"/>
      <c r="M80" s="4"/>
      <c r="N80" s="56"/>
      <c r="O80" s="103"/>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row>
    <row r="81" spans="2:83" ht="21" customHeight="1">
      <c r="B81" s="127"/>
      <c r="C81" s="128"/>
      <c r="D81" s="33"/>
      <c r="E81" s="66"/>
      <c r="F81" s="121" t="s">
        <v>93</v>
      </c>
      <c r="G81" s="122"/>
      <c r="H81" s="152" t="s">
        <v>94</v>
      </c>
      <c r="I81" s="153"/>
      <c r="J81" s="154"/>
      <c r="K81" s="81" t="s">
        <v>203</v>
      </c>
      <c r="L81" s="4"/>
      <c r="M81" s="4"/>
      <c r="N81" s="56"/>
      <c r="O81" s="103"/>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row>
    <row r="82" spans="2:83" ht="48" customHeight="1">
      <c r="B82" s="127"/>
      <c r="C82" s="128"/>
      <c r="D82" s="33"/>
      <c r="E82" s="66"/>
      <c r="F82" s="121" t="s">
        <v>95</v>
      </c>
      <c r="G82" s="122"/>
      <c r="H82" s="152" t="s">
        <v>96</v>
      </c>
      <c r="I82" s="153"/>
      <c r="J82" s="154"/>
      <c r="K82" s="81" t="s">
        <v>204</v>
      </c>
      <c r="L82" s="4"/>
      <c r="M82" s="4"/>
      <c r="N82" s="56"/>
      <c r="O82" s="103"/>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row>
    <row r="83" spans="2:83" ht="33.75" customHeight="1">
      <c r="B83" s="127"/>
      <c r="C83" s="128"/>
      <c r="D83" s="33"/>
      <c r="E83" s="66"/>
      <c r="F83" s="121" t="s">
        <v>97</v>
      </c>
      <c r="G83" s="122"/>
      <c r="H83" s="152" t="s">
        <v>98</v>
      </c>
      <c r="I83" s="153"/>
      <c r="J83" s="154"/>
      <c r="K83" s="81" t="s">
        <v>205</v>
      </c>
      <c r="L83" s="4"/>
      <c r="M83" s="4"/>
      <c r="N83" s="56"/>
      <c r="O83" s="103"/>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row>
    <row r="84" spans="2:83" ht="37.5" customHeight="1">
      <c r="B84" s="127"/>
      <c r="C84" s="128"/>
      <c r="D84" s="33"/>
      <c r="E84" s="66"/>
      <c r="F84" s="123" t="s">
        <v>99</v>
      </c>
      <c r="G84" s="124"/>
      <c r="H84" s="152" t="s">
        <v>100</v>
      </c>
      <c r="I84" s="153"/>
      <c r="J84" s="154"/>
      <c r="K84" s="81" t="s">
        <v>206</v>
      </c>
      <c r="L84" s="4"/>
      <c r="M84" s="4" t="s">
        <v>207</v>
      </c>
      <c r="N84" s="56"/>
      <c r="O84" s="103"/>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row>
    <row r="85" spans="2:83" ht="48" customHeight="1">
      <c r="B85" s="139"/>
      <c r="C85" s="140"/>
      <c r="D85" s="33"/>
      <c r="E85" s="66"/>
      <c r="F85" s="123" t="s">
        <v>101</v>
      </c>
      <c r="G85" s="124"/>
      <c r="H85" s="152" t="s">
        <v>102</v>
      </c>
      <c r="I85" s="153"/>
      <c r="J85" s="154"/>
      <c r="K85" s="81" t="s">
        <v>208</v>
      </c>
      <c r="L85" s="4"/>
      <c r="M85" s="4" t="s">
        <v>209</v>
      </c>
      <c r="N85" s="56"/>
      <c r="O85" s="103"/>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row>
    <row r="86" spans="2:83" ht="53.25" customHeight="1">
      <c r="B86" s="127"/>
      <c r="C86" s="128"/>
      <c r="D86" s="33"/>
      <c r="E86" s="33"/>
      <c r="F86" s="121" t="s">
        <v>103</v>
      </c>
      <c r="G86" s="122"/>
      <c r="H86" s="152" t="s">
        <v>104</v>
      </c>
      <c r="I86" s="153"/>
      <c r="J86" s="154"/>
      <c r="K86" s="81" t="s">
        <v>210</v>
      </c>
      <c r="L86" s="4"/>
      <c r="M86" s="4" t="s">
        <v>211</v>
      </c>
      <c r="N86" s="56"/>
      <c r="O86" s="103"/>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row>
    <row r="87" spans="2:83" ht="21" customHeight="1">
      <c r="B87" s="127"/>
      <c r="C87" s="128"/>
      <c r="D87" s="33"/>
      <c r="E87" s="66"/>
      <c r="F87" s="121" t="s">
        <v>105</v>
      </c>
      <c r="G87" s="122"/>
      <c r="H87" s="152" t="s">
        <v>106</v>
      </c>
      <c r="I87" s="153"/>
      <c r="J87" s="154"/>
      <c r="K87" s="81" t="s">
        <v>212</v>
      </c>
      <c r="L87" s="4"/>
      <c r="M87" s="4"/>
      <c r="N87" s="56"/>
      <c r="O87" s="103"/>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row>
    <row r="88" spans="2:83" ht="21" customHeight="1">
      <c r="B88" s="127"/>
      <c r="C88" s="128"/>
      <c r="D88" s="33"/>
      <c r="E88" s="66"/>
      <c r="F88" s="121" t="s">
        <v>107</v>
      </c>
      <c r="G88" s="122"/>
      <c r="H88" s="152" t="s">
        <v>108</v>
      </c>
      <c r="I88" s="153"/>
      <c r="J88" s="154"/>
      <c r="K88" s="81" t="s">
        <v>213</v>
      </c>
      <c r="L88" s="4"/>
      <c r="M88" s="4"/>
      <c r="N88" s="56"/>
      <c r="O88" s="103"/>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row>
    <row r="89" spans="2:83" ht="21" customHeight="1">
      <c r="B89" s="127"/>
      <c r="C89" s="128"/>
      <c r="D89" s="33"/>
      <c r="E89" s="66"/>
      <c r="F89" s="121" t="s">
        <v>109</v>
      </c>
      <c r="G89" s="122"/>
      <c r="H89" s="129" t="s">
        <v>110</v>
      </c>
      <c r="I89" s="130"/>
      <c r="J89" s="131"/>
      <c r="K89" s="81" t="s">
        <v>214</v>
      </c>
      <c r="L89" s="4"/>
      <c r="M89" s="4"/>
      <c r="N89" s="56"/>
      <c r="O89" s="103"/>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row>
    <row r="90" spans="2:83" ht="37.5" customHeight="1">
      <c r="B90" s="127"/>
      <c r="C90" s="128"/>
      <c r="D90" s="33"/>
      <c r="E90" s="66"/>
      <c r="F90" s="123" t="s">
        <v>111</v>
      </c>
      <c r="G90" s="124"/>
      <c r="H90" s="129" t="s">
        <v>112</v>
      </c>
      <c r="I90" s="130"/>
      <c r="J90" s="131"/>
      <c r="K90" s="81" t="s">
        <v>215</v>
      </c>
      <c r="L90" s="4"/>
      <c r="M90" s="4"/>
      <c r="N90" s="56"/>
      <c r="O90" s="103"/>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row>
    <row r="91" spans="2:83" ht="21" customHeight="1">
      <c r="B91" s="127"/>
      <c r="C91" s="128"/>
      <c r="D91" s="33"/>
      <c r="E91" s="66"/>
      <c r="F91" s="121" t="s">
        <v>113</v>
      </c>
      <c r="G91" s="122"/>
      <c r="H91" s="129" t="s">
        <v>114</v>
      </c>
      <c r="I91" s="130"/>
      <c r="J91" s="131"/>
      <c r="K91" s="81" t="s">
        <v>216</v>
      </c>
      <c r="L91" s="4"/>
      <c r="M91" s="4"/>
      <c r="N91" s="56"/>
      <c r="O91" s="103"/>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row>
    <row r="92" spans="2:83" ht="21" customHeight="1">
      <c r="B92" s="127"/>
      <c r="C92" s="128"/>
      <c r="D92" s="33"/>
      <c r="E92" s="66"/>
      <c r="F92" s="121" t="s">
        <v>115</v>
      </c>
      <c r="G92" s="122"/>
      <c r="H92" s="129" t="s">
        <v>116</v>
      </c>
      <c r="I92" s="130"/>
      <c r="J92" s="131"/>
      <c r="K92" s="81" t="s">
        <v>217</v>
      </c>
      <c r="L92" s="4"/>
      <c r="M92" s="4"/>
      <c r="N92" s="56"/>
      <c r="O92" s="103"/>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row>
    <row r="93" spans="2:83" ht="21" customHeight="1">
      <c r="B93" s="127"/>
      <c r="C93" s="128"/>
      <c r="D93" s="33"/>
      <c r="E93" s="66"/>
      <c r="F93" s="121" t="s">
        <v>117</v>
      </c>
      <c r="G93" s="122"/>
      <c r="H93" s="129" t="s">
        <v>118</v>
      </c>
      <c r="I93" s="130"/>
      <c r="J93" s="131"/>
      <c r="K93" s="81" t="s">
        <v>218</v>
      </c>
      <c r="L93" s="4"/>
      <c r="M93" s="4"/>
      <c r="N93" s="56"/>
      <c r="O93" s="103"/>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row>
    <row r="94" spans="2:83" ht="36" customHeight="1">
      <c r="B94" s="127"/>
      <c r="C94" s="128"/>
      <c r="D94" s="33"/>
      <c r="E94" s="66"/>
      <c r="F94" s="123" t="s">
        <v>119</v>
      </c>
      <c r="G94" s="124"/>
      <c r="H94" s="129" t="s">
        <v>120</v>
      </c>
      <c r="I94" s="130"/>
      <c r="J94" s="131"/>
      <c r="K94" s="81" t="s">
        <v>219</v>
      </c>
      <c r="L94" s="4"/>
      <c r="M94" s="4"/>
      <c r="N94" s="56"/>
      <c r="O94" s="103"/>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row>
    <row r="95" spans="2:83" ht="21" customHeight="1">
      <c r="B95" s="127"/>
      <c r="C95" s="128"/>
      <c r="D95" s="33"/>
      <c r="E95" s="66"/>
      <c r="F95" s="121" t="s">
        <v>121</v>
      </c>
      <c r="G95" s="122"/>
      <c r="H95" s="129" t="s">
        <v>122</v>
      </c>
      <c r="I95" s="130"/>
      <c r="J95" s="131"/>
      <c r="K95" s="81" t="s">
        <v>220</v>
      </c>
      <c r="L95" s="4"/>
      <c r="M95" s="4"/>
      <c r="N95" s="56"/>
      <c r="O95" s="103"/>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row>
    <row r="96" spans="2:83" ht="21" customHeight="1">
      <c r="B96" s="127"/>
      <c r="C96" s="128"/>
      <c r="D96" s="33"/>
      <c r="E96" s="66"/>
      <c r="F96" s="121" t="s">
        <v>123</v>
      </c>
      <c r="G96" s="122"/>
      <c r="H96" s="129" t="s">
        <v>124</v>
      </c>
      <c r="I96" s="130"/>
      <c r="J96" s="131"/>
      <c r="K96" s="81" t="s">
        <v>221</v>
      </c>
      <c r="L96" s="4"/>
      <c r="M96" s="4"/>
      <c r="N96" s="56"/>
      <c r="O96" s="103"/>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row>
    <row r="97" spans="2:83" ht="21" customHeight="1">
      <c r="B97" s="127"/>
      <c r="C97" s="128"/>
      <c r="D97" s="33"/>
      <c r="E97" s="66"/>
      <c r="F97" s="121" t="s">
        <v>125</v>
      </c>
      <c r="G97" s="122"/>
      <c r="H97" s="129" t="s">
        <v>126</v>
      </c>
      <c r="I97" s="130"/>
      <c r="J97" s="131"/>
      <c r="K97" s="81" t="s">
        <v>222</v>
      </c>
      <c r="L97" s="4"/>
      <c r="M97" s="4"/>
      <c r="N97" s="56"/>
      <c r="O97" s="103"/>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row>
    <row r="98" spans="2:83" ht="51" customHeight="1">
      <c r="B98" s="127"/>
      <c r="C98" s="128"/>
      <c r="D98" s="33"/>
      <c r="E98" s="66"/>
      <c r="F98" s="121" t="s">
        <v>127</v>
      </c>
      <c r="G98" s="122"/>
      <c r="H98" s="129" t="s">
        <v>128</v>
      </c>
      <c r="I98" s="130"/>
      <c r="J98" s="131"/>
      <c r="K98" s="81" t="s">
        <v>223</v>
      </c>
      <c r="L98" s="4"/>
      <c r="M98" s="4"/>
      <c r="N98" s="56"/>
      <c r="O98" s="103"/>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row>
    <row r="99" spans="2:83" ht="44.25" customHeight="1">
      <c r="B99" s="127"/>
      <c r="C99" s="128"/>
      <c r="D99" s="33"/>
      <c r="E99" s="66"/>
      <c r="F99" s="121" t="s">
        <v>129</v>
      </c>
      <c r="G99" s="122"/>
      <c r="H99" s="129" t="s">
        <v>130</v>
      </c>
      <c r="I99" s="130"/>
      <c r="J99" s="131"/>
      <c r="K99" s="81" t="s">
        <v>224</v>
      </c>
      <c r="L99" s="4"/>
      <c r="M99" s="4"/>
      <c r="N99" s="56"/>
      <c r="O99" s="103"/>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row>
    <row r="100" spans="2:83" ht="44.25" customHeight="1">
      <c r="B100" s="127"/>
      <c r="C100" s="128"/>
      <c r="D100" s="33"/>
      <c r="E100" s="66"/>
      <c r="F100" s="123" t="s">
        <v>131</v>
      </c>
      <c r="G100" s="124"/>
      <c r="H100" s="129" t="s">
        <v>132</v>
      </c>
      <c r="I100" s="130"/>
      <c r="J100" s="131"/>
      <c r="K100" s="81" t="s">
        <v>225</v>
      </c>
      <c r="L100" s="4"/>
      <c r="M100" s="4"/>
      <c r="N100" s="56"/>
      <c r="O100" s="103"/>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row>
    <row r="101" spans="2:83" ht="36" customHeight="1">
      <c r="B101" s="127"/>
      <c r="C101" s="128"/>
      <c r="D101" s="33"/>
      <c r="E101" s="66"/>
      <c r="F101" s="123" t="s">
        <v>133</v>
      </c>
      <c r="G101" s="124"/>
      <c r="H101" s="129" t="s">
        <v>134</v>
      </c>
      <c r="I101" s="130"/>
      <c r="J101" s="131"/>
      <c r="K101" s="81" t="s">
        <v>226</v>
      </c>
      <c r="L101" s="4"/>
      <c r="M101" s="4"/>
      <c r="N101" s="56"/>
      <c r="O101" s="103"/>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row>
    <row r="102" spans="2:83" ht="30.75" customHeight="1">
      <c r="B102" s="127"/>
      <c r="C102" s="128"/>
      <c r="D102" s="33"/>
      <c r="E102" s="66"/>
      <c r="F102" s="121" t="s">
        <v>135</v>
      </c>
      <c r="G102" s="122"/>
      <c r="H102" s="129" t="s">
        <v>136</v>
      </c>
      <c r="I102" s="130"/>
      <c r="J102" s="131"/>
      <c r="K102" s="81" t="s">
        <v>227</v>
      </c>
      <c r="L102" s="4"/>
      <c r="M102" s="4"/>
      <c r="N102" s="56"/>
      <c r="O102" s="103"/>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row>
    <row r="103" spans="2:83" ht="21" customHeight="1">
      <c r="B103" s="127"/>
      <c r="C103" s="128"/>
      <c r="D103" s="33"/>
      <c r="E103" s="66"/>
      <c r="F103" s="121" t="s">
        <v>137</v>
      </c>
      <c r="G103" s="122"/>
      <c r="H103" s="129" t="s">
        <v>138</v>
      </c>
      <c r="I103" s="130"/>
      <c r="J103" s="131"/>
      <c r="K103" s="81" t="s">
        <v>228</v>
      </c>
      <c r="L103" s="4"/>
      <c r="M103" s="4"/>
      <c r="N103" s="56"/>
      <c r="O103" s="103"/>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row>
    <row r="104" spans="2:83" ht="21" customHeight="1">
      <c r="B104" s="127"/>
      <c r="C104" s="128"/>
      <c r="D104" s="33"/>
      <c r="E104" s="66"/>
      <c r="F104" s="121" t="s">
        <v>139</v>
      </c>
      <c r="G104" s="122"/>
      <c r="H104" s="129" t="s">
        <v>140</v>
      </c>
      <c r="I104" s="130"/>
      <c r="J104" s="131"/>
      <c r="K104" s="81" t="s">
        <v>229</v>
      </c>
      <c r="L104" s="4"/>
      <c r="M104" s="4"/>
      <c r="N104" s="56"/>
      <c r="O104" s="103"/>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row>
    <row r="105" spans="2:83" ht="21" customHeight="1">
      <c r="B105" s="127"/>
      <c r="C105" s="128"/>
      <c r="D105" s="33"/>
      <c r="E105" s="66"/>
      <c r="F105" s="121" t="s">
        <v>141</v>
      </c>
      <c r="G105" s="122"/>
      <c r="H105" s="129" t="s">
        <v>142</v>
      </c>
      <c r="I105" s="130"/>
      <c r="J105" s="131"/>
      <c r="K105" s="81" t="s">
        <v>230</v>
      </c>
      <c r="L105" s="4"/>
      <c r="M105" s="4"/>
      <c r="N105" s="56"/>
      <c r="O105" s="103"/>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row>
    <row r="106" spans="2:83" ht="30" customHeight="1" thickBot="1">
      <c r="B106" s="177"/>
      <c r="C106" s="178"/>
      <c r="D106" s="37"/>
      <c r="E106" s="69"/>
      <c r="F106" s="180" t="s">
        <v>143</v>
      </c>
      <c r="G106" s="181"/>
      <c r="H106" s="182" t="s">
        <v>144</v>
      </c>
      <c r="I106" s="183"/>
      <c r="J106" s="184"/>
      <c r="K106" s="85" t="s">
        <v>231</v>
      </c>
      <c r="L106" s="4"/>
      <c r="M106" s="4"/>
      <c r="N106" s="56"/>
      <c r="O106" s="103"/>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row>
    <row r="107" spans="2:83" s="4" customFormat="1" ht="20.25" customHeight="1">
      <c r="B107" s="3"/>
      <c r="C107" s="3"/>
      <c r="D107" s="28"/>
      <c r="F107" s="5"/>
      <c r="G107" s="5"/>
      <c r="H107" s="21"/>
      <c r="I107" s="21"/>
      <c r="J107" s="21"/>
      <c r="K107" s="55"/>
      <c r="N107" s="56"/>
      <c r="O107" s="103"/>
    </row>
    <row r="108" spans="2:83" s="4" customFormat="1" hidden="1">
      <c r="B108" s="3"/>
      <c r="C108" s="3"/>
      <c r="D108" s="28"/>
      <c r="F108" s="5"/>
      <c r="G108" s="5"/>
      <c r="H108" s="21"/>
      <c r="I108" s="21"/>
      <c r="J108" s="21"/>
      <c r="K108" s="55"/>
      <c r="N108" s="56"/>
      <c r="O108" s="103"/>
    </row>
    <row r="109" spans="2:83" s="4" customFormat="1" hidden="1">
      <c r="B109" s="3"/>
      <c r="C109" s="3"/>
      <c r="D109" s="28"/>
      <c r="F109" s="5"/>
      <c r="G109" s="5"/>
      <c r="H109" s="21"/>
      <c r="I109" s="21"/>
      <c r="J109" s="21"/>
      <c r="K109" s="55"/>
      <c r="N109" s="56"/>
      <c r="O109" s="103"/>
    </row>
    <row r="110" spans="2:83" s="4" customFormat="1" hidden="1">
      <c r="B110" s="3"/>
      <c r="C110" s="3"/>
      <c r="D110" s="28"/>
      <c r="F110" s="5"/>
      <c r="G110" s="5"/>
      <c r="H110" s="21"/>
      <c r="I110" s="21"/>
      <c r="J110" s="21"/>
      <c r="K110" s="55"/>
      <c r="N110" s="56"/>
      <c r="O110" s="103"/>
    </row>
    <row r="111" spans="2:83" s="4" customFormat="1" hidden="1">
      <c r="B111" s="3"/>
      <c r="C111" s="3"/>
      <c r="D111" s="28"/>
      <c r="F111" s="5"/>
      <c r="G111" s="5"/>
      <c r="H111" s="21"/>
      <c r="I111" s="21"/>
      <c r="J111" s="21"/>
      <c r="K111" s="55"/>
      <c r="N111" s="56"/>
      <c r="O111" s="103"/>
    </row>
    <row r="112" spans="2:83" s="4" customFormat="1" hidden="1">
      <c r="B112" s="3"/>
      <c r="C112" s="3"/>
      <c r="D112" s="28"/>
      <c r="F112" s="5"/>
      <c r="G112" s="5"/>
      <c r="H112" s="21"/>
      <c r="I112" s="21"/>
      <c r="J112" s="21"/>
      <c r="K112" s="55"/>
      <c r="N112" s="56"/>
      <c r="O112" s="103"/>
    </row>
    <row r="113" spans="2:15" s="4" customFormat="1" hidden="1">
      <c r="B113" s="3"/>
      <c r="C113" s="3"/>
      <c r="D113" s="28"/>
      <c r="F113" s="5"/>
      <c r="G113" s="5"/>
      <c r="H113" s="21"/>
      <c r="I113" s="21"/>
      <c r="J113" s="21"/>
      <c r="K113" s="55"/>
      <c r="N113" s="56"/>
      <c r="O113" s="103"/>
    </row>
    <row r="114" spans="2:15" s="4" customFormat="1" hidden="1">
      <c r="B114" s="3"/>
      <c r="C114" s="3"/>
      <c r="D114" s="28"/>
      <c r="F114" s="5"/>
      <c r="G114" s="5"/>
      <c r="H114" s="21"/>
      <c r="I114" s="21"/>
      <c r="J114" s="21"/>
      <c r="K114" s="55"/>
      <c r="N114" s="56"/>
      <c r="O114" s="103"/>
    </row>
    <row r="115" spans="2:15" s="4" customFormat="1" hidden="1">
      <c r="B115" s="3"/>
      <c r="C115" s="3"/>
      <c r="D115" s="28"/>
      <c r="F115" s="5"/>
      <c r="G115" s="5"/>
      <c r="H115" s="21"/>
      <c r="I115" s="21"/>
      <c r="J115" s="21"/>
      <c r="K115" s="55"/>
      <c r="N115" s="56"/>
      <c r="O115" s="103"/>
    </row>
    <row r="116" spans="2:15" s="4" customFormat="1" hidden="1">
      <c r="B116" s="3"/>
      <c r="C116" s="3"/>
      <c r="D116" s="28"/>
      <c r="F116" s="5"/>
      <c r="G116" s="5"/>
      <c r="H116" s="21"/>
      <c r="I116" s="21"/>
      <c r="J116" s="21"/>
      <c r="K116" s="55"/>
      <c r="N116" s="56"/>
      <c r="O116" s="103"/>
    </row>
    <row r="117" spans="2:15" s="4" customFormat="1" hidden="1">
      <c r="B117" s="3"/>
      <c r="C117" s="3"/>
      <c r="D117" s="28"/>
      <c r="F117" s="5"/>
      <c r="G117" s="5"/>
      <c r="H117" s="21"/>
      <c r="I117" s="21"/>
      <c r="J117" s="21"/>
      <c r="K117" s="55"/>
      <c r="N117" s="56"/>
      <c r="O117" s="103"/>
    </row>
    <row r="118" spans="2:15" s="4" customFormat="1" hidden="1">
      <c r="B118" s="3"/>
      <c r="C118" s="3"/>
      <c r="D118" s="28"/>
      <c r="F118" s="5"/>
      <c r="G118" s="5"/>
      <c r="H118" s="21"/>
      <c r="I118" s="21"/>
      <c r="J118" s="21"/>
      <c r="K118" s="55"/>
      <c r="N118" s="56"/>
      <c r="O118" s="103"/>
    </row>
    <row r="119" spans="2:15" s="4" customFormat="1" hidden="1">
      <c r="B119" s="3"/>
      <c r="C119" s="3"/>
      <c r="D119" s="28"/>
      <c r="F119" s="5"/>
      <c r="G119" s="5"/>
      <c r="H119" s="21"/>
      <c r="I119" s="21"/>
      <c r="J119" s="21"/>
      <c r="K119" s="55"/>
      <c r="N119" s="56"/>
      <c r="O119" s="103"/>
    </row>
    <row r="120" spans="2:15" s="4" customFormat="1" hidden="1">
      <c r="B120" s="3"/>
      <c r="C120" s="3"/>
      <c r="D120" s="28"/>
      <c r="F120" s="5"/>
      <c r="G120" s="5"/>
      <c r="H120" s="21"/>
      <c r="I120" s="21"/>
      <c r="J120" s="21"/>
      <c r="K120" s="55"/>
      <c r="N120" s="56"/>
      <c r="O120" s="103"/>
    </row>
    <row r="121" spans="2:15" s="4" customFormat="1" hidden="1">
      <c r="B121" s="3"/>
      <c r="C121" s="3"/>
      <c r="D121" s="28"/>
      <c r="F121" s="5"/>
      <c r="G121" s="5"/>
      <c r="H121" s="21"/>
      <c r="I121" s="21"/>
      <c r="J121" s="21"/>
      <c r="K121" s="55"/>
      <c r="N121" s="56"/>
      <c r="O121" s="103"/>
    </row>
    <row r="122" spans="2:15" s="4" customFormat="1" hidden="1">
      <c r="B122" s="3"/>
      <c r="C122" s="3"/>
      <c r="D122" s="28"/>
      <c r="F122" s="5"/>
      <c r="G122" s="5"/>
      <c r="H122" s="21"/>
      <c r="I122" s="21"/>
      <c r="J122" s="21"/>
      <c r="K122" s="55"/>
      <c r="N122" s="56"/>
      <c r="O122" s="103"/>
    </row>
    <row r="123" spans="2:15" s="4" customFormat="1" hidden="1">
      <c r="B123" s="3"/>
      <c r="C123" s="3"/>
      <c r="D123" s="28"/>
      <c r="F123" s="5"/>
      <c r="G123" s="5"/>
      <c r="H123" s="21"/>
      <c r="I123" s="21"/>
      <c r="J123" s="21"/>
      <c r="K123" s="55"/>
      <c r="N123" s="56"/>
      <c r="O123" s="103"/>
    </row>
    <row r="124" spans="2:15" s="4" customFormat="1" hidden="1">
      <c r="B124" s="3"/>
      <c r="C124" s="3"/>
      <c r="D124" s="28"/>
      <c r="F124" s="5"/>
      <c r="G124" s="5"/>
      <c r="H124" s="21"/>
      <c r="I124" s="21"/>
      <c r="J124" s="21"/>
      <c r="K124" s="55"/>
      <c r="N124" s="56"/>
      <c r="O124" s="103"/>
    </row>
    <row r="125" spans="2:15" s="4" customFormat="1" hidden="1">
      <c r="B125" s="3"/>
      <c r="C125" s="3"/>
      <c r="D125" s="28"/>
      <c r="F125" s="5"/>
      <c r="G125" s="5"/>
      <c r="H125" s="21"/>
      <c r="I125" s="21"/>
      <c r="J125" s="21"/>
      <c r="K125" s="55"/>
      <c r="N125" s="56"/>
      <c r="O125" s="103"/>
    </row>
    <row r="126" spans="2:15" s="4" customFormat="1" hidden="1">
      <c r="B126" s="3"/>
      <c r="C126" s="3"/>
      <c r="D126" s="28"/>
      <c r="F126" s="5"/>
      <c r="G126" s="5"/>
      <c r="H126" s="21"/>
      <c r="I126" s="21"/>
      <c r="J126" s="21"/>
      <c r="K126" s="55"/>
      <c r="N126" s="56"/>
      <c r="O126" s="103"/>
    </row>
    <row r="127" spans="2:15" s="4" customFormat="1" hidden="1">
      <c r="B127" s="3"/>
      <c r="C127" s="3"/>
      <c r="D127" s="28"/>
      <c r="F127" s="5"/>
      <c r="G127" s="5"/>
      <c r="H127" s="21"/>
      <c r="I127" s="21"/>
      <c r="J127" s="21"/>
      <c r="K127" s="55"/>
      <c r="N127" s="56"/>
      <c r="O127" s="103"/>
    </row>
    <row r="128" spans="2:15" s="4" customFormat="1" hidden="1">
      <c r="B128" s="3"/>
      <c r="C128" s="3"/>
      <c r="D128" s="28"/>
      <c r="F128" s="5"/>
      <c r="G128" s="5"/>
      <c r="H128" s="21"/>
      <c r="I128" s="21"/>
      <c r="J128" s="21"/>
      <c r="K128" s="55"/>
      <c r="N128" s="56"/>
      <c r="O128" s="103"/>
    </row>
    <row r="129" spans="2:15" s="4" customFormat="1" hidden="1">
      <c r="B129" s="3"/>
      <c r="C129" s="3"/>
      <c r="D129" s="28"/>
      <c r="F129" s="5"/>
      <c r="G129" s="5"/>
      <c r="H129" s="21"/>
      <c r="I129" s="21"/>
      <c r="J129" s="21"/>
      <c r="K129" s="55"/>
      <c r="N129" s="56"/>
      <c r="O129" s="103"/>
    </row>
    <row r="130" spans="2:15" s="4" customFormat="1" hidden="1">
      <c r="B130" s="3"/>
      <c r="C130" s="3"/>
      <c r="D130" s="28"/>
      <c r="F130" s="5"/>
      <c r="G130" s="5"/>
      <c r="H130" s="21"/>
      <c r="I130" s="21"/>
      <c r="J130" s="21"/>
      <c r="K130" s="55"/>
      <c r="N130" s="56"/>
      <c r="O130" s="103"/>
    </row>
    <row r="131" spans="2:15" s="4" customFormat="1" hidden="1">
      <c r="B131" s="3"/>
      <c r="C131" s="3"/>
      <c r="D131" s="28"/>
      <c r="F131" s="5"/>
      <c r="G131" s="5"/>
      <c r="H131" s="21"/>
      <c r="I131" s="21"/>
      <c r="J131" s="21"/>
      <c r="K131" s="55"/>
      <c r="N131" s="56"/>
      <c r="O131" s="103"/>
    </row>
    <row r="132" spans="2:15" s="4" customFormat="1" hidden="1">
      <c r="B132" s="3"/>
      <c r="C132" s="3"/>
      <c r="D132" s="28"/>
      <c r="F132" s="5"/>
      <c r="G132" s="5"/>
      <c r="H132" s="21"/>
      <c r="I132" s="21"/>
      <c r="J132" s="21"/>
      <c r="K132" s="55"/>
      <c r="N132" s="56"/>
      <c r="O132" s="103"/>
    </row>
    <row r="133" spans="2:15" s="4" customFormat="1" hidden="1">
      <c r="B133" s="3"/>
      <c r="C133" s="3"/>
      <c r="D133" s="28"/>
      <c r="F133" s="5"/>
      <c r="G133" s="5"/>
      <c r="H133" s="21"/>
      <c r="I133" s="21"/>
      <c r="J133" s="21"/>
      <c r="K133" s="55"/>
      <c r="N133" s="56"/>
      <c r="O133" s="103"/>
    </row>
    <row r="134" spans="2:15" s="4" customFormat="1" hidden="1">
      <c r="B134" s="3"/>
      <c r="C134" s="3"/>
      <c r="D134" s="28"/>
      <c r="F134" s="5"/>
      <c r="G134" s="5"/>
      <c r="H134" s="21"/>
      <c r="I134" s="21"/>
      <c r="J134" s="21"/>
      <c r="K134" s="55"/>
      <c r="N134" s="56"/>
      <c r="O134" s="103"/>
    </row>
    <row r="135" spans="2:15" s="4" customFormat="1" hidden="1">
      <c r="B135" s="3"/>
      <c r="C135" s="3"/>
      <c r="D135" s="28"/>
      <c r="F135" s="5"/>
      <c r="G135" s="5"/>
      <c r="H135" s="21"/>
      <c r="I135" s="21"/>
      <c r="J135" s="21"/>
      <c r="K135" s="55"/>
      <c r="N135" s="56"/>
      <c r="O135" s="103"/>
    </row>
    <row r="136" spans="2:15" s="4" customFormat="1" hidden="1">
      <c r="B136" s="3"/>
      <c r="C136" s="3"/>
      <c r="D136" s="28"/>
      <c r="F136" s="5"/>
      <c r="G136" s="5"/>
      <c r="H136" s="21"/>
      <c r="I136" s="21"/>
      <c r="J136" s="21"/>
      <c r="K136" s="55"/>
      <c r="N136" s="56"/>
      <c r="O136" s="103"/>
    </row>
    <row r="137" spans="2:15" s="4" customFormat="1" hidden="1">
      <c r="B137" s="3"/>
      <c r="C137" s="3"/>
      <c r="D137" s="28"/>
      <c r="F137" s="5"/>
      <c r="G137" s="5"/>
      <c r="H137" s="21"/>
      <c r="I137" s="21"/>
      <c r="J137" s="21"/>
      <c r="K137" s="55"/>
      <c r="N137" s="56"/>
      <c r="O137" s="103"/>
    </row>
    <row r="138" spans="2:15" s="4" customFormat="1" hidden="1">
      <c r="B138" s="3"/>
      <c r="C138" s="3"/>
      <c r="D138" s="28"/>
      <c r="F138" s="5"/>
      <c r="G138" s="5"/>
      <c r="H138" s="21"/>
      <c r="I138" s="21"/>
      <c r="J138" s="21"/>
      <c r="K138" s="55"/>
      <c r="N138" s="56"/>
      <c r="O138" s="103"/>
    </row>
    <row r="139" spans="2:15" s="4" customFormat="1" hidden="1">
      <c r="B139" s="3"/>
      <c r="C139" s="3"/>
      <c r="D139" s="28"/>
      <c r="F139" s="5"/>
      <c r="G139" s="5"/>
      <c r="H139" s="21"/>
      <c r="I139" s="21"/>
      <c r="J139" s="21"/>
      <c r="K139" s="55"/>
      <c r="N139" s="56"/>
      <c r="O139" s="103"/>
    </row>
    <row r="140" spans="2:15" s="4" customFormat="1" hidden="1">
      <c r="B140" s="3"/>
      <c r="C140" s="3"/>
      <c r="D140" s="28"/>
      <c r="F140" s="5"/>
      <c r="G140" s="5"/>
      <c r="H140" s="21"/>
      <c r="I140" s="21"/>
      <c r="J140" s="21"/>
      <c r="K140" s="55"/>
      <c r="N140" s="56"/>
      <c r="O140" s="103"/>
    </row>
    <row r="141" spans="2:15" s="4" customFormat="1" hidden="1">
      <c r="B141" s="3"/>
      <c r="C141" s="3"/>
      <c r="D141" s="28"/>
      <c r="F141" s="5"/>
      <c r="G141" s="5"/>
      <c r="H141" s="21"/>
      <c r="I141" s="21"/>
      <c r="J141" s="21"/>
      <c r="K141" s="55"/>
      <c r="N141" s="56"/>
      <c r="O141" s="103"/>
    </row>
    <row r="142" spans="2:15" s="4" customFormat="1" hidden="1">
      <c r="B142" s="3"/>
      <c r="C142" s="3"/>
      <c r="D142" s="28"/>
      <c r="F142" s="5"/>
      <c r="G142" s="5"/>
      <c r="H142" s="21"/>
      <c r="I142" s="21"/>
      <c r="J142" s="21"/>
      <c r="K142" s="55"/>
      <c r="N142" s="56"/>
      <c r="O142" s="103"/>
    </row>
    <row r="143" spans="2:15" s="4" customFormat="1" hidden="1">
      <c r="B143" s="3"/>
      <c r="C143" s="3"/>
      <c r="D143" s="28"/>
      <c r="F143" s="5"/>
      <c r="G143" s="5"/>
      <c r="H143" s="21"/>
      <c r="I143" s="21"/>
      <c r="J143" s="21"/>
      <c r="K143" s="55"/>
      <c r="N143" s="56"/>
      <c r="O143" s="103"/>
    </row>
    <row r="144" spans="2:15" s="4" customFormat="1" hidden="1">
      <c r="B144" s="3"/>
      <c r="C144" s="3"/>
      <c r="D144" s="28"/>
      <c r="F144" s="5"/>
      <c r="G144" s="5"/>
      <c r="H144" s="21"/>
      <c r="I144" s="21"/>
      <c r="J144" s="21"/>
      <c r="K144" s="55"/>
      <c r="N144" s="56"/>
      <c r="O144" s="103"/>
    </row>
    <row r="145" spans="2:15" s="4" customFormat="1" hidden="1">
      <c r="B145" s="3"/>
      <c r="C145" s="3"/>
      <c r="D145" s="28"/>
      <c r="F145" s="5"/>
      <c r="G145" s="5"/>
      <c r="H145" s="21"/>
      <c r="I145" s="21"/>
      <c r="J145" s="21"/>
      <c r="K145" s="55"/>
      <c r="N145" s="56"/>
      <c r="O145" s="103"/>
    </row>
    <row r="146" spans="2:15" s="4" customFormat="1" hidden="1">
      <c r="B146" s="3"/>
      <c r="C146" s="3"/>
      <c r="D146" s="28"/>
      <c r="F146" s="5"/>
      <c r="G146" s="5"/>
      <c r="H146" s="21"/>
      <c r="I146" s="21"/>
      <c r="J146" s="21"/>
      <c r="K146" s="55"/>
      <c r="N146" s="56"/>
      <c r="O146" s="103"/>
    </row>
    <row r="147" spans="2:15" s="4" customFormat="1" hidden="1">
      <c r="B147" s="3"/>
      <c r="C147" s="3"/>
      <c r="D147" s="28"/>
      <c r="F147" s="5"/>
      <c r="G147" s="5"/>
      <c r="H147" s="21"/>
      <c r="I147" s="21"/>
      <c r="J147" s="21"/>
      <c r="K147" s="55"/>
      <c r="N147" s="56"/>
      <c r="O147" s="103"/>
    </row>
    <row r="148" spans="2:15" s="4" customFormat="1" hidden="1">
      <c r="B148" s="3"/>
      <c r="C148" s="3"/>
      <c r="D148" s="28"/>
      <c r="F148" s="5"/>
      <c r="G148" s="5"/>
      <c r="H148" s="21"/>
      <c r="I148" s="21"/>
      <c r="J148" s="21"/>
      <c r="K148" s="55"/>
      <c r="N148" s="56"/>
      <c r="O148" s="103"/>
    </row>
    <row r="149" spans="2:15" s="4" customFormat="1" hidden="1">
      <c r="B149" s="3"/>
      <c r="C149" s="3"/>
      <c r="D149" s="28"/>
      <c r="F149" s="5"/>
      <c r="G149" s="5"/>
      <c r="H149" s="21"/>
      <c r="I149" s="21"/>
      <c r="J149" s="21"/>
      <c r="K149" s="55"/>
      <c r="N149" s="56"/>
      <c r="O149" s="103"/>
    </row>
    <row r="150" spans="2:15" s="4" customFormat="1" hidden="1">
      <c r="B150" s="3"/>
      <c r="C150" s="3"/>
      <c r="D150" s="28"/>
      <c r="F150" s="5"/>
      <c r="G150" s="5"/>
      <c r="H150" s="21"/>
      <c r="I150" s="21"/>
      <c r="J150" s="21"/>
      <c r="K150" s="55"/>
      <c r="N150" s="56"/>
      <c r="O150" s="103"/>
    </row>
    <row r="151" spans="2:15" s="4" customFormat="1" hidden="1">
      <c r="B151" s="3"/>
      <c r="C151" s="3"/>
      <c r="D151" s="28"/>
      <c r="F151" s="5"/>
      <c r="G151" s="5"/>
      <c r="H151" s="21"/>
      <c r="I151" s="21"/>
      <c r="J151" s="21"/>
      <c r="K151" s="55"/>
      <c r="N151" s="56"/>
      <c r="O151" s="103"/>
    </row>
    <row r="152" spans="2:15" s="4" customFormat="1" hidden="1">
      <c r="B152" s="3"/>
      <c r="C152" s="3"/>
      <c r="D152" s="28"/>
      <c r="F152" s="5"/>
      <c r="G152" s="5"/>
      <c r="H152" s="21"/>
      <c r="I152" s="21"/>
      <c r="J152" s="21"/>
      <c r="K152" s="55"/>
      <c r="N152" s="56"/>
      <c r="O152" s="103"/>
    </row>
    <row r="153" spans="2:15" s="4" customFormat="1" hidden="1">
      <c r="B153" s="3"/>
      <c r="C153" s="3"/>
      <c r="D153" s="28"/>
      <c r="F153" s="5"/>
      <c r="G153" s="5"/>
      <c r="H153" s="21"/>
      <c r="I153" s="21"/>
      <c r="J153" s="21"/>
      <c r="K153" s="55"/>
      <c r="N153" s="56"/>
      <c r="O153" s="103"/>
    </row>
    <row r="154" spans="2:15" s="4" customFormat="1" hidden="1">
      <c r="B154" s="3"/>
      <c r="C154" s="3"/>
      <c r="D154" s="28"/>
      <c r="F154" s="5"/>
      <c r="G154" s="5"/>
      <c r="H154" s="21"/>
      <c r="I154" s="21"/>
      <c r="J154" s="21"/>
      <c r="K154" s="55"/>
      <c r="N154" s="56"/>
      <c r="O154" s="103"/>
    </row>
    <row r="155" spans="2:15" s="4" customFormat="1" hidden="1">
      <c r="B155" s="3"/>
      <c r="C155" s="3"/>
      <c r="D155" s="28"/>
      <c r="F155" s="5"/>
      <c r="G155" s="5"/>
      <c r="H155" s="21"/>
      <c r="I155" s="21"/>
      <c r="J155" s="21"/>
      <c r="K155" s="55"/>
      <c r="N155" s="56"/>
      <c r="O155" s="103"/>
    </row>
    <row r="156" spans="2:15" s="4" customFormat="1" hidden="1">
      <c r="B156" s="3"/>
      <c r="C156" s="3"/>
      <c r="D156" s="28"/>
      <c r="F156" s="5"/>
      <c r="G156" s="5"/>
      <c r="H156" s="21"/>
      <c r="I156" s="21"/>
      <c r="J156" s="21"/>
      <c r="K156" s="55"/>
      <c r="N156" s="56"/>
      <c r="O156" s="103"/>
    </row>
    <row r="157" spans="2:15" s="4" customFormat="1" hidden="1">
      <c r="B157" s="3"/>
      <c r="C157" s="3"/>
      <c r="D157" s="28"/>
      <c r="F157" s="5"/>
      <c r="G157" s="5"/>
      <c r="H157" s="21"/>
      <c r="I157" s="21"/>
      <c r="J157" s="21"/>
      <c r="K157" s="55"/>
      <c r="N157" s="56"/>
      <c r="O157" s="103"/>
    </row>
    <row r="158" spans="2:15" s="4" customFormat="1" hidden="1">
      <c r="B158" s="3"/>
      <c r="C158" s="3"/>
      <c r="D158" s="28"/>
      <c r="F158" s="5"/>
      <c r="G158" s="5"/>
      <c r="H158" s="21"/>
      <c r="I158" s="21"/>
      <c r="J158" s="21"/>
      <c r="K158" s="55"/>
      <c r="N158" s="56"/>
      <c r="O158" s="103"/>
    </row>
    <row r="159" spans="2:15" s="4" customFormat="1" hidden="1">
      <c r="B159" s="3"/>
      <c r="C159" s="3"/>
      <c r="D159" s="28"/>
      <c r="F159" s="5"/>
      <c r="G159" s="5"/>
      <c r="H159" s="21"/>
      <c r="I159" s="21"/>
      <c r="J159" s="21"/>
      <c r="K159" s="55"/>
      <c r="N159" s="56"/>
      <c r="O159" s="103"/>
    </row>
    <row r="160" spans="2:15" s="4" customFormat="1" hidden="1">
      <c r="B160" s="3"/>
      <c r="C160" s="3"/>
      <c r="D160" s="28"/>
      <c r="F160" s="5"/>
      <c r="G160" s="5"/>
      <c r="H160" s="21"/>
      <c r="I160" s="21"/>
      <c r="J160" s="21"/>
      <c r="K160" s="55"/>
      <c r="N160" s="56"/>
      <c r="O160" s="103"/>
    </row>
    <row r="161" spans="2:15" s="4" customFormat="1" hidden="1">
      <c r="B161" s="3"/>
      <c r="C161" s="3"/>
      <c r="D161" s="28"/>
      <c r="F161" s="5"/>
      <c r="G161" s="5"/>
      <c r="H161" s="21"/>
      <c r="I161" s="21"/>
      <c r="J161" s="21"/>
      <c r="K161" s="55"/>
      <c r="N161" s="56"/>
      <c r="O161" s="103"/>
    </row>
    <row r="162" spans="2:15" s="4" customFormat="1" hidden="1">
      <c r="B162" s="3"/>
      <c r="C162" s="3"/>
      <c r="D162" s="28"/>
      <c r="F162" s="5"/>
      <c r="G162" s="5"/>
      <c r="H162" s="21"/>
      <c r="I162" s="21"/>
      <c r="J162" s="21"/>
      <c r="K162" s="55"/>
      <c r="N162" s="56"/>
      <c r="O162" s="103"/>
    </row>
    <row r="163" spans="2:15" s="4" customFormat="1" hidden="1">
      <c r="B163" s="3"/>
      <c r="C163" s="3"/>
      <c r="D163" s="28"/>
      <c r="F163" s="5"/>
      <c r="G163" s="5"/>
      <c r="H163" s="21"/>
      <c r="I163" s="21"/>
      <c r="J163" s="21"/>
      <c r="K163" s="55"/>
      <c r="N163" s="56"/>
      <c r="O163" s="103"/>
    </row>
    <row r="164" spans="2:15" s="4" customFormat="1" hidden="1">
      <c r="B164" s="3"/>
      <c r="C164" s="3"/>
      <c r="D164" s="28"/>
      <c r="F164" s="5"/>
      <c r="G164" s="5"/>
      <c r="H164" s="21"/>
      <c r="I164" s="21"/>
      <c r="J164" s="21"/>
      <c r="K164" s="55"/>
      <c r="N164" s="56"/>
      <c r="O164" s="103"/>
    </row>
    <row r="165" spans="2:15" s="4" customFormat="1" hidden="1">
      <c r="B165" s="3"/>
      <c r="C165" s="3"/>
      <c r="D165" s="28"/>
      <c r="F165" s="5"/>
      <c r="G165" s="5"/>
      <c r="H165" s="21"/>
      <c r="I165" s="21"/>
      <c r="J165" s="21"/>
      <c r="K165" s="55"/>
      <c r="N165" s="56"/>
      <c r="O165" s="103"/>
    </row>
    <row r="166" spans="2:15" s="4" customFormat="1" hidden="1">
      <c r="B166" s="3"/>
      <c r="C166" s="3"/>
      <c r="D166" s="28"/>
      <c r="F166" s="5"/>
      <c r="G166" s="5"/>
      <c r="H166" s="21"/>
      <c r="I166" s="21"/>
      <c r="J166" s="21"/>
      <c r="K166" s="55"/>
      <c r="N166" s="56"/>
      <c r="O166" s="103"/>
    </row>
    <row r="167" spans="2:15" s="4" customFormat="1" hidden="1">
      <c r="B167" s="3"/>
      <c r="C167" s="3"/>
      <c r="D167" s="28"/>
      <c r="F167" s="5"/>
      <c r="G167" s="5"/>
      <c r="H167" s="21"/>
      <c r="I167" s="21"/>
      <c r="J167" s="21"/>
      <c r="K167" s="55"/>
      <c r="N167" s="56"/>
      <c r="O167" s="103"/>
    </row>
    <row r="168" spans="2:15" s="4" customFormat="1" hidden="1">
      <c r="B168" s="3"/>
      <c r="C168" s="3"/>
      <c r="D168" s="28"/>
      <c r="F168" s="5"/>
      <c r="G168" s="5"/>
      <c r="H168" s="21"/>
      <c r="I168" s="21"/>
      <c r="J168" s="21"/>
      <c r="K168" s="55"/>
      <c r="N168" s="56"/>
      <c r="O168" s="103"/>
    </row>
    <row r="170" spans="2:15" s="4" customFormat="1" hidden="1">
      <c r="B170" s="3"/>
      <c r="C170" s="3"/>
      <c r="D170" s="28"/>
      <c r="F170" s="5"/>
      <c r="G170" s="5"/>
      <c r="H170" s="21"/>
      <c r="I170" s="21"/>
      <c r="J170" s="21"/>
      <c r="K170" s="55"/>
      <c r="N170" s="56"/>
      <c r="O170" s="103"/>
    </row>
    <row r="171" spans="2:15" s="4" customFormat="1" hidden="1">
      <c r="B171" s="3"/>
      <c r="C171" s="3"/>
      <c r="D171" s="28"/>
      <c r="F171" s="5"/>
      <c r="G171" s="5"/>
      <c r="H171" s="21"/>
      <c r="I171" s="21"/>
      <c r="J171" s="21"/>
      <c r="K171" s="55"/>
      <c r="N171" s="56"/>
      <c r="O171" s="103"/>
    </row>
    <row r="172" spans="2:15" s="4" customFormat="1" hidden="1">
      <c r="B172" s="3"/>
      <c r="C172" s="3"/>
      <c r="D172" s="28"/>
      <c r="F172" s="5"/>
      <c r="G172" s="5"/>
      <c r="H172" s="21"/>
      <c r="I172" s="21"/>
      <c r="J172" s="21"/>
      <c r="K172" s="55"/>
      <c r="N172" s="56"/>
      <c r="O172" s="103"/>
    </row>
    <row r="173" spans="2:15" s="4" customFormat="1" hidden="1">
      <c r="B173" s="3"/>
      <c r="C173" s="3"/>
      <c r="D173" s="28"/>
      <c r="F173" s="5"/>
      <c r="G173" s="5"/>
      <c r="H173" s="21"/>
      <c r="I173" s="21"/>
      <c r="J173" s="21"/>
      <c r="K173" s="55"/>
      <c r="N173" s="56"/>
      <c r="O173" s="103"/>
    </row>
    <row r="174" spans="2:15" s="4" customFormat="1" hidden="1">
      <c r="B174" s="3"/>
      <c r="C174" s="3"/>
      <c r="D174" s="28"/>
      <c r="F174" s="5"/>
      <c r="G174" s="5"/>
      <c r="H174" s="21"/>
      <c r="I174" s="21"/>
      <c r="J174" s="21"/>
      <c r="K174" s="55"/>
      <c r="N174" s="56"/>
      <c r="O174" s="103"/>
    </row>
    <row r="175" spans="2:15" s="4" customFormat="1" hidden="1">
      <c r="B175" s="3"/>
      <c r="C175" s="3"/>
      <c r="D175" s="28"/>
      <c r="F175" s="5"/>
      <c r="G175" s="5"/>
      <c r="H175" s="21"/>
      <c r="I175" s="21"/>
      <c r="J175" s="21"/>
      <c r="K175" s="55"/>
      <c r="N175" s="56"/>
      <c r="O175" s="103"/>
    </row>
    <row r="176" spans="2:15" s="4" customFormat="1" hidden="1">
      <c r="B176" s="3"/>
      <c r="C176" s="3"/>
      <c r="D176" s="28"/>
      <c r="F176" s="5"/>
      <c r="G176" s="5"/>
      <c r="H176" s="21"/>
      <c r="I176" s="21"/>
      <c r="J176" s="21"/>
      <c r="K176" s="55"/>
      <c r="N176" s="56"/>
      <c r="O176" s="103"/>
    </row>
    <row r="177" spans="2:15" s="4" customFormat="1" hidden="1">
      <c r="B177" s="3"/>
      <c r="C177" s="3"/>
      <c r="D177" s="28"/>
      <c r="F177" s="5"/>
      <c r="G177" s="5"/>
      <c r="H177" s="21"/>
      <c r="I177" s="21"/>
      <c r="J177" s="21"/>
      <c r="K177" s="55"/>
      <c r="N177" s="56"/>
      <c r="O177" s="103"/>
    </row>
    <row r="178" spans="2:15" s="4" customFormat="1" hidden="1">
      <c r="B178" s="3"/>
      <c r="C178" s="3"/>
      <c r="D178" s="28"/>
      <c r="F178" s="5"/>
      <c r="G178" s="5"/>
      <c r="H178" s="21"/>
      <c r="I178" s="21"/>
      <c r="J178" s="21"/>
      <c r="K178" s="55"/>
      <c r="N178" s="56"/>
      <c r="O178" s="103"/>
    </row>
    <row r="179" spans="2:15" s="4" customFormat="1" hidden="1">
      <c r="B179" s="3"/>
      <c r="C179" s="3"/>
      <c r="D179" s="28"/>
      <c r="F179" s="5"/>
      <c r="G179" s="5"/>
      <c r="H179" s="21"/>
      <c r="I179" s="21"/>
      <c r="J179" s="21"/>
      <c r="K179" s="55"/>
      <c r="N179" s="56"/>
      <c r="O179" s="103"/>
    </row>
    <row r="180" spans="2:15" s="4" customFormat="1" hidden="1">
      <c r="B180" s="3"/>
      <c r="C180" s="3"/>
      <c r="D180" s="28"/>
      <c r="F180" s="5"/>
      <c r="G180" s="5"/>
      <c r="H180" s="21"/>
      <c r="I180" s="21"/>
      <c r="J180" s="21"/>
      <c r="K180" s="55"/>
      <c r="N180" s="56"/>
      <c r="O180" s="103"/>
    </row>
    <row r="181" spans="2:15" s="4" customFormat="1" hidden="1">
      <c r="B181" s="3"/>
      <c r="C181" s="3"/>
      <c r="D181" s="28"/>
      <c r="F181" s="5"/>
      <c r="G181" s="5"/>
      <c r="H181" s="21"/>
      <c r="I181" s="21"/>
      <c r="J181" s="21"/>
      <c r="K181" s="55"/>
      <c r="N181" s="56"/>
      <c r="O181" s="103"/>
    </row>
    <row r="182" spans="2:15" s="4" customFormat="1" hidden="1">
      <c r="B182" s="3"/>
      <c r="C182" s="3"/>
      <c r="D182" s="28"/>
      <c r="F182" s="5"/>
      <c r="G182" s="5"/>
      <c r="H182" s="21"/>
      <c r="I182" s="21"/>
      <c r="J182" s="21"/>
      <c r="K182" s="55"/>
      <c r="N182" s="56"/>
      <c r="O182" s="103"/>
    </row>
    <row r="183" spans="2:15" s="4" customFormat="1" hidden="1">
      <c r="B183" s="3"/>
      <c r="C183" s="3"/>
      <c r="D183" s="28"/>
      <c r="F183" s="5"/>
      <c r="G183" s="5"/>
      <c r="H183" s="21"/>
      <c r="I183" s="21"/>
      <c r="J183" s="21"/>
      <c r="K183" s="55"/>
      <c r="N183" s="56"/>
      <c r="O183" s="103"/>
    </row>
    <row r="184" spans="2:15" s="4" customFormat="1" hidden="1">
      <c r="B184" s="3"/>
      <c r="C184" s="3"/>
      <c r="D184" s="28"/>
      <c r="F184" s="5"/>
      <c r="G184" s="5"/>
      <c r="H184" s="21"/>
      <c r="I184" s="21"/>
      <c r="J184" s="21"/>
      <c r="K184" s="55"/>
      <c r="N184" s="56"/>
      <c r="O184" s="103"/>
    </row>
    <row r="185" spans="2:15" s="4" customFormat="1" hidden="1">
      <c r="B185" s="3"/>
      <c r="C185" s="3"/>
      <c r="D185" s="28"/>
      <c r="F185" s="5"/>
      <c r="G185" s="5"/>
      <c r="H185" s="21"/>
      <c r="I185" s="21"/>
      <c r="J185" s="21"/>
      <c r="K185" s="55"/>
      <c r="N185" s="56"/>
      <c r="O185" s="103"/>
    </row>
    <row r="186" spans="2:15" s="4" customFormat="1" hidden="1">
      <c r="B186" s="3"/>
      <c r="C186" s="3"/>
      <c r="D186" s="28"/>
      <c r="F186" s="5"/>
      <c r="G186" s="5"/>
      <c r="H186" s="21"/>
      <c r="I186" s="21"/>
      <c r="J186" s="21"/>
      <c r="K186" s="55"/>
      <c r="N186" s="56"/>
      <c r="O186" s="103"/>
    </row>
    <row r="187" spans="2:15" s="4" customFormat="1" hidden="1">
      <c r="B187" s="3"/>
      <c r="C187" s="3"/>
      <c r="D187" s="28"/>
      <c r="F187" s="5"/>
      <c r="G187" s="5"/>
      <c r="H187" s="21"/>
      <c r="I187" s="21"/>
      <c r="J187" s="21"/>
      <c r="K187" s="55"/>
      <c r="N187" s="56"/>
      <c r="O187" s="103"/>
    </row>
    <row r="188" spans="2:15" s="4" customFormat="1" hidden="1">
      <c r="B188" s="3"/>
      <c r="C188" s="3"/>
      <c r="D188" s="28"/>
      <c r="F188" s="5"/>
      <c r="G188" s="5"/>
      <c r="H188" s="21"/>
      <c r="I188" s="21"/>
      <c r="J188" s="21"/>
      <c r="K188" s="55"/>
      <c r="N188" s="56"/>
      <c r="O188" s="103"/>
    </row>
    <row r="189" spans="2:15"/>
    <row r="190" spans="2:15"/>
    <row r="191" spans="2:15"/>
    <row r="192" spans="2:15"/>
    <row r="215" spans="13:13" hidden="1">
      <c r="M215" s="1" t="b">
        <v>0</v>
      </c>
    </row>
  </sheetData>
  <mergeCells count="200">
    <mergeCell ref="B76:C76"/>
    <mergeCell ref="B78:C78"/>
    <mergeCell ref="H89:J89"/>
    <mergeCell ref="H90:J90"/>
    <mergeCell ref="H91:J91"/>
    <mergeCell ref="B93:C93"/>
    <mergeCell ref="B94:C94"/>
    <mergeCell ref="F93:G93"/>
    <mergeCell ref="F94:G94"/>
    <mergeCell ref="H93:J93"/>
    <mergeCell ref="H94:J94"/>
    <mergeCell ref="F92:G92"/>
    <mergeCell ref="H92:J92"/>
    <mergeCell ref="B91:C91"/>
    <mergeCell ref="B77:C77"/>
    <mergeCell ref="B80:C80"/>
    <mergeCell ref="F79:G79"/>
    <mergeCell ref="F80:G80"/>
    <mergeCell ref="H79:J79"/>
    <mergeCell ref="H80:J80"/>
    <mergeCell ref="B89:C89"/>
    <mergeCell ref="B90:C90"/>
    <mergeCell ref="F87:G87"/>
    <mergeCell ref="F86:G86"/>
    <mergeCell ref="B99:C99"/>
    <mergeCell ref="F96:G96"/>
    <mergeCell ref="F97:G97"/>
    <mergeCell ref="F95:G95"/>
    <mergeCell ref="H95:J95"/>
    <mergeCell ref="H96:J96"/>
    <mergeCell ref="H97:J97"/>
    <mergeCell ref="F98:G98"/>
    <mergeCell ref="H98:J98"/>
    <mergeCell ref="B96:C96"/>
    <mergeCell ref="B97:C97"/>
    <mergeCell ref="F99:G99"/>
    <mergeCell ref="H59:J59"/>
    <mergeCell ref="B8:H8"/>
    <mergeCell ref="H38:J38"/>
    <mergeCell ref="F38:G38"/>
    <mergeCell ref="H45:J45"/>
    <mergeCell ref="B44:C44"/>
    <mergeCell ref="F44:G44"/>
    <mergeCell ref="H44:J44"/>
    <mergeCell ref="H41:J41"/>
    <mergeCell ref="B39:C39"/>
    <mergeCell ref="F39:G39"/>
    <mergeCell ref="H39:J39"/>
    <mergeCell ref="G11:H11"/>
    <mergeCell ref="B40:C40"/>
    <mergeCell ref="H40:J40"/>
    <mergeCell ref="C12:E13"/>
    <mergeCell ref="C10:E11"/>
    <mergeCell ref="B38:C38"/>
    <mergeCell ref="B56:C56"/>
    <mergeCell ref="G10:H10"/>
    <mergeCell ref="B47:C47"/>
    <mergeCell ref="B41:C41"/>
    <mergeCell ref="F41:G41"/>
    <mergeCell ref="H52:J52"/>
    <mergeCell ref="F69:G69"/>
    <mergeCell ref="F70:G70"/>
    <mergeCell ref="H69:J69"/>
    <mergeCell ref="H70:J70"/>
    <mergeCell ref="B70:C70"/>
    <mergeCell ref="B69:C69"/>
    <mergeCell ref="H61:J61"/>
    <mergeCell ref="B61:C61"/>
    <mergeCell ref="B62:C62"/>
    <mergeCell ref="B63:C63"/>
    <mergeCell ref="H62:J62"/>
    <mergeCell ref="B68:C68"/>
    <mergeCell ref="F68:G68"/>
    <mergeCell ref="F67:G67"/>
    <mergeCell ref="H106:J106"/>
    <mergeCell ref="H73:J73"/>
    <mergeCell ref="H78:J78"/>
    <mergeCell ref="H85:J85"/>
    <mergeCell ref="H64:J64"/>
    <mergeCell ref="H65:J65"/>
    <mergeCell ref="H101:J101"/>
    <mergeCell ref="H63:J63"/>
    <mergeCell ref="H76:J76"/>
    <mergeCell ref="H66:J66"/>
    <mergeCell ref="H99:J99"/>
    <mergeCell ref="H102:J102"/>
    <mergeCell ref="H103:J103"/>
    <mergeCell ref="H104:J104"/>
    <mergeCell ref="H105:J105"/>
    <mergeCell ref="H77:J77"/>
    <mergeCell ref="H74:J74"/>
    <mergeCell ref="H100:J100"/>
    <mergeCell ref="H75:J75"/>
    <mergeCell ref="H71:J71"/>
    <mergeCell ref="H68:J68"/>
    <mergeCell ref="H72:J72"/>
    <mergeCell ref="H67:J67"/>
    <mergeCell ref="B106:C106"/>
    <mergeCell ref="F73:G73"/>
    <mergeCell ref="F78:G78"/>
    <mergeCell ref="F106:G106"/>
    <mergeCell ref="B101:C101"/>
    <mergeCell ref="F101:G101"/>
    <mergeCell ref="B105:C105"/>
    <mergeCell ref="B104:C104"/>
    <mergeCell ref="B103:C103"/>
    <mergeCell ref="B102:C102"/>
    <mergeCell ref="B81:C81"/>
    <mergeCell ref="B82:C82"/>
    <mergeCell ref="B83:C83"/>
    <mergeCell ref="B84:C84"/>
    <mergeCell ref="B87:C87"/>
    <mergeCell ref="B88:C88"/>
    <mergeCell ref="B92:C92"/>
    <mergeCell ref="B95:C95"/>
    <mergeCell ref="F105:G105"/>
    <mergeCell ref="F76:G76"/>
    <mergeCell ref="B98:C98"/>
    <mergeCell ref="B100:C100"/>
    <mergeCell ref="F77:G77"/>
    <mergeCell ref="B79:C79"/>
    <mergeCell ref="H46:J46"/>
    <mergeCell ref="B42:C42"/>
    <mergeCell ref="F42:G42"/>
    <mergeCell ref="H42:J42"/>
    <mergeCell ref="F40:G40"/>
    <mergeCell ref="H49:J49"/>
    <mergeCell ref="B43:C43"/>
    <mergeCell ref="F43:G43"/>
    <mergeCell ref="H43:J43"/>
    <mergeCell ref="H54:J54"/>
    <mergeCell ref="H55:J55"/>
    <mergeCell ref="B46:C46"/>
    <mergeCell ref="B55:C55"/>
    <mergeCell ref="F47:G47"/>
    <mergeCell ref="H47:J47"/>
    <mergeCell ref="F102:G102"/>
    <mergeCell ref="F103:G103"/>
    <mergeCell ref="F104:G104"/>
    <mergeCell ref="H81:J81"/>
    <mergeCell ref="H82:J82"/>
    <mergeCell ref="H83:J83"/>
    <mergeCell ref="H84:J84"/>
    <mergeCell ref="H87:J87"/>
    <mergeCell ref="H88:J88"/>
    <mergeCell ref="F100:G100"/>
    <mergeCell ref="F88:G88"/>
    <mergeCell ref="F89:G89"/>
    <mergeCell ref="F90:G90"/>
    <mergeCell ref="F91:G91"/>
    <mergeCell ref="F81:G81"/>
    <mergeCell ref="F82:G82"/>
    <mergeCell ref="F83:G83"/>
    <mergeCell ref="F84:G84"/>
    <mergeCell ref="H86:J86"/>
    <mergeCell ref="F85:G85"/>
    <mergeCell ref="F72:G72"/>
    <mergeCell ref="F71:G71"/>
    <mergeCell ref="B86:C86"/>
    <mergeCell ref="B52:C52"/>
    <mergeCell ref="B74:C74"/>
    <mergeCell ref="B75:C75"/>
    <mergeCell ref="B73:C73"/>
    <mergeCell ref="B85:C85"/>
    <mergeCell ref="B71:C71"/>
    <mergeCell ref="B64:C64"/>
    <mergeCell ref="B65:C65"/>
    <mergeCell ref="B72:C72"/>
    <mergeCell ref="F74:G74"/>
    <mergeCell ref="F56:G56"/>
    <mergeCell ref="F62:G62"/>
    <mergeCell ref="F65:G65"/>
    <mergeCell ref="F64:G64"/>
    <mergeCell ref="B66:C66"/>
    <mergeCell ref="B67:C67"/>
    <mergeCell ref="F66:G66"/>
    <mergeCell ref="F75:G75"/>
    <mergeCell ref="F59:G59"/>
    <mergeCell ref="B58:C58"/>
    <mergeCell ref="F48:G48"/>
    <mergeCell ref="B48:C48"/>
    <mergeCell ref="H48:J48"/>
    <mergeCell ref="F63:G63"/>
    <mergeCell ref="F50:G50"/>
    <mergeCell ref="H50:J50"/>
    <mergeCell ref="B50:C50"/>
    <mergeCell ref="B59:C59"/>
    <mergeCell ref="B53:C53"/>
    <mergeCell ref="F53:G53"/>
    <mergeCell ref="H53:J53"/>
    <mergeCell ref="B51:C51"/>
    <mergeCell ref="F49:G49"/>
    <mergeCell ref="B49:C49"/>
    <mergeCell ref="H56:J56"/>
    <mergeCell ref="H57:J57"/>
    <mergeCell ref="H58:J58"/>
    <mergeCell ref="F51:G51"/>
    <mergeCell ref="H51:J51"/>
    <mergeCell ref="H60:J60"/>
    <mergeCell ref="F52:G52"/>
  </mergeCells>
  <phoneticPr fontId="34" type="noConversion"/>
  <conditionalFormatting sqref="G19:H19 G21:H23">
    <cfRule type="expression" dxfId="48" priority="7">
      <formula>$O$20="TRUEFALSE"</formula>
    </cfRule>
  </conditionalFormatting>
  <conditionalFormatting sqref="G14:H16">
    <cfRule type="expression" dxfId="47" priority="9">
      <formula>$O$13="TRUEFALSE"</formula>
    </cfRule>
  </conditionalFormatting>
  <conditionalFormatting sqref="G20:H23">
    <cfRule type="expression" dxfId="46" priority="6">
      <formula>$O$19="TRUEFALSE"</formula>
    </cfRule>
  </conditionalFormatting>
  <conditionalFormatting sqref="G13:H16">
    <cfRule type="expression" dxfId="45" priority="573">
      <formula>$O$16="TRUEFALSE"</formula>
    </cfRule>
  </conditionalFormatting>
  <conditionalFormatting sqref="G13:H13 G15:H16">
    <cfRule type="expression" dxfId="44" priority="10">
      <formula>$O$14="TRUEFALSE"</formula>
    </cfRule>
  </conditionalFormatting>
  <conditionalFormatting sqref="G13:H14 G16:H16">
    <cfRule type="expression" dxfId="43" priority="572">
      <formula>$O$15="TRUEFALSE"</formula>
    </cfRule>
  </conditionalFormatting>
  <conditionalFormatting sqref="G19:H20 G22:H23">
    <cfRule type="expression" dxfId="42" priority="11">
      <formula>$O$21="TRUEFALSE"</formula>
    </cfRule>
  </conditionalFormatting>
  <conditionalFormatting sqref="G19:H21 G23:H23">
    <cfRule type="expression" dxfId="41" priority="12">
      <formula>$O$22="TRUEFALSE"</formula>
    </cfRule>
  </conditionalFormatting>
  <conditionalFormatting sqref="G19:H22">
    <cfRule type="expression" dxfId="40" priority="571">
      <formula>$O$23="TRUEFALSE"</formula>
    </cfRule>
  </conditionalFormatting>
  <conditionalFormatting sqref="H12">
    <cfRule type="expression" dxfId="39" priority="574">
      <formula>$K$11&lt;3</formula>
    </cfRule>
  </conditionalFormatting>
  <conditionalFormatting sqref="H18">
    <cfRule type="expression" dxfId="38" priority="776">
      <formula>$K$18&lt;4</formula>
    </cfRule>
  </conditionalFormatting>
  <conditionalFormatting sqref="K39:K106">
    <cfRule type="expression" dxfId="37" priority="38">
      <formula>NOT(OR(ISERROR(FIND($N$13,$K39))))</formula>
    </cfRule>
  </conditionalFormatting>
  <conditionalFormatting sqref="K39:K106">
    <cfRule type="expression" dxfId="36" priority="39">
      <formula>NOT(OR(ISERROR(FIND($N$14,$K39))))</formula>
    </cfRule>
  </conditionalFormatting>
  <conditionalFormatting sqref="K39:K106">
    <cfRule type="expression" dxfId="35" priority="40">
      <formula>NOT(OR(ISERROR(FIND($N$15,$K39))))</formula>
    </cfRule>
  </conditionalFormatting>
  <conditionalFormatting sqref="K39:K106">
    <cfRule type="expression" dxfId="34" priority="41">
      <formula>NOT(OR(ISERROR(FIND($N$16,$K39))))</formula>
    </cfRule>
  </conditionalFormatting>
  <conditionalFormatting sqref="K39:K106">
    <cfRule type="expression" dxfId="33" priority="42">
      <formula>NOT(OR(ISERROR(FIND($N$19,$K39))))</formula>
    </cfRule>
  </conditionalFormatting>
  <conditionalFormatting sqref="K39:K106">
    <cfRule type="expression" dxfId="32" priority="43">
      <formula>NOT(OR(ISERROR(FIND($N$20,$K39))))</formula>
    </cfRule>
  </conditionalFormatting>
  <conditionalFormatting sqref="K39:K106">
    <cfRule type="expression" dxfId="31" priority="44">
      <formula>NOT(OR(ISERROR(FIND($N$21,$K39))))</formula>
    </cfRule>
  </conditionalFormatting>
  <conditionalFormatting sqref="K39:K106">
    <cfRule type="expression" dxfId="30" priority="45">
      <formula>NOT(OR(ISERROR(FIND($N$22,$K39))))</formula>
    </cfRule>
  </conditionalFormatting>
  <conditionalFormatting sqref="K39:K106">
    <cfRule type="expression" dxfId="29" priority="46">
      <formula>NOT(OR(ISERROR(FIND($N$23,$K39))))</formula>
    </cfRule>
  </conditionalFormatting>
  <conditionalFormatting sqref="K39:K106">
    <cfRule type="expression" dxfId="28" priority="47">
      <formula>NOT(OR(ISERROR(FIND($N$25,$K39))))</formula>
    </cfRule>
  </conditionalFormatting>
  <conditionalFormatting sqref="K39:K106">
    <cfRule type="expression" dxfId="27" priority="49">
      <formula>NOT(OR(ISERROR(FIND($N$27,$K39))))</formula>
    </cfRule>
  </conditionalFormatting>
  <conditionalFormatting sqref="K39:K106">
    <cfRule type="expression" dxfId="26" priority="50">
      <formula>NOT(OR(ISERROR(FIND($N$29,$K39))))</formula>
    </cfRule>
  </conditionalFormatting>
  <conditionalFormatting sqref="K39:K106">
    <cfRule type="expression" dxfId="25" priority="51">
      <formula>NOT(OR(ISERROR(FIND($N$31,$K39))))</formula>
    </cfRule>
  </conditionalFormatting>
  <conditionalFormatting sqref="K39:K106">
    <cfRule type="expression" dxfId="24" priority="52">
      <formula>NOT(OR(ISERROR(FIND($N$33,$K39))))</formula>
    </cfRule>
  </conditionalFormatting>
  <conditionalFormatting sqref="K39:K106">
    <cfRule type="expression" dxfId="23" priority="54">
      <formula>NOT(OR(ISERROR(FIND($N$35,$K39))))</formula>
    </cfRule>
  </conditionalFormatting>
  <conditionalFormatting sqref="B39:J44 B47:J53 B56:J56 B67:J72 B62:J65 B59:J59 B74:J106">
    <cfRule type="expression" dxfId="22" priority="56">
      <formula>NOT(OR(ISERROR(FIND($N$12,$K39))))</formula>
    </cfRule>
    <cfRule type="expression" dxfId="21" priority="58">
      <formula>NOT(OR(ISERROR(FIND($N$14,$K39))))</formula>
    </cfRule>
  </conditionalFormatting>
  <conditionalFormatting sqref="G12:H16">
    <cfRule type="expression" dxfId="20" priority="2">
      <formula>$K$11&lt;3</formula>
    </cfRule>
  </conditionalFormatting>
  <conditionalFormatting sqref="G18:H23">
    <cfRule type="expression" dxfId="19" priority="1">
      <formula>$K$18&lt;4</formula>
    </cfRule>
  </conditionalFormatting>
  <conditionalFormatting sqref="B39:J44 B47:J53 B56:J56 B62:J65 B59:J59 B67:J72 B74:J106">
    <cfRule type="expression" dxfId="18" priority="777">
      <formula>NOT(OR(ISERROR(FIND($N$13,$K39))))</formula>
    </cfRule>
    <cfRule type="expression" dxfId="17" priority="778">
      <formula>NOT(OR(ISERROR(FIND($N$15,$K39))))</formula>
    </cfRule>
    <cfRule type="expression" dxfId="16" priority="779">
      <formula>NOT(OR(ISERROR(FIND($N$16,$K39))))</formula>
    </cfRule>
    <cfRule type="expression" dxfId="15" priority="780">
      <formula>NOT(OR(ISERROR(FIND($N$19,$K39))))</formula>
    </cfRule>
    <cfRule type="expression" dxfId="14" priority="781">
      <formula>NOT(OR(ISERROR(FIND($N$20,$K39))))</formula>
    </cfRule>
    <cfRule type="expression" dxfId="13" priority="782">
      <formula>NOT(OR(ISERROR(FIND($N$21,$K39))))</formula>
    </cfRule>
    <cfRule type="expression" dxfId="12" priority="783">
      <formula>NOT(OR(ISERROR(FIND($N$22,$K39))))</formula>
    </cfRule>
    <cfRule type="expression" dxfId="11" priority="784">
      <formula>NOT(OR(ISERROR(FIND($N$23,$K39))))</formula>
    </cfRule>
    <cfRule type="expression" dxfId="10" priority="785">
      <formula>NOT(OR(ISERROR(FIND($N$25,$K39))))</formula>
    </cfRule>
    <cfRule type="expression" dxfId="9" priority="786">
      <formula>NOT(OR(ISERROR(FIND(#REF!,$K39))))</formula>
    </cfRule>
    <cfRule type="expression" dxfId="8" priority="787">
      <formula>NOT(OR(ISERROR(FIND($N$27,$K39))))</formula>
    </cfRule>
    <cfRule type="expression" dxfId="7" priority="788">
      <formula>NOT(OR(ISERROR(FIND($N$29,$K39))))</formula>
    </cfRule>
    <cfRule type="expression" dxfId="6" priority="789">
      <formula>NOT(OR(ISERROR(FIND($N$31,$K39))))</formula>
    </cfRule>
    <cfRule type="expression" dxfId="5" priority="790">
      <formula>NOT(OR(ISERROR(FIND($N$33,$K39))))</formula>
    </cfRule>
    <cfRule type="expression" dxfId="4" priority="791">
      <formula>NOT(OR(ISERROR(FIND($N$35,$K39))))</formula>
    </cfRule>
    <cfRule type="expression" dxfId="3" priority="792">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2" priority="889">
      <formula>NOT(OR(ISERROR(FIND($N$12,$K39))))</formula>
    </cfRule>
    <cfRule type="expression" dxfId="1" priority="890">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0" priority="901">
      <formula>NOT(OR(ISERROR(FIND(#REF!,$K39))))</formula>
    </cfRule>
  </conditionalFormatting>
  <dataValidations count="1">
    <dataValidation type="list" allowBlank="1" showInputMessage="1" showErrorMessage="1" sqref="D62:D65 D59 D47:D53 D67:D72 D74:D106 D56">
      <formula1>$D$5:$D$6</formula1>
    </dataValidation>
  </dataValidations>
  <hyperlinks>
    <hyperlink ref="H44" location="URL" display="http://community.office365.com/en-us/wikis/live-at-edu-transition/1110.aspx#URL"/>
    <hyperlink ref="H69" location="continue" display="http://community.office365.com/en-us/wikis/live-at-edu-transition/1133.aspx#continue"/>
    <hyperlink ref="H71" location="support" display="http://community.office365.com/en-us/wikis/live-at-edu-transition/1133.aspx#support"/>
    <hyperlink ref="H79" r:id="rId1" display="http://go.microsoft.com/fwlink/p/?LinkId=253149"/>
    <hyperlink ref="H80" r:id="rId2" display="http://go.microsoft.com/fwlink/p/?LinkId=253601"/>
    <hyperlink ref="H81" r:id="rId3" display="http://go.microsoft.com/fwlink/p/?LinkId=253147"/>
    <hyperlink ref="H87" r:id="rId4" display="http://go.microsoft.com/fwlink/p/?LinkId=253149"/>
    <hyperlink ref="H88" r:id="rId5" display="http://go.microsoft.com/fwlink/p/?LinkId=253601"/>
    <hyperlink ref="H89" r:id="rId6" display="http://go.microsoft.com/fwlink/p/?LinkId=253147"/>
    <hyperlink ref="H91" r:id="rId7" display="http://go.microsoft.com/fwlink/p/?LinkId=253149"/>
    <hyperlink ref="H92" r:id="rId8" display="http://go.microsoft.com/fwlink/p/?LinkId=253601"/>
    <hyperlink ref="H93" r:id="rId9" display="http://go.microsoft.com/fwlink/p/?LinkId=253147"/>
    <hyperlink ref="H95" r:id="rId10" display="http://go.microsoft.com/fwlink/p/?LinkId=253149"/>
    <hyperlink ref="H96" r:id="rId11" display="http://go.microsoft.com/fwlink/p/?LinkId=253601"/>
    <hyperlink ref="H99" location="EO" display="http://community.office365.com/en-us/wikis/live-at-edu-transition/1134.aspx#EO"/>
    <hyperlink ref="H102" location="o365" display="http://community.office365.com/en-us/wikis/live-at-edu-transition/1134.aspx#o365"/>
    <hyperlink ref="H103" r:id="rId12" display="http://go.microsoft.com/fwlink/p/?LinkId=253597"/>
    <hyperlink ref="H104" r:id="rId13" display="http://go.microsoft.com/fwlink/p/?LinkId=253605"/>
    <hyperlink ref="H105" r:id="rId14" display="http://go.microsoft.com/fwlink/p/?LinkId=253606"/>
    <hyperlink ref="H63" location="EO" display="http://community.office365.com/en-us/wikis/live-at-edu-transition/1110.aspx#EO"/>
    <hyperlink ref="H53" r:id="rId15" display="http://go.microsoft.com/fwlink/p/?LinkId=260428"/>
    <hyperlink ref="H68" location="start" display="http://community.office365.com/en-us/wikis/live-at-edu-transition/1133.aspx#start"/>
    <hyperlink ref="H106" r:id="rId16" display="http://go.microsoft.com/fwlink/p/?LinkId=251279"/>
    <hyperlink ref="H43:J43" r:id="rId17" display="Learn more"/>
    <hyperlink ref="H44:J44" r:id="rId18" display="Learn more"/>
    <hyperlink ref="H47:J47" r:id="rId19" display="Office 365 software requirements"/>
    <hyperlink ref="H48:J48" r:id="rId20" display="Sample communications and resources can be found in the Upgrade End-user Kit"/>
    <hyperlink ref="H49:J49" r:id="rId21" display="Learn more"/>
    <hyperlink ref="H50:J50" r:id="rId22" display="Learn more"/>
    <hyperlink ref="H51:J51" r:id="rId23" display="Learn more"/>
    <hyperlink ref="H52:J52" r:id="rId24" display="Learn more"/>
    <hyperlink ref="H53:J53" r:id="rId25" display="Learn more"/>
    <hyperlink ref="H59:J59" r:id="rId26" display="Sample communications and resources can be found in the Upgrade End-user Kit"/>
    <hyperlink ref="H62:J62" r:id="rId27" display="Sample communications and resources can be found in the Upgrade End-user Kit"/>
    <hyperlink ref="H63:J63" r:id="rId28" display="Learn more"/>
    <hyperlink ref="H64:J64" r:id="rId29" display="Learn more"/>
    <hyperlink ref="H65:J65" r:id="rId30" display="Learn more"/>
    <hyperlink ref="H67:J67" r:id="rId31" display="Learn more"/>
    <hyperlink ref="H68:J68" r:id="rId32" display="Learn more"/>
    <hyperlink ref="H69:J69" r:id="rId33" display="Learn more"/>
    <hyperlink ref="H70:J70" r:id="rId34" display="Sample communications and resources can be found in the Upgrade End-user Kit"/>
    <hyperlink ref="H71:J71" r:id="rId35" display="Learn more"/>
    <hyperlink ref="H72:J72" r:id="rId36" display="Learn more"/>
    <hyperlink ref="H85:J85" r:id="rId37" display="Learn more"/>
    <hyperlink ref="H86:J86" r:id="rId38" display="Learn more"/>
    <hyperlink ref="H74:J74" r:id="rId39" display="Learn more"/>
    <hyperlink ref="H75:J75" r:id="rId40" display="Learn more"/>
    <hyperlink ref="H76:J76" r:id="rId41" display="http://g.microsoftonline.com/0rmcm00en-us/5405"/>
    <hyperlink ref="H77:J77" r:id="rId42" display="http://g.microsoftonline.com/0rmcm00en-us/5406"/>
    <hyperlink ref="H78:J78" r:id="rId43" display="http://g.microsoftonline.com/0rmcm00en-us/5407"/>
    <hyperlink ref="H79:J79" r:id="rId44" display="Learn more"/>
    <hyperlink ref="H80:J80" r:id="rId45" display="Learn more"/>
    <hyperlink ref="H81:J81" r:id="rId46" display="Learn more"/>
    <hyperlink ref="H82:J82" r:id="rId47" display="Learn More"/>
    <hyperlink ref="H83:J83" r:id="rId48" display="Learn More"/>
    <hyperlink ref="H84:J84" r:id="rId49" display="Learn more"/>
    <hyperlink ref="H87:J87" r:id="rId50" display="Learn more"/>
    <hyperlink ref="H88:J88" r:id="rId51" display="Learn more"/>
    <hyperlink ref="H89:J89" r:id="rId52" display="Learn more"/>
    <hyperlink ref="H90:J90" r:id="rId53" display="Learn more"/>
    <hyperlink ref="H91:J91" r:id="rId54" display="Learn more"/>
    <hyperlink ref="H92:J92" r:id="rId55" display="Learn more"/>
    <hyperlink ref="H93:J93" r:id="rId56" display="Learn more"/>
    <hyperlink ref="H94:J94" r:id="rId57" display="Learn more"/>
    <hyperlink ref="H95:J95" r:id="rId58" display="Learn more"/>
    <hyperlink ref="H96:J96" r:id="rId59" display="Learn more"/>
    <hyperlink ref="H97:J97" r:id="rId60" display="Learn more"/>
    <hyperlink ref="H98:J98" r:id="rId61" display="Learn more"/>
    <hyperlink ref="H99:J99" r:id="rId62" display="Learn more"/>
    <hyperlink ref="H100:J100" r:id="rId63" display="Learn more"/>
    <hyperlink ref="H101:J101" r:id="rId64" display="Sample communications and resources can be found in the Upgrade End-user Kit"/>
    <hyperlink ref="H102:J102" r:id="rId65" display="Learn more"/>
    <hyperlink ref="H103:J103" r:id="rId66" display="Learn more"/>
    <hyperlink ref="H104:J104" r:id="rId67" display="Learn more"/>
    <hyperlink ref="H105:J105" r:id="rId68" display="Learn more"/>
    <hyperlink ref="H106:J106" r:id="rId69" display="Learn more"/>
    <hyperlink ref="H42:J42" r:id="rId70" display="Learn more"/>
    <hyperlink ref="H41:J41" r:id="rId71" display="Learn more"/>
    <hyperlink ref="H40:J40" r:id="rId72" display="Learn more"/>
    <hyperlink ref="H39" location="learn" display="http://community.office365.com/en-us/wikis/live-at-edu-transition/1110.aspx#learn"/>
    <hyperlink ref="H39:J39" r:id="rId73" display="Learn more"/>
    <hyperlink ref="B8:H8" r:id="rId74" display="You can always find detailed information on how to plan and manage your upgrade to Office 365 for education at Upgrade help"/>
    <hyperlink ref="H56:J56" r:id="rId75" display="Weitere Informationen"/>
  </hyperlinks>
  <pageMargins left="0.7" right="0.7" top="0.54104166666666698" bottom="0.75" header="0.3" footer="0.3"/>
  <pageSetup scale="50" fitToHeight="0" orientation="portrait" r:id="rId76"/>
  <headerFooter>
    <oddHeader>&amp;L&amp;11&amp;"Segoe UI,Regular"&amp;K01+000Workback-Zeitplan Live@edu auf Office 365 (Zeiplan ausgehend vom Endprodukt bis zum Beginn des Projekts)&amp;R&amp;11&amp;"Calibri,Regular"&amp;K01+0004-Wochen-Plan</oddHeader>
    <oddFooter>&amp;C&amp;11&amp;"Calibri,Regular"&amp;K01+000&amp;P von &amp;N</oddFooter>
  </headerFooter>
  <rowBreaks count="2" manualBreakCount="2">
    <brk id="44" max="10" man="1"/>
    <brk id="72" max="16383" man="1"/>
  </rowBreaks>
  <drawing r:id="rId77"/>
  <legacyDrawing r:id="rId78"/>
  <mc:AlternateContent xmlns:mc="http://schemas.openxmlformats.org/markup-compatibility/2006">
    <mc:Choice Requires="x14">
      <controls>
        <mc:AlternateContent xmlns:mc="http://schemas.openxmlformats.org/markup-compatibility/2006">
          <mc:Choice Requires="x14">
            <control shapeId="2050" r:id="rId79" name="Check Box 2">
              <controlPr defaultSize="0" autoFill="0" autoLine="0" autoPict="0" altText="ADFS">
                <anchor moveWithCells="1">
                  <from>
                    <xdr:col>7</xdr:col>
                    <xdr:colOff>200025</xdr:colOff>
                    <xdr:row>12</xdr:row>
                    <xdr:rowOff>228600</xdr:rowOff>
                  </from>
                  <to>
                    <xdr:col>7</xdr:col>
                    <xdr:colOff>2305050</xdr:colOff>
                    <xdr:row>12</xdr:row>
                    <xdr:rowOff>447675</xdr:rowOff>
                  </to>
                </anchor>
              </controlPr>
            </control>
          </mc:Choice>
        </mc:AlternateContent>
        <mc:AlternateContent xmlns:mc="http://schemas.openxmlformats.org/markup-compatibility/2006">
          <mc:Choice Requires="x14">
            <control shapeId="2057" r:id="rId80" name="Check Box 9">
              <controlPr defaultSize="0" autoFill="0" autoLine="0" autoPict="0">
                <anchor moveWithCells="1">
                  <from>
                    <xdr:col>7</xdr:col>
                    <xdr:colOff>200025</xdr:colOff>
                    <xdr:row>26</xdr:row>
                    <xdr:rowOff>47625</xdr:rowOff>
                  </from>
                  <to>
                    <xdr:col>7</xdr:col>
                    <xdr:colOff>2390775</xdr:colOff>
                    <xdr:row>26</xdr:row>
                    <xdr:rowOff>266700</xdr:rowOff>
                  </to>
                </anchor>
              </controlPr>
            </control>
          </mc:Choice>
        </mc:AlternateContent>
        <mc:AlternateContent xmlns:mc="http://schemas.openxmlformats.org/markup-compatibility/2006">
          <mc:Choice Requires="x14">
            <control shapeId="2058" r:id="rId81" name="Check Box 10">
              <controlPr defaultSize="0" autoFill="0" autoLine="0" autoPict="0">
                <anchor moveWithCells="1">
                  <from>
                    <xdr:col>7</xdr:col>
                    <xdr:colOff>200025</xdr:colOff>
                    <xdr:row>28</xdr:row>
                    <xdr:rowOff>123825</xdr:rowOff>
                  </from>
                  <to>
                    <xdr:col>7</xdr:col>
                    <xdr:colOff>2390775</xdr:colOff>
                    <xdr:row>28</xdr:row>
                    <xdr:rowOff>342900</xdr:rowOff>
                  </to>
                </anchor>
              </controlPr>
            </control>
          </mc:Choice>
        </mc:AlternateContent>
        <mc:AlternateContent xmlns:mc="http://schemas.openxmlformats.org/markup-compatibility/2006">
          <mc:Choice Requires="x14">
            <control shapeId="2059" r:id="rId82" name="Check Box 11">
              <controlPr defaultSize="0" autoFill="0" autoLine="0" autoPict="0">
                <anchor moveWithCells="1">
                  <from>
                    <xdr:col>7</xdr:col>
                    <xdr:colOff>200025</xdr:colOff>
                    <xdr:row>34</xdr:row>
                    <xdr:rowOff>57150</xdr:rowOff>
                  </from>
                  <to>
                    <xdr:col>7</xdr:col>
                    <xdr:colOff>2390775</xdr:colOff>
                    <xdr:row>34</xdr:row>
                    <xdr:rowOff>276225</xdr:rowOff>
                  </to>
                </anchor>
              </controlPr>
            </control>
          </mc:Choice>
        </mc:AlternateContent>
        <mc:AlternateContent xmlns:mc="http://schemas.openxmlformats.org/markup-compatibility/2006">
          <mc:Choice Requires="x14">
            <control shapeId="2061" r:id="rId83" name="Check Box 13">
              <controlPr defaultSize="0" autoFill="0" autoLine="0" autoPict="0">
                <anchor moveWithCells="1">
                  <from>
                    <xdr:col>7</xdr:col>
                    <xdr:colOff>200025</xdr:colOff>
                    <xdr:row>18</xdr:row>
                    <xdr:rowOff>38100</xdr:rowOff>
                  </from>
                  <to>
                    <xdr:col>7</xdr:col>
                    <xdr:colOff>2390775</xdr:colOff>
                    <xdr:row>18</xdr:row>
                    <xdr:rowOff>257175</xdr:rowOff>
                  </to>
                </anchor>
              </controlPr>
            </control>
          </mc:Choice>
        </mc:AlternateContent>
        <mc:AlternateContent xmlns:mc="http://schemas.openxmlformats.org/markup-compatibility/2006">
          <mc:Choice Requires="x14">
            <control shapeId="2062" r:id="rId84" name="Check Box 14">
              <controlPr defaultSize="0" autoFill="0" autoLine="0" autoPict="0">
                <anchor moveWithCells="1">
                  <from>
                    <xdr:col>7</xdr:col>
                    <xdr:colOff>200025</xdr:colOff>
                    <xdr:row>19</xdr:row>
                    <xdr:rowOff>47625</xdr:rowOff>
                  </from>
                  <to>
                    <xdr:col>7</xdr:col>
                    <xdr:colOff>2390775</xdr:colOff>
                    <xdr:row>19</xdr:row>
                    <xdr:rowOff>266700</xdr:rowOff>
                  </to>
                </anchor>
              </controlPr>
            </control>
          </mc:Choice>
        </mc:AlternateContent>
        <mc:AlternateContent xmlns:mc="http://schemas.openxmlformats.org/markup-compatibility/2006">
          <mc:Choice Requires="x14">
            <control shapeId="2063" r:id="rId85" name="Check Box 15">
              <controlPr defaultSize="0" autoFill="0" autoLine="0" autoPict="0">
                <anchor moveWithCells="1">
                  <from>
                    <xdr:col>7</xdr:col>
                    <xdr:colOff>200025</xdr:colOff>
                    <xdr:row>20</xdr:row>
                    <xdr:rowOff>76200</xdr:rowOff>
                  </from>
                  <to>
                    <xdr:col>7</xdr:col>
                    <xdr:colOff>2390775</xdr:colOff>
                    <xdr:row>20</xdr:row>
                    <xdr:rowOff>295275</xdr:rowOff>
                  </to>
                </anchor>
              </controlPr>
            </control>
          </mc:Choice>
        </mc:AlternateContent>
        <mc:AlternateContent xmlns:mc="http://schemas.openxmlformats.org/markup-compatibility/2006">
          <mc:Choice Requires="x14">
            <control shapeId="2064" r:id="rId86" name="Check Box 16">
              <controlPr defaultSize="0" autoFill="0" autoLine="0" autoPict="0">
                <anchor moveWithCells="1">
                  <from>
                    <xdr:col>7</xdr:col>
                    <xdr:colOff>200025</xdr:colOff>
                    <xdr:row>21</xdr:row>
                    <xdr:rowOff>66675</xdr:rowOff>
                  </from>
                  <to>
                    <xdr:col>7</xdr:col>
                    <xdr:colOff>2390775</xdr:colOff>
                    <xdr:row>21</xdr:row>
                    <xdr:rowOff>285750</xdr:rowOff>
                  </to>
                </anchor>
              </controlPr>
            </control>
          </mc:Choice>
        </mc:AlternateContent>
        <mc:AlternateContent xmlns:mc="http://schemas.openxmlformats.org/markup-compatibility/2006">
          <mc:Choice Requires="x14">
            <control shapeId="2065" r:id="rId87" name="Check Box 17">
              <controlPr defaultSize="0" autoFill="0" autoLine="0" autoPict="0">
                <anchor moveWithCells="1">
                  <from>
                    <xdr:col>7</xdr:col>
                    <xdr:colOff>200025</xdr:colOff>
                    <xdr:row>24</xdr:row>
                    <xdr:rowOff>47625</xdr:rowOff>
                  </from>
                  <to>
                    <xdr:col>7</xdr:col>
                    <xdr:colOff>2390775</xdr:colOff>
                    <xdr:row>24</xdr:row>
                    <xdr:rowOff>266700</xdr:rowOff>
                  </to>
                </anchor>
              </controlPr>
            </control>
          </mc:Choice>
        </mc:AlternateContent>
        <mc:AlternateContent xmlns:mc="http://schemas.openxmlformats.org/markup-compatibility/2006">
          <mc:Choice Requires="x14">
            <control shapeId="2066" r:id="rId88" name="Check Box 18">
              <controlPr defaultSize="0" autoFill="0" autoLine="0" autoPict="0" altText="Shibboleth">
                <anchor moveWithCells="1">
                  <from>
                    <xdr:col>7</xdr:col>
                    <xdr:colOff>200025</xdr:colOff>
                    <xdr:row>13</xdr:row>
                    <xdr:rowOff>171450</xdr:rowOff>
                  </from>
                  <to>
                    <xdr:col>7</xdr:col>
                    <xdr:colOff>2305050</xdr:colOff>
                    <xdr:row>13</xdr:row>
                    <xdr:rowOff>390525</xdr:rowOff>
                  </to>
                </anchor>
              </controlPr>
            </control>
          </mc:Choice>
        </mc:AlternateContent>
        <mc:AlternateContent xmlns:mc="http://schemas.openxmlformats.org/markup-compatibility/2006">
          <mc:Choice Requires="x14">
            <control shapeId="2067" r:id="rId89" name="Check Box 19">
              <controlPr defaultSize="0" autoFill="0" autoLine="0" autoPict="0" altText="Add Federation">
                <anchor moveWithCells="1">
                  <from>
                    <xdr:col>7</xdr:col>
                    <xdr:colOff>200025</xdr:colOff>
                    <xdr:row>15</xdr:row>
                    <xdr:rowOff>219075</xdr:rowOff>
                  </from>
                  <to>
                    <xdr:col>7</xdr:col>
                    <xdr:colOff>2305050</xdr:colOff>
                    <xdr:row>15</xdr:row>
                    <xdr:rowOff>438150</xdr:rowOff>
                  </to>
                </anchor>
              </controlPr>
            </control>
          </mc:Choice>
        </mc:AlternateContent>
        <mc:AlternateContent xmlns:mc="http://schemas.openxmlformats.org/markup-compatibility/2006">
          <mc:Choice Requires="x14">
            <control shapeId="2068" r:id="rId90" name="Check Box 20">
              <controlPr defaultSize="0" autoFill="0" autoLine="0" autoPict="0">
                <anchor moveWithCells="1">
                  <from>
                    <xdr:col>7</xdr:col>
                    <xdr:colOff>200025</xdr:colOff>
                    <xdr:row>30</xdr:row>
                    <xdr:rowOff>47625</xdr:rowOff>
                  </from>
                  <to>
                    <xdr:col>7</xdr:col>
                    <xdr:colOff>2390775</xdr:colOff>
                    <xdr:row>30</xdr:row>
                    <xdr:rowOff>266700</xdr:rowOff>
                  </to>
                </anchor>
              </controlPr>
            </control>
          </mc:Choice>
        </mc:AlternateContent>
        <mc:AlternateContent xmlns:mc="http://schemas.openxmlformats.org/markup-compatibility/2006">
          <mc:Choice Requires="x14">
            <control shapeId="2069" r:id="rId91" name="Check Box 21">
              <controlPr defaultSize="0" autoFill="0" autoLine="0" autoPict="0">
                <anchor moveWithCells="1">
                  <from>
                    <xdr:col>7</xdr:col>
                    <xdr:colOff>200025</xdr:colOff>
                    <xdr:row>32</xdr:row>
                    <xdr:rowOff>57150</xdr:rowOff>
                  </from>
                  <to>
                    <xdr:col>7</xdr:col>
                    <xdr:colOff>2390775</xdr:colOff>
                    <xdr:row>32</xdr:row>
                    <xdr:rowOff>276225</xdr:rowOff>
                  </to>
                </anchor>
              </controlPr>
            </control>
          </mc:Choice>
        </mc:AlternateContent>
        <mc:AlternateContent xmlns:mc="http://schemas.openxmlformats.org/markup-compatibility/2006">
          <mc:Choice Requires="x14">
            <control shapeId="2075" r:id="rId92" name="Check Box 27">
              <controlPr defaultSize="0" autoFill="0" autoLine="0" autoPict="0">
                <anchor moveWithCells="1">
                  <from>
                    <xdr:col>7</xdr:col>
                    <xdr:colOff>200025</xdr:colOff>
                    <xdr:row>22</xdr:row>
                    <xdr:rowOff>76200</xdr:rowOff>
                  </from>
                  <to>
                    <xdr:col>7</xdr:col>
                    <xdr:colOff>2390775</xdr:colOff>
                    <xdr:row>22</xdr:row>
                    <xdr:rowOff>295275</xdr:rowOff>
                  </to>
                </anchor>
              </controlPr>
            </control>
          </mc:Choice>
        </mc:AlternateContent>
        <mc:AlternateContent xmlns:mc="http://schemas.openxmlformats.org/markup-compatibility/2006">
          <mc:Choice Requires="x14">
            <control shapeId="2076" r:id="rId93" name="Check Box 28">
              <controlPr defaultSize="0" autoFill="0" autoLine="0" autoPict="0" altText="Add Federation">
                <anchor moveWithCells="1">
                  <from>
                    <xdr:col>7</xdr:col>
                    <xdr:colOff>200025</xdr:colOff>
                    <xdr:row>14</xdr:row>
                    <xdr:rowOff>219075</xdr:rowOff>
                  </from>
                  <to>
                    <xdr:col>7</xdr:col>
                    <xdr:colOff>2305050</xdr:colOff>
                    <xdr:row>14</xdr:row>
                    <xdr:rowOff>438150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Anweisungen</vt:lpstr>
      <vt:lpstr>4-Wochen-Plan</vt:lpstr>
      <vt:lpstr>'4-Wochen-Plan'!Print_Area</vt:lpstr>
      <vt:lpstr>Anweisungen!Print_Area</vt:lpstr>
      <vt:lpstr>'4-Wochen-Plan'!Print_Titles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2012-10-12T21:53:05Z</dcterms:created>
  <dcterms:modified xsi:type="dcterms:W3CDTF">2013-01-29T18:00:05Z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