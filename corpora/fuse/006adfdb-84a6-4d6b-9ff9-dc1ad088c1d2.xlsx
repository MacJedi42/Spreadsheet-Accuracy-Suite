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5" i="1" l="1"/>
  <c r="D35" i="1"/>
  <c r="D44" i="1" s="1"/>
  <c r="H50" i="1" l="1"/>
  <c r="J21" i="1"/>
  <c r="N50" i="1" l="1"/>
  <c r="D61" i="1" s="1"/>
  <c r="H61" i="1" s="1"/>
  <c r="K61" i="1" l="1"/>
  <c r="K62" i="1" s="1"/>
  <c r="O21" i="1" l="1"/>
  <c r="D47" i="1" l="1"/>
  <c r="J22" i="1" s="1"/>
  <c r="J25" i="1" s="1"/>
  <c r="B47" i="1"/>
  <c r="H47" i="1" s="1"/>
  <c r="H51" i="1"/>
  <c r="K21" i="1"/>
  <c r="N51" i="1"/>
  <c r="K22" i="1" l="1"/>
  <c r="K25" i="1" s="1"/>
  <c r="H44" i="1"/>
  <c r="L21" i="1"/>
  <c r="N47" i="1"/>
  <c r="N44" i="1" s="1"/>
  <c r="D58" i="1" l="1"/>
  <c r="M21" i="1"/>
  <c r="D62" i="1"/>
  <c r="L22" i="1"/>
  <c r="H62" i="1" l="1"/>
  <c r="H58" i="1"/>
  <c r="K58" i="1" s="1"/>
  <c r="N21" i="1"/>
  <c r="P21" i="1" s="1"/>
  <c r="L25" i="1"/>
  <c r="M22" i="1"/>
  <c r="M25" i="1" s="1"/>
  <c r="D55" i="1"/>
  <c r="O22" i="1" l="1"/>
  <c r="K55" i="1"/>
  <c r="N22" i="1"/>
  <c r="H55" i="1"/>
  <c r="P22" i="1" l="1"/>
  <c r="O25" i="1"/>
  <c r="N25" i="1"/>
  <c r="E23" i="1" l="1"/>
  <c r="D23" i="1"/>
  <c r="D39" i="1" s="1"/>
  <c r="P25" i="1"/>
  <c r="K41" i="1" l="1"/>
  <c r="E39" i="1"/>
  <c r="E41" i="1" s="1"/>
  <c r="E27" i="1" l="1"/>
  <c r="D45" i="1"/>
  <c r="D41" i="1"/>
  <c r="B48" i="1" l="1"/>
  <c r="H48" i="1" s="1"/>
  <c r="D48" i="1"/>
  <c r="J23" i="1" s="1"/>
  <c r="H45" i="1" l="1"/>
  <c r="K23" i="1"/>
  <c r="N48" i="1"/>
  <c r="N45" i="1" l="1"/>
  <c r="L23" i="1"/>
  <c r="D59" i="1"/>
  <c r="M23" i="1" l="1"/>
  <c r="D56" i="1"/>
  <c r="H59" i="1"/>
  <c r="K59" i="1" l="1"/>
  <c r="N23" i="1"/>
  <c r="H56" i="1"/>
  <c r="O23" i="1" l="1"/>
  <c r="P23" i="1" s="1"/>
  <c r="D27" i="1" s="1"/>
  <c r="K56" i="1"/>
  <c r="E29" i="1" l="1"/>
  <c r="D29" i="1"/>
  <c r="K40" i="1"/>
</calcChain>
</file>

<file path=xl/sharedStrings.xml><?xml version="1.0" encoding="utf-8"?>
<sst xmlns="http://schemas.openxmlformats.org/spreadsheetml/2006/main" count="83" uniqueCount="56">
  <si>
    <t>Fringe</t>
  </si>
  <si>
    <t>Salary</t>
  </si>
  <si>
    <t>Number of UI Contract Months  Academic = 9                          Calendar = 12</t>
  </si>
  <si>
    <t>RESULTS</t>
  </si>
  <si>
    <t>ENTER INFO</t>
  </si>
  <si>
    <t>APM 45.22 Calculator</t>
  </si>
  <si>
    <t>Total needed for Project</t>
  </si>
  <si>
    <t>PI 2% Direct Charged Effort</t>
  </si>
  <si>
    <t>*Summer Fringe</t>
  </si>
  <si>
    <t>* Please note - summer fringe can be applied only if work represented by the 2% effort will be taking place during the summer months.</t>
  </si>
  <si>
    <t>Academic  or  Calendar      fringe</t>
  </si>
  <si>
    <t>1 month Salary</t>
  </si>
  <si>
    <t>1 month Fringe</t>
  </si>
  <si>
    <t>1st year salary</t>
  </si>
  <si>
    <t>1st year fringe</t>
  </si>
  <si>
    <t>Academic/Calendar</t>
  </si>
  <si>
    <t>2nd year salary</t>
  </si>
  <si>
    <t>2nd year fringe</t>
  </si>
  <si>
    <t>1 month salary</t>
  </si>
  <si>
    <t>1 month fringe</t>
  </si>
  <si>
    <t>3rd year salary</t>
  </si>
  <si>
    <t>4th year fringe</t>
  </si>
  <si>
    <t>3rd year fringe</t>
  </si>
  <si>
    <t>Year 2</t>
  </si>
  <si>
    <t>Year 3</t>
  </si>
  <si>
    <t>Year 1</t>
  </si>
  <si>
    <t>Year 4</t>
  </si>
  <si>
    <t>Year 5</t>
  </si>
  <si>
    <t>Months in year 2</t>
  </si>
  <si>
    <t>Months after year 2</t>
  </si>
  <si>
    <t>Months after year 3</t>
  </si>
  <si>
    <t>Months in year 3</t>
  </si>
  <si>
    <t>Months in year 5</t>
  </si>
  <si>
    <t>Months after year 5</t>
  </si>
  <si>
    <t>4th year salary</t>
  </si>
  <si>
    <t>5th year salary</t>
  </si>
  <si>
    <t>5th year fringe</t>
  </si>
  <si>
    <t>Totals</t>
  </si>
  <si>
    <t>Months</t>
  </si>
  <si>
    <t>Summer Fringe</t>
  </si>
  <si>
    <t>12 m. base</t>
  </si>
  <si>
    <t>Sal+ Sumr F</t>
  </si>
  <si>
    <t>Total</t>
  </si>
  <si>
    <t>Sal + Acad F</t>
  </si>
  <si>
    <t>Must Enter</t>
  </si>
  <si>
    <t xml:space="preserve">     % of salary increase per year</t>
  </si>
  <si>
    <t>Year 6</t>
  </si>
  <si>
    <t>Months in year 6</t>
  </si>
  <si>
    <t>6th year fringe</t>
  </si>
  <si>
    <t>6th year salary</t>
  </si>
  <si>
    <t xml:space="preserve">     # of months in first fiscal year of project</t>
  </si>
  <si>
    <t>TOTALS FOR PROJECT</t>
  </si>
  <si>
    <t>Please enter the requested information into the top half of the calculators.  Results will appear in the bottom half of each calculator.</t>
  </si>
  <si>
    <t>60 Month Salary Escalation Calculator*</t>
  </si>
  <si>
    <r>
      <t xml:space="preserve">Number of Months of Project           </t>
    </r>
    <r>
      <rPr>
        <b/>
        <sz val="9"/>
        <color theme="1"/>
        <rFont val="Calibri"/>
        <family val="2"/>
        <scheme val="minor"/>
      </rPr>
      <t xml:space="preserve"> Weeks as a decimal                                  1 week = 0.25                                                        2  weeks = 0.50                                                   3 weeks = 0.75</t>
    </r>
  </si>
  <si>
    <t xml:space="preserve">*Please note - escalation calculator will not produce results unless values are entered for # of fiscal months or % increase per year.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</si>
</sst>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&quot;$&quot;#,##0;[Red]&quot;$&quot;#,##0"/>
    <numFmt numFmtId="165" formatCode="&quot;$&quot;#,##0"/>
    <numFmt numFmtId="166" formatCode="0.000"/>
    <numFmt numFmtId="167" formatCode="&quot;$&quot;#,##0.00;[Red]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/>
      <top style="thick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 style="thick">
        <color auto="1"/>
      </bottom>
      <diagonal/>
    </border>
    <border>
      <left style="dashed">
        <color auto="1"/>
      </left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81">
    <xf numFmtId="0" fontId="0" fillId="0" borderId="0" xfId="0"/>
    <xf numFmtId="164" fontId="1" fillId="2" borderId="5" xfId="0" applyNumberFormat="1" applyFont="1" applyFill="1" applyBorder="1"/>
    <xf numFmtId="1" fontId="1" fillId="3" borderId="5" xfId="0" applyNumberFormat="1" applyFont="1" applyFill="1" applyBorder="1"/>
    <xf numFmtId="0" fontId="0" fillId="7" borderId="0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5" xfId="0" applyFill="1" applyBorder="1"/>
    <xf numFmtId="0" fontId="1" fillId="7" borderId="4" xfId="0" applyFont="1" applyFill="1" applyBorder="1" applyAlignment="1">
      <alignment horizontal="center" vertical="center"/>
    </xf>
    <xf numFmtId="0" fontId="0" fillId="7" borderId="14" xfId="0" applyFill="1" applyBorder="1"/>
    <xf numFmtId="0" fontId="0" fillId="0" borderId="0" xfId="0" applyAlignment="1"/>
    <xf numFmtId="0" fontId="1" fillId="6" borderId="7" xfId="0" applyFont="1" applyFill="1" applyBorder="1" applyAlignment="1">
      <alignment horizontal="center" vertical="center"/>
    </xf>
    <xf numFmtId="165" fontId="1" fillId="8" borderId="16" xfId="0" applyNumberFormat="1" applyFont="1" applyFill="1" applyBorder="1" applyProtection="1"/>
    <xf numFmtId="164" fontId="1" fillId="5" borderId="16" xfId="0" applyNumberFormat="1" applyFont="1" applyFill="1" applyBorder="1"/>
    <xf numFmtId="0" fontId="1" fillId="4" borderId="16" xfId="0" applyFont="1" applyFill="1" applyBorder="1"/>
    <xf numFmtId="0" fontId="0" fillId="0" borderId="0" xfId="0" applyAlignment="1">
      <alignment horizontal="center"/>
    </xf>
    <xf numFmtId="0" fontId="0" fillId="7" borderId="0" xfId="0" applyFill="1"/>
    <xf numFmtId="0" fontId="0" fillId="7" borderId="13" xfId="0" applyFill="1" applyBorder="1" applyAlignment="1"/>
    <xf numFmtId="0" fontId="0" fillId="7" borderId="6" xfId="0" applyFill="1" applyBorder="1"/>
    <xf numFmtId="164" fontId="1" fillId="9" borderId="16" xfId="0" applyNumberFormat="1" applyFont="1" applyFill="1" applyBorder="1"/>
    <xf numFmtId="164" fontId="1" fillId="10" borderId="16" xfId="0" applyNumberFormat="1" applyFont="1" applyFill="1" applyBorder="1"/>
    <xf numFmtId="165" fontId="1" fillId="11" borderId="5" xfId="0" applyNumberFormat="1" applyFont="1" applyFill="1" applyBorder="1"/>
    <xf numFmtId="2" fontId="0" fillId="0" borderId="0" xfId="0" applyNumberFormat="1"/>
    <xf numFmtId="44" fontId="0" fillId="0" borderId="0" xfId="1" applyFont="1"/>
    <xf numFmtId="2" fontId="0" fillId="0" borderId="0" xfId="1" applyNumberFormat="1" applyFont="1"/>
    <xf numFmtId="0" fontId="0" fillId="0" borderId="34" xfId="0" applyBorder="1"/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44" fontId="0" fillId="7" borderId="29" xfId="1" applyFont="1" applyFill="1" applyBorder="1"/>
    <xf numFmtId="44" fontId="0" fillId="7" borderId="31" xfId="1" applyFont="1" applyFill="1" applyBorder="1" applyAlignment="1">
      <alignment horizontal="center"/>
    </xf>
    <xf numFmtId="44" fontId="0" fillId="7" borderId="32" xfId="1" applyFont="1" applyFill="1" applyBorder="1"/>
    <xf numFmtId="44" fontId="0" fillId="7" borderId="33" xfId="1" applyFont="1" applyFill="1" applyBorder="1" applyAlignment="1">
      <alignment horizontal="center"/>
    </xf>
    <xf numFmtId="44" fontId="0" fillId="7" borderId="30" xfId="1" applyFont="1" applyFill="1" applyBorder="1"/>
    <xf numFmtId="44" fontId="0" fillId="7" borderId="0" xfId="1" applyFont="1" applyFill="1" applyBorder="1"/>
    <xf numFmtId="0" fontId="0" fillId="7" borderId="31" xfId="1" applyNumberFormat="1" applyFont="1" applyFill="1" applyBorder="1" applyAlignment="1">
      <alignment horizontal="center"/>
    </xf>
    <xf numFmtId="0" fontId="0" fillId="7" borderId="33" xfId="1" applyNumberFormat="1" applyFont="1" applyFill="1" applyBorder="1" applyAlignment="1">
      <alignment horizontal="center"/>
    </xf>
    <xf numFmtId="2" fontId="0" fillId="7" borderId="32" xfId="1" applyNumberFormat="1" applyFont="1" applyFill="1" applyBorder="1"/>
    <xf numFmtId="2" fontId="0" fillId="7" borderId="33" xfId="1" applyNumberFormat="1" applyFont="1" applyFill="1" applyBorder="1" applyAlignment="1">
      <alignment horizontal="center"/>
    </xf>
    <xf numFmtId="2" fontId="0" fillId="7" borderId="34" xfId="1" applyNumberFormat="1" applyFont="1" applyFill="1" applyBorder="1"/>
    <xf numFmtId="2" fontId="0" fillId="7" borderId="36" xfId="1" applyNumberFormat="1" applyFont="1" applyFill="1" applyBorder="1" applyAlignment="1">
      <alignment horizontal="center"/>
    </xf>
    <xf numFmtId="2" fontId="0" fillId="7" borderId="0" xfId="1" applyNumberFormat="1" applyFont="1" applyFill="1" applyBorder="1"/>
    <xf numFmtId="2" fontId="0" fillId="7" borderId="35" xfId="1" applyNumberFormat="1" applyFont="1" applyFill="1" applyBorder="1"/>
    <xf numFmtId="2" fontId="0" fillId="7" borderId="33" xfId="0" applyNumberFormat="1" applyFill="1" applyBorder="1" applyAlignment="1">
      <alignment horizontal="center"/>
    </xf>
    <xf numFmtId="2" fontId="0" fillId="7" borderId="36" xfId="0" applyNumberFormat="1" applyFill="1" applyBorder="1" applyAlignment="1">
      <alignment horizontal="center"/>
    </xf>
    <xf numFmtId="44" fontId="0" fillId="12" borderId="32" xfId="1" applyFont="1" applyFill="1" applyBorder="1" applyAlignment="1">
      <alignment horizontal="center"/>
    </xf>
    <xf numFmtId="44" fontId="0" fillId="12" borderId="34" xfId="1" applyFont="1" applyFill="1" applyBorder="1" applyAlignment="1">
      <alignment horizontal="center"/>
    </xf>
    <xf numFmtId="0" fontId="7" fillId="12" borderId="37" xfId="0" applyFont="1" applyFill="1" applyBorder="1" applyAlignment="1">
      <alignment horizontal="center"/>
    </xf>
    <xf numFmtId="44" fontId="1" fillId="12" borderId="31" xfId="1" applyFont="1" applyFill="1" applyBorder="1" applyAlignment="1">
      <alignment horizontal="center"/>
    </xf>
    <xf numFmtId="44" fontId="1" fillId="12" borderId="36" xfId="1" applyFont="1" applyFill="1" applyBorder="1" applyAlignment="1">
      <alignment horizontal="center"/>
    </xf>
    <xf numFmtId="2" fontId="8" fillId="0" borderId="0" xfId="0" applyNumberFormat="1" applyFont="1"/>
    <xf numFmtId="0" fontId="0" fillId="0" borderId="0" xfId="0" applyBorder="1" applyAlignment="1">
      <alignment wrapText="1"/>
    </xf>
    <xf numFmtId="9" fontId="1" fillId="5" borderId="5" xfId="2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2" fontId="0" fillId="10" borderId="38" xfId="0" applyNumberFormat="1" applyFill="1" applyBorder="1" applyAlignment="1">
      <alignment horizontal="center"/>
    </xf>
    <xf numFmtId="2" fontId="0" fillId="7" borderId="38" xfId="0" applyNumberFormat="1" applyFill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13" borderId="29" xfId="0" applyFill="1" applyBorder="1"/>
    <xf numFmtId="44" fontId="0" fillId="13" borderId="32" xfId="0" applyNumberFormat="1" applyFill="1" applyBorder="1"/>
    <xf numFmtId="44" fontId="0" fillId="13" borderId="34" xfId="0" applyNumberFormat="1" applyFill="1" applyBorder="1"/>
    <xf numFmtId="0" fontId="0" fillId="0" borderId="10" xfId="0" applyFill="1" applyBorder="1" applyAlignment="1">
      <alignment wrapText="1"/>
    </xf>
    <xf numFmtId="0" fontId="0" fillId="0" borderId="10" xfId="0" applyFill="1" applyBorder="1"/>
    <xf numFmtId="44" fontId="0" fillId="0" borderId="0" xfId="1" applyFont="1" applyFill="1" applyBorder="1" applyAlignment="1">
      <alignment horizontal="center"/>
    </xf>
    <xf numFmtId="44" fontId="0" fillId="0" borderId="0" xfId="1" applyFont="1" applyFill="1" applyBorder="1"/>
    <xf numFmtId="2" fontId="0" fillId="0" borderId="0" xfId="1" applyNumberFormat="1" applyFont="1" applyFill="1" applyBorder="1"/>
    <xf numFmtId="2" fontId="0" fillId="0" borderId="0" xfId="1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0" fontId="0" fillId="0" borderId="0" xfId="0" applyFill="1"/>
    <xf numFmtId="167" fontId="1" fillId="5" borderId="39" xfId="0" applyNumberFormat="1" applyFont="1" applyFill="1" applyBorder="1" applyAlignment="1"/>
    <xf numFmtId="167" fontId="1" fillId="5" borderId="40" xfId="0" applyNumberFormat="1" applyFont="1" applyFill="1" applyBorder="1" applyAlignment="1"/>
    <xf numFmtId="0" fontId="1" fillId="4" borderId="39" xfId="0" applyFont="1" applyFill="1" applyBorder="1" applyAlignment="1">
      <alignment horizontal="left"/>
    </xf>
    <xf numFmtId="0" fontId="1" fillId="4" borderId="40" xfId="0" applyFont="1" applyFill="1" applyBorder="1" applyAlignment="1">
      <alignment horizontal="left"/>
    </xf>
    <xf numFmtId="2" fontId="1" fillId="4" borderId="41" xfId="1" applyNumberFormat="1" applyFont="1" applyFill="1" applyBorder="1" applyAlignment="1">
      <alignment horizontal="center"/>
    </xf>
    <xf numFmtId="2" fontId="6" fillId="7" borderId="0" xfId="1" applyNumberFormat="1" applyFont="1" applyFill="1" applyBorder="1"/>
    <xf numFmtId="2" fontId="6" fillId="7" borderId="0" xfId="0" applyNumberFormat="1" applyFont="1" applyFill="1" applyBorder="1"/>
    <xf numFmtId="0" fontId="1" fillId="7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1" fillId="7" borderId="0" xfId="0" applyFont="1" applyFill="1" applyBorder="1" applyAlignment="1"/>
    <xf numFmtId="0" fontId="0" fillId="0" borderId="0" xfId="0" applyFill="1" applyAlignment="1"/>
    <xf numFmtId="2" fontId="1" fillId="2" borderId="38" xfId="0" applyNumberFormat="1" applyFont="1" applyFill="1" applyBorder="1"/>
    <xf numFmtId="2" fontId="1" fillId="4" borderId="38" xfId="0" applyNumberFormat="1" applyFont="1" applyFill="1" applyBorder="1" applyAlignment="1">
      <alignment horizontal="center"/>
    </xf>
    <xf numFmtId="44" fontId="1" fillId="8" borderId="38" xfId="1" applyFont="1" applyFill="1" applyBorder="1" applyAlignment="1">
      <alignment horizontal="center"/>
    </xf>
    <xf numFmtId="44" fontId="1" fillId="9" borderId="38" xfId="1" applyFont="1" applyFill="1" applyBorder="1" applyAlignment="1">
      <alignment horizontal="center"/>
    </xf>
    <xf numFmtId="44" fontId="1" fillId="10" borderId="38" xfId="1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2" fontId="1" fillId="2" borderId="7" xfId="0" applyNumberFormat="1" applyFont="1" applyFill="1" applyBorder="1"/>
    <xf numFmtId="2" fontId="1" fillId="4" borderId="7" xfId="0" applyNumberFormat="1" applyFont="1" applyFill="1" applyBorder="1" applyAlignment="1">
      <alignment horizontal="center"/>
    </xf>
    <xf numFmtId="44" fontId="1" fillId="8" borderId="7" xfId="1" applyFont="1" applyFill="1" applyBorder="1" applyAlignment="1">
      <alignment horizontal="center"/>
    </xf>
    <xf numFmtId="44" fontId="1" fillId="9" borderId="7" xfId="1" applyFon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44" fontId="0" fillId="0" borderId="0" xfId="0" applyNumberFormat="1" applyFill="1" applyBorder="1"/>
    <xf numFmtId="44" fontId="0" fillId="0" borderId="0" xfId="0" applyNumberFormat="1"/>
    <xf numFmtId="0" fontId="0" fillId="0" borderId="0" xfId="0" applyBorder="1" applyAlignment="1"/>
    <xf numFmtId="0" fontId="1" fillId="0" borderId="0" xfId="0" applyFont="1" applyBorder="1" applyAlignment="1">
      <alignment wrapText="1"/>
    </xf>
    <xf numFmtId="0" fontId="0" fillId="7" borderId="9" xfId="0" applyFill="1" applyBorder="1" applyAlignment="1"/>
    <xf numFmtId="0" fontId="0" fillId="7" borderId="12" xfId="0" applyFill="1" applyBorder="1" applyAlignment="1"/>
    <xf numFmtId="0" fontId="0" fillId="0" borderId="0" xfId="0" applyFill="1" applyBorder="1" applyAlignment="1"/>
    <xf numFmtId="0" fontId="0" fillId="7" borderId="11" xfId="0" applyFill="1" applyBorder="1"/>
    <xf numFmtId="44" fontId="0" fillId="2" borderId="38" xfId="1" applyFont="1" applyFill="1" applyBorder="1"/>
    <xf numFmtId="44" fontId="1" fillId="4" borderId="38" xfId="1" applyFont="1" applyFill="1" applyBorder="1"/>
    <xf numFmtId="44" fontId="1" fillId="8" borderId="38" xfId="1" applyFont="1" applyFill="1" applyBorder="1"/>
    <xf numFmtId="44" fontId="1" fillId="9" borderId="38" xfId="1" applyFont="1" applyFill="1" applyBorder="1"/>
    <xf numFmtId="2" fontId="1" fillId="10" borderId="38" xfId="0" applyNumberFormat="1" applyFont="1" applyFill="1" applyBorder="1"/>
    <xf numFmtId="166" fontId="1" fillId="10" borderId="38" xfId="0" applyNumberFormat="1" applyFont="1" applyFill="1" applyBorder="1"/>
    <xf numFmtId="0" fontId="1" fillId="4" borderId="7" xfId="0" applyFont="1" applyFill="1" applyBorder="1" applyAlignment="1">
      <alignment horizontal="left"/>
    </xf>
    <xf numFmtId="167" fontId="1" fillId="5" borderId="7" xfId="0" applyNumberFormat="1" applyFont="1" applyFill="1" applyBorder="1" applyAlignment="1"/>
    <xf numFmtId="0" fontId="1" fillId="7" borderId="0" xfId="0" applyFont="1" applyFill="1" applyBorder="1" applyAlignment="1">
      <alignment horizontal="center"/>
    </xf>
    <xf numFmtId="0" fontId="0" fillId="7" borderId="42" xfId="0" applyFill="1" applyBorder="1"/>
    <xf numFmtId="0" fontId="0" fillId="7" borderId="43" xfId="0" applyFill="1" applyBorder="1"/>
    <xf numFmtId="0" fontId="1" fillId="8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0" fillId="0" borderId="27" xfId="0" applyBorder="1" applyAlignment="1">
      <alignment wrapText="1"/>
    </xf>
    <xf numFmtId="0" fontId="1" fillId="7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0" borderId="17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2" fillId="7" borderId="9" xfId="0" applyFont="1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13" xfId="0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7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22" xfId="0" applyBorder="1" applyAlignment="1"/>
    <xf numFmtId="0" fontId="3" fillId="7" borderId="12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0" fillId="0" borderId="44" xfId="0" applyFill="1" applyBorder="1"/>
    <xf numFmtId="0" fontId="0" fillId="0" borderId="45" xfId="0" applyFill="1" applyBorder="1"/>
    <xf numFmtId="0" fontId="0" fillId="0" borderId="46" xfId="0" applyFill="1" applyBorder="1"/>
    <xf numFmtId="0" fontId="9" fillId="0" borderId="47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48" xfId="0" applyFill="1" applyBorder="1"/>
    <xf numFmtId="0" fontId="0" fillId="0" borderId="47" xfId="0" applyFill="1" applyBorder="1" applyAlignment="1">
      <alignment horizontal="center"/>
    </xf>
    <xf numFmtId="0" fontId="0" fillId="0" borderId="47" xfId="0" applyFill="1" applyBorder="1"/>
    <xf numFmtId="0" fontId="0" fillId="0" borderId="47" xfId="0" applyFill="1" applyBorder="1" applyAlignment="1">
      <alignment wrapText="1"/>
    </xf>
    <xf numFmtId="0" fontId="0" fillId="0" borderId="0" xfId="0" applyFill="1" applyBorder="1" applyAlignment="1">
      <alignment wrapText="1"/>
    </xf>
    <xf numFmtId="2" fontId="0" fillId="0" borderId="47" xfId="0" applyNumberFormat="1" applyFont="1" applyFill="1" applyBorder="1"/>
    <xf numFmtId="0" fontId="0" fillId="0" borderId="49" xfId="0" applyFill="1" applyBorder="1"/>
    <xf numFmtId="0" fontId="0" fillId="0" borderId="50" xfId="0" applyFill="1" applyBorder="1"/>
    <xf numFmtId="0" fontId="0" fillId="0" borderId="51" xfId="0" applyFill="1" applyBorder="1"/>
    <xf numFmtId="0" fontId="1" fillId="9" borderId="16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1"/>
  <sheetViews>
    <sheetView tabSelected="1" workbookViewId="0">
      <selection activeCell="D78" sqref="D78"/>
    </sheetView>
  </sheetViews>
  <sheetFormatPr defaultRowHeight="15" x14ac:dyDescent="0.25"/>
  <cols>
    <col min="1" max="1" width="1.7109375" customWidth="1"/>
    <col min="2" max="2" width="2.7109375" customWidth="1"/>
    <col min="3" max="3" width="29.5703125" customWidth="1"/>
    <col min="4" max="4" width="17.85546875" customWidth="1"/>
    <col min="5" max="5" width="15.7109375" customWidth="1"/>
    <col min="6" max="8" width="2.7109375" customWidth="1"/>
    <col min="10" max="10" width="14.85546875" customWidth="1"/>
    <col min="11" max="11" width="14.28515625" customWidth="1"/>
    <col min="12" max="12" width="11.85546875" customWidth="1"/>
    <col min="13" max="13" width="11.28515625" customWidth="1"/>
    <col min="14" max="14" width="11.140625" customWidth="1"/>
    <col min="15" max="15" width="10" customWidth="1"/>
    <col min="16" max="16" width="10.42578125" customWidth="1"/>
    <col min="17" max="17" width="2.7109375" customWidth="1"/>
    <col min="18" max="18" width="4.28515625" customWidth="1"/>
    <col min="27" max="27" width="4.85546875" customWidth="1"/>
  </cols>
  <sheetData>
    <row r="1" spans="2:27" ht="5.0999999999999996" customHeight="1" thickBot="1" x14ac:dyDescent="0.3"/>
    <row r="2" spans="2:27" x14ac:dyDescent="0.25">
      <c r="B2" s="125" t="s">
        <v>52</v>
      </c>
      <c r="C2" s="126"/>
      <c r="D2" s="126"/>
      <c r="E2" s="126"/>
      <c r="F2" s="127"/>
      <c r="G2" s="95"/>
      <c r="S2" s="165"/>
      <c r="T2" s="166"/>
      <c r="U2" s="166"/>
      <c r="V2" s="166"/>
      <c r="W2" s="166"/>
      <c r="X2" s="166"/>
      <c r="Y2" s="166"/>
      <c r="Z2" s="166"/>
      <c r="AA2" s="167"/>
    </row>
    <row r="3" spans="2:27" ht="15.75" thickBot="1" x14ac:dyDescent="0.3">
      <c r="B3" s="128"/>
      <c r="C3" s="129"/>
      <c r="D3" s="129"/>
      <c r="E3" s="129"/>
      <c r="F3" s="130"/>
      <c r="G3" s="95"/>
      <c r="S3" s="168"/>
      <c r="T3" s="169"/>
      <c r="U3" s="169"/>
      <c r="V3" s="169"/>
      <c r="W3" s="169"/>
      <c r="X3" s="169"/>
      <c r="Y3" s="169"/>
      <c r="Z3" s="170"/>
      <c r="AA3" s="171"/>
    </row>
    <row r="4" spans="2:27" ht="3" customHeight="1" thickBot="1" x14ac:dyDescent="0.3">
      <c r="S4" s="172"/>
      <c r="T4" s="169"/>
      <c r="U4" s="169"/>
      <c r="V4" s="169"/>
      <c r="W4" s="169"/>
      <c r="X4" s="169"/>
      <c r="Y4" s="169"/>
      <c r="Z4" s="170"/>
      <c r="AA4" s="171"/>
    </row>
    <row r="5" spans="2:27" ht="15.75" customHeight="1" thickTop="1" x14ac:dyDescent="0.25">
      <c r="B5" s="131" t="s">
        <v>5</v>
      </c>
      <c r="C5" s="132"/>
      <c r="D5" s="132"/>
      <c r="E5" s="132"/>
      <c r="F5" s="133"/>
      <c r="G5" s="94"/>
      <c r="H5" s="9"/>
      <c r="I5" s="9"/>
      <c r="J5" s="9"/>
      <c r="S5" s="173"/>
      <c r="T5" s="51"/>
      <c r="U5" s="51"/>
      <c r="V5" s="51"/>
      <c r="W5" s="51"/>
      <c r="X5" s="51"/>
      <c r="Y5" s="51"/>
      <c r="Z5" s="51"/>
      <c r="AA5" s="171"/>
    </row>
    <row r="6" spans="2:27" ht="15" customHeight="1" x14ac:dyDescent="0.25">
      <c r="B6" s="134"/>
      <c r="C6" s="135"/>
      <c r="D6" s="135"/>
      <c r="E6" s="135"/>
      <c r="F6" s="136"/>
      <c r="G6" s="94"/>
      <c r="H6" s="9"/>
      <c r="I6" s="79"/>
      <c r="J6" s="79"/>
      <c r="K6" s="68"/>
      <c r="L6" s="68"/>
      <c r="M6" s="68"/>
      <c r="N6" s="68"/>
      <c r="O6" s="68"/>
      <c r="P6" s="68"/>
      <c r="S6" s="174"/>
      <c r="T6" s="175"/>
      <c r="U6" s="175"/>
      <c r="V6" s="175"/>
      <c r="W6" s="175"/>
      <c r="X6" s="175"/>
      <c r="Y6" s="175"/>
      <c r="Z6" s="175"/>
      <c r="AA6" s="171"/>
    </row>
    <row r="7" spans="2:27" ht="15.75" thickBot="1" x14ac:dyDescent="0.3">
      <c r="B7" s="4"/>
      <c r="C7" s="3"/>
      <c r="D7" s="3"/>
      <c r="E7" s="3"/>
      <c r="F7" s="5"/>
      <c r="G7" s="51"/>
      <c r="H7" s="9"/>
      <c r="I7" s="79"/>
      <c r="J7" s="79"/>
      <c r="K7" s="68"/>
      <c r="L7" s="68"/>
      <c r="M7" s="68"/>
      <c r="N7" s="68"/>
      <c r="O7" s="68"/>
      <c r="P7" s="68"/>
      <c r="S7" s="174"/>
      <c r="T7" s="175"/>
      <c r="U7" s="175"/>
      <c r="V7" s="175"/>
      <c r="W7" s="175"/>
      <c r="X7" s="175"/>
      <c r="Y7" s="175"/>
      <c r="Z7" s="175"/>
      <c r="AA7" s="171"/>
    </row>
    <row r="8" spans="2:27" ht="15.75" thickBot="1" x14ac:dyDescent="0.3">
      <c r="B8" s="4"/>
      <c r="C8" s="3"/>
      <c r="D8" s="10" t="s">
        <v>4</v>
      </c>
      <c r="E8" s="17"/>
      <c r="F8" s="16"/>
      <c r="G8" s="98"/>
      <c r="H8" s="9"/>
      <c r="I8" s="79"/>
      <c r="J8" s="79"/>
      <c r="K8" s="68"/>
      <c r="L8" s="68"/>
      <c r="M8" s="68"/>
      <c r="N8" s="68"/>
      <c r="O8" s="68"/>
      <c r="P8" s="68"/>
      <c r="S8" s="173"/>
      <c r="T8" s="51"/>
      <c r="U8" s="51"/>
      <c r="V8" s="51"/>
      <c r="W8" s="51"/>
      <c r="X8" s="51"/>
      <c r="Y8" s="51"/>
      <c r="Z8" s="51"/>
      <c r="AA8" s="171"/>
    </row>
    <row r="9" spans="2:27" ht="16.5" thickTop="1" thickBot="1" x14ac:dyDescent="0.3">
      <c r="B9" s="4"/>
      <c r="C9" s="137" t="s">
        <v>1</v>
      </c>
      <c r="D9" s="3"/>
      <c r="E9" s="15"/>
      <c r="F9" s="5"/>
      <c r="G9" s="51"/>
      <c r="H9" s="96"/>
      <c r="I9" s="152" t="s">
        <v>53</v>
      </c>
      <c r="J9" s="153"/>
      <c r="K9" s="153"/>
      <c r="L9" s="153"/>
      <c r="M9" s="153"/>
      <c r="N9" s="153"/>
      <c r="O9" s="153"/>
      <c r="P9" s="153"/>
      <c r="Q9" s="99"/>
      <c r="S9" s="173"/>
      <c r="T9" s="51"/>
      <c r="U9" s="51"/>
      <c r="V9" s="51"/>
      <c r="W9" s="51"/>
      <c r="X9" s="51"/>
      <c r="Y9" s="51"/>
      <c r="Z9" s="51"/>
      <c r="AA9" s="171"/>
    </row>
    <row r="10" spans="2:27" ht="16.5" thickTop="1" thickBot="1" x14ac:dyDescent="0.3">
      <c r="B10" s="4"/>
      <c r="C10" s="138"/>
      <c r="D10" s="1">
        <v>0</v>
      </c>
      <c r="E10" s="15"/>
      <c r="F10" s="5"/>
      <c r="G10" s="51"/>
      <c r="H10" s="97"/>
      <c r="I10" s="154"/>
      <c r="J10" s="154"/>
      <c r="K10" s="154"/>
      <c r="L10" s="154"/>
      <c r="M10" s="154"/>
      <c r="N10" s="154"/>
      <c r="O10" s="154"/>
      <c r="P10" s="154"/>
      <c r="Q10" s="5"/>
      <c r="S10" s="173"/>
      <c r="T10" s="51"/>
      <c r="U10" s="51"/>
      <c r="V10" s="51"/>
      <c r="W10" s="51"/>
      <c r="X10" s="51"/>
      <c r="Y10" s="51"/>
      <c r="Z10" s="51"/>
      <c r="AA10" s="171"/>
    </row>
    <row r="11" spans="2:27" ht="16.5" thickTop="1" thickBot="1" x14ac:dyDescent="0.3">
      <c r="B11" s="4"/>
      <c r="C11" s="139"/>
      <c r="D11" s="3"/>
      <c r="E11" s="15"/>
      <c r="F11" s="5"/>
      <c r="G11" s="51"/>
      <c r="H11" s="4"/>
      <c r="I11" s="76"/>
      <c r="J11" s="76"/>
      <c r="K11" s="76"/>
      <c r="L11" s="76"/>
      <c r="M11" s="76"/>
      <c r="N11" s="76"/>
      <c r="O11" s="76"/>
      <c r="P11" s="76"/>
      <c r="Q11" s="5"/>
      <c r="S11" s="173"/>
      <c r="T11" s="51"/>
      <c r="U11" s="51"/>
      <c r="V11" s="51"/>
      <c r="W11" s="51"/>
      <c r="X11" s="51"/>
      <c r="Y11" s="51"/>
      <c r="Z11" s="51"/>
      <c r="AA11" s="171"/>
    </row>
    <row r="12" spans="2:27" ht="15.75" thickBot="1" x14ac:dyDescent="0.3">
      <c r="B12" s="4"/>
      <c r="C12" s="140" t="s">
        <v>2</v>
      </c>
      <c r="D12" s="3"/>
      <c r="E12" s="15"/>
      <c r="F12" s="5"/>
      <c r="G12" s="51"/>
      <c r="H12" s="4"/>
      <c r="I12" s="3"/>
      <c r="J12" s="3"/>
      <c r="K12" s="3"/>
      <c r="L12" s="3"/>
      <c r="M12" s="3"/>
      <c r="N12" s="3"/>
      <c r="O12" s="3"/>
      <c r="P12" s="3"/>
      <c r="Q12" s="5"/>
      <c r="S12" s="173"/>
      <c r="T12" s="51"/>
      <c r="U12" s="51"/>
      <c r="V12" s="51"/>
      <c r="W12" s="51"/>
      <c r="X12" s="51"/>
      <c r="Y12" s="51"/>
      <c r="Z12" s="51"/>
      <c r="AA12" s="171"/>
    </row>
    <row r="13" spans="2:27" ht="16.5" thickTop="1" thickBot="1" x14ac:dyDescent="0.3">
      <c r="B13" s="4"/>
      <c r="C13" s="141"/>
      <c r="D13" s="2">
        <v>0</v>
      </c>
      <c r="E13" s="15"/>
      <c r="F13" s="5"/>
      <c r="G13" s="51"/>
      <c r="H13" s="4"/>
      <c r="I13" s="149" t="s">
        <v>4</v>
      </c>
      <c r="J13" s="150"/>
      <c r="K13" s="3"/>
      <c r="L13" s="3"/>
      <c r="M13" s="76"/>
      <c r="N13" s="3"/>
      <c r="O13" s="3"/>
      <c r="P13" s="3"/>
      <c r="Q13" s="5"/>
      <c r="S13" s="173"/>
      <c r="T13" s="51"/>
      <c r="U13" s="51"/>
      <c r="V13" s="51"/>
      <c r="W13" s="51"/>
      <c r="X13" s="51"/>
      <c r="Y13" s="51"/>
      <c r="Z13" s="51"/>
      <c r="AA13" s="171"/>
    </row>
    <row r="14" spans="2:27" ht="16.5" thickTop="1" thickBot="1" x14ac:dyDescent="0.3">
      <c r="B14" s="4"/>
      <c r="C14" s="142"/>
      <c r="D14" s="3"/>
      <c r="E14" s="15"/>
      <c r="F14" s="5"/>
      <c r="G14" s="51"/>
      <c r="H14" s="4"/>
      <c r="I14" s="3"/>
      <c r="J14" s="3"/>
      <c r="K14" s="3"/>
      <c r="L14" s="3"/>
      <c r="M14" s="3"/>
      <c r="N14" s="3"/>
      <c r="O14" s="3"/>
      <c r="P14" s="3"/>
      <c r="Q14" s="5"/>
      <c r="S14" s="173"/>
      <c r="T14" s="51"/>
      <c r="U14" s="51"/>
      <c r="V14" s="51"/>
      <c r="W14" s="51"/>
      <c r="X14" s="51"/>
      <c r="Y14" s="51"/>
      <c r="Z14" s="51"/>
      <c r="AA14" s="171"/>
    </row>
    <row r="15" spans="2:27" ht="15.75" thickBot="1" x14ac:dyDescent="0.3">
      <c r="B15" s="4"/>
      <c r="C15" s="143"/>
      <c r="D15" s="3"/>
      <c r="E15" s="15"/>
      <c r="F15" s="5"/>
      <c r="G15" s="51"/>
      <c r="H15" s="4"/>
      <c r="I15" s="106" t="s">
        <v>50</v>
      </c>
      <c r="J15" s="71"/>
      <c r="K15" s="72"/>
      <c r="L15" s="73">
        <v>0</v>
      </c>
      <c r="M15" s="74"/>
      <c r="N15" s="3"/>
      <c r="O15" s="3"/>
      <c r="P15" s="3"/>
      <c r="Q15" s="5"/>
      <c r="S15" s="173"/>
      <c r="T15" s="51"/>
      <c r="U15" s="51"/>
      <c r="V15" s="51"/>
      <c r="W15" s="51"/>
      <c r="X15" s="51"/>
      <c r="Y15" s="51"/>
      <c r="Z15" s="51"/>
      <c r="AA15" s="171"/>
    </row>
    <row r="16" spans="2:27" ht="15.75" customHeight="1" thickTop="1" thickBot="1" x14ac:dyDescent="0.3">
      <c r="B16" s="4"/>
      <c r="C16" s="144" t="s">
        <v>54</v>
      </c>
      <c r="D16" s="3"/>
      <c r="E16" s="15"/>
      <c r="F16" s="5"/>
      <c r="G16" s="51"/>
      <c r="H16" s="4"/>
      <c r="I16" s="107" t="s">
        <v>45</v>
      </c>
      <c r="J16" s="69"/>
      <c r="K16" s="70"/>
      <c r="L16" s="50">
        <v>0</v>
      </c>
      <c r="M16" s="75"/>
      <c r="N16" s="3"/>
      <c r="O16" s="3"/>
      <c r="P16" s="3"/>
      <c r="Q16" s="5"/>
      <c r="S16" s="173"/>
      <c r="T16" s="51"/>
      <c r="U16" s="51"/>
      <c r="V16" s="51"/>
      <c r="W16" s="51"/>
      <c r="X16" s="51"/>
      <c r="Y16" s="51"/>
      <c r="Z16" s="51"/>
      <c r="AA16" s="171"/>
    </row>
    <row r="17" spans="2:27" ht="16.5" thickTop="1" thickBot="1" x14ac:dyDescent="0.3">
      <c r="B17" s="4"/>
      <c r="C17" s="145"/>
      <c r="D17" s="13">
        <v>0</v>
      </c>
      <c r="E17" s="15"/>
      <c r="F17" s="5"/>
      <c r="G17" s="51"/>
      <c r="H17" s="4"/>
      <c r="I17" s="3"/>
      <c r="J17" s="3"/>
      <c r="K17" s="3"/>
      <c r="L17" s="3"/>
      <c r="M17" s="3"/>
      <c r="N17" s="3"/>
      <c r="O17" s="3"/>
      <c r="P17" s="3"/>
      <c r="Q17" s="5"/>
      <c r="S17" s="173"/>
      <c r="T17" s="51"/>
      <c r="U17" s="51"/>
      <c r="V17" s="51"/>
      <c r="W17" s="51"/>
      <c r="X17" s="51"/>
      <c r="Y17" s="51"/>
      <c r="Z17" s="51"/>
      <c r="AA17" s="171"/>
    </row>
    <row r="18" spans="2:27" ht="16.5" thickTop="1" thickBot="1" x14ac:dyDescent="0.3">
      <c r="B18" s="4"/>
      <c r="C18" s="145"/>
      <c r="D18" s="3"/>
      <c r="E18" s="15"/>
      <c r="F18" s="5"/>
      <c r="G18" s="51"/>
      <c r="H18" s="4"/>
      <c r="I18" s="149" t="s">
        <v>3</v>
      </c>
      <c r="J18" s="151"/>
      <c r="K18" s="150"/>
      <c r="L18" s="3"/>
      <c r="M18" s="3"/>
      <c r="N18" s="77"/>
      <c r="O18" s="77"/>
      <c r="P18" s="77"/>
      <c r="Q18" s="5"/>
      <c r="S18" s="173"/>
      <c r="T18" s="51"/>
      <c r="U18" s="51"/>
      <c r="V18" s="51"/>
      <c r="W18" s="51"/>
      <c r="X18" s="51"/>
      <c r="Y18" s="51"/>
      <c r="Z18" s="51"/>
      <c r="AA18" s="171"/>
    </row>
    <row r="19" spans="2:27" ht="15.75" thickBot="1" x14ac:dyDescent="0.3">
      <c r="B19" s="4"/>
      <c r="C19" s="146"/>
      <c r="D19" s="3"/>
      <c r="E19" s="15"/>
      <c r="F19" s="5"/>
      <c r="G19" s="51"/>
      <c r="H19" s="4"/>
      <c r="I19" s="78"/>
      <c r="J19" s="78"/>
      <c r="K19" s="78"/>
      <c r="L19" s="78"/>
      <c r="M19" s="78"/>
      <c r="N19" s="78"/>
      <c r="O19" s="78"/>
      <c r="P19" s="78"/>
      <c r="Q19" s="5"/>
      <c r="S19" s="173"/>
      <c r="T19" s="51"/>
      <c r="U19" s="51"/>
      <c r="V19" s="51"/>
      <c r="W19" s="51"/>
      <c r="X19" s="51"/>
      <c r="Y19" s="51"/>
      <c r="Z19" s="51"/>
      <c r="AA19" s="171"/>
    </row>
    <row r="20" spans="2:27" ht="15.75" customHeight="1" thickBot="1" x14ac:dyDescent="0.3">
      <c r="B20" s="4"/>
      <c r="C20" s="7"/>
      <c r="D20" s="3"/>
      <c r="E20" s="15"/>
      <c r="F20" s="5"/>
      <c r="G20" s="51"/>
      <c r="H20" s="4"/>
      <c r="I20" s="100"/>
      <c r="J20" s="80" t="s">
        <v>25</v>
      </c>
      <c r="K20" s="80" t="s">
        <v>23</v>
      </c>
      <c r="L20" s="80" t="s">
        <v>24</v>
      </c>
      <c r="M20" s="80" t="s">
        <v>26</v>
      </c>
      <c r="N20" s="80" t="s">
        <v>27</v>
      </c>
      <c r="O20" s="87" t="s">
        <v>46</v>
      </c>
      <c r="P20" s="80" t="s">
        <v>37</v>
      </c>
      <c r="Q20" s="5"/>
      <c r="S20" s="176"/>
      <c r="T20" s="51"/>
      <c r="U20" s="51"/>
      <c r="V20" s="51"/>
      <c r="W20" s="51"/>
      <c r="X20" s="51"/>
      <c r="Y20" s="51"/>
      <c r="Z20" s="51"/>
      <c r="AA20" s="171"/>
    </row>
    <row r="21" spans="2:27" ht="15.75" thickBot="1" x14ac:dyDescent="0.3">
      <c r="B21" s="4"/>
      <c r="C21" s="108" t="s">
        <v>51</v>
      </c>
      <c r="D21" s="149" t="s">
        <v>3</v>
      </c>
      <c r="E21" s="158"/>
      <c r="F21" s="16"/>
      <c r="G21" s="98"/>
      <c r="H21" s="4"/>
      <c r="I21" s="101" t="s">
        <v>38</v>
      </c>
      <c r="J21" s="81">
        <f>L15</f>
        <v>0</v>
      </c>
      <c r="K21" s="81">
        <f>H50</f>
        <v>0</v>
      </c>
      <c r="L21" s="81">
        <f>N50</f>
        <v>0</v>
      </c>
      <c r="M21" s="81">
        <f>D61</f>
        <v>0</v>
      </c>
      <c r="N21" s="81">
        <f>H61</f>
        <v>0</v>
      </c>
      <c r="O21" s="88">
        <f>K61</f>
        <v>0</v>
      </c>
      <c r="P21" s="81">
        <f>SUM(J21:O21)</f>
        <v>0</v>
      </c>
      <c r="Q21" s="5"/>
      <c r="S21" s="173"/>
      <c r="T21" s="51"/>
      <c r="U21" s="51"/>
      <c r="V21" s="51"/>
      <c r="W21" s="51"/>
      <c r="X21" s="51"/>
      <c r="Y21" s="51"/>
      <c r="Z21" s="51"/>
      <c r="AA21" s="171"/>
    </row>
    <row r="22" spans="2:27" ht="15.75" thickBot="1" x14ac:dyDescent="0.3">
      <c r="B22" s="4"/>
      <c r="C22" s="111" t="s">
        <v>7</v>
      </c>
      <c r="D22" s="3"/>
      <c r="E22" s="15"/>
      <c r="F22" s="5"/>
      <c r="G22" s="51"/>
      <c r="H22" s="4"/>
      <c r="I22" s="102" t="s">
        <v>1</v>
      </c>
      <c r="J22" s="82" t="e">
        <f>D47</f>
        <v>#DIV/0!</v>
      </c>
      <c r="K22" s="82" t="e">
        <f>H47</f>
        <v>#DIV/0!</v>
      </c>
      <c r="L22" s="82" t="e">
        <f>N47</f>
        <v>#DIV/0!</v>
      </c>
      <c r="M22" s="82" t="e">
        <f>D58</f>
        <v>#DIV/0!</v>
      </c>
      <c r="N22" s="82" t="e">
        <f>H58</f>
        <v>#DIV/0!</v>
      </c>
      <c r="O22" s="89" t="e">
        <f>K58</f>
        <v>#DIV/0!</v>
      </c>
      <c r="P22" s="82" t="e">
        <f>SUM(J22:O22)</f>
        <v>#DIV/0!</v>
      </c>
      <c r="Q22" s="5"/>
      <c r="S22" s="173"/>
      <c r="T22" s="51"/>
      <c r="U22" s="51"/>
      <c r="V22" s="51"/>
      <c r="W22" s="51"/>
      <c r="X22" s="51"/>
      <c r="Y22" s="51"/>
      <c r="Z22" s="51"/>
      <c r="AA22" s="171"/>
    </row>
    <row r="23" spans="2:27" ht="16.5" thickTop="1" thickBot="1" x14ac:dyDescent="0.3">
      <c r="B23" s="4"/>
      <c r="C23" s="112"/>
      <c r="D23" s="11" t="e">
        <f>SUM(P22)+IF(P22=0,D35,0)</f>
        <v>#DIV/0!</v>
      </c>
      <c r="E23" s="11" t="e">
        <f>SUM(P22)+IF(P22=0,E35,0)</f>
        <v>#DIV/0!</v>
      </c>
      <c r="F23" s="5"/>
      <c r="G23" s="51"/>
      <c r="H23" s="4"/>
      <c r="I23" s="103" t="s">
        <v>0</v>
      </c>
      <c r="J23" s="83" t="e">
        <f>D48</f>
        <v>#DIV/0!</v>
      </c>
      <c r="K23" s="83" t="e">
        <f>H48</f>
        <v>#DIV/0!</v>
      </c>
      <c r="L23" s="83" t="e">
        <f>N48</f>
        <v>#DIV/0!</v>
      </c>
      <c r="M23" s="83" t="e">
        <f>D59</f>
        <v>#DIV/0!</v>
      </c>
      <c r="N23" s="83" t="e">
        <f>H59</f>
        <v>#DIV/0!</v>
      </c>
      <c r="O23" s="90" t="e">
        <f>K59</f>
        <v>#DIV/0!</v>
      </c>
      <c r="P23" s="83" t="e">
        <f>SUM(J23:O23)</f>
        <v>#DIV/0!</v>
      </c>
      <c r="Q23" s="5"/>
      <c r="S23" s="173"/>
      <c r="T23" s="51"/>
      <c r="U23" s="51"/>
      <c r="V23" s="51"/>
      <c r="W23" s="51"/>
      <c r="X23" s="51"/>
      <c r="Y23" s="51"/>
      <c r="Z23" s="51"/>
      <c r="AA23" s="171"/>
    </row>
    <row r="24" spans="2:27" ht="16.5" thickTop="1" thickBot="1" x14ac:dyDescent="0.3">
      <c r="B24" s="4"/>
      <c r="C24" s="113" t="s">
        <v>0</v>
      </c>
      <c r="D24" s="117" t="s">
        <v>10</v>
      </c>
      <c r="E24" s="120" t="s">
        <v>8</v>
      </c>
      <c r="F24" s="5"/>
      <c r="G24" s="51"/>
      <c r="H24" s="4"/>
      <c r="I24" s="104" t="s">
        <v>39</v>
      </c>
      <c r="J24" s="53"/>
      <c r="K24" s="54"/>
      <c r="L24" s="54"/>
      <c r="M24" s="54"/>
      <c r="N24" s="54"/>
      <c r="O24" s="91"/>
      <c r="P24" s="54"/>
      <c r="Q24" s="5"/>
      <c r="S24" s="173"/>
      <c r="T24" s="51"/>
      <c r="U24" s="51"/>
      <c r="V24" s="51"/>
      <c r="W24" s="51"/>
      <c r="X24" s="51"/>
      <c r="Y24" s="51"/>
      <c r="Z24" s="51"/>
      <c r="AA24" s="171"/>
    </row>
    <row r="25" spans="2:27" ht="15.75" thickBot="1" x14ac:dyDescent="0.3">
      <c r="B25" s="4"/>
      <c r="C25" s="114"/>
      <c r="D25" s="118"/>
      <c r="E25" s="121"/>
      <c r="F25" s="5"/>
      <c r="G25" s="51"/>
      <c r="H25" s="109"/>
      <c r="I25" s="105">
        <v>0.23499999999999999</v>
      </c>
      <c r="J25" s="84" t="e">
        <f t="shared" ref="J25:O25" si="0">J22*$I$25</f>
        <v>#DIV/0!</v>
      </c>
      <c r="K25" s="84" t="e">
        <f t="shared" si="0"/>
        <v>#DIV/0!</v>
      </c>
      <c r="L25" s="84" t="e">
        <f t="shared" si="0"/>
        <v>#DIV/0!</v>
      </c>
      <c r="M25" s="84" t="e">
        <f t="shared" si="0"/>
        <v>#DIV/0!</v>
      </c>
      <c r="N25" s="84" t="e">
        <f t="shared" si="0"/>
        <v>#DIV/0!</v>
      </c>
      <c r="O25" s="84" t="e">
        <f t="shared" si="0"/>
        <v>#DIV/0!</v>
      </c>
      <c r="P25" s="84" t="e">
        <f>SUM(J25:O25)</f>
        <v>#DIV/0!</v>
      </c>
      <c r="Q25" s="110"/>
      <c r="S25" s="173"/>
      <c r="T25" s="51"/>
      <c r="U25" s="51"/>
      <c r="V25" s="51"/>
      <c r="W25" s="51"/>
      <c r="X25" s="51"/>
      <c r="Y25" s="51"/>
      <c r="Z25" s="51"/>
      <c r="AA25" s="171"/>
    </row>
    <row r="26" spans="2:27" ht="15.75" thickBot="1" x14ac:dyDescent="0.3">
      <c r="B26" s="4"/>
      <c r="C26" s="115"/>
      <c r="D26" s="119"/>
      <c r="E26" s="122"/>
      <c r="F26" s="5"/>
      <c r="G26" s="51"/>
      <c r="H26" s="159" t="s">
        <v>55</v>
      </c>
      <c r="I26" s="160"/>
      <c r="J26" s="160"/>
      <c r="K26" s="160"/>
      <c r="L26" s="160"/>
      <c r="M26" s="160"/>
      <c r="N26" s="160"/>
      <c r="O26" s="160"/>
      <c r="P26" s="160"/>
      <c r="Q26" s="161"/>
      <c r="S26" s="173"/>
      <c r="T26" s="51"/>
      <c r="U26" s="51"/>
      <c r="V26" s="51"/>
      <c r="W26" s="51"/>
      <c r="X26" s="51"/>
      <c r="Y26" s="51"/>
      <c r="Z26" s="51"/>
      <c r="AA26" s="171"/>
    </row>
    <row r="27" spans="2:27" ht="16.5" thickTop="1" thickBot="1" x14ac:dyDescent="0.3">
      <c r="B27" s="4"/>
      <c r="C27" s="116"/>
      <c r="D27" s="18" t="e">
        <f>SUM(P23)+IF(P23=0,D39,0)</f>
        <v>#DIV/0!</v>
      </c>
      <c r="E27" s="19" t="e">
        <f>SUM(P25)+IF(P25=0,E39,0)</f>
        <v>#DIV/0!</v>
      </c>
      <c r="F27" s="5"/>
      <c r="G27" s="51"/>
      <c r="H27" s="162"/>
      <c r="I27" s="160"/>
      <c r="J27" s="160"/>
      <c r="K27" s="163"/>
      <c r="L27" s="163"/>
      <c r="M27" s="163"/>
      <c r="N27" s="163"/>
      <c r="O27" s="163"/>
      <c r="P27" s="163"/>
      <c r="Q27" s="164"/>
      <c r="S27" s="173"/>
      <c r="T27" s="51"/>
      <c r="U27" s="51"/>
      <c r="V27" s="51"/>
      <c r="W27" s="51"/>
      <c r="X27" s="51"/>
      <c r="Y27" s="51"/>
      <c r="Z27" s="51"/>
      <c r="AA27" s="171"/>
    </row>
    <row r="28" spans="2:27" ht="16.5" thickTop="1" thickBot="1" x14ac:dyDescent="0.3">
      <c r="B28" s="4"/>
      <c r="C28" s="123" t="s">
        <v>6</v>
      </c>
      <c r="D28" s="3"/>
      <c r="E28" s="15"/>
      <c r="F28" s="5"/>
      <c r="G28" s="51"/>
      <c r="I28" s="147"/>
      <c r="J28" s="148"/>
      <c r="K28" s="51"/>
      <c r="L28" s="51"/>
      <c r="M28" s="92"/>
      <c r="N28" s="51"/>
      <c r="O28" s="51"/>
      <c r="P28" s="51"/>
      <c r="S28" s="173"/>
      <c r="T28" s="51"/>
      <c r="U28" s="51"/>
      <c r="V28" s="51"/>
      <c r="W28" s="51"/>
      <c r="X28" s="51"/>
      <c r="Y28" s="51"/>
      <c r="Z28" s="51"/>
      <c r="AA28" s="171"/>
    </row>
    <row r="29" spans="2:27" ht="16.5" thickTop="1" thickBot="1" x14ac:dyDescent="0.3">
      <c r="B29" s="4"/>
      <c r="C29" s="124"/>
      <c r="D29" s="12" t="e">
        <f>+SUM(D23+D27)</f>
        <v>#DIV/0!</v>
      </c>
      <c r="E29" s="20" t="e">
        <f>+SUM(D23+E27)</f>
        <v>#DIV/0!</v>
      </c>
      <c r="F29" s="5"/>
      <c r="G29" s="51"/>
      <c r="I29" s="85"/>
      <c r="J29" s="86"/>
      <c r="M29" s="93"/>
      <c r="S29" s="173"/>
      <c r="T29" s="51"/>
      <c r="U29" s="51"/>
      <c r="V29" s="51"/>
      <c r="W29" s="51"/>
      <c r="X29" s="51"/>
      <c r="Y29" s="51"/>
      <c r="Z29" s="51"/>
      <c r="AA29" s="171"/>
    </row>
    <row r="30" spans="2:27" x14ac:dyDescent="0.25">
      <c r="B30" s="4"/>
      <c r="C30" s="155" t="s">
        <v>9</v>
      </c>
      <c r="D30" s="156"/>
      <c r="E30" s="156"/>
      <c r="F30" s="5"/>
      <c r="G30" s="51"/>
      <c r="I30" s="85"/>
      <c r="J30" s="86"/>
      <c r="S30" s="173"/>
      <c r="T30" s="51"/>
      <c r="U30" s="51"/>
      <c r="V30" s="51"/>
      <c r="W30" s="51"/>
      <c r="X30" s="51"/>
      <c r="Y30" s="51"/>
      <c r="Z30" s="51"/>
      <c r="AA30" s="171"/>
    </row>
    <row r="31" spans="2:27" ht="15.75" thickBot="1" x14ac:dyDescent="0.3">
      <c r="B31" s="8"/>
      <c r="C31" s="157"/>
      <c r="D31" s="157"/>
      <c r="E31" s="157"/>
      <c r="F31" s="6"/>
      <c r="G31" s="51"/>
      <c r="I31" s="86"/>
      <c r="J31" s="86"/>
      <c r="S31" s="173"/>
      <c r="T31" s="51"/>
      <c r="U31" s="51"/>
      <c r="V31" s="51"/>
      <c r="W31" s="51"/>
      <c r="X31" s="51"/>
      <c r="Y31" s="51"/>
      <c r="Z31" s="51"/>
      <c r="AA31" s="171"/>
    </row>
    <row r="32" spans="2:27" ht="15.75" hidden="1" thickTop="1" x14ac:dyDescent="0.25">
      <c r="B32" s="51"/>
      <c r="C32" s="60"/>
      <c r="D32" s="60"/>
      <c r="E32" s="60"/>
      <c r="F32" s="61"/>
      <c r="G32" s="51"/>
      <c r="S32" s="173"/>
      <c r="T32" s="51"/>
      <c r="U32" s="51"/>
      <c r="V32" s="51"/>
      <c r="W32" s="51"/>
      <c r="X32" s="51"/>
      <c r="Y32" s="51"/>
      <c r="Z32" s="51"/>
      <c r="AA32" s="171"/>
    </row>
    <row r="33" spans="2:27" ht="15.75" hidden="1" thickBot="1" x14ac:dyDescent="0.3">
      <c r="B33" s="3"/>
      <c r="C33" s="49"/>
      <c r="D33" s="52"/>
      <c r="E33" s="52"/>
      <c r="F33" s="51"/>
      <c r="G33" s="51"/>
      <c r="I33" s="85"/>
      <c r="J33" s="86"/>
      <c r="S33" s="173"/>
      <c r="T33" s="51"/>
      <c r="U33" s="51"/>
      <c r="V33" s="51"/>
      <c r="W33" s="51"/>
      <c r="X33" s="51"/>
      <c r="Y33" s="51"/>
      <c r="Z33" s="51"/>
      <c r="AA33" s="171"/>
    </row>
    <row r="34" spans="2:27" ht="15.75" hidden="1" thickBot="1" x14ac:dyDescent="0.3">
      <c r="B34" s="3"/>
      <c r="C34" s="111" t="s">
        <v>7</v>
      </c>
      <c r="D34" s="3"/>
      <c r="E34" s="15"/>
      <c r="F34" s="51"/>
      <c r="G34" s="51"/>
      <c r="S34" s="173"/>
      <c r="T34" s="51"/>
      <c r="U34" s="51"/>
      <c r="V34" s="51"/>
      <c r="W34" s="51"/>
      <c r="X34" s="51"/>
      <c r="Y34" s="51"/>
      <c r="Z34" s="51"/>
      <c r="AA34" s="171"/>
    </row>
    <row r="35" spans="2:27" ht="16.5" hidden="1" customHeight="1" thickTop="1" thickBot="1" x14ac:dyDescent="0.3">
      <c r="B35" s="3"/>
      <c r="C35" s="112"/>
      <c r="D35" s="11" t="e">
        <f>SUM(D10/D13*D17*0.02)</f>
        <v>#DIV/0!</v>
      </c>
      <c r="E35" s="11" t="e">
        <f>SUM(D10/D13*D17*0.02)</f>
        <v>#DIV/0!</v>
      </c>
      <c r="F35" s="51"/>
      <c r="G35" s="51"/>
      <c r="S35" s="173"/>
      <c r="T35" s="51"/>
      <c r="U35" s="51"/>
      <c r="V35" s="51"/>
      <c r="W35" s="51"/>
      <c r="X35" s="51"/>
      <c r="Y35" s="51"/>
      <c r="Z35" s="51"/>
      <c r="AA35" s="171"/>
    </row>
    <row r="36" spans="2:27" ht="15.75" hidden="1" customHeight="1" thickTop="1" x14ac:dyDescent="0.25">
      <c r="B36" s="3"/>
      <c r="C36" s="113" t="s">
        <v>0</v>
      </c>
      <c r="D36" s="117" t="s">
        <v>10</v>
      </c>
      <c r="E36" s="120" t="s">
        <v>8</v>
      </c>
      <c r="F36" s="51"/>
      <c r="G36" s="51"/>
      <c r="S36" s="173"/>
      <c r="T36" s="51"/>
      <c r="U36" s="51"/>
      <c r="V36" s="51"/>
      <c r="W36" s="51"/>
      <c r="X36" s="51"/>
      <c r="Y36" s="51"/>
      <c r="Z36" s="51"/>
      <c r="AA36" s="171"/>
    </row>
    <row r="37" spans="2:27" hidden="1" x14ac:dyDescent="0.25">
      <c r="B37" s="3"/>
      <c r="C37" s="114"/>
      <c r="D37" s="118"/>
      <c r="E37" s="121"/>
      <c r="F37" s="51"/>
      <c r="G37" s="51"/>
      <c r="S37" s="173"/>
      <c r="T37" s="51"/>
      <c r="U37" s="51"/>
      <c r="V37" s="51"/>
      <c r="W37" s="51"/>
      <c r="X37" s="51"/>
      <c r="Y37" s="51"/>
      <c r="Z37" s="51"/>
      <c r="AA37" s="171"/>
    </row>
    <row r="38" spans="2:27" ht="15.75" hidden="1" thickBot="1" x14ac:dyDescent="0.3">
      <c r="B38" s="3"/>
      <c r="C38" s="115"/>
      <c r="D38" s="119"/>
      <c r="E38" s="122"/>
      <c r="F38" s="51"/>
      <c r="G38" s="51"/>
      <c r="S38" s="173"/>
      <c r="T38" s="51"/>
      <c r="U38" s="51"/>
      <c r="V38" s="51"/>
      <c r="W38" s="51"/>
      <c r="X38" s="51"/>
      <c r="Y38" s="51"/>
      <c r="Z38" s="51"/>
      <c r="AA38" s="171"/>
    </row>
    <row r="39" spans="2:27" ht="16.5" hidden="1" thickTop="1" thickBot="1" x14ac:dyDescent="0.3">
      <c r="B39" s="3"/>
      <c r="C39" s="116"/>
      <c r="D39" s="180" t="e">
        <f>SUM(D10*0.21+9100)/D10*D23</f>
        <v>#DIV/0!</v>
      </c>
      <c r="E39" s="19" t="e">
        <f>SUM(D23*0.235)</f>
        <v>#DIV/0!</v>
      </c>
      <c r="F39" s="51"/>
      <c r="G39" s="51"/>
      <c r="J39" s="45" t="s">
        <v>42</v>
      </c>
      <c r="K39" s="24"/>
      <c r="S39" s="173"/>
      <c r="T39" s="51"/>
      <c r="U39" s="51"/>
      <c r="V39" s="51"/>
      <c r="W39" s="51"/>
      <c r="X39" s="51"/>
      <c r="Y39" s="51"/>
      <c r="Z39" s="51"/>
      <c r="AA39" s="171"/>
    </row>
    <row r="40" spans="2:27" ht="15.75" hidden="1" thickBot="1" x14ac:dyDescent="0.3">
      <c r="B40" s="3"/>
      <c r="C40" s="123" t="s">
        <v>6</v>
      </c>
      <c r="D40" s="3"/>
      <c r="E40" s="15"/>
      <c r="F40" s="51"/>
      <c r="G40" s="51"/>
      <c r="J40" s="43" t="s">
        <v>43</v>
      </c>
      <c r="K40" s="46" t="e">
        <f>P22+P23</f>
        <v>#DIV/0!</v>
      </c>
      <c r="S40" s="173"/>
      <c r="T40" s="51"/>
      <c r="U40" s="51"/>
      <c r="V40" s="51"/>
      <c r="W40" s="51"/>
      <c r="X40" s="51"/>
      <c r="Y40" s="51"/>
      <c r="Z40" s="51"/>
      <c r="AA40" s="171"/>
    </row>
    <row r="41" spans="2:27" ht="16.5" hidden="1" thickTop="1" thickBot="1" x14ac:dyDescent="0.3">
      <c r="B41" s="3"/>
      <c r="C41" s="124"/>
      <c r="D41" s="12" t="e">
        <f>+SUM(D35+D39)</f>
        <v>#DIV/0!</v>
      </c>
      <c r="E41" s="20" t="e">
        <f>+SUM(D35+E39)</f>
        <v>#DIV/0!</v>
      </c>
      <c r="F41" s="51"/>
      <c r="G41" s="51"/>
      <c r="J41" s="44" t="s">
        <v>41</v>
      </c>
      <c r="K41" s="47" t="e">
        <f>P22+P25</f>
        <v>#DIV/0!</v>
      </c>
      <c r="S41" s="173"/>
      <c r="T41" s="51"/>
      <c r="U41" s="51"/>
      <c r="V41" s="51"/>
      <c r="W41" s="51"/>
      <c r="X41" s="51"/>
      <c r="Y41" s="51"/>
      <c r="Z41" s="51"/>
      <c r="AA41" s="171"/>
    </row>
    <row r="42" spans="2:27" hidden="1" x14ac:dyDescent="0.25">
      <c r="C42" s="55"/>
      <c r="D42" s="51"/>
      <c r="E42" s="51"/>
      <c r="F42" s="51"/>
      <c r="G42" s="51"/>
      <c r="S42" s="173"/>
      <c r="T42" s="51"/>
      <c r="U42" s="51"/>
      <c r="V42" s="51"/>
      <c r="W42" s="51"/>
      <c r="X42" s="51"/>
      <c r="Y42" s="51"/>
      <c r="Z42" s="51"/>
      <c r="AA42" s="171"/>
    </row>
    <row r="43" spans="2:27" hidden="1" x14ac:dyDescent="0.25">
      <c r="C43" s="55" t="s">
        <v>25</v>
      </c>
      <c r="D43" s="51" t="s">
        <v>15</v>
      </c>
      <c r="E43" s="51"/>
      <c r="F43" s="51" t="s">
        <v>23</v>
      </c>
      <c r="G43" s="51"/>
      <c r="H43" s="14"/>
      <c r="J43" t="s">
        <v>24</v>
      </c>
      <c r="N43" s="14"/>
      <c r="O43" s="14"/>
      <c r="S43" s="173"/>
      <c r="T43" s="51"/>
      <c r="U43" s="51"/>
      <c r="V43" s="51"/>
      <c r="W43" s="51"/>
      <c r="X43" s="51"/>
      <c r="Y43" s="51"/>
      <c r="Z43" s="51"/>
      <c r="AA43" s="171"/>
    </row>
    <row r="44" spans="2:27" hidden="1" x14ac:dyDescent="0.25">
      <c r="C44" s="32" t="s">
        <v>11</v>
      </c>
      <c r="D44" s="62" t="e">
        <f>D35/D17</f>
        <v>#DIV/0!</v>
      </c>
      <c r="E44" s="63"/>
      <c r="F44" s="63" t="s">
        <v>18</v>
      </c>
      <c r="G44" s="63"/>
      <c r="H44" s="28" t="e">
        <f>H47/H50</f>
        <v>#DIV/0!</v>
      </c>
      <c r="I44" s="22"/>
      <c r="J44" s="27" t="s">
        <v>18</v>
      </c>
      <c r="K44" s="31"/>
      <c r="L44" s="31"/>
      <c r="M44" s="31"/>
      <c r="N44" s="28" t="e">
        <f>N47/N50</f>
        <v>#DIV/0!</v>
      </c>
      <c r="O44" s="62"/>
      <c r="P44" s="22"/>
      <c r="S44" s="173"/>
      <c r="T44" s="51"/>
      <c r="U44" s="51"/>
      <c r="V44" s="51"/>
      <c r="W44" s="51"/>
      <c r="X44" s="51"/>
      <c r="Y44" s="51"/>
      <c r="Z44" s="51"/>
      <c r="AA44" s="171"/>
    </row>
    <row r="45" spans="2:27" hidden="1" x14ac:dyDescent="0.25">
      <c r="C45" s="32" t="s">
        <v>12</v>
      </c>
      <c r="D45" s="62" t="e">
        <f>D39/D17</f>
        <v>#DIV/0!</v>
      </c>
      <c r="E45" s="63"/>
      <c r="F45" s="63" t="s">
        <v>19</v>
      </c>
      <c r="G45" s="63"/>
      <c r="H45" s="30" t="e">
        <f>H48/H50</f>
        <v>#DIV/0!</v>
      </c>
      <c r="I45" s="22"/>
      <c r="J45" s="29" t="s">
        <v>19</v>
      </c>
      <c r="K45" s="32"/>
      <c r="L45" s="32"/>
      <c r="M45" s="32"/>
      <c r="N45" s="30" t="e">
        <f>N48/N50</f>
        <v>#DIV/0!</v>
      </c>
      <c r="O45" s="62"/>
      <c r="P45" s="22"/>
      <c r="S45" s="173"/>
      <c r="T45" s="51"/>
      <c r="U45" s="51"/>
      <c r="V45" s="51"/>
      <c r="W45" s="51"/>
      <c r="X45" s="51"/>
      <c r="Y45" s="51"/>
      <c r="Z45" s="51"/>
      <c r="AA45" s="171"/>
    </row>
    <row r="46" spans="2:27" hidden="1" x14ac:dyDescent="0.25">
      <c r="B46" s="57" t="s">
        <v>40</v>
      </c>
      <c r="C46" s="32"/>
      <c r="D46" s="62"/>
      <c r="E46" s="63"/>
      <c r="F46" s="63"/>
      <c r="G46" s="63"/>
      <c r="H46" s="30"/>
      <c r="I46" s="22"/>
      <c r="J46" s="29"/>
      <c r="K46" s="32"/>
      <c r="L46" s="32"/>
      <c r="M46" s="32"/>
      <c r="N46" s="30"/>
      <c r="O46" s="62"/>
      <c r="P46" s="22"/>
      <c r="S46" s="173"/>
      <c r="T46" s="51"/>
      <c r="U46" s="51"/>
      <c r="V46" s="51"/>
      <c r="W46" s="51"/>
      <c r="X46" s="51"/>
      <c r="Y46" s="51"/>
      <c r="Z46" s="51"/>
      <c r="AA46" s="171"/>
    </row>
    <row r="47" spans="2:27" hidden="1" x14ac:dyDescent="0.25">
      <c r="B47" s="58" t="e">
        <f>D44*12</f>
        <v>#DIV/0!</v>
      </c>
      <c r="C47" s="32" t="s">
        <v>13</v>
      </c>
      <c r="D47" s="62" t="e">
        <f>D44*L15</f>
        <v>#DIV/0!</v>
      </c>
      <c r="E47" s="63"/>
      <c r="F47" s="63" t="s">
        <v>16</v>
      </c>
      <c r="G47" s="63"/>
      <c r="H47" s="30" t="e">
        <f>IF(($H$50&lt;12), ( (H50/12)*$B$47*(1+$L$16) ),($B$47*(1+$L$16)))</f>
        <v>#DIV/0!</v>
      </c>
      <c r="I47" s="22"/>
      <c r="J47" s="29" t="s">
        <v>20</v>
      </c>
      <c r="K47" s="32"/>
      <c r="L47" s="32"/>
      <c r="M47" s="32"/>
      <c r="N47" s="30" t="e">
        <f>IF(($N$50&lt;12), ( (N50/12)*H47*(1+$L$16) ),(H47*(1+$L$16)))</f>
        <v>#DIV/0!</v>
      </c>
      <c r="O47" s="62"/>
      <c r="P47" s="22"/>
      <c r="S47" s="173"/>
      <c r="T47" s="51"/>
      <c r="U47" s="51"/>
      <c r="V47" s="51"/>
      <c r="W47" s="51"/>
      <c r="X47" s="51"/>
      <c r="Y47" s="51"/>
      <c r="Z47" s="51"/>
      <c r="AA47" s="171"/>
    </row>
    <row r="48" spans="2:27" hidden="1" x14ac:dyDescent="0.25">
      <c r="B48" s="59" t="e">
        <f>D45*12</f>
        <v>#DIV/0!</v>
      </c>
      <c r="C48" s="32" t="s">
        <v>14</v>
      </c>
      <c r="D48" s="62" t="e">
        <f>D45*L15</f>
        <v>#DIV/0!</v>
      </c>
      <c r="E48" s="63"/>
      <c r="F48" s="63" t="s">
        <v>17</v>
      </c>
      <c r="G48" s="63"/>
      <c r="H48" s="30" t="e">
        <f>IF(($H$50&lt;12), ( (H50/12)*$B$48*(1+$L$16) ), ($B$48*(1+$L$16)))</f>
        <v>#DIV/0!</v>
      </c>
      <c r="I48" s="22"/>
      <c r="J48" s="29" t="s">
        <v>22</v>
      </c>
      <c r="K48" s="32"/>
      <c r="L48" s="32"/>
      <c r="M48" s="32"/>
      <c r="N48" s="30" t="e">
        <f>IF(($N$50&lt;12), ( (N50/12)*H48*(1+$L$16) ), (H48*(1+$L$16)))</f>
        <v>#DIV/0!</v>
      </c>
      <c r="O48" s="62"/>
      <c r="P48" s="22"/>
      <c r="S48" s="173"/>
      <c r="T48" s="51"/>
      <c r="U48" s="51"/>
      <c r="V48" s="51"/>
      <c r="W48" s="51"/>
      <c r="X48" s="51"/>
      <c r="Y48" s="51"/>
      <c r="Z48" s="51"/>
      <c r="AA48" s="171"/>
    </row>
    <row r="49" spans="2:27" hidden="1" x14ac:dyDescent="0.25">
      <c r="C49" s="3"/>
      <c r="D49" s="62"/>
      <c r="E49" s="63"/>
      <c r="F49" s="63"/>
      <c r="G49" s="63"/>
      <c r="H49" s="30"/>
      <c r="I49" s="22"/>
      <c r="J49" s="29"/>
      <c r="K49" s="32"/>
      <c r="L49" s="32"/>
      <c r="M49" s="32"/>
      <c r="N49" s="30"/>
      <c r="O49" s="62"/>
      <c r="P49" s="22"/>
      <c r="Q49" s="22"/>
      <c r="S49" s="173"/>
      <c r="T49" s="51"/>
      <c r="U49" s="51"/>
      <c r="V49" s="51"/>
      <c r="W49" s="51"/>
      <c r="X49" s="51"/>
      <c r="Y49" s="51"/>
      <c r="Z49" s="51"/>
      <c r="AA49" s="171"/>
    </row>
    <row r="50" spans="2:27" hidden="1" x14ac:dyDescent="0.25">
      <c r="B50" s="48" t="s">
        <v>44</v>
      </c>
      <c r="C50" s="55"/>
      <c r="D50" s="51"/>
      <c r="E50" s="64"/>
      <c r="F50" s="64" t="s">
        <v>28</v>
      </c>
      <c r="G50" s="64"/>
      <c r="H50" s="36">
        <f>IF( (L15=0),0,IF(((D17-L15)&gt;12),12,IF((D17-L15)&lt;0,0,D17-L15)) )</f>
        <v>0</v>
      </c>
      <c r="I50" s="23"/>
      <c r="J50" s="35" t="s">
        <v>31</v>
      </c>
      <c r="K50" s="39"/>
      <c r="L50" s="39"/>
      <c r="M50" s="39"/>
      <c r="N50" s="36">
        <f>IF( (L15=0),0,IF(((D17-L15-H50)&gt;12),12,IF((D17-L15-H50)&lt;0,0,D17-L15-H50)))</f>
        <v>0</v>
      </c>
      <c r="O50" s="65"/>
      <c r="P50" s="23"/>
      <c r="Q50" s="23"/>
      <c r="S50" s="173"/>
      <c r="T50" s="51"/>
      <c r="U50" s="51"/>
      <c r="V50" s="51"/>
      <c r="W50" s="51"/>
      <c r="X50" s="51"/>
      <c r="Y50" s="51"/>
      <c r="Z50" s="51"/>
      <c r="AA50" s="171"/>
    </row>
    <row r="51" spans="2:27" hidden="1" x14ac:dyDescent="0.25">
      <c r="B51" s="48" t="s">
        <v>44</v>
      </c>
      <c r="C51" s="55"/>
      <c r="D51" s="51"/>
      <c r="E51" s="64"/>
      <c r="F51" s="64" t="s">
        <v>29</v>
      </c>
      <c r="G51" s="64"/>
      <c r="H51" s="38">
        <f>IF( (H50=12), ( D17-(L15+H50) ),0)</f>
        <v>0</v>
      </c>
      <c r="I51" s="23"/>
      <c r="J51" s="37" t="s">
        <v>30</v>
      </c>
      <c r="K51" s="40"/>
      <c r="L51" s="40"/>
      <c r="M51" s="40"/>
      <c r="N51" s="38">
        <f>IF( (N50=12), ( D17-(L15+H50+N50) ),0)</f>
        <v>0</v>
      </c>
      <c r="O51" s="65"/>
      <c r="P51" s="23"/>
      <c r="Q51" s="23"/>
      <c r="S51" s="173"/>
      <c r="T51" s="51"/>
      <c r="U51" s="51"/>
      <c r="V51" s="51"/>
      <c r="W51" s="51"/>
      <c r="X51" s="51"/>
      <c r="Y51" s="51"/>
      <c r="Z51" s="51"/>
      <c r="AA51" s="171"/>
    </row>
    <row r="52" spans="2:27" hidden="1" x14ac:dyDescent="0.25">
      <c r="B52" s="21"/>
      <c r="C52" s="56"/>
      <c r="D52" s="65"/>
      <c r="E52" s="64"/>
      <c r="F52" s="64"/>
      <c r="G52" s="64"/>
      <c r="H52" s="26"/>
      <c r="I52" s="23"/>
      <c r="J52" s="23"/>
      <c r="K52" s="23"/>
      <c r="L52" s="23"/>
      <c r="M52" s="23"/>
      <c r="N52" s="23"/>
      <c r="O52" s="23"/>
      <c r="P52" s="23"/>
      <c r="Q52" s="23"/>
      <c r="S52" s="173"/>
      <c r="T52" s="51"/>
      <c r="U52" s="51"/>
      <c r="V52" s="51"/>
      <c r="W52" s="51"/>
      <c r="X52" s="51"/>
      <c r="Y52" s="51"/>
      <c r="Z52" s="51"/>
      <c r="AA52" s="171"/>
    </row>
    <row r="53" spans="2:27" hidden="1" x14ac:dyDescent="0.25">
      <c r="B53" s="21"/>
      <c r="C53" s="56"/>
      <c r="D53" s="65"/>
      <c r="E53" s="64"/>
      <c r="F53" s="64"/>
      <c r="G53" s="64"/>
      <c r="H53" s="26"/>
      <c r="I53" s="23"/>
      <c r="J53" s="23"/>
      <c r="K53" s="23"/>
      <c r="L53" s="23"/>
      <c r="M53" s="23"/>
      <c r="N53" s="23"/>
      <c r="O53" s="23"/>
      <c r="P53" s="23"/>
      <c r="Q53" s="23"/>
      <c r="S53" s="173"/>
      <c r="T53" s="51"/>
      <c r="U53" s="51"/>
      <c r="V53" s="51"/>
      <c r="W53" s="51"/>
      <c r="X53" s="51"/>
      <c r="Y53" s="51"/>
      <c r="Z53" s="51"/>
      <c r="AA53" s="171"/>
    </row>
    <row r="54" spans="2:27" hidden="1" x14ac:dyDescent="0.25">
      <c r="B54" s="21"/>
      <c r="C54" s="56" t="s">
        <v>26</v>
      </c>
      <c r="D54" s="65"/>
      <c r="E54" s="64"/>
      <c r="F54" s="64" t="s">
        <v>27</v>
      </c>
      <c r="G54" s="64"/>
      <c r="H54" s="26"/>
      <c r="I54" s="23"/>
      <c r="J54" s="64" t="s">
        <v>46</v>
      </c>
      <c r="K54" s="26"/>
      <c r="L54" s="23"/>
      <c r="M54" s="23"/>
      <c r="N54" s="23"/>
      <c r="O54" s="23"/>
      <c r="P54" s="23"/>
      <c r="Q54" s="23"/>
      <c r="S54" s="173"/>
      <c r="T54" s="51"/>
      <c r="U54" s="51"/>
      <c r="V54" s="51"/>
      <c r="W54" s="51"/>
      <c r="X54" s="51"/>
      <c r="Y54" s="51"/>
      <c r="Z54" s="51"/>
      <c r="AA54" s="171"/>
    </row>
    <row r="55" spans="2:27" hidden="1" x14ac:dyDescent="0.25">
      <c r="B55" s="21"/>
      <c r="C55" s="32" t="s">
        <v>18</v>
      </c>
      <c r="D55" s="62" t="e">
        <f>D58/D61</f>
        <v>#DIV/0!</v>
      </c>
      <c r="E55" s="63"/>
      <c r="F55" s="63" t="s">
        <v>18</v>
      </c>
      <c r="G55" s="63"/>
      <c r="H55" s="33" t="e">
        <f>H58/H61</f>
        <v>#DIV/0!</v>
      </c>
      <c r="J55" s="63" t="s">
        <v>18</v>
      </c>
      <c r="K55" s="33" t="e">
        <f>K58/K61</f>
        <v>#DIV/0!</v>
      </c>
      <c r="S55" s="173"/>
      <c r="T55" s="51"/>
      <c r="U55" s="51"/>
      <c r="V55" s="51"/>
      <c r="W55" s="51"/>
      <c r="X55" s="51"/>
      <c r="Y55" s="51"/>
      <c r="Z55" s="51"/>
      <c r="AA55" s="171"/>
    </row>
    <row r="56" spans="2:27" hidden="1" x14ac:dyDescent="0.25">
      <c r="B56" s="21"/>
      <c r="C56" s="32" t="s">
        <v>19</v>
      </c>
      <c r="D56" s="62" t="e">
        <f>D59/D61</f>
        <v>#DIV/0!</v>
      </c>
      <c r="E56" s="63"/>
      <c r="F56" s="63" t="s">
        <v>19</v>
      </c>
      <c r="G56" s="63"/>
      <c r="H56" s="34" t="e">
        <f>H59/H61</f>
        <v>#DIV/0!</v>
      </c>
      <c r="J56" s="63" t="s">
        <v>19</v>
      </c>
      <c r="K56" s="34" t="e">
        <f>K59/K61</f>
        <v>#DIV/0!</v>
      </c>
      <c r="S56" s="173"/>
      <c r="T56" s="51"/>
      <c r="U56" s="51"/>
      <c r="V56" s="51"/>
      <c r="W56" s="51"/>
      <c r="X56" s="51"/>
      <c r="Y56" s="51"/>
      <c r="Z56" s="51"/>
      <c r="AA56" s="171"/>
    </row>
    <row r="57" spans="2:27" hidden="1" x14ac:dyDescent="0.25">
      <c r="B57" s="21"/>
      <c r="C57" s="32"/>
      <c r="D57" s="62"/>
      <c r="E57" s="63"/>
      <c r="F57" s="63"/>
      <c r="G57" s="63"/>
      <c r="H57" s="30"/>
      <c r="J57" s="63"/>
      <c r="K57" s="30"/>
      <c r="S57" s="173"/>
      <c r="T57" s="51"/>
      <c r="U57" s="51"/>
      <c r="V57" s="51"/>
      <c r="W57" s="51"/>
      <c r="X57" s="51"/>
      <c r="Y57" s="51"/>
      <c r="Z57" s="51"/>
      <c r="AA57" s="171"/>
    </row>
    <row r="58" spans="2:27" hidden="1" x14ac:dyDescent="0.25">
      <c r="B58" s="21"/>
      <c r="C58" s="32" t="s">
        <v>34</v>
      </c>
      <c r="D58" s="62" t="e">
        <f>IF(($D$61&lt;12), ( (D61/12)*N47*(1+$L$16) ),(N47*(1+$L$16)))</f>
        <v>#DIV/0!</v>
      </c>
      <c r="E58" s="63"/>
      <c r="F58" s="63" t="s">
        <v>35</v>
      </c>
      <c r="G58" s="63"/>
      <c r="H58" s="30" t="e">
        <f>IF(($H$61&lt;12), ( (H61/12)*D58*(1+$L$16) ),(D58*(1+$L$16)))</f>
        <v>#DIV/0!</v>
      </c>
      <c r="J58" s="63" t="s">
        <v>49</v>
      </c>
      <c r="K58" s="30" t="e">
        <f>IF(($K$61&lt;12), ( (K61/12)*H58*(1+$L$16) ),(H58*(1+$L$16)))</f>
        <v>#DIV/0!</v>
      </c>
      <c r="S58" s="173"/>
      <c r="T58" s="51"/>
      <c r="U58" s="51"/>
      <c r="V58" s="51"/>
      <c r="W58" s="51"/>
      <c r="X58" s="51"/>
      <c r="Y58" s="51"/>
      <c r="Z58" s="51"/>
      <c r="AA58" s="171"/>
    </row>
    <row r="59" spans="2:27" hidden="1" x14ac:dyDescent="0.25">
      <c r="B59" s="21"/>
      <c r="C59" s="32" t="s">
        <v>21</v>
      </c>
      <c r="D59" s="62" t="e">
        <f>IF(($D$61&lt;12), ( (D61/12)*N48*(1+$L$16) ),(N48*(1+$L$16)))</f>
        <v>#DIV/0!</v>
      </c>
      <c r="E59" s="63"/>
      <c r="F59" s="63" t="s">
        <v>36</v>
      </c>
      <c r="G59" s="63"/>
      <c r="H59" s="30" t="e">
        <f>IF(($H$61&lt;12), ( (H61/12)*D59*(1+$L$16) ),(D59*(1+$L$16)))</f>
        <v>#DIV/0!</v>
      </c>
      <c r="I59" s="22"/>
      <c r="J59" s="63" t="s">
        <v>48</v>
      </c>
      <c r="K59" s="30" t="e">
        <f>IF(($K$61&lt;12), ( (K61/12)*H59*(1+$L$16) ),(H59*(1+$L$16)))</f>
        <v>#DIV/0!</v>
      </c>
      <c r="S59" s="173"/>
      <c r="T59" s="51"/>
      <c r="U59" s="51"/>
      <c r="V59" s="51"/>
      <c r="W59" s="51"/>
      <c r="X59" s="51"/>
      <c r="Y59" s="51"/>
      <c r="Z59" s="51"/>
      <c r="AA59" s="171"/>
    </row>
    <row r="60" spans="2:27" hidden="1" x14ac:dyDescent="0.25">
      <c r="B60" s="21"/>
      <c r="C60" s="39"/>
      <c r="D60" s="66"/>
      <c r="E60" s="67"/>
      <c r="F60" s="64"/>
      <c r="G60" s="64"/>
      <c r="H60" s="41"/>
      <c r="I60" s="21"/>
      <c r="J60" s="64"/>
      <c r="K60" s="41"/>
      <c r="S60" s="173"/>
      <c r="T60" s="51"/>
      <c r="U60" s="51"/>
      <c r="V60" s="51"/>
      <c r="W60" s="51"/>
      <c r="X60" s="51"/>
      <c r="Y60" s="51"/>
      <c r="Z60" s="51"/>
      <c r="AA60" s="171"/>
    </row>
    <row r="61" spans="2:27" hidden="1" x14ac:dyDescent="0.25">
      <c r="B61" s="21"/>
      <c r="C61" s="39" t="s">
        <v>31</v>
      </c>
      <c r="D61" s="66">
        <f>IF((L15=0),0,IF(((D17-L15-H50-N50)&gt;12),12,IF((D17-L15-H50-N50)&lt;0,0,D17-L15-H50-N50)))</f>
        <v>0</v>
      </c>
      <c r="E61" s="67"/>
      <c r="F61" s="64" t="s">
        <v>32</v>
      </c>
      <c r="G61" s="64"/>
      <c r="H61" s="41">
        <f>IF((L15=0),0,IF(((D17-L15-H50-N50-D61)&gt;12),12,IF((D17-L15-H50-N50-D61)&lt;0,0,D17-L15-H50-N50-D61)))</f>
        <v>0</v>
      </c>
      <c r="I61" s="21"/>
      <c r="J61" s="64" t="s">
        <v>47</v>
      </c>
      <c r="K61" s="41">
        <f>IF((L15=0),0,IF(((D17-L15-H50-N50-D61-H61)&gt;12),12,IF((D17-L15-H50-N50-D61-H61)&lt;0,0,D17-L15-H50-N50-D61-H61)))</f>
        <v>0</v>
      </c>
      <c r="L61" s="25"/>
      <c r="M61" s="25"/>
      <c r="N61" s="25"/>
      <c r="O61" s="25"/>
      <c r="P61" s="25"/>
      <c r="Q61" s="25"/>
      <c r="S61" s="173"/>
      <c r="T61" s="51"/>
      <c r="U61" s="51"/>
      <c r="V61" s="51"/>
      <c r="W61" s="51"/>
      <c r="X61" s="51"/>
      <c r="Y61" s="51"/>
      <c r="Z61" s="51"/>
      <c r="AA61" s="171"/>
    </row>
    <row r="62" spans="2:27" hidden="1" x14ac:dyDescent="0.25">
      <c r="B62" s="21"/>
      <c r="C62" s="39" t="s">
        <v>30</v>
      </c>
      <c r="D62" s="66">
        <f>IF( (D61=12), ( D17-(L15+H50+N50+D61) ),0)</f>
        <v>0</v>
      </c>
      <c r="E62" s="67"/>
      <c r="F62" s="64" t="s">
        <v>33</v>
      </c>
      <c r="G62" s="64"/>
      <c r="H62" s="42">
        <f>IF( (H61=12), ( D17-(L15+H50+N50+D61+H61) ),0)</f>
        <v>0</v>
      </c>
      <c r="I62" s="21"/>
      <c r="J62" s="64" t="s">
        <v>33</v>
      </c>
      <c r="K62" s="42">
        <f>IF( (H61=12), ( D17-(L15+H50+N50+D61+H61+K61) ),0)</f>
        <v>0</v>
      </c>
      <c r="L62" s="25"/>
      <c r="M62" s="25"/>
      <c r="N62" s="25"/>
      <c r="O62" s="25"/>
      <c r="P62" s="25"/>
      <c r="Q62" s="25"/>
      <c r="S62" s="173"/>
      <c r="T62" s="51"/>
      <c r="U62" s="51"/>
      <c r="V62" s="51"/>
      <c r="W62" s="51"/>
      <c r="X62" s="51"/>
      <c r="Y62" s="51"/>
      <c r="Z62" s="51"/>
      <c r="AA62" s="171"/>
    </row>
    <row r="63" spans="2:27" ht="15.75" thickTop="1" x14ac:dyDescent="0.25">
      <c r="B63" s="21"/>
      <c r="C63" s="56"/>
      <c r="D63" s="66"/>
      <c r="E63" s="51"/>
      <c r="F63" s="51"/>
      <c r="G63" s="51"/>
      <c r="H63" s="21"/>
      <c r="I63" s="21"/>
      <c r="L63" s="25"/>
      <c r="M63" s="25"/>
      <c r="N63" s="25"/>
      <c r="O63" s="25"/>
      <c r="P63" s="25"/>
      <c r="Q63" s="25"/>
      <c r="S63" s="177"/>
      <c r="T63" s="178"/>
      <c r="U63" s="178"/>
      <c r="V63" s="178"/>
      <c r="W63" s="178"/>
      <c r="X63" s="178"/>
      <c r="Y63" s="178"/>
      <c r="Z63" s="178"/>
      <c r="AA63" s="179"/>
    </row>
    <row r="64" spans="2:27" x14ac:dyDescent="0.25">
      <c r="B64" s="21"/>
      <c r="C64" s="56"/>
      <c r="D64" s="67"/>
      <c r="E64" s="51"/>
      <c r="F64" s="51"/>
      <c r="G64" s="5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2:17" x14ac:dyDescent="0.25">
      <c r="B65" s="21"/>
      <c r="C65" s="56"/>
      <c r="D65" s="67"/>
      <c r="E65" s="51"/>
      <c r="F65" s="51"/>
      <c r="G65" s="5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2:17" x14ac:dyDescent="0.25">
      <c r="B66" s="21"/>
      <c r="C66" s="56"/>
      <c r="D66" s="67"/>
      <c r="E66" s="51"/>
      <c r="F66" s="51"/>
      <c r="G66" s="5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2:17" x14ac:dyDescent="0.25">
      <c r="B67" s="21"/>
      <c r="C67" s="56"/>
      <c r="D67" s="67"/>
      <c r="E67" s="67"/>
      <c r="F67" s="67"/>
      <c r="G67" s="67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2:17" x14ac:dyDescent="0.25">
      <c r="B68" s="21"/>
      <c r="C68" s="56"/>
      <c r="D68" s="56"/>
      <c r="E68" s="56"/>
      <c r="F68" s="56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2:17" x14ac:dyDescent="0.25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2:17" x14ac:dyDescent="0.25">
      <c r="F70" s="21"/>
      <c r="G70" s="21"/>
    </row>
    <row r="71" spans="2:17" x14ac:dyDescent="0.25">
      <c r="F71" s="21"/>
      <c r="G71" s="21"/>
    </row>
  </sheetData>
  <mergeCells count="24">
    <mergeCell ref="C40:C41"/>
    <mergeCell ref="B2:F3"/>
    <mergeCell ref="B5:F6"/>
    <mergeCell ref="C9:C11"/>
    <mergeCell ref="C12:C15"/>
    <mergeCell ref="C16:C19"/>
    <mergeCell ref="C30:E31"/>
    <mergeCell ref="C22:C23"/>
    <mergeCell ref="C28:C29"/>
    <mergeCell ref="C24:C27"/>
    <mergeCell ref="D21:E21"/>
    <mergeCell ref="D24:D26"/>
    <mergeCell ref="E24:E26"/>
    <mergeCell ref="S3:Z4"/>
    <mergeCell ref="S6:Z7"/>
    <mergeCell ref="C34:C35"/>
    <mergeCell ref="C36:C39"/>
    <mergeCell ref="D36:D38"/>
    <mergeCell ref="E36:E38"/>
    <mergeCell ref="I28:J28"/>
    <mergeCell ref="I13:J13"/>
    <mergeCell ref="I18:K18"/>
    <mergeCell ref="I9:P10"/>
    <mergeCell ref="H26:Q27"/>
  </mergeCells>
  <pageMargins left="0.7" right="0.7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Bilderback, Ann-Marie</dc:creator>
  <cp:lastModifiedBy>Bilderback, Ann-Marie</cp:lastModifiedBy>
  <cp:lastPrinted>2013-02-14T22:09:35Z</cp:lastPrinted>
  <dcterms:created xsi:type="dcterms:W3CDTF">2013-02-07T23:21:37Z</dcterms:created>
  <dcterms:modified xsi:type="dcterms:W3CDTF">2013-11-04T22:38:00Z</dcterms:modified>
</cp:coreProperties>
</file>